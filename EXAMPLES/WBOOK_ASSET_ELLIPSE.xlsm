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360" yWindow="15" windowWidth="6225" windowHeight="5760" activeTab="2"/>
  </bookViews>
  <sheets>
    <sheet name="MODEL" sheetId="19" r:id="rId1"/>
    <sheet name="PRICES_CHART" sheetId="18" r:id="rId2"/>
    <sheet name="ELLIPSE_CHART" sheetId="17" r:id="rId3"/>
  </sheets>
  <functionGroups builtInGroupCount="17"/>
  <externalReferences>
    <externalReference r:id="rId4"/>
  </externalReferences>
  <definedNames>
    <definedName name="ASSET_PRICES_RNG">MODEL!$G$5:$G$1263</definedName>
    <definedName name="ASSET_RETURNS_RNG">MODEL!$I$5:$I$1263</definedName>
    <definedName name="DATES_RNG">MODEL!$E$5:$E$1263</definedName>
    <definedName name="INDEX_PRICES_RNG">MODEL!$F$5:$F$1263</definedName>
    <definedName name="INDEX_RETURNS_RNG">MODEL!$H$5:$H$1263</definedName>
    <definedName name="INPUTS">MODEL!$C$4:$C$9</definedName>
    <definedName name="POSITION">MODEL!$E$4</definedName>
    <definedName name="U_RNG">MODEL!$K$5:$K$42</definedName>
    <definedName name="Ur_RNG">MODEL!$M$5:$M$42</definedName>
    <definedName name="V_RNG">MODEL!$L$5:$L$42</definedName>
    <definedName name="Vr_RNG">MODEL!$N$5:$N$42</definedName>
  </definedNames>
  <calcPr calcId="145621"/>
</workbook>
</file>

<file path=xl/calcChain.xml><?xml version="1.0" encoding="utf-8"?>
<calcChain xmlns="http://schemas.openxmlformats.org/spreadsheetml/2006/main">
  <c r="B22" i="19" l="1"/>
  <c r="B20" i="19"/>
  <c r="B23" i="19"/>
  <c r="B21" i="19"/>
  <c r="C7" i="19"/>
  <c r="C6" i="19" s="1"/>
  <c r="C17" i="19" a="1"/>
  <c r="C23" i="19" l="1"/>
  <c r="C17" i="19"/>
  <c r="C18" i="19"/>
  <c r="C19" i="19"/>
  <c r="C20" i="19"/>
  <c r="C21" i="19"/>
  <c r="C22" i="19"/>
</calcChain>
</file>

<file path=xl/comments1.xml><?xml version="1.0" encoding="utf-8"?>
<comments xmlns="http://schemas.openxmlformats.org/spreadsheetml/2006/main">
  <authors>
    <author>Nico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'generating ellipses that contain points in a scatter plot
'http://www.gummy-stuff.org/stock-ellipses.htm</t>
        </r>
      </text>
    </comment>
  </commentList>
</comments>
</file>

<file path=xl/sharedStrings.xml><?xml version="1.0" encoding="utf-8"?>
<sst xmlns="http://schemas.openxmlformats.org/spreadsheetml/2006/main" count="25" uniqueCount="24">
  <si>
    <t>DATE</t>
  </si>
  <si>
    <t>T</t>
  </si>
  <si>
    <t>U-ELLIPSE</t>
  </si>
  <si>
    <t>V-ELLIPSE</t>
  </si>
  <si>
    <t>U' (62)</t>
  </si>
  <si>
    <t>V'</t>
  </si>
  <si>
    <t>TICKER</t>
  </si>
  <si>
    <t>START DATE</t>
  </si>
  <si>
    <t>END DATE</t>
  </si>
  <si>
    <t>INDEX</t>
  </si>
  <si>
    <t>ANGLE</t>
  </si>
  <si>
    <t>SCALE</t>
  </si>
  <si>
    <t>62</t>
  </si>
  <si>
    <t>^GSPC</t>
  </si>
  <si>
    <t>^GSPC: PRICE</t>
  </si>
  <si>
    <t>^GSPC: RETURN</t>
  </si>
  <si>
    <t>SLOPE</t>
  </si>
  <si>
    <t>INTERCEPT</t>
  </si>
  <si>
    <t>CORRELATION</t>
  </si>
  <si>
    <t>GOOG</t>
  </si>
  <si>
    <t>GOOG: PRICE</t>
  </si>
  <si>
    <t>GOOG: RETURN</t>
  </si>
  <si>
    <t>(x/a)^2 + {(y - mx - k)/c}^2 = 1</t>
  </si>
  <si>
    <t>Asset Ellipses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</si>
</sst>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5" formatCode="&quot;$&quot;#,##0_);\(&quot;$&quot;#,##0\)"/>
    <numFmt numFmtId="43" formatCode="_(* #,##0.00_);_(* \(#,##0.00\);_(* &quot;-&quot;??_);_(@_)"/>
    <numFmt numFmtId="164" formatCode="_-* #,##0.00_-;\-* #,##0.00_-;_-* &quot;-&quot;??_-;_-@_-"/>
    <numFmt numFmtId="165" formatCode="0.0%"/>
    <numFmt numFmtId="166" formatCode="[$-409]d\-mmm\-yy;@"/>
    <numFmt numFmtId="167" formatCode="_-* #,##0.0000_-;\-* #,##0.0000_-;_-* &quot;-&quot;??_-;_-@_-"/>
    <numFmt numFmtId="168" formatCode="0.0000%"/>
    <numFmt numFmtId="169" formatCode="_-* #,##0.00000_-;\-* #,##0.00000_-;_-* &quot;-&quot;??_-;_-@_-"/>
  </numFmts>
  <fonts count="14" x14ac:knownFonts="1">
    <font>
      <sz val="10"/>
      <name val="Arial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22"/>
      <color rgb="FFFF000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sz val="10"/>
      <color rgb="FFFF0000"/>
      <name val="Courier New"/>
      <family val="3"/>
    </font>
    <font>
      <sz val="10"/>
      <color theme="1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70C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  <xf numFmtId="9" fontId="4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5" fillId="0" borderId="0" xfId="10" applyFont="1" applyAlignment="1">
      <alignment horizontal="left" vertical="center"/>
    </xf>
    <xf numFmtId="0" fontId="6" fillId="0" borderId="0" xfId="10" applyFont="1" applyAlignment="1">
      <alignment horizontal="center" vertical="center"/>
    </xf>
    <xf numFmtId="0" fontId="6" fillId="0" borderId="0" xfId="10" applyFont="1" applyBorder="1" applyAlignment="1">
      <alignment horizontal="center" vertical="center"/>
    </xf>
    <xf numFmtId="4" fontId="6" fillId="0" borderId="0" xfId="10" applyNumberFormat="1" applyFont="1" applyBorder="1" applyAlignment="1">
      <alignment horizontal="center" vertical="center"/>
    </xf>
    <xf numFmtId="0" fontId="7" fillId="2" borderId="2" xfId="10" applyFont="1" applyFill="1" applyBorder="1" applyAlignment="1">
      <alignment horizontal="center" vertical="center"/>
    </xf>
    <xf numFmtId="49" fontId="8" fillId="0" borderId="2" xfId="10" applyNumberFormat="1" applyFont="1" applyBorder="1" applyAlignment="1">
      <alignment horizontal="center" vertical="center"/>
    </xf>
    <xf numFmtId="0" fontId="6" fillId="0" borderId="0" xfId="10" applyFont="1"/>
    <xf numFmtId="0" fontId="1" fillId="0" borderId="0" xfId="10"/>
    <xf numFmtId="166" fontId="8" fillId="0" borderId="2" xfId="10" applyNumberFormat="1" applyFont="1" applyBorder="1" applyAlignment="1">
      <alignment horizontal="center" vertical="center"/>
    </xf>
    <xf numFmtId="0" fontId="9" fillId="0" borderId="0" xfId="10" applyFont="1" applyAlignment="1">
      <alignment horizontal="center" vertical="center"/>
    </xf>
    <xf numFmtId="165" fontId="8" fillId="0" borderId="2" xfId="9" applyNumberFormat="1" applyFont="1" applyBorder="1" applyAlignment="1">
      <alignment horizontal="center" vertical="center"/>
    </xf>
    <xf numFmtId="4" fontId="7" fillId="3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Border="1"/>
    <xf numFmtId="166" fontId="7" fillId="3" borderId="2" xfId="0" applyNumberFormat="1" applyFont="1" applyFill="1" applyBorder="1" applyAlignment="1">
      <alignment horizontal="center" vertical="center" wrapText="1"/>
    </xf>
    <xf numFmtId="166" fontId="6" fillId="0" borderId="2" xfId="0" applyNumberFormat="1" applyFont="1" applyBorder="1"/>
    <xf numFmtId="10" fontId="7" fillId="3" borderId="2" xfId="0" applyNumberFormat="1" applyFont="1" applyFill="1" applyBorder="1" applyAlignment="1">
      <alignment horizontal="center" vertical="center" wrapText="1"/>
    </xf>
    <xf numFmtId="10" fontId="6" fillId="0" borderId="2" xfId="0" applyNumberFormat="1" applyFont="1" applyBorder="1"/>
    <xf numFmtId="10" fontId="0" fillId="0" borderId="0" xfId="0" applyNumberFormat="1"/>
    <xf numFmtId="0" fontId="1" fillId="0" borderId="0" xfId="0" applyFont="1"/>
    <xf numFmtId="168" fontId="10" fillId="0" borderId="2" xfId="9" applyNumberFormat="1" applyFont="1" applyBorder="1" applyAlignment="1">
      <alignment horizontal="right" vertical="center"/>
    </xf>
    <xf numFmtId="169" fontId="10" fillId="0" borderId="2" xfId="1" applyNumberFormat="1" applyFont="1" applyBorder="1" applyAlignment="1">
      <alignment horizontal="center" vertical="center"/>
    </xf>
    <xf numFmtId="167" fontId="9" fillId="0" borderId="2" xfId="1" applyNumberFormat="1" applyFont="1" applyBorder="1" applyAlignment="1">
      <alignment horizontal="center" vertical="center"/>
    </xf>
    <xf numFmtId="0" fontId="7" fillId="4" borderId="2" xfId="10" applyFont="1" applyFill="1" applyBorder="1" applyAlignment="1">
      <alignment horizontal="left" vertical="center" indent="3"/>
    </xf>
    <xf numFmtId="0" fontId="7" fillId="5" borderId="3" xfId="10" applyFont="1" applyFill="1" applyBorder="1" applyAlignment="1">
      <alignment horizontal="centerContinuous" vertical="center"/>
    </xf>
    <xf numFmtId="165" fontId="13" fillId="5" borderId="4" xfId="9" applyNumberFormat="1" applyFont="1" applyFill="1" applyBorder="1" applyAlignment="1">
      <alignment horizontal="centerContinuous" vertical="center"/>
    </xf>
  </cellXfs>
  <cellStyles count="14">
    <cellStyle name="Comma" xfId="1" builtinId="3"/>
    <cellStyle name="Comma 2" xfId="11"/>
    <cellStyle name="Comma 2 2" xfId="12"/>
    <cellStyle name="Comma0" xfId="2"/>
    <cellStyle name="Currency0" xfId="3"/>
    <cellStyle name="Date" xfId="4"/>
    <cellStyle name="Fixed" xfId="5"/>
    <cellStyle name="Heading 1" xfId="6" builtinId="16" customBuiltin="1"/>
    <cellStyle name="Heading 2" xfId="7" builtinId="17" customBuiltin="1"/>
    <cellStyle name="Normal" xfId="0" builtinId="0"/>
    <cellStyle name="Normal 2" xfId="10"/>
    <cellStyle name="Percent" xfId="9" builtinId="5"/>
    <cellStyle name="Percent 2" xfId="13"/>
    <cellStyle name="Total" xfId="8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065724106549863E-2"/>
          <c:y val="6.7036785429404971E-2"/>
          <c:w val="0.84812922779005584"/>
          <c:h val="0.7368172948095556"/>
        </c:manualLayout>
      </c:layout>
      <c:lineChart>
        <c:grouping val="standard"/>
        <c:varyColors val="0"/>
        <c:ser>
          <c:idx val="1"/>
          <c:order val="0"/>
          <c:tx>
            <c:strRef>
              <c:f>MODEL!$F$4</c:f>
              <c:strCache>
                <c:ptCount val="1"/>
                <c:pt idx="0">
                  <c:v>^GSPC: PRICE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[0]!DATES_RNG</c:f>
              <c:numCache>
                <c:formatCode>[$-409]d\-mmm\-yy;@</c:formatCode>
                <c:ptCount val="1259"/>
                <c:pt idx="0">
                  <c:v>39506</c:v>
                </c:pt>
                <c:pt idx="1">
                  <c:v>39507</c:v>
                </c:pt>
                <c:pt idx="2">
                  <c:v>39510</c:v>
                </c:pt>
                <c:pt idx="3">
                  <c:v>39511</c:v>
                </c:pt>
                <c:pt idx="4">
                  <c:v>39512</c:v>
                </c:pt>
                <c:pt idx="5">
                  <c:v>39513</c:v>
                </c:pt>
                <c:pt idx="6">
                  <c:v>39514</c:v>
                </c:pt>
                <c:pt idx="7">
                  <c:v>39517</c:v>
                </c:pt>
                <c:pt idx="8">
                  <c:v>39518</c:v>
                </c:pt>
                <c:pt idx="9">
                  <c:v>39519</c:v>
                </c:pt>
                <c:pt idx="10">
                  <c:v>39520</c:v>
                </c:pt>
                <c:pt idx="11">
                  <c:v>39521</c:v>
                </c:pt>
                <c:pt idx="12">
                  <c:v>39524</c:v>
                </c:pt>
                <c:pt idx="13">
                  <c:v>39525</c:v>
                </c:pt>
                <c:pt idx="14">
                  <c:v>39526</c:v>
                </c:pt>
                <c:pt idx="15">
                  <c:v>39527</c:v>
                </c:pt>
                <c:pt idx="16">
                  <c:v>39531</c:v>
                </c:pt>
                <c:pt idx="17">
                  <c:v>39532</c:v>
                </c:pt>
                <c:pt idx="18">
                  <c:v>39533</c:v>
                </c:pt>
                <c:pt idx="19">
                  <c:v>39534</c:v>
                </c:pt>
                <c:pt idx="20">
                  <c:v>39535</c:v>
                </c:pt>
                <c:pt idx="21">
                  <c:v>39538</c:v>
                </c:pt>
                <c:pt idx="22">
                  <c:v>39539</c:v>
                </c:pt>
                <c:pt idx="23">
                  <c:v>39540</c:v>
                </c:pt>
                <c:pt idx="24">
                  <c:v>39541</c:v>
                </c:pt>
                <c:pt idx="25">
                  <c:v>39542</c:v>
                </c:pt>
                <c:pt idx="26">
                  <c:v>39545</c:v>
                </c:pt>
                <c:pt idx="27">
                  <c:v>39546</c:v>
                </c:pt>
                <c:pt idx="28">
                  <c:v>39547</c:v>
                </c:pt>
                <c:pt idx="29">
                  <c:v>39548</c:v>
                </c:pt>
                <c:pt idx="30">
                  <c:v>39549</c:v>
                </c:pt>
                <c:pt idx="31">
                  <c:v>39552</c:v>
                </c:pt>
                <c:pt idx="32">
                  <c:v>39553</c:v>
                </c:pt>
                <c:pt idx="33">
                  <c:v>39554</c:v>
                </c:pt>
                <c:pt idx="34">
                  <c:v>39555</c:v>
                </c:pt>
                <c:pt idx="35">
                  <c:v>39556</c:v>
                </c:pt>
                <c:pt idx="36">
                  <c:v>39559</c:v>
                </c:pt>
                <c:pt idx="37">
                  <c:v>39560</c:v>
                </c:pt>
                <c:pt idx="38">
                  <c:v>39561</c:v>
                </c:pt>
                <c:pt idx="39">
                  <c:v>39562</c:v>
                </c:pt>
                <c:pt idx="40">
                  <c:v>39563</c:v>
                </c:pt>
                <c:pt idx="41">
                  <c:v>39566</c:v>
                </c:pt>
                <c:pt idx="42">
                  <c:v>39567</c:v>
                </c:pt>
                <c:pt idx="43">
                  <c:v>39568</c:v>
                </c:pt>
                <c:pt idx="44">
                  <c:v>39569</c:v>
                </c:pt>
                <c:pt idx="45">
                  <c:v>39570</c:v>
                </c:pt>
                <c:pt idx="46">
                  <c:v>39573</c:v>
                </c:pt>
                <c:pt idx="47">
                  <c:v>39574</c:v>
                </c:pt>
                <c:pt idx="48">
                  <c:v>39575</c:v>
                </c:pt>
                <c:pt idx="49">
                  <c:v>39576</c:v>
                </c:pt>
                <c:pt idx="50">
                  <c:v>39577</c:v>
                </c:pt>
                <c:pt idx="51">
                  <c:v>39580</c:v>
                </c:pt>
                <c:pt idx="52">
                  <c:v>39581</c:v>
                </c:pt>
                <c:pt idx="53">
                  <c:v>39582</c:v>
                </c:pt>
                <c:pt idx="54">
                  <c:v>39583</c:v>
                </c:pt>
                <c:pt idx="55">
                  <c:v>39584</c:v>
                </c:pt>
                <c:pt idx="56">
                  <c:v>39587</c:v>
                </c:pt>
                <c:pt idx="57">
                  <c:v>39588</c:v>
                </c:pt>
                <c:pt idx="58">
                  <c:v>39589</c:v>
                </c:pt>
                <c:pt idx="59">
                  <c:v>39590</c:v>
                </c:pt>
                <c:pt idx="60">
                  <c:v>39591</c:v>
                </c:pt>
                <c:pt idx="61">
                  <c:v>39595</c:v>
                </c:pt>
                <c:pt idx="62">
                  <c:v>39596</c:v>
                </c:pt>
                <c:pt idx="63">
                  <c:v>39597</c:v>
                </c:pt>
                <c:pt idx="64">
                  <c:v>39598</c:v>
                </c:pt>
                <c:pt idx="65">
                  <c:v>39601</c:v>
                </c:pt>
                <c:pt idx="66">
                  <c:v>39602</c:v>
                </c:pt>
                <c:pt idx="67">
                  <c:v>39603</c:v>
                </c:pt>
                <c:pt idx="68">
                  <c:v>39604</c:v>
                </c:pt>
                <c:pt idx="69">
                  <c:v>39605</c:v>
                </c:pt>
                <c:pt idx="70">
                  <c:v>39608</c:v>
                </c:pt>
                <c:pt idx="71">
                  <c:v>39609</c:v>
                </c:pt>
                <c:pt idx="72">
                  <c:v>39610</c:v>
                </c:pt>
                <c:pt idx="73">
                  <c:v>39611</c:v>
                </c:pt>
                <c:pt idx="74">
                  <c:v>39612</c:v>
                </c:pt>
                <c:pt idx="75">
                  <c:v>39615</c:v>
                </c:pt>
                <c:pt idx="76">
                  <c:v>39616</c:v>
                </c:pt>
                <c:pt idx="77">
                  <c:v>39617</c:v>
                </c:pt>
                <c:pt idx="78">
                  <c:v>39618</c:v>
                </c:pt>
                <c:pt idx="79">
                  <c:v>39619</c:v>
                </c:pt>
                <c:pt idx="80">
                  <c:v>39622</c:v>
                </c:pt>
                <c:pt idx="81">
                  <c:v>39623</c:v>
                </c:pt>
                <c:pt idx="82">
                  <c:v>39624</c:v>
                </c:pt>
                <c:pt idx="83">
                  <c:v>39625</c:v>
                </c:pt>
                <c:pt idx="84">
                  <c:v>39626</c:v>
                </c:pt>
                <c:pt idx="85">
                  <c:v>39629</c:v>
                </c:pt>
                <c:pt idx="86">
                  <c:v>39630</c:v>
                </c:pt>
                <c:pt idx="87">
                  <c:v>39631</c:v>
                </c:pt>
                <c:pt idx="88">
                  <c:v>39632</c:v>
                </c:pt>
                <c:pt idx="89">
                  <c:v>39636</c:v>
                </c:pt>
                <c:pt idx="90">
                  <c:v>39637</c:v>
                </c:pt>
                <c:pt idx="91">
                  <c:v>39638</c:v>
                </c:pt>
                <c:pt idx="92">
                  <c:v>39639</c:v>
                </c:pt>
                <c:pt idx="93">
                  <c:v>39640</c:v>
                </c:pt>
                <c:pt idx="94">
                  <c:v>39643</c:v>
                </c:pt>
                <c:pt idx="95">
                  <c:v>39644</c:v>
                </c:pt>
                <c:pt idx="96">
                  <c:v>39645</c:v>
                </c:pt>
                <c:pt idx="97">
                  <c:v>39646</c:v>
                </c:pt>
                <c:pt idx="98">
                  <c:v>39647</c:v>
                </c:pt>
                <c:pt idx="99">
                  <c:v>39650</c:v>
                </c:pt>
                <c:pt idx="100">
                  <c:v>39651</c:v>
                </c:pt>
                <c:pt idx="101">
                  <c:v>39652</c:v>
                </c:pt>
                <c:pt idx="102">
                  <c:v>39653</c:v>
                </c:pt>
                <c:pt idx="103">
                  <c:v>39654</c:v>
                </c:pt>
                <c:pt idx="104">
                  <c:v>39657</c:v>
                </c:pt>
                <c:pt idx="105">
                  <c:v>39658</c:v>
                </c:pt>
                <c:pt idx="106">
                  <c:v>39659</c:v>
                </c:pt>
                <c:pt idx="107">
                  <c:v>39660</c:v>
                </c:pt>
                <c:pt idx="108">
                  <c:v>39661</c:v>
                </c:pt>
                <c:pt idx="109">
                  <c:v>39664</c:v>
                </c:pt>
                <c:pt idx="110">
                  <c:v>39665</c:v>
                </c:pt>
                <c:pt idx="111">
                  <c:v>39666</c:v>
                </c:pt>
                <c:pt idx="112">
                  <c:v>39667</c:v>
                </c:pt>
                <c:pt idx="113">
                  <c:v>39668</c:v>
                </c:pt>
                <c:pt idx="114">
                  <c:v>39671</c:v>
                </c:pt>
                <c:pt idx="115">
                  <c:v>39672</c:v>
                </c:pt>
                <c:pt idx="116">
                  <c:v>39673</c:v>
                </c:pt>
                <c:pt idx="117">
                  <c:v>39674</c:v>
                </c:pt>
                <c:pt idx="118">
                  <c:v>39675</c:v>
                </c:pt>
                <c:pt idx="119">
                  <c:v>39678</c:v>
                </c:pt>
                <c:pt idx="120">
                  <c:v>39679</c:v>
                </c:pt>
                <c:pt idx="121">
                  <c:v>39680</c:v>
                </c:pt>
                <c:pt idx="122">
                  <c:v>39681</c:v>
                </c:pt>
                <c:pt idx="123">
                  <c:v>39682</c:v>
                </c:pt>
                <c:pt idx="124">
                  <c:v>39685</c:v>
                </c:pt>
                <c:pt idx="125">
                  <c:v>39686</c:v>
                </c:pt>
                <c:pt idx="126">
                  <c:v>39687</c:v>
                </c:pt>
                <c:pt idx="127">
                  <c:v>39688</c:v>
                </c:pt>
                <c:pt idx="128">
                  <c:v>39689</c:v>
                </c:pt>
                <c:pt idx="129">
                  <c:v>39693</c:v>
                </c:pt>
                <c:pt idx="130">
                  <c:v>39694</c:v>
                </c:pt>
                <c:pt idx="131">
                  <c:v>39695</c:v>
                </c:pt>
                <c:pt idx="132">
                  <c:v>39696</c:v>
                </c:pt>
                <c:pt idx="133">
                  <c:v>39699</c:v>
                </c:pt>
                <c:pt idx="134">
                  <c:v>39700</c:v>
                </c:pt>
                <c:pt idx="135">
                  <c:v>39701</c:v>
                </c:pt>
                <c:pt idx="136">
                  <c:v>39702</c:v>
                </c:pt>
                <c:pt idx="137">
                  <c:v>39703</c:v>
                </c:pt>
                <c:pt idx="138">
                  <c:v>39706</c:v>
                </c:pt>
                <c:pt idx="139">
                  <c:v>39707</c:v>
                </c:pt>
                <c:pt idx="140">
                  <c:v>39708</c:v>
                </c:pt>
                <c:pt idx="141">
                  <c:v>39709</c:v>
                </c:pt>
                <c:pt idx="142">
                  <c:v>39710</c:v>
                </c:pt>
                <c:pt idx="143">
                  <c:v>39713</c:v>
                </c:pt>
                <c:pt idx="144">
                  <c:v>39714</c:v>
                </c:pt>
                <c:pt idx="145">
                  <c:v>39715</c:v>
                </c:pt>
                <c:pt idx="146">
                  <c:v>39716</c:v>
                </c:pt>
                <c:pt idx="147">
                  <c:v>39717</c:v>
                </c:pt>
                <c:pt idx="148">
                  <c:v>39720</c:v>
                </c:pt>
                <c:pt idx="149">
                  <c:v>39721</c:v>
                </c:pt>
                <c:pt idx="150">
                  <c:v>39722</c:v>
                </c:pt>
                <c:pt idx="151">
                  <c:v>39723</c:v>
                </c:pt>
                <c:pt idx="152">
                  <c:v>39724</c:v>
                </c:pt>
                <c:pt idx="153">
                  <c:v>39727</c:v>
                </c:pt>
                <c:pt idx="154">
                  <c:v>39728</c:v>
                </c:pt>
                <c:pt idx="155">
                  <c:v>39729</c:v>
                </c:pt>
                <c:pt idx="156">
                  <c:v>39730</c:v>
                </c:pt>
                <c:pt idx="157">
                  <c:v>39731</c:v>
                </c:pt>
                <c:pt idx="158">
                  <c:v>39734</c:v>
                </c:pt>
                <c:pt idx="159">
                  <c:v>39735</c:v>
                </c:pt>
                <c:pt idx="160">
                  <c:v>39736</c:v>
                </c:pt>
                <c:pt idx="161">
                  <c:v>39737</c:v>
                </c:pt>
                <c:pt idx="162">
                  <c:v>39738</c:v>
                </c:pt>
                <c:pt idx="163">
                  <c:v>39741</c:v>
                </c:pt>
                <c:pt idx="164">
                  <c:v>39742</c:v>
                </c:pt>
                <c:pt idx="165">
                  <c:v>39743</c:v>
                </c:pt>
                <c:pt idx="166">
                  <c:v>39744</c:v>
                </c:pt>
                <c:pt idx="167">
                  <c:v>39745</c:v>
                </c:pt>
                <c:pt idx="168">
                  <c:v>39748</c:v>
                </c:pt>
                <c:pt idx="169">
                  <c:v>39749</c:v>
                </c:pt>
                <c:pt idx="170">
                  <c:v>39750</c:v>
                </c:pt>
                <c:pt idx="171">
                  <c:v>39751</c:v>
                </c:pt>
                <c:pt idx="172">
                  <c:v>39752</c:v>
                </c:pt>
                <c:pt idx="173">
                  <c:v>39755</c:v>
                </c:pt>
                <c:pt idx="174">
                  <c:v>39756</c:v>
                </c:pt>
                <c:pt idx="175">
                  <c:v>39757</c:v>
                </c:pt>
                <c:pt idx="176">
                  <c:v>39758</c:v>
                </c:pt>
                <c:pt idx="177">
                  <c:v>39759</c:v>
                </c:pt>
                <c:pt idx="178">
                  <c:v>39762</c:v>
                </c:pt>
                <c:pt idx="179">
                  <c:v>39763</c:v>
                </c:pt>
                <c:pt idx="180">
                  <c:v>39764</c:v>
                </c:pt>
                <c:pt idx="181">
                  <c:v>39765</c:v>
                </c:pt>
                <c:pt idx="182">
                  <c:v>39766</c:v>
                </c:pt>
                <c:pt idx="183">
                  <c:v>39769</c:v>
                </c:pt>
                <c:pt idx="184">
                  <c:v>39770</c:v>
                </c:pt>
                <c:pt idx="185">
                  <c:v>39771</c:v>
                </c:pt>
                <c:pt idx="186">
                  <c:v>39772</c:v>
                </c:pt>
                <c:pt idx="187">
                  <c:v>39773</c:v>
                </c:pt>
                <c:pt idx="188">
                  <c:v>39776</c:v>
                </c:pt>
                <c:pt idx="189">
                  <c:v>39777</c:v>
                </c:pt>
                <c:pt idx="190">
                  <c:v>39778</c:v>
                </c:pt>
                <c:pt idx="191">
                  <c:v>39780</c:v>
                </c:pt>
                <c:pt idx="192">
                  <c:v>39783</c:v>
                </c:pt>
                <c:pt idx="193">
                  <c:v>39784</c:v>
                </c:pt>
                <c:pt idx="194">
                  <c:v>39785</c:v>
                </c:pt>
                <c:pt idx="195">
                  <c:v>39786</c:v>
                </c:pt>
                <c:pt idx="196">
                  <c:v>39787</c:v>
                </c:pt>
                <c:pt idx="197">
                  <c:v>39790</c:v>
                </c:pt>
                <c:pt idx="198">
                  <c:v>39791</c:v>
                </c:pt>
                <c:pt idx="199">
                  <c:v>39792</c:v>
                </c:pt>
                <c:pt idx="200">
                  <c:v>39793</c:v>
                </c:pt>
                <c:pt idx="201">
                  <c:v>39794</c:v>
                </c:pt>
                <c:pt idx="202">
                  <c:v>39797</c:v>
                </c:pt>
                <c:pt idx="203">
                  <c:v>39798</c:v>
                </c:pt>
                <c:pt idx="204">
                  <c:v>39799</c:v>
                </c:pt>
                <c:pt idx="205">
                  <c:v>39800</c:v>
                </c:pt>
                <c:pt idx="206">
                  <c:v>39801</c:v>
                </c:pt>
                <c:pt idx="207">
                  <c:v>39804</c:v>
                </c:pt>
                <c:pt idx="208">
                  <c:v>39805</c:v>
                </c:pt>
                <c:pt idx="209">
                  <c:v>39806</c:v>
                </c:pt>
                <c:pt idx="210">
                  <c:v>39808</c:v>
                </c:pt>
                <c:pt idx="211">
                  <c:v>39811</c:v>
                </c:pt>
                <c:pt idx="212">
                  <c:v>39812</c:v>
                </c:pt>
                <c:pt idx="213">
                  <c:v>39813</c:v>
                </c:pt>
                <c:pt idx="214">
                  <c:v>39815</c:v>
                </c:pt>
                <c:pt idx="215">
                  <c:v>39818</c:v>
                </c:pt>
                <c:pt idx="216">
                  <c:v>39819</c:v>
                </c:pt>
                <c:pt idx="217">
                  <c:v>39820</c:v>
                </c:pt>
                <c:pt idx="218">
                  <c:v>39821</c:v>
                </c:pt>
                <c:pt idx="219">
                  <c:v>39822</c:v>
                </c:pt>
                <c:pt idx="220">
                  <c:v>39825</c:v>
                </c:pt>
                <c:pt idx="221">
                  <c:v>39826</c:v>
                </c:pt>
                <c:pt idx="222">
                  <c:v>39827</c:v>
                </c:pt>
                <c:pt idx="223">
                  <c:v>39828</c:v>
                </c:pt>
                <c:pt idx="224">
                  <c:v>39829</c:v>
                </c:pt>
                <c:pt idx="225">
                  <c:v>39833</c:v>
                </c:pt>
                <c:pt idx="226">
                  <c:v>39834</c:v>
                </c:pt>
                <c:pt idx="227">
                  <c:v>39835</c:v>
                </c:pt>
                <c:pt idx="228">
                  <c:v>39836</c:v>
                </c:pt>
                <c:pt idx="229">
                  <c:v>39839</c:v>
                </c:pt>
                <c:pt idx="230">
                  <c:v>39840</c:v>
                </c:pt>
                <c:pt idx="231">
                  <c:v>39841</c:v>
                </c:pt>
                <c:pt idx="232">
                  <c:v>39842</c:v>
                </c:pt>
                <c:pt idx="233">
                  <c:v>39843</c:v>
                </c:pt>
                <c:pt idx="234">
                  <c:v>39846</c:v>
                </c:pt>
                <c:pt idx="235">
                  <c:v>39847</c:v>
                </c:pt>
                <c:pt idx="236">
                  <c:v>39848</c:v>
                </c:pt>
                <c:pt idx="237">
                  <c:v>39849</c:v>
                </c:pt>
                <c:pt idx="238">
                  <c:v>39850</c:v>
                </c:pt>
                <c:pt idx="239">
                  <c:v>39853</c:v>
                </c:pt>
                <c:pt idx="240">
                  <c:v>39854</c:v>
                </c:pt>
                <c:pt idx="241">
                  <c:v>39855</c:v>
                </c:pt>
                <c:pt idx="242">
                  <c:v>39856</c:v>
                </c:pt>
                <c:pt idx="243">
                  <c:v>39857</c:v>
                </c:pt>
                <c:pt idx="244">
                  <c:v>39861</c:v>
                </c:pt>
                <c:pt idx="245">
                  <c:v>39862</c:v>
                </c:pt>
                <c:pt idx="246">
                  <c:v>39863</c:v>
                </c:pt>
                <c:pt idx="247">
                  <c:v>39864</c:v>
                </c:pt>
                <c:pt idx="248">
                  <c:v>39867</c:v>
                </c:pt>
                <c:pt idx="249">
                  <c:v>39868</c:v>
                </c:pt>
                <c:pt idx="250">
                  <c:v>39869</c:v>
                </c:pt>
                <c:pt idx="251">
                  <c:v>39870</c:v>
                </c:pt>
                <c:pt idx="252">
                  <c:v>39871</c:v>
                </c:pt>
                <c:pt idx="253">
                  <c:v>39874</c:v>
                </c:pt>
                <c:pt idx="254">
                  <c:v>39875</c:v>
                </c:pt>
                <c:pt idx="255">
                  <c:v>39876</c:v>
                </c:pt>
                <c:pt idx="256">
                  <c:v>39877</c:v>
                </c:pt>
                <c:pt idx="257">
                  <c:v>39878</c:v>
                </c:pt>
                <c:pt idx="258">
                  <c:v>39881</c:v>
                </c:pt>
                <c:pt idx="259">
                  <c:v>39882</c:v>
                </c:pt>
                <c:pt idx="260">
                  <c:v>39883</c:v>
                </c:pt>
                <c:pt idx="261">
                  <c:v>39884</c:v>
                </c:pt>
                <c:pt idx="262">
                  <c:v>39885</c:v>
                </c:pt>
                <c:pt idx="263">
                  <c:v>39888</c:v>
                </c:pt>
                <c:pt idx="264">
                  <c:v>39889</c:v>
                </c:pt>
                <c:pt idx="265">
                  <c:v>39890</c:v>
                </c:pt>
                <c:pt idx="266">
                  <c:v>39891</c:v>
                </c:pt>
                <c:pt idx="267">
                  <c:v>39892</c:v>
                </c:pt>
                <c:pt idx="268">
                  <c:v>39895</c:v>
                </c:pt>
                <c:pt idx="269">
                  <c:v>39896</c:v>
                </c:pt>
                <c:pt idx="270">
                  <c:v>39897</c:v>
                </c:pt>
                <c:pt idx="271">
                  <c:v>39898</c:v>
                </c:pt>
                <c:pt idx="272">
                  <c:v>39899</c:v>
                </c:pt>
                <c:pt idx="273">
                  <c:v>39902</c:v>
                </c:pt>
                <c:pt idx="274">
                  <c:v>39903</c:v>
                </c:pt>
                <c:pt idx="275">
                  <c:v>39904</c:v>
                </c:pt>
                <c:pt idx="276">
                  <c:v>39905</c:v>
                </c:pt>
                <c:pt idx="277">
                  <c:v>39906</c:v>
                </c:pt>
                <c:pt idx="278">
                  <c:v>39909</c:v>
                </c:pt>
                <c:pt idx="279">
                  <c:v>39910</c:v>
                </c:pt>
                <c:pt idx="280">
                  <c:v>39911</c:v>
                </c:pt>
                <c:pt idx="281">
                  <c:v>39912</c:v>
                </c:pt>
                <c:pt idx="282">
                  <c:v>39916</c:v>
                </c:pt>
                <c:pt idx="283">
                  <c:v>39917</c:v>
                </c:pt>
                <c:pt idx="284">
                  <c:v>39918</c:v>
                </c:pt>
                <c:pt idx="285">
                  <c:v>39919</c:v>
                </c:pt>
                <c:pt idx="286">
                  <c:v>39920</c:v>
                </c:pt>
                <c:pt idx="287">
                  <c:v>39923</c:v>
                </c:pt>
                <c:pt idx="288">
                  <c:v>39924</c:v>
                </c:pt>
                <c:pt idx="289">
                  <c:v>39925</c:v>
                </c:pt>
                <c:pt idx="290">
                  <c:v>39926</c:v>
                </c:pt>
                <c:pt idx="291">
                  <c:v>39927</c:v>
                </c:pt>
                <c:pt idx="292">
                  <c:v>39930</c:v>
                </c:pt>
                <c:pt idx="293">
                  <c:v>39931</c:v>
                </c:pt>
                <c:pt idx="294">
                  <c:v>39932</c:v>
                </c:pt>
                <c:pt idx="295">
                  <c:v>39933</c:v>
                </c:pt>
                <c:pt idx="296">
                  <c:v>39934</c:v>
                </c:pt>
                <c:pt idx="297">
                  <c:v>39937</c:v>
                </c:pt>
                <c:pt idx="298">
                  <c:v>39938</c:v>
                </c:pt>
                <c:pt idx="299">
                  <c:v>39939</c:v>
                </c:pt>
                <c:pt idx="300">
                  <c:v>39940</c:v>
                </c:pt>
                <c:pt idx="301">
                  <c:v>39941</c:v>
                </c:pt>
                <c:pt idx="302">
                  <c:v>39944</c:v>
                </c:pt>
                <c:pt idx="303">
                  <c:v>39945</c:v>
                </c:pt>
                <c:pt idx="304">
                  <c:v>39946</c:v>
                </c:pt>
                <c:pt idx="305">
                  <c:v>39947</c:v>
                </c:pt>
                <c:pt idx="306">
                  <c:v>39948</c:v>
                </c:pt>
                <c:pt idx="307">
                  <c:v>39951</c:v>
                </c:pt>
                <c:pt idx="308">
                  <c:v>39952</c:v>
                </c:pt>
                <c:pt idx="309">
                  <c:v>39953</c:v>
                </c:pt>
                <c:pt idx="310">
                  <c:v>39954</c:v>
                </c:pt>
                <c:pt idx="311">
                  <c:v>39955</c:v>
                </c:pt>
                <c:pt idx="312">
                  <c:v>39959</c:v>
                </c:pt>
                <c:pt idx="313">
                  <c:v>39960</c:v>
                </c:pt>
                <c:pt idx="314">
                  <c:v>39961</c:v>
                </c:pt>
                <c:pt idx="315">
                  <c:v>39962</c:v>
                </c:pt>
                <c:pt idx="316">
                  <c:v>39965</c:v>
                </c:pt>
                <c:pt idx="317">
                  <c:v>39966</c:v>
                </c:pt>
                <c:pt idx="318">
                  <c:v>39967</c:v>
                </c:pt>
                <c:pt idx="319">
                  <c:v>39968</c:v>
                </c:pt>
                <c:pt idx="320">
                  <c:v>39969</c:v>
                </c:pt>
                <c:pt idx="321">
                  <c:v>39972</c:v>
                </c:pt>
                <c:pt idx="322">
                  <c:v>39973</c:v>
                </c:pt>
                <c:pt idx="323">
                  <c:v>39974</c:v>
                </c:pt>
                <c:pt idx="324">
                  <c:v>39975</c:v>
                </c:pt>
                <c:pt idx="325">
                  <c:v>39976</c:v>
                </c:pt>
                <c:pt idx="326">
                  <c:v>39979</c:v>
                </c:pt>
                <c:pt idx="327">
                  <c:v>39980</c:v>
                </c:pt>
                <c:pt idx="328">
                  <c:v>39981</c:v>
                </c:pt>
                <c:pt idx="329">
                  <c:v>39982</c:v>
                </c:pt>
                <c:pt idx="330">
                  <c:v>39983</c:v>
                </c:pt>
                <c:pt idx="331">
                  <c:v>39986</c:v>
                </c:pt>
                <c:pt idx="332">
                  <c:v>39987</c:v>
                </c:pt>
                <c:pt idx="333">
                  <c:v>39988</c:v>
                </c:pt>
                <c:pt idx="334">
                  <c:v>39989</c:v>
                </c:pt>
                <c:pt idx="335">
                  <c:v>39990</c:v>
                </c:pt>
                <c:pt idx="336">
                  <c:v>39993</c:v>
                </c:pt>
                <c:pt idx="337">
                  <c:v>39994</c:v>
                </c:pt>
                <c:pt idx="338">
                  <c:v>39995</c:v>
                </c:pt>
                <c:pt idx="339">
                  <c:v>39996</c:v>
                </c:pt>
                <c:pt idx="340">
                  <c:v>40000</c:v>
                </c:pt>
                <c:pt idx="341">
                  <c:v>40001</c:v>
                </c:pt>
                <c:pt idx="342">
                  <c:v>40002</c:v>
                </c:pt>
                <c:pt idx="343">
                  <c:v>40003</c:v>
                </c:pt>
                <c:pt idx="344">
                  <c:v>40004</c:v>
                </c:pt>
                <c:pt idx="345">
                  <c:v>40007</c:v>
                </c:pt>
                <c:pt idx="346">
                  <c:v>40008</c:v>
                </c:pt>
                <c:pt idx="347">
                  <c:v>40009</c:v>
                </c:pt>
                <c:pt idx="348">
                  <c:v>40010</c:v>
                </c:pt>
                <c:pt idx="349">
                  <c:v>40011</c:v>
                </c:pt>
                <c:pt idx="350">
                  <c:v>40014</c:v>
                </c:pt>
                <c:pt idx="351">
                  <c:v>40015</c:v>
                </c:pt>
                <c:pt idx="352">
                  <c:v>40016</c:v>
                </c:pt>
                <c:pt idx="353">
                  <c:v>40017</c:v>
                </c:pt>
                <c:pt idx="354">
                  <c:v>40018</c:v>
                </c:pt>
                <c:pt idx="355">
                  <c:v>40021</c:v>
                </c:pt>
                <c:pt idx="356">
                  <c:v>40022</c:v>
                </c:pt>
                <c:pt idx="357">
                  <c:v>40023</c:v>
                </c:pt>
                <c:pt idx="358">
                  <c:v>40024</c:v>
                </c:pt>
                <c:pt idx="359">
                  <c:v>40025</c:v>
                </c:pt>
                <c:pt idx="360">
                  <c:v>40028</c:v>
                </c:pt>
                <c:pt idx="361">
                  <c:v>40029</c:v>
                </c:pt>
                <c:pt idx="362">
                  <c:v>40030</c:v>
                </c:pt>
                <c:pt idx="363">
                  <c:v>40031</c:v>
                </c:pt>
                <c:pt idx="364">
                  <c:v>40032</c:v>
                </c:pt>
                <c:pt idx="365">
                  <c:v>40035</c:v>
                </c:pt>
                <c:pt idx="366">
                  <c:v>40036</c:v>
                </c:pt>
                <c:pt idx="367">
                  <c:v>40037</c:v>
                </c:pt>
                <c:pt idx="368">
                  <c:v>40038</c:v>
                </c:pt>
                <c:pt idx="369">
                  <c:v>40039</c:v>
                </c:pt>
                <c:pt idx="370">
                  <c:v>40042</c:v>
                </c:pt>
                <c:pt idx="371">
                  <c:v>40043</c:v>
                </c:pt>
                <c:pt idx="372">
                  <c:v>40044</c:v>
                </c:pt>
                <c:pt idx="373">
                  <c:v>40045</c:v>
                </c:pt>
                <c:pt idx="374">
                  <c:v>40046</c:v>
                </c:pt>
                <c:pt idx="375">
                  <c:v>40049</c:v>
                </c:pt>
                <c:pt idx="376">
                  <c:v>40050</c:v>
                </c:pt>
                <c:pt idx="377">
                  <c:v>40051</c:v>
                </c:pt>
                <c:pt idx="378">
                  <c:v>40052</c:v>
                </c:pt>
                <c:pt idx="379">
                  <c:v>40053</c:v>
                </c:pt>
                <c:pt idx="380">
                  <c:v>40056</c:v>
                </c:pt>
                <c:pt idx="381">
                  <c:v>40057</c:v>
                </c:pt>
                <c:pt idx="382">
                  <c:v>40058</c:v>
                </c:pt>
                <c:pt idx="383">
                  <c:v>40059</c:v>
                </c:pt>
                <c:pt idx="384">
                  <c:v>40060</c:v>
                </c:pt>
                <c:pt idx="385">
                  <c:v>40064</c:v>
                </c:pt>
                <c:pt idx="386">
                  <c:v>40065</c:v>
                </c:pt>
                <c:pt idx="387">
                  <c:v>40066</c:v>
                </c:pt>
                <c:pt idx="388">
                  <c:v>40067</c:v>
                </c:pt>
                <c:pt idx="389">
                  <c:v>40070</c:v>
                </c:pt>
                <c:pt idx="390">
                  <c:v>40071</c:v>
                </c:pt>
                <c:pt idx="391">
                  <c:v>40072</c:v>
                </c:pt>
                <c:pt idx="392">
                  <c:v>40073</c:v>
                </c:pt>
                <c:pt idx="393">
                  <c:v>40074</c:v>
                </c:pt>
                <c:pt idx="394">
                  <c:v>40077</c:v>
                </c:pt>
                <c:pt idx="395">
                  <c:v>40078</c:v>
                </c:pt>
                <c:pt idx="396">
                  <c:v>40079</c:v>
                </c:pt>
                <c:pt idx="397">
                  <c:v>40080</c:v>
                </c:pt>
                <c:pt idx="398">
                  <c:v>40081</c:v>
                </c:pt>
                <c:pt idx="399">
                  <c:v>40084</c:v>
                </c:pt>
                <c:pt idx="400">
                  <c:v>40085</c:v>
                </c:pt>
                <c:pt idx="401">
                  <c:v>40086</c:v>
                </c:pt>
                <c:pt idx="402">
                  <c:v>40087</c:v>
                </c:pt>
                <c:pt idx="403">
                  <c:v>40088</c:v>
                </c:pt>
                <c:pt idx="404">
                  <c:v>40091</c:v>
                </c:pt>
                <c:pt idx="405">
                  <c:v>40092</c:v>
                </c:pt>
                <c:pt idx="406">
                  <c:v>40093</c:v>
                </c:pt>
                <c:pt idx="407">
                  <c:v>40094</c:v>
                </c:pt>
                <c:pt idx="408">
                  <c:v>40095</c:v>
                </c:pt>
                <c:pt idx="409">
                  <c:v>40098</c:v>
                </c:pt>
                <c:pt idx="410">
                  <c:v>40099</c:v>
                </c:pt>
                <c:pt idx="411">
                  <c:v>40100</c:v>
                </c:pt>
                <c:pt idx="412">
                  <c:v>40101</c:v>
                </c:pt>
                <c:pt idx="413">
                  <c:v>40102</c:v>
                </c:pt>
                <c:pt idx="414">
                  <c:v>40105</c:v>
                </c:pt>
                <c:pt idx="415">
                  <c:v>40106</c:v>
                </c:pt>
                <c:pt idx="416">
                  <c:v>40107</c:v>
                </c:pt>
                <c:pt idx="417">
                  <c:v>40108</c:v>
                </c:pt>
                <c:pt idx="418">
                  <c:v>40109</c:v>
                </c:pt>
                <c:pt idx="419">
                  <c:v>40112</c:v>
                </c:pt>
                <c:pt idx="420">
                  <c:v>40113</c:v>
                </c:pt>
                <c:pt idx="421">
                  <c:v>40114</c:v>
                </c:pt>
                <c:pt idx="422">
                  <c:v>40115</c:v>
                </c:pt>
                <c:pt idx="423">
                  <c:v>40116</c:v>
                </c:pt>
                <c:pt idx="424">
                  <c:v>40119</c:v>
                </c:pt>
                <c:pt idx="425">
                  <c:v>40120</c:v>
                </c:pt>
                <c:pt idx="426">
                  <c:v>40121</c:v>
                </c:pt>
                <c:pt idx="427">
                  <c:v>40122</c:v>
                </c:pt>
                <c:pt idx="428">
                  <c:v>40123</c:v>
                </c:pt>
                <c:pt idx="429">
                  <c:v>40126</c:v>
                </c:pt>
                <c:pt idx="430">
                  <c:v>40127</c:v>
                </c:pt>
                <c:pt idx="431">
                  <c:v>40128</c:v>
                </c:pt>
                <c:pt idx="432">
                  <c:v>40129</c:v>
                </c:pt>
                <c:pt idx="433">
                  <c:v>40130</c:v>
                </c:pt>
                <c:pt idx="434">
                  <c:v>40133</c:v>
                </c:pt>
                <c:pt idx="435">
                  <c:v>40134</c:v>
                </c:pt>
                <c:pt idx="436">
                  <c:v>40135</c:v>
                </c:pt>
                <c:pt idx="437">
                  <c:v>40136</c:v>
                </c:pt>
                <c:pt idx="438">
                  <c:v>40137</c:v>
                </c:pt>
                <c:pt idx="439">
                  <c:v>40140</c:v>
                </c:pt>
                <c:pt idx="440">
                  <c:v>40141</c:v>
                </c:pt>
                <c:pt idx="441">
                  <c:v>40142</c:v>
                </c:pt>
                <c:pt idx="442">
                  <c:v>40144</c:v>
                </c:pt>
                <c:pt idx="443">
                  <c:v>40147</c:v>
                </c:pt>
                <c:pt idx="444">
                  <c:v>40148</c:v>
                </c:pt>
                <c:pt idx="445">
                  <c:v>40149</c:v>
                </c:pt>
                <c:pt idx="446">
                  <c:v>40150</c:v>
                </c:pt>
                <c:pt idx="447">
                  <c:v>40151</c:v>
                </c:pt>
                <c:pt idx="448">
                  <c:v>40154</c:v>
                </c:pt>
                <c:pt idx="449">
                  <c:v>40155</c:v>
                </c:pt>
                <c:pt idx="450">
                  <c:v>40156</c:v>
                </c:pt>
                <c:pt idx="451">
                  <c:v>40157</c:v>
                </c:pt>
                <c:pt idx="452">
                  <c:v>40158</c:v>
                </c:pt>
                <c:pt idx="453">
                  <c:v>40161</c:v>
                </c:pt>
                <c:pt idx="454">
                  <c:v>40162</c:v>
                </c:pt>
                <c:pt idx="455">
                  <c:v>40163</c:v>
                </c:pt>
                <c:pt idx="456">
                  <c:v>40164</c:v>
                </c:pt>
                <c:pt idx="457">
                  <c:v>40165</c:v>
                </c:pt>
                <c:pt idx="458">
                  <c:v>40168</c:v>
                </c:pt>
                <c:pt idx="459">
                  <c:v>40169</c:v>
                </c:pt>
                <c:pt idx="460">
                  <c:v>40170</c:v>
                </c:pt>
                <c:pt idx="461">
                  <c:v>40171</c:v>
                </c:pt>
                <c:pt idx="462">
                  <c:v>40175</c:v>
                </c:pt>
                <c:pt idx="463">
                  <c:v>40176</c:v>
                </c:pt>
                <c:pt idx="464">
                  <c:v>40177</c:v>
                </c:pt>
                <c:pt idx="465">
                  <c:v>40178</c:v>
                </c:pt>
                <c:pt idx="466">
                  <c:v>40182</c:v>
                </c:pt>
                <c:pt idx="467">
                  <c:v>40183</c:v>
                </c:pt>
                <c:pt idx="468">
                  <c:v>40184</c:v>
                </c:pt>
                <c:pt idx="469">
                  <c:v>40185</c:v>
                </c:pt>
                <c:pt idx="470">
                  <c:v>40186</c:v>
                </c:pt>
                <c:pt idx="471">
                  <c:v>40189</c:v>
                </c:pt>
                <c:pt idx="472">
                  <c:v>40190</c:v>
                </c:pt>
                <c:pt idx="473">
                  <c:v>40191</c:v>
                </c:pt>
                <c:pt idx="474">
                  <c:v>40192</c:v>
                </c:pt>
                <c:pt idx="475">
                  <c:v>40193</c:v>
                </c:pt>
                <c:pt idx="476">
                  <c:v>40197</c:v>
                </c:pt>
                <c:pt idx="477">
                  <c:v>40198</c:v>
                </c:pt>
                <c:pt idx="478">
                  <c:v>40199</c:v>
                </c:pt>
                <c:pt idx="479">
                  <c:v>40200</c:v>
                </c:pt>
                <c:pt idx="480">
                  <c:v>40203</c:v>
                </c:pt>
                <c:pt idx="481">
                  <c:v>40204</c:v>
                </c:pt>
                <c:pt idx="482">
                  <c:v>40205</c:v>
                </c:pt>
                <c:pt idx="483">
                  <c:v>40206</c:v>
                </c:pt>
                <c:pt idx="484">
                  <c:v>40207</c:v>
                </c:pt>
                <c:pt idx="485">
                  <c:v>40210</c:v>
                </c:pt>
                <c:pt idx="486">
                  <c:v>40211</c:v>
                </c:pt>
                <c:pt idx="487">
                  <c:v>40212</c:v>
                </c:pt>
                <c:pt idx="488">
                  <c:v>40213</c:v>
                </c:pt>
                <c:pt idx="489">
                  <c:v>40214</c:v>
                </c:pt>
                <c:pt idx="490">
                  <c:v>40217</c:v>
                </c:pt>
                <c:pt idx="491">
                  <c:v>40218</c:v>
                </c:pt>
                <c:pt idx="492">
                  <c:v>40219</c:v>
                </c:pt>
                <c:pt idx="493">
                  <c:v>40220</c:v>
                </c:pt>
                <c:pt idx="494">
                  <c:v>40221</c:v>
                </c:pt>
                <c:pt idx="495">
                  <c:v>40225</c:v>
                </c:pt>
                <c:pt idx="496">
                  <c:v>40226</c:v>
                </c:pt>
                <c:pt idx="497">
                  <c:v>40227</c:v>
                </c:pt>
                <c:pt idx="498">
                  <c:v>40228</c:v>
                </c:pt>
                <c:pt idx="499">
                  <c:v>40231</c:v>
                </c:pt>
                <c:pt idx="500">
                  <c:v>40232</c:v>
                </c:pt>
                <c:pt idx="501">
                  <c:v>40233</c:v>
                </c:pt>
                <c:pt idx="502">
                  <c:v>40234</c:v>
                </c:pt>
                <c:pt idx="503">
                  <c:v>40235</c:v>
                </c:pt>
                <c:pt idx="504">
                  <c:v>40238</c:v>
                </c:pt>
                <c:pt idx="505">
                  <c:v>40239</c:v>
                </c:pt>
                <c:pt idx="506">
                  <c:v>40240</c:v>
                </c:pt>
                <c:pt idx="507">
                  <c:v>40241</c:v>
                </c:pt>
                <c:pt idx="508">
                  <c:v>40242</c:v>
                </c:pt>
                <c:pt idx="509">
                  <c:v>40245</c:v>
                </c:pt>
                <c:pt idx="510">
                  <c:v>40246</c:v>
                </c:pt>
                <c:pt idx="511">
                  <c:v>40247</c:v>
                </c:pt>
                <c:pt idx="512">
                  <c:v>40248</c:v>
                </c:pt>
                <c:pt idx="513">
                  <c:v>40249</c:v>
                </c:pt>
                <c:pt idx="514">
                  <c:v>40252</c:v>
                </c:pt>
                <c:pt idx="515">
                  <c:v>40253</c:v>
                </c:pt>
                <c:pt idx="516">
                  <c:v>40254</c:v>
                </c:pt>
                <c:pt idx="517">
                  <c:v>40255</c:v>
                </c:pt>
                <c:pt idx="518">
                  <c:v>40256</c:v>
                </c:pt>
                <c:pt idx="519">
                  <c:v>40259</c:v>
                </c:pt>
                <c:pt idx="520">
                  <c:v>40260</c:v>
                </c:pt>
                <c:pt idx="521">
                  <c:v>40261</c:v>
                </c:pt>
                <c:pt idx="522">
                  <c:v>40262</c:v>
                </c:pt>
                <c:pt idx="523">
                  <c:v>40263</c:v>
                </c:pt>
                <c:pt idx="524">
                  <c:v>40266</c:v>
                </c:pt>
                <c:pt idx="525">
                  <c:v>40267</c:v>
                </c:pt>
                <c:pt idx="526">
                  <c:v>40268</c:v>
                </c:pt>
                <c:pt idx="527">
                  <c:v>40269</c:v>
                </c:pt>
                <c:pt idx="528">
                  <c:v>40273</c:v>
                </c:pt>
                <c:pt idx="529">
                  <c:v>40274</c:v>
                </c:pt>
                <c:pt idx="530">
                  <c:v>40275</c:v>
                </c:pt>
                <c:pt idx="531">
                  <c:v>40276</c:v>
                </c:pt>
                <c:pt idx="532">
                  <c:v>40277</c:v>
                </c:pt>
                <c:pt idx="533">
                  <c:v>40280</c:v>
                </c:pt>
                <c:pt idx="534">
                  <c:v>40281</c:v>
                </c:pt>
                <c:pt idx="535">
                  <c:v>40282</c:v>
                </c:pt>
                <c:pt idx="536">
                  <c:v>40283</c:v>
                </c:pt>
                <c:pt idx="537">
                  <c:v>40284</c:v>
                </c:pt>
                <c:pt idx="538">
                  <c:v>40287</c:v>
                </c:pt>
                <c:pt idx="539">
                  <c:v>40288</c:v>
                </c:pt>
                <c:pt idx="540">
                  <c:v>40289</c:v>
                </c:pt>
                <c:pt idx="541">
                  <c:v>40290</c:v>
                </c:pt>
                <c:pt idx="542">
                  <c:v>40291</c:v>
                </c:pt>
                <c:pt idx="543">
                  <c:v>40294</c:v>
                </c:pt>
                <c:pt idx="544">
                  <c:v>40295</c:v>
                </c:pt>
                <c:pt idx="545">
                  <c:v>40296</c:v>
                </c:pt>
                <c:pt idx="546">
                  <c:v>40297</c:v>
                </c:pt>
                <c:pt idx="547">
                  <c:v>40298</c:v>
                </c:pt>
                <c:pt idx="548">
                  <c:v>40301</c:v>
                </c:pt>
                <c:pt idx="549">
                  <c:v>40302</c:v>
                </c:pt>
                <c:pt idx="550">
                  <c:v>40303</c:v>
                </c:pt>
                <c:pt idx="551">
                  <c:v>40304</c:v>
                </c:pt>
                <c:pt idx="552">
                  <c:v>40305</c:v>
                </c:pt>
                <c:pt idx="553">
                  <c:v>40308</c:v>
                </c:pt>
                <c:pt idx="554">
                  <c:v>40309</c:v>
                </c:pt>
                <c:pt idx="555">
                  <c:v>40310</c:v>
                </c:pt>
                <c:pt idx="556">
                  <c:v>40311</c:v>
                </c:pt>
                <c:pt idx="557">
                  <c:v>40312</c:v>
                </c:pt>
                <c:pt idx="558">
                  <c:v>40315</c:v>
                </c:pt>
                <c:pt idx="559">
                  <c:v>40316</c:v>
                </c:pt>
                <c:pt idx="560">
                  <c:v>40317</c:v>
                </c:pt>
                <c:pt idx="561">
                  <c:v>40318</c:v>
                </c:pt>
                <c:pt idx="562">
                  <c:v>40319</c:v>
                </c:pt>
                <c:pt idx="563">
                  <c:v>40322</c:v>
                </c:pt>
                <c:pt idx="564">
                  <c:v>40323</c:v>
                </c:pt>
                <c:pt idx="565">
                  <c:v>40324</c:v>
                </c:pt>
                <c:pt idx="566">
                  <c:v>40325</c:v>
                </c:pt>
                <c:pt idx="567">
                  <c:v>40326</c:v>
                </c:pt>
                <c:pt idx="568">
                  <c:v>40330</c:v>
                </c:pt>
                <c:pt idx="569">
                  <c:v>40331</c:v>
                </c:pt>
                <c:pt idx="570">
                  <c:v>40332</c:v>
                </c:pt>
                <c:pt idx="571">
                  <c:v>40333</c:v>
                </c:pt>
                <c:pt idx="572">
                  <c:v>40336</c:v>
                </c:pt>
                <c:pt idx="573">
                  <c:v>40337</c:v>
                </c:pt>
                <c:pt idx="574">
                  <c:v>40338</c:v>
                </c:pt>
                <c:pt idx="575">
                  <c:v>40339</c:v>
                </c:pt>
                <c:pt idx="576">
                  <c:v>40340</c:v>
                </c:pt>
                <c:pt idx="577">
                  <c:v>40343</c:v>
                </c:pt>
                <c:pt idx="578">
                  <c:v>40344</c:v>
                </c:pt>
                <c:pt idx="579">
                  <c:v>40345</c:v>
                </c:pt>
                <c:pt idx="580">
                  <c:v>40346</c:v>
                </c:pt>
                <c:pt idx="581">
                  <c:v>40347</c:v>
                </c:pt>
                <c:pt idx="582">
                  <c:v>40350</c:v>
                </c:pt>
                <c:pt idx="583">
                  <c:v>40351</c:v>
                </c:pt>
                <c:pt idx="584">
                  <c:v>40352</c:v>
                </c:pt>
                <c:pt idx="585">
                  <c:v>40353</c:v>
                </c:pt>
                <c:pt idx="586">
                  <c:v>40354</c:v>
                </c:pt>
                <c:pt idx="587">
                  <c:v>40357</c:v>
                </c:pt>
                <c:pt idx="588">
                  <c:v>40358</c:v>
                </c:pt>
                <c:pt idx="589">
                  <c:v>40359</c:v>
                </c:pt>
                <c:pt idx="590">
                  <c:v>40360</c:v>
                </c:pt>
                <c:pt idx="591">
                  <c:v>40361</c:v>
                </c:pt>
                <c:pt idx="592">
                  <c:v>40365</c:v>
                </c:pt>
                <c:pt idx="593">
                  <c:v>40366</c:v>
                </c:pt>
                <c:pt idx="594">
                  <c:v>40367</c:v>
                </c:pt>
                <c:pt idx="595">
                  <c:v>40368</c:v>
                </c:pt>
                <c:pt idx="596">
                  <c:v>40371</c:v>
                </c:pt>
                <c:pt idx="597">
                  <c:v>40372</c:v>
                </c:pt>
                <c:pt idx="598">
                  <c:v>40373</c:v>
                </c:pt>
                <c:pt idx="599">
                  <c:v>40374</c:v>
                </c:pt>
                <c:pt idx="600">
                  <c:v>40375</c:v>
                </c:pt>
                <c:pt idx="601">
                  <c:v>40378</c:v>
                </c:pt>
                <c:pt idx="602">
                  <c:v>40379</c:v>
                </c:pt>
                <c:pt idx="603">
                  <c:v>40380</c:v>
                </c:pt>
                <c:pt idx="604">
                  <c:v>40381</c:v>
                </c:pt>
                <c:pt idx="605">
                  <c:v>40382</c:v>
                </c:pt>
                <c:pt idx="606">
                  <c:v>40385</c:v>
                </c:pt>
                <c:pt idx="607">
                  <c:v>40386</c:v>
                </c:pt>
                <c:pt idx="608">
                  <c:v>40387</c:v>
                </c:pt>
                <c:pt idx="609">
                  <c:v>40388</c:v>
                </c:pt>
                <c:pt idx="610">
                  <c:v>40389</c:v>
                </c:pt>
                <c:pt idx="611">
                  <c:v>40392</c:v>
                </c:pt>
                <c:pt idx="612">
                  <c:v>40393</c:v>
                </c:pt>
                <c:pt idx="613">
                  <c:v>40394</c:v>
                </c:pt>
                <c:pt idx="614">
                  <c:v>40395</c:v>
                </c:pt>
                <c:pt idx="615">
                  <c:v>40396</c:v>
                </c:pt>
                <c:pt idx="616">
                  <c:v>40399</c:v>
                </c:pt>
                <c:pt idx="617">
                  <c:v>40400</c:v>
                </c:pt>
                <c:pt idx="618">
                  <c:v>40401</c:v>
                </c:pt>
                <c:pt idx="619">
                  <c:v>40402</c:v>
                </c:pt>
                <c:pt idx="620">
                  <c:v>40403</c:v>
                </c:pt>
                <c:pt idx="621">
                  <c:v>40406</c:v>
                </c:pt>
                <c:pt idx="622">
                  <c:v>40407</c:v>
                </c:pt>
                <c:pt idx="623">
                  <c:v>40408</c:v>
                </c:pt>
                <c:pt idx="624">
                  <c:v>40409</c:v>
                </c:pt>
                <c:pt idx="625">
                  <c:v>40410</c:v>
                </c:pt>
                <c:pt idx="626">
                  <c:v>40413</c:v>
                </c:pt>
                <c:pt idx="627">
                  <c:v>40414</c:v>
                </c:pt>
                <c:pt idx="628">
                  <c:v>40415</c:v>
                </c:pt>
                <c:pt idx="629">
                  <c:v>40416</c:v>
                </c:pt>
                <c:pt idx="630">
                  <c:v>40417</c:v>
                </c:pt>
                <c:pt idx="631">
                  <c:v>40420</c:v>
                </c:pt>
                <c:pt idx="632">
                  <c:v>40421</c:v>
                </c:pt>
                <c:pt idx="633">
                  <c:v>40422</c:v>
                </c:pt>
                <c:pt idx="634">
                  <c:v>40423</c:v>
                </c:pt>
                <c:pt idx="635">
                  <c:v>40424</c:v>
                </c:pt>
                <c:pt idx="636">
                  <c:v>40428</c:v>
                </c:pt>
                <c:pt idx="637">
                  <c:v>40429</c:v>
                </c:pt>
                <c:pt idx="638">
                  <c:v>40430</c:v>
                </c:pt>
                <c:pt idx="639">
                  <c:v>40431</c:v>
                </c:pt>
                <c:pt idx="640">
                  <c:v>40434</c:v>
                </c:pt>
                <c:pt idx="641">
                  <c:v>40435</c:v>
                </c:pt>
                <c:pt idx="642">
                  <c:v>40436</c:v>
                </c:pt>
                <c:pt idx="643">
                  <c:v>40437</c:v>
                </c:pt>
                <c:pt idx="644">
                  <c:v>40438</c:v>
                </c:pt>
                <c:pt idx="645">
                  <c:v>40441</c:v>
                </c:pt>
                <c:pt idx="646">
                  <c:v>40442</c:v>
                </c:pt>
                <c:pt idx="647">
                  <c:v>40443</c:v>
                </c:pt>
                <c:pt idx="648">
                  <c:v>40444</c:v>
                </c:pt>
                <c:pt idx="649">
                  <c:v>40445</c:v>
                </c:pt>
                <c:pt idx="650">
                  <c:v>40448</c:v>
                </c:pt>
                <c:pt idx="651">
                  <c:v>40449</c:v>
                </c:pt>
                <c:pt idx="652">
                  <c:v>40450</c:v>
                </c:pt>
                <c:pt idx="653">
                  <c:v>40451</c:v>
                </c:pt>
                <c:pt idx="654">
                  <c:v>40452</c:v>
                </c:pt>
                <c:pt idx="655">
                  <c:v>40455</c:v>
                </c:pt>
                <c:pt idx="656">
                  <c:v>40456</c:v>
                </c:pt>
                <c:pt idx="657">
                  <c:v>40457</c:v>
                </c:pt>
                <c:pt idx="658">
                  <c:v>40458</c:v>
                </c:pt>
                <c:pt idx="659">
                  <c:v>40459</c:v>
                </c:pt>
                <c:pt idx="660">
                  <c:v>40462</c:v>
                </c:pt>
                <c:pt idx="661">
                  <c:v>40463</c:v>
                </c:pt>
                <c:pt idx="662">
                  <c:v>40464</c:v>
                </c:pt>
                <c:pt idx="663">
                  <c:v>40465</c:v>
                </c:pt>
                <c:pt idx="664">
                  <c:v>40466</c:v>
                </c:pt>
                <c:pt idx="665">
                  <c:v>40469</c:v>
                </c:pt>
                <c:pt idx="666">
                  <c:v>40470</c:v>
                </c:pt>
                <c:pt idx="667">
                  <c:v>40471</c:v>
                </c:pt>
                <c:pt idx="668">
                  <c:v>40472</c:v>
                </c:pt>
                <c:pt idx="669">
                  <c:v>40473</c:v>
                </c:pt>
                <c:pt idx="670">
                  <c:v>40476</c:v>
                </c:pt>
                <c:pt idx="671">
                  <c:v>40477</c:v>
                </c:pt>
                <c:pt idx="672">
                  <c:v>40478</c:v>
                </c:pt>
                <c:pt idx="673">
                  <c:v>40479</c:v>
                </c:pt>
                <c:pt idx="674">
                  <c:v>40480</c:v>
                </c:pt>
                <c:pt idx="675">
                  <c:v>40483</c:v>
                </c:pt>
                <c:pt idx="676">
                  <c:v>40484</c:v>
                </c:pt>
                <c:pt idx="677">
                  <c:v>40485</c:v>
                </c:pt>
                <c:pt idx="678">
                  <c:v>40486</c:v>
                </c:pt>
                <c:pt idx="679">
                  <c:v>40487</c:v>
                </c:pt>
                <c:pt idx="680">
                  <c:v>40490</c:v>
                </c:pt>
                <c:pt idx="681">
                  <c:v>40491</c:v>
                </c:pt>
                <c:pt idx="682">
                  <c:v>40492</c:v>
                </c:pt>
                <c:pt idx="683">
                  <c:v>40493</c:v>
                </c:pt>
                <c:pt idx="684">
                  <c:v>40494</c:v>
                </c:pt>
                <c:pt idx="685">
                  <c:v>40497</c:v>
                </c:pt>
                <c:pt idx="686">
                  <c:v>40498</c:v>
                </c:pt>
                <c:pt idx="687">
                  <c:v>40499</c:v>
                </c:pt>
                <c:pt idx="688">
                  <c:v>40500</c:v>
                </c:pt>
                <c:pt idx="689">
                  <c:v>40501</c:v>
                </c:pt>
                <c:pt idx="690">
                  <c:v>40504</c:v>
                </c:pt>
                <c:pt idx="691">
                  <c:v>40505</c:v>
                </c:pt>
                <c:pt idx="692">
                  <c:v>40506</c:v>
                </c:pt>
                <c:pt idx="693">
                  <c:v>40508</c:v>
                </c:pt>
                <c:pt idx="694">
                  <c:v>40511</c:v>
                </c:pt>
                <c:pt idx="695">
                  <c:v>40512</c:v>
                </c:pt>
                <c:pt idx="696">
                  <c:v>40513</c:v>
                </c:pt>
                <c:pt idx="697">
                  <c:v>40514</c:v>
                </c:pt>
                <c:pt idx="698">
                  <c:v>40515</c:v>
                </c:pt>
                <c:pt idx="699">
                  <c:v>40518</c:v>
                </c:pt>
                <c:pt idx="700">
                  <c:v>40519</c:v>
                </c:pt>
                <c:pt idx="701">
                  <c:v>40520</c:v>
                </c:pt>
                <c:pt idx="702">
                  <c:v>40521</c:v>
                </c:pt>
                <c:pt idx="703">
                  <c:v>40522</c:v>
                </c:pt>
                <c:pt idx="704">
                  <c:v>40525</c:v>
                </c:pt>
                <c:pt idx="705">
                  <c:v>40526</c:v>
                </c:pt>
                <c:pt idx="706">
                  <c:v>40527</c:v>
                </c:pt>
                <c:pt idx="707">
                  <c:v>40528</c:v>
                </c:pt>
                <c:pt idx="708">
                  <c:v>40529</c:v>
                </c:pt>
                <c:pt idx="709">
                  <c:v>40532</c:v>
                </c:pt>
                <c:pt idx="710">
                  <c:v>40533</c:v>
                </c:pt>
                <c:pt idx="711">
                  <c:v>40534</c:v>
                </c:pt>
                <c:pt idx="712">
                  <c:v>40535</c:v>
                </c:pt>
                <c:pt idx="713">
                  <c:v>40539</c:v>
                </c:pt>
                <c:pt idx="714">
                  <c:v>40540</c:v>
                </c:pt>
                <c:pt idx="715">
                  <c:v>40541</c:v>
                </c:pt>
                <c:pt idx="716">
                  <c:v>40542</c:v>
                </c:pt>
                <c:pt idx="717">
                  <c:v>40543</c:v>
                </c:pt>
                <c:pt idx="718">
                  <c:v>40546</c:v>
                </c:pt>
                <c:pt idx="719">
                  <c:v>40547</c:v>
                </c:pt>
                <c:pt idx="720">
                  <c:v>40548</c:v>
                </c:pt>
                <c:pt idx="721">
                  <c:v>40549</c:v>
                </c:pt>
                <c:pt idx="722">
                  <c:v>40550</c:v>
                </c:pt>
                <c:pt idx="723">
                  <c:v>40553</c:v>
                </c:pt>
                <c:pt idx="724">
                  <c:v>40554</c:v>
                </c:pt>
                <c:pt idx="725">
                  <c:v>40555</c:v>
                </c:pt>
                <c:pt idx="726">
                  <c:v>40556</c:v>
                </c:pt>
                <c:pt idx="727">
                  <c:v>40557</c:v>
                </c:pt>
                <c:pt idx="728">
                  <c:v>40561</c:v>
                </c:pt>
                <c:pt idx="729">
                  <c:v>40562</c:v>
                </c:pt>
                <c:pt idx="730">
                  <c:v>40563</c:v>
                </c:pt>
                <c:pt idx="731">
                  <c:v>40564</c:v>
                </c:pt>
                <c:pt idx="732">
                  <c:v>40567</c:v>
                </c:pt>
                <c:pt idx="733">
                  <c:v>40568</c:v>
                </c:pt>
                <c:pt idx="734">
                  <c:v>40569</c:v>
                </c:pt>
                <c:pt idx="735">
                  <c:v>40570</c:v>
                </c:pt>
                <c:pt idx="736">
                  <c:v>40571</c:v>
                </c:pt>
                <c:pt idx="737">
                  <c:v>40574</c:v>
                </c:pt>
                <c:pt idx="738">
                  <c:v>40575</c:v>
                </c:pt>
                <c:pt idx="739">
                  <c:v>40576</c:v>
                </c:pt>
                <c:pt idx="740">
                  <c:v>40577</c:v>
                </c:pt>
                <c:pt idx="741">
                  <c:v>40578</c:v>
                </c:pt>
                <c:pt idx="742">
                  <c:v>40581</c:v>
                </c:pt>
                <c:pt idx="743">
                  <c:v>40582</c:v>
                </c:pt>
                <c:pt idx="744">
                  <c:v>40583</c:v>
                </c:pt>
                <c:pt idx="745">
                  <c:v>40584</c:v>
                </c:pt>
                <c:pt idx="746">
                  <c:v>40585</c:v>
                </c:pt>
                <c:pt idx="747">
                  <c:v>40588</c:v>
                </c:pt>
                <c:pt idx="748">
                  <c:v>40589</c:v>
                </c:pt>
                <c:pt idx="749">
                  <c:v>40590</c:v>
                </c:pt>
                <c:pt idx="750">
                  <c:v>40591</c:v>
                </c:pt>
                <c:pt idx="751">
                  <c:v>40592</c:v>
                </c:pt>
                <c:pt idx="752">
                  <c:v>40596</c:v>
                </c:pt>
                <c:pt idx="753">
                  <c:v>40597</c:v>
                </c:pt>
                <c:pt idx="754">
                  <c:v>40598</c:v>
                </c:pt>
                <c:pt idx="755">
                  <c:v>40599</c:v>
                </c:pt>
                <c:pt idx="756">
                  <c:v>40602</c:v>
                </c:pt>
                <c:pt idx="757">
                  <c:v>40603</c:v>
                </c:pt>
                <c:pt idx="758">
                  <c:v>40604</c:v>
                </c:pt>
                <c:pt idx="759">
                  <c:v>40605</c:v>
                </c:pt>
                <c:pt idx="760">
                  <c:v>40606</c:v>
                </c:pt>
                <c:pt idx="761">
                  <c:v>40609</c:v>
                </c:pt>
                <c:pt idx="762">
                  <c:v>40610</c:v>
                </c:pt>
                <c:pt idx="763">
                  <c:v>40611</c:v>
                </c:pt>
                <c:pt idx="764">
                  <c:v>40612</c:v>
                </c:pt>
                <c:pt idx="765">
                  <c:v>40613</c:v>
                </c:pt>
                <c:pt idx="766">
                  <c:v>40616</c:v>
                </c:pt>
                <c:pt idx="767">
                  <c:v>40617</c:v>
                </c:pt>
                <c:pt idx="768">
                  <c:v>40618</c:v>
                </c:pt>
                <c:pt idx="769">
                  <c:v>40619</c:v>
                </c:pt>
                <c:pt idx="770">
                  <c:v>40620</c:v>
                </c:pt>
                <c:pt idx="771">
                  <c:v>40623</c:v>
                </c:pt>
                <c:pt idx="772">
                  <c:v>40624</c:v>
                </c:pt>
                <c:pt idx="773">
                  <c:v>40625</c:v>
                </c:pt>
                <c:pt idx="774">
                  <c:v>40626</c:v>
                </c:pt>
                <c:pt idx="775">
                  <c:v>40627</c:v>
                </c:pt>
                <c:pt idx="776">
                  <c:v>40630</c:v>
                </c:pt>
                <c:pt idx="777">
                  <c:v>40631</c:v>
                </c:pt>
                <c:pt idx="778">
                  <c:v>40632</c:v>
                </c:pt>
                <c:pt idx="779">
                  <c:v>40633</c:v>
                </c:pt>
                <c:pt idx="780">
                  <c:v>40634</c:v>
                </c:pt>
                <c:pt idx="781">
                  <c:v>40637</c:v>
                </c:pt>
                <c:pt idx="782">
                  <c:v>40638</c:v>
                </c:pt>
                <c:pt idx="783">
                  <c:v>40639</c:v>
                </c:pt>
                <c:pt idx="784">
                  <c:v>40640</c:v>
                </c:pt>
                <c:pt idx="785">
                  <c:v>40641</c:v>
                </c:pt>
                <c:pt idx="786">
                  <c:v>40644</c:v>
                </c:pt>
                <c:pt idx="787">
                  <c:v>40645</c:v>
                </c:pt>
                <c:pt idx="788">
                  <c:v>40646</c:v>
                </c:pt>
                <c:pt idx="789">
                  <c:v>40647</c:v>
                </c:pt>
                <c:pt idx="790">
                  <c:v>40648</c:v>
                </c:pt>
                <c:pt idx="791">
                  <c:v>40651</c:v>
                </c:pt>
                <c:pt idx="792">
                  <c:v>40652</c:v>
                </c:pt>
                <c:pt idx="793">
                  <c:v>40653</c:v>
                </c:pt>
                <c:pt idx="794">
                  <c:v>40654</c:v>
                </c:pt>
                <c:pt idx="795">
                  <c:v>40658</c:v>
                </c:pt>
                <c:pt idx="796">
                  <c:v>40659</c:v>
                </c:pt>
                <c:pt idx="797">
                  <c:v>40660</c:v>
                </c:pt>
                <c:pt idx="798">
                  <c:v>40661</c:v>
                </c:pt>
                <c:pt idx="799">
                  <c:v>40662</c:v>
                </c:pt>
                <c:pt idx="800">
                  <c:v>40665</c:v>
                </c:pt>
                <c:pt idx="801">
                  <c:v>40666</c:v>
                </c:pt>
                <c:pt idx="802">
                  <c:v>40667</c:v>
                </c:pt>
                <c:pt idx="803">
                  <c:v>40668</c:v>
                </c:pt>
                <c:pt idx="804">
                  <c:v>40669</c:v>
                </c:pt>
                <c:pt idx="805">
                  <c:v>40672</c:v>
                </c:pt>
                <c:pt idx="806">
                  <c:v>40673</c:v>
                </c:pt>
                <c:pt idx="807">
                  <c:v>40674</c:v>
                </c:pt>
                <c:pt idx="808">
                  <c:v>40675</c:v>
                </c:pt>
                <c:pt idx="809">
                  <c:v>40676</c:v>
                </c:pt>
                <c:pt idx="810">
                  <c:v>40679</c:v>
                </c:pt>
                <c:pt idx="811">
                  <c:v>40680</c:v>
                </c:pt>
                <c:pt idx="812">
                  <c:v>40681</c:v>
                </c:pt>
                <c:pt idx="813">
                  <c:v>40682</c:v>
                </c:pt>
                <c:pt idx="814">
                  <c:v>40683</c:v>
                </c:pt>
                <c:pt idx="815">
                  <c:v>40686</c:v>
                </c:pt>
                <c:pt idx="816">
                  <c:v>40687</c:v>
                </c:pt>
                <c:pt idx="817">
                  <c:v>40688</c:v>
                </c:pt>
                <c:pt idx="818">
                  <c:v>40689</c:v>
                </c:pt>
                <c:pt idx="819">
                  <c:v>40690</c:v>
                </c:pt>
                <c:pt idx="820">
                  <c:v>40694</c:v>
                </c:pt>
                <c:pt idx="821">
                  <c:v>40695</c:v>
                </c:pt>
                <c:pt idx="822">
                  <c:v>40696</c:v>
                </c:pt>
                <c:pt idx="823">
                  <c:v>40697</c:v>
                </c:pt>
                <c:pt idx="824">
                  <c:v>40700</c:v>
                </c:pt>
                <c:pt idx="825">
                  <c:v>40701</c:v>
                </c:pt>
                <c:pt idx="826">
                  <c:v>40702</c:v>
                </c:pt>
                <c:pt idx="827">
                  <c:v>40703</c:v>
                </c:pt>
                <c:pt idx="828">
                  <c:v>40704</c:v>
                </c:pt>
                <c:pt idx="829">
                  <c:v>40707</c:v>
                </c:pt>
                <c:pt idx="830">
                  <c:v>40708</c:v>
                </c:pt>
                <c:pt idx="831">
                  <c:v>40709</c:v>
                </c:pt>
                <c:pt idx="832">
                  <c:v>40710</c:v>
                </c:pt>
                <c:pt idx="833">
                  <c:v>40711</c:v>
                </c:pt>
                <c:pt idx="834">
                  <c:v>40714</c:v>
                </c:pt>
                <c:pt idx="835">
                  <c:v>40715</c:v>
                </c:pt>
                <c:pt idx="836">
                  <c:v>40716</c:v>
                </c:pt>
                <c:pt idx="837">
                  <c:v>40717</c:v>
                </c:pt>
                <c:pt idx="838">
                  <c:v>40718</c:v>
                </c:pt>
                <c:pt idx="839">
                  <c:v>40721</c:v>
                </c:pt>
                <c:pt idx="840">
                  <c:v>40722</c:v>
                </c:pt>
                <c:pt idx="841">
                  <c:v>40723</c:v>
                </c:pt>
                <c:pt idx="842">
                  <c:v>40724</c:v>
                </c:pt>
                <c:pt idx="843">
                  <c:v>40725</c:v>
                </c:pt>
                <c:pt idx="844">
                  <c:v>40729</c:v>
                </c:pt>
                <c:pt idx="845">
                  <c:v>40730</c:v>
                </c:pt>
                <c:pt idx="846">
                  <c:v>40731</c:v>
                </c:pt>
                <c:pt idx="847">
                  <c:v>40732</c:v>
                </c:pt>
                <c:pt idx="848">
                  <c:v>40735</c:v>
                </c:pt>
                <c:pt idx="849">
                  <c:v>40736</c:v>
                </c:pt>
                <c:pt idx="850">
                  <c:v>40737</c:v>
                </c:pt>
                <c:pt idx="851">
                  <c:v>40738</c:v>
                </c:pt>
                <c:pt idx="852">
                  <c:v>40739</c:v>
                </c:pt>
                <c:pt idx="853">
                  <c:v>40742</c:v>
                </c:pt>
                <c:pt idx="854">
                  <c:v>40743</c:v>
                </c:pt>
                <c:pt idx="855">
                  <c:v>40744</c:v>
                </c:pt>
                <c:pt idx="856">
                  <c:v>40745</c:v>
                </c:pt>
                <c:pt idx="857">
                  <c:v>40746</c:v>
                </c:pt>
                <c:pt idx="858">
                  <c:v>40749</c:v>
                </c:pt>
                <c:pt idx="859">
                  <c:v>40750</c:v>
                </c:pt>
                <c:pt idx="860">
                  <c:v>40751</c:v>
                </c:pt>
                <c:pt idx="861">
                  <c:v>40752</c:v>
                </c:pt>
                <c:pt idx="862">
                  <c:v>40753</c:v>
                </c:pt>
                <c:pt idx="863">
                  <c:v>40756</c:v>
                </c:pt>
                <c:pt idx="864">
                  <c:v>40757</c:v>
                </c:pt>
                <c:pt idx="865">
                  <c:v>40758</c:v>
                </c:pt>
                <c:pt idx="866">
                  <c:v>40759</c:v>
                </c:pt>
                <c:pt idx="867">
                  <c:v>40760</c:v>
                </c:pt>
                <c:pt idx="868">
                  <c:v>40763</c:v>
                </c:pt>
                <c:pt idx="869">
                  <c:v>40764</c:v>
                </c:pt>
                <c:pt idx="870">
                  <c:v>40765</c:v>
                </c:pt>
                <c:pt idx="871">
                  <c:v>40766</c:v>
                </c:pt>
                <c:pt idx="872">
                  <c:v>40767</c:v>
                </c:pt>
                <c:pt idx="873">
                  <c:v>40770</c:v>
                </c:pt>
                <c:pt idx="874">
                  <c:v>40771</c:v>
                </c:pt>
                <c:pt idx="875">
                  <c:v>40772</c:v>
                </c:pt>
                <c:pt idx="876">
                  <c:v>40773</c:v>
                </c:pt>
                <c:pt idx="877">
                  <c:v>40774</c:v>
                </c:pt>
                <c:pt idx="878">
                  <c:v>40777</c:v>
                </c:pt>
                <c:pt idx="879">
                  <c:v>40778</c:v>
                </c:pt>
                <c:pt idx="880">
                  <c:v>40779</c:v>
                </c:pt>
                <c:pt idx="881">
                  <c:v>40780</c:v>
                </c:pt>
                <c:pt idx="882">
                  <c:v>40781</c:v>
                </c:pt>
                <c:pt idx="883">
                  <c:v>40784</c:v>
                </c:pt>
                <c:pt idx="884">
                  <c:v>40785</c:v>
                </c:pt>
                <c:pt idx="885">
                  <c:v>40786</c:v>
                </c:pt>
                <c:pt idx="886">
                  <c:v>40787</c:v>
                </c:pt>
                <c:pt idx="887">
                  <c:v>40788</c:v>
                </c:pt>
                <c:pt idx="888">
                  <c:v>40792</c:v>
                </c:pt>
                <c:pt idx="889">
                  <c:v>40793</c:v>
                </c:pt>
                <c:pt idx="890">
                  <c:v>40794</c:v>
                </c:pt>
                <c:pt idx="891">
                  <c:v>40795</c:v>
                </c:pt>
                <c:pt idx="892">
                  <c:v>40798</c:v>
                </c:pt>
                <c:pt idx="893">
                  <c:v>40799</c:v>
                </c:pt>
                <c:pt idx="894">
                  <c:v>40800</c:v>
                </c:pt>
                <c:pt idx="895">
                  <c:v>40801</c:v>
                </c:pt>
                <c:pt idx="896">
                  <c:v>40802</c:v>
                </c:pt>
                <c:pt idx="897">
                  <c:v>40805</c:v>
                </c:pt>
                <c:pt idx="898">
                  <c:v>40806</c:v>
                </c:pt>
                <c:pt idx="899">
                  <c:v>40807</c:v>
                </c:pt>
                <c:pt idx="900">
                  <c:v>40808</c:v>
                </c:pt>
                <c:pt idx="901">
                  <c:v>40809</c:v>
                </c:pt>
                <c:pt idx="902">
                  <c:v>40812</c:v>
                </c:pt>
                <c:pt idx="903">
                  <c:v>40813</c:v>
                </c:pt>
                <c:pt idx="904">
                  <c:v>40814</c:v>
                </c:pt>
                <c:pt idx="905">
                  <c:v>40815</c:v>
                </c:pt>
                <c:pt idx="906">
                  <c:v>40816</c:v>
                </c:pt>
                <c:pt idx="907">
                  <c:v>40819</c:v>
                </c:pt>
                <c:pt idx="908">
                  <c:v>40820</c:v>
                </c:pt>
                <c:pt idx="909">
                  <c:v>40821</c:v>
                </c:pt>
                <c:pt idx="910">
                  <c:v>40822</c:v>
                </c:pt>
                <c:pt idx="911">
                  <c:v>40823</c:v>
                </c:pt>
                <c:pt idx="912">
                  <c:v>40826</c:v>
                </c:pt>
                <c:pt idx="913">
                  <c:v>40827</c:v>
                </c:pt>
                <c:pt idx="914">
                  <c:v>40828</c:v>
                </c:pt>
                <c:pt idx="915">
                  <c:v>40829</c:v>
                </c:pt>
                <c:pt idx="916">
                  <c:v>40830</c:v>
                </c:pt>
                <c:pt idx="917">
                  <c:v>40833</c:v>
                </c:pt>
                <c:pt idx="918">
                  <c:v>40834</c:v>
                </c:pt>
                <c:pt idx="919">
                  <c:v>40835</c:v>
                </c:pt>
                <c:pt idx="920">
                  <c:v>40836</c:v>
                </c:pt>
                <c:pt idx="921">
                  <c:v>40837</c:v>
                </c:pt>
                <c:pt idx="922">
                  <c:v>40840</c:v>
                </c:pt>
                <c:pt idx="923">
                  <c:v>40841</c:v>
                </c:pt>
                <c:pt idx="924">
                  <c:v>40842</c:v>
                </c:pt>
                <c:pt idx="925">
                  <c:v>40843</c:v>
                </c:pt>
                <c:pt idx="926">
                  <c:v>40844</c:v>
                </c:pt>
                <c:pt idx="927">
                  <c:v>40847</c:v>
                </c:pt>
                <c:pt idx="928">
                  <c:v>40848</c:v>
                </c:pt>
                <c:pt idx="929">
                  <c:v>40849</c:v>
                </c:pt>
                <c:pt idx="930">
                  <c:v>40850</c:v>
                </c:pt>
                <c:pt idx="931">
                  <c:v>40851</c:v>
                </c:pt>
                <c:pt idx="932">
                  <c:v>40854</c:v>
                </c:pt>
                <c:pt idx="933">
                  <c:v>40855</c:v>
                </c:pt>
                <c:pt idx="934">
                  <c:v>40856</c:v>
                </c:pt>
                <c:pt idx="935">
                  <c:v>40857</c:v>
                </c:pt>
                <c:pt idx="936">
                  <c:v>40858</c:v>
                </c:pt>
                <c:pt idx="937">
                  <c:v>40861</c:v>
                </c:pt>
                <c:pt idx="938">
                  <c:v>40862</c:v>
                </c:pt>
                <c:pt idx="939">
                  <c:v>40863</c:v>
                </c:pt>
                <c:pt idx="940">
                  <c:v>40864</c:v>
                </c:pt>
                <c:pt idx="941">
                  <c:v>40865</c:v>
                </c:pt>
                <c:pt idx="942">
                  <c:v>40868</c:v>
                </c:pt>
                <c:pt idx="943">
                  <c:v>40869</c:v>
                </c:pt>
                <c:pt idx="944">
                  <c:v>40870</c:v>
                </c:pt>
                <c:pt idx="945">
                  <c:v>40872</c:v>
                </c:pt>
                <c:pt idx="946">
                  <c:v>40875</c:v>
                </c:pt>
                <c:pt idx="947">
                  <c:v>40876</c:v>
                </c:pt>
                <c:pt idx="948">
                  <c:v>40877</c:v>
                </c:pt>
                <c:pt idx="949">
                  <c:v>40878</c:v>
                </c:pt>
                <c:pt idx="950">
                  <c:v>40879</c:v>
                </c:pt>
                <c:pt idx="951">
                  <c:v>40882</c:v>
                </c:pt>
                <c:pt idx="952">
                  <c:v>40883</c:v>
                </c:pt>
                <c:pt idx="953">
                  <c:v>40884</c:v>
                </c:pt>
                <c:pt idx="954">
                  <c:v>40885</c:v>
                </c:pt>
                <c:pt idx="955">
                  <c:v>40886</c:v>
                </c:pt>
                <c:pt idx="956">
                  <c:v>40889</c:v>
                </c:pt>
                <c:pt idx="957">
                  <c:v>40890</c:v>
                </c:pt>
                <c:pt idx="958">
                  <c:v>40891</c:v>
                </c:pt>
                <c:pt idx="959">
                  <c:v>40892</c:v>
                </c:pt>
                <c:pt idx="960">
                  <c:v>40893</c:v>
                </c:pt>
                <c:pt idx="961">
                  <c:v>40896</c:v>
                </c:pt>
                <c:pt idx="962">
                  <c:v>40897</c:v>
                </c:pt>
                <c:pt idx="963">
                  <c:v>40898</c:v>
                </c:pt>
                <c:pt idx="964">
                  <c:v>40899</c:v>
                </c:pt>
                <c:pt idx="965">
                  <c:v>40900</c:v>
                </c:pt>
                <c:pt idx="966">
                  <c:v>40904</c:v>
                </c:pt>
                <c:pt idx="967">
                  <c:v>40905</c:v>
                </c:pt>
                <c:pt idx="968">
                  <c:v>40906</c:v>
                </c:pt>
                <c:pt idx="969">
                  <c:v>40907</c:v>
                </c:pt>
                <c:pt idx="970">
                  <c:v>40911</c:v>
                </c:pt>
                <c:pt idx="971">
                  <c:v>40912</c:v>
                </c:pt>
                <c:pt idx="972">
                  <c:v>40913</c:v>
                </c:pt>
                <c:pt idx="973">
                  <c:v>40914</c:v>
                </c:pt>
                <c:pt idx="974">
                  <c:v>40917</c:v>
                </c:pt>
                <c:pt idx="975">
                  <c:v>40918</c:v>
                </c:pt>
                <c:pt idx="976">
                  <c:v>40919</c:v>
                </c:pt>
                <c:pt idx="977">
                  <c:v>40920</c:v>
                </c:pt>
                <c:pt idx="978">
                  <c:v>40921</c:v>
                </c:pt>
                <c:pt idx="979">
                  <c:v>40925</c:v>
                </c:pt>
                <c:pt idx="980">
                  <c:v>40926</c:v>
                </c:pt>
                <c:pt idx="981">
                  <c:v>40927</c:v>
                </c:pt>
                <c:pt idx="982">
                  <c:v>40928</c:v>
                </c:pt>
                <c:pt idx="983">
                  <c:v>40931</c:v>
                </c:pt>
                <c:pt idx="984">
                  <c:v>40932</c:v>
                </c:pt>
                <c:pt idx="985">
                  <c:v>40933</c:v>
                </c:pt>
                <c:pt idx="986">
                  <c:v>40934</c:v>
                </c:pt>
                <c:pt idx="987">
                  <c:v>40935</c:v>
                </c:pt>
                <c:pt idx="988">
                  <c:v>40938</c:v>
                </c:pt>
                <c:pt idx="989">
                  <c:v>40939</c:v>
                </c:pt>
                <c:pt idx="990">
                  <c:v>40940</c:v>
                </c:pt>
                <c:pt idx="991">
                  <c:v>40941</c:v>
                </c:pt>
                <c:pt idx="992">
                  <c:v>40942</c:v>
                </c:pt>
                <c:pt idx="993">
                  <c:v>40945</c:v>
                </c:pt>
                <c:pt idx="994">
                  <c:v>40946</c:v>
                </c:pt>
                <c:pt idx="995">
                  <c:v>40947</c:v>
                </c:pt>
                <c:pt idx="996">
                  <c:v>40948</c:v>
                </c:pt>
                <c:pt idx="997">
                  <c:v>40949</c:v>
                </c:pt>
                <c:pt idx="998">
                  <c:v>40952</c:v>
                </c:pt>
                <c:pt idx="999">
                  <c:v>40953</c:v>
                </c:pt>
                <c:pt idx="1000">
                  <c:v>40954</c:v>
                </c:pt>
                <c:pt idx="1001">
                  <c:v>40955</c:v>
                </c:pt>
                <c:pt idx="1002">
                  <c:v>40956</c:v>
                </c:pt>
                <c:pt idx="1003">
                  <c:v>40960</c:v>
                </c:pt>
                <c:pt idx="1004">
                  <c:v>40961</c:v>
                </c:pt>
                <c:pt idx="1005">
                  <c:v>40962</c:v>
                </c:pt>
                <c:pt idx="1006">
                  <c:v>40963</c:v>
                </c:pt>
                <c:pt idx="1007">
                  <c:v>40966</c:v>
                </c:pt>
                <c:pt idx="1008">
                  <c:v>40967</c:v>
                </c:pt>
                <c:pt idx="1009">
                  <c:v>40968</c:v>
                </c:pt>
                <c:pt idx="1010">
                  <c:v>40969</c:v>
                </c:pt>
                <c:pt idx="1011">
                  <c:v>40970</c:v>
                </c:pt>
                <c:pt idx="1012">
                  <c:v>40973</c:v>
                </c:pt>
                <c:pt idx="1013">
                  <c:v>40974</c:v>
                </c:pt>
                <c:pt idx="1014">
                  <c:v>40975</c:v>
                </c:pt>
                <c:pt idx="1015">
                  <c:v>40976</c:v>
                </c:pt>
                <c:pt idx="1016">
                  <c:v>40977</c:v>
                </c:pt>
                <c:pt idx="1017">
                  <c:v>40980</c:v>
                </c:pt>
                <c:pt idx="1018">
                  <c:v>40981</c:v>
                </c:pt>
                <c:pt idx="1019">
                  <c:v>40982</c:v>
                </c:pt>
                <c:pt idx="1020">
                  <c:v>40983</c:v>
                </c:pt>
                <c:pt idx="1021">
                  <c:v>40984</c:v>
                </c:pt>
                <c:pt idx="1022">
                  <c:v>40987</c:v>
                </c:pt>
                <c:pt idx="1023">
                  <c:v>40988</c:v>
                </c:pt>
                <c:pt idx="1024">
                  <c:v>40989</c:v>
                </c:pt>
                <c:pt idx="1025">
                  <c:v>40990</c:v>
                </c:pt>
                <c:pt idx="1026">
                  <c:v>40991</c:v>
                </c:pt>
                <c:pt idx="1027">
                  <c:v>40994</c:v>
                </c:pt>
                <c:pt idx="1028">
                  <c:v>40995</c:v>
                </c:pt>
                <c:pt idx="1029">
                  <c:v>40996</c:v>
                </c:pt>
                <c:pt idx="1030">
                  <c:v>40997</c:v>
                </c:pt>
                <c:pt idx="1031">
                  <c:v>40998</c:v>
                </c:pt>
                <c:pt idx="1032">
                  <c:v>41001</c:v>
                </c:pt>
                <c:pt idx="1033">
                  <c:v>41002</c:v>
                </c:pt>
                <c:pt idx="1034">
                  <c:v>41003</c:v>
                </c:pt>
                <c:pt idx="1035">
                  <c:v>41004</c:v>
                </c:pt>
                <c:pt idx="1036">
                  <c:v>41008</c:v>
                </c:pt>
                <c:pt idx="1037">
                  <c:v>41009</c:v>
                </c:pt>
                <c:pt idx="1038">
                  <c:v>41010</c:v>
                </c:pt>
                <c:pt idx="1039">
                  <c:v>41011</c:v>
                </c:pt>
                <c:pt idx="1040">
                  <c:v>41012</c:v>
                </c:pt>
                <c:pt idx="1041">
                  <c:v>41015</c:v>
                </c:pt>
                <c:pt idx="1042">
                  <c:v>41016</c:v>
                </c:pt>
                <c:pt idx="1043">
                  <c:v>41017</c:v>
                </c:pt>
                <c:pt idx="1044">
                  <c:v>41018</c:v>
                </c:pt>
                <c:pt idx="1045">
                  <c:v>41019</c:v>
                </c:pt>
                <c:pt idx="1046">
                  <c:v>41022</c:v>
                </c:pt>
                <c:pt idx="1047">
                  <c:v>41023</c:v>
                </c:pt>
                <c:pt idx="1048">
                  <c:v>41024</c:v>
                </c:pt>
                <c:pt idx="1049">
                  <c:v>41025</c:v>
                </c:pt>
                <c:pt idx="1050">
                  <c:v>41026</c:v>
                </c:pt>
                <c:pt idx="1051">
                  <c:v>41029</c:v>
                </c:pt>
                <c:pt idx="1052">
                  <c:v>41030</c:v>
                </c:pt>
                <c:pt idx="1053">
                  <c:v>41031</c:v>
                </c:pt>
                <c:pt idx="1054">
                  <c:v>41032</c:v>
                </c:pt>
                <c:pt idx="1055">
                  <c:v>41033</c:v>
                </c:pt>
                <c:pt idx="1056">
                  <c:v>41036</c:v>
                </c:pt>
                <c:pt idx="1057">
                  <c:v>41037</c:v>
                </c:pt>
                <c:pt idx="1058">
                  <c:v>41038</c:v>
                </c:pt>
                <c:pt idx="1059">
                  <c:v>41039</c:v>
                </c:pt>
                <c:pt idx="1060">
                  <c:v>41040</c:v>
                </c:pt>
                <c:pt idx="1061">
                  <c:v>41043</c:v>
                </c:pt>
                <c:pt idx="1062">
                  <c:v>41044</c:v>
                </c:pt>
                <c:pt idx="1063">
                  <c:v>41045</c:v>
                </c:pt>
                <c:pt idx="1064">
                  <c:v>41046</c:v>
                </c:pt>
                <c:pt idx="1065">
                  <c:v>41047</c:v>
                </c:pt>
                <c:pt idx="1066">
                  <c:v>41050</c:v>
                </c:pt>
                <c:pt idx="1067">
                  <c:v>41051</c:v>
                </c:pt>
                <c:pt idx="1068">
                  <c:v>41052</c:v>
                </c:pt>
                <c:pt idx="1069">
                  <c:v>41053</c:v>
                </c:pt>
                <c:pt idx="1070">
                  <c:v>41054</c:v>
                </c:pt>
                <c:pt idx="1071">
                  <c:v>41058</c:v>
                </c:pt>
                <c:pt idx="1072">
                  <c:v>41059</c:v>
                </c:pt>
                <c:pt idx="1073">
                  <c:v>41060</c:v>
                </c:pt>
                <c:pt idx="1074">
                  <c:v>41061</c:v>
                </c:pt>
                <c:pt idx="1075">
                  <c:v>41064</c:v>
                </c:pt>
                <c:pt idx="1076">
                  <c:v>41065</c:v>
                </c:pt>
                <c:pt idx="1077">
                  <c:v>41066</c:v>
                </c:pt>
                <c:pt idx="1078">
                  <c:v>41067</c:v>
                </c:pt>
                <c:pt idx="1079">
                  <c:v>41068</c:v>
                </c:pt>
                <c:pt idx="1080">
                  <c:v>41071</c:v>
                </c:pt>
                <c:pt idx="1081">
                  <c:v>41072</c:v>
                </c:pt>
                <c:pt idx="1082">
                  <c:v>41073</c:v>
                </c:pt>
                <c:pt idx="1083">
                  <c:v>41074</c:v>
                </c:pt>
                <c:pt idx="1084">
                  <c:v>41075</c:v>
                </c:pt>
                <c:pt idx="1085">
                  <c:v>41078</c:v>
                </c:pt>
                <c:pt idx="1086">
                  <c:v>41079</c:v>
                </c:pt>
                <c:pt idx="1087">
                  <c:v>41080</c:v>
                </c:pt>
                <c:pt idx="1088">
                  <c:v>41081</c:v>
                </c:pt>
                <c:pt idx="1089">
                  <c:v>41082</c:v>
                </c:pt>
                <c:pt idx="1090">
                  <c:v>41085</c:v>
                </c:pt>
                <c:pt idx="1091">
                  <c:v>41086</c:v>
                </c:pt>
                <c:pt idx="1092">
                  <c:v>41087</c:v>
                </c:pt>
                <c:pt idx="1093">
                  <c:v>41088</c:v>
                </c:pt>
                <c:pt idx="1094">
                  <c:v>41089</c:v>
                </c:pt>
                <c:pt idx="1095">
                  <c:v>41092</c:v>
                </c:pt>
                <c:pt idx="1096">
                  <c:v>41093</c:v>
                </c:pt>
                <c:pt idx="1097">
                  <c:v>41095</c:v>
                </c:pt>
                <c:pt idx="1098">
                  <c:v>41096</c:v>
                </c:pt>
                <c:pt idx="1099">
                  <c:v>41099</c:v>
                </c:pt>
                <c:pt idx="1100">
                  <c:v>41100</c:v>
                </c:pt>
                <c:pt idx="1101">
                  <c:v>41101</c:v>
                </c:pt>
                <c:pt idx="1102">
                  <c:v>41102</c:v>
                </c:pt>
                <c:pt idx="1103">
                  <c:v>41103</c:v>
                </c:pt>
                <c:pt idx="1104">
                  <c:v>41106</c:v>
                </c:pt>
                <c:pt idx="1105">
                  <c:v>41107</c:v>
                </c:pt>
                <c:pt idx="1106">
                  <c:v>41108</c:v>
                </c:pt>
                <c:pt idx="1107">
                  <c:v>41109</c:v>
                </c:pt>
                <c:pt idx="1108">
                  <c:v>41110</c:v>
                </c:pt>
                <c:pt idx="1109">
                  <c:v>41113</c:v>
                </c:pt>
                <c:pt idx="1110">
                  <c:v>41114</c:v>
                </c:pt>
                <c:pt idx="1111">
                  <c:v>41115</c:v>
                </c:pt>
                <c:pt idx="1112">
                  <c:v>41116</c:v>
                </c:pt>
                <c:pt idx="1113">
                  <c:v>41117</c:v>
                </c:pt>
                <c:pt idx="1114">
                  <c:v>41120</c:v>
                </c:pt>
                <c:pt idx="1115">
                  <c:v>41121</c:v>
                </c:pt>
                <c:pt idx="1116">
                  <c:v>41122</c:v>
                </c:pt>
                <c:pt idx="1117">
                  <c:v>41123</c:v>
                </c:pt>
                <c:pt idx="1118">
                  <c:v>41124</c:v>
                </c:pt>
                <c:pt idx="1119">
                  <c:v>41127</c:v>
                </c:pt>
                <c:pt idx="1120">
                  <c:v>41128</c:v>
                </c:pt>
                <c:pt idx="1121">
                  <c:v>41129</c:v>
                </c:pt>
                <c:pt idx="1122">
                  <c:v>41130</c:v>
                </c:pt>
                <c:pt idx="1123">
                  <c:v>41131</c:v>
                </c:pt>
                <c:pt idx="1124">
                  <c:v>41134</c:v>
                </c:pt>
                <c:pt idx="1125">
                  <c:v>41135</c:v>
                </c:pt>
                <c:pt idx="1126">
                  <c:v>41136</c:v>
                </c:pt>
                <c:pt idx="1127">
                  <c:v>41137</c:v>
                </c:pt>
                <c:pt idx="1128">
                  <c:v>41138</c:v>
                </c:pt>
                <c:pt idx="1129">
                  <c:v>41141</c:v>
                </c:pt>
                <c:pt idx="1130">
                  <c:v>41142</c:v>
                </c:pt>
                <c:pt idx="1131">
                  <c:v>41143</c:v>
                </c:pt>
                <c:pt idx="1132">
                  <c:v>41144</c:v>
                </c:pt>
                <c:pt idx="1133">
                  <c:v>41145</c:v>
                </c:pt>
                <c:pt idx="1134">
                  <c:v>41148</c:v>
                </c:pt>
                <c:pt idx="1135">
                  <c:v>41149</c:v>
                </c:pt>
                <c:pt idx="1136">
                  <c:v>41150</c:v>
                </c:pt>
                <c:pt idx="1137">
                  <c:v>41151</c:v>
                </c:pt>
                <c:pt idx="1138">
                  <c:v>41152</c:v>
                </c:pt>
                <c:pt idx="1139">
                  <c:v>41156</c:v>
                </c:pt>
                <c:pt idx="1140">
                  <c:v>41157</c:v>
                </c:pt>
                <c:pt idx="1141">
                  <c:v>41158</c:v>
                </c:pt>
                <c:pt idx="1142">
                  <c:v>41159</c:v>
                </c:pt>
                <c:pt idx="1143">
                  <c:v>41162</c:v>
                </c:pt>
                <c:pt idx="1144">
                  <c:v>41163</c:v>
                </c:pt>
                <c:pt idx="1145">
                  <c:v>41164</c:v>
                </c:pt>
                <c:pt idx="1146">
                  <c:v>41165</c:v>
                </c:pt>
                <c:pt idx="1147">
                  <c:v>41166</c:v>
                </c:pt>
                <c:pt idx="1148">
                  <c:v>41169</c:v>
                </c:pt>
                <c:pt idx="1149">
                  <c:v>41170</c:v>
                </c:pt>
                <c:pt idx="1150">
                  <c:v>41171</c:v>
                </c:pt>
                <c:pt idx="1151">
                  <c:v>41172</c:v>
                </c:pt>
                <c:pt idx="1152">
                  <c:v>41173</c:v>
                </c:pt>
                <c:pt idx="1153">
                  <c:v>41176</c:v>
                </c:pt>
                <c:pt idx="1154">
                  <c:v>41177</c:v>
                </c:pt>
                <c:pt idx="1155">
                  <c:v>41178</c:v>
                </c:pt>
                <c:pt idx="1156">
                  <c:v>41179</c:v>
                </c:pt>
                <c:pt idx="1157">
                  <c:v>41180</c:v>
                </c:pt>
                <c:pt idx="1158">
                  <c:v>41183</c:v>
                </c:pt>
                <c:pt idx="1159">
                  <c:v>41184</c:v>
                </c:pt>
                <c:pt idx="1160">
                  <c:v>41185</c:v>
                </c:pt>
                <c:pt idx="1161">
                  <c:v>41186</c:v>
                </c:pt>
                <c:pt idx="1162">
                  <c:v>41187</c:v>
                </c:pt>
                <c:pt idx="1163">
                  <c:v>41190</c:v>
                </c:pt>
                <c:pt idx="1164">
                  <c:v>41191</c:v>
                </c:pt>
                <c:pt idx="1165">
                  <c:v>41192</c:v>
                </c:pt>
                <c:pt idx="1166">
                  <c:v>41193</c:v>
                </c:pt>
                <c:pt idx="1167">
                  <c:v>41194</c:v>
                </c:pt>
                <c:pt idx="1168">
                  <c:v>41197</c:v>
                </c:pt>
                <c:pt idx="1169">
                  <c:v>41198</c:v>
                </c:pt>
                <c:pt idx="1170">
                  <c:v>41199</c:v>
                </c:pt>
                <c:pt idx="1171">
                  <c:v>41200</c:v>
                </c:pt>
                <c:pt idx="1172">
                  <c:v>41201</c:v>
                </c:pt>
                <c:pt idx="1173">
                  <c:v>41204</c:v>
                </c:pt>
                <c:pt idx="1174">
                  <c:v>41205</c:v>
                </c:pt>
                <c:pt idx="1175">
                  <c:v>41206</c:v>
                </c:pt>
                <c:pt idx="1176">
                  <c:v>41207</c:v>
                </c:pt>
                <c:pt idx="1177">
                  <c:v>41208</c:v>
                </c:pt>
                <c:pt idx="1178">
                  <c:v>41213</c:v>
                </c:pt>
                <c:pt idx="1179">
                  <c:v>41214</c:v>
                </c:pt>
                <c:pt idx="1180">
                  <c:v>41215</c:v>
                </c:pt>
                <c:pt idx="1181">
                  <c:v>41218</c:v>
                </c:pt>
                <c:pt idx="1182">
                  <c:v>41219</c:v>
                </c:pt>
                <c:pt idx="1183">
                  <c:v>41220</c:v>
                </c:pt>
                <c:pt idx="1184">
                  <c:v>41221</c:v>
                </c:pt>
                <c:pt idx="1185">
                  <c:v>41222</c:v>
                </c:pt>
                <c:pt idx="1186">
                  <c:v>41225</c:v>
                </c:pt>
                <c:pt idx="1187">
                  <c:v>41226</c:v>
                </c:pt>
                <c:pt idx="1188">
                  <c:v>41227</c:v>
                </c:pt>
                <c:pt idx="1189">
                  <c:v>41228</c:v>
                </c:pt>
                <c:pt idx="1190">
                  <c:v>41229</c:v>
                </c:pt>
                <c:pt idx="1191">
                  <c:v>41232</c:v>
                </c:pt>
                <c:pt idx="1192">
                  <c:v>41233</c:v>
                </c:pt>
                <c:pt idx="1193">
                  <c:v>41234</c:v>
                </c:pt>
                <c:pt idx="1194">
                  <c:v>41236</c:v>
                </c:pt>
                <c:pt idx="1195">
                  <c:v>41239</c:v>
                </c:pt>
                <c:pt idx="1196">
                  <c:v>41240</c:v>
                </c:pt>
                <c:pt idx="1197">
                  <c:v>41241</c:v>
                </c:pt>
                <c:pt idx="1198">
                  <c:v>41242</c:v>
                </c:pt>
                <c:pt idx="1199">
                  <c:v>41243</c:v>
                </c:pt>
                <c:pt idx="1200">
                  <c:v>41246</c:v>
                </c:pt>
                <c:pt idx="1201">
                  <c:v>41247</c:v>
                </c:pt>
                <c:pt idx="1202">
                  <c:v>41248</c:v>
                </c:pt>
                <c:pt idx="1203">
                  <c:v>41249</c:v>
                </c:pt>
                <c:pt idx="1204">
                  <c:v>41250</c:v>
                </c:pt>
                <c:pt idx="1205">
                  <c:v>41253</c:v>
                </c:pt>
                <c:pt idx="1206">
                  <c:v>41254</c:v>
                </c:pt>
                <c:pt idx="1207">
                  <c:v>41255</c:v>
                </c:pt>
                <c:pt idx="1208">
                  <c:v>41256</c:v>
                </c:pt>
                <c:pt idx="1209">
                  <c:v>41257</c:v>
                </c:pt>
                <c:pt idx="1210">
                  <c:v>41260</c:v>
                </c:pt>
                <c:pt idx="1211">
                  <c:v>41261</c:v>
                </c:pt>
                <c:pt idx="1212">
                  <c:v>41262</c:v>
                </c:pt>
                <c:pt idx="1213">
                  <c:v>41263</c:v>
                </c:pt>
                <c:pt idx="1214">
                  <c:v>41264</c:v>
                </c:pt>
                <c:pt idx="1215">
                  <c:v>41267</c:v>
                </c:pt>
                <c:pt idx="1216">
                  <c:v>41269</c:v>
                </c:pt>
                <c:pt idx="1217">
                  <c:v>41270</c:v>
                </c:pt>
                <c:pt idx="1218">
                  <c:v>41271</c:v>
                </c:pt>
                <c:pt idx="1219">
                  <c:v>41274</c:v>
                </c:pt>
                <c:pt idx="1220">
                  <c:v>41276</c:v>
                </c:pt>
                <c:pt idx="1221">
                  <c:v>41277</c:v>
                </c:pt>
                <c:pt idx="1222">
                  <c:v>41278</c:v>
                </c:pt>
                <c:pt idx="1223">
                  <c:v>41281</c:v>
                </c:pt>
                <c:pt idx="1224">
                  <c:v>41282</c:v>
                </c:pt>
                <c:pt idx="1225">
                  <c:v>41283</c:v>
                </c:pt>
                <c:pt idx="1226">
                  <c:v>41284</c:v>
                </c:pt>
                <c:pt idx="1227">
                  <c:v>41285</c:v>
                </c:pt>
                <c:pt idx="1228">
                  <c:v>41288</c:v>
                </c:pt>
                <c:pt idx="1229">
                  <c:v>41289</c:v>
                </c:pt>
                <c:pt idx="1230">
                  <c:v>41290</c:v>
                </c:pt>
                <c:pt idx="1231">
                  <c:v>41291</c:v>
                </c:pt>
                <c:pt idx="1232">
                  <c:v>41292</c:v>
                </c:pt>
                <c:pt idx="1233">
                  <c:v>41296</c:v>
                </c:pt>
                <c:pt idx="1234">
                  <c:v>41297</c:v>
                </c:pt>
                <c:pt idx="1235">
                  <c:v>41298</c:v>
                </c:pt>
                <c:pt idx="1236">
                  <c:v>41299</c:v>
                </c:pt>
                <c:pt idx="1237">
                  <c:v>41302</c:v>
                </c:pt>
                <c:pt idx="1238">
                  <c:v>41303</c:v>
                </c:pt>
                <c:pt idx="1239">
                  <c:v>41304</c:v>
                </c:pt>
                <c:pt idx="1240">
                  <c:v>41305</c:v>
                </c:pt>
                <c:pt idx="1241">
                  <c:v>41306</c:v>
                </c:pt>
                <c:pt idx="1242">
                  <c:v>41309</c:v>
                </c:pt>
                <c:pt idx="1243">
                  <c:v>41310</c:v>
                </c:pt>
                <c:pt idx="1244">
                  <c:v>41311</c:v>
                </c:pt>
                <c:pt idx="1245">
                  <c:v>41312</c:v>
                </c:pt>
                <c:pt idx="1246">
                  <c:v>41313</c:v>
                </c:pt>
                <c:pt idx="1247">
                  <c:v>41316</c:v>
                </c:pt>
                <c:pt idx="1248">
                  <c:v>41317</c:v>
                </c:pt>
                <c:pt idx="1249">
                  <c:v>41318</c:v>
                </c:pt>
                <c:pt idx="1250">
                  <c:v>41319</c:v>
                </c:pt>
                <c:pt idx="1251">
                  <c:v>41320</c:v>
                </c:pt>
                <c:pt idx="1252">
                  <c:v>41324</c:v>
                </c:pt>
                <c:pt idx="1253">
                  <c:v>41325</c:v>
                </c:pt>
                <c:pt idx="1254">
                  <c:v>41326</c:v>
                </c:pt>
                <c:pt idx="1255">
                  <c:v>41327</c:v>
                </c:pt>
                <c:pt idx="1256">
                  <c:v>41330</c:v>
                </c:pt>
                <c:pt idx="1257">
                  <c:v>41331</c:v>
                </c:pt>
                <c:pt idx="1258">
                  <c:v>41332</c:v>
                </c:pt>
              </c:numCache>
            </c:numRef>
          </c:cat>
          <c:val>
            <c:numRef>
              <c:f>[0]!INDEX_PRICES_RNG</c:f>
              <c:numCache>
                <c:formatCode>#,##0.00</c:formatCode>
                <c:ptCount val="1259"/>
                <c:pt idx="0">
                  <c:v>1367.68</c:v>
                </c:pt>
                <c:pt idx="1">
                  <c:v>1330.63</c:v>
                </c:pt>
                <c:pt idx="2">
                  <c:v>1331.34</c:v>
                </c:pt>
                <c:pt idx="3">
                  <c:v>1326.75</c:v>
                </c:pt>
                <c:pt idx="4">
                  <c:v>1333.7</c:v>
                </c:pt>
                <c:pt idx="5">
                  <c:v>1304.3399999999999</c:v>
                </c:pt>
                <c:pt idx="6">
                  <c:v>1293.3699999999999</c:v>
                </c:pt>
                <c:pt idx="7">
                  <c:v>1273.3699999999999</c:v>
                </c:pt>
                <c:pt idx="8">
                  <c:v>1320.65</c:v>
                </c:pt>
                <c:pt idx="9">
                  <c:v>1308.77</c:v>
                </c:pt>
                <c:pt idx="10">
                  <c:v>1315.48</c:v>
                </c:pt>
                <c:pt idx="11">
                  <c:v>1288.1400000000001</c:v>
                </c:pt>
                <c:pt idx="12">
                  <c:v>1276.5999999999999</c:v>
                </c:pt>
                <c:pt idx="13">
                  <c:v>1330.74</c:v>
                </c:pt>
                <c:pt idx="14">
                  <c:v>1298.42</c:v>
                </c:pt>
                <c:pt idx="15">
                  <c:v>1329.51</c:v>
                </c:pt>
                <c:pt idx="16">
                  <c:v>1349.88</c:v>
                </c:pt>
                <c:pt idx="17">
                  <c:v>1352.99</c:v>
                </c:pt>
                <c:pt idx="18">
                  <c:v>1341.13</c:v>
                </c:pt>
                <c:pt idx="19">
                  <c:v>1325.76</c:v>
                </c:pt>
                <c:pt idx="20">
                  <c:v>1315.22</c:v>
                </c:pt>
                <c:pt idx="21">
                  <c:v>1322.7</c:v>
                </c:pt>
                <c:pt idx="22">
                  <c:v>1370.18</c:v>
                </c:pt>
                <c:pt idx="23">
                  <c:v>1367.53</c:v>
                </c:pt>
                <c:pt idx="24">
                  <c:v>1369.31</c:v>
                </c:pt>
                <c:pt idx="25">
                  <c:v>1370.4</c:v>
                </c:pt>
                <c:pt idx="26">
                  <c:v>1372.54</c:v>
                </c:pt>
                <c:pt idx="27">
                  <c:v>1365.54</c:v>
                </c:pt>
                <c:pt idx="28">
                  <c:v>1354.49</c:v>
                </c:pt>
                <c:pt idx="29">
                  <c:v>1360.55</c:v>
                </c:pt>
                <c:pt idx="30">
                  <c:v>1332.83</c:v>
                </c:pt>
                <c:pt idx="31">
                  <c:v>1328.32</c:v>
                </c:pt>
                <c:pt idx="32">
                  <c:v>1334.43</c:v>
                </c:pt>
                <c:pt idx="33">
                  <c:v>1364.71</c:v>
                </c:pt>
                <c:pt idx="34">
                  <c:v>1365.56</c:v>
                </c:pt>
                <c:pt idx="35">
                  <c:v>1390.33</c:v>
                </c:pt>
                <c:pt idx="36">
                  <c:v>1388.17</c:v>
                </c:pt>
                <c:pt idx="37">
                  <c:v>1375.94</c:v>
                </c:pt>
                <c:pt idx="38">
                  <c:v>1379.93</c:v>
                </c:pt>
                <c:pt idx="39">
                  <c:v>1388.82</c:v>
                </c:pt>
                <c:pt idx="40">
                  <c:v>1397.84</c:v>
                </c:pt>
                <c:pt idx="41">
                  <c:v>1396.37</c:v>
                </c:pt>
                <c:pt idx="42">
                  <c:v>1390.94</c:v>
                </c:pt>
                <c:pt idx="43">
                  <c:v>1385.59</c:v>
                </c:pt>
                <c:pt idx="44">
                  <c:v>1409.34</c:v>
                </c:pt>
                <c:pt idx="45">
                  <c:v>1413.9</c:v>
                </c:pt>
                <c:pt idx="46">
                  <c:v>1407.49</c:v>
                </c:pt>
                <c:pt idx="47">
                  <c:v>1418.26</c:v>
                </c:pt>
                <c:pt idx="48">
                  <c:v>1392.57</c:v>
                </c:pt>
                <c:pt idx="49">
                  <c:v>1397.68</c:v>
                </c:pt>
                <c:pt idx="50">
                  <c:v>1388.28</c:v>
                </c:pt>
                <c:pt idx="51">
                  <c:v>1403.58</c:v>
                </c:pt>
                <c:pt idx="52">
                  <c:v>1403.04</c:v>
                </c:pt>
                <c:pt idx="53">
                  <c:v>1408.66</c:v>
                </c:pt>
                <c:pt idx="54">
                  <c:v>1423.57</c:v>
                </c:pt>
                <c:pt idx="55">
                  <c:v>1425.35</c:v>
                </c:pt>
                <c:pt idx="56">
                  <c:v>1426.63</c:v>
                </c:pt>
                <c:pt idx="57">
                  <c:v>1413.4</c:v>
                </c:pt>
                <c:pt idx="58">
                  <c:v>1390.71</c:v>
                </c:pt>
                <c:pt idx="59">
                  <c:v>1394.35</c:v>
                </c:pt>
                <c:pt idx="60">
                  <c:v>1375.93</c:v>
                </c:pt>
                <c:pt idx="61">
                  <c:v>1385.35</c:v>
                </c:pt>
                <c:pt idx="62">
                  <c:v>1390.84</c:v>
                </c:pt>
                <c:pt idx="63">
                  <c:v>1398.26</c:v>
                </c:pt>
                <c:pt idx="64">
                  <c:v>1400.38</c:v>
                </c:pt>
                <c:pt idx="65">
                  <c:v>1385.67</c:v>
                </c:pt>
                <c:pt idx="66">
                  <c:v>1377.65</c:v>
                </c:pt>
                <c:pt idx="67">
                  <c:v>1377.2</c:v>
                </c:pt>
                <c:pt idx="68">
                  <c:v>1404.05</c:v>
                </c:pt>
                <c:pt idx="69">
                  <c:v>1360.68</c:v>
                </c:pt>
                <c:pt idx="70">
                  <c:v>1361.76</c:v>
                </c:pt>
                <c:pt idx="71">
                  <c:v>1358.44</c:v>
                </c:pt>
                <c:pt idx="72">
                  <c:v>1335.49</c:v>
                </c:pt>
                <c:pt idx="73">
                  <c:v>1339.87</c:v>
                </c:pt>
                <c:pt idx="74">
                  <c:v>1360.03</c:v>
                </c:pt>
                <c:pt idx="75">
                  <c:v>1360.14</c:v>
                </c:pt>
                <c:pt idx="76">
                  <c:v>1350.93</c:v>
                </c:pt>
                <c:pt idx="77">
                  <c:v>1337.81</c:v>
                </c:pt>
                <c:pt idx="78">
                  <c:v>1342.83</c:v>
                </c:pt>
                <c:pt idx="79">
                  <c:v>1317.93</c:v>
                </c:pt>
                <c:pt idx="80">
                  <c:v>1318</c:v>
                </c:pt>
                <c:pt idx="81">
                  <c:v>1314.29</c:v>
                </c:pt>
                <c:pt idx="82">
                  <c:v>1321.97</c:v>
                </c:pt>
                <c:pt idx="83">
                  <c:v>1283.1500000000001</c:v>
                </c:pt>
                <c:pt idx="84">
                  <c:v>1278.3800000000001</c:v>
                </c:pt>
                <c:pt idx="85">
                  <c:v>1280</c:v>
                </c:pt>
                <c:pt idx="86">
                  <c:v>1284.9100000000001</c:v>
                </c:pt>
                <c:pt idx="87">
                  <c:v>1261.52</c:v>
                </c:pt>
                <c:pt idx="88">
                  <c:v>1262.9000000000001</c:v>
                </c:pt>
                <c:pt idx="89">
                  <c:v>1252.31</c:v>
                </c:pt>
                <c:pt idx="90">
                  <c:v>1273.7</c:v>
                </c:pt>
                <c:pt idx="91">
                  <c:v>1244.69</c:v>
                </c:pt>
                <c:pt idx="92">
                  <c:v>1253.3900000000001</c:v>
                </c:pt>
                <c:pt idx="93">
                  <c:v>1239.49</c:v>
                </c:pt>
                <c:pt idx="94">
                  <c:v>1228.3</c:v>
                </c:pt>
                <c:pt idx="95">
                  <c:v>1214.9100000000001</c:v>
                </c:pt>
                <c:pt idx="96">
                  <c:v>1245.3599999999999</c:v>
                </c:pt>
                <c:pt idx="97">
                  <c:v>1260.32</c:v>
                </c:pt>
                <c:pt idx="98">
                  <c:v>1260.68</c:v>
                </c:pt>
                <c:pt idx="99">
                  <c:v>1260</c:v>
                </c:pt>
                <c:pt idx="100">
                  <c:v>1277</c:v>
                </c:pt>
                <c:pt idx="101">
                  <c:v>1282.19</c:v>
                </c:pt>
                <c:pt idx="102">
                  <c:v>1252.54</c:v>
                </c:pt>
                <c:pt idx="103">
                  <c:v>1257.76</c:v>
                </c:pt>
                <c:pt idx="104">
                  <c:v>1234.3699999999999</c:v>
                </c:pt>
                <c:pt idx="105">
                  <c:v>1263.2</c:v>
                </c:pt>
                <c:pt idx="106">
                  <c:v>1284.26</c:v>
                </c:pt>
                <c:pt idx="107">
                  <c:v>1267.3800000000001</c:v>
                </c:pt>
                <c:pt idx="108">
                  <c:v>1260.31</c:v>
                </c:pt>
                <c:pt idx="109">
                  <c:v>1249.01</c:v>
                </c:pt>
                <c:pt idx="110">
                  <c:v>1284.8800000000001</c:v>
                </c:pt>
                <c:pt idx="111">
                  <c:v>1289.19</c:v>
                </c:pt>
                <c:pt idx="112">
                  <c:v>1266.07</c:v>
                </c:pt>
                <c:pt idx="113">
                  <c:v>1296.32</c:v>
                </c:pt>
                <c:pt idx="114">
                  <c:v>1305.32</c:v>
                </c:pt>
                <c:pt idx="115">
                  <c:v>1289.5899999999999</c:v>
                </c:pt>
                <c:pt idx="116">
                  <c:v>1285.83</c:v>
                </c:pt>
                <c:pt idx="117">
                  <c:v>1292.93</c:v>
                </c:pt>
                <c:pt idx="118">
                  <c:v>1298.2</c:v>
                </c:pt>
                <c:pt idx="119">
                  <c:v>1278.5999999999999</c:v>
                </c:pt>
                <c:pt idx="120">
                  <c:v>1266.69</c:v>
                </c:pt>
                <c:pt idx="121">
                  <c:v>1274.54</c:v>
                </c:pt>
                <c:pt idx="122">
                  <c:v>1277.72</c:v>
                </c:pt>
                <c:pt idx="123">
                  <c:v>1292.2</c:v>
                </c:pt>
                <c:pt idx="124">
                  <c:v>1266.8399999999999</c:v>
                </c:pt>
                <c:pt idx="125">
                  <c:v>1271.51</c:v>
                </c:pt>
                <c:pt idx="126">
                  <c:v>1281.6600000000001</c:v>
                </c:pt>
                <c:pt idx="127">
                  <c:v>1300.68</c:v>
                </c:pt>
                <c:pt idx="128">
                  <c:v>1282.83</c:v>
                </c:pt>
                <c:pt idx="129">
                  <c:v>1277.58</c:v>
                </c:pt>
                <c:pt idx="130">
                  <c:v>1274.98</c:v>
                </c:pt>
                <c:pt idx="131">
                  <c:v>1236.83</c:v>
                </c:pt>
                <c:pt idx="132">
                  <c:v>1242.31</c:v>
                </c:pt>
                <c:pt idx="133">
                  <c:v>1267.79</c:v>
                </c:pt>
                <c:pt idx="134">
                  <c:v>1224.51</c:v>
                </c:pt>
                <c:pt idx="135">
                  <c:v>1232.04</c:v>
                </c:pt>
                <c:pt idx="136">
                  <c:v>1249.05</c:v>
                </c:pt>
                <c:pt idx="137">
                  <c:v>1251.7</c:v>
                </c:pt>
                <c:pt idx="138">
                  <c:v>1192.7</c:v>
                </c:pt>
                <c:pt idx="139">
                  <c:v>1213.5999999999999</c:v>
                </c:pt>
                <c:pt idx="140">
                  <c:v>1156.3900000000001</c:v>
                </c:pt>
                <c:pt idx="141">
                  <c:v>1206.51</c:v>
                </c:pt>
                <c:pt idx="142">
                  <c:v>1255.08</c:v>
                </c:pt>
                <c:pt idx="143">
                  <c:v>1207.0899999999999</c:v>
                </c:pt>
                <c:pt idx="144">
                  <c:v>1188.22</c:v>
                </c:pt>
                <c:pt idx="145">
                  <c:v>1185.8699999999999</c:v>
                </c:pt>
                <c:pt idx="146">
                  <c:v>1209.18</c:v>
                </c:pt>
                <c:pt idx="147">
                  <c:v>1213.27</c:v>
                </c:pt>
                <c:pt idx="148">
                  <c:v>1106.42</c:v>
                </c:pt>
                <c:pt idx="149">
                  <c:v>1166.3599999999999</c:v>
                </c:pt>
                <c:pt idx="150">
                  <c:v>1161.06</c:v>
                </c:pt>
                <c:pt idx="151">
                  <c:v>1114.28</c:v>
                </c:pt>
                <c:pt idx="152">
                  <c:v>1099.23</c:v>
                </c:pt>
                <c:pt idx="153">
                  <c:v>1056.8900000000001</c:v>
                </c:pt>
                <c:pt idx="154">
                  <c:v>996.23</c:v>
                </c:pt>
                <c:pt idx="155">
                  <c:v>984.94</c:v>
                </c:pt>
                <c:pt idx="156">
                  <c:v>909.92</c:v>
                </c:pt>
                <c:pt idx="157">
                  <c:v>899.22</c:v>
                </c:pt>
                <c:pt idx="158">
                  <c:v>1003.35</c:v>
                </c:pt>
                <c:pt idx="159">
                  <c:v>998.01</c:v>
                </c:pt>
                <c:pt idx="160">
                  <c:v>907.84</c:v>
                </c:pt>
                <c:pt idx="161">
                  <c:v>946.43</c:v>
                </c:pt>
                <c:pt idx="162">
                  <c:v>940.55</c:v>
                </c:pt>
                <c:pt idx="163">
                  <c:v>985.4</c:v>
                </c:pt>
                <c:pt idx="164">
                  <c:v>955.05</c:v>
                </c:pt>
                <c:pt idx="165">
                  <c:v>896.78</c:v>
                </c:pt>
                <c:pt idx="166">
                  <c:v>908.11</c:v>
                </c:pt>
                <c:pt idx="167">
                  <c:v>876.77</c:v>
                </c:pt>
                <c:pt idx="168">
                  <c:v>848.92</c:v>
                </c:pt>
                <c:pt idx="169">
                  <c:v>940.51</c:v>
                </c:pt>
                <c:pt idx="170">
                  <c:v>930.09</c:v>
                </c:pt>
                <c:pt idx="171">
                  <c:v>954.09</c:v>
                </c:pt>
                <c:pt idx="172">
                  <c:v>968.75</c:v>
                </c:pt>
                <c:pt idx="173">
                  <c:v>966.3</c:v>
                </c:pt>
                <c:pt idx="174">
                  <c:v>1005.75</c:v>
                </c:pt>
                <c:pt idx="175">
                  <c:v>952.77</c:v>
                </c:pt>
                <c:pt idx="176">
                  <c:v>904.88</c:v>
                </c:pt>
                <c:pt idx="177">
                  <c:v>930.99</c:v>
                </c:pt>
                <c:pt idx="178">
                  <c:v>919.21</c:v>
                </c:pt>
                <c:pt idx="179">
                  <c:v>898.95</c:v>
                </c:pt>
                <c:pt idx="180">
                  <c:v>852.3</c:v>
                </c:pt>
                <c:pt idx="181">
                  <c:v>911.29</c:v>
                </c:pt>
                <c:pt idx="182">
                  <c:v>873.29</c:v>
                </c:pt>
                <c:pt idx="183">
                  <c:v>850.75</c:v>
                </c:pt>
                <c:pt idx="184">
                  <c:v>859.12</c:v>
                </c:pt>
                <c:pt idx="185">
                  <c:v>806.58</c:v>
                </c:pt>
                <c:pt idx="186">
                  <c:v>752.44</c:v>
                </c:pt>
                <c:pt idx="187">
                  <c:v>800.03</c:v>
                </c:pt>
                <c:pt idx="188">
                  <c:v>851.81</c:v>
                </c:pt>
                <c:pt idx="189">
                  <c:v>857.39</c:v>
                </c:pt>
                <c:pt idx="190">
                  <c:v>887.68</c:v>
                </c:pt>
                <c:pt idx="191">
                  <c:v>896.24</c:v>
                </c:pt>
                <c:pt idx="192">
                  <c:v>816.21</c:v>
                </c:pt>
                <c:pt idx="193">
                  <c:v>848.81</c:v>
                </c:pt>
                <c:pt idx="194">
                  <c:v>870.74</c:v>
                </c:pt>
                <c:pt idx="195">
                  <c:v>845.22</c:v>
                </c:pt>
                <c:pt idx="196">
                  <c:v>876.07</c:v>
                </c:pt>
                <c:pt idx="197">
                  <c:v>909.7</c:v>
                </c:pt>
                <c:pt idx="198">
                  <c:v>888.67</c:v>
                </c:pt>
                <c:pt idx="199">
                  <c:v>899.24</c:v>
                </c:pt>
                <c:pt idx="200">
                  <c:v>873.59</c:v>
                </c:pt>
                <c:pt idx="201">
                  <c:v>879.73</c:v>
                </c:pt>
                <c:pt idx="202">
                  <c:v>868.57</c:v>
                </c:pt>
                <c:pt idx="203">
                  <c:v>913.18</c:v>
                </c:pt>
                <c:pt idx="204">
                  <c:v>904.42</c:v>
                </c:pt>
                <c:pt idx="205">
                  <c:v>885.28</c:v>
                </c:pt>
                <c:pt idx="206">
                  <c:v>887.88</c:v>
                </c:pt>
                <c:pt idx="207">
                  <c:v>871.63</c:v>
                </c:pt>
                <c:pt idx="208">
                  <c:v>863.16</c:v>
                </c:pt>
                <c:pt idx="209">
                  <c:v>868.15</c:v>
                </c:pt>
                <c:pt idx="210">
                  <c:v>872.8</c:v>
                </c:pt>
                <c:pt idx="211">
                  <c:v>869.42</c:v>
                </c:pt>
                <c:pt idx="212">
                  <c:v>890.64</c:v>
                </c:pt>
                <c:pt idx="213">
                  <c:v>903.25</c:v>
                </c:pt>
                <c:pt idx="214">
                  <c:v>931.8</c:v>
                </c:pt>
                <c:pt idx="215">
                  <c:v>927.45</c:v>
                </c:pt>
                <c:pt idx="216">
                  <c:v>934.7</c:v>
                </c:pt>
                <c:pt idx="217">
                  <c:v>906.65</c:v>
                </c:pt>
                <c:pt idx="218">
                  <c:v>909.73</c:v>
                </c:pt>
                <c:pt idx="219">
                  <c:v>890.35</c:v>
                </c:pt>
                <c:pt idx="220">
                  <c:v>870.26</c:v>
                </c:pt>
                <c:pt idx="221">
                  <c:v>871.79</c:v>
                </c:pt>
                <c:pt idx="222">
                  <c:v>842.62</c:v>
                </c:pt>
                <c:pt idx="223">
                  <c:v>843.74</c:v>
                </c:pt>
                <c:pt idx="224">
                  <c:v>850.12</c:v>
                </c:pt>
                <c:pt idx="225">
                  <c:v>805.22</c:v>
                </c:pt>
                <c:pt idx="226">
                  <c:v>840.24</c:v>
                </c:pt>
                <c:pt idx="227">
                  <c:v>827.5</c:v>
                </c:pt>
                <c:pt idx="228">
                  <c:v>831.95</c:v>
                </c:pt>
                <c:pt idx="229">
                  <c:v>836.57</c:v>
                </c:pt>
                <c:pt idx="230">
                  <c:v>845.71</c:v>
                </c:pt>
                <c:pt idx="231">
                  <c:v>874.09</c:v>
                </c:pt>
                <c:pt idx="232">
                  <c:v>845.14</c:v>
                </c:pt>
                <c:pt idx="233">
                  <c:v>825.88</c:v>
                </c:pt>
                <c:pt idx="234">
                  <c:v>825.44</c:v>
                </c:pt>
                <c:pt idx="235">
                  <c:v>838.51</c:v>
                </c:pt>
                <c:pt idx="236">
                  <c:v>832.23</c:v>
                </c:pt>
                <c:pt idx="237">
                  <c:v>845.85</c:v>
                </c:pt>
                <c:pt idx="238">
                  <c:v>868.6</c:v>
                </c:pt>
                <c:pt idx="239">
                  <c:v>869.89</c:v>
                </c:pt>
                <c:pt idx="240">
                  <c:v>827.16</c:v>
                </c:pt>
                <c:pt idx="241">
                  <c:v>833.74</c:v>
                </c:pt>
                <c:pt idx="242">
                  <c:v>835.19</c:v>
                </c:pt>
                <c:pt idx="243">
                  <c:v>826.84</c:v>
                </c:pt>
                <c:pt idx="244">
                  <c:v>789.17</c:v>
                </c:pt>
                <c:pt idx="245">
                  <c:v>788.42</c:v>
                </c:pt>
                <c:pt idx="246">
                  <c:v>778.94</c:v>
                </c:pt>
                <c:pt idx="247">
                  <c:v>770.05</c:v>
                </c:pt>
                <c:pt idx="248">
                  <c:v>743.33</c:v>
                </c:pt>
                <c:pt idx="249">
                  <c:v>773.14</c:v>
                </c:pt>
                <c:pt idx="250">
                  <c:v>764.9</c:v>
                </c:pt>
                <c:pt idx="251">
                  <c:v>752.83</c:v>
                </c:pt>
                <c:pt idx="252">
                  <c:v>735.09</c:v>
                </c:pt>
                <c:pt idx="253">
                  <c:v>700.82</c:v>
                </c:pt>
                <c:pt idx="254">
                  <c:v>696.33</c:v>
                </c:pt>
                <c:pt idx="255">
                  <c:v>712.87</c:v>
                </c:pt>
                <c:pt idx="256">
                  <c:v>682.55</c:v>
                </c:pt>
                <c:pt idx="257">
                  <c:v>683.38</c:v>
                </c:pt>
                <c:pt idx="258">
                  <c:v>676.53</c:v>
                </c:pt>
                <c:pt idx="259">
                  <c:v>719.6</c:v>
                </c:pt>
                <c:pt idx="260">
                  <c:v>721.36</c:v>
                </c:pt>
                <c:pt idx="261">
                  <c:v>750.74</c:v>
                </c:pt>
                <c:pt idx="262">
                  <c:v>756.55</c:v>
                </c:pt>
                <c:pt idx="263">
                  <c:v>753.89</c:v>
                </c:pt>
                <c:pt idx="264">
                  <c:v>778.12</c:v>
                </c:pt>
                <c:pt idx="265">
                  <c:v>794.35</c:v>
                </c:pt>
                <c:pt idx="266">
                  <c:v>784.04</c:v>
                </c:pt>
                <c:pt idx="267">
                  <c:v>768.54</c:v>
                </c:pt>
                <c:pt idx="268">
                  <c:v>822.92</c:v>
                </c:pt>
                <c:pt idx="269">
                  <c:v>806.12</c:v>
                </c:pt>
                <c:pt idx="270">
                  <c:v>813.88</c:v>
                </c:pt>
                <c:pt idx="271">
                  <c:v>832.86</c:v>
                </c:pt>
                <c:pt idx="272">
                  <c:v>815.94</c:v>
                </c:pt>
                <c:pt idx="273">
                  <c:v>787.53</c:v>
                </c:pt>
                <c:pt idx="274">
                  <c:v>797.87</c:v>
                </c:pt>
                <c:pt idx="275">
                  <c:v>811.08</c:v>
                </c:pt>
                <c:pt idx="276">
                  <c:v>834.38</c:v>
                </c:pt>
                <c:pt idx="277">
                  <c:v>842.5</c:v>
                </c:pt>
                <c:pt idx="278">
                  <c:v>835.48</c:v>
                </c:pt>
                <c:pt idx="279">
                  <c:v>815.55</c:v>
                </c:pt>
                <c:pt idx="280">
                  <c:v>825.16</c:v>
                </c:pt>
                <c:pt idx="281">
                  <c:v>856.56</c:v>
                </c:pt>
                <c:pt idx="282">
                  <c:v>858.73</c:v>
                </c:pt>
                <c:pt idx="283">
                  <c:v>841.5</c:v>
                </c:pt>
                <c:pt idx="284">
                  <c:v>852.06</c:v>
                </c:pt>
                <c:pt idx="285">
                  <c:v>865.3</c:v>
                </c:pt>
                <c:pt idx="286">
                  <c:v>869.6</c:v>
                </c:pt>
                <c:pt idx="287">
                  <c:v>832.39</c:v>
                </c:pt>
                <c:pt idx="288">
                  <c:v>850.08</c:v>
                </c:pt>
                <c:pt idx="289">
                  <c:v>843.55</c:v>
                </c:pt>
                <c:pt idx="290">
                  <c:v>851.92</c:v>
                </c:pt>
                <c:pt idx="291">
                  <c:v>866.23</c:v>
                </c:pt>
                <c:pt idx="292">
                  <c:v>857.51</c:v>
                </c:pt>
                <c:pt idx="293">
                  <c:v>855.16</c:v>
                </c:pt>
                <c:pt idx="294">
                  <c:v>873.64</c:v>
                </c:pt>
                <c:pt idx="295">
                  <c:v>872.81</c:v>
                </c:pt>
                <c:pt idx="296">
                  <c:v>877.52</c:v>
                </c:pt>
                <c:pt idx="297">
                  <c:v>907.24</c:v>
                </c:pt>
                <c:pt idx="298">
                  <c:v>903.8</c:v>
                </c:pt>
                <c:pt idx="299">
                  <c:v>919.53</c:v>
                </c:pt>
                <c:pt idx="300">
                  <c:v>907.39</c:v>
                </c:pt>
                <c:pt idx="301">
                  <c:v>929.23</c:v>
                </c:pt>
                <c:pt idx="302">
                  <c:v>909.24</c:v>
                </c:pt>
                <c:pt idx="303">
                  <c:v>908.35</c:v>
                </c:pt>
                <c:pt idx="304">
                  <c:v>883.92</c:v>
                </c:pt>
                <c:pt idx="305">
                  <c:v>893.07</c:v>
                </c:pt>
                <c:pt idx="306">
                  <c:v>882.88</c:v>
                </c:pt>
                <c:pt idx="307">
                  <c:v>909.71</c:v>
                </c:pt>
                <c:pt idx="308">
                  <c:v>908.13</c:v>
                </c:pt>
                <c:pt idx="309">
                  <c:v>903.47</c:v>
                </c:pt>
                <c:pt idx="310">
                  <c:v>888.33</c:v>
                </c:pt>
                <c:pt idx="311">
                  <c:v>887</c:v>
                </c:pt>
                <c:pt idx="312">
                  <c:v>910.33</c:v>
                </c:pt>
                <c:pt idx="313">
                  <c:v>893.06</c:v>
                </c:pt>
                <c:pt idx="314">
                  <c:v>906.83</c:v>
                </c:pt>
                <c:pt idx="315">
                  <c:v>919.14</c:v>
                </c:pt>
                <c:pt idx="316">
                  <c:v>942.87</c:v>
                </c:pt>
                <c:pt idx="317">
                  <c:v>944.74</c:v>
                </c:pt>
                <c:pt idx="318">
                  <c:v>931.76</c:v>
                </c:pt>
                <c:pt idx="319">
                  <c:v>942.46</c:v>
                </c:pt>
                <c:pt idx="320">
                  <c:v>940.09</c:v>
                </c:pt>
                <c:pt idx="321">
                  <c:v>939.14</c:v>
                </c:pt>
                <c:pt idx="322">
                  <c:v>942.43</c:v>
                </c:pt>
                <c:pt idx="323">
                  <c:v>939.15</c:v>
                </c:pt>
                <c:pt idx="324">
                  <c:v>944.89</c:v>
                </c:pt>
                <c:pt idx="325">
                  <c:v>946.21</c:v>
                </c:pt>
                <c:pt idx="326">
                  <c:v>923.72</c:v>
                </c:pt>
                <c:pt idx="327">
                  <c:v>911.97</c:v>
                </c:pt>
                <c:pt idx="328">
                  <c:v>910.71</c:v>
                </c:pt>
                <c:pt idx="329">
                  <c:v>918.37</c:v>
                </c:pt>
                <c:pt idx="330">
                  <c:v>921.23</c:v>
                </c:pt>
                <c:pt idx="331">
                  <c:v>893.04</c:v>
                </c:pt>
                <c:pt idx="332">
                  <c:v>895.1</c:v>
                </c:pt>
                <c:pt idx="333">
                  <c:v>900.94</c:v>
                </c:pt>
                <c:pt idx="334">
                  <c:v>920.26</c:v>
                </c:pt>
                <c:pt idx="335">
                  <c:v>918.9</c:v>
                </c:pt>
                <c:pt idx="336">
                  <c:v>927.23</c:v>
                </c:pt>
                <c:pt idx="337">
                  <c:v>919.32</c:v>
                </c:pt>
                <c:pt idx="338">
                  <c:v>923.33</c:v>
                </c:pt>
                <c:pt idx="339">
                  <c:v>896.42</c:v>
                </c:pt>
                <c:pt idx="340">
                  <c:v>898.72</c:v>
                </c:pt>
                <c:pt idx="341">
                  <c:v>881.03</c:v>
                </c:pt>
                <c:pt idx="342">
                  <c:v>879.56</c:v>
                </c:pt>
                <c:pt idx="343">
                  <c:v>882.68</c:v>
                </c:pt>
                <c:pt idx="344">
                  <c:v>879.13</c:v>
                </c:pt>
                <c:pt idx="345">
                  <c:v>901.05</c:v>
                </c:pt>
                <c:pt idx="346">
                  <c:v>905.84</c:v>
                </c:pt>
                <c:pt idx="347">
                  <c:v>932.68</c:v>
                </c:pt>
                <c:pt idx="348">
                  <c:v>940.74</c:v>
                </c:pt>
                <c:pt idx="349">
                  <c:v>940.38</c:v>
                </c:pt>
                <c:pt idx="350">
                  <c:v>951.13</c:v>
                </c:pt>
                <c:pt idx="351">
                  <c:v>954.58</c:v>
                </c:pt>
                <c:pt idx="352">
                  <c:v>954.07</c:v>
                </c:pt>
                <c:pt idx="353">
                  <c:v>976.29</c:v>
                </c:pt>
                <c:pt idx="354">
                  <c:v>979.26</c:v>
                </c:pt>
                <c:pt idx="355">
                  <c:v>982.18</c:v>
                </c:pt>
                <c:pt idx="356">
                  <c:v>979.62</c:v>
                </c:pt>
                <c:pt idx="357">
                  <c:v>975.15</c:v>
                </c:pt>
                <c:pt idx="358">
                  <c:v>986.75</c:v>
                </c:pt>
                <c:pt idx="359">
                  <c:v>987.48</c:v>
                </c:pt>
                <c:pt idx="360">
                  <c:v>1002.63</c:v>
                </c:pt>
                <c:pt idx="361">
                  <c:v>1005.65</c:v>
                </c:pt>
                <c:pt idx="362">
                  <c:v>1002.72</c:v>
                </c:pt>
                <c:pt idx="363">
                  <c:v>997.08</c:v>
                </c:pt>
                <c:pt idx="364">
                  <c:v>1010.48</c:v>
                </c:pt>
                <c:pt idx="365">
                  <c:v>1007.1</c:v>
                </c:pt>
                <c:pt idx="366">
                  <c:v>994.35</c:v>
                </c:pt>
                <c:pt idx="367">
                  <c:v>1005.81</c:v>
                </c:pt>
                <c:pt idx="368">
                  <c:v>1012.73</c:v>
                </c:pt>
                <c:pt idx="369">
                  <c:v>1004.09</c:v>
                </c:pt>
                <c:pt idx="370">
                  <c:v>979.73</c:v>
                </c:pt>
                <c:pt idx="371">
                  <c:v>989.67</c:v>
                </c:pt>
                <c:pt idx="372">
                  <c:v>996.46</c:v>
                </c:pt>
                <c:pt idx="373">
                  <c:v>1007.37</c:v>
                </c:pt>
                <c:pt idx="374">
                  <c:v>1026.1300000000001</c:v>
                </c:pt>
                <c:pt idx="375">
                  <c:v>1025.57</c:v>
                </c:pt>
                <c:pt idx="376">
                  <c:v>1028</c:v>
                </c:pt>
                <c:pt idx="377">
                  <c:v>1028.1199999999999</c:v>
                </c:pt>
                <c:pt idx="378">
                  <c:v>1030.98</c:v>
                </c:pt>
                <c:pt idx="379">
                  <c:v>1028.93</c:v>
                </c:pt>
                <c:pt idx="380">
                  <c:v>1020.62</c:v>
                </c:pt>
                <c:pt idx="381">
                  <c:v>998.04</c:v>
                </c:pt>
                <c:pt idx="382">
                  <c:v>994.75</c:v>
                </c:pt>
                <c:pt idx="383">
                  <c:v>1003.24</c:v>
                </c:pt>
                <c:pt idx="384">
                  <c:v>1016.4</c:v>
                </c:pt>
                <c:pt idx="385">
                  <c:v>1025.3900000000001</c:v>
                </c:pt>
                <c:pt idx="386">
                  <c:v>1033.3699999999999</c:v>
                </c:pt>
                <c:pt idx="387">
                  <c:v>1044.1400000000001</c:v>
                </c:pt>
                <c:pt idx="388">
                  <c:v>1042.73</c:v>
                </c:pt>
                <c:pt idx="389">
                  <c:v>1049.3399999999999</c:v>
                </c:pt>
                <c:pt idx="390">
                  <c:v>1052.6300000000001</c:v>
                </c:pt>
                <c:pt idx="391">
                  <c:v>1068.76</c:v>
                </c:pt>
                <c:pt idx="392">
                  <c:v>1065.49</c:v>
                </c:pt>
                <c:pt idx="393">
                  <c:v>1068.3</c:v>
                </c:pt>
                <c:pt idx="394">
                  <c:v>1064.6600000000001</c:v>
                </c:pt>
                <c:pt idx="395">
                  <c:v>1071.6600000000001</c:v>
                </c:pt>
                <c:pt idx="396">
                  <c:v>1060.8699999999999</c:v>
                </c:pt>
                <c:pt idx="397">
                  <c:v>1050.78</c:v>
                </c:pt>
                <c:pt idx="398">
                  <c:v>1044.3800000000001</c:v>
                </c:pt>
                <c:pt idx="399">
                  <c:v>1062.98</c:v>
                </c:pt>
                <c:pt idx="400">
                  <c:v>1060.6099999999999</c:v>
                </c:pt>
                <c:pt idx="401">
                  <c:v>1057.08</c:v>
                </c:pt>
                <c:pt idx="402">
                  <c:v>1029.8499999999999</c:v>
                </c:pt>
                <c:pt idx="403">
                  <c:v>1025.21</c:v>
                </c:pt>
                <c:pt idx="404">
                  <c:v>1040.46</c:v>
                </c:pt>
                <c:pt idx="405">
                  <c:v>1054.72</c:v>
                </c:pt>
                <c:pt idx="406">
                  <c:v>1057.58</c:v>
                </c:pt>
                <c:pt idx="407">
                  <c:v>1065.48</c:v>
                </c:pt>
                <c:pt idx="408">
                  <c:v>1071.49</c:v>
                </c:pt>
                <c:pt idx="409">
                  <c:v>1076.19</c:v>
                </c:pt>
                <c:pt idx="410">
                  <c:v>1073.19</c:v>
                </c:pt>
                <c:pt idx="411">
                  <c:v>1092.02</c:v>
                </c:pt>
                <c:pt idx="412">
                  <c:v>1096.56</c:v>
                </c:pt>
                <c:pt idx="413">
                  <c:v>1087.68</c:v>
                </c:pt>
                <c:pt idx="414">
                  <c:v>1097.9100000000001</c:v>
                </c:pt>
                <c:pt idx="415">
                  <c:v>1091.06</c:v>
                </c:pt>
                <c:pt idx="416">
                  <c:v>1081.4000000000001</c:v>
                </c:pt>
                <c:pt idx="417">
                  <c:v>1092.9100000000001</c:v>
                </c:pt>
                <c:pt idx="418">
                  <c:v>1079.5999999999999</c:v>
                </c:pt>
                <c:pt idx="419">
                  <c:v>1066.95</c:v>
                </c:pt>
                <c:pt idx="420">
                  <c:v>1063.4100000000001</c:v>
                </c:pt>
                <c:pt idx="421">
                  <c:v>1042.6300000000001</c:v>
                </c:pt>
                <c:pt idx="422">
                  <c:v>1066.1099999999999</c:v>
                </c:pt>
                <c:pt idx="423">
                  <c:v>1036.19</c:v>
                </c:pt>
                <c:pt idx="424">
                  <c:v>1042.8800000000001</c:v>
                </c:pt>
                <c:pt idx="425">
                  <c:v>1045.4100000000001</c:v>
                </c:pt>
                <c:pt idx="426">
                  <c:v>1046.5</c:v>
                </c:pt>
                <c:pt idx="427">
                  <c:v>1066.6300000000001</c:v>
                </c:pt>
                <c:pt idx="428">
                  <c:v>1069.3</c:v>
                </c:pt>
                <c:pt idx="429">
                  <c:v>1093.08</c:v>
                </c:pt>
                <c:pt idx="430">
                  <c:v>1093.01</c:v>
                </c:pt>
                <c:pt idx="431">
                  <c:v>1098.51</c:v>
                </c:pt>
                <c:pt idx="432">
                  <c:v>1087.24</c:v>
                </c:pt>
                <c:pt idx="433">
                  <c:v>1093.48</c:v>
                </c:pt>
                <c:pt idx="434">
                  <c:v>1109.3</c:v>
                </c:pt>
                <c:pt idx="435">
                  <c:v>1110.32</c:v>
                </c:pt>
                <c:pt idx="436">
                  <c:v>1109.8</c:v>
                </c:pt>
                <c:pt idx="437">
                  <c:v>1094.9000000000001</c:v>
                </c:pt>
                <c:pt idx="438">
                  <c:v>1091.3800000000001</c:v>
                </c:pt>
                <c:pt idx="439">
                  <c:v>1106.24</c:v>
                </c:pt>
                <c:pt idx="440">
                  <c:v>1105.6500000000001</c:v>
                </c:pt>
                <c:pt idx="441">
                  <c:v>1110.6300000000001</c:v>
                </c:pt>
                <c:pt idx="442">
                  <c:v>1091.49</c:v>
                </c:pt>
                <c:pt idx="443">
                  <c:v>1095.6300000000001</c:v>
                </c:pt>
                <c:pt idx="444">
                  <c:v>1108.8599999999999</c:v>
                </c:pt>
                <c:pt idx="445">
                  <c:v>1109.24</c:v>
                </c:pt>
                <c:pt idx="446">
                  <c:v>1099.92</c:v>
                </c:pt>
                <c:pt idx="447">
                  <c:v>1105.98</c:v>
                </c:pt>
                <c:pt idx="448">
                  <c:v>1103.25</c:v>
                </c:pt>
                <c:pt idx="449">
                  <c:v>1091.94</c:v>
                </c:pt>
                <c:pt idx="450">
                  <c:v>1095.95</c:v>
                </c:pt>
                <c:pt idx="451">
                  <c:v>1102.3499999999999</c:v>
                </c:pt>
                <c:pt idx="452">
                  <c:v>1106.4100000000001</c:v>
                </c:pt>
                <c:pt idx="453">
                  <c:v>1114.1099999999999</c:v>
                </c:pt>
                <c:pt idx="454">
                  <c:v>1107.93</c:v>
                </c:pt>
                <c:pt idx="455">
                  <c:v>1109.18</c:v>
                </c:pt>
                <c:pt idx="456">
                  <c:v>1096.08</c:v>
                </c:pt>
                <c:pt idx="457">
                  <c:v>1102.47</c:v>
                </c:pt>
                <c:pt idx="458">
                  <c:v>1114.05</c:v>
                </c:pt>
                <c:pt idx="459">
                  <c:v>1118.02</c:v>
                </c:pt>
                <c:pt idx="460">
                  <c:v>1120.5899999999999</c:v>
                </c:pt>
                <c:pt idx="461">
                  <c:v>1126.48</c:v>
                </c:pt>
                <c:pt idx="462">
                  <c:v>1127.78</c:v>
                </c:pt>
                <c:pt idx="463">
                  <c:v>1126.2</c:v>
                </c:pt>
                <c:pt idx="464">
                  <c:v>1126.42</c:v>
                </c:pt>
                <c:pt idx="465">
                  <c:v>1115.0999999999999</c:v>
                </c:pt>
                <c:pt idx="466">
                  <c:v>1132.99</c:v>
                </c:pt>
                <c:pt idx="467">
                  <c:v>1136.52</c:v>
                </c:pt>
                <c:pt idx="468">
                  <c:v>1137.1400000000001</c:v>
                </c:pt>
                <c:pt idx="469">
                  <c:v>1141.69</c:v>
                </c:pt>
                <c:pt idx="470">
                  <c:v>1144.98</c:v>
                </c:pt>
                <c:pt idx="471">
                  <c:v>1146.98</c:v>
                </c:pt>
                <c:pt idx="472">
                  <c:v>1136.22</c:v>
                </c:pt>
                <c:pt idx="473">
                  <c:v>1145.68</c:v>
                </c:pt>
                <c:pt idx="474">
                  <c:v>1148.46</c:v>
                </c:pt>
                <c:pt idx="475">
                  <c:v>1136.03</c:v>
                </c:pt>
                <c:pt idx="476">
                  <c:v>1150.23</c:v>
                </c:pt>
                <c:pt idx="477">
                  <c:v>1138.04</c:v>
                </c:pt>
                <c:pt idx="478">
                  <c:v>1116.48</c:v>
                </c:pt>
                <c:pt idx="479">
                  <c:v>1091.76</c:v>
                </c:pt>
                <c:pt idx="480">
                  <c:v>1096.78</c:v>
                </c:pt>
                <c:pt idx="481">
                  <c:v>1092.17</c:v>
                </c:pt>
                <c:pt idx="482">
                  <c:v>1097.5</c:v>
                </c:pt>
                <c:pt idx="483">
                  <c:v>1084.53</c:v>
                </c:pt>
                <c:pt idx="484">
                  <c:v>1073.8699999999999</c:v>
                </c:pt>
                <c:pt idx="485">
                  <c:v>1089.19</c:v>
                </c:pt>
                <c:pt idx="486">
                  <c:v>1103.32</c:v>
                </c:pt>
                <c:pt idx="487">
                  <c:v>1097.28</c:v>
                </c:pt>
                <c:pt idx="488">
                  <c:v>1063.1099999999999</c:v>
                </c:pt>
                <c:pt idx="489">
                  <c:v>1066.19</c:v>
                </c:pt>
                <c:pt idx="490">
                  <c:v>1056.74</c:v>
                </c:pt>
                <c:pt idx="491">
                  <c:v>1070.52</c:v>
                </c:pt>
                <c:pt idx="492">
                  <c:v>1068.1300000000001</c:v>
                </c:pt>
                <c:pt idx="493">
                  <c:v>1078.47</c:v>
                </c:pt>
                <c:pt idx="494">
                  <c:v>1075.51</c:v>
                </c:pt>
                <c:pt idx="495">
                  <c:v>1094.8699999999999</c:v>
                </c:pt>
                <c:pt idx="496">
                  <c:v>1099.51</c:v>
                </c:pt>
                <c:pt idx="497">
                  <c:v>1106.75</c:v>
                </c:pt>
                <c:pt idx="498">
                  <c:v>1109.17</c:v>
                </c:pt>
                <c:pt idx="499">
                  <c:v>1108.01</c:v>
                </c:pt>
                <c:pt idx="500">
                  <c:v>1094.5999999999999</c:v>
                </c:pt>
                <c:pt idx="501">
                  <c:v>1105.24</c:v>
                </c:pt>
                <c:pt idx="502">
                  <c:v>1102.94</c:v>
                </c:pt>
                <c:pt idx="503">
                  <c:v>1104.49</c:v>
                </c:pt>
                <c:pt idx="504">
                  <c:v>1115.71</c:v>
                </c:pt>
                <c:pt idx="505">
                  <c:v>1118.31</c:v>
                </c:pt>
                <c:pt idx="506">
                  <c:v>1118.79</c:v>
                </c:pt>
                <c:pt idx="507">
                  <c:v>1122.97</c:v>
                </c:pt>
                <c:pt idx="508">
                  <c:v>1138.7</c:v>
                </c:pt>
                <c:pt idx="509">
                  <c:v>1138.5</c:v>
                </c:pt>
                <c:pt idx="510">
                  <c:v>1140.45</c:v>
                </c:pt>
                <c:pt idx="511">
                  <c:v>1145.6099999999999</c:v>
                </c:pt>
                <c:pt idx="512">
                  <c:v>1150.24</c:v>
                </c:pt>
                <c:pt idx="513">
                  <c:v>1149.99</c:v>
                </c:pt>
                <c:pt idx="514">
                  <c:v>1150.51</c:v>
                </c:pt>
                <c:pt idx="515">
                  <c:v>1159.46</c:v>
                </c:pt>
                <c:pt idx="516">
                  <c:v>1166.21</c:v>
                </c:pt>
                <c:pt idx="517">
                  <c:v>1165.83</c:v>
                </c:pt>
                <c:pt idx="518">
                  <c:v>1159.9000000000001</c:v>
                </c:pt>
                <c:pt idx="519">
                  <c:v>1165.81</c:v>
                </c:pt>
                <c:pt idx="520">
                  <c:v>1174.17</c:v>
                </c:pt>
                <c:pt idx="521">
                  <c:v>1167.72</c:v>
                </c:pt>
                <c:pt idx="522">
                  <c:v>1165.73</c:v>
                </c:pt>
                <c:pt idx="523">
                  <c:v>1166.5899999999999</c:v>
                </c:pt>
                <c:pt idx="524">
                  <c:v>1173.22</c:v>
                </c:pt>
                <c:pt idx="525">
                  <c:v>1173.27</c:v>
                </c:pt>
                <c:pt idx="526">
                  <c:v>1169.43</c:v>
                </c:pt>
                <c:pt idx="527">
                  <c:v>1178.0999999999999</c:v>
                </c:pt>
                <c:pt idx="528">
                  <c:v>1187.44</c:v>
                </c:pt>
                <c:pt idx="529">
                  <c:v>1189.44</c:v>
                </c:pt>
                <c:pt idx="530">
                  <c:v>1182.45</c:v>
                </c:pt>
                <c:pt idx="531">
                  <c:v>1186.44</c:v>
                </c:pt>
                <c:pt idx="532">
                  <c:v>1194.3699999999999</c:v>
                </c:pt>
                <c:pt idx="533">
                  <c:v>1196.48</c:v>
                </c:pt>
                <c:pt idx="534">
                  <c:v>1197.3</c:v>
                </c:pt>
                <c:pt idx="535">
                  <c:v>1210.6500000000001</c:v>
                </c:pt>
                <c:pt idx="536">
                  <c:v>1211.67</c:v>
                </c:pt>
                <c:pt idx="537">
                  <c:v>1192.1300000000001</c:v>
                </c:pt>
                <c:pt idx="538">
                  <c:v>1197.52</c:v>
                </c:pt>
                <c:pt idx="539">
                  <c:v>1207.17</c:v>
                </c:pt>
                <c:pt idx="540">
                  <c:v>1205.94</c:v>
                </c:pt>
                <c:pt idx="541">
                  <c:v>1208.67</c:v>
                </c:pt>
                <c:pt idx="542">
                  <c:v>1217.28</c:v>
                </c:pt>
                <c:pt idx="543">
                  <c:v>1212.05</c:v>
                </c:pt>
                <c:pt idx="544">
                  <c:v>1183.71</c:v>
                </c:pt>
                <c:pt idx="545">
                  <c:v>1191.3599999999999</c:v>
                </c:pt>
                <c:pt idx="546">
                  <c:v>1206.78</c:v>
                </c:pt>
                <c:pt idx="547">
                  <c:v>1186.69</c:v>
                </c:pt>
                <c:pt idx="548">
                  <c:v>1202.26</c:v>
                </c:pt>
                <c:pt idx="549">
                  <c:v>1173.5999999999999</c:v>
                </c:pt>
                <c:pt idx="550">
                  <c:v>1165.8699999999999</c:v>
                </c:pt>
                <c:pt idx="551">
                  <c:v>1128.1500000000001</c:v>
                </c:pt>
                <c:pt idx="552">
                  <c:v>1110.8800000000001</c:v>
                </c:pt>
                <c:pt idx="553">
                  <c:v>1159.73</c:v>
                </c:pt>
                <c:pt idx="554">
                  <c:v>1155.79</c:v>
                </c:pt>
                <c:pt idx="555">
                  <c:v>1171.67</c:v>
                </c:pt>
                <c:pt idx="556">
                  <c:v>1157.44</c:v>
                </c:pt>
                <c:pt idx="557">
                  <c:v>1135.68</c:v>
                </c:pt>
                <c:pt idx="558">
                  <c:v>1136.94</c:v>
                </c:pt>
                <c:pt idx="559">
                  <c:v>1120.8</c:v>
                </c:pt>
                <c:pt idx="560">
                  <c:v>1115.05</c:v>
                </c:pt>
                <c:pt idx="561">
                  <c:v>1071.5899999999999</c:v>
                </c:pt>
                <c:pt idx="562">
                  <c:v>1087.69</c:v>
                </c:pt>
                <c:pt idx="563">
                  <c:v>1073.6500000000001</c:v>
                </c:pt>
                <c:pt idx="564">
                  <c:v>1074.03</c:v>
                </c:pt>
                <c:pt idx="565">
                  <c:v>1067.95</c:v>
                </c:pt>
                <c:pt idx="566">
                  <c:v>1103.06</c:v>
                </c:pt>
                <c:pt idx="567">
                  <c:v>1089.4100000000001</c:v>
                </c:pt>
                <c:pt idx="568">
                  <c:v>1070.71</c:v>
                </c:pt>
                <c:pt idx="569">
                  <c:v>1098.3800000000001</c:v>
                </c:pt>
                <c:pt idx="570">
                  <c:v>1102.83</c:v>
                </c:pt>
                <c:pt idx="571">
                  <c:v>1064.8800000000001</c:v>
                </c:pt>
                <c:pt idx="572">
                  <c:v>1050.47</c:v>
                </c:pt>
                <c:pt idx="573">
                  <c:v>1062</c:v>
                </c:pt>
                <c:pt idx="574">
                  <c:v>1055.69</c:v>
                </c:pt>
                <c:pt idx="575">
                  <c:v>1086.8399999999999</c:v>
                </c:pt>
                <c:pt idx="576">
                  <c:v>1091.5999999999999</c:v>
                </c:pt>
                <c:pt idx="577">
                  <c:v>1089.6300000000001</c:v>
                </c:pt>
                <c:pt idx="578">
                  <c:v>1115.23</c:v>
                </c:pt>
                <c:pt idx="579">
                  <c:v>1114.6099999999999</c:v>
                </c:pt>
                <c:pt idx="580">
                  <c:v>1116.04</c:v>
                </c:pt>
                <c:pt idx="581">
                  <c:v>1117.51</c:v>
                </c:pt>
                <c:pt idx="582">
                  <c:v>1113.2</c:v>
                </c:pt>
                <c:pt idx="583">
                  <c:v>1095.31</c:v>
                </c:pt>
                <c:pt idx="584">
                  <c:v>1092.04</c:v>
                </c:pt>
                <c:pt idx="585">
                  <c:v>1073.69</c:v>
                </c:pt>
                <c:pt idx="586">
                  <c:v>1076.76</c:v>
                </c:pt>
                <c:pt idx="587">
                  <c:v>1074.57</c:v>
                </c:pt>
                <c:pt idx="588">
                  <c:v>1041.24</c:v>
                </c:pt>
                <c:pt idx="589">
                  <c:v>1030.71</c:v>
                </c:pt>
                <c:pt idx="590">
                  <c:v>1027.3699999999999</c:v>
                </c:pt>
                <c:pt idx="591">
                  <c:v>1022.58</c:v>
                </c:pt>
                <c:pt idx="592">
                  <c:v>1028.06</c:v>
                </c:pt>
                <c:pt idx="593">
                  <c:v>1060.27</c:v>
                </c:pt>
                <c:pt idx="594">
                  <c:v>1070.25</c:v>
                </c:pt>
                <c:pt idx="595">
                  <c:v>1077.96</c:v>
                </c:pt>
                <c:pt idx="596">
                  <c:v>1078.75</c:v>
                </c:pt>
                <c:pt idx="597">
                  <c:v>1095.3399999999999</c:v>
                </c:pt>
                <c:pt idx="598">
                  <c:v>1095.17</c:v>
                </c:pt>
                <c:pt idx="599">
                  <c:v>1096.48</c:v>
                </c:pt>
                <c:pt idx="600">
                  <c:v>1064.8800000000001</c:v>
                </c:pt>
                <c:pt idx="601">
                  <c:v>1071.25</c:v>
                </c:pt>
                <c:pt idx="602">
                  <c:v>1083.48</c:v>
                </c:pt>
                <c:pt idx="603">
                  <c:v>1069.5899999999999</c:v>
                </c:pt>
                <c:pt idx="604">
                  <c:v>1093.67</c:v>
                </c:pt>
                <c:pt idx="605">
                  <c:v>1102.6600000000001</c:v>
                </c:pt>
                <c:pt idx="606">
                  <c:v>1115.01</c:v>
                </c:pt>
                <c:pt idx="607">
                  <c:v>1113.8399999999999</c:v>
                </c:pt>
                <c:pt idx="608">
                  <c:v>1106.1300000000001</c:v>
                </c:pt>
                <c:pt idx="609">
                  <c:v>1101.53</c:v>
                </c:pt>
                <c:pt idx="610">
                  <c:v>1101.5999999999999</c:v>
                </c:pt>
                <c:pt idx="611">
                  <c:v>1125.8599999999999</c:v>
                </c:pt>
                <c:pt idx="612">
                  <c:v>1120.46</c:v>
                </c:pt>
                <c:pt idx="613">
                  <c:v>1127.24</c:v>
                </c:pt>
                <c:pt idx="614">
                  <c:v>1125.81</c:v>
                </c:pt>
                <c:pt idx="615">
                  <c:v>1121.6400000000001</c:v>
                </c:pt>
                <c:pt idx="616">
                  <c:v>1127.79</c:v>
                </c:pt>
                <c:pt idx="617">
                  <c:v>1121.06</c:v>
                </c:pt>
                <c:pt idx="618">
                  <c:v>1089.47</c:v>
                </c:pt>
                <c:pt idx="619">
                  <c:v>1083.6099999999999</c:v>
                </c:pt>
                <c:pt idx="620">
                  <c:v>1079.25</c:v>
                </c:pt>
                <c:pt idx="621">
                  <c:v>1079.3800000000001</c:v>
                </c:pt>
                <c:pt idx="622">
                  <c:v>1092.54</c:v>
                </c:pt>
                <c:pt idx="623">
                  <c:v>1094.1600000000001</c:v>
                </c:pt>
                <c:pt idx="624">
                  <c:v>1075.6300000000001</c:v>
                </c:pt>
                <c:pt idx="625">
                  <c:v>1071.69</c:v>
                </c:pt>
                <c:pt idx="626">
                  <c:v>1067.3599999999999</c:v>
                </c:pt>
                <c:pt idx="627">
                  <c:v>1051.8699999999999</c:v>
                </c:pt>
                <c:pt idx="628">
                  <c:v>1055.33</c:v>
                </c:pt>
                <c:pt idx="629">
                  <c:v>1047.22</c:v>
                </c:pt>
                <c:pt idx="630">
                  <c:v>1064.5899999999999</c:v>
                </c:pt>
                <c:pt idx="631">
                  <c:v>1048.92</c:v>
                </c:pt>
                <c:pt idx="632">
                  <c:v>1049.33</c:v>
                </c:pt>
                <c:pt idx="633">
                  <c:v>1080.29</c:v>
                </c:pt>
                <c:pt idx="634">
                  <c:v>1090.0999999999999</c:v>
                </c:pt>
                <c:pt idx="635">
                  <c:v>1104.51</c:v>
                </c:pt>
                <c:pt idx="636">
                  <c:v>1091.8399999999999</c:v>
                </c:pt>
                <c:pt idx="637">
                  <c:v>1098.8699999999999</c:v>
                </c:pt>
                <c:pt idx="638">
                  <c:v>1104.18</c:v>
                </c:pt>
                <c:pt idx="639">
                  <c:v>1109.55</c:v>
                </c:pt>
                <c:pt idx="640">
                  <c:v>1121.9000000000001</c:v>
                </c:pt>
                <c:pt idx="641">
                  <c:v>1121.0999999999999</c:v>
                </c:pt>
                <c:pt idx="642">
                  <c:v>1125.07</c:v>
                </c:pt>
                <c:pt idx="643">
                  <c:v>1124.6600000000001</c:v>
                </c:pt>
                <c:pt idx="644">
                  <c:v>1125.5899999999999</c:v>
                </c:pt>
                <c:pt idx="645">
                  <c:v>1142.71</c:v>
                </c:pt>
                <c:pt idx="646">
                  <c:v>1139.78</c:v>
                </c:pt>
                <c:pt idx="647">
                  <c:v>1134.28</c:v>
                </c:pt>
                <c:pt idx="648">
                  <c:v>1124.83</c:v>
                </c:pt>
                <c:pt idx="649">
                  <c:v>1148.67</c:v>
                </c:pt>
                <c:pt idx="650">
                  <c:v>1142.1600000000001</c:v>
                </c:pt>
                <c:pt idx="651">
                  <c:v>1147.7</c:v>
                </c:pt>
                <c:pt idx="652">
                  <c:v>1144.73</c:v>
                </c:pt>
                <c:pt idx="653">
                  <c:v>1141.2</c:v>
                </c:pt>
                <c:pt idx="654">
                  <c:v>1146.24</c:v>
                </c:pt>
                <c:pt idx="655">
                  <c:v>1137.03</c:v>
                </c:pt>
                <c:pt idx="656">
                  <c:v>1160.75</c:v>
                </c:pt>
                <c:pt idx="657">
                  <c:v>1159.97</c:v>
                </c:pt>
                <c:pt idx="658">
                  <c:v>1158.06</c:v>
                </c:pt>
                <c:pt idx="659">
                  <c:v>1165.1500000000001</c:v>
                </c:pt>
                <c:pt idx="660">
                  <c:v>1165.32</c:v>
                </c:pt>
                <c:pt idx="661">
                  <c:v>1169.77</c:v>
                </c:pt>
                <c:pt idx="662">
                  <c:v>1178.0999999999999</c:v>
                </c:pt>
                <c:pt idx="663">
                  <c:v>1173.81</c:v>
                </c:pt>
                <c:pt idx="664">
                  <c:v>1176.19</c:v>
                </c:pt>
                <c:pt idx="665">
                  <c:v>1184.71</c:v>
                </c:pt>
                <c:pt idx="666">
                  <c:v>1165.9000000000001</c:v>
                </c:pt>
                <c:pt idx="667">
                  <c:v>1178.17</c:v>
                </c:pt>
                <c:pt idx="668">
                  <c:v>1180.26</c:v>
                </c:pt>
                <c:pt idx="669">
                  <c:v>1183.08</c:v>
                </c:pt>
                <c:pt idx="670">
                  <c:v>1185.6199999999999</c:v>
                </c:pt>
                <c:pt idx="671">
                  <c:v>1185.6400000000001</c:v>
                </c:pt>
                <c:pt idx="672">
                  <c:v>1182.45</c:v>
                </c:pt>
                <c:pt idx="673">
                  <c:v>1183.78</c:v>
                </c:pt>
                <c:pt idx="674">
                  <c:v>1183.26</c:v>
                </c:pt>
                <c:pt idx="675">
                  <c:v>1184.3800000000001</c:v>
                </c:pt>
                <c:pt idx="676">
                  <c:v>1193.57</c:v>
                </c:pt>
                <c:pt idx="677">
                  <c:v>1197.96</c:v>
                </c:pt>
                <c:pt idx="678">
                  <c:v>1221.06</c:v>
                </c:pt>
                <c:pt idx="679">
                  <c:v>1225.8499999999999</c:v>
                </c:pt>
                <c:pt idx="680">
                  <c:v>1223.25</c:v>
                </c:pt>
                <c:pt idx="681">
                  <c:v>1213.4000000000001</c:v>
                </c:pt>
                <c:pt idx="682">
                  <c:v>1218.71</c:v>
                </c:pt>
                <c:pt idx="683">
                  <c:v>1213.54</c:v>
                </c:pt>
                <c:pt idx="684">
                  <c:v>1199.21</c:v>
                </c:pt>
                <c:pt idx="685">
                  <c:v>1197.75</c:v>
                </c:pt>
                <c:pt idx="686">
                  <c:v>1178.3399999999999</c:v>
                </c:pt>
                <c:pt idx="687">
                  <c:v>1178.5899999999999</c:v>
                </c:pt>
                <c:pt idx="688">
                  <c:v>1196.69</c:v>
                </c:pt>
                <c:pt idx="689">
                  <c:v>1199.73</c:v>
                </c:pt>
                <c:pt idx="690">
                  <c:v>1197.8399999999999</c:v>
                </c:pt>
                <c:pt idx="691">
                  <c:v>1180.73</c:v>
                </c:pt>
                <c:pt idx="692">
                  <c:v>1198.3499999999999</c:v>
                </c:pt>
                <c:pt idx="693">
                  <c:v>1189.4000000000001</c:v>
                </c:pt>
                <c:pt idx="694">
                  <c:v>1187.76</c:v>
                </c:pt>
                <c:pt idx="695">
                  <c:v>1180.55</c:v>
                </c:pt>
                <c:pt idx="696">
                  <c:v>1206.07</c:v>
                </c:pt>
                <c:pt idx="697">
                  <c:v>1221.53</c:v>
                </c:pt>
                <c:pt idx="698">
                  <c:v>1224.71</c:v>
                </c:pt>
                <c:pt idx="699">
                  <c:v>1223.1199999999999</c:v>
                </c:pt>
                <c:pt idx="700">
                  <c:v>1223.75</c:v>
                </c:pt>
                <c:pt idx="701">
                  <c:v>1228.28</c:v>
                </c:pt>
                <c:pt idx="702">
                  <c:v>1233</c:v>
                </c:pt>
                <c:pt idx="703">
                  <c:v>1240.4000000000001</c:v>
                </c:pt>
                <c:pt idx="704">
                  <c:v>1240.46</c:v>
                </c:pt>
                <c:pt idx="705">
                  <c:v>1241.5899999999999</c:v>
                </c:pt>
                <c:pt idx="706">
                  <c:v>1235.23</c:v>
                </c:pt>
                <c:pt idx="707">
                  <c:v>1242.8699999999999</c:v>
                </c:pt>
                <c:pt idx="708">
                  <c:v>1243.9100000000001</c:v>
                </c:pt>
                <c:pt idx="709">
                  <c:v>1247.08</c:v>
                </c:pt>
                <c:pt idx="710">
                  <c:v>1254.5999999999999</c:v>
                </c:pt>
                <c:pt idx="711">
                  <c:v>1258.8399999999999</c:v>
                </c:pt>
                <c:pt idx="712">
                  <c:v>1256.77</c:v>
                </c:pt>
                <c:pt idx="713">
                  <c:v>1257.54</c:v>
                </c:pt>
                <c:pt idx="714">
                  <c:v>1258.51</c:v>
                </c:pt>
                <c:pt idx="715">
                  <c:v>1259.78</c:v>
                </c:pt>
                <c:pt idx="716">
                  <c:v>1257.8800000000001</c:v>
                </c:pt>
                <c:pt idx="717">
                  <c:v>1257.6400000000001</c:v>
                </c:pt>
                <c:pt idx="718">
                  <c:v>1271.8699999999999</c:v>
                </c:pt>
                <c:pt idx="719">
                  <c:v>1270.2</c:v>
                </c:pt>
                <c:pt idx="720">
                  <c:v>1276.56</c:v>
                </c:pt>
                <c:pt idx="721">
                  <c:v>1273.8499999999999</c:v>
                </c:pt>
                <c:pt idx="722">
                  <c:v>1271.5</c:v>
                </c:pt>
                <c:pt idx="723">
                  <c:v>1269.75</c:v>
                </c:pt>
                <c:pt idx="724">
                  <c:v>1274.48</c:v>
                </c:pt>
                <c:pt idx="725">
                  <c:v>1285.96</c:v>
                </c:pt>
                <c:pt idx="726">
                  <c:v>1283.76</c:v>
                </c:pt>
                <c:pt idx="727">
                  <c:v>1293.24</c:v>
                </c:pt>
                <c:pt idx="728">
                  <c:v>1295.02</c:v>
                </c:pt>
                <c:pt idx="729">
                  <c:v>1281.92</c:v>
                </c:pt>
                <c:pt idx="730">
                  <c:v>1280.26</c:v>
                </c:pt>
                <c:pt idx="731">
                  <c:v>1283.3499999999999</c:v>
                </c:pt>
                <c:pt idx="732">
                  <c:v>1290.8399999999999</c:v>
                </c:pt>
                <c:pt idx="733">
                  <c:v>1291.18</c:v>
                </c:pt>
                <c:pt idx="734">
                  <c:v>1296.6300000000001</c:v>
                </c:pt>
                <c:pt idx="735">
                  <c:v>1299.54</c:v>
                </c:pt>
                <c:pt idx="736">
                  <c:v>1276.3399999999999</c:v>
                </c:pt>
                <c:pt idx="737">
                  <c:v>1286.1199999999999</c:v>
                </c:pt>
                <c:pt idx="738">
                  <c:v>1307.5899999999999</c:v>
                </c:pt>
                <c:pt idx="739">
                  <c:v>1304.03</c:v>
                </c:pt>
                <c:pt idx="740">
                  <c:v>1307.0999999999999</c:v>
                </c:pt>
                <c:pt idx="741">
                  <c:v>1310.87</c:v>
                </c:pt>
                <c:pt idx="742">
                  <c:v>1319.05</c:v>
                </c:pt>
                <c:pt idx="743">
                  <c:v>1324.57</c:v>
                </c:pt>
                <c:pt idx="744">
                  <c:v>1320.88</c:v>
                </c:pt>
                <c:pt idx="745">
                  <c:v>1321.87</c:v>
                </c:pt>
                <c:pt idx="746">
                  <c:v>1329.15</c:v>
                </c:pt>
                <c:pt idx="747">
                  <c:v>1332.32</c:v>
                </c:pt>
                <c:pt idx="748">
                  <c:v>1328.01</c:v>
                </c:pt>
                <c:pt idx="749">
                  <c:v>1336.32</c:v>
                </c:pt>
                <c:pt idx="750">
                  <c:v>1340.43</c:v>
                </c:pt>
                <c:pt idx="751">
                  <c:v>1343.01</c:v>
                </c:pt>
                <c:pt idx="752">
                  <c:v>1315.44</c:v>
                </c:pt>
                <c:pt idx="753">
                  <c:v>1307.4000000000001</c:v>
                </c:pt>
                <c:pt idx="754">
                  <c:v>1306.0999999999999</c:v>
                </c:pt>
                <c:pt idx="755">
                  <c:v>1319.88</c:v>
                </c:pt>
                <c:pt idx="756">
                  <c:v>1327.22</c:v>
                </c:pt>
                <c:pt idx="757">
                  <c:v>1306.33</c:v>
                </c:pt>
                <c:pt idx="758">
                  <c:v>1308.44</c:v>
                </c:pt>
                <c:pt idx="759">
                  <c:v>1330.97</c:v>
                </c:pt>
                <c:pt idx="760">
                  <c:v>1321.15</c:v>
                </c:pt>
                <c:pt idx="761">
                  <c:v>1310.1300000000001</c:v>
                </c:pt>
                <c:pt idx="762">
                  <c:v>1321.82</c:v>
                </c:pt>
                <c:pt idx="763">
                  <c:v>1320.02</c:v>
                </c:pt>
                <c:pt idx="764">
                  <c:v>1295.1099999999999</c:v>
                </c:pt>
                <c:pt idx="765">
                  <c:v>1304.28</c:v>
                </c:pt>
                <c:pt idx="766">
                  <c:v>1296.3900000000001</c:v>
                </c:pt>
                <c:pt idx="767">
                  <c:v>1281.8699999999999</c:v>
                </c:pt>
                <c:pt idx="768">
                  <c:v>1256.8800000000001</c:v>
                </c:pt>
                <c:pt idx="769">
                  <c:v>1273.72</c:v>
                </c:pt>
                <c:pt idx="770">
                  <c:v>1279.21</c:v>
                </c:pt>
                <c:pt idx="771">
                  <c:v>1298.3800000000001</c:v>
                </c:pt>
                <c:pt idx="772">
                  <c:v>1293.77</c:v>
                </c:pt>
                <c:pt idx="773">
                  <c:v>1297.54</c:v>
                </c:pt>
                <c:pt idx="774">
                  <c:v>1309.6600000000001</c:v>
                </c:pt>
                <c:pt idx="775">
                  <c:v>1313.8</c:v>
                </c:pt>
                <c:pt idx="776">
                  <c:v>1310.19</c:v>
                </c:pt>
                <c:pt idx="777">
                  <c:v>1319.44</c:v>
                </c:pt>
                <c:pt idx="778">
                  <c:v>1328.26</c:v>
                </c:pt>
                <c:pt idx="779">
                  <c:v>1325.83</c:v>
                </c:pt>
                <c:pt idx="780">
                  <c:v>1332.41</c:v>
                </c:pt>
                <c:pt idx="781">
                  <c:v>1332.87</c:v>
                </c:pt>
                <c:pt idx="782">
                  <c:v>1332.63</c:v>
                </c:pt>
                <c:pt idx="783">
                  <c:v>1335.54</c:v>
                </c:pt>
                <c:pt idx="784">
                  <c:v>1333.51</c:v>
                </c:pt>
                <c:pt idx="785">
                  <c:v>1328.17</c:v>
                </c:pt>
                <c:pt idx="786">
                  <c:v>1324.46</c:v>
                </c:pt>
                <c:pt idx="787">
                  <c:v>1314.16</c:v>
                </c:pt>
                <c:pt idx="788">
                  <c:v>1314.41</c:v>
                </c:pt>
                <c:pt idx="789">
                  <c:v>1314.52</c:v>
                </c:pt>
                <c:pt idx="790">
                  <c:v>1319.68</c:v>
                </c:pt>
                <c:pt idx="791">
                  <c:v>1305.1400000000001</c:v>
                </c:pt>
                <c:pt idx="792">
                  <c:v>1312.62</c:v>
                </c:pt>
                <c:pt idx="793">
                  <c:v>1330.36</c:v>
                </c:pt>
                <c:pt idx="794">
                  <c:v>1337.38</c:v>
                </c:pt>
                <c:pt idx="795">
                  <c:v>1335.25</c:v>
                </c:pt>
                <c:pt idx="796">
                  <c:v>1347.24</c:v>
                </c:pt>
                <c:pt idx="797">
                  <c:v>1355.66</c:v>
                </c:pt>
                <c:pt idx="798">
                  <c:v>1360.48</c:v>
                </c:pt>
                <c:pt idx="799">
                  <c:v>1363.61</c:v>
                </c:pt>
                <c:pt idx="800">
                  <c:v>1361.22</c:v>
                </c:pt>
                <c:pt idx="801">
                  <c:v>1356.62</c:v>
                </c:pt>
                <c:pt idx="802">
                  <c:v>1347.32</c:v>
                </c:pt>
                <c:pt idx="803">
                  <c:v>1335.1</c:v>
                </c:pt>
                <c:pt idx="804">
                  <c:v>1340.2</c:v>
                </c:pt>
                <c:pt idx="805">
                  <c:v>1346.29</c:v>
                </c:pt>
                <c:pt idx="806">
                  <c:v>1357.16</c:v>
                </c:pt>
                <c:pt idx="807">
                  <c:v>1342.08</c:v>
                </c:pt>
                <c:pt idx="808">
                  <c:v>1348.65</c:v>
                </c:pt>
                <c:pt idx="809">
                  <c:v>1337.77</c:v>
                </c:pt>
                <c:pt idx="810">
                  <c:v>1329.47</c:v>
                </c:pt>
                <c:pt idx="811">
                  <c:v>1328.98</c:v>
                </c:pt>
                <c:pt idx="812">
                  <c:v>1340.68</c:v>
                </c:pt>
                <c:pt idx="813">
                  <c:v>1343.6</c:v>
                </c:pt>
                <c:pt idx="814">
                  <c:v>1333.27</c:v>
                </c:pt>
                <c:pt idx="815">
                  <c:v>1317.37</c:v>
                </c:pt>
                <c:pt idx="816">
                  <c:v>1316.28</c:v>
                </c:pt>
                <c:pt idx="817">
                  <c:v>1320.47</c:v>
                </c:pt>
                <c:pt idx="818">
                  <c:v>1325.69</c:v>
                </c:pt>
                <c:pt idx="819">
                  <c:v>1331.1</c:v>
                </c:pt>
                <c:pt idx="820">
                  <c:v>1345.2</c:v>
                </c:pt>
                <c:pt idx="821">
                  <c:v>1314.55</c:v>
                </c:pt>
                <c:pt idx="822">
                  <c:v>1312.94</c:v>
                </c:pt>
                <c:pt idx="823">
                  <c:v>1300.1600000000001</c:v>
                </c:pt>
                <c:pt idx="824">
                  <c:v>1286.17</c:v>
                </c:pt>
                <c:pt idx="825">
                  <c:v>1284.94</c:v>
                </c:pt>
                <c:pt idx="826">
                  <c:v>1279.56</c:v>
                </c:pt>
                <c:pt idx="827">
                  <c:v>1289</c:v>
                </c:pt>
                <c:pt idx="828">
                  <c:v>1270.98</c:v>
                </c:pt>
                <c:pt idx="829">
                  <c:v>1271.83</c:v>
                </c:pt>
                <c:pt idx="830">
                  <c:v>1287.8699999999999</c:v>
                </c:pt>
                <c:pt idx="831">
                  <c:v>1265.42</c:v>
                </c:pt>
                <c:pt idx="832">
                  <c:v>1267.6400000000001</c:v>
                </c:pt>
                <c:pt idx="833">
                  <c:v>1271.5</c:v>
                </c:pt>
                <c:pt idx="834">
                  <c:v>1278.3599999999999</c:v>
                </c:pt>
                <c:pt idx="835">
                  <c:v>1295.52</c:v>
                </c:pt>
                <c:pt idx="836">
                  <c:v>1287.1400000000001</c:v>
                </c:pt>
                <c:pt idx="837">
                  <c:v>1283.5</c:v>
                </c:pt>
                <c:pt idx="838">
                  <c:v>1268.45</c:v>
                </c:pt>
                <c:pt idx="839">
                  <c:v>1280.0999999999999</c:v>
                </c:pt>
                <c:pt idx="840">
                  <c:v>1296.67</c:v>
                </c:pt>
                <c:pt idx="841">
                  <c:v>1307.4100000000001</c:v>
                </c:pt>
                <c:pt idx="842">
                  <c:v>1320.64</c:v>
                </c:pt>
                <c:pt idx="843">
                  <c:v>1339.67</c:v>
                </c:pt>
                <c:pt idx="844">
                  <c:v>1337.88</c:v>
                </c:pt>
                <c:pt idx="845">
                  <c:v>1339.22</c:v>
                </c:pt>
                <c:pt idx="846">
                  <c:v>1353.22</c:v>
                </c:pt>
                <c:pt idx="847">
                  <c:v>1343.8</c:v>
                </c:pt>
                <c:pt idx="848">
                  <c:v>1319.49</c:v>
                </c:pt>
                <c:pt idx="849">
                  <c:v>1313.64</c:v>
                </c:pt>
                <c:pt idx="850">
                  <c:v>1317.72</c:v>
                </c:pt>
                <c:pt idx="851">
                  <c:v>1308.8699999999999</c:v>
                </c:pt>
                <c:pt idx="852">
                  <c:v>1316.14</c:v>
                </c:pt>
                <c:pt idx="853">
                  <c:v>1305.44</c:v>
                </c:pt>
                <c:pt idx="854">
                  <c:v>1326.73</c:v>
                </c:pt>
                <c:pt idx="855">
                  <c:v>1325.84</c:v>
                </c:pt>
                <c:pt idx="856">
                  <c:v>1343.8</c:v>
                </c:pt>
                <c:pt idx="857">
                  <c:v>1345.02</c:v>
                </c:pt>
                <c:pt idx="858">
                  <c:v>1337.43</c:v>
                </c:pt>
                <c:pt idx="859">
                  <c:v>1331.94</c:v>
                </c:pt>
                <c:pt idx="860">
                  <c:v>1304.8900000000001</c:v>
                </c:pt>
                <c:pt idx="861">
                  <c:v>1300.67</c:v>
                </c:pt>
                <c:pt idx="862">
                  <c:v>1292.28</c:v>
                </c:pt>
                <c:pt idx="863">
                  <c:v>1286.94</c:v>
                </c:pt>
                <c:pt idx="864">
                  <c:v>1254.05</c:v>
                </c:pt>
                <c:pt idx="865">
                  <c:v>1260.3399999999999</c:v>
                </c:pt>
                <c:pt idx="866">
                  <c:v>1200.07</c:v>
                </c:pt>
                <c:pt idx="867">
                  <c:v>1199.3800000000001</c:v>
                </c:pt>
                <c:pt idx="868">
                  <c:v>1119.46</c:v>
                </c:pt>
                <c:pt idx="869">
                  <c:v>1172.53</c:v>
                </c:pt>
                <c:pt idx="870">
                  <c:v>1120.76</c:v>
                </c:pt>
                <c:pt idx="871">
                  <c:v>1172.6400000000001</c:v>
                </c:pt>
                <c:pt idx="872">
                  <c:v>1178.81</c:v>
                </c:pt>
                <c:pt idx="873">
                  <c:v>1204.49</c:v>
                </c:pt>
                <c:pt idx="874">
                  <c:v>1192.76</c:v>
                </c:pt>
                <c:pt idx="875">
                  <c:v>1193.8900000000001</c:v>
                </c:pt>
                <c:pt idx="876">
                  <c:v>1140.6500000000001</c:v>
                </c:pt>
                <c:pt idx="877">
                  <c:v>1123.53</c:v>
                </c:pt>
                <c:pt idx="878">
                  <c:v>1123.82</c:v>
                </c:pt>
                <c:pt idx="879">
                  <c:v>1162.3499999999999</c:v>
                </c:pt>
                <c:pt idx="880">
                  <c:v>1177.5999999999999</c:v>
                </c:pt>
                <c:pt idx="881">
                  <c:v>1159.27</c:v>
                </c:pt>
                <c:pt idx="882">
                  <c:v>1176.8</c:v>
                </c:pt>
                <c:pt idx="883">
                  <c:v>1210.08</c:v>
                </c:pt>
                <c:pt idx="884">
                  <c:v>1212.92</c:v>
                </c:pt>
                <c:pt idx="885">
                  <c:v>1218.8900000000001</c:v>
                </c:pt>
                <c:pt idx="886">
                  <c:v>1204.42</c:v>
                </c:pt>
                <c:pt idx="887">
                  <c:v>1173.97</c:v>
                </c:pt>
                <c:pt idx="888">
                  <c:v>1165.24</c:v>
                </c:pt>
                <c:pt idx="889">
                  <c:v>1198.6199999999999</c:v>
                </c:pt>
                <c:pt idx="890">
                  <c:v>1185.9000000000001</c:v>
                </c:pt>
                <c:pt idx="891">
                  <c:v>1154.23</c:v>
                </c:pt>
                <c:pt idx="892">
                  <c:v>1162.27</c:v>
                </c:pt>
                <c:pt idx="893">
                  <c:v>1172.8699999999999</c:v>
                </c:pt>
                <c:pt idx="894">
                  <c:v>1188.68</c:v>
                </c:pt>
                <c:pt idx="895">
                  <c:v>1209.1099999999999</c:v>
                </c:pt>
                <c:pt idx="896">
                  <c:v>1216.01</c:v>
                </c:pt>
                <c:pt idx="897">
                  <c:v>1204.0899999999999</c:v>
                </c:pt>
                <c:pt idx="898">
                  <c:v>1202.0899999999999</c:v>
                </c:pt>
                <c:pt idx="899">
                  <c:v>1166.76</c:v>
                </c:pt>
                <c:pt idx="900">
                  <c:v>1129.56</c:v>
                </c:pt>
                <c:pt idx="901">
                  <c:v>1136.43</c:v>
                </c:pt>
                <c:pt idx="902">
                  <c:v>1162.95</c:v>
                </c:pt>
                <c:pt idx="903">
                  <c:v>1175.3800000000001</c:v>
                </c:pt>
                <c:pt idx="904">
                  <c:v>1151.06</c:v>
                </c:pt>
                <c:pt idx="905">
                  <c:v>1160.4000000000001</c:v>
                </c:pt>
                <c:pt idx="906">
                  <c:v>1131.42</c:v>
                </c:pt>
                <c:pt idx="907">
                  <c:v>1099.23</c:v>
                </c:pt>
                <c:pt idx="908">
                  <c:v>1123.95</c:v>
                </c:pt>
                <c:pt idx="909">
                  <c:v>1144.03</c:v>
                </c:pt>
                <c:pt idx="910">
                  <c:v>1164.97</c:v>
                </c:pt>
                <c:pt idx="911">
                  <c:v>1155.46</c:v>
                </c:pt>
                <c:pt idx="912">
                  <c:v>1194.8900000000001</c:v>
                </c:pt>
                <c:pt idx="913">
                  <c:v>1195.54</c:v>
                </c:pt>
                <c:pt idx="914">
                  <c:v>1207.25</c:v>
                </c:pt>
                <c:pt idx="915">
                  <c:v>1203.6600000000001</c:v>
                </c:pt>
                <c:pt idx="916">
                  <c:v>1224.58</c:v>
                </c:pt>
                <c:pt idx="917">
                  <c:v>1200.8599999999999</c:v>
                </c:pt>
                <c:pt idx="918">
                  <c:v>1225.3800000000001</c:v>
                </c:pt>
                <c:pt idx="919">
                  <c:v>1209.8800000000001</c:v>
                </c:pt>
                <c:pt idx="920">
                  <c:v>1215.3900000000001</c:v>
                </c:pt>
                <c:pt idx="921">
                  <c:v>1238.25</c:v>
                </c:pt>
                <c:pt idx="922">
                  <c:v>1254.19</c:v>
                </c:pt>
                <c:pt idx="923">
                  <c:v>1229.05</c:v>
                </c:pt>
                <c:pt idx="924">
                  <c:v>1242</c:v>
                </c:pt>
                <c:pt idx="925">
                  <c:v>1284.5899999999999</c:v>
                </c:pt>
                <c:pt idx="926">
                  <c:v>1285.0899999999999</c:v>
                </c:pt>
                <c:pt idx="927">
                  <c:v>1253.3</c:v>
                </c:pt>
                <c:pt idx="928">
                  <c:v>1218.28</c:v>
                </c:pt>
                <c:pt idx="929">
                  <c:v>1237.9000000000001</c:v>
                </c:pt>
                <c:pt idx="930">
                  <c:v>1261.1500000000001</c:v>
                </c:pt>
                <c:pt idx="931">
                  <c:v>1253.23</c:v>
                </c:pt>
                <c:pt idx="932">
                  <c:v>1261.1199999999999</c:v>
                </c:pt>
                <c:pt idx="933">
                  <c:v>1275.92</c:v>
                </c:pt>
                <c:pt idx="934">
                  <c:v>1229.0999999999999</c:v>
                </c:pt>
                <c:pt idx="935">
                  <c:v>1239.7</c:v>
                </c:pt>
                <c:pt idx="936">
                  <c:v>1263.8499999999999</c:v>
                </c:pt>
                <c:pt idx="937">
                  <c:v>1251.78</c:v>
                </c:pt>
                <c:pt idx="938">
                  <c:v>1257.81</c:v>
                </c:pt>
                <c:pt idx="939">
                  <c:v>1236.9100000000001</c:v>
                </c:pt>
                <c:pt idx="940">
                  <c:v>1216.1300000000001</c:v>
                </c:pt>
                <c:pt idx="941">
                  <c:v>1215.6500000000001</c:v>
                </c:pt>
                <c:pt idx="942">
                  <c:v>1192.98</c:v>
                </c:pt>
                <c:pt idx="943">
                  <c:v>1188.04</c:v>
                </c:pt>
                <c:pt idx="944">
                  <c:v>1161.79</c:v>
                </c:pt>
                <c:pt idx="945">
                  <c:v>1158.67</c:v>
                </c:pt>
                <c:pt idx="946">
                  <c:v>1192.55</c:v>
                </c:pt>
                <c:pt idx="947">
                  <c:v>1195.19</c:v>
                </c:pt>
                <c:pt idx="948">
                  <c:v>1246.96</c:v>
                </c:pt>
                <c:pt idx="949">
                  <c:v>1244.58</c:v>
                </c:pt>
                <c:pt idx="950">
                  <c:v>1244.28</c:v>
                </c:pt>
                <c:pt idx="951">
                  <c:v>1257.08</c:v>
                </c:pt>
                <c:pt idx="952">
                  <c:v>1258.47</c:v>
                </c:pt>
                <c:pt idx="953">
                  <c:v>1261.01</c:v>
                </c:pt>
                <c:pt idx="954">
                  <c:v>1234.3499999999999</c:v>
                </c:pt>
                <c:pt idx="955">
                  <c:v>1255.19</c:v>
                </c:pt>
                <c:pt idx="956">
                  <c:v>1236.47</c:v>
                </c:pt>
                <c:pt idx="957">
                  <c:v>1225.73</c:v>
                </c:pt>
                <c:pt idx="958">
                  <c:v>1211.82</c:v>
                </c:pt>
                <c:pt idx="959">
                  <c:v>1215.75</c:v>
                </c:pt>
                <c:pt idx="960">
                  <c:v>1219.6600000000001</c:v>
                </c:pt>
                <c:pt idx="961">
                  <c:v>1205.3499999999999</c:v>
                </c:pt>
                <c:pt idx="962">
                  <c:v>1241.3</c:v>
                </c:pt>
                <c:pt idx="963">
                  <c:v>1243.72</c:v>
                </c:pt>
                <c:pt idx="964">
                  <c:v>1254</c:v>
                </c:pt>
                <c:pt idx="965">
                  <c:v>1265.33</c:v>
                </c:pt>
                <c:pt idx="966">
                  <c:v>1265.43</c:v>
                </c:pt>
                <c:pt idx="967">
                  <c:v>1249.6400000000001</c:v>
                </c:pt>
                <c:pt idx="968">
                  <c:v>1263.02</c:v>
                </c:pt>
                <c:pt idx="969">
                  <c:v>1257.5999999999999</c:v>
                </c:pt>
                <c:pt idx="970">
                  <c:v>1277.06</c:v>
                </c:pt>
                <c:pt idx="971">
                  <c:v>1277.3</c:v>
                </c:pt>
                <c:pt idx="972">
                  <c:v>1281.06</c:v>
                </c:pt>
                <c:pt idx="973">
                  <c:v>1277.81</c:v>
                </c:pt>
                <c:pt idx="974">
                  <c:v>1280.7</c:v>
                </c:pt>
                <c:pt idx="975">
                  <c:v>1292.08</c:v>
                </c:pt>
                <c:pt idx="976">
                  <c:v>1292.48</c:v>
                </c:pt>
                <c:pt idx="977">
                  <c:v>1295.5</c:v>
                </c:pt>
                <c:pt idx="978">
                  <c:v>1289.0899999999999</c:v>
                </c:pt>
                <c:pt idx="979">
                  <c:v>1293.67</c:v>
                </c:pt>
                <c:pt idx="980">
                  <c:v>1308.04</c:v>
                </c:pt>
                <c:pt idx="981">
                  <c:v>1314.5</c:v>
                </c:pt>
                <c:pt idx="982">
                  <c:v>1315.38</c:v>
                </c:pt>
                <c:pt idx="983">
                  <c:v>1316</c:v>
                </c:pt>
                <c:pt idx="984">
                  <c:v>1314.65</c:v>
                </c:pt>
                <c:pt idx="985">
                  <c:v>1326.06</c:v>
                </c:pt>
                <c:pt idx="986">
                  <c:v>1318.43</c:v>
                </c:pt>
                <c:pt idx="987">
                  <c:v>1316.33</c:v>
                </c:pt>
                <c:pt idx="988">
                  <c:v>1313.01</c:v>
                </c:pt>
                <c:pt idx="989">
                  <c:v>1312.41</c:v>
                </c:pt>
                <c:pt idx="990">
                  <c:v>1324.09</c:v>
                </c:pt>
                <c:pt idx="991">
                  <c:v>1325.54</c:v>
                </c:pt>
                <c:pt idx="992">
                  <c:v>1344.9</c:v>
                </c:pt>
                <c:pt idx="993">
                  <c:v>1344.33</c:v>
                </c:pt>
                <c:pt idx="994">
                  <c:v>1347.05</c:v>
                </c:pt>
                <c:pt idx="995">
                  <c:v>1349.96</c:v>
                </c:pt>
                <c:pt idx="996">
                  <c:v>1351.95</c:v>
                </c:pt>
                <c:pt idx="997">
                  <c:v>1342.64</c:v>
                </c:pt>
                <c:pt idx="998">
                  <c:v>1351.77</c:v>
                </c:pt>
                <c:pt idx="999">
                  <c:v>1350.5</c:v>
                </c:pt>
                <c:pt idx="1000">
                  <c:v>1343.23</c:v>
                </c:pt>
                <c:pt idx="1001">
                  <c:v>1358.04</c:v>
                </c:pt>
                <c:pt idx="1002">
                  <c:v>1361.23</c:v>
                </c:pt>
                <c:pt idx="1003">
                  <c:v>1362.21</c:v>
                </c:pt>
                <c:pt idx="1004">
                  <c:v>1357.66</c:v>
                </c:pt>
                <c:pt idx="1005">
                  <c:v>1363.46</c:v>
                </c:pt>
                <c:pt idx="1006">
                  <c:v>1365.74</c:v>
                </c:pt>
                <c:pt idx="1007">
                  <c:v>1367.59</c:v>
                </c:pt>
                <c:pt idx="1008">
                  <c:v>1372.18</c:v>
                </c:pt>
                <c:pt idx="1009">
                  <c:v>1365.68</c:v>
                </c:pt>
                <c:pt idx="1010">
                  <c:v>1374.09</c:v>
                </c:pt>
                <c:pt idx="1011">
                  <c:v>1369.63</c:v>
                </c:pt>
                <c:pt idx="1012">
                  <c:v>1364.33</c:v>
                </c:pt>
                <c:pt idx="1013">
                  <c:v>1343.36</c:v>
                </c:pt>
                <c:pt idx="1014">
                  <c:v>1352.63</c:v>
                </c:pt>
                <c:pt idx="1015">
                  <c:v>1365.91</c:v>
                </c:pt>
                <c:pt idx="1016">
                  <c:v>1370.87</c:v>
                </c:pt>
                <c:pt idx="1017">
                  <c:v>1371.09</c:v>
                </c:pt>
                <c:pt idx="1018">
                  <c:v>1395.95</c:v>
                </c:pt>
                <c:pt idx="1019">
                  <c:v>1394.28</c:v>
                </c:pt>
                <c:pt idx="1020">
                  <c:v>1402.6</c:v>
                </c:pt>
                <c:pt idx="1021">
                  <c:v>1404.17</c:v>
                </c:pt>
                <c:pt idx="1022">
                  <c:v>1409.75</c:v>
                </c:pt>
                <c:pt idx="1023">
                  <c:v>1405.52</c:v>
                </c:pt>
                <c:pt idx="1024">
                  <c:v>1402.89</c:v>
                </c:pt>
                <c:pt idx="1025">
                  <c:v>1392.78</c:v>
                </c:pt>
                <c:pt idx="1026">
                  <c:v>1397.11</c:v>
                </c:pt>
                <c:pt idx="1027">
                  <c:v>1416.51</c:v>
                </c:pt>
                <c:pt idx="1028">
                  <c:v>1412.52</c:v>
                </c:pt>
                <c:pt idx="1029">
                  <c:v>1405.54</c:v>
                </c:pt>
                <c:pt idx="1030">
                  <c:v>1403.28</c:v>
                </c:pt>
                <c:pt idx="1031">
                  <c:v>1408.47</c:v>
                </c:pt>
                <c:pt idx="1032">
                  <c:v>1419.04</c:v>
                </c:pt>
                <c:pt idx="1033">
                  <c:v>1413.38</c:v>
                </c:pt>
                <c:pt idx="1034">
                  <c:v>1398.96</c:v>
                </c:pt>
                <c:pt idx="1035">
                  <c:v>1398.08</c:v>
                </c:pt>
                <c:pt idx="1036">
                  <c:v>1382.2</c:v>
                </c:pt>
                <c:pt idx="1037">
                  <c:v>1358.59</c:v>
                </c:pt>
                <c:pt idx="1038">
                  <c:v>1368.71</c:v>
                </c:pt>
                <c:pt idx="1039">
                  <c:v>1387.57</c:v>
                </c:pt>
                <c:pt idx="1040">
                  <c:v>1370.26</c:v>
                </c:pt>
                <c:pt idx="1041">
                  <c:v>1369.57</c:v>
                </c:pt>
                <c:pt idx="1042">
                  <c:v>1390.78</c:v>
                </c:pt>
                <c:pt idx="1043">
                  <c:v>1385.14</c:v>
                </c:pt>
                <c:pt idx="1044">
                  <c:v>1376.92</c:v>
                </c:pt>
                <c:pt idx="1045">
                  <c:v>1378.53</c:v>
                </c:pt>
                <c:pt idx="1046">
                  <c:v>1366.94</c:v>
                </c:pt>
                <c:pt idx="1047">
                  <c:v>1371.97</c:v>
                </c:pt>
                <c:pt idx="1048">
                  <c:v>1390.69</c:v>
                </c:pt>
                <c:pt idx="1049">
                  <c:v>1399.98</c:v>
                </c:pt>
                <c:pt idx="1050">
                  <c:v>1403.36</c:v>
                </c:pt>
                <c:pt idx="1051">
                  <c:v>1397.91</c:v>
                </c:pt>
                <c:pt idx="1052">
                  <c:v>1405.82</c:v>
                </c:pt>
                <c:pt idx="1053">
                  <c:v>1402.31</c:v>
                </c:pt>
                <c:pt idx="1054">
                  <c:v>1391.57</c:v>
                </c:pt>
                <c:pt idx="1055">
                  <c:v>1369.1</c:v>
                </c:pt>
                <c:pt idx="1056">
                  <c:v>1369.58</c:v>
                </c:pt>
                <c:pt idx="1057">
                  <c:v>1363.72</c:v>
                </c:pt>
                <c:pt idx="1058">
                  <c:v>1354.58</c:v>
                </c:pt>
                <c:pt idx="1059">
                  <c:v>1357.99</c:v>
                </c:pt>
                <c:pt idx="1060">
                  <c:v>1353.39</c:v>
                </c:pt>
                <c:pt idx="1061">
                  <c:v>1338.35</c:v>
                </c:pt>
                <c:pt idx="1062">
                  <c:v>1330.66</c:v>
                </c:pt>
                <c:pt idx="1063">
                  <c:v>1324.8</c:v>
                </c:pt>
                <c:pt idx="1064">
                  <c:v>1304.8599999999999</c:v>
                </c:pt>
                <c:pt idx="1065">
                  <c:v>1295.22</c:v>
                </c:pt>
                <c:pt idx="1066">
                  <c:v>1315.99</c:v>
                </c:pt>
                <c:pt idx="1067">
                  <c:v>1316.63</c:v>
                </c:pt>
                <c:pt idx="1068">
                  <c:v>1318.86</c:v>
                </c:pt>
                <c:pt idx="1069">
                  <c:v>1320.68</c:v>
                </c:pt>
                <c:pt idx="1070">
                  <c:v>1317.82</c:v>
                </c:pt>
                <c:pt idx="1071">
                  <c:v>1332.42</c:v>
                </c:pt>
                <c:pt idx="1072">
                  <c:v>1313.32</c:v>
                </c:pt>
                <c:pt idx="1073">
                  <c:v>1310.33</c:v>
                </c:pt>
                <c:pt idx="1074">
                  <c:v>1278.04</c:v>
                </c:pt>
                <c:pt idx="1075">
                  <c:v>1278.18</c:v>
                </c:pt>
                <c:pt idx="1076">
                  <c:v>1285.5</c:v>
                </c:pt>
                <c:pt idx="1077">
                  <c:v>1315.13</c:v>
                </c:pt>
                <c:pt idx="1078">
                  <c:v>1314.99</c:v>
                </c:pt>
                <c:pt idx="1079">
                  <c:v>1325.66</c:v>
                </c:pt>
                <c:pt idx="1080">
                  <c:v>1308.93</c:v>
                </c:pt>
                <c:pt idx="1081">
                  <c:v>1324.18</c:v>
                </c:pt>
                <c:pt idx="1082">
                  <c:v>1314.88</c:v>
                </c:pt>
                <c:pt idx="1083">
                  <c:v>1329.1</c:v>
                </c:pt>
                <c:pt idx="1084">
                  <c:v>1342.84</c:v>
                </c:pt>
                <c:pt idx="1085">
                  <c:v>1344.78</c:v>
                </c:pt>
                <c:pt idx="1086">
                  <c:v>1357.98</c:v>
                </c:pt>
                <c:pt idx="1087">
                  <c:v>1355.69</c:v>
                </c:pt>
                <c:pt idx="1088">
                  <c:v>1325.51</c:v>
                </c:pt>
                <c:pt idx="1089">
                  <c:v>1335.02</c:v>
                </c:pt>
                <c:pt idx="1090">
                  <c:v>1313.72</c:v>
                </c:pt>
                <c:pt idx="1091">
                  <c:v>1319.99</c:v>
                </c:pt>
                <c:pt idx="1092">
                  <c:v>1331.85</c:v>
                </c:pt>
                <c:pt idx="1093">
                  <c:v>1329.04</c:v>
                </c:pt>
                <c:pt idx="1094">
                  <c:v>1362.16</c:v>
                </c:pt>
                <c:pt idx="1095">
                  <c:v>1365.51</c:v>
                </c:pt>
                <c:pt idx="1096">
                  <c:v>1374.02</c:v>
                </c:pt>
                <c:pt idx="1097">
                  <c:v>1367.58</c:v>
                </c:pt>
                <c:pt idx="1098">
                  <c:v>1354.68</c:v>
                </c:pt>
                <c:pt idx="1099">
                  <c:v>1352.46</c:v>
                </c:pt>
                <c:pt idx="1100">
                  <c:v>1341.47</c:v>
                </c:pt>
                <c:pt idx="1101">
                  <c:v>1341.45</c:v>
                </c:pt>
                <c:pt idx="1102">
                  <c:v>1334.76</c:v>
                </c:pt>
                <c:pt idx="1103">
                  <c:v>1356.78</c:v>
                </c:pt>
                <c:pt idx="1104">
                  <c:v>1353.64</c:v>
                </c:pt>
                <c:pt idx="1105">
                  <c:v>1363.67</c:v>
                </c:pt>
                <c:pt idx="1106">
                  <c:v>1372.78</c:v>
                </c:pt>
                <c:pt idx="1107">
                  <c:v>1376.51</c:v>
                </c:pt>
                <c:pt idx="1108">
                  <c:v>1362.66</c:v>
                </c:pt>
                <c:pt idx="1109">
                  <c:v>1350.52</c:v>
                </c:pt>
                <c:pt idx="1110">
                  <c:v>1338.31</c:v>
                </c:pt>
                <c:pt idx="1111">
                  <c:v>1337.89</c:v>
                </c:pt>
                <c:pt idx="1112">
                  <c:v>1360.02</c:v>
                </c:pt>
                <c:pt idx="1113">
                  <c:v>1385.97</c:v>
                </c:pt>
                <c:pt idx="1114">
                  <c:v>1385.3</c:v>
                </c:pt>
                <c:pt idx="1115">
                  <c:v>1379.32</c:v>
                </c:pt>
                <c:pt idx="1116">
                  <c:v>1375.32</c:v>
                </c:pt>
                <c:pt idx="1117">
                  <c:v>1365</c:v>
                </c:pt>
                <c:pt idx="1118">
                  <c:v>1390.99</c:v>
                </c:pt>
                <c:pt idx="1119">
                  <c:v>1394.23</c:v>
                </c:pt>
                <c:pt idx="1120">
                  <c:v>1401.35</c:v>
                </c:pt>
                <c:pt idx="1121">
                  <c:v>1402.22</c:v>
                </c:pt>
                <c:pt idx="1122">
                  <c:v>1402.8</c:v>
                </c:pt>
                <c:pt idx="1123">
                  <c:v>1405.87</c:v>
                </c:pt>
                <c:pt idx="1124">
                  <c:v>1404.11</c:v>
                </c:pt>
                <c:pt idx="1125">
                  <c:v>1403.93</c:v>
                </c:pt>
                <c:pt idx="1126">
                  <c:v>1405.53</c:v>
                </c:pt>
                <c:pt idx="1127">
                  <c:v>1415.51</c:v>
                </c:pt>
                <c:pt idx="1128">
                  <c:v>1418.16</c:v>
                </c:pt>
                <c:pt idx="1129">
                  <c:v>1418.13</c:v>
                </c:pt>
                <c:pt idx="1130">
                  <c:v>1413.17</c:v>
                </c:pt>
                <c:pt idx="1131">
                  <c:v>1413.49</c:v>
                </c:pt>
                <c:pt idx="1132">
                  <c:v>1402.08</c:v>
                </c:pt>
                <c:pt idx="1133">
                  <c:v>1411.13</c:v>
                </c:pt>
                <c:pt idx="1134">
                  <c:v>1410.44</c:v>
                </c:pt>
                <c:pt idx="1135">
                  <c:v>1409.3</c:v>
                </c:pt>
                <c:pt idx="1136">
                  <c:v>1410.49</c:v>
                </c:pt>
                <c:pt idx="1137">
                  <c:v>1399.48</c:v>
                </c:pt>
                <c:pt idx="1138">
                  <c:v>1406.58</c:v>
                </c:pt>
                <c:pt idx="1139">
                  <c:v>1404.94</c:v>
                </c:pt>
                <c:pt idx="1140">
                  <c:v>1403.44</c:v>
                </c:pt>
                <c:pt idx="1141">
                  <c:v>1432.12</c:v>
                </c:pt>
                <c:pt idx="1142">
                  <c:v>1437.92</c:v>
                </c:pt>
                <c:pt idx="1143">
                  <c:v>1429.08</c:v>
                </c:pt>
                <c:pt idx="1144">
                  <c:v>1433.56</c:v>
                </c:pt>
                <c:pt idx="1145">
                  <c:v>1436.56</c:v>
                </c:pt>
                <c:pt idx="1146">
                  <c:v>1459.99</c:v>
                </c:pt>
                <c:pt idx="1147">
                  <c:v>1465.77</c:v>
                </c:pt>
                <c:pt idx="1148">
                  <c:v>1461.19</c:v>
                </c:pt>
                <c:pt idx="1149">
                  <c:v>1459.32</c:v>
                </c:pt>
                <c:pt idx="1150">
                  <c:v>1461.05</c:v>
                </c:pt>
                <c:pt idx="1151">
                  <c:v>1460.26</c:v>
                </c:pt>
                <c:pt idx="1152">
                  <c:v>1460.15</c:v>
                </c:pt>
                <c:pt idx="1153">
                  <c:v>1456.89</c:v>
                </c:pt>
                <c:pt idx="1154">
                  <c:v>1441.59</c:v>
                </c:pt>
                <c:pt idx="1155">
                  <c:v>1433.32</c:v>
                </c:pt>
                <c:pt idx="1156">
                  <c:v>1447.15</c:v>
                </c:pt>
                <c:pt idx="1157">
                  <c:v>1440.67</c:v>
                </c:pt>
                <c:pt idx="1158">
                  <c:v>1444.49</c:v>
                </c:pt>
                <c:pt idx="1159">
                  <c:v>1445.75</c:v>
                </c:pt>
                <c:pt idx="1160">
                  <c:v>1450.99</c:v>
                </c:pt>
                <c:pt idx="1161">
                  <c:v>1461.4</c:v>
                </c:pt>
                <c:pt idx="1162">
                  <c:v>1460.93</c:v>
                </c:pt>
                <c:pt idx="1163">
                  <c:v>1455.88</c:v>
                </c:pt>
                <c:pt idx="1164">
                  <c:v>1441.48</c:v>
                </c:pt>
                <c:pt idx="1165">
                  <c:v>1432.56</c:v>
                </c:pt>
                <c:pt idx="1166">
                  <c:v>1432.84</c:v>
                </c:pt>
                <c:pt idx="1167">
                  <c:v>1428.59</c:v>
                </c:pt>
                <c:pt idx="1168">
                  <c:v>1440.13</c:v>
                </c:pt>
                <c:pt idx="1169">
                  <c:v>1454.92</c:v>
                </c:pt>
                <c:pt idx="1170">
                  <c:v>1460.91</c:v>
                </c:pt>
                <c:pt idx="1171">
                  <c:v>1457.34</c:v>
                </c:pt>
                <c:pt idx="1172">
                  <c:v>1433.19</c:v>
                </c:pt>
                <c:pt idx="1173">
                  <c:v>1433.82</c:v>
                </c:pt>
                <c:pt idx="1174">
                  <c:v>1413.11</c:v>
                </c:pt>
                <c:pt idx="1175">
                  <c:v>1408.75</c:v>
                </c:pt>
                <c:pt idx="1176">
                  <c:v>1412.97</c:v>
                </c:pt>
                <c:pt idx="1177">
                  <c:v>1411.94</c:v>
                </c:pt>
                <c:pt idx="1178">
                  <c:v>1412.16</c:v>
                </c:pt>
                <c:pt idx="1179">
                  <c:v>1427.59</c:v>
                </c:pt>
                <c:pt idx="1180">
                  <c:v>1414.2</c:v>
                </c:pt>
                <c:pt idx="1181">
                  <c:v>1417.26</c:v>
                </c:pt>
                <c:pt idx="1182">
                  <c:v>1428.39</c:v>
                </c:pt>
                <c:pt idx="1183">
                  <c:v>1394.53</c:v>
                </c:pt>
                <c:pt idx="1184">
                  <c:v>1377.51</c:v>
                </c:pt>
                <c:pt idx="1185">
                  <c:v>1379.85</c:v>
                </c:pt>
                <c:pt idx="1186">
                  <c:v>1380.03</c:v>
                </c:pt>
                <c:pt idx="1187">
                  <c:v>1374.53</c:v>
                </c:pt>
                <c:pt idx="1188">
                  <c:v>1355.49</c:v>
                </c:pt>
                <c:pt idx="1189">
                  <c:v>1353.33</c:v>
                </c:pt>
                <c:pt idx="1190">
                  <c:v>1359.88</c:v>
                </c:pt>
                <c:pt idx="1191">
                  <c:v>1386.89</c:v>
                </c:pt>
                <c:pt idx="1192">
                  <c:v>1387.81</c:v>
                </c:pt>
                <c:pt idx="1193">
                  <c:v>1391.03</c:v>
                </c:pt>
                <c:pt idx="1194">
                  <c:v>1409.15</c:v>
                </c:pt>
                <c:pt idx="1195">
                  <c:v>1406.29</c:v>
                </c:pt>
                <c:pt idx="1196">
                  <c:v>1398.94</c:v>
                </c:pt>
                <c:pt idx="1197">
                  <c:v>1409.93</c:v>
                </c:pt>
                <c:pt idx="1198">
                  <c:v>1415.95</c:v>
                </c:pt>
                <c:pt idx="1199">
                  <c:v>1416.18</c:v>
                </c:pt>
                <c:pt idx="1200">
                  <c:v>1409.46</c:v>
                </c:pt>
                <c:pt idx="1201">
                  <c:v>1407.05</c:v>
                </c:pt>
                <c:pt idx="1202">
                  <c:v>1409.28</c:v>
                </c:pt>
                <c:pt idx="1203">
                  <c:v>1413.94</c:v>
                </c:pt>
                <c:pt idx="1204">
                  <c:v>1418.07</c:v>
                </c:pt>
                <c:pt idx="1205">
                  <c:v>1418.55</c:v>
                </c:pt>
                <c:pt idx="1206">
                  <c:v>1427.84</c:v>
                </c:pt>
                <c:pt idx="1207">
                  <c:v>1428.48</c:v>
                </c:pt>
                <c:pt idx="1208">
                  <c:v>1419.45</c:v>
                </c:pt>
                <c:pt idx="1209">
                  <c:v>1413.58</c:v>
                </c:pt>
                <c:pt idx="1210">
                  <c:v>1430.36</c:v>
                </c:pt>
                <c:pt idx="1211">
                  <c:v>1446.79</c:v>
                </c:pt>
                <c:pt idx="1212">
                  <c:v>1435.81</c:v>
                </c:pt>
                <c:pt idx="1213">
                  <c:v>1443.69</c:v>
                </c:pt>
                <c:pt idx="1214">
                  <c:v>1430.15</c:v>
                </c:pt>
                <c:pt idx="1215">
                  <c:v>1426.66</c:v>
                </c:pt>
                <c:pt idx="1216">
                  <c:v>1419.83</c:v>
                </c:pt>
                <c:pt idx="1217">
                  <c:v>1418.1</c:v>
                </c:pt>
                <c:pt idx="1218">
                  <c:v>1402.43</c:v>
                </c:pt>
                <c:pt idx="1219">
                  <c:v>1426.19</c:v>
                </c:pt>
                <c:pt idx="1220">
                  <c:v>1462.42</c:v>
                </c:pt>
                <c:pt idx="1221">
                  <c:v>1459.37</c:v>
                </c:pt>
                <c:pt idx="1222">
                  <c:v>1466.47</c:v>
                </c:pt>
                <c:pt idx="1223">
                  <c:v>1461.89</c:v>
                </c:pt>
                <c:pt idx="1224">
                  <c:v>1457.15</c:v>
                </c:pt>
                <c:pt idx="1225">
                  <c:v>1461.02</c:v>
                </c:pt>
                <c:pt idx="1226">
                  <c:v>1472.12</c:v>
                </c:pt>
                <c:pt idx="1227">
                  <c:v>1472.05</c:v>
                </c:pt>
                <c:pt idx="1228">
                  <c:v>1470.68</c:v>
                </c:pt>
                <c:pt idx="1229">
                  <c:v>1472.34</c:v>
                </c:pt>
                <c:pt idx="1230">
                  <c:v>1472.63</c:v>
                </c:pt>
                <c:pt idx="1231">
                  <c:v>1480.94</c:v>
                </c:pt>
                <c:pt idx="1232">
                  <c:v>1485.98</c:v>
                </c:pt>
                <c:pt idx="1233">
                  <c:v>1492.56</c:v>
                </c:pt>
                <c:pt idx="1234">
                  <c:v>1494.81</c:v>
                </c:pt>
                <c:pt idx="1235">
                  <c:v>1494.82</c:v>
                </c:pt>
                <c:pt idx="1236">
                  <c:v>1502.96</c:v>
                </c:pt>
                <c:pt idx="1237">
                  <c:v>1500.18</c:v>
                </c:pt>
                <c:pt idx="1238">
                  <c:v>1507.84</c:v>
                </c:pt>
                <c:pt idx="1239">
                  <c:v>1501.96</c:v>
                </c:pt>
                <c:pt idx="1240">
                  <c:v>1498.11</c:v>
                </c:pt>
                <c:pt idx="1241">
                  <c:v>1513.17</c:v>
                </c:pt>
                <c:pt idx="1242">
                  <c:v>1495.71</c:v>
                </c:pt>
                <c:pt idx="1243">
                  <c:v>1511.29</c:v>
                </c:pt>
                <c:pt idx="1244">
                  <c:v>1512.12</c:v>
                </c:pt>
                <c:pt idx="1245">
                  <c:v>1509.39</c:v>
                </c:pt>
                <c:pt idx="1246">
                  <c:v>1517.93</c:v>
                </c:pt>
                <c:pt idx="1247">
                  <c:v>1517.01</c:v>
                </c:pt>
                <c:pt idx="1248">
                  <c:v>1519.43</c:v>
                </c:pt>
                <c:pt idx="1249">
                  <c:v>1520.33</c:v>
                </c:pt>
                <c:pt idx="1250">
                  <c:v>1521.38</c:v>
                </c:pt>
                <c:pt idx="1251">
                  <c:v>1519.79</c:v>
                </c:pt>
                <c:pt idx="1252">
                  <c:v>1530.94</c:v>
                </c:pt>
                <c:pt idx="1253">
                  <c:v>1511.95</c:v>
                </c:pt>
                <c:pt idx="1254">
                  <c:v>1502.42</c:v>
                </c:pt>
                <c:pt idx="1255">
                  <c:v>1515.6</c:v>
                </c:pt>
                <c:pt idx="1256">
                  <c:v>1487.85</c:v>
                </c:pt>
                <c:pt idx="1257">
                  <c:v>1496.94</c:v>
                </c:pt>
                <c:pt idx="1258">
                  <c:v>1515.99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283264"/>
        <c:axId val="169476672"/>
      </c:lineChart>
      <c:lineChart>
        <c:grouping val="standard"/>
        <c:varyColors val="0"/>
        <c:ser>
          <c:idx val="0"/>
          <c:order val="1"/>
          <c:tx>
            <c:strRef>
              <c:f>MODEL!$G$4</c:f>
              <c:strCache>
                <c:ptCount val="1"/>
                <c:pt idx="0">
                  <c:v>GOOG: PRICE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[0]!DATES_RNG</c:f>
              <c:numCache>
                <c:formatCode>[$-409]d\-mmm\-yy;@</c:formatCode>
                <c:ptCount val="1259"/>
                <c:pt idx="0">
                  <c:v>39506</c:v>
                </c:pt>
                <c:pt idx="1">
                  <c:v>39507</c:v>
                </c:pt>
                <c:pt idx="2">
                  <c:v>39510</c:v>
                </c:pt>
                <c:pt idx="3">
                  <c:v>39511</c:v>
                </c:pt>
                <c:pt idx="4">
                  <c:v>39512</c:v>
                </c:pt>
                <c:pt idx="5">
                  <c:v>39513</c:v>
                </c:pt>
                <c:pt idx="6">
                  <c:v>39514</c:v>
                </c:pt>
                <c:pt idx="7">
                  <c:v>39517</c:v>
                </c:pt>
                <c:pt idx="8">
                  <c:v>39518</c:v>
                </c:pt>
                <c:pt idx="9">
                  <c:v>39519</c:v>
                </c:pt>
                <c:pt idx="10">
                  <c:v>39520</c:v>
                </c:pt>
                <c:pt idx="11">
                  <c:v>39521</c:v>
                </c:pt>
                <c:pt idx="12">
                  <c:v>39524</c:v>
                </c:pt>
                <c:pt idx="13">
                  <c:v>39525</c:v>
                </c:pt>
                <c:pt idx="14">
                  <c:v>39526</c:v>
                </c:pt>
                <c:pt idx="15">
                  <c:v>39527</c:v>
                </c:pt>
                <c:pt idx="16">
                  <c:v>39531</c:v>
                </c:pt>
                <c:pt idx="17">
                  <c:v>39532</c:v>
                </c:pt>
                <c:pt idx="18">
                  <c:v>39533</c:v>
                </c:pt>
                <c:pt idx="19">
                  <c:v>39534</c:v>
                </c:pt>
                <c:pt idx="20">
                  <c:v>39535</c:v>
                </c:pt>
                <c:pt idx="21">
                  <c:v>39538</c:v>
                </c:pt>
                <c:pt idx="22">
                  <c:v>39539</c:v>
                </c:pt>
                <c:pt idx="23">
                  <c:v>39540</c:v>
                </c:pt>
                <c:pt idx="24">
                  <c:v>39541</c:v>
                </c:pt>
                <c:pt idx="25">
                  <c:v>39542</c:v>
                </c:pt>
                <c:pt idx="26">
                  <c:v>39545</c:v>
                </c:pt>
                <c:pt idx="27">
                  <c:v>39546</c:v>
                </c:pt>
                <c:pt idx="28">
                  <c:v>39547</c:v>
                </c:pt>
                <c:pt idx="29">
                  <c:v>39548</c:v>
                </c:pt>
                <c:pt idx="30">
                  <c:v>39549</c:v>
                </c:pt>
                <c:pt idx="31">
                  <c:v>39552</c:v>
                </c:pt>
                <c:pt idx="32">
                  <c:v>39553</c:v>
                </c:pt>
                <c:pt idx="33">
                  <c:v>39554</c:v>
                </c:pt>
                <c:pt idx="34">
                  <c:v>39555</c:v>
                </c:pt>
                <c:pt idx="35">
                  <c:v>39556</c:v>
                </c:pt>
                <c:pt idx="36">
                  <c:v>39559</c:v>
                </c:pt>
                <c:pt idx="37">
                  <c:v>39560</c:v>
                </c:pt>
                <c:pt idx="38">
                  <c:v>39561</c:v>
                </c:pt>
                <c:pt idx="39">
                  <c:v>39562</c:v>
                </c:pt>
                <c:pt idx="40">
                  <c:v>39563</c:v>
                </c:pt>
                <c:pt idx="41">
                  <c:v>39566</c:v>
                </c:pt>
                <c:pt idx="42">
                  <c:v>39567</c:v>
                </c:pt>
                <c:pt idx="43">
                  <c:v>39568</c:v>
                </c:pt>
                <c:pt idx="44">
                  <c:v>39569</c:v>
                </c:pt>
                <c:pt idx="45">
                  <c:v>39570</c:v>
                </c:pt>
                <c:pt idx="46">
                  <c:v>39573</c:v>
                </c:pt>
                <c:pt idx="47">
                  <c:v>39574</c:v>
                </c:pt>
                <c:pt idx="48">
                  <c:v>39575</c:v>
                </c:pt>
                <c:pt idx="49">
                  <c:v>39576</c:v>
                </c:pt>
                <c:pt idx="50">
                  <c:v>39577</c:v>
                </c:pt>
                <c:pt idx="51">
                  <c:v>39580</c:v>
                </c:pt>
                <c:pt idx="52">
                  <c:v>39581</c:v>
                </c:pt>
                <c:pt idx="53">
                  <c:v>39582</c:v>
                </c:pt>
                <c:pt idx="54">
                  <c:v>39583</c:v>
                </c:pt>
                <c:pt idx="55">
                  <c:v>39584</c:v>
                </c:pt>
                <c:pt idx="56">
                  <c:v>39587</c:v>
                </c:pt>
                <c:pt idx="57">
                  <c:v>39588</c:v>
                </c:pt>
                <c:pt idx="58">
                  <c:v>39589</c:v>
                </c:pt>
                <c:pt idx="59">
                  <c:v>39590</c:v>
                </c:pt>
                <c:pt idx="60">
                  <c:v>39591</c:v>
                </c:pt>
                <c:pt idx="61">
                  <c:v>39595</c:v>
                </c:pt>
                <c:pt idx="62">
                  <c:v>39596</c:v>
                </c:pt>
                <c:pt idx="63">
                  <c:v>39597</c:v>
                </c:pt>
                <c:pt idx="64">
                  <c:v>39598</c:v>
                </c:pt>
                <c:pt idx="65">
                  <c:v>39601</c:v>
                </c:pt>
                <c:pt idx="66">
                  <c:v>39602</c:v>
                </c:pt>
                <c:pt idx="67">
                  <c:v>39603</c:v>
                </c:pt>
                <c:pt idx="68">
                  <c:v>39604</c:v>
                </c:pt>
                <c:pt idx="69">
                  <c:v>39605</c:v>
                </c:pt>
                <c:pt idx="70">
                  <c:v>39608</c:v>
                </c:pt>
                <c:pt idx="71">
                  <c:v>39609</c:v>
                </c:pt>
                <c:pt idx="72">
                  <c:v>39610</c:v>
                </c:pt>
                <c:pt idx="73">
                  <c:v>39611</c:v>
                </c:pt>
                <c:pt idx="74">
                  <c:v>39612</c:v>
                </c:pt>
                <c:pt idx="75">
                  <c:v>39615</c:v>
                </c:pt>
                <c:pt idx="76">
                  <c:v>39616</c:v>
                </c:pt>
                <c:pt idx="77">
                  <c:v>39617</c:v>
                </c:pt>
                <c:pt idx="78">
                  <c:v>39618</c:v>
                </c:pt>
                <c:pt idx="79">
                  <c:v>39619</c:v>
                </c:pt>
                <c:pt idx="80">
                  <c:v>39622</c:v>
                </c:pt>
                <c:pt idx="81">
                  <c:v>39623</c:v>
                </c:pt>
                <c:pt idx="82">
                  <c:v>39624</c:v>
                </c:pt>
                <c:pt idx="83">
                  <c:v>39625</c:v>
                </c:pt>
                <c:pt idx="84">
                  <c:v>39626</c:v>
                </c:pt>
                <c:pt idx="85">
                  <c:v>39629</c:v>
                </c:pt>
                <c:pt idx="86">
                  <c:v>39630</c:v>
                </c:pt>
                <c:pt idx="87">
                  <c:v>39631</c:v>
                </c:pt>
                <c:pt idx="88">
                  <c:v>39632</c:v>
                </c:pt>
                <c:pt idx="89">
                  <c:v>39636</c:v>
                </c:pt>
                <c:pt idx="90">
                  <c:v>39637</c:v>
                </c:pt>
                <c:pt idx="91">
                  <c:v>39638</c:v>
                </c:pt>
                <c:pt idx="92">
                  <c:v>39639</c:v>
                </c:pt>
                <c:pt idx="93">
                  <c:v>39640</c:v>
                </c:pt>
                <c:pt idx="94">
                  <c:v>39643</c:v>
                </c:pt>
                <c:pt idx="95">
                  <c:v>39644</c:v>
                </c:pt>
                <c:pt idx="96">
                  <c:v>39645</c:v>
                </c:pt>
                <c:pt idx="97">
                  <c:v>39646</c:v>
                </c:pt>
                <c:pt idx="98">
                  <c:v>39647</c:v>
                </c:pt>
                <c:pt idx="99">
                  <c:v>39650</c:v>
                </c:pt>
                <c:pt idx="100">
                  <c:v>39651</c:v>
                </c:pt>
                <c:pt idx="101">
                  <c:v>39652</c:v>
                </c:pt>
                <c:pt idx="102">
                  <c:v>39653</c:v>
                </c:pt>
                <c:pt idx="103">
                  <c:v>39654</c:v>
                </c:pt>
                <c:pt idx="104">
                  <c:v>39657</c:v>
                </c:pt>
                <c:pt idx="105">
                  <c:v>39658</c:v>
                </c:pt>
                <c:pt idx="106">
                  <c:v>39659</c:v>
                </c:pt>
                <c:pt idx="107">
                  <c:v>39660</c:v>
                </c:pt>
                <c:pt idx="108">
                  <c:v>39661</c:v>
                </c:pt>
                <c:pt idx="109">
                  <c:v>39664</c:v>
                </c:pt>
                <c:pt idx="110">
                  <c:v>39665</c:v>
                </c:pt>
                <c:pt idx="111">
                  <c:v>39666</c:v>
                </c:pt>
                <c:pt idx="112">
                  <c:v>39667</c:v>
                </c:pt>
                <c:pt idx="113">
                  <c:v>39668</c:v>
                </c:pt>
                <c:pt idx="114">
                  <c:v>39671</c:v>
                </c:pt>
                <c:pt idx="115">
                  <c:v>39672</c:v>
                </c:pt>
                <c:pt idx="116">
                  <c:v>39673</c:v>
                </c:pt>
                <c:pt idx="117">
                  <c:v>39674</c:v>
                </c:pt>
                <c:pt idx="118">
                  <c:v>39675</c:v>
                </c:pt>
                <c:pt idx="119">
                  <c:v>39678</c:v>
                </c:pt>
                <c:pt idx="120">
                  <c:v>39679</c:v>
                </c:pt>
                <c:pt idx="121">
                  <c:v>39680</c:v>
                </c:pt>
                <c:pt idx="122">
                  <c:v>39681</c:v>
                </c:pt>
                <c:pt idx="123">
                  <c:v>39682</c:v>
                </c:pt>
                <c:pt idx="124">
                  <c:v>39685</c:v>
                </c:pt>
                <c:pt idx="125">
                  <c:v>39686</c:v>
                </c:pt>
                <c:pt idx="126">
                  <c:v>39687</c:v>
                </c:pt>
                <c:pt idx="127">
                  <c:v>39688</c:v>
                </c:pt>
                <c:pt idx="128">
                  <c:v>39689</c:v>
                </c:pt>
                <c:pt idx="129">
                  <c:v>39693</c:v>
                </c:pt>
                <c:pt idx="130">
                  <c:v>39694</c:v>
                </c:pt>
                <c:pt idx="131">
                  <c:v>39695</c:v>
                </c:pt>
                <c:pt idx="132">
                  <c:v>39696</c:v>
                </c:pt>
                <c:pt idx="133">
                  <c:v>39699</c:v>
                </c:pt>
                <c:pt idx="134">
                  <c:v>39700</c:v>
                </c:pt>
                <c:pt idx="135">
                  <c:v>39701</c:v>
                </c:pt>
                <c:pt idx="136">
                  <c:v>39702</c:v>
                </c:pt>
                <c:pt idx="137">
                  <c:v>39703</c:v>
                </c:pt>
                <c:pt idx="138">
                  <c:v>39706</c:v>
                </c:pt>
                <c:pt idx="139">
                  <c:v>39707</c:v>
                </c:pt>
                <c:pt idx="140">
                  <c:v>39708</c:v>
                </c:pt>
                <c:pt idx="141">
                  <c:v>39709</c:v>
                </c:pt>
                <c:pt idx="142">
                  <c:v>39710</c:v>
                </c:pt>
                <c:pt idx="143">
                  <c:v>39713</c:v>
                </c:pt>
                <c:pt idx="144">
                  <c:v>39714</c:v>
                </c:pt>
                <c:pt idx="145">
                  <c:v>39715</c:v>
                </c:pt>
                <c:pt idx="146">
                  <c:v>39716</c:v>
                </c:pt>
                <c:pt idx="147">
                  <c:v>39717</c:v>
                </c:pt>
                <c:pt idx="148">
                  <c:v>39720</c:v>
                </c:pt>
                <c:pt idx="149">
                  <c:v>39721</c:v>
                </c:pt>
                <c:pt idx="150">
                  <c:v>39722</c:v>
                </c:pt>
                <c:pt idx="151">
                  <c:v>39723</c:v>
                </c:pt>
                <c:pt idx="152">
                  <c:v>39724</c:v>
                </c:pt>
                <c:pt idx="153">
                  <c:v>39727</c:v>
                </c:pt>
                <c:pt idx="154">
                  <c:v>39728</c:v>
                </c:pt>
                <c:pt idx="155">
                  <c:v>39729</c:v>
                </c:pt>
                <c:pt idx="156">
                  <c:v>39730</c:v>
                </c:pt>
                <c:pt idx="157">
                  <c:v>39731</c:v>
                </c:pt>
                <c:pt idx="158">
                  <c:v>39734</c:v>
                </c:pt>
                <c:pt idx="159">
                  <c:v>39735</c:v>
                </c:pt>
                <c:pt idx="160">
                  <c:v>39736</c:v>
                </c:pt>
                <c:pt idx="161">
                  <c:v>39737</c:v>
                </c:pt>
                <c:pt idx="162">
                  <c:v>39738</c:v>
                </c:pt>
                <c:pt idx="163">
                  <c:v>39741</c:v>
                </c:pt>
                <c:pt idx="164">
                  <c:v>39742</c:v>
                </c:pt>
                <c:pt idx="165">
                  <c:v>39743</c:v>
                </c:pt>
                <c:pt idx="166">
                  <c:v>39744</c:v>
                </c:pt>
                <c:pt idx="167">
                  <c:v>39745</c:v>
                </c:pt>
                <c:pt idx="168">
                  <c:v>39748</c:v>
                </c:pt>
                <c:pt idx="169">
                  <c:v>39749</c:v>
                </c:pt>
                <c:pt idx="170">
                  <c:v>39750</c:v>
                </c:pt>
                <c:pt idx="171">
                  <c:v>39751</c:v>
                </c:pt>
                <c:pt idx="172">
                  <c:v>39752</c:v>
                </c:pt>
                <c:pt idx="173">
                  <c:v>39755</c:v>
                </c:pt>
                <c:pt idx="174">
                  <c:v>39756</c:v>
                </c:pt>
                <c:pt idx="175">
                  <c:v>39757</c:v>
                </c:pt>
                <c:pt idx="176">
                  <c:v>39758</c:v>
                </c:pt>
                <c:pt idx="177">
                  <c:v>39759</c:v>
                </c:pt>
                <c:pt idx="178">
                  <c:v>39762</c:v>
                </c:pt>
                <c:pt idx="179">
                  <c:v>39763</c:v>
                </c:pt>
                <c:pt idx="180">
                  <c:v>39764</c:v>
                </c:pt>
                <c:pt idx="181">
                  <c:v>39765</c:v>
                </c:pt>
                <c:pt idx="182">
                  <c:v>39766</c:v>
                </c:pt>
                <c:pt idx="183">
                  <c:v>39769</c:v>
                </c:pt>
                <c:pt idx="184">
                  <c:v>39770</c:v>
                </c:pt>
                <c:pt idx="185">
                  <c:v>39771</c:v>
                </c:pt>
                <c:pt idx="186">
                  <c:v>39772</c:v>
                </c:pt>
                <c:pt idx="187">
                  <c:v>39773</c:v>
                </c:pt>
                <c:pt idx="188">
                  <c:v>39776</c:v>
                </c:pt>
                <c:pt idx="189">
                  <c:v>39777</c:v>
                </c:pt>
                <c:pt idx="190">
                  <c:v>39778</c:v>
                </c:pt>
                <c:pt idx="191">
                  <c:v>39780</c:v>
                </c:pt>
                <c:pt idx="192">
                  <c:v>39783</c:v>
                </c:pt>
                <c:pt idx="193">
                  <c:v>39784</c:v>
                </c:pt>
                <c:pt idx="194">
                  <c:v>39785</c:v>
                </c:pt>
                <c:pt idx="195">
                  <c:v>39786</c:v>
                </c:pt>
                <c:pt idx="196">
                  <c:v>39787</c:v>
                </c:pt>
                <c:pt idx="197">
                  <c:v>39790</c:v>
                </c:pt>
                <c:pt idx="198">
                  <c:v>39791</c:v>
                </c:pt>
                <c:pt idx="199">
                  <c:v>39792</c:v>
                </c:pt>
                <c:pt idx="200">
                  <c:v>39793</c:v>
                </c:pt>
                <c:pt idx="201">
                  <c:v>39794</c:v>
                </c:pt>
                <c:pt idx="202">
                  <c:v>39797</c:v>
                </c:pt>
                <c:pt idx="203">
                  <c:v>39798</c:v>
                </c:pt>
                <c:pt idx="204">
                  <c:v>39799</c:v>
                </c:pt>
                <c:pt idx="205">
                  <c:v>39800</c:v>
                </c:pt>
                <c:pt idx="206">
                  <c:v>39801</c:v>
                </c:pt>
                <c:pt idx="207">
                  <c:v>39804</c:v>
                </c:pt>
                <c:pt idx="208">
                  <c:v>39805</c:v>
                </c:pt>
                <c:pt idx="209">
                  <c:v>39806</c:v>
                </c:pt>
                <c:pt idx="210">
                  <c:v>39808</c:v>
                </c:pt>
                <c:pt idx="211">
                  <c:v>39811</c:v>
                </c:pt>
                <c:pt idx="212">
                  <c:v>39812</c:v>
                </c:pt>
                <c:pt idx="213">
                  <c:v>39813</c:v>
                </c:pt>
                <c:pt idx="214">
                  <c:v>39815</c:v>
                </c:pt>
                <c:pt idx="215">
                  <c:v>39818</c:v>
                </c:pt>
                <c:pt idx="216">
                  <c:v>39819</c:v>
                </c:pt>
                <c:pt idx="217">
                  <c:v>39820</c:v>
                </c:pt>
                <c:pt idx="218">
                  <c:v>39821</c:v>
                </c:pt>
                <c:pt idx="219">
                  <c:v>39822</c:v>
                </c:pt>
                <c:pt idx="220">
                  <c:v>39825</c:v>
                </c:pt>
                <c:pt idx="221">
                  <c:v>39826</c:v>
                </c:pt>
                <c:pt idx="222">
                  <c:v>39827</c:v>
                </c:pt>
                <c:pt idx="223">
                  <c:v>39828</c:v>
                </c:pt>
                <c:pt idx="224">
                  <c:v>39829</c:v>
                </c:pt>
                <c:pt idx="225">
                  <c:v>39833</c:v>
                </c:pt>
                <c:pt idx="226">
                  <c:v>39834</c:v>
                </c:pt>
                <c:pt idx="227">
                  <c:v>39835</c:v>
                </c:pt>
                <c:pt idx="228">
                  <c:v>39836</c:v>
                </c:pt>
                <c:pt idx="229">
                  <c:v>39839</c:v>
                </c:pt>
                <c:pt idx="230">
                  <c:v>39840</c:v>
                </c:pt>
                <c:pt idx="231">
                  <c:v>39841</c:v>
                </c:pt>
                <c:pt idx="232">
                  <c:v>39842</c:v>
                </c:pt>
                <c:pt idx="233">
                  <c:v>39843</c:v>
                </c:pt>
                <c:pt idx="234">
                  <c:v>39846</c:v>
                </c:pt>
                <c:pt idx="235">
                  <c:v>39847</c:v>
                </c:pt>
                <c:pt idx="236">
                  <c:v>39848</c:v>
                </c:pt>
                <c:pt idx="237">
                  <c:v>39849</c:v>
                </c:pt>
                <c:pt idx="238">
                  <c:v>39850</c:v>
                </c:pt>
                <c:pt idx="239">
                  <c:v>39853</c:v>
                </c:pt>
                <c:pt idx="240">
                  <c:v>39854</c:v>
                </c:pt>
                <c:pt idx="241">
                  <c:v>39855</c:v>
                </c:pt>
                <c:pt idx="242">
                  <c:v>39856</c:v>
                </c:pt>
                <c:pt idx="243">
                  <c:v>39857</c:v>
                </c:pt>
                <c:pt idx="244">
                  <c:v>39861</c:v>
                </c:pt>
                <c:pt idx="245">
                  <c:v>39862</c:v>
                </c:pt>
                <c:pt idx="246">
                  <c:v>39863</c:v>
                </c:pt>
                <c:pt idx="247">
                  <c:v>39864</c:v>
                </c:pt>
                <c:pt idx="248">
                  <c:v>39867</c:v>
                </c:pt>
                <c:pt idx="249">
                  <c:v>39868</c:v>
                </c:pt>
                <c:pt idx="250">
                  <c:v>39869</c:v>
                </c:pt>
                <c:pt idx="251">
                  <c:v>39870</c:v>
                </c:pt>
                <c:pt idx="252">
                  <c:v>39871</c:v>
                </c:pt>
                <c:pt idx="253">
                  <c:v>39874</c:v>
                </c:pt>
                <c:pt idx="254">
                  <c:v>39875</c:v>
                </c:pt>
                <c:pt idx="255">
                  <c:v>39876</c:v>
                </c:pt>
                <c:pt idx="256">
                  <c:v>39877</c:v>
                </c:pt>
                <c:pt idx="257">
                  <c:v>39878</c:v>
                </c:pt>
                <c:pt idx="258">
                  <c:v>39881</c:v>
                </c:pt>
                <c:pt idx="259">
                  <c:v>39882</c:v>
                </c:pt>
                <c:pt idx="260">
                  <c:v>39883</c:v>
                </c:pt>
                <c:pt idx="261">
                  <c:v>39884</c:v>
                </c:pt>
                <c:pt idx="262">
                  <c:v>39885</c:v>
                </c:pt>
                <c:pt idx="263">
                  <c:v>39888</c:v>
                </c:pt>
                <c:pt idx="264">
                  <c:v>39889</c:v>
                </c:pt>
                <c:pt idx="265">
                  <c:v>39890</c:v>
                </c:pt>
                <c:pt idx="266">
                  <c:v>39891</c:v>
                </c:pt>
                <c:pt idx="267">
                  <c:v>39892</c:v>
                </c:pt>
                <c:pt idx="268">
                  <c:v>39895</c:v>
                </c:pt>
                <c:pt idx="269">
                  <c:v>39896</c:v>
                </c:pt>
                <c:pt idx="270">
                  <c:v>39897</c:v>
                </c:pt>
                <c:pt idx="271">
                  <c:v>39898</c:v>
                </c:pt>
                <c:pt idx="272">
                  <c:v>39899</c:v>
                </c:pt>
                <c:pt idx="273">
                  <c:v>39902</c:v>
                </c:pt>
                <c:pt idx="274">
                  <c:v>39903</c:v>
                </c:pt>
                <c:pt idx="275">
                  <c:v>39904</c:v>
                </c:pt>
                <c:pt idx="276">
                  <c:v>39905</c:v>
                </c:pt>
                <c:pt idx="277">
                  <c:v>39906</c:v>
                </c:pt>
                <c:pt idx="278">
                  <c:v>39909</c:v>
                </c:pt>
                <c:pt idx="279">
                  <c:v>39910</c:v>
                </c:pt>
                <c:pt idx="280">
                  <c:v>39911</c:v>
                </c:pt>
                <c:pt idx="281">
                  <c:v>39912</c:v>
                </c:pt>
                <c:pt idx="282">
                  <c:v>39916</c:v>
                </c:pt>
                <c:pt idx="283">
                  <c:v>39917</c:v>
                </c:pt>
                <c:pt idx="284">
                  <c:v>39918</c:v>
                </c:pt>
                <c:pt idx="285">
                  <c:v>39919</c:v>
                </c:pt>
                <c:pt idx="286">
                  <c:v>39920</c:v>
                </c:pt>
                <c:pt idx="287">
                  <c:v>39923</c:v>
                </c:pt>
                <c:pt idx="288">
                  <c:v>39924</c:v>
                </c:pt>
                <c:pt idx="289">
                  <c:v>39925</c:v>
                </c:pt>
                <c:pt idx="290">
                  <c:v>39926</c:v>
                </c:pt>
                <c:pt idx="291">
                  <c:v>39927</c:v>
                </c:pt>
                <c:pt idx="292">
                  <c:v>39930</c:v>
                </c:pt>
                <c:pt idx="293">
                  <c:v>39931</c:v>
                </c:pt>
                <c:pt idx="294">
                  <c:v>39932</c:v>
                </c:pt>
                <c:pt idx="295">
                  <c:v>39933</c:v>
                </c:pt>
                <c:pt idx="296">
                  <c:v>39934</c:v>
                </c:pt>
                <c:pt idx="297">
                  <c:v>39937</c:v>
                </c:pt>
                <c:pt idx="298">
                  <c:v>39938</c:v>
                </c:pt>
                <c:pt idx="299">
                  <c:v>39939</c:v>
                </c:pt>
                <c:pt idx="300">
                  <c:v>39940</c:v>
                </c:pt>
                <c:pt idx="301">
                  <c:v>39941</c:v>
                </c:pt>
                <c:pt idx="302">
                  <c:v>39944</c:v>
                </c:pt>
                <c:pt idx="303">
                  <c:v>39945</c:v>
                </c:pt>
                <c:pt idx="304">
                  <c:v>39946</c:v>
                </c:pt>
                <c:pt idx="305">
                  <c:v>39947</c:v>
                </c:pt>
                <c:pt idx="306">
                  <c:v>39948</c:v>
                </c:pt>
                <c:pt idx="307">
                  <c:v>39951</c:v>
                </c:pt>
                <c:pt idx="308">
                  <c:v>39952</c:v>
                </c:pt>
                <c:pt idx="309">
                  <c:v>39953</c:v>
                </c:pt>
                <c:pt idx="310">
                  <c:v>39954</c:v>
                </c:pt>
                <c:pt idx="311">
                  <c:v>39955</c:v>
                </c:pt>
                <c:pt idx="312">
                  <c:v>39959</c:v>
                </c:pt>
                <c:pt idx="313">
                  <c:v>39960</c:v>
                </c:pt>
                <c:pt idx="314">
                  <c:v>39961</c:v>
                </c:pt>
                <c:pt idx="315">
                  <c:v>39962</c:v>
                </c:pt>
                <c:pt idx="316">
                  <c:v>39965</c:v>
                </c:pt>
                <c:pt idx="317">
                  <c:v>39966</c:v>
                </c:pt>
                <c:pt idx="318">
                  <c:v>39967</c:v>
                </c:pt>
                <c:pt idx="319">
                  <c:v>39968</c:v>
                </c:pt>
                <c:pt idx="320">
                  <c:v>39969</c:v>
                </c:pt>
                <c:pt idx="321">
                  <c:v>39972</c:v>
                </c:pt>
                <c:pt idx="322">
                  <c:v>39973</c:v>
                </c:pt>
                <c:pt idx="323">
                  <c:v>39974</c:v>
                </c:pt>
                <c:pt idx="324">
                  <c:v>39975</c:v>
                </c:pt>
                <c:pt idx="325">
                  <c:v>39976</c:v>
                </c:pt>
                <c:pt idx="326">
                  <c:v>39979</c:v>
                </c:pt>
                <c:pt idx="327">
                  <c:v>39980</c:v>
                </c:pt>
                <c:pt idx="328">
                  <c:v>39981</c:v>
                </c:pt>
                <c:pt idx="329">
                  <c:v>39982</c:v>
                </c:pt>
                <c:pt idx="330">
                  <c:v>39983</c:v>
                </c:pt>
                <c:pt idx="331">
                  <c:v>39986</c:v>
                </c:pt>
                <c:pt idx="332">
                  <c:v>39987</c:v>
                </c:pt>
                <c:pt idx="333">
                  <c:v>39988</c:v>
                </c:pt>
                <c:pt idx="334">
                  <c:v>39989</c:v>
                </c:pt>
                <c:pt idx="335">
                  <c:v>39990</c:v>
                </c:pt>
                <c:pt idx="336">
                  <c:v>39993</c:v>
                </c:pt>
                <c:pt idx="337">
                  <c:v>39994</c:v>
                </c:pt>
                <c:pt idx="338">
                  <c:v>39995</c:v>
                </c:pt>
                <c:pt idx="339">
                  <c:v>39996</c:v>
                </c:pt>
                <c:pt idx="340">
                  <c:v>40000</c:v>
                </c:pt>
                <c:pt idx="341">
                  <c:v>40001</c:v>
                </c:pt>
                <c:pt idx="342">
                  <c:v>40002</c:v>
                </c:pt>
                <c:pt idx="343">
                  <c:v>40003</c:v>
                </c:pt>
                <c:pt idx="344">
                  <c:v>40004</c:v>
                </c:pt>
                <c:pt idx="345">
                  <c:v>40007</c:v>
                </c:pt>
                <c:pt idx="346">
                  <c:v>40008</c:v>
                </c:pt>
                <c:pt idx="347">
                  <c:v>40009</c:v>
                </c:pt>
                <c:pt idx="348">
                  <c:v>40010</c:v>
                </c:pt>
                <c:pt idx="349">
                  <c:v>40011</c:v>
                </c:pt>
                <c:pt idx="350">
                  <c:v>40014</c:v>
                </c:pt>
                <c:pt idx="351">
                  <c:v>40015</c:v>
                </c:pt>
                <c:pt idx="352">
                  <c:v>40016</c:v>
                </c:pt>
                <c:pt idx="353">
                  <c:v>40017</c:v>
                </c:pt>
                <c:pt idx="354">
                  <c:v>40018</c:v>
                </c:pt>
                <c:pt idx="355">
                  <c:v>40021</c:v>
                </c:pt>
                <c:pt idx="356">
                  <c:v>40022</c:v>
                </c:pt>
                <c:pt idx="357">
                  <c:v>40023</c:v>
                </c:pt>
                <c:pt idx="358">
                  <c:v>40024</c:v>
                </c:pt>
                <c:pt idx="359">
                  <c:v>40025</c:v>
                </c:pt>
                <c:pt idx="360">
                  <c:v>40028</c:v>
                </c:pt>
                <c:pt idx="361">
                  <c:v>40029</c:v>
                </c:pt>
                <c:pt idx="362">
                  <c:v>40030</c:v>
                </c:pt>
                <c:pt idx="363">
                  <c:v>40031</c:v>
                </c:pt>
                <c:pt idx="364">
                  <c:v>40032</c:v>
                </c:pt>
                <c:pt idx="365">
                  <c:v>40035</c:v>
                </c:pt>
                <c:pt idx="366">
                  <c:v>40036</c:v>
                </c:pt>
                <c:pt idx="367">
                  <c:v>40037</c:v>
                </c:pt>
                <c:pt idx="368">
                  <c:v>40038</c:v>
                </c:pt>
                <c:pt idx="369">
                  <c:v>40039</c:v>
                </c:pt>
                <c:pt idx="370">
                  <c:v>40042</c:v>
                </c:pt>
                <c:pt idx="371">
                  <c:v>40043</c:v>
                </c:pt>
                <c:pt idx="372">
                  <c:v>40044</c:v>
                </c:pt>
                <c:pt idx="373">
                  <c:v>40045</c:v>
                </c:pt>
                <c:pt idx="374">
                  <c:v>40046</c:v>
                </c:pt>
                <c:pt idx="375">
                  <c:v>40049</c:v>
                </c:pt>
                <c:pt idx="376">
                  <c:v>40050</c:v>
                </c:pt>
                <c:pt idx="377">
                  <c:v>40051</c:v>
                </c:pt>
                <c:pt idx="378">
                  <c:v>40052</c:v>
                </c:pt>
                <c:pt idx="379">
                  <c:v>40053</c:v>
                </c:pt>
                <c:pt idx="380">
                  <c:v>40056</c:v>
                </c:pt>
                <c:pt idx="381">
                  <c:v>40057</c:v>
                </c:pt>
                <c:pt idx="382">
                  <c:v>40058</c:v>
                </c:pt>
                <c:pt idx="383">
                  <c:v>40059</c:v>
                </c:pt>
                <c:pt idx="384">
                  <c:v>40060</c:v>
                </c:pt>
                <c:pt idx="385">
                  <c:v>40064</c:v>
                </c:pt>
                <c:pt idx="386">
                  <c:v>40065</c:v>
                </c:pt>
                <c:pt idx="387">
                  <c:v>40066</c:v>
                </c:pt>
                <c:pt idx="388">
                  <c:v>40067</c:v>
                </c:pt>
                <c:pt idx="389">
                  <c:v>40070</c:v>
                </c:pt>
                <c:pt idx="390">
                  <c:v>40071</c:v>
                </c:pt>
                <c:pt idx="391">
                  <c:v>40072</c:v>
                </c:pt>
                <c:pt idx="392">
                  <c:v>40073</c:v>
                </c:pt>
                <c:pt idx="393">
                  <c:v>40074</c:v>
                </c:pt>
                <c:pt idx="394">
                  <c:v>40077</c:v>
                </c:pt>
                <c:pt idx="395">
                  <c:v>40078</c:v>
                </c:pt>
                <c:pt idx="396">
                  <c:v>40079</c:v>
                </c:pt>
                <c:pt idx="397">
                  <c:v>40080</c:v>
                </c:pt>
                <c:pt idx="398">
                  <c:v>40081</c:v>
                </c:pt>
                <c:pt idx="399">
                  <c:v>40084</c:v>
                </c:pt>
                <c:pt idx="400">
                  <c:v>40085</c:v>
                </c:pt>
                <c:pt idx="401">
                  <c:v>40086</c:v>
                </c:pt>
                <c:pt idx="402">
                  <c:v>40087</c:v>
                </c:pt>
                <c:pt idx="403">
                  <c:v>40088</c:v>
                </c:pt>
                <c:pt idx="404">
                  <c:v>40091</c:v>
                </c:pt>
                <c:pt idx="405">
                  <c:v>40092</c:v>
                </c:pt>
                <c:pt idx="406">
                  <c:v>40093</c:v>
                </c:pt>
                <c:pt idx="407">
                  <c:v>40094</c:v>
                </c:pt>
                <c:pt idx="408">
                  <c:v>40095</c:v>
                </c:pt>
                <c:pt idx="409">
                  <c:v>40098</c:v>
                </c:pt>
                <c:pt idx="410">
                  <c:v>40099</c:v>
                </c:pt>
                <c:pt idx="411">
                  <c:v>40100</c:v>
                </c:pt>
                <c:pt idx="412">
                  <c:v>40101</c:v>
                </c:pt>
                <c:pt idx="413">
                  <c:v>40102</c:v>
                </c:pt>
                <c:pt idx="414">
                  <c:v>40105</c:v>
                </c:pt>
                <c:pt idx="415">
                  <c:v>40106</c:v>
                </c:pt>
                <c:pt idx="416">
                  <c:v>40107</c:v>
                </c:pt>
                <c:pt idx="417">
                  <c:v>40108</c:v>
                </c:pt>
                <c:pt idx="418">
                  <c:v>40109</c:v>
                </c:pt>
                <c:pt idx="419">
                  <c:v>40112</c:v>
                </c:pt>
                <c:pt idx="420">
                  <c:v>40113</c:v>
                </c:pt>
                <c:pt idx="421">
                  <c:v>40114</c:v>
                </c:pt>
                <c:pt idx="422">
                  <c:v>40115</c:v>
                </c:pt>
                <c:pt idx="423">
                  <c:v>40116</c:v>
                </c:pt>
                <c:pt idx="424">
                  <c:v>40119</c:v>
                </c:pt>
                <c:pt idx="425">
                  <c:v>40120</c:v>
                </c:pt>
                <c:pt idx="426">
                  <c:v>40121</c:v>
                </c:pt>
                <c:pt idx="427">
                  <c:v>40122</c:v>
                </c:pt>
                <c:pt idx="428">
                  <c:v>40123</c:v>
                </c:pt>
                <c:pt idx="429">
                  <c:v>40126</c:v>
                </c:pt>
                <c:pt idx="430">
                  <c:v>40127</c:v>
                </c:pt>
                <c:pt idx="431">
                  <c:v>40128</c:v>
                </c:pt>
                <c:pt idx="432">
                  <c:v>40129</c:v>
                </c:pt>
                <c:pt idx="433">
                  <c:v>40130</c:v>
                </c:pt>
                <c:pt idx="434">
                  <c:v>40133</c:v>
                </c:pt>
                <c:pt idx="435">
                  <c:v>40134</c:v>
                </c:pt>
                <c:pt idx="436">
                  <c:v>40135</c:v>
                </c:pt>
                <c:pt idx="437">
                  <c:v>40136</c:v>
                </c:pt>
                <c:pt idx="438">
                  <c:v>40137</c:v>
                </c:pt>
                <c:pt idx="439">
                  <c:v>40140</c:v>
                </c:pt>
                <c:pt idx="440">
                  <c:v>40141</c:v>
                </c:pt>
                <c:pt idx="441">
                  <c:v>40142</c:v>
                </c:pt>
                <c:pt idx="442">
                  <c:v>40144</c:v>
                </c:pt>
                <c:pt idx="443">
                  <c:v>40147</c:v>
                </c:pt>
                <c:pt idx="444">
                  <c:v>40148</c:v>
                </c:pt>
                <c:pt idx="445">
                  <c:v>40149</c:v>
                </c:pt>
                <c:pt idx="446">
                  <c:v>40150</c:v>
                </c:pt>
                <c:pt idx="447">
                  <c:v>40151</c:v>
                </c:pt>
                <c:pt idx="448">
                  <c:v>40154</c:v>
                </c:pt>
                <c:pt idx="449">
                  <c:v>40155</c:v>
                </c:pt>
                <c:pt idx="450">
                  <c:v>40156</c:v>
                </c:pt>
                <c:pt idx="451">
                  <c:v>40157</c:v>
                </c:pt>
                <c:pt idx="452">
                  <c:v>40158</c:v>
                </c:pt>
                <c:pt idx="453">
                  <c:v>40161</c:v>
                </c:pt>
                <c:pt idx="454">
                  <c:v>40162</c:v>
                </c:pt>
                <c:pt idx="455">
                  <c:v>40163</c:v>
                </c:pt>
                <c:pt idx="456">
                  <c:v>40164</c:v>
                </c:pt>
                <c:pt idx="457">
                  <c:v>40165</c:v>
                </c:pt>
                <c:pt idx="458">
                  <c:v>40168</c:v>
                </c:pt>
                <c:pt idx="459">
                  <c:v>40169</c:v>
                </c:pt>
                <c:pt idx="460">
                  <c:v>40170</c:v>
                </c:pt>
                <c:pt idx="461">
                  <c:v>40171</c:v>
                </c:pt>
                <c:pt idx="462">
                  <c:v>40175</c:v>
                </c:pt>
                <c:pt idx="463">
                  <c:v>40176</c:v>
                </c:pt>
                <c:pt idx="464">
                  <c:v>40177</c:v>
                </c:pt>
                <c:pt idx="465">
                  <c:v>40178</c:v>
                </c:pt>
                <c:pt idx="466">
                  <c:v>40182</c:v>
                </c:pt>
                <c:pt idx="467">
                  <c:v>40183</c:v>
                </c:pt>
                <c:pt idx="468">
                  <c:v>40184</c:v>
                </c:pt>
                <c:pt idx="469">
                  <c:v>40185</c:v>
                </c:pt>
                <c:pt idx="470">
                  <c:v>40186</c:v>
                </c:pt>
                <c:pt idx="471">
                  <c:v>40189</c:v>
                </c:pt>
                <c:pt idx="472">
                  <c:v>40190</c:v>
                </c:pt>
                <c:pt idx="473">
                  <c:v>40191</c:v>
                </c:pt>
                <c:pt idx="474">
                  <c:v>40192</c:v>
                </c:pt>
                <c:pt idx="475">
                  <c:v>40193</c:v>
                </c:pt>
                <c:pt idx="476">
                  <c:v>40197</c:v>
                </c:pt>
                <c:pt idx="477">
                  <c:v>40198</c:v>
                </c:pt>
                <c:pt idx="478">
                  <c:v>40199</c:v>
                </c:pt>
                <c:pt idx="479">
                  <c:v>40200</c:v>
                </c:pt>
                <c:pt idx="480">
                  <c:v>40203</c:v>
                </c:pt>
                <c:pt idx="481">
                  <c:v>40204</c:v>
                </c:pt>
                <c:pt idx="482">
                  <c:v>40205</c:v>
                </c:pt>
                <c:pt idx="483">
                  <c:v>40206</c:v>
                </c:pt>
                <c:pt idx="484">
                  <c:v>40207</c:v>
                </c:pt>
                <c:pt idx="485">
                  <c:v>40210</c:v>
                </c:pt>
                <c:pt idx="486">
                  <c:v>40211</c:v>
                </c:pt>
                <c:pt idx="487">
                  <c:v>40212</c:v>
                </c:pt>
                <c:pt idx="488">
                  <c:v>40213</c:v>
                </c:pt>
                <c:pt idx="489">
                  <c:v>40214</c:v>
                </c:pt>
                <c:pt idx="490">
                  <c:v>40217</c:v>
                </c:pt>
                <c:pt idx="491">
                  <c:v>40218</c:v>
                </c:pt>
                <c:pt idx="492">
                  <c:v>40219</c:v>
                </c:pt>
                <c:pt idx="493">
                  <c:v>40220</c:v>
                </c:pt>
                <c:pt idx="494">
                  <c:v>40221</c:v>
                </c:pt>
                <c:pt idx="495">
                  <c:v>40225</c:v>
                </c:pt>
                <c:pt idx="496">
                  <c:v>40226</c:v>
                </c:pt>
                <c:pt idx="497">
                  <c:v>40227</c:v>
                </c:pt>
                <c:pt idx="498">
                  <c:v>40228</c:v>
                </c:pt>
                <c:pt idx="499">
                  <c:v>40231</c:v>
                </c:pt>
                <c:pt idx="500">
                  <c:v>40232</c:v>
                </c:pt>
                <c:pt idx="501">
                  <c:v>40233</c:v>
                </c:pt>
                <c:pt idx="502">
                  <c:v>40234</c:v>
                </c:pt>
                <c:pt idx="503">
                  <c:v>40235</c:v>
                </c:pt>
                <c:pt idx="504">
                  <c:v>40238</c:v>
                </c:pt>
                <c:pt idx="505">
                  <c:v>40239</c:v>
                </c:pt>
                <c:pt idx="506">
                  <c:v>40240</c:v>
                </c:pt>
                <c:pt idx="507">
                  <c:v>40241</c:v>
                </c:pt>
                <c:pt idx="508">
                  <c:v>40242</c:v>
                </c:pt>
                <c:pt idx="509">
                  <c:v>40245</c:v>
                </c:pt>
                <c:pt idx="510">
                  <c:v>40246</c:v>
                </c:pt>
                <c:pt idx="511">
                  <c:v>40247</c:v>
                </c:pt>
                <c:pt idx="512">
                  <c:v>40248</c:v>
                </c:pt>
                <c:pt idx="513">
                  <c:v>40249</c:v>
                </c:pt>
                <c:pt idx="514">
                  <c:v>40252</c:v>
                </c:pt>
                <c:pt idx="515">
                  <c:v>40253</c:v>
                </c:pt>
                <c:pt idx="516">
                  <c:v>40254</c:v>
                </c:pt>
                <c:pt idx="517">
                  <c:v>40255</c:v>
                </c:pt>
                <c:pt idx="518">
                  <c:v>40256</c:v>
                </c:pt>
                <c:pt idx="519">
                  <c:v>40259</c:v>
                </c:pt>
                <c:pt idx="520">
                  <c:v>40260</c:v>
                </c:pt>
                <c:pt idx="521">
                  <c:v>40261</c:v>
                </c:pt>
                <c:pt idx="522">
                  <c:v>40262</c:v>
                </c:pt>
                <c:pt idx="523">
                  <c:v>40263</c:v>
                </c:pt>
                <c:pt idx="524">
                  <c:v>40266</c:v>
                </c:pt>
                <c:pt idx="525">
                  <c:v>40267</c:v>
                </c:pt>
                <c:pt idx="526">
                  <c:v>40268</c:v>
                </c:pt>
                <c:pt idx="527">
                  <c:v>40269</c:v>
                </c:pt>
                <c:pt idx="528">
                  <c:v>40273</c:v>
                </c:pt>
                <c:pt idx="529">
                  <c:v>40274</c:v>
                </c:pt>
                <c:pt idx="530">
                  <c:v>40275</c:v>
                </c:pt>
                <c:pt idx="531">
                  <c:v>40276</c:v>
                </c:pt>
                <c:pt idx="532">
                  <c:v>40277</c:v>
                </c:pt>
                <c:pt idx="533">
                  <c:v>40280</c:v>
                </c:pt>
                <c:pt idx="534">
                  <c:v>40281</c:v>
                </c:pt>
                <c:pt idx="535">
                  <c:v>40282</c:v>
                </c:pt>
                <c:pt idx="536">
                  <c:v>40283</c:v>
                </c:pt>
                <c:pt idx="537">
                  <c:v>40284</c:v>
                </c:pt>
                <c:pt idx="538">
                  <c:v>40287</c:v>
                </c:pt>
                <c:pt idx="539">
                  <c:v>40288</c:v>
                </c:pt>
                <c:pt idx="540">
                  <c:v>40289</c:v>
                </c:pt>
                <c:pt idx="541">
                  <c:v>40290</c:v>
                </c:pt>
                <c:pt idx="542">
                  <c:v>40291</c:v>
                </c:pt>
                <c:pt idx="543">
                  <c:v>40294</c:v>
                </c:pt>
                <c:pt idx="544">
                  <c:v>40295</c:v>
                </c:pt>
                <c:pt idx="545">
                  <c:v>40296</c:v>
                </c:pt>
                <c:pt idx="546">
                  <c:v>40297</c:v>
                </c:pt>
                <c:pt idx="547">
                  <c:v>40298</c:v>
                </c:pt>
                <c:pt idx="548">
                  <c:v>40301</c:v>
                </c:pt>
                <c:pt idx="549">
                  <c:v>40302</c:v>
                </c:pt>
                <c:pt idx="550">
                  <c:v>40303</c:v>
                </c:pt>
                <c:pt idx="551">
                  <c:v>40304</c:v>
                </c:pt>
                <c:pt idx="552">
                  <c:v>40305</c:v>
                </c:pt>
                <c:pt idx="553">
                  <c:v>40308</c:v>
                </c:pt>
                <c:pt idx="554">
                  <c:v>40309</c:v>
                </c:pt>
                <c:pt idx="555">
                  <c:v>40310</c:v>
                </c:pt>
                <c:pt idx="556">
                  <c:v>40311</c:v>
                </c:pt>
                <c:pt idx="557">
                  <c:v>40312</c:v>
                </c:pt>
                <c:pt idx="558">
                  <c:v>40315</c:v>
                </c:pt>
                <c:pt idx="559">
                  <c:v>40316</c:v>
                </c:pt>
                <c:pt idx="560">
                  <c:v>40317</c:v>
                </c:pt>
                <c:pt idx="561">
                  <c:v>40318</c:v>
                </c:pt>
                <c:pt idx="562">
                  <c:v>40319</c:v>
                </c:pt>
                <c:pt idx="563">
                  <c:v>40322</c:v>
                </c:pt>
                <c:pt idx="564">
                  <c:v>40323</c:v>
                </c:pt>
                <c:pt idx="565">
                  <c:v>40324</c:v>
                </c:pt>
                <c:pt idx="566">
                  <c:v>40325</c:v>
                </c:pt>
                <c:pt idx="567">
                  <c:v>40326</c:v>
                </c:pt>
                <c:pt idx="568">
                  <c:v>40330</c:v>
                </c:pt>
                <c:pt idx="569">
                  <c:v>40331</c:v>
                </c:pt>
                <c:pt idx="570">
                  <c:v>40332</c:v>
                </c:pt>
                <c:pt idx="571">
                  <c:v>40333</c:v>
                </c:pt>
                <c:pt idx="572">
                  <c:v>40336</c:v>
                </c:pt>
                <c:pt idx="573">
                  <c:v>40337</c:v>
                </c:pt>
                <c:pt idx="574">
                  <c:v>40338</c:v>
                </c:pt>
                <c:pt idx="575">
                  <c:v>40339</c:v>
                </c:pt>
                <c:pt idx="576">
                  <c:v>40340</c:v>
                </c:pt>
                <c:pt idx="577">
                  <c:v>40343</c:v>
                </c:pt>
                <c:pt idx="578">
                  <c:v>40344</c:v>
                </c:pt>
                <c:pt idx="579">
                  <c:v>40345</c:v>
                </c:pt>
                <c:pt idx="580">
                  <c:v>40346</c:v>
                </c:pt>
                <c:pt idx="581">
                  <c:v>40347</c:v>
                </c:pt>
                <c:pt idx="582">
                  <c:v>40350</c:v>
                </c:pt>
                <c:pt idx="583">
                  <c:v>40351</c:v>
                </c:pt>
                <c:pt idx="584">
                  <c:v>40352</c:v>
                </c:pt>
                <c:pt idx="585">
                  <c:v>40353</c:v>
                </c:pt>
                <c:pt idx="586">
                  <c:v>40354</c:v>
                </c:pt>
                <c:pt idx="587">
                  <c:v>40357</c:v>
                </c:pt>
                <c:pt idx="588">
                  <c:v>40358</c:v>
                </c:pt>
                <c:pt idx="589">
                  <c:v>40359</c:v>
                </c:pt>
                <c:pt idx="590">
                  <c:v>40360</c:v>
                </c:pt>
                <c:pt idx="591">
                  <c:v>40361</c:v>
                </c:pt>
                <c:pt idx="592">
                  <c:v>40365</c:v>
                </c:pt>
                <c:pt idx="593">
                  <c:v>40366</c:v>
                </c:pt>
                <c:pt idx="594">
                  <c:v>40367</c:v>
                </c:pt>
                <c:pt idx="595">
                  <c:v>40368</c:v>
                </c:pt>
                <c:pt idx="596">
                  <c:v>40371</c:v>
                </c:pt>
                <c:pt idx="597">
                  <c:v>40372</c:v>
                </c:pt>
                <c:pt idx="598">
                  <c:v>40373</c:v>
                </c:pt>
                <c:pt idx="599">
                  <c:v>40374</c:v>
                </c:pt>
                <c:pt idx="600">
                  <c:v>40375</c:v>
                </c:pt>
                <c:pt idx="601">
                  <c:v>40378</c:v>
                </c:pt>
                <c:pt idx="602">
                  <c:v>40379</c:v>
                </c:pt>
                <c:pt idx="603">
                  <c:v>40380</c:v>
                </c:pt>
                <c:pt idx="604">
                  <c:v>40381</c:v>
                </c:pt>
                <c:pt idx="605">
                  <c:v>40382</c:v>
                </c:pt>
                <c:pt idx="606">
                  <c:v>40385</c:v>
                </c:pt>
                <c:pt idx="607">
                  <c:v>40386</c:v>
                </c:pt>
                <c:pt idx="608">
                  <c:v>40387</c:v>
                </c:pt>
                <c:pt idx="609">
                  <c:v>40388</c:v>
                </c:pt>
                <c:pt idx="610">
                  <c:v>40389</c:v>
                </c:pt>
                <c:pt idx="611">
                  <c:v>40392</c:v>
                </c:pt>
                <c:pt idx="612">
                  <c:v>40393</c:v>
                </c:pt>
                <c:pt idx="613">
                  <c:v>40394</c:v>
                </c:pt>
                <c:pt idx="614">
                  <c:v>40395</c:v>
                </c:pt>
                <c:pt idx="615">
                  <c:v>40396</c:v>
                </c:pt>
                <c:pt idx="616">
                  <c:v>40399</c:v>
                </c:pt>
                <c:pt idx="617">
                  <c:v>40400</c:v>
                </c:pt>
                <c:pt idx="618">
                  <c:v>40401</c:v>
                </c:pt>
                <c:pt idx="619">
                  <c:v>40402</c:v>
                </c:pt>
                <c:pt idx="620">
                  <c:v>40403</c:v>
                </c:pt>
                <c:pt idx="621">
                  <c:v>40406</c:v>
                </c:pt>
                <c:pt idx="622">
                  <c:v>40407</c:v>
                </c:pt>
                <c:pt idx="623">
                  <c:v>40408</c:v>
                </c:pt>
                <c:pt idx="624">
                  <c:v>40409</c:v>
                </c:pt>
                <c:pt idx="625">
                  <c:v>40410</c:v>
                </c:pt>
                <c:pt idx="626">
                  <c:v>40413</c:v>
                </c:pt>
                <c:pt idx="627">
                  <c:v>40414</c:v>
                </c:pt>
                <c:pt idx="628">
                  <c:v>40415</c:v>
                </c:pt>
                <c:pt idx="629">
                  <c:v>40416</c:v>
                </c:pt>
                <c:pt idx="630">
                  <c:v>40417</c:v>
                </c:pt>
                <c:pt idx="631">
                  <c:v>40420</c:v>
                </c:pt>
                <c:pt idx="632">
                  <c:v>40421</c:v>
                </c:pt>
                <c:pt idx="633">
                  <c:v>40422</c:v>
                </c:pt>
                <c:pt idx="634">
                  <c:v>40423</c:v>
                </c:pt>
                <c:pt idx="635">
                  <c:v>40424</c:v>
                </c:pt>
                <c:pt idx="636">
                  <c:v>40428</c:v>
                </c:pt>
                <c:pt idx="637">
                  <c:v>40429</c:v>
                </c:pt>
                <c:pt idx="638">
                  <c:v>40430</c:v>
                </c:pt>
                <c:pt idx="639">
                  <c:v>40431</c:v>
                </c:pt>
                <c:pt idx="640">
                  <c:v>40434</c:v>
                </c:pt>
                <c:pt idx="641">
                  <c:v>40435</c:v>
                </c:pt>
                <c:pt idx="642">
                  <c:v>40436</c:v>
                </c:pt>
                <c:pt idx="643">
                  <c:v>40437</c:v>
                </c:pt>
                <c:pt idx="644">
                  <c:v>40438</c:v>
                </c:pt>
                <c:pt idx="645">
                  <c:v>40441</c:v>
                </c:pt>
                <c:pt idx="646">
                  <c:v>40442</c:v>
                </c:pt>
                <c:pt idx="647">
                  <c:v>40443</c:v>
                </c:pt>
                <c:pt idx="648">
                  <c:v>40444</c:v>
                </c:pt>
                <c:pt idx="649">
                  <c:v>40445</c:v>
                </c:pt>
                <c:pt idx="650">
                  <c:v>40448</c:v>
                </c:pt>
                <c:pt idx="651">
                  <c:v>40449</c:v>
                </c:pt>
                <c:pt idx="652">
                  <c:v>40450</c:v>
                </c:pt>
                <c:pt idx="653">
                  <c:v>40451</c:v>
                </c:pt>
                <c:pt idx="654">
                  <c:v>40452</c:v>
                </c:pt>
                <c:pt idx="655">
                  <c:v>40455</c:v>
                </c:pt>
                <c:pt idx="656">
                  <c:v>40456</c:v>
                </c:pt>
                <c:pt idx="657">
                  <c:v>40457</c:v>
                </c:pt>
                <c:pt idx="658">
                  <c:v>40458</c:v>
                </c:pt>
                <c:pt idx="659">
                  <c:v>40459</c:v>
                </c:pt>
                <c:pt idx="660">
                  <c:v>40462</c:v>
                </c:pt>
                <c:pt idx="661">
                  <c:v>40463</c:v>
                </c:pt>
                <c:pt idx="662">
                  <c:v>40464</c:v>
                </c:pt>
                <c:pt idx="663">
                  <c:v>40465</c:v>
                </c:pt>
                <c:pt idx="664">
                  <c:v>40466</c:v>
                </c:pt>
                <c:pt idx="665">
                  <c:v>40469</c:v>
                </c:pt>
                <c:pt idx="666">
                  <c:v>40470</c:v>
                </c:pt>
                <c:pt idx="667">
                  <c:v>40471</c:v>
                </c:pt>
                <c:pt idx="668">
                  <c:v>40472</c:v>
                </c:pt>
                <c:pt idx="669">
                  <c:v>40473</c:v>
                </c:pt>
                <c:pt idx="670">
                  <c:v>40476</c:v>
                </c:pt>
                <c:pt idx="671">
                  <c:v>40477</c:v>
                </c:pt>
                <c:pt idx="672">
                  <c:v>40478</c:v>
                </c:pt>
                <c:pt idx="673">
                  <c:v>40479</c:v>
                </c:pt>
                <c:pt idx="674">
                  <c:v>40480</c:v>
                </c:pt>
                <c:pt idx="675">
                  <c:v>40483</c:v>
                </c:pt>
                <c:pt idx="676">
                  <c:v>40484</c:v>
                </c:pt>
                <c:pt idx="677">
                  <c:v>40485</c:v>
                </c:pt>
                <c:pt idx="678">
                  <c:v>40486</c:v>
                </c:pt>
                <c:pt idx="679">
                  <c:v>40487</c:v>
                </c:pt>
                <c:pt idx="680">
                  <c:v>40490</c:v>
                </c:pt>
                <c:pt idx="681">
                  <c:v>40491</c:v>
                </c:pt>
                <c:pt idx="682">
                  <c:v>40492</c:v>
                </c:pt>
                <c:pt idx="683">
                  <c:v>40493</c:v>
                </c:pt>
                <c:pt idx="684">
                  <c:v>40494</c:v>
                </c:pt>
                <c:pt idx="685">
                  <c:v>40497</c:v>
                </c:pt>
                <c:pt idx="686">
                  <c:v>40498</c:v>
                </c:pt>
                <c:pt idx="687">
                  <c:v>40499</c:v>
                </c:pt>
                <c:pt idx="688">
                  <c:v>40500</c:v>
                </c:pt>
                <c:pt idx="689">
                  <c:v>40501</c:v>
                </c:pt>
                <c:pt idx="690">
                  <c:v>40504</c:v>
                </c:pt>
                <c:pt idx="691">
                  <c:v>40505</c:v>
                </c:pt>
                <c:pt idx="692">
                  <c:v>40506</c:v>
                </c:pt>
                <c:pt idx="693">
                  <c:v>40508</c:v>
                </c:pt>
                <c:pt idx="694">
                  <c:v>40511</c:v>
                </c:pt>
                <c:pt idx="695">
                  <c:v>40512</c:v>
                </c:pt>
                <c:pt idx="696">
                  <c:v>40513</c:v>
                </c:pt>
                <c:pt idx="697">
                  <c:v>40514</c:v>
                </c:pt>
                <c:pt idx="698">
                  <c:v>40515</c:v>
                </c:pt>
                <c:pt idx="699">
                  <c:v>40518</c:v>
                </c:pt>
                <c:pt idx="700">
                  <c:v>40519</c:v>
                </c:pt>
                <c:pt idx="701">
                  <c:v>40520</c:v>
                </c:pt>
                <c:pt idx="702">
                  <c:v>40521</c:v>
                </c:pt>
                <c:pt idx="703">
                  <c:v>40522</c:v>
                </c:pt>
                <c:pt idx="704">
                  <c:v>40525</c:v>
                </c:pt>
                <c:pt idx="705">
                  <c:v>40526</c:v>
                </c:pt>
                <c:pt idx="706">
                  <c:v>40527</c:v>
                </c:pt>
                <c:pt idx="707">
                  <c:v>40528</c:v>
                </c:pt>
                <c:pt idx="708">
                  <c:v>40529</c:v>
                </c:pt>
                <c:pt idx="709">
                  <c:v>40532</c:v>
                </c:pt>
                <c:pt idx="710">
                  <c:v>40533</c:v>
                </c:pt>
                <c:pt idx="711">
                  <c:v>40534</c:v>
                </c:pt>
                <c:pt idx="712">
                  <c:v>40535</c:v>
                </c:pt>
                <c:pt idx="713">
                  <c:v>40539</c:v>
                </c:pt>
                <c:pt idx="714">
                  <c:v>40540</c:v>
                </c:pt>
                <c:pt idx="715">
                  <c:v>40541</c:v>
                </c:pt>
                <c:pt idx="716">
                  <c:v>40542</c:v>
                </c:pt>
                <c:pt idx="717">
                  <c:v>40543</c:v>
                </c:pt>
                <c:pt idx="718">
                  <c:v>40546</c:v>
                </c:pt>
                <c:pt idx="719">
                  <c:v>40547</c:v>
                </c:pt>
                <c:pt idx="720">
                  <c:v>40548</c:v>
                </c:pt>
                <c:pt idx="721">
                  <c:v>40549</c:v>
                </c:pt>
                <c:pt idx="722">
                  <c:v>40550</c:v>
                </c:pt>
                <c:pt idx="723">
                  <c:v>40553</c:v>
                </c:pt>
                <c:pt idx="724">
                  <c:v>40554</c:v>
                </c:pt>
                <c:pt idx="725">
                  <c:v>40555</c:v>
                </c:pt>
                <c:pt idx="726">
                  <c:v>40556</c:v>
                </c:pt>
                <c:pt idx="727">
                  <c:v>40557</c:v>
                </c:pt>
                <c:pt idx="728">
                  <c:v>40561</c:v>
                </c:pt>
                <c:pt idx="729">
                  <c:v>40562</c:v>
                </c:pt>
                <c:pt idx="730">
                  <c:v>40563</c:v>
                </c:pt>
                <c:pt idx="731">
                  <c:v>40564</c:v>
                </c:pt>
                <c:pt idx="732">
                  <c:v>40567</c:v>
                </c:pt>
                <c:pt idx="733">
                  <c:v>40568</c:v>
                </c:pt>
                <c:pt idx="734">
                  <c:v>40569</c:v>
                </c:pt>
                <c:pt idx="735">
                  <c:v>40570</c:v>
                </c:pt>
                <c:pt idx="736">
                  <c:v>40571</c:v>
                </c:pt>
                <c:pt idx="737">
                  <c:v>40574</c:v>
                </c:pt>
                <c:pt idx="738">
                  <c:v>40575</c:v>
                </c:pt>
                <c:pt idx="739">
                  <c:v>40576</c:v>
                </c:pt>
                <c:pt idx="740">
                  <c:v>40577</c:v>
                </c:pt>
                <c:pt idx="741">
                  <c:v>40578</c:v>
                </c:pt>
                <c:pt idx="742">
                  <c:v>40581</c:v>
                </c:pt>
                <c:pt idx="743">
                  <c:v>40582</c:v>
                </c:pt>
                <c:pt idx="744">
                  <c:v>40583</c:v>
                </c:pt>
                <c:pt idx="745">
                  <c:v>40584</c:v>
                </c:pt>
                <c:pt idx="746">
                  <c:v>40585</c:v>
                </c:pt>
                <c:pt idx="747">
                  <c:v>40588</c:v>
                </c:pt>
                <c:pt idx="748">
                  <c:v>40589</c:v>
                </c:pt>
                <c:pt idx="749">
                  <c:v>40590</c:v>
                </c:pt>
                <c:pt idx="750">
                  <c:v>40591</c:v>
                </c:pt>
                <c:pt idx="751">
                  <c:v>40592</c:v>
                </c:pt>
                <c:pt idx="752">
                  <c:v>40596</c:v>
                </c:pt>
                <c:pt idx="753">
                  <c:v>40597</c:v>
                </c:pt>
                <c:pt idx="754">
                  <c:v>40598</c:v>
                </c:pt>
                <c:pt idx="755">
                  <c:v>40599</c:v>
                </c:pt>
                <c:pt idx="756">
                  <c:v>40602</c:v>
                </c:pt>
                <c:pt idx="757">
                  <c:v>40603</c:v>
                </c:pt>
                <c:pt idx="758">
                  <c:v>40604</c:v>
                </c:pt>
                <c:pt idx="759">
                  <c:v>40605</c:v>
                </c:pt>
                <c:pt idx="760">
                  <c:v>40606</c:v>
                </c:pt>
                <c:pt idx="761">
                  <c:v>40609</c:v>
                </c:pt>
                <c:pt idx="762">
                  <c:v>40610</c:v>
                </c:pt>
                <c:pt idx="763">
                  <c:v>40611</c:v>
                </c:pt>
                <c:pt idx="764">
                  <c:v>40612</c:v>
                </c:pt>
                <c:pt idx="765">
                  <c:v>40613</c:v>
                </c:pt>
                <c:pt idx="766">
                  <c:v>40616</c:v>
                </c:pt>
                <c:pt idx="767">
                  <c:v>40617</c:v>
                </c:pt>
                <c:pt idx="768">
                  <c:v>40618</c:v>
                </c:pt>
                <c:pt idx="769">
                  <c:v>40619</c:v>
                </c:pt>
                <c:pt idx="770">
                  <c:v>40620</c:v>
                </c:pt>
                <c:pt idx="771">
                  <c:v>40623</c:v>
                </c:pt>
                <c:pt idx="772">
                  <c:v>40624</c:v>
                </c:pt>
                <c:pt idx="773">
                  <c:v>40625</c:v>
                </c:pt>
                <c:pt idx="774">
                  <c:v>40626</c:v>
                </c:pt>
                <c:pt idx="775">
                  <c:v>40627</c:v>
                </c:pt>
                <c:pt idx="776">
                  <c:v>40630</c:v>
                </c:pt>
                <c:pt idx="777">
                  <c:v>40631</c:v>
                </c:pt>
                <c:pt idx="778">
                  <c:v>40632</c:v>
                </c:pt>
                <c:pt idx="779">
                  <c:v>40633</c:v>
                </c:pt>
                <c:pt idx="780">
                  <c:v>40634</c:v>
                </c:pt>
                <c:pt idx="781">
                  <c:v>40637</c:v>
                </c:pt>
                <c:pt idx="782">
                  <c:v>40638</c:v>
                </c:pt>
                <c:pt idx="783">
                  <c:v>40639</c:v>
                </c:pt>
                <c:pt idx="784">
                  <c:v>40640</c:v>
                </c:pt>
                <c:pt idx="785">
                  <c:v>40641</c:v>
                </c:pt>
                <c:pt idx="786">
                  <c:v>40644</c:v>
                </c:pt>
                <c:pt idx="787">
                  <c:v>40645</c:v>
                </c:pt>
                <c:pt idx="788">
                  <c:v>40646</c:v>
                </c:pt>
                <c:pt idx="789">
                  <c:v>40647</c:v>
                </c:pt>
                <c:pt idx="790">
                  <c:v>40648</c:v>
                </c:pt>
                <c:pt idx="791">
                  <c:v>40651</c:v>
                </c:pt>
                <c:pt idx="792">
                  <c:v>40652</c:v>
                </c:pt>
                <c:pt idx="793">
                  <c:v>40653</c:v>
                </c:pt>
                <c:pt idx="794">
                  <c:v>40654</c:v>
                </c:pt>
                <c:pt idx="795">
                  <c:v>40658</c:v>
                </c:pt>
                <c:pt idx="796">
                  <c:v>40659</c:v>
                </c:pt>
                <c:pt idx="797">
                  <c:v>40660</c:v>
                </c:pt>
                <c:pt idx="798">
                  <c:v>40661</c:v>
                </c:pt>
                <c:pt idx="799">
                  <c:v>40662</c:v>
                </c:pt>
                <c:pt idx="800">
                  <c:v>40665</c:v>
                </c:pt>
                <c:pt idx="801">
                  <c:v>40666</c:v>
                </c:pt>
                <c:pt idx="802">
                  <c:v>40667</c:v>
                </c:pt>
                <c:pt idx="803">
                  <c:v>40668</c:v>
                </c:pt>
                <c:pt idx="804">
                  <c:v>40669</c:v>
                </c:pt>
                <c:pt idx="805">
                  <c:v>40672</c:v>
                </c:pt>
                <c:pt idx="806">
                  <c:v>40673</c:v>
                </c:pt>
                <c:pt idx="807">
                  <c:v>40674</c:v>
                </c:pt>
                <c:pt idx="808">
                  <c:v>40675</c:v>
                </c:pt>
                <c:pt idx="809">
                  <c:v>40676</c:v>
                </c:pt>
                <c:pt idx="810">
                  <c:v>40679</c:v>
                </c:pt>
                <c:pt idx="811">
                  <c:v>40680</c:v>
                </c:pt>
                <c:pt idx="812">
                  <c:v>40681</c:v>
                </c:pt>
                <c:pt idx="813">
                  <c:v>40682</c:v>
                </c:pt>
                <c:pt idx="814">
                  <c:v>40683</c:v>
                </c:pt>
                <c:pt idx="815">
                  <c:v>40686</c:v>
                </c:pt>
                <c:pt idx="816">
                  <c:v>40687</c:v>
                </c:pt>
                <c:pt idx="817">
                  <c:v>40688</c:v>
                </c:pt>
                <c:pt idx="818">
                  <c:v>40689</c:v>
                </c:pt>
                <c:pt idx="819">
                  <c:v>40690</c:v>
                </c:pt>
                <c:pt idx="820">
                  <c:v>40694</c:v>
                </c:pt>
                <c:pt idx="821">
                  <c:v>40695</c:v>
                </c:pt>
                <c:pt idx="822">
                  <c:v>40696</c:v>
                </c:pt>
                <c:pt idx="823">
                  <c:v>40697</c:v>
                </c:pt>
                <c:pt idx="824">
                  <c:v>40700</c:v>
                </c:pt>
                <c:pt idx="825">
                  <c:v>40701</c:v>
                </c:pt>
                <c:pt idx="826">
                  <c:v>40702</c:v>
                </c:pt>
                <c:pt idx="827">
                  <c:v>40703</c:v>
                </c:pt>
                <c:pt idx="828">
                  <c:v>40704</c:v>
                </c:pt>
                <c:pt idx="829">
                  <c:v>40707</c:v>
                </c:pt>
                <c:pt idx="830">
                  <c:v>40708</c:v>
                </c:pt>
                <c:pt idx="831">
                  <c:v>40709</c:v>
                </c:pt>
                <c:pt idx="832">
                  <c:v>40710</c:v>
                </c:pt>
                <c:pt idx="833">
                  <c:v>40711</c:v>
                </c:pt>
                <c:pt idx="834">
                  <c:v>40714</c:v>
                </c:pt>
                <c:pt idx="835">
                  <c:v>40715</c:v>
                </c:pt>
                <c:pt idx="836">
                  <c:v>40716</c:v>
                </c:pt>
                <c:pt idx="837">
                  <c:v>40717</c:v>
                </c:pt>
                <c:pt idx="838">
                  <c:v>40718</c:v>
                </c:pt>
                <c:pt idx="839">
                  <c:v>40721</c:v>
                </c:pt>
                <c:pt idx="840">
                  <c:v>40722</c:v>
                </c:pt>
                <c:pt idx="841">
                  <c:v>40723</c:v>
                </c:pt>
                <c:pt idx="842">
                  <c:v>40724</c:v>
                </c:pt>
                <c:pt idx="843">
                  <c:v>40725</c:v>
                </c:pt>
                <c:pt idx="844">
                  <c:v>40729</c:v>
                </c:pt>
                <c:pt idx="845">
                  <c:v>40730</c:v>
                </c:pt>
                <c:pt idx="846">
                  <c:v>40731</c:v>
                </c:pt>
                <c:pt idx="847">
                  <c:v>40732</c:v>
                </c:pt>
                <c:pt idx="848">
                  <c:v>40735</c:v>
                </c:pt>
                <c:pt idx="849">
                  <c:v>40736</c:v>
                </c:pt>
                <c:pt idx="850">
                  <c:v>40737</c:v>
                </c:pt>
                <c:pt idx="851">
                  <c:v>40738</c:v>
                </c:pt>
                <c:pt idx="852">
                  <c:v>40739</c:v>
                </c:pt>
                <c:pt idx="853">
                  <c:v>40742</c:v>
                </c:pt>
                <c:pt idx="854">
                  <c:v>40743</c:v>
                </c:pt>
                <c:pt idx="855">
                  <c:v>40744</c:v>
                </c:pt>
                <c:pt idx="856">
                  <c:v>40745</c:v>
                </c:pt>
                <c:pt idx="857">
                  <c:v>40746</c:v>
                </c:pt>
                <c:pt idx="858">
                  <c:v>40749</c:v>
                </c:pt>
                <c:pt idx="859">
                  <c:v>40750</c:v>
                </c:pt>
                <c:pt idx="860">
                  <c:v>40751</c:v>
                </c:pt>
                <c:pt idx="861">
                  <c:v>40752</c:v>
                </c:pt>
                <c:pt idx="862">
                  <c:v>40753</c:v>
                </c:pt>
                <c:pt idx="863">
                  <c:v>40756</c:v>
                </c:pt>
                <c:pt idx="864">
                  <c:v>40757</c:v>
                </c:pt>
                <c:pt idx="865">
                  <c:v>40758</c:v>
                </c:pt>
                <c:pt idx="866">
                  <c:v>40759</c:v>
                </c:pt>
                <c:pt idx="867">
                  <c:v>40760</c:v>
                </c:pt>
                <c:pt idx="868">
                  <c:v>40763</c:v>
                </c:pt>
                <c:pt idx="869">
                  <c:v>40764</c:v>
                </c:pt>
                <c:pt idx="870">
                  <c:v>40765</c:v>
                </c:pt>
                <c:pt idx="871">
                  <c:v>40766</c:v>
                </c:pt>
                <c:pt idx="872">
                  <c:v>40767</c:v>
                </c:pt>
                <c:pt idx="873">
                  <c:v>40770</c:v>
                </c:pt>
                <c:pt idx="874">
                  <c:v>40771</c:v>
                </c:pt>
                <c:pt idx="875">
                  <c:v>40772</c:v>
                </c:pt>
                <c:pt idx="876">
                  <c:v>40773</c:v>
                </c:pt>
                <c:pt idx="877">
                  <c:v>40774</c:v>
                </c:pt>
                <c:pt idx="878">
                  <c:v>40777</c:v>
                </c:pt>
                <c:pt idx="879">
                  <c:v>40778</c:v>
                </c:pt>
                <c:pt idx="880">
                  <c:v>40779</c:v>
                </c:pt>
                <c:pt idx="881">
                  <c:v>40780</c:v>
                </c:pt>
                <c:pt idx="882">
                  <c:v>40781</c:v>
                </c:pt>
                <c:pt idx="883">
                  <c:v>40784</c:v>
                </c:pt>
                <c:pt idx="884">
                  <c:v>40785</c:v>
                </c:pt>
                <c:pt idx="885">
                  <c:v>40786</c:v>
                </c:pt>
                <c:pt idx="886">
                  <c:v>40787</c:v>
                </c:pt>
                <c:pt idx="887">
                  <c:v>40788</c:v>
                </c:pt>
                <c:pt idx="888">
                  <c:v>40792</c:v>
                </c:pt>
                <c:pt idx="889">
                  <c:v>40793</c:v>
                </c:pt>
                <c:pt idx="890">
                  <c:v>40794</c:v>
                </c:pt>
                <c:pt idx="891">
                  <c:v>40795</c:v>
                </c:pt>
                <c:pt idx="892">
                  <c:v>40798</c:v>
                </c:pt>
                <c:pt idx="893">
                  <c:v>40799</c:v>
                </c:pt>
                <c:pt idx="894">
                  <c:v>40800</c:v>
                </c:pt>
                <c:pt idx="895">
                  <c:v>40801</c:v>
                </c:pt>
                <c:pt idx="896">
                  <c:v>40802</c:v>
                </c:pt>
                <c:pt idx="897">
                  <c:v>40805</c:v>
                </c:pt>
                <c:pt idx="898">
                  <c:v>40806</c:v>
                </c:pt>
                <c:pt idx="899">
                  <c:v>40807</c:v>
                </c:pt>
                <c:pt idx="900">
                  <c:v>40808</c:v>
                </c:pt>
                <c:pt idx="901">
                  <c:v>40809</c:v>
                </c:pt>
                <c:pt idx="902">
                  <c:v>40812</c:v>
                </c:pt>
                <c:pt idx="903">
                  <c:v>40813</c:v>
                </c:pt>
                <c:pt idx="904">
                  <c:v>40814</c:v>
                </c:pt>
                <c:pt idx="905">
                  <c:v>40815</c:v>
                </c:pt>
                <c:pt idx="906">
                  <c:v>40816</c:v>
                </c:pt>
                <c:pt idx="907">
                  <c:v>40819</c:v>
                </c:pt>
                <c:pt idx="908">
                  <c:v>40820</c:v>
                </c:pt>
                <c:pt idx="909">
                  <c:v>40821</c:v>
                </c:pt>
                <c:pt idx="910">
                  <c:v>40822</c:v>
                </c:pt>
                <c:pt idx="911">
                  <c:v>40823</c:v>
                </c:pt>
                <c:pt idx="912">
                  <c:v>40826</c:v>
                </c:pt>
                <c:pt idx="913">
                  <c:v>40827</c:v>
                </c:pt>
                <c:pt idx="914">
                  <c:v>40828</c:v>
                </c:pt>
                <c:pt idx="915">
                  <c:v>40829</c:v>
                </c:pt>
                <c:pt idx="916">
                  <c:v>40830</c:v>
                </c:pt>
                <c:pt idx="917">
                  <c:v>40833</c:v>
                </c:pt>
                <c:pt idx="918">
                  <c:v>40834</c:v>
                </c:pt>
                <c:pt idx="919">
                  <c:v>40835</c:v>
                </c:pt>
                <c:pt idx="920">
                  <c:v>40836</c:v>
                </c:pt>
                <c:pt idx="921">
                  <c:v>40837</c:v>
                </c:pt>
                <c:pt idx="922">
                  <c:v>40840</c:v>
                </c:pt>
                <c:pt idx="923">
                  <c:v>40841</c:v>
                </c:pt>
                <c:pt idx="924">
                  <c:v>40842</c:v>
                </c:pt>
                <c:pt idx="925">
                  <c:v>40843</c:v>
                </c:pt>
                <c:pt idx="926">
                  <c:v>40844</c:v>
                </c:pt>
                <c:pt idx="927">
                  <c:v>40847</c:v>
                </c:pt>
                <c:pt idx="928">
                  <c:v>40848</c:v>
                </c:pt>
                <c:pt idx="929">
                  <c:v>40849</c:v>
                </c:pt>
                <c:pt idx="930">
                  <c:v>40850</c:v>
                </c:pt>
                <c:pt idx="931">
                  <c:v>40851</c:v>
                </c:pt>
                <c:pt idx="932">
                  <c:v>40854</c:v>
                </c:pt>
                <c:pt idx="933">
                  <c:v>40855</c:v>
                </c:pt>
                <c:pt idx="934">
                  <c:v>40856</c:v>
                </c:pt>
                <c:pt idx="935">
                  <c:v>40857</c:v>
                </c:pt>
                <c:pt idx="936">
                  <c:v>40858</c:v>
                </c:pt>
                <c:pt idx="937">
                  <c:v>40861</c:v>
                </c:pt>
                <c:pt idx="938">
                  <c:v>40862</c:v>
                </c:pt>
                <c:pt idx="939">
                  <c:v>40863</c:v>
                </c:pt>
                <c:pt idx="940">
                  <c:v>40864</c:v>
                </c:pt>
                <c:pt idx="941">
                  <c:v>40865</c:v>
                </c:pt>
                <c:pt idx="942">
                  <c:v>40868</c:v>
                </c:pt>
                <c:pt idx="943">
                  <c:v>40869</c:v>
                </c:pt>
                <c:pt idx="944">
                  <c:v>40870</c:v>
                </c:pt>
                <c:pt idx="945">
                  <c:v>40872</c:v>
                </c:pt>
                <c:pt idx="946">
                  <c:v>40875</c:v>
                </c:pt>
                <c:pt idx="947">
                  <c:v>40876</c:v>
                </c:pt>
                <c:pt idx="948">
                  <c:v>40877</c:v>
                </c:pt>
                <c:pt idx="949">
                  <c:v>40878</c:v>
                </c:pt>
                <c:pt idx="950">
                  <c:v>40879</c:v>
                </c:pt>
                <c:pt idx="951">
                  <c:v>40882</c:v>
                </c:pt>
                <c:pt idx="952">
                  <c:v>40883</c:v>
                </c:pt>
                <c:pt idx="953">
                  <c:v>40884</c:v>
                </c:pt>
                <c:pt idx="954">
                  <c:v>40885</c:v>
                </c:pt>
                <c:pt idx="955">
                  <c:v>40886</c:v>
                </c:pt>
                <c:pt idx="956">
                  <c:v>40889</c:v>
                </c:pt>
                <c:pt idx="957">
                  <c:v>40890</c:v>
                </c:pt>
                <c:pt idx="958">
                  <c:v>40891</c:v>
                </c:pt>
                <c:pt idx="959">
                  <c:v>40892</c:v>
                </c:pt>
                <c:pt idx="960">
                  <c:v>40893</c:v>
                </c:pt>
                <c:pt idx="961">
                  <c:v>40896</c:v>
                </c:pt>
                <c:pt idx="962">
                  <c:v>40897</c:v>
                </c:pt>
                <c:pt idx="963">
                  <c:v>40898</c:v>
                </c:pt>
                <c:pt idx="964">
                  <c:v>40899</c:v>
                </c:pt>
                <c:pt idx="965">
                  <c:v>40900</c:v>
                </c:pt>
                <c:pt idx="966">
                  <c:v>40904</c:v>
                </c:pt>
                <c:pt idx="967">
                  <c:v>40905</c:v>
                </c:pt>
                <c:pt idx="968">
                  <c:v>40906</c:v>
                </c:pt>
                <c:pt idx="969">
                  <c:v>40907</c:v>
                </c:pt>
                <c:pt idx="970">
                  <c:v>40911</c:v>
                </c:pt>
                <c:pt idx="971">
                  <c:v>40912</c:v>
                </c:pt>
                <c:pt idx="972">
                  <c:v>40913</c:v>
                </c:pt>
                <c:pt idx="973">
                  <c:v>40914</c:v>
                </c:pt>
                <c:pt idx="974">
                  <c:v>40917</c:v>
                </c:pt>
                <c:pt idx="975">
                  <c:v>40918</c:v>
                </c:pt>
                <c:pt idx="976">
                  <c:v>40919</c:v>
                </c:pt>
                <c:pt idx="977">
                  <c:v>40920</c:v>
                </c:pt>
                <c:pt idx="978">
                  <c:v>40921</c:v>
                </c:pt>
                <c:pt idx="979">
                  <c:v>40925</c:v>
                </c:pt>
                <c:pt idx="980">
                  <c:v>40926</c:v>
                </c:pt>
                <c:pt idx="981">
                  <c:v>40927</c:v>
                </c:pt>
                <c:pt idx="982">
                  <c:v>40928</c:v>
                </c:pt>
                <c:pt idx="983">
                  <c:v>40931</c:v>
                </c:pt>
                <c:pt idx="984">
                  <c:v>40932</c:v>
                </c:pt>
                <c:pt idx="985">
                  <c:v>40933</c:v>
                </c:pt>
                <c:pt idx="986">
                  <c:v>40934</c:v>
                </c:pt>
                <c:pt idx="987">
                  <c:v>40935</c:v>
                </c:pt>
                <c:pt idx="988">
                  <c:v>40938</c:v>
                </c:pt>
                <c:pt idx="989">
                  <c:v>40939</c:v>
                </c:pt>
                <c:pt idx="990">
                  <c:v>40940</c:v>
                </c:pt>
                <c:pt idx="991">
                  <c:v>40941</c:v>
                </c:pt>
                <c:pt idx="992">
                  <c:v>40942</c:v>
                </c:pt>
                <c:pt idx="993">
                  <c:v>40945</c:v>
                </c:pt>
                <c:pt idx="994">
                  <c:v>40946</c:v>
                </c:pt>
                <c:pt idx="995">
                  <c:v>40947</c:v>
                </c:pt>
                <c:pt idx="996">
                  <c:v>40948</c:v>
                </c:pt>
                <c:pt idx="997">
                  <c:v>40949</c:v>
                </c:pt>
                <c:pt idx="998">
                  <c:v>40952</c:v>
                </c:pt>
                <c:pt idx="999">
                  <c:v>40953</c:v>
                </c:pt>
                <c:pt idx="1000">
                  <c:v>40954</c:v>
                </c:pt>
                <c:pt idx="1001">
                  <c:v>40955</c:v>
                </c:pt>
                <c:pt idx="1002">
                  <c:v>40956</c:v>
                </c:pt>
                <c:pt idx="1003">
                  <c:v>40960</c:v>
                </c:pt>
                <c:pt idx="1004">
                  <c:v>40961</c:v>
                </c:pt>
                <c:pt idx="1005">
                  <c:v>40962</c:v>
                </c:pt>
                <c:pt idx="1006">
                  <c:v>40963</c:v>
                </c:pt>
                <c:pt idx="1007">
                  <c:v>40966</c:v>
                </c:pt>
                <c:pt idx="1008">
                  <c:v>40967</c:v>
                </c:pt>
                <c:pt idx="1009">
                  <c:v>40968</c:v>
                </c:pt>
                <c:pt idx="1010">
                  <c:v>40969</c:v>
                </c:pt>
                <c:pt idx="1011">
                  <c:v>40970</c:v>
                </c:pt>
                <c:pt idx="1012">
                  <c:v>40973</c:v>
                </c:pt>
                <c:pt idx="1013">
                  <c:v>40974</c:v>
                </c:pt>
                <c:pt idx="1014">
                  <c:v>40975</c:v>
                </c:pt>
                <c:pt idx="1015">
                  <c:v>40976</c:v>
                </c:pt>
                <c:pt idx="1016">
                  <c:v>40977</c:v>
                </c:pt>
                <c:pt idx="1017">
                  <c:v>40980</c:v>
                </c:pt>
                <c:pt idx="1018">
                  <c:v>40981</c:v>
                </c:pt>
                <c:pt idx="1019">
                  <c:v>40982</c:v>
                </c:pt>
                <c:pt idx="1020">
                  <c:v>40983</c:v>
                </c:pt>
                <c:pt idx="1021">
                  <c:v>40984</c:v>
                </c:pt>
                <c:pt idx="1022">
                  <c:v>40987</c:v>
                </c:pt>
                <c:pt idx="1023">
                  <c:v>40988</c:v>
                </c:pt>
                <c:pt idx="1024">
                  <c:v>40989</c:v>
                </c:pt>
                <c:pt idx="1025">
                  <c:v>40990</c:v>
                </c:pt>
                <c:pt idx="1026">
                  <c:v>40991</c:v>
                </c:pt>
                <c:pt idx="1027">
                  <c:v>40994</c:v>
                </c:pt>
                <c:pt idx="1028">
                  <c:v>40995</c:v>
                </c:pt>
                <c:pt idx="1029">
                  <c:v>40996</c:v>
                </c:pt>
                <c:pt idx="1030">
                  <c:v>40997</c:v>
                </c:pt>
                <c:pt idx="1031">
                  <c:v>40998</c:v>
                </c:pt>
                <c:pt idx="1032">
                  <c:v>41001</c:v>
                </c:pt>
                <c:pt idx="1033">
                  <c:v>41002</c:v>
                </c:pt>
                <c:pt idx="1034">
                  <c:v>41003</c:v>
                </c:pt>
                <c:pt idx="1035">
                  <c:v>41004</c:v>
                </c:pt>
                <c:pt idx="1036">
                  <c:v>41008</c:v>
                </c:pt>
                <c:pt idx="1037">
                  <c:v>41009</c:v>
                </c:pt>
                <c:pt idx="1038">
                  <c:v>41010</c:v>
                </c:pt>
                <c:pt idx="1039">
                  <c:v>41011</c:v>
                </c:pt>
                <c:pt idx="1040">
                  <c:v>41012</c:v>
                </c:pt>
                <c:pt idx="1041">
                  <c:v>41015</c:v>
                </c:pt>
                <c:pt idx="1042">
                  <c:v>41016</c:v>
                </c:pt>
                <c:pt idx="1043">
                  <c:v>41017</c:v>
                </c:pt>
                <c:pt idx="1044">
                  <c:v>41018</c:v>
                </c:pt>
                <c:pt idx="1045">
                  <c:v>41019</c:v>
                </c:pt>
                <c:pt idx="1046">
                  <c:v>41022</c:v>
                </c:pt>
                <c:pt idx="1047">
                  <c:v>41023</c:v>
                </c:pt>
                <c:pt idx="1048">
                  <c:v>41024</c:v>
                </c:pt>
                <c:pt idx="1049">
                  <c:v>41025</c:v>
                </c:pt>
                <c:pt idx="1050">
                  <c:v>41026</c:v>
                </c:pt>
                <c:pt idx="1051">
                  <c:v>41029</c:v>
                </c:pt>
                <c:pt idx="1052">
                  <c:v>41030</c:v>
                </c:pt>
                <c:pt idx="1053">
                  <c:v>41031</c:v>
                </c:pt>
                <c:pt idx="1054">
                  <c:v>41032</c:v>
                </c:pt>
                <c:pt idx="1055">
                  <c:v>41033</c:v>
                </c:pt>
                <c:pt idx="1056">
                  <c:v>41036</c:v>
                </c:pt>
                <c:pt idx="1057">
                  <c:v>41037</c:v>
                </c:pt>
                <c:pt idx="1058">
                  <c:v>41038</c:v>
                </c:pt>
                <c:pt idx="1059">
                  <c:v>41039</c:v>
                </c:pt>
                <c:pt idx="1060">
                  <c:v>41040</c:v>
                </c:pt>
                <c:pt idx="1061">
                  <c:v>41043</c:v>
                </c:pt>
                <c:pt idx="1062">
                  <c:v>41044</c:v>
                </c:pt>
                <c:pt idx="1063">
                  <c:v>41045</c:v>
                </c:pt>
                <c:pt idx="1064">
                  <c:v>41046</c:v>
                </c:pt>
                <c:pt idx="1065">
                  <c:v>41047</c:v>
                </c:pt>
                <c:pt idx="1066">
                  <c:v>41050</c:v>
                </c:pt>
                <c:pt idx="1067">
                  <c:v>41051</c:v>
                </c:pt>
                <c:pt idx="1068">
                  <c:v>41052</c:v>
                </c:pt>
                <c:pt idx="1069">
                  <c:v>41053</c:v>
                </c:pt>
                <c:pt idx="1070">
                  <c:v>41054</c:v>
                </c:pt>
                <c:pt idx="1071">
                  <c:v>41058</c:v>
                </c:pt>
                <c:pt idx="1072">
                  <c:v>41059</c:v>
                </c:pt>
                <c:pt idx="1073">
                  <c:v>41060</c:v>
                </c:pt>
                <c:pt idx="1074">
                  <c:v>41061</c:v>
                </c:pt>
                <c:pt idx="1075">
                  <c:v>41064</c:v>
                </c:pt>
                <c:pt idx="1076">
                  <c:v>41065</c:v>
                </c:pt>
                <c:pt idx="1077">
                  <c:v>41066</c:v>
                </c:pt>
                <c:pt idx="1078">
                  <c:v>41067</c:v>
                </c:pt>
                <c:pt idx="1079">
                  <c:v>41068</c:v>
                </c:pt>
                <c:pt idx="1080">
                  <c:v>41071</c:v>
                </c:pt>
                <c:pt idx="1081">
                  <c:v>41072</c:v>
                </c:pt>
                <c:pt idx="1082">
                  <c:v>41073</c:v>
                </c:pt>
                <c:pt idx="1083">
                  <c:v>41074</c:v>
                </c:pt>
                <c:pt idx="1084">
                  <c:v>41075</c:v>
                </c:pt>
                <c:pt idx="1085">
                  <c:v>41078</c:v>
                </c:pt>
                <c:pt idx="1086">
                  <c:v>41079</c:v>
                </c:pt>
                <c:pt idx="1087">
                  <c:v>41080</c:v>
                </c:pt>
                <c:pt idx="1088">
                  <c:v>41081</c:v>
                </c:pt>
                <c:pt idx="1089">
                  <c:v>41082</c:v>
                </c:pt>
                <c:pt idx="1090">
                  <c:v>41085</c:v>
                </c:pt>
                <c:pt idx="1091">
                  <c:v>41086</c:v>
                </c:pt>
                <c:pt idx="1092">
                  <c:v>41087</c:v>
                </c:pt>
                <c:pt idx="1093">
                  <c:v>41088</c:v>
                </c:pt>
                <c:pt idx="1094">
                  <c:v>41089</c:v>
                </c:pt>
                <c:pt idx="1095">
                  <c:v>41092</c:v>
                </c:pt>
                <c:pt idx="1096">
                  <c:v>41093</c:v>
                </c:pt>
                <c:pt idx="1097">
                  <c:v>41095</c:v>
                </c:pt>
                <c:pt idx="1098">
                  <c:v>41096</c:v>
                </c:pt>
                <c:pt idx="1099">
                  <c:v>41099</c:v>
                </c:pt>
                <c:pt idx="1100">
                  <c:v>41100</c:v>
                </c:pt>
                <c:pt idx="1101">
                  <c:v>41101</c:v>
                </c:pt>
                <c:pt idx="1102">
                  <c:v>41102</c:v>
                </c:pt>
                <c:pt idx="1103">
                  <c:v>41103</c:v>
                </c:pt>
                <c:pt idx="1104">
                  <c:v>41106</c:v>
                </c:pt>
                <c:pt idx="1105">
                  <c:v>41107</c:v>
                </c:pt>
                <c:pt idx="1106">
                  <c:v>41108</c:v>
                </c:pt>
                <c:pt idx="1107">
                  <c:v>41109</c:v>
                </c:pt>
                <c:pt idx="1108">
                  <c:v>41110</c:v>
                </c:pt>
                <c:pt idx="1109">
                  <c:v>41113</c:v>
                </c:pt>
                <c:pt idx="1110">
                  <c:v>41114</c:v>
                </c:pt>
                <c:pt idx="1111">
                  <c:v>41115</c:v>
                </c:pt>
                <c:pt idx="1112">
                  <c:v>41116</c:v>
                </c:pt>
                <c:pt idx="1113">
                  <c:v>41117</c:v>
                </c:pt>
                <c:pt idx="1114">
                  <c:v>41120</c:v>
                </c:pt>
                <c:pt idx="1115">
                  <c:v>41121</c:v>
                </c:pt>
                <c:pt idx="1116">
                  <c:v>41122</c:v>
                </c:pt>
                <c:pt idx="1117">
                  <c:v>41123</c:v>
                </c:pt>
                <c:pt idx="1118">
                  <c:v>41124</c:v>
                </c:pt>
                <c:pt idx="1119">
                  <c:v>41127</c:v>
                </c:pt>
                <c:pt idx="1120">
                  <c:v>41128</c:v>
                </c:pt>
                <c:pt idx="1121">
                  <c:v>41129</c:v>
                </c:pt>
                <c:pt idx="1122">
                  <c:v>41130</c:v>
                </c:pt>
                <c:pt idx="1123">
                  <c:v>41131</c:v>
                </c:pt>
                <c:pt idx="1124">
                  <c:v>41134</c:v>
                </c:pt>
                <c:pt idx="1125">
                  <c:v>41135</c:v>
                </c:pt>
                <c:pt idx="1126">
                  <c:v>41136</c:v>
                </c:pt>
                <c:pt idx="1127">
                  <c:v>41137</c:v>
                </c:pt>
                <c:pt idx="1128">
                  <c:v>41138</c:v>
                </c:pt>
                <c:pt idx="1129">
                  <c:v>41141</c:v>
                </c:pt>
                <c:pt idx="1130">
                  <c:v>41142</c:v>
                </c:pt>
                <c:pt idx="1131">
                  <c:v>41143</c:v>
                </c:pt>
                <c:pt idx="1132">
                  <c:v>41144</c:v>
                </c:pt>
                <c:pt idx="1133">
                  <c:v>41145</c:v>
                </c:pt>
                <c:pt idx="1134">
                  <c:v>41148</c:v>
                </c:pt>
                <c:pt idx="1135">
                  <c:v>41149</c:v>
                </c:pt>
                <c:pt idx="1136">
                  <c:v>41150</c:v>
                </c:pt>
                <c:pt idx="1137">
                  <c:v>41151</c:v>
                </c:pt>
                <c:pt idx="1138">
                  <c:v>41152</c:v>
                </c:pt>
                <c:pt idx="1139">
                  <c:v>41156</c:v>
                </c:pt>
                <c:pt idx="1140">
                  <c:v>41157</c:v>
                </c:pt>
                <c:pt idx="1141">
                  <c:v>41158</c:v>
                </c:pt>
                <c:pt idx="1142">
                  <c:v>41159</c:v>
                </c:pt>
                <c:pt idx="1143">
                  <c:v>41162</c:v>
                </c:pt>
                <c:pt idx="1144">
                  <c:v>41163</c:v>
                </c:pt>
                <c:pt idx="1145">
                  <c:v>41164</c:v>
                </c:pt>
                <c:pt idx="1146">
                  <c:v>41165</c:v>
                </c:pt>
                <c:pt idx="1147">
                  <c:v>41166</c:v>
                </c:pt>
                <c:pt idx="1148">
                  <c:v>41169</c:v>
                </c:pt>
                <c:pt idx="1149">
                  <c:v>41170</c:v>
                </c:pt>
                <c:pt idx="1150">
                  <c:v>41171</c:v>
                </c:pt>
                <c:pt idx="1151">
                  <c:v>41172</c:v>
                </c:pt>
                <c:pt idx="1152">
                  <c:v>41173</c:v>
                </c:pt>
                <c:pt idx="1153">
                  <c:v>41176</c:v>
                </c:pt>
                <c:pt idx="1154">
                  <c:v>41177</c:v>
                </c:pt>
                <c:pt idx="1155">
                  <c:v>41178</c:v>
                </c:pt>
                <c:pt idx="1156">
                  <c:v>41179</c:v>
                </c:pt>
                <c:pt idx="1157">
                  <c:v>41180</c:v>
                </c:pt>
                <c:pt idx="1158">
                  <c:v>41183</c:v>
                </c:pt>
                <c:pt idx="1159">
                  <c:v>41184</c:v>
                </c:pt>
                <c:pt idx="1160">
                  <c:v>41185</c:v>
                </c:pt>
                <c:pt idx="1161">
                  <c:v>41186</c:v>
                </c:pt>
                <c:pt idx="1162">
                  <c:v>41187</c:v>
                </c:pt>
                <c:pt idx="1163">
                  <c:v>41190</c:v>
                </c:pt>
                <c:pt idx="1164">
                  <c:v>41191</c:v>
                </c:pt>
                <c:pt idx="1165">
                  <c:v>41192</c:v>
                </c:pt>
                <c:pt idx="1166">
                  <c:v>41193</c:v>
                </c:pt>
                <c:pt idx="1167">
                  <c:v>41194</c:v>
                </c:pt>
                <c:pt idx="1168">
                  <c:v>41197</c:v>
                </c:pt>
                <c:pt idx="1169">
                  <c:v>41198</c:v>
                </c:pt>
                <c:pt idx="1170">
                  <c:v>41199</c:v>
                </c:pt>
                <c:pt idx="1171">
                  <c:v>41200</c:v>
                </c:pt>
                <c:pt idx="1172">
                  <c:v>41201</c:v>
                </c:pt>
                <c:pt idx="1173">
                  <c:v>41204</c:v>
                </c:pt>
                <c:pt idx="1174">
                  <c:v>41205</c:v>
                </c:pt>
                <c:pt idx="1175">
                  <c:v>41206</c:v>
                </c:pt>
                <c:pt idx="1176">
                  <c:v>41207</c:v>
                </c:pt>
                <c:pt idx="1177">
                  <c:v>41208</c:v>
                </c:pt>
                <c:pt idx="1178">
                  <c:v>41213</c:v>
                </c:pt>
                <c:pt idx="1179">
                  <c:v>41214</c:v>
                </c:pt>
                <c:pt idx="1180">
                  <c:v>41215</c:v>
                </c:pt>
                <c:pt idx="1181">
                  <c:v>41218</c:v>
                </c:pt>
                <c:pt idx="1182">
                  <c:v>41219</c:v>
                </c:pt>
                <c:pt idx="1183">
                  <c:v>41220</c:v>
                </c:pt>
                <c:pt idx="1184">
                  <c:v>41221</c:v>
                </c:pt>
                <c:pt idx="1185">
                  <c:v>41222</c:v>
                </c:pt>
                <c:pt idx="1186">
                  <c:v>41225</c:v>
                </c:pt>
                <c:pt idx="1187">
                  <c:v>41226</c:v>
                </c:pt>
                <c:pt idx="1188">
                  <c:v>41227</c:v>
                </c:pt>
                <c:pt idx="1189">
                  <c:v>41228</c:v>
                </c:pt>
                <c:pt idx="1190">
                  <c:v>41229</c:v>
                </c:pt>
                <c:pt idx="1191">
                  <c:v>41232</c:v>
                </c:pt>
                <c:pt idx="1192">
                  <c:v>41233</c:v>
                </c:pt>
                <c:pt idx="1193">
                  <c:v>41234</c:v>
                </c:pt>
                <c:pt idx="1194">
                  <c:v>41236</c:v>
                </c:pt>
                <c:pt idx="1195">
                  <c:v>41239</c:v>
                </c:pt>
                <c:pt idx="1196">
                  <c:v>41240</c:v>
                </c:pt>
                <c:pt idx="1197">
                  <c:v>41241</c:v>
                </c:pt>
                <c:pt idx="1198">
                  <c:v>41242</c:v>
                </c:pt>
                <c:pt idx="1199">
                  <c:v>41243</c:v>
                </c:pt>
                <c:pt idx="1200">
                  <c:v>41246</c:v>
                </c:pt>
                <c:pt idx="1201">
                  <c:v>41247</c:v>
                </c:pt>
                <c:pt idx="1202">
                  <c:v>41248</c:v>
                </c:pt>
                <c:pt idx="1203">
                  <c:v>41249</c:v>
                </c:pt>
                <c:pt idx="1204">
                  <c:v>41250</c:v>
                </c:pt>
                <c:pt idx="1205">
                  <c:v>41253</c:v>
                </c:pt>
                <c:pt idx="1206">
                  <c:v>41254</c:v>
                </c:pt>
                <c:pt idx="1207">
                  <c:v>41255</c:v>
                </c:pt>
                <c:pt idx="1208">
                  <c:v>41256</c:v>
                </c:pt>
                <c:pt idx="1209">
                  <c:v>41257</c:v>
                </c:pt>
                <c:pt idx="1210">
                  <c:v>41260</c:v>
                </c:pt>
                <c:pt idx="1211">
                  <c:v>41261</c:v>
                </c:pt>
                <c:pt idx="1212">
                  <c:v>41262</c:v>
                </c:pt>
                <c:pt idx="1213">
                  <c:v>41263</c:v>
                </c:pt>
                <c:pt idx="1214">
                  <c:v>41264</c:v>
                </c:pt>
                <c:pt idx="1215">
                  <c:v>41267</c:v>
                </c:pt>
                <c:pt idx="1216">
                  <c:v>41269</c:v>
                </c:pt>
                <c:pt idx="1217">
                  <c:v>41270</c:v>
                </c:pt>
                <c:pt idx="1218">
                  <c:v>41271</c:v>
                </c:pt>
                <c:pt idx="1219">
                  <c:v>41274</c:v>
                </c:pt>
                <c:pt idx="1220">
                  <c:v>41276</c:v>
                </c:pt>
                <c:pt idx="1221">
                  <c:v>41277</c:v>
                </c:pt>
                <c:pt idx="1222">
                  <c:v>41278</c:v>
                </c:pt>
                <c:pt idx="1223">
                  <c:v>41281</c:v>
                </c:pt>
                <c:pt idx="1224">
                  <c:v>41282</c:v>
                </c:pt>
                <c:pt idx="1225">
                  <c:v>41283</c:v>
                </c:pt>
                <c:pt idx="1226">
                  <c:v>41284</c:v>
                </c:pt>
                <c:pt idx="1227">
                  <c:v>41285</c:v>
                </c:pt>
                <c:pt idx="1228">
                  <c:v>41288</c:v>
                </c:pt>
                <c:pt idx="1229">
                  <c:v>41289</c:v>
                </c:pt>
                <c:pt idx="1230">
                  <c:v>41290</c:v>
                </c:pt>
                <c:pt idx="1231">
                  <c:v>41291</c:v>
                </c:pt>
                <c:pt idx="1232">
                  <c:v>41292</c:v>
                </c:pt>
                <c:pt idx="1233">
                  <c:v>41296</c:v>
                </c:pt>
                <c:pt idx="1234">
                  <c:v>41297</c:v>
                </c:pt>
                <c:pt idx="1235">
                  <c:v>41298</c:v>
                </c:pt>
                <c:pt idx="1236">
                  <c:v>41299</c:v>
                </c:pt>
                <c:pt idx="1237">
                  <c:v>41302</c:v>
                </c:pt>
                <c:pt idx="1238">
                  <c:v>41303</c:v>
                </c:pt>
                <c:pt idx="1239">
                  <c:v>41304</c:v>
                </c:pt>
                <c:pt idx="1240">
                  <c:v>41305</c:v>
                </c:pt>
                <c:pt idx="1241">
                  <c:v>41306</c:v>
                </c:pt>
                <c:pt idx="1242">
                  <c:v>41309</c:v>
                </c:pt>
                <c:pt idx="1243">
                  <c:v>41310</c:v>
                </c:pt>
                <c:pt idx="1244">
                  <c:v>41311</c:v>
                </c:pt>
                <c:pt idx="1245">
                  <c:v>41312</c:v>
                </c:pt>
                <c:pt idx="1246">
                  <c:v>41313</c:v>
                </c:pt>
                <c:pt idx="1247">
                  <c:v>41316</c:v>
                </c:pt>
                <c:pt idx="1248">
                  <c:v>41317</c:v>
                </c:pt>
                <c:pt idx="1249">
                  <c:v>41318</c:v>
                </c:pt>
                <c:pt idx="1250">
                  <c:v>41319</c:v>
                </c:pt>
                <c:pt idx="1251">
                  <c:v>41320</c:v>
                </c:pt>
                <c:pt idx="1252">
                  <c:v>41324</c:v>
                </c:pt>
                <c:pt idx="1253">
                  <c:v>41325</c:v>
                </c:pt>
                <c:pt idx="1254">
                  <c:v>41326</c:v>
                </c:pt>
                <c:pt idx="1255">
                  <c:v>41327</c:v>
                </c:pt>
                <c:pt idx="1256">
                  <c:v>41330</c:v>
                </c:pt>
                <c:pt idx="1257">
                  <c:v>41331</c:v>
                </c:pt>
                <c:pt idx="1258">
                  <c:v>41332</c:v>
                </c:pt>
              </c:numCache>
            </c:numRef>
          </c:cat>
          <c:val>
            <c:numRef>
              <c:f>[0]!ASSET_PRICES_RNG</c:f>
              <c:numCache>
                <c:formatCode>#,##0.00</c:formatCode>
                <c:ptCount val="1259"/>
                <c:pt idx="0">
                  <c:v>475.39</c:v>
                </c:pt>
                <c:pt idx="1">
                  <c:v>471.18</c:v>
                </c:pt>
                <c:pt idx="2">
                  <c:v>457.02</c:v>
                </c:pt>
                <c:pt idx="3">
                  <c:v>444.6</c:v>
                </c:pt>
                <c:pt idx="4">
                  <c:v>447.7</c:v>
                </c:pt>
                <c:pt idx="5">
                  <c:v>432.7</c:v>
                </c:pt>
                <c:pt idx="6">
                  <c:v>433.35</c:v>
                </c:pt>
                <c:pt idx="7">
                  <c:v>413.62</c:v>
                </c:pt>
                <c:pt idx="8">
                  <c:v>439.84</c:v>
                </c:pt>
                <c:pt idx="9">
                  <c:v>440.18</c:v>
                </c:pt>
                <c:pt idx="10">
                  <c:v>443.01</c:v>
                </c:pt>
                <c:pt idx="11">
                  <c:v>437.92</c:v>
                </c:pt>
                <c:pt idx="12">
                  <c:v>419.87</c:v>
                </c:pt>
                <c:pt idx="13">
                  <c:v>439.16</c:v>
                </c:pt>
                <c:pt idx="14">
                  <c:v>432</c:v>
                </c:pt>
                <c:pt idx="15">
                  <c:v>433.55</c:v>
                </c:pt>
                <c:pt idx="16">
                  <c:v>460.56</c:v>
                </c:pt>
                <c:pt idx="17">
                  <c:v>450.78</c:v>
                </c:pt>
                <c:pt idx="18">
                  <c:v>458.19</c:v>
                </c:pt>
                <c:pt idx="19">
                  <c:v>444.08</c:v>
                </c:pt>
                <c:pt idx="20">
                  <c:v>438.08</c:v>
                </c:pt>
                <c:pt idx="21">
                  <c:v>440.47</c:v>
                </c:pt>
                <c:pt idx="22">
                  <c:v>465.71</c:v>
                </c:pt>
                <c:pt idx="23">
                  <c:v>465.7</c:v>
                </c:pt>
                <c:pt idx="24">
                  <c:v>455.12</c:v>
                </c:pt>
                <c:pt idx="25">
                  <c:v>471.09</c:v>
                </c:pt>
                <c:pt idx="26">
                  <c:v>476.82</c:v>
                </c:pt>
                <c:pt idx="27">
                  <c:v>467.81</c:v>
                </c:pt>
                <c:pt idx="28">
                  <c:v>464.19</c:v>
                </c:pt>
                <c:pt idx="29">
                  <c:v>469.08</c:v>
                </c:pt>
                <c:pt idx="30">
                  <c:v>457.45</c:v>
                </c:pt>
                <c:pt idx="31">
                  <c:v>451.66</c:v>
                </c:pt>
                <c:pt idx="32">
                  <c:v>446.84</c:v>
                </c:pt>
                <c:pt idx="33">
                  <c:v>455.03</c:v>
                </c:pt>
                <c:pt idx="34">
                  <c:v>449.54</c:v>
                </c:pt>
                <c:pt idx="35">
                  <c:v>539.41</c:v>
                </c:pt>
                <c:pt idx="36">
                  <c:v>537.79</c:v>
                </c:pt>
                <c:pt idx="37">
                  <c:v>555</c:v>
                </c:pt>
                <c:pt idx="38">
                  <c:v>546.49</c:v>
                </c:pt>
                <c:pt idx="39">
                  <c:v>543.04</c:v>
                </c:pt>
                <c:pt idx="40">
                  <c:v>544.05999999999995</c:v>
                </c:pt>
                <c:pt idx="41">
                  <c:v>552.12</c:v>
                </c:pt>
                <c:pt idx="42">
                  <c:v>558.47</c:v>
                </c:pt>
                <c:pt idx="43">
                  <c:v>574.29</c:v>
                </c:pt>
                <c:pt idx="44">
                  <c:v>593.08000000000004</c:v>
                </c:pt>
                <c:pt idx="45">
                  <c:v>581.29</c:v>
                </c:pt>
                <c:pt idx="46">
                  <c:v>594.9</c:v>
                </c:pt>
                <c:pt idx="47">
                  <c:v>586.36</c:v>
                </c:pt>
                <c:pt idx="48">
                  <c:v>579</c:v>
                </c:pt>
                <c:pt idx="49">
                  <c:v>583.01</c:v>
                </c:pt>
                <c:pt idx="50">
                  <c:v>573.20000000000005</c:v>
                </c:pt>
                <c:pt idx="51">
                  <c:v>584.94000000000005</c:v>
                </c:pt>
                <c:pt idx="52">
                  <c:v>583</c:v>
                </c:pt>
                <c:pt idx="53">
                  <c:v>576.29999999999995</c:v>
                </c:pt>
                <c:pt idx="54">
                  <c:v>581</c:v>
                </c:pt>
                <c:pt idx="55">
                  <c:v>580.07000000000005</c:v>
                </c:pt>
                <c:pt idx="56">
                  <c:v>577.52</c:v>
                </c:pt>
                <c:pt idx="57">
                  <c:v>578.6</c:v>
                </c:pt>
                <c:pt idx="58">
                  <c:v>549.99</c:v>
                </c:pt>
                <c:pt idx="59">
                  <c:v>549.46</c:v>
                </c:pt>
                <c:pt idx="60">
                  <c:v>544.62</c:v>
                </c:pt>
                <c:pt idx="61">
                  <c:v>560.9</c:v>
                </c:pt>
                <c:pt idx="62">
                  <c:v>568.24</c:v>
                </c:pt>
                <c:pt idx="63">
                  <c:v>583</c:v>
                </c:pt>
                <c:pt idx="64">
                  <c:v>585.79999999999995</c:v>
                </c:pt>
                <c:pt idx="65">
                  <c:v>575</c:v>
                </c:pt>
                <c:pt idx="66">
                  <c:v>567.29999999999995</c:v>
                </c:pt>
                <c:pt idx="67">
                  <c:v>572.22</c:v>
                </c:pt>
                <c:pt idx="68">
                  <c:v>586.29999999999995</c:v>
                </c:pt>
                <c:pt idx="69">
                  <c:v>567</c:v>
                </c:pt>
                <c:pt idx="70">
                  <c:v>557.87</c:v>
                </c:pt>
                <c:pt idx="71">
                  <c:v>554.16999999999996</c:v>
                </c:pt>
                <c:pt idx="72">
                  <c:v>545.20000000000005</c:v>
                </c:pt>
                <c:pt idx="73">
                  <c:v>552.95000000000005</c:v>
                </c:pt>
                <c:pt idx="74">
                  <c:v>571.51</c:v>
                </c:pt>
                <c:pt idx="75">
                  <c:v>572.80999999999995</c:v>
                </c:pt>
                <c:pt idx="76">
                  <c:v>569.46</c:v>
                </c:pt>
                <c:pt idx="77">
                  <c:v>562.38</c:v>
                </c:pt>
                <c:pt idx="78">
                  <c:v>560.20000000000005</c:v>
                </c:pt>
                <c:pt idx="79">
                  <c:v>546.42999999999995</c:v>
                </c:pt>
                <c:pt idx="80">
                  <c:v>545.21</c:v>
                </c:pt>
                <c:pt idx="81">
                  <c:v>542.29999999999995</c:v>
                </c:pt>
                <c:pt idx="82">
                  <c:v>551</c:v>
                </c:pt>
                <c:pt idx="83">
                  <c:v>528.82000000000005</c:v>
                </c:pt>
                <c:pt idx="84">
                  <c:v>528.07000000000005</c:v>
                </c:pt>
                <c:pt idx="85">
                  <c:v>526.41999999999996</c:v>
                </c:pt>
                <c:pt idx="86">
                  <c:v>534.73</c:v>
                </c:pt>
                <c:pt idx="87">
                  <c:v>527.04</c:v>
                </c:pt>
                <c:pt idx="88">
                  <c:v>537</c:v>
                </c:pt>
                <c:pt idx="89">
                  <c:v>543.91</c:v>
                </c:pt>
                <c:pt idx="90">
                  <c:v>554.53</c:v>
                </c:pt>
                <c:pt idx="91">
                  <c:v>541.54999999999995</c:v>
                </c:pt>
                <c:pt idx="92">
                  <c:v>540.57000000000005</c:v>
                </c:pt>
                <c:pt idx="93">
                  <c:v>533.79999999999995</c:v>
                </c:pt>
                <c:pt idx="94">
                  <c:v>521.62</c:v>
                </c:pt>
                <c:pt idx="95">
                  <c:v>516.09</c:v>
                </c:pt>
                <c:pt idx="96">
                  <c:v>535.6</c:v>
                </c:pt>
                <c:pt idx="97">
                  <c:v>533.44000000000005</c:v>
                </c:pt>
                <c:pt idx="98">
                  <c:v>481.32</c:v>
                </c:pt>
                <c:pt idx="99">
                  <c:v>468.8</c:v>
                </c:pt>
                <c:pt idx="100">
                  <c:v>477.11</c:v>
                </c:pt>
                <c:pt idx="101">
                  <c:v>489.22</c:v>
                </c:pt>
                <c:pt idx="102">
                  <c:v>475.62</c:v>
                </c:pt>
                <c:pt idx="103">
                  <c:v>491.98</c:v>
                </c:pt>
                <c:pt idx="104">
                  <c:v>477.12</c:v>
                </c:pt>
                <c:pt idx="105">
                  <c:v>483.11</c:v>
                </c:pt>
                <c:pt idx="106">
                  <c:v>482.7</c:v>
                </c:pt>
                <c:pt idx="107">
                  <c:v>473.75</c:v>
                </c:pt>
                <c:pt idx="108">
                  <c:v>467.86</c:v>
                </c:pt>
                <c:pt idx="109">
                  <c:v>463</c:v>
                </c:pt>
                <c:pt idx="110">
                  <c:v>479.85</c:v>
                </c:pt>
                <c:pt idx="111">
                  <c:v>486.34</c:v>
                </c:pt>
                <c:pt idx="112">
                  <c:v>479.12</c:v>
                </c:pt>
                <c:pt idx="113">
                  <c:v>495.01</c:v>
                </c:pt>
                <c:pt idx="114">
                  <c:v>500.84</c:v>
                </c:pt>
                <c:pt idx="115">
                  <c:v>502.61</c:v>
                </c:pt>
                <c:pt idx="116">
                  <c:v>500.03</c:v>
                </c:pt>
                <c:pt idx="117">
                  <c:v>505.49</c:v>
                </c:pt>
                <c:pt idx="118">
                  <c:v>510.15</c:v>
                </c:pt>
                <c:pt idx="119">
                  <c:v>498.3</c:v>
                </c:pt>
                <c:pt idx="120">
                  <c:v>490.5</c:v>
                </c:pt>
                <c:pt idx="121">
                  <c:v>485</c:v>
                </c:pt>
                <c:pt idx="122">
                  <c:v>486.53</c:v>
                </c:pt>
                <c:pt idx="123">
                  <c:v>490.59</c:v>
                </c:pt>
                <c:pt idx="124">
                  <c:v>483.01</c:v>
                </c:pt>
                <c:pt idx="125">
                  <c:v>474.16</c:v>
                </c:pt>
                <c:pt idx="126">
                  <c:v>468.58</c:v>
                </c:pt>
                <c:pt idx="127">
                  <c:v>473.78</c:v>
                </c:pt>
                <c:pt idx="128">
                  <c:v>463.29</c:v>
                </c:pt>
                <c:pt idx="129">
                  <c:v>465.25</c:v>
                </c:pt>
                <c:pt idx="130">
                  <c:v>464.41</c:v>
                </c:pt>
                <c:pt idx="131">
                  <c:v>450.26</c:v>
                </c:pt>
                <c:pt idx="132">
                  <c:v>444.25</c:v>
                </c:pt>
                <c:pt idx="133">
                  <c:v>419.95</c:v>
                </c:pt>
                <c:pt idx="134">
                  <c:v>418.66</c:v>
                </c:pt>
                <c:pt idx="135">
                  <c:v>414.16</c:v>
                </c:pt>
                <c:pt idx="136">
                  <c:v>433.75</c:v>
                </c:pt>
                <c:pt idx="137">
                  <c:v>437.66</c:v>
                </c:pt>
                <c:pt idx="138">
                  <c:v>433.86</c:v>
                </c:pt>
                <c:pt idx="139">
                  <c:v>442.93</c:v>
                </c:pt>
                <c:pt idx="140">
                  <c:v>414.49</c:v>
                </c:pt>
                <c:pt idx="141">
                  <c:v>439.08</c:v>
                </c:pt>
                <c:pt idx="142">
                  <c:v>449.15</c:v>
                </c:pt>
                <c:pt idx="143">
                  <c:v>430.14</c:v>
                </c:pt>
                <c:pt idx="144">
                  <c:v>429.27</c:v>
                </c:pt>
                <c:pt idx="145">
                  <c:v>435.11</c:v>
                </c:pt>
                <c:pt idx="146">
                  <c:v>439.6</c:v>
                </c:pt>
                <c:pt idx="147">
                  <c:v>431.04</c:v>
                </c:pt>
                <c:pt idx="148">
                  <c:v>381</c:v>
                </c:pt>
                <c:pt idx="149">
                  <c:v>400.52</c:v>
                </c:pt>
                <c:pt idx="150">
                  <c:v>411.72</c:v>
                </c:pt>
                <c:pt idx="151">
                  <c:v>390.49</c:v>
                </c:pt>
                <c:pt idx="152">
                  <c:v>386.91</c:v>
                </c:pt>
                <c:pt idx="153">
                  <c:v>371.21</c:v>
                </c:pt>
                <c:pt idx="154">
                  <c:v>346.01</c:v>
                </c:pt>
                <c:pt idx="155">
                  <c:v>338.11</c:v>
                </c:pt>
                <c:pt idx="156">
                  <c:v>328.98</c:v>
                </c:pt>
                <c:pt idx="157">
                  <c:v>332</c:v>
                </c:pt>
                <c:pt idx="158">
                  <c:v>381.02</c:v>
                </c:pt>
                <c:pt idx="159">
                  <c:v>362.71</c:v>
                </c:pt>
                <c:pt idx="160">
                  <c:v>339.17</c:v>
                </c:pt>
                <c:pt idx="161">
                  <c:v>353.02</c:v>
                </c:pt>
                <c:pt idx="162">
                  <c:v>372.54</c:v>
                </c:pt>
                <c:pt idx="163">
                  <c:v>379.32</c:v>
                </c:pt>
                <c:pt idx="164">
                  <c:v>362.75</c:v>
                </c:pt>
                <c:pt idx="165">
                  <c:v>355.67</c:v>
                </c:pt>
                <c:pt idx="166">
                  <c:v>352.32</c:v>
                </c:pt>
                <c:pt idx="167">
                  <c:v>339.29</c:v>
                </c:pt>
                <c:pt idx="168">
                  <c:v>329.49</c:v>
                </c:pt>
                <c:pt idx="169">
                  <c:v>368.75</c:v>
                </c:pt>
                <c:pt idx="170">
                  <c:v>358</c:v>
                </c:pt>
                <c:pt idx="171">
                  <c:v>359.69</c:v>
                </c:pt>
                <c:pt idx="172">
                  <c:v>359.36</c:v>
                </c:pt>
                <c:pt idx="173">
                  <c:v>346.49</c:v>
                </c:pt>
                <c:pt idx="174">
                  <c:v>366.94</c:v>
                </c:pt>
                <c:pt idx="175">
                  <c:v>342.24</c:v>
                </c:pt>
                <c:pt idx="176">
                  <c:v>331.22</c:v>
                </c:pt>
                <c:pt idx="177">
                  <c:v>331.14</c:v>
                </c:pt>
                <c:pt idx="178">
                  <c:v>318.77999999999997</c:v>
                </c:pt>
                <c:pt idx="179">
                  <c:v>311.45999999999998</c:v>
                </c:pt>
                <c:pt idx="180">
                  <c:v>291</c:v>
                </c:pt>
                <c:pt idx="181">
                  <c:v>312.08</c:v>
                </c:pt>
                <c:pt idx="182">
                  <c:v>310.02</c:v>
                </c:pt>
                <c:pt idx="183">
                  <c:v>300.12</c:v>
                </c:pt>
                <c:pt idx="184">
                  <c:v>297.42</c:v>
                </c:pt>
                <c:pt idx="185">
                  <c:v>280.18</c:v>
                </c:pt>
                <c:pt idx="186">
                  <c:v>259.56</c:v>
                </c:pt>
                <c:pt idx="187">
                  <c:v>262.43</c:v>
                </c:pt>
                <c:pt idx="188">
                  <c:v>257.44</c:v>
                </c:pt>
                <c:pt idx="189">
                  <c:v>282.05</c:v>
                </c:pt>
                <c:pt idx="190">
                  <c:v>292.08999999999997</c:v>
                </c:pt>
                <c:pt idx="191">
                  <c:v>292.95999999999998</c:v>
                </c:pt>
                <c:pt idx="192">
                  <c:v>265.99</c:v>
                </c:pt>
                <c:pt idx="193">
                  <c:v>275.11</c:v>
                </c:pt>
                <c:pt idx="194">
                  <c:v>279.43</c:v>
                </c:pt>
                <c:pt idx="195">
                  <c:v>274.33999999999997</c:v>
                </c:pt>
                <c:pt idx="196">
                  <c:v>283.99</c:v>
                </c:pt>
                <c:pt idx="197">
                  <c:v>302.11</c:v>
                </c:pt>
                <c:pt idx="198">
                  <c:v>305.97000000000003</c:v>
                </c:pt>
                <c:pt idx="199">
                  <c:v>308.82</c:v>
                </c:pt>
                <c:pt idx="200">
                  <c:v>300.22000000000003</c:v>
                </c:pt>
                <c:pt idx="201">
                  <c:v>315.76</c:v>
                </c:pt>
                <c:pt idx="202">
                  <c:v>310.67</c:v>
                </c:pt>
                <c:pt idx="203">
                  <c:v>325.27999999999997</c:v>
                </c:pt>
                <c:pt idx="204">
                  <c:v>315.24</c:v>
                </c:pt>
                <c:pt idx="205">
                  <c:v>310.27999999999997</c:v>
                </c:pt>
                <c:pt idx="206">
                  <c:v>310.17</c:v>
                </c:pt>
                <c:pt idx="207">
                  <c:v>297.11</c:v>
                </c:pt>
                <c:pt idx="208">
                  <c:v>298.02</c:v>
                </c:pt>
                <c:pt idx="209">
                  <c:v>302.95</c:v>
                </c:pt>
                <c:pt idx="210">
                  <c:v>300.36</c:v>
                </c:pt>
                <c:pt idx="211">
                  <c:v>297.42</c:v>
                </c:pt>
                <c:pt idx="212">
                  <c:v>303.11</c:v>
                </c:pt>
                <c:pt idx="213">
                  <c:v>307.64999999999998</c:v>
                </c:pt>
                <c:pt idx="214">
                  <c:v>321.32</c:v>
                </c:pt>
                <c:pt idx="215">
                  <c:v>328.05</c:v>
                </c:pt>
                <c:pt idx="216">
                  <c:v>334.06</c:v>
                </c:pt>
                <c:pt idx="217">
                  <c:v>322.01</c:v>
                </c:pt>
                <c:pt idx="218">
                  <c:v>325.19</c:v>
                </c:pt>
                <c:pt idx="219">
                  <c:v>315.07</c:v>
                </c:pt>
                <c:pt idx="220">
                  <c:v>312.69</c:v>
                </c:pt>
                <c:pt idx="221">
                  <c:v>314.32</c:v>
                </c:pt>
                <c:pt idx="222">
                  <c:v>300.97000000000003</c:v>
                </c:pt>
                <c:pt idx="223">
                  <c:v>298.99</c:v>
                </c:pt>
                <c:pt idx="224">
                  <c:v>299.67</c:v>
                </c:pt>
                <c:pt idx="225">
                  <c:v>282.75</c:v>
                </c:pt>
                <c:pt idx="226">
                  <c:v>303.08</c:v>
                </c:pt>
                <c:pt idx="227">
                  <c:v>306.5</c:v>
                </c:pt>
                <c:pt idx="228">
                  <c:v>324.7</c:v>
                </c:pt>
                <c:pt idx="229">
                  <c:v>323.87</c:v>
                </c:pt>
                <c:pt idx="230">
                  <c:v>331.48</c:v>
                </c:pt>
                <c:pt idx="231">
                  <c:v>348.67</c:v>
                </c:pt>
                <c:pt idx="232">
                  <c:v>343.32</c:v>
                </c:pt>
                <c:pt idx="233">
                  <c:v>338.53</c:v>
                </c:pt>
                <c:pt idx="234">
                  <c:v>340.57</c:v>
                </c:pt>
                <c:pt idx="235">
                  <c:v>340.45</c:v>
                </c:pt>
                <c:pt idx="236">
                  <c:v>343</c:v>
                </c:pt>
                <c:pt idx="237">
                  <c:v>353.72</c:v>
                </c:pt>
                <c:pt idx="238">
                  <c:v>371.28</c:v>
                </c:pt>
                <c:pt idx="239">
                  <c:v>378.77</c:v>
                </c:pt>
                <c:pt idx="240">
                  <c:v>358.51</c:v>
                </c:pt>
                <c:pt idx="241">
                  <c:v>358.04</c:v>
                </c:pt>
                <c:pt idx="242">
                  <c:v>363.05</c:v>
                </c:pt>
                <c:pt idx="243">
                  <c:v>357.68</c:v>
                </c:pt>
                <c:pt idx="244">
                  <c:v>342.66</c:v>
                </c:pt>
                <c:pt idx="245">
                  <c:v>353.11</c:v>
                </c:pt>
                <c:pt idx="246">
                  <c:v>342.64</c:v>
                </c:pt>
                <c:pt idx="247">
                  <c:v>346.45</c:v>
                </c:pt>
                <c:pt idx="248">
                  <c:v>330.06</c:v>
                </c:pt>
                <c:pt idx="249">
                  <c:v>345.45</c:v>
                </c:pt>
                <c:pt idx="250">
                  <c:v>341.64</c:v>
                </c:pt>
                <c:pt idx="251">
                  <c:v>337.18</c:v>
                </c:pt>
                <c:pt idx="252">
                  <c:v>337.99</c:v>
                </c:pt>
                <c:pt idx="253">
                  <c:v>327.16000000000003</c:v>
                </c:pt>
                <c:pt idx="254">
                  <c:v>325.48</c:v>
                </c:pt>
                <c:pt idx="255">
                  <c:v>318.92</c:v>
                </c:pt>
                <c:pt idx="256">
                  <c:v>305.64</c:v>
                </c:pt>
                <c:pt idx="257">
                  <c:v>308.57</c:v>
                </c:pt>
                <c:pt idx="258">
                  <c:v>290.89</c:v>
                </c:pt>
                <c:pt idx="259">
                  <c:v>308.17</c:v>
                </c:pt>
                <c:pt idx="260">
                  <c:v>317.91000000000003</c:v>
                </c:pt>
                <c:pt idx="261">
                  <c:v>323.52999999999997</c:v>
                </c:pt>
                <c:pt idx="262">
                  <c:v>324.42</c:v>
                </c:pt>
                <c:pt idx="263">
                  <c:v>319.69</c:v>
                </c:pt>
                <c:pt idx="264">
                  <c:v>335.34</c:v>
                </c:pt>
                <c:pt idx="265">
                  <c:v>333.1</c:v>
                </c:pt>
                <c:pt idx="266">
                  <c:v>329.94</c:v>
                </c:pt>
                <c:pt idx="267">
                  <c:v>330.16</c:v>
                </c:pt>
                <c:pt idx="268">
                  <c:v>348.6</c:v>
                </c:pt>
                <c:pt idx="269">
                  <c:v>347.17</c:v>
                </c:pt>
                <c:pt idx="270">
                  <c:v>344.07</c:v>
                </c:pt>
                <c:pt idx="271">
                  <c:v>353.29</c:v>
                </c:pt>
                <c:pt idx="272">
                  <c:v>347.7</c:v>
                </c:pt>
                <c:pt idx="273">
                  <c:v>342.69</c:v>
                </c:pt>
                <c:pt idx="274">
                  <c:v>348.06</c:v>
                </c:pt>
                <c:pt idx="275">
                  <c:v>354.09</c:v>
                </c:pt>
                <c:pt idx="276">
                  <c:v>362.5</c:v>
                </c:pt>
                <c:pt idx="277">
                  <c:v>369.78</c:v>
                </c:pt>
                <c:pt idx="278">
                  <c:v>368.24</c:v>
                </c:pt>
                <c:pt idx="279">
                  <c:v>358.65</c:v>
                </c:pt>
                <c:pt idx="280">
                  <c:v>362</c:v>
                </c:pt>
                <c:pt idx="281">
                  <c:v>372.5</c:v>
                </c:pt>
                <c:pt idx="282">
                  <c:v>378.11</c:v>
                </c:pt>
                <c:pt idx="283">
                  <c:v>368.91</c:v>
                </c:pt>
                <c:pt idx="284">
                  <c:v>379.5</c:v>
                </c:pt>
                <c:pt idx="285">
                  <c:v>388.74</c:v>
                </c:pt>
                <c:pt idx="286">
                  <c:v>392.24</c:v>
                </c:pt>
                <c:pt idx="287">
                  <c:v>379.3</c:v>
                </c:pt>
                <c:pt idx="288">
                  <c:v>381.47</c:v>
                </c:pt>
                <c:pt idx="289">
                  <c:v>383.86</c:v>
                </c:pt>
                <c:pt idx="290">
                  <c:v>384.69</c:v>
                </c:pt>
                <c:pt idx="291">
                  <c:v>389.49</c:v>
                </c:pt>
                <c:pt idx="292">
                  <c:v>385.95</c:v>
                </c:pt>
                <c:pt idx="293">
                  <c:v>383.71</c:v>
                </c:pt>
                <c:pt idx="294">
                  <c:v>391.47</c:v>
                </c:pt>
                <c:pt idx="295">
                  <c:v>395.97</c:v>
                </c:pt>
                <c:pt idx="296">
                  <c:v>393.69</c:v>
                </c:pt>
                <c:pt idx="297">
                  <c:v>401.98</c:v>
                </c:pt>
                <c:pt idx="298">
                  <c:v>402.99</c:v>
                </c:pt>
                <c:pt idx="299">
                  <c:v>403.47</c:v>
                </c:pt>
                <c:pt idx="300">
                  <c:v>396.61</c:v>
                </c:pt>
                <c:pt idx="301">
                  <c:v>407.33</c:v>
                </c:pt>
                <c:pt idx="302">
                  <c:v>407.98</c:v>
                </c:pt>
                <c:pt idx="303">
                  <c:v>399.01</c:v>
                </c:pt>
                <c:pt idx="304">
                  <c:v>389.54</c:v>
                </c:pt>
                <c:pt idx="305">
                  <c:v>387.5</c:v>
                </c:pt>
                <c:pt idx="306">
                  <c:v>390</c:v>
                </c:pt>
                <c:pt idx="307">
                  <c:v>396.84</c:v>
                </c:pt>
                <c:pt idx="308">
                  <c:v>398.88</c:v>
                </c:pt>
                <c:pt idx="309">
                  <c:v>397.18</c:v>
                </c:pt>
                <c:pt idx="310">
                  <c:v>396.5</c:v>
                </c:pt>
                <c:pt idx="311">
                  <c:v>393.5</c:v>
                </c:pt>
                <c:pt idx="312">
                  <c:v>404.36</c:v>
                </c:pt>
                <c:pt idx="313">
                  <c:v>405.56</c:v>
                </c:pt>
                <c:pt idx="314">
                  <c:v>410.4</c:v>
                </c:pt>
                <c:pt idx="315">
                  <c:v>417.23</c:v>
                </c:pt>
                <c:pt idx="316">
                  <c:v>426.56</c:v>
                </c:pt>
                <c:pt idx="317">
                  <c:v>428.4</c:v>
                </c:pt>
                <c:pt idx="318">
                  <c:v>431.65</c:v>
                </c:pt>
                <c:pt idx="319">
                  <c:v>440.28</c:v>
                </c:pt>
                <c:pt idx="320">
                  <c:v>444.32</c:v>
                </c:pt>
                <c:pt idx="321">
                  <c:v>438.77</c:v>
                </c:pt>
                <c:pt idx="322">
                  <c:v>435.62</c:v>
                </c:pt>
                <c:pt idx="323">
                  <c:v>432.6</c:v>
                </c:pt>
                <c:pt idx="324">
                  <c:v>429</c:v>
                </c:pt>
                <c:pt idx="325">
                  <c:v>424.84</c:v>
                </c:pt>
                <c:pt idx="326">
                  <c:v>416.77</c:v>
                </c:pt>
                <c:pt idx="327">
                  <c:v>416</c:v>
                </c:pt>
                <c:pt idx="328">
                  <c:v>415.16</c:v>
                </c:pt>
                <c:pt idx="329">
                  <c:v>414.06</c:v>
                </c:pt>
                <c:pt idx="330">
                  <c:v>420.09</c:v>
                </c:pt>
                <c:pt idx="331">
                  <c:v>407.35</c:v>
                </c:pt>
                <c:pt idx="332">
                  <c:v>405.68</c:v>
                </c:pt>
                <c:pt idx="333">
                  <c:v>409.29</c:v>
                </c:pt>
                <c:pt idx="334">
                  <c:v>415.77</c:v>
                </c:pt>
                <c:pt idx="335">
                  <c:v>425.32</c:v>
                </c:pt>
                <c:pt idx="336">
                  <c:v>424.14</c:v>
                </c:pt>
                <c:pt idx="337">
                  <c:v>421.59</c:v>
                </c:pt>
                <c:pt idx="338">
                  <c:v>418.99</c:v>
                </c:pt>
                <c:pt idx="339">
                  <c:v>408.49</c:v>
                </c:pt>
                <c:pt idx="340">
                  <c:v>409.61</c:v>
                </c:pt>
                <c:pt idx="341">
                  <c:v>396.63</c:v>
                </c:pt>
                <c:pt idx="342">
                  <c:v>402.49</c:v>
                </c:pt>
                <c:pt idx="343">
                  <c:v>410.39</c:v>
                </c:pt>
                <c:pt idx="344">
                  <c:v>414.4</c:v>
                </c:pt>
                <c:pt idx="345">
                  <c:v>424.3</c:v>
                </c:pt>
                <c:pt idx="346">
                  <c:v>424.69</c:v>
                </c:pt>
                <c:pt idx="347">
                  <c:v>438.17</c:v>
                </c:pt>
                <c:pt idx="348">
                  <c:v>442.6</c:v>
                </c:pt>
                <c:pt idx="349">
                  <c:v>430.25</c:v>
                </c:pt>
                <c:pt idx="350">
                  <c:v>430.17</c:v>
                </c:pt>
                <c:pt idx="351">
                  <c:v>427.9</c:v>
                </c:pt>
                <c:pt idx="352">
                  <c:v>427.69</c:v>
                </c:pt>
                <c:pt idx="353">
                  <c:v>437.34</c:v>
                </c:pt>
                <c:pt idx="354">
                  <c:v>446.72</c:v>
                </c:pt>
                <c:pt idx="355">
                  <c:v>444.8</c:v>
                </c:pt>
                <c:pt idx="356">
                  <c:v>439.85</c:v>
                </c:pt>
                <c:pt idx="357">
                  <c:v>436.24</c:v>
                </c:pt>
                <c:pt idx="358">
                  <c:v>445.64</c:v>
                </c:pt>
                <c:pt idx="359">
                  <c:v>443.05</c:v>
                </c:pt>
                <c:pt idx="360">
                  <c:v>452.21</c:v>
                </c:pt>
                <c:pt idx="361">
                  <c:v>453.73</c:v>
                </c:pt>
                <c:pt idx="362">
                  <c:v>451.14</c:v>
                </c:pt>
                <c:pt idx="363">
                  <c:v>450.36</c:v>
                </c:pt>
                <c:pt idx="364">
                  <c:v>457.1</c:v>
                </c:pt>
                <c:pt idx="365">
                  <c:v>456.61</c:v>
                </c:pt>
                <c:pt idx="366">
                  <c:v>453.94</c:v>
                </c:pt>
                <c:pt idx="367">
                  <c:v>458.58</c:v>
                </c:pt>
                <c:pt idx="368">
                  <c:v>462.28</c:v>
                </c:pt>
                <c:pt idx="369">
                  <c:v>460</c:v>
                </c:pt>
                <c:pt idx="370">
                  <c:v>444.89</c:v>
                </c:pt>
                <c:pt idx="371">
                  <c:v>445.28</c:v>
                </c:pt>
                <c:pt idx="372">
                  <c:v>443.97</c:v>
                </c:pt>
                <c:pt idx="373">
                  <c:v>460.41</c:v>
                </c:pt>
                <c:pt idx="374">
                  <c:v>465.24</c:v>
                </c:pt>
                <c:pt idx="375">
                  <c:v>468.73</c:v>
                </c:pt>
                <c:pt idx="376">
                  <c:v>471.37</c:v>
                </c:pt>
                <c:pt idx="377">
                  <c:v>468</c:v>
                </c:pt>
                <c:pt idx="378">
                  <c:v>466.06</c:v>
                </c:pt>
                <c:pt idx="379">
                  <c:v>464.75</c:v>
                </c:pt>
                <c:pt idx="380">
                  <c:v>461.67</c:v>
                </c:pt>
                <c:pt idx="381">
                  <c:v>455.76</c:v>
                </c:pt>
                <c:pt idx="382">
                  <c:v>453.01</c:v>
                </c:pt>
                <c:pt idx="383">
                  <c:v>457.52</c:v>
                </c:pt>
                <c:pt idx="384">
                  <c:v>461.3</c:v>
                </c:pt>
                <c:pt idx="385">
                  <c:v>458.62</c:v>
                </c:pt>
                <c:pt idx="386">
                  <c:v>463.97</c:v>
                </c:pt>
                <c:pt idx="387">
                  <c:v>470.94</c:v>
                </c:pt>
                <c:pt idx="388">
                  <c:v>472.14</c:v>
                </c:pt>
                <c:pt idx="389">
                  <c:v>475.12</c:v>
                </c:pt>
                <c:pt idx="390">
                  <c:v>477.54</c:v>
                </c:pt>
                <c:pt idx="391">
                  <c:v>488.29</c:v>
                </c:pt>
                <c:pt idx="392">
                  <c:v>491.72</c:v>
                </c:pt>
                <c:pt idx="393">
                  <c:v>491.46</c:v>
                </c:pt>
                <c:pt idx="394">
                  <c:v>497</c:v>
                </c:pt>
                <c:pt idx="395">
                  <c:v>499.06</c:v>
                </c:pt>
                <c:pt idx="396">
                  <c:v>498.46</c:v>
                </c:pt>
                <c:pt idx="397">
                  <c:v>496.77</c:v>
                </c:pt>
                <c:pt idx="398">
                  <c:v>492.48</c:v>
                </c:pt>
                <c:pt idx="399">
                  <c:v>498.53</c:v>
                </c:pt>
                <c:pt idx="400">
                  <c:v>498.53</c:v>
                </c:pt>
                <c:pt idx="401">
                  <c:v>495.85</c:v>
                </c:pt>
                <c:pt idx="402">
                  <c:v>487.2</c:v>
                </c:pt>
                <c:pt idx="403">
                  <c:v>484.58</c:v>
                </c:pt>
                <c:pt idx="404">
                  <c:v>488.52</c:v>
                </c:pt>
                <c:pt idx="405">
                  <c:v>498.74</c:v>
                </c:pt>
                <c:pt idx="406">
                  <c:v>517.54</c:v>
                </c:pt>
                <c:pt idx="407">
                  <c:v>514.17999999999995</c:v>
                </c:pt>
                <c:pt idx="408">
                  <c:v>516.25</c:v>
                </c:pt>
                <c:pt idx="409">
                  <c:v>524.04</c:v>
                </c:pt>
                <c:pt idx="410">
                  <c:v>526.11</c:v>
                </c:pt>
                <c:pt idx="411">
                  <c:v>535.32000000000005</c:v>
                </c:pt>
                <c:pt idx="412">
                  <c:v>529.91</c:v>
                </c:pt>
                <c:pt idx="413">
                  <c:v>549.85</c:v>
                </c:pt>
                <c:pt idx="414">
                  <c:v>552.09</c:v>
                </c:pt>
                <c:pt idx="415">
                  <c:v>551.72</c:v>
                </c:pt>
                <c:pt idx="416">
                  <c:v>551.1</c:v>
                </c:pt>
                <c:pt idx="417">
                  <c:v>554.09</c:v>
                </c:pt>
                <c:pt idx="418">
                  <c:v>553.69000000000005</c:v>
                </c:pt>
                <c:pt idx="419">
                  <c:v>554.21</c:v>
                </c:pt>
                <c:pt idx="420">
                  <c:v>548.29</c:v>
                </c:pt>
                <c:pt idx="421">
                  <c:v>540.29999999999995</c:v>
                </c:pt>
                <c:pt idx="422">
                  <c:v>551.04999999999995</c:v>
                </c:pt>
                <c:pt idx="423">
                  <c:v>536.12</c:v>
                </c:pt>
                <c:pt idx="424">
                  <c:v>533.99</c:v>
                </c:pt>
                <c:pt idx="425">
                  <c:v>537.29</c:v>
                </c:pt>
                <c:pt idx="426">
                  <c:v>540.33000000000004</c:v>
                </c:pt>
                <c:pt idx="427">
                  <c:v>548.65</c:v>
                </c:pt>
                <c:pt idx="428">
                  <c:v>551.1</c:v>
                </c:pt>
                <c:pt idx="429">
                  <c:v>562.51</c:v>
                </c:pt>
                <c:pt idx="430">
                  <c:v>566.76</c:v>
                </c:pt>
                <c:pt idx="431">
                  <c:v>570.55999999999995</c:v>
                </c:pt>
                <c:pt idx="432">
                  <c:v>567.85</c:v>
                </c:pt>
                <c:pt idx="433">
                  <c:v>572.04999999999995</c:v>
                </c:pt>
                <c:pt idx="434">
                  <c:v>576.28</c:v>
                </c:pt>
                <c:pt idx="435">
                  <c:v>577.49</c:v>
                </c:pt>
                <c:pt idx="436">
                  <c:v>576.65</c:v>
                </c:pt>
                <c:pt idx="437">
                  <c:v>572.99</c:v>
                </c:pt>
                <c:pt idx="438">
                  <c:v>569.96</c:v>
                </c:pt>
                <c:pt idx="439">
                  <c:v>582.35</c:v>
                </c:pt>
                <c:pt idx="440">
                  <c:v>583.09</c:v>
                </c:pt>
                <c:pt idx="441">
                  <c:v>585.74</c:v>
                </c:pt>
                <c:pt idx="442">
                  <c:v>579.76</c:v>
                </c:pt>
                <c:pt idx="443">
                  <c:v>583</c:v>
                </c:pt>
                <c:pt idx="444">
                  <c:v>589.87</c:v>
                </c:pt>
                <c:pt idx="445">
                  <c:v>587.51</c:v>
                </c:pt>
                <c:pt idx="446">
                  <c:v>585.74</c:v>
                </c:pt>
                <c:pt idx="447">
                  <c:v>585.01</c:v>
                </c:pt>
                <c:pt idx="448">
                  <c:v>586.25</c:v>
                </c:pt>
                <c:pt idx="449">
                  <c:v>587.04999999999995</c:v>
                </c:pt>
                <c:pt idx="450">
                  <c:v>589.02</c:v>
                </c:pt>
                <c:pt idx="451">
                  <c:v>591.5</c:v>
                </c:pt>
                <c:pt idx="452">
                  <c:v>590.51</c:v>
                </c:pt>
                <c:pt idx="453">
                  <c:v>595.73</c:v>
                </c:pt>
                <c:pt idx="454">
                  <c:v>593.14</c:v>
                </c:pt>
                <c:pt idx="455">
                  <c:v>597.76</c:v>
                </c:pt>
                <c:pt idx="456">
                  <c:v>593.94000000000005</c:v>
                </c:pt>
                <c:pt idx="457">
                  <c:v>596.41999999999996</c:v>
                </c:pt>
                <c:pt idx="458">
                  <c:v>598.67999999999995</c:v>
                </c:pt>
                <c:pt idx="459">
                  <c:v>601.12</c:v>
                </c:pt>
                <c:pt idx="460">
                  <c:v>611.67999999999995</c:v>
                </c:pt>
                <c:pt idx="461">
                  <c:v>618.48</c:v>
                </c:pt>
                <c:pt idx="462">
                  <c:v>622.87</c:v>
                </c:pt>
                <c:pt idx="463">
                  <c:v>619.4</c:v>
                </c:pt>
                <c:pt idx="464">
                  <c:v>622.73</c:v>
                </c:pt>
                <c:pt idx="465">
                  <c:v>619.98</c:v>
                </c:pt>
                <c:pt idx="466">
                  <c:v>626.75</c:v>
                </c:pt>
                <c:pt idx="467">
                  <c:v>623.99</c:v>
                </c:pt>
                <c:pt idx="468">
                  <c:v>608.26</c:v>
                </c:pt>
                <c:pt idx="469">
                  <c:v>594.1</c:v>
                </c:pt>
                <c:pt idx="470">
                  <c:v>602.02</c:v>
                </c:pt>
                <c:pt idx="471">
                  <c:v>601.11</c:v>
                </c:pt>
                <c:pt idx="472">
                  <c:v>590.48</c:v>
                </c:pt>
                <c:pt idx="473">
                  <c:v>587.09</c:v>
                </c:pt>
                <c:pt idx="474">
                  <c:v>589.85</c:v>
                </c:pt>
                <c:pt idx="475">
                  <c:v>580</c:v>
                </c:pt>
                <c:pt idx="476">
                  <c:v>587.62</c:v>
                </c:pt>
                <c:pt idx="477">
                  <c:v>580.41</c:v>
                </c:pt>
                <c:pt idx="478">
                  <c:v>582.98</c:v>
                </c:pt>
                <c:pt idx="479">
                  <c:v>550.01</c:v>
                </c:pt>
                <c:pt idx="480">
                  <c:v>540</c:v>
                </c:pt>
                <c:pt idx="481">
                  <c:v>542.41999999999996</c:v>
                </c:pt>
                <c:pt idx="482">
                  <c:v>542.1</c:v>
                </c:pt>
                <c:pt idx="483">
                  <c:v>534.29</c:v>
                </c:pt>
                <c:pt idx="484">
                  <c:v>529.94000000000005</c:v>
                </c:pt>
                <c:pt idx="485">
                  <c:v>533.02</c:v>
                </c:pt>
                <c:pt idx="486">
                  <c:v>531.12</c:v>
                </c:pt>
                <c:pt idx="487">
                  <c:v>540.82000000000005</c:v>
                </c:pt>
                <c:pt idx="488">
                  <c:v>526.78</c:v>
                </c:pt>
                <c:pt idx="489">
                  <c:v>531.29</c:v>
                </c:pt>
                <c:pt idx="490">
                  <c:v>533.47</c:v>
                </c:pt>
                <c:pt idx="491">
                  <c:v>536.44000000000005</c:v>
                </c:pt>
                <c:pt idx="492">
                  <c:v>534.45000000000005</c:v>
                </c:pt>
                <c:pt idx="493">
                  <c:v>536.4</c:v>
                </c:pt>
                <c:pt idx="494">
                  <c:v>533.12</c:v>
                </c:pt>
                <c:pt idx="495">
                  <c:v>541.29999999999995</c:v>
                </c:pt>
                <c:pt idx="496">
                  <c:v>538.21</c:v>
                </c:pt>
                <c:pt idx="497">
                  <c:v>543.22</c:v>
                </c:pt>
                <c:pt idx="498">
                  <c:v>540.76</c:v>
                </c:pt>
                <c:pt idx="499">
                  <c:v>542.79999999999995</c:v>
                </c:pt>
                <c:pt idx="500">
                  <c:v>535.07000000000005</c:v>
                </c:pt>
                <c:pt idx="501">
                  <c:v>531.47</c:v>
                </c:pt>
                <c:pt idx="502">
                  <c:v>526.42999999999995</c:v>
                </c:pt>
                <c:pt idx="503">
                  <c:v>526.79999999999995</c:v>
                </c:pt>
                <c:pt idx="504">
                  <c:v>532.69000000000005</c:v>
                </c:pt>
                <c:pt idx="505">
                  <c:v>541.05999999999995</c:v>
                </c:pt>
                <c:pt idx="506">
                  <c:v>545.32000000000005</c:v>
                </c:pt>
                <c:pt idx="507">
                  <c:v>554.59</c:v>
                </c:pt>
                <c:pt idx="508">
                  <c:v>564.21</c:v>
                </c:pt>
                <c:pt idx="509">
                  <c:v>562.48</c:v>
                </c:pt>
                <c:pt idx="510">
                  <c:v>560.19000000000005</c:v>
                </c:pt>
                <c:pt idx="511">
                  <c:v>576.45000000000005</c:v>
                </c:pt>
                <c:pt idx="512">
                  <c:v>581.14</c:v>
                </c:pt>
                <c:pt idx="513">
                  <c:v>579.54</c:v>
                </c:pt>
                <c:pt idx="514">
                  <c:v>563.17999999999995</c:v>
                </c:pt>
                <c:pt idx="515">
                  <c:v>565.20000000000005</c:v>
                </c:pt>
                <c:pt idx="516">
                  <c:v>565.55999999999995</c:v>
                </c:pt>
                <c:pt idx="517">
                  <c:v>566.4</c:v>
                </c:pt>
                <c:pt idx="518">
                  <c:v>560</c:v>
                </c:pt>
                <c:pt idx="519">
                  <c:v>557.5</c:v>
                </c:pt>
                <c:pt idx="520">
                  <c:v>549</c:v>
                </c:pt>
                <c:pt idx="521">
                  <c:v>557.33000000000004</c:v>
                </c:pt>
                <c:pt idx="522">
                  <c:v>562.88</c:v>
                </c:pt>
                <c:pt idx="523">
                  <c:v>562.69000000000005</c:v>
                </c:pt>
                <c:pt idx="524">
                  <c:v>562.45000000000005</c:v>
                </c:pt>
                <c:pt idx="525">
                  <c:v>566.71</c:v>
                </c:pt>
                <c:pt idx="526">
                  <c:v>567.12</c:v>
                </c:pt>
                <c:pt idx="527">
                  <c:v>568.79999999999995</c:v>
                </c:pt>
                <c:pt idx="528">
                  <c:v>571.01</c:v>
                </c:pt>
                <c:pt idx="529">
                  <c:v>568.22</c:v>
                </c:pt>
                <c:pt idx="530">
                  <c:v>563.54</c:v>
                </c:pt>
                <c:pt idx="531">
                  <c:v>567.49</c:v>
                </c:pt>
                <c:pt idx="532">
                  <c:v>566.22</c:v>
                </c:pt>
                <c:pt idx="533">
                  <c:v>572.73</c:v>
                </c:pt>
                <c:pt idx="534">
                  <c:v>586.77</c:v>
                </c:pt>
                <c:pt idx="535">
                  <c:v>589</c:v>
                </c:pt>
                <c:pt idx="536">
                  <c:v>595.29999999999995</c:v>
                </c:pt>
                <c:pt idx="537">
                  <c:v>550.15</c:v>
                </c:pt>
                <c:pt idx="538">
                  <c:v>550.1</c:v>
                </c:pt>
                <c:pt idx="539">
                  <c:v>555.04</c:v>
                </c:pt>
                <c:pt idx="540">
                  <c:v>554.29999999999995</c:v>
                </c:pt>
                <c:pt idx="541">
                  <c:v>547.05999999999995</c:v>
                </c:pt>
                <c:pt idx="542">
                  <c:v>544.99</c:v>
                </c:pt>
                <c:pt idx="543">
                  <c:v>531.64</c:v>
                </c:pt>
                <c:pt idx="544">
                  <c:v>529.05999999999995</c:v>
                </c:pt>
                <c:pt idx="545">
                  <c:v>529.19000000000005</c:v>
                </c:pt>
                <c:pt idx="546">
                  <c:v>532</c:v>
                </c:pt>
                <c:pt idx="547">
                  <c:v>525.70000000000005</c:v>
                </c:pt>
                <c:pt idx="548">
                  <c:v>530.6</c:v>
                </c:pt>
                <c:pt idx="549">
                  <c:v>506.37</c:v>
                </c:pt>
                <c:pt idx="550">
                  <c:v>509.76</c:v>
                </c:pt>
                <c:pt idx="551">
                  <c:v>498.67</c:v>
                </c:pt>
                <c:pt idx="552">
                  <c:v>493.14</c:v>
                </c:pt>
                <c:pt idx="553">
                  <c:v>521.65</c:v>
                </c:pt>
                <c:pt idx="554">
                  <c:v>509.05</c:v>
                </c:pt>
                <c:pt idx="555">
                  <c:v>505.39</c:v>
                </c:pt>
                <c:pt idx="556">
                  <c:v>510.88</c:v>
                </c:pt>
                <c:pt idx="557">
                  <c:v>507.53</c:v>
                </c:pt>
                <c:pt idx="558">
                  <c:v>507.97</c:v>
                </c:pt>
                <c:pt idx="559">
                  <c:v>498.37</c:v>
                </c:pt>
                <c:pt idx="560">
                  <c:v>494.43</c:v>
                </c:pt>
                <c:pt idx="561">
                  <c:v>475.01</c:v>
                </c:pt>
                <c:pt idx="562">
                  <c:v>472.05</c:v>
                </c:pt>
                <c:pt idx="563">
                  <c:v>477.16</c:v>
                </c:pt>
                <c:pt idx="564">
                  <c:v>477.07</c:v>
                </c:pt>
                <c:pt idx="565">
                  <c:v>475.47</c:v>
                </c:pt>
                <c:pt idx="566">
                  <c:v>490.46</c:v>
                </c:pt>
                <c:pt idx="567">
                  <c:v>485.63</c:v>
                </c:pt>
                <c:pt idx="568">
                  <c:v>482.37</c:v>
                </c:pt>
                <c:pt idx="569">
                  <c:v>493.37</c:v>
                </c:pt>
                <c:pt idx="570">
                  <c:v>505.6</c:v>
                </c:pt>
                <c:pt idx="571">
                  <c:v>498.72</c:v>
                </c:pt>
                <c:pt idx="572">
                  <c:v>485.52</c:v>
                </c:pt>
                <c:pt idx="573">
                  <c:v>484.78</c:v>
                </c:pt>
                <c:pt idx="574">
                  <c:v>474.02</c:v>
                </c:pt>
                <c:pt idx="575">
                  <c:v>487.01</c:v>
                </c:pt>
                <c:pt idx="576">
                  <c:v>488.5</c:v>
                </c:pt>
                <c:pt idx="577">
                  <c:v>483.19</c:v>
                </c:pt>
                <c:pt idx="578">
                  <c:v>497.99</c:v>
                </c:pt>
                <c:pt idx="579">
                  <c:v>501.27</c:v>
                </c:pt>
                <c:pt idx="580">
                  <c:v>500.08</c:v>
                </c:pt>
                <c:pt idx="581">
                  <c:v>500.03</c:v>
                </c:pt>
                <c:pt idx="582">
                  <c:v>488.56</c:v>
                </c:pt>
                <c:pt idx="583">
                  <c:v>486.25</c:v>
                </c:pt>
                <c:pt idx="584">
                  <c:v>482.05</c:v>
                </c:pt>
                <c:pt idx="585">
                  <c:v>475.1</c:v>
                </c:pt>
                <c:pt idx="586">
                  <c:v>472.68</c:v>
                </c:pt>
                <c:pt idx="587">
                  <c:v>472.08</c:v>
                </c:pt>
                <c:pt idx="588">
                  <c:v>454.26</c:v>
                </c:pt>
                <c:pt idx="589">
                  <c:v>444.95</c:v>
                </c:pt>
                <c:pt idx="590">
                  <c:v>439.49</c:v>
                </c:pt>
                <c:pt idx="591">
                  <c:v>436.55</c:v>
                </c:pt>
                <c:pt idx="592">
                  <c:v>436.07</c:v>
                </c:pt>
                <c:pt idx="593">
                  <c:v>450.2</c:v>
                </c:pt>
                <c:pt idx="594">
                  <c:v>456.56</c:v>
                </c:pt>
                <c:pt idx="595">
                  <c:v>467.49</c:v>
                </c:pt>
                <c:pt idx="596">
                  <c:v>475.83</c:v>
                </c:pt>
                <c:pt idx="597">
                  <c:v>489.2</c:v>
                </c:pt>
                <c:pt idx="598">
                  <c:v>491.34</c:v>
                </c:pt>
                <c:pt idx="599">
                  <c:v>494.02</c:v>
                </c:pt>
                <c:pt idx="600">
                  <c:v>459.61</c:v>
                </c:pt>
                <c:pt idx="601">
                  <c:v>466.18</c:v>
                </c:pt>
                <c:pt idx="602">
                  <c:v>481.59</c:v>
                </c:pt>
                <c:pt idx="603">
                  <c:v>477.5</c:v>
                </c:pt>
                <c:pt idx="604">
                  <c:v>484.81</c:v>
                </c:pt>
                <c:pt idx="605">
                  <c:v>490.06</c:v>
                </c:pt>
                <c:pt idx="606">
                  <c:v>488.97</c:v>
                </c:pt>
                <c:pt idx="607">
                  <c:v>492.63</c:v>
                </c:pt>
                <c:pt idx="608">
                  <c:v>484.35</c:v>
                </c:pt>
                <c:pt idx="609">
                  <c:v>484.99</c:v>
                </c:pt>
                <c:pt idx="610">
                  <c:v>484.85</c:v>
                </c:pt>
                <c:pt idx="611">
                  <c:v>490.41</c:v>
                </c:pt>
                <c:pt idx="612">
                  <c:v>489.83</c:v>
                </c:pt>
                <c:pt idx="613">
                  <c:v>506.32</c:v>
                </c:pt>
                <c:pt idx="614">
                  <c:v>508.1</c:v>
                </c:pt>
                <c:pt idx="615">
                  <c:v>500.22</c:v>
                </c:pt>
                <c:pt idx="616">
                  <c:v>505.35</c:v>
                </c:pt>
                <c:pt idx="617">
                  <c:v>503.71</c:v>
                </c:pt>
                <c:pt idx="618">
                  <c:v>491.74</c:v>
                </c:pt>
                <c:pt idx="619">
                  <c:v>492.01</c:v>
                </c:pt>
                <c:pt idx="620">
                  <c:v>486.35</c:v>
                </c:pt>
                <c:pt idx="621">
                  <c:v>485.59</c:v>
                </c:pt>
                <c:pt idx="622">
                  <c:v>490.52</c:v>
                </c:pt>
                <c:pt idx="623">
                  <c:v>482.15</c:v>
                </c:pt>
                <c:pt idx="624">
                  <c:v>467.97</c:v>
                </c:pt>
                <c:pt idx="625">
                  <c:v>462.02</c:v>
                </c:pt>
                <c:pt idx="626">
                  <c:v>464.07</c:v>
                </c:pt>
                <c:pt idx="627">
                  <c:v>451.39</c:v>
                </c:pt>
                <c:pt idx="628">
                  <c:v>454.62</c:v>
                </c:pt>
                <c:pt idx="629">
                  <c:v>450.98</c:v>
                </c:pt>
                <c:pt idx="630">
                  <c:v>458.83</c:v>
                </c:pt>
                <c:pt idx="631">
                  <c:v>452.69</c:v>
                </c:pt>
                <c:pt idx="632">
                  <c:v>450.02</c:v>
                </c:pt>
                <c:pt idx="633">
                  <c:v>460.33</c:v>
                </c:pt>
                <c:pt idx="634">
                  <c:v>463.18</c:v>
                </c:pt>
                <c:pt idx="635">
                  <c:v>470.3</c:v>
                </c:pt>
                <c:pt idx="636">
                  <c:v>464.4</c:v>
                </c:pt>
                <c:pt idx="637">
                  <c:v>470.58</c:v>
                </c:pt>
                <c:pt idx="638">
                  <c:v>476.18</c:v>
                </c:pt>
                <c:pt idx="639">
                  <c:v>476.14</c:v>
                </c:pt>
                <c:pt idx="640">
                  <c:v>482.27</c:v>
                </c:pt>
                <c:pt idx="641">
                  <c:v>480.43</c:v>
                </c:pt>
                <c:pt idx="642">
                  <c:v>480.64</c:v>
                </c:pt>
                <c:pt idx="643">
                  <c:v>481.06</c:v>
                </c:pt>
                <c:pt idx="644">
                  <c:v>490.15</c:v>
                </c:pt>
                <c:pt idx="645">
                  <c:v>508.28</c:v>
                </c:pt>
                <c:pt idx="646">
                  <c:v>513.46</c:v>
                </c:pt>
                <c:pt idx="647">
                  <c:v>516</c:v>
                </c:pt>
                <c:pt idx="648">
                  <c:v>513.48</c:v>
                </c:pt>
                <c:pt idx="649">
                  <c:v>527.29</c:v>
                </c:pt>
                <c:pt idx="650">
                  <c:v>530.41</c:v>
                </c:pt>
                <c:pt idx="651">
                  <c:v>527.16999999999996</c:v>
                </c:pt>
                <c:pt idx="652">
                  <c:v>527.69000000000005</c:v>
                </c:pt>
                <c:pt idx="653">
                  <c:v>525.79</c:v>
                </c:pt>
                <c:pt idx="654">
                  <c:v>525.62</c:v>
                </c:pt>
                <c:pt idx="655">
                  <c:v>522.35</c:v>
                </c:pt>
                <c:pt idx="656">
                  <c:v>538.23</c:v>
                </c:pt>
                <c:pt idx="657">
                  <c:v>534.35</c:v>
                </c:pt>
                <c:pt idx="658">
                  <c:v>530.01</c:v>
                </c:pt>
                <c:pt idx="659">
                  <c:v>536.35</c:v>
                </c:pt>
                <c:pt idx="660">
                  <c:v>538.84</c:v>
                </c:pt>
                <c:pt idx="661">
                  <c:v>541.39</c:v>
                </c:pt>
                <c:pt idx="662">
                  <c:v>543.29999999999995</c:v>
                </c:pt>
                <c:pt idx="663">
                  <c:v>540.92999999999995</c:v>
                </c:pt>
                <c:pt idx="664">
                  <c:v>601.45000000000005</c:v>
                </c:pt>
                <c:pt idx="665">
                  <c:v>617.71</c:v>
                </c:pt>
                <c:pt idx="666">
                  <c:v>607.83000000000004</c:v>
                </c:pt>
                <c:pt idx="667">
                  <c:v>607.98</c:v>
                </c:pt>
                <c:pt idx="668">
                  <c:v>611.99</c:v>
                </c:pt>
                <c:pt idx="669">
                  <c:v>612.53</c:v>
                </c:pt>
                <c:pt idx="670">
                  <c:v>616.5</c:v>
                </c:pt>
                <c:pt idx="671">
                  <c:v>618.6</c:v>
                </c:pt>
                <c:pt idx="672">
                  <c:v>616.47</c:v>
                </c:pt>
                <c:pt idx="673">
                  <c:v>618.58000000000004</c:v>
                </c:pt>
                <c:pt idx="674">
                  <c:v>613.70000000000005</c:v>
                </c:pt>
                <c:pt idx="675">
                  <c:v>615</c:v>
                </c:pt>
                <c:pt idx="676">
                  <c:v>615.6</c:v>
                </c:pt>
                <c:pt idx="677">
                  <c:v>620.17999999999995</c:v>
                </c:pt>
                <c:pt idx="678">
                  <c:v>624.27</c:v>
                </c:pt>
                <c:pt idx="679">
                  <c:v>625.08000000000004</c:v>
                </c:pt>
                <c:pt idx="680">
                  <c:v>626.77</c:v>
                </c:pt>
                <c:pt idx="681">
                  <c:v>624.82000000000005</c:v>
                </c:pt>
                <c:pt idx="682">
                  <c:v>622.88</c:v>
                </c:pt>
                <c:pt idx="683">
                  <c:v>617.19000000000005</c:v>
                </c:pt>
                <c:pt idx="684">
                  <c:v>603.29</c:v>
                </c:pt>
                <c:pt idx="685">
                  <c:v>595.47</c:v>
                </c:pt>
                <c:pt idx="686">
                  <c:v>583.72</c:v>
                </c:pt>
                <c:pt idx="687">
                  <c:v>583.54999999999995</c:v>
                </c:pt>
                <c:pt idx="688">
                  <c:v>596.55999999999995</c:v>
                </c:pt>
                <c:pt idx="689">
                  <c:v>590.83000000000004</c:v>
                </c:pt>
                <c:pt idx="690">
                  <c:v>591.22</c:v>
                </c:pt>
                <c:pt idx="691">
                  <c:v>583.01</c:v>
                </c:pt>
                <c:pt idx="692">
                  <c:v>594.97</c:v>
                </c:pt>
                <c:pt idx="693">
                  <c:v>590</c:v>
                </c:pt>
                <c:pt idx="694">
                  <c:v>582.11</c:v>
                </c:pt>
                <c:pt idx="695">
                  <c:v>555.71</c:v>
                </c:pt>
                <c:pt idx="696">
                  <c:v>564.35</c:v>
                </c:pt>
                <c:pt idx="697">
                  <c:v>571.82000000000005</c:v>
                </c:pt>
                <c:pt idx="698">
                  <c:v>573</c:v>
                </c:pt>
                <c:pt idx="699">
                  <c:v>578.36</c:v>
                </c:pt>
                <c:pt idx="700">
                  <c:v>587.14</c:v>
                </c:pt>
                <c:pt idx="701">
                  <c:v>590.54</c:v>
                </c:pt>
                <c:pt idx="702">
                  <c:v>591.5</c:v>
                </c:pt>
                <c:pt idx="703">
                  <c:v>592.21</c:v>
                </c:pt>
                <c:pt idx="704">
                  <c:v>594.62</c:v>
                </c:pt>
                <c:pt idx="705">
                  <c:v>594.91</c:v>
                </c:pt>
                <c:pt idx="706">
                  <c:v>590.29999999999995</c:v>
                </c:pt>
                <c:pt idx="707">
                  <c:v>591.71</c:v>
                </c:pt>
                <c:pt idx="708">
                  <c:v>590.79999999999995</c:v>
                </c:pt>
                <c:pt idx="709">
                  <c:v>595.05999999999995</c:v>
                </c:pt>
                <c:pt idx="710">
                  <c:v>603.07000000000005</c:v>
                </c:pt>
                <c:pt idx="711">
                  <c:v>605.49</c:v>
                </c:pt>
                <c:pt idx="712">
                  <c:v>604.23</c:v>
                </c:pt>
                <c:pt idx="713">
                  <c:v>602.38</c:v>
                </c:pt>
                <c:pt idx="714">
                  <c:v>598.91999999999996</c:v>
                </c:pt>
                <c:pt idx="715">
                  <c:v>601</c:v>
                </c:pt>
                <c:pt idx="716">
                  <c:v>598.86</c:v>
                </c:pt>
                <c:pt idx="717">
                  <c:v>593.97</c:v>
                </c:pt>
                <c:pt idx="718">
                  <c:v>604.35</c:v>
                </c:pt>
                <c:pt idx="719">
                  <c:v>602.12</c:v>
                </c:pt>
                <c:pt idx="720">
                  <c:v>609.07000000000005</c:v>
                </c:pt>
                <c:pt idx="721">
                  <c:v>613.5</c:v>
                </c:pt>
                <c:pt idx="722">
                  <c:v>616.44000000000005</c:v>
                </c:pt>
                <c:pt idx="723">
                  <c:v>614.21</c:v>
                </c:pt>
                <c:pt idx="724">
                  <c:v>616.01</c:v>
                </c:pt>
                <c:pt idx="725">
                  <c:v>616.87</c:v>
                </c:pt>
                <c:pt idx="726">
                  <c:v>616.69000000000005</c:v>
                </c:pt>
                <c:pt idx="727">
                  <c:v>624.17999999999995</c:v>
                </c:pt>
                <c:pt idx="728">
                  <c:v>639.63</c:v>
                </c:pt>
                <c:pt idx="729">
                  <c:v>631.75</c:v>
                </c:pt>
                <c:pt idx="730">
                  <c:v>626.77</c:v>
                </c:pt>
                <c:pt idx="731">
                  <c:v>611.83000000000004</c:v>
                </c:pt>
                <c:pt idx="732">
                  <c:v>611.08000000000004</c:v>
                </c:pt>
                <c:pt idx="733">
                  <c:v>619.91</c:v>
                </c:pt>
                <c:pt idx="734">
                  <c:v>616.5</c:v>
                </c:pt>
                <c:pt idx="735">
                  <c:v>616.79</c:v>
                </c:pt>
                <c:pt idx="736">
                  <c:v>600.99</c:v>
                </c:pt>
                <c:pt idx="737">
                  <c:v>600.36</c:v>
                </c:pt>
                <c:pt idx="738">
                  <c:v>611.04</c:v>
                </c:pt>
                <c:pt idx="739">
                  <c:v>612</c:v>
                </c:pt>
                <c:pt idx="740">
                  <c:v>610.15</c:v>
                </c:pt>
                <c:pt idx="741">
                  <c:v>610.98</c:v>
                </c:pt>
                <c:pt idx="742">
                  <c:v>614.29</c:v>
                </c:pt>
                <c:pt idx="743">
                  <c:v>618.38</c:v>
                </c:pt>
                <c:pt idx="744">
                  <c:v>616.5</c:v>
                </c:pt>
                <c:pt idx="745">
                  <c:v>616.44000000000005</c:v>
                </c:pt>
                <c:pt idx="746">
                  <c:v>624.5</c:v>
                </c:pt>
                <c:pt idx="747">
                  <c:v>628.15</c:v>
                </c:pt>
                <c:pt idx="748">
                  <c:v>624.15</c:v>
                </c:pt>
                <c:pt idx="749">
                  <c:v>624.22</c:v>
                </c:pt>
                <c:pt idx="750">
                  <c:v>625.26</c:v>
                </c:pt>
                <c:pt idx="751">
                  <c:v>630.08000000000004</c:v>
                </c:pt>
                <c:pt idx="752">
                  <c:v>610.21</c:v>
                </c:pt>
                <c:pt idx="753">
                  <c:v>611.32000000000005</c:v>
                </c:pt>
                <c:pt idx="754">
                  <c:v>608.82000000000005</c:v>
                </c:pt>
                <c:pt idx="755">
                  <c:v>610.04</c:v>
                </c:pt>
                <c:pt idx="756">
                  <c:v>613.4</c:v>
                </c:pt>
                <c:pt idx="757">
                  <c:v>600.76</c:v>
                </c:pt>
                <c:pt idx="758">
                  <c:v>600.79</c:v>
                </c:pt>
                <c:pt idx="759">
                  <c:v>609.55999999999995</c:v>
                </c:pt>
                <c:pt idx="760">
                  <c:v>600.62</c:v>
                </c:pt>
                <c:pt idx="761">
                  <c:v>591.66</c:v>
                </c:pt>
                <c:pt idx="762">
                  <c:v>592.30999999999995</c:v>
                </c:pt>
                <c:pt idx="763">
                  <c:v>591.77</c:v>
                </c:pt>
                <c:pt idx="764">
                  <c:v>580.29999999999995</c:v>
                </c:pt>
                <c:pt idx="765">
                  <c:v>576.71</c:v>
                </c:pt>
                <c:pt idx="766">
                  <c:v>569.99</c:v>
                </c:pt>
                <c:pt idx="767">
                  <c:v>569.55999999999995</c:v>
                </c:pt>
                <c:pt idx="768">
                  <c:v>557.1</c:v>
                </c:pt>
                <c:pt idx="769">
                  <c:v>561.36</c:v>
                </c:pt>
                <c:pt idx="770">
                  <c:v>561.05999999999995</c:v>
                </c:pt>
                <c:pt idx="771">
                  <c:v>576.5</c:v>
                </c:pt>
                <c:pt idx="772">
                  <c:v>577.32000000000005</c:v>
                </c:pt>
                <c:pt idx="773">
                  <c:v>582.16</c:v>
                </c:pt>
                <c:pt idx="774">
                  <c:v>586.89</c:v>
                </c:pt>
                <c:pt idx="775">
                  <c:v>579.74</c:v>
                </c:pt>
                <c:pt idx="776">
                  <c:v>575.36</c:v>
                </c:pt>
                <c:pt idx="777">
                  <c:v>581.73</c:v>
                </c:pt>
                <c:pt idx="778">
                  <c:v>581.84</c:v>
                </c:pt>
                <c:pt idx="779">
                  <c:v>586.76</c:v>
                </c:pt>
                <c:pt idx="780">
                  <c:v>591.79999999999995</c:v>
                </c:pt>
                <c:pt idx="781">
                  <c:v>587.67999999999995</c:v>
                </c:pt>
                <c:pt idx="782">
                  <c:v>569.09</c:v>
                </c:pt>
                <c:pt idx="783">
                  <c:v>574.17999999999995</c:v>
                </c:pt>
                <c:pt idx="784">
                  <c:v>580</c:v>
                </c:pt>
                <c:pt idx="785">
                  <c:v>578.16</c:v>
                </c:pt>
                <c:pt idx="786">
                  <c:v>577.37</c:v>
                </c:pt>
                <c:pt idx="787">
                  <c:v>570.61</c:v>
                </c:pt>
                <c:pt idx="788">
                  <c:v>576.28</c:v>
                </c:pt>
                <c:pt idx="789">
                  <c:v>578.51</c:v>
                </c:pt>
                <c:pt idx="790">
                  <c:v>530.70000000000005</c:v>
                </c:pt>
                <c:pt idx="791">
                  <c:v>526.84</c:v>
                </c:pt>
                <c:pt idx="792">
                  <c:v>521.53</c:v>
                </c:pt>
                <c:pt idx="793">
                  <c:v>525.73</c:v>
                </c:pt>
                <c:pt idx="794">
                  <c:v>525.1</c:v>
                </c:pt>
                <c:pt idx="795">
                  <c:v>525.04999999999995</c:v>
                </c:pt>
                <c:pt idx="796">
                  <c:v>532.82000000000005</c:v>
                </c:pt>
                <c:pt idx="797">
                  <c:v>537.76</c:v>
                </c:pt>
                <c:pt idx="798">
                  <c:v>537.97</c:v>
                </c:pt>
                <c:pt idx="799">
                  <c:v>544.1</c:v>
                </c:pt>
                <c:pt idx="800">
                  <c:v>538.55999999999995</c:v>
                </c:pt>
                <c:pt idx="801">
                  <c:v>533.89</c:v>
                </c:pt>
                <c:pt idx="802">
                  <c:v>535.79</c:v>
                </c:pt>
                <c:pt idx="803">
                  <c:v>534.27</c:v>
                </c:pt>
                <c:pt idx="804">
                  <c:v>535.29999999999995</c:v>
                </c:pt>
                <c:pt idx="805">
                  <c:v>537.67999999999995</c:v>
                </c:pt>
                <c:pt idx="806">
                  <c:v>542.66</c:v>
                </c:pt>
                <c:pt idx="807">
                  <c:v>535.45000000000005</c:v>
                </c:pt>
                <c:pt idx="808">
                  <c:v>535.04999999999995</c:v>
                </c:pt>
                <c:pt idx="809">
                  <c:v>529.54999999999995</c:v>
                </c:pt>
                <c:pt idx="810">
                  <c:v>518.41999999999996</c:v>
                </c:pt>
                <c:pt idx="811">
                  <c:v>530.46</c:v>
                </c:pt>
                <c:pt idx="812">
                  <c:v>529.80999999999995</c:v>
                </c:pt>
                <c:pt idx="813">
                  <c:v>531.25</c:v>
                </c:pt>
                <c:pt idx="814">
                  <c:v>524.03</c:v>
                </c:pt>
                <c:pt idx="815">
                  <c:v>518.39</c:v>
                </c:pt>
                <c:pt idx="816">
                  <c:v>518.26</c:v>
                </c:pt>
                <c:pt idx="817">
                  <c:v>519.66999999999996</c:v>
                </c:pt>
                <c:pt idx="818">
                  <c:v>518.13</c:v>
                </c:pt>
                <c:pt idx="819">
                  <c:v>520.9</c:v>
                </c:pt>
                <c:pt idx="820">
                  <c:v>529.02</c:v>
                </c:pt>
                <c:pt idx="821">
                  <c:v>525.6</c:v>
                </c:pt>
                <c:pt idx="822">
                  <c:v>528.05999999999995</c:v>
                </c:pt>
                <c:pt idx="823">
                  <c:v>523.08000000000004</c:v>
                </c:pt>
                <c:pt idx="824">
                  <c:v>521.05999999999995</c:v>
                </c:pt>
                <c:pt idx="825">
                  <c:v>519.03</c:v>
                </c:pt>
                <c:pt idx="826">
                  <c:v>519.16999999999996</c:v>
                </c:pt>
                <c:pt idx="827">
                  <c:v>516.73</c:v>
                </c:pt>
                <c:pt idx="828">
                  <c:v>509.51</c:v>
                </c:pt>
                <c:pt idx="829">
                  <c:v>504.73</c:v>
                </c:pt>
                <c:pt idx="830">
                  <c:v>508.37</c:v>
                </c:pt>
                <c:pt idx="831">
                  <c:v>502.95</c:v>
                </c:pt>
                <c:pt idx="832">
                  <c:v>500.37</c:v>
                </c:pt>
                <c:pt idx="833">
                  <c:v>485.02</c:v>
                </c:pt>
                <c:pt idx="834">
                  <c:v>484.58</c:v>
                </c:pt>
                <c:pt idx="835">
                  <c:v>493</c:v>
                </c:pt>
                <c:pt idx="836">
                  <c:v>487.01</c:v>
                </c:pt>
                <c:pt idx="837">
                  <c:v>480.22</c:v>
                </c:pt>
                <c:pt idx="838">
                  <c:v>474.88</c:v>
                </c:pt>
                <c:pt idx="839">
                  <c:v>482.8</c:v>
                </c:pt>
                <c:pt idx="840">
                  <c:v>493.65</c:v>
                </c:pt>
                <c:pt idx="841">
                  <c:v>497.57</c:v>
                </c:pt>
                <c:pt idx="842">
                  <c:v>506.38</c:v>
                </c:pt>
                <c:pt idx="843">
                  <c:v>521.03</c:v>
                </c:pt>
                <c:pt idx="844">
                  <c:v>532.44000000000005</c:v>
                </c:pt>
                <c:pt idx="845">
                  <c:v>535.36</c:v>
                </c:pt>
                <c:pt idx="846">
                  <c:v>546.6</c:v>
                </c:pt>
                <c:pt idx="847">
                  <c:v>531.99</c:v>
                </c:pt>
                <c:pt idx="848">
                  <c:v>527.28</c:v>
                </c:pt>
                <c:pt idx="849">
                  <c:v>534.01</c:v>
                </c:pt>
                <c:pt idx="850">
                  <c:v>538.26</c:v>
                </c:pt>
                <c:pt idx="851">
                  <c:v>528.94000000000005</c:v>
                </c:pt>
                <c:pt idx="852">
                  <c:v>597.62</c:v>
                </c:pt>
                <c:pt idx="853">
                  <c:v>594.94000000000005</c:v>
                </c:pt>
                <c:pt idx="854">
                  <c:v>602.54999999999995</c:v>
                </c:pt>
                <c:pt idx="855">
                  <c:v>595.35</c:v>
                </c:pt>
                <c:pt idx="856">
                  <c:v>606.99</c:v>
                </c:pt>
                <c:pt idx="857">
                  <c:v>618.23</c:v>
                </c:pt>
                <c:pt idx="858">
                  <c:v>618.98</c:v>
                </c:pt>
                <c:pt idx="859">
                  <c:v>622.52</c:v>
                </c:pt>
                <c:pt idx="860">
                  <c:v>607.22</c:v>
                </c:pt>
                <c:pt idx="861">
                  <c:v>610.94000000000005</c:v>
                </c:pt>
                <c:pt idx="862">
                  <c:v>603.69000000000005</c:v>
                </c:pt>
                <c:pt idx="863">
                  <c:v>606.77</c:v>
                </c:pt>
                <c:pt idx="864">
                  <c:v>592.4</c:v>
                </c:pt>
                <c:pt idx="865">
                  <c:v>601.16999999999996</c:v>
                </c:pt>
                <c:pt idx="866">
                  <c:v>577.52</c:v>
                </c:pt>
                <c:pt idx="867">
                  <c:v>579.04</c:v>
                </c:pt>
                <c:pt idx="868">
                  <c:v>546.02</c:v>
                </c:pt>
                <c:pt idx="869">
                  <c:v>573.41</c:v>
                </c:pt>
                <c:pt idx="870">
                  <c:v>549.01</c:v>
                </c:pt>
                <c:pt idx="871">
                  <c:v>562.13</c:v>
                </c:pt>
                <c:pt idx="872">
                  <c:v>563.77</c:v>
                </c:pt>
                <c:pt idx="873">
                  <c:v>557.23</c:v>
                </c:pt>
                <c:pt idx="874">
                  <c:v>539</c:v>
                </c:pt>
                <c:pt idx="875">
                  <c:v>533.15</c:v>
                </c:pt>
                <c:pt idx="876">
                  <c:v>504.88</c:v>
                </c:pt>
                <c:pt idx="877">
                  <c:v>490.92</c:v>
                </c:pt>
                <c:pt idx="878">
                  <c:v>498.17</c:v>
                </c:pt>
                <c:pt idx="879">
                  <c:v>518.82000000000005</c:v>
                </c:pt>
                <c:pt idx="880">
                  <c:v>523.29</c:v>
                </c:pt>
                <c:pt idx="881">
                  <c:v>520.04</c:v>
                </c:pt>
                <c:pt idx="882">
                  <c:v>526.86</c:v>
                </c:pt>
                <c:pt idx="883">
                  <c:v>539.08000000000004</c:v>
                </c:pt>
                <c:pt idx="884">
                  <c:v>540.70000000000005</c:v>
                </c:pt>
                <c:pt idx="885">
                  <c:v>540.96</c:v>
                </c:pt>
                <c:pt idx="886">
                  <c:v>532.5</c:v>
                </c:pt>
                <c:pt idx="887">
                  <c:v>524.84</c:v>
                </c:pt>
                <c:pt idx="888">
                  <c:v>522.17999999999995</c:v>
                </c:pt>
                <c:pt idx="889">
                  <c:v>534.03</c:v>
                </c:pt>
                <c:pt idx="890">
                  <c:v>534.96</c:v>
                </c:pt>
                <c:pt idx="891">
                  <c:v>524.85</c:v>
                </c:pt>
                <c:pt idx="892">
                  <c:v>530.12</c:v>
                </c:pt>
                <c:pt idx="893">
                  <c:v>529.52</c:v>
                </c:pt>
                <c:pt idx="894">
                  <c:v>532.07000000000005</c:v>
                </c:pt>
                <c:pt idx="895">
                  <c:v>542.55999999999995</c:v>
                </c:pt>
                <c:pt idx="896">
                  <c:v>546.67999999999995</c:v>
                </c:pt>
                <c:pt idx="897">
                  <c:v>546.66999999999996</c:v>
                </c:pt>
                <c:pt idx="898">
                  <c:v>546.63</c:v>
                </c:pt>
                <c:pt idx="899">
                  <c:v>539.20000000000005</c:v>
                </c:pt>
                <c:pt idx="900">
                  <c:v>520.66</c:v>
                </c:pt>
                <c:pt idx="901">
                  <c:v>525.51</c:v>
                </c:pt>
                <c:pt idx="902">
                  <c:v>531.89</c:v>
                </c:pt>
                <c:pt idx="903">
                  <c:v>539.34</c:v>
                </c:pt>
                <c:pt idx="904">
                  <c:v>528.84</c:v>
                </c:pt>
                <c:pt idx="905">
                  <c:v>527.5</c:v>
                </c:pt>
                <c:pt idx="906">
                  <c:v>515.04</c:v>
                </c:pt>
                <c:pt idx="907">
                  <c:v>495.52</c:v>
                </c:pt>
                <c:pt idx="908">
                  <c:v>501.9</c:v>
                </c:pt>
                <c:pt idx="909">
                  <c:v>504.7</c:v>
                </c:pt>
                <c:pt idx="910">
                  <c:v>514.71</c:v>
                </c:pt>
                <c:pt idx="911">
                  <c:v>515.12</c:v>
                </c:pt>
                <c:pt idx="912">
                  <c:v>537.16999999999996</c:v>
                </c:pt>
                <c:pt idx="913">
                  <c:v>543.17999999999995</c:v>
                </c:pt>
                <c:pt idx="914">
                  <c:v>548.5</c:v>
                </c:pt>
                <c:pt idx="915">
                  <c:v>558.99</c:v>
                </c:pt>
                <c:pt idx="916">
                  <c:v>591.67999999999995</c:v>
                </c:pt>
                <c:pt idx="917">
                  <c:v>582.41</c:v>
                </c:pt>
                <c:pt idx="918">
                  <c:v>590.51</c:v>
                </c:pt>
                <c:pt idx="919">
                  <c:v>580.70000000000005</c:v>
                </c:pt>
                <c:pt idx="920">
                  <c:v>583.66999999999996</c:v>
                </c:pt>
                <c:pt idx="921">
                  <c:v>590.49</c:v>
                </c:pt>
                <c:pt idx="922">
                  <c:v>596.41999999999996</c:v>
                </c:pt>
                <c:pt idx="923">
                  <c:v>583.16</c:v>
                </c:pt>
                <c:pt idx="924">
                  <c:v>586.30999999999995</c:v>
                </c:pt>
                <c:pt idx="925">
                  <c:v>598.66999999999996</c:v>
                </c:pt>
                <c:pt idx="926">
                  <c:v>600.14</c:v>
                </c:pt>
                <c:pt idx="927">
                  <c:v>592.64</c:v>
                </c:pt>
                <c:pt idx="928">
                  <c:v>578.65</c:v>
                </c:pt>
                <c:pt idx="929">
                  <c:v>584.82000000000005</c:v>
                </c:pt>
                <c:pt idx="930">
                  <c:v>597.5</c:v>
                </c:pt>
                <c:pt idx="931">
                  <c:v>596.14</c:v>
                </c:pt>
                <c:pt idx="932">
                  <c:v>608.33000000000004</c:v>
                </c:pt>
                <c:pt idx="933">
                  <c:v>612.34</c:v>
                </c:pt>
                <c:pt idx="934">
                  <c:v>600.95000000000005</c:v>
                </c:pt>
                <c:pt idx="935">
                  <c:v>595.08000000000004</c:v>
                </c:pt>
                <c:pt idx="936">
                  <c:v>608.35</c:v>
                </c:pt>
                <c:pt idx="937">
                  <c:v>613</c:v>
                </c:pt>
                <c:pt idx="938">
                  <c:v>616.55999999999995</c:v>
                </c:pt>
                <c:pt idx="939">
                  <c:v>611.47</c:v>
                </c:pt>
                <c:pt idx="940">
                  <c:v>600.87</c:v>
                </c:pt>
                <c:pt idx="941">
                  <c:v>594.88</c:v>
                </c:pt>
                <c:pt idx="942">
                  <c:v>580.94000000000005</c:v>
                </c:pt>
                <c:pt idx="943">
                  <c:v>580</c:v>
                </c:pt>
                <c:pt idx="944">
                  <c:v>570.11</c:v>
                </c:pt>
                <c:pt idx="945">
                  <c:v>563</c:v>
                </c:pt>
                <c:pt idx="946">
                  <c:v>588.19000000000005</c:v>
                </c:pt>
                <c:pt idx="947">
                  <c:v>582.92999999999995</c:v>
                </c:pt>
                <c:pt idx="948">
                  <c:v>599.39</c:v>
                </c:pt>
                <c:pt idx="949">
                  <c:v>613.77</c:v>
                </c:pt>
                <c:pt idx="950">
                  <c:v>620.36</c:v>
                </c:pt>
                <c:pt idx="951">
                  <c:v>625.65</c:v>
                </c:pt>
                <c:pt idx="952">
                  <c:v>623.77</c:v>
                </c:pt>
                <c:pt idx="953">
                  <c:v>623.39</c:v>
                </c:pt>
                <c:pt idx="954">
                  <c:v>616.04999999999995</c:v>
                </c:pt>
                <c:pt idx="955">
                  <c:v>627.41999999999996</c:v>
                </c:pt>
                <c:pt idx="956">
                  <c:v>625.39</c:v>
                </c:pt>
                <c:pt idx="957">
                  <c:v>625.63</c:v>
                </c:pt>
                <c:pt idx="958">
                  <c:v>618.07000000000005</c:v>
                </c:pt>
                <c:pt idx="959">
                  <c:v>619.54</c:v>
                </c:pt>
                <c:pt idx="960">
                  <c:v>625.96</c:v>
                </c:pt>
                <c:pt idx="961">
                  <c:v>621.83000000000004</c:v>
                </c:pt>
                <c:pt idx="962">
                  <c:v>630.37</c:v>
                </c:pt>
                <c:pt idx="963">
                  <c:v>625.82000000000005</c:v>
                </c:pt>
                <c:pt idx="964">
                  <c:v>629.70000000000005</c:v>
                </c:pt>
                <c:pt idx="965">
                  <c:v>633.14</c:v>
                </c:pt>
                <c:pt idx="966">
                  <c:v>640.25</c:v>
                </c:pt>
                <c:pt idx="967">
                  <c:v>639.70000000000005</c:v>
                </c:pt>
                <c:pt idx="968">
                  <c:v>642.4</c:v>
                </c:pt>
                <c:pt idx="969">
                  <c:v>645.9</c:v>
                </c:pt>
                <c:pt idx="970">
                  <c:v>665.41</c:v>
                </c:pt>
                <c:pt idx="971">
                  <c:v>668.28</c:v>
                </c:pt>
                <c:pt idx="972">
                  <c:v>659.01</c:v>
                </c:pt>
                <c:pt idx="973">
                  <c:v>650.02</c:v>
                </c:pt>
                <c:pt idx="974">
                  <c:v>622.46</c:v>
                </c:pt>
                <c:pt idx="975">
                  <c:v>623.14</c:v>
                </c:pt>
                <c:pt idx="976">
                  <c:v>625.96</c:v>
                </c:pt>
                <c:pt idx="977">
                  <c:v>629.64</c:v>
                </c:pt>
                <c:pt idx="978">
                  <c:v>624.99</c:v>
                </c:pt>
                <c:pt idx="979">
                  <c:v>628.58000000000004</c:v>
                </c:pt>
                <c:pt idx="980">
                  <c:v>632.91</c:v>
                </c:pt>
                <c:pt idx="981">
                  <c:v>639.57000000000005</c:v>
                </c:pt>
                <c:pt idx="982">
                  <c:v>585.99</c:v>
                </c:pt>
                <c:pt idx="983">
                  <c:v>585.52</c:v>
                </c:pt>
                <c:pt idx="984">
                  <c:v>580.92999999999995</c:v>
                </c:pt>
                <c:pt idx="985">
                  <c:v>569.49</c:v>
                </c:pt>
                <c:pt idx="986">
                  <c:v>568.1</c:v>
                </c:pt>
                <c:pt idx="987">
                  <c:v>579.98</c:v>
                </c:pt>
                <c:pt idx="988">
                  <c:v>577.69000000000005</c:v>
                </c:pt>
                <c:pt idx="989">
                  <c:v>580.11</c:v>
                </c:pt>
                <c:pt idx="990">
                  <c:v>580.83000000000004</c:v>
                </c:pt>
                <c:pt idx="991">
                  <c:v>585.11</c:v>
                </c:pt>
                <c:pt idx="992">
                  <c:v>596.33000000000004</c:v>
                </c:pt>
                <c:pt idx="993">
                  <c:v>609.09</c:v>
                </c:pt>
                <c:pt idx="994">
                  <c:v>606.77</c:v>
                </c:pt>
                <c:pt idx="995">
                  <c:v>609.85</c:v>
                </c:pt>
                <c:pt idx="996">
                  <c:v>611.46</c:v>
                </c:pt>
                <c:pt idx="997">
                  <c:v>605.91</c:v>
                </c:pt>
                <c:pt idx="998">
                  <c:v>612.20000000000005</c:v>
                </c:pt>
                <c:pt idx="999">
                  <c:v>609.76</c:v>
                </c:pt>
                <c:pt idx="1000">
                  <c:v>605.55999999999995</c:v>
                </c:pt>
                <c:pt idx="1001">
                  <c:v>606.52</c:v>
                </c:pt>
                <c:pt idx="1002">
                  <c:v>604.64</c:v>
                </c:pt>
                <c:pt idx="1003">
                  <c:v>614</c:v>
                </c:pt>
                <c:pt idx="1004">
                  <c:v>607.94000000000005</c:v>
                </c:pt>
                <c:pt idx="1005">
                  <c:v>606.11</c:v>
                </c:pt>
                <c:pt idx="1006">
                  <c:v>609.9</c:v>
                </c:pt>
                <c:pt idx="1007">
                  <c:v>609.30999999999995</c:v>
                </c:pt>
                <c:pt idx="1008">
                  <c:v>618.39</c:v>
                </c:pt>
                <c:pt idx="1009">
                  <c:v>618.25</c:v>
                </c:pt>
                <c:pt idx="1010">
                  <c:v>622.4</c:v>
                </c:pt>
                <c:pt idx="1011">
                  <c:v>621.25</c:v>
                </c:pt>
                <c:pt idx="1012">
                  <c:v>614.25</c:v>
                </c:pt>
                <c:pt idx="1013">
                  <c:v>604.96</c:v>
                </c:pt>
                <c:pt idx="1014">
                  <c:v>606.79999999999995</c:v>
                </c:pt>
                <c:pt idx="1015">
                  <c:v>607.14</c:v>
                </c:pt>
                <c:pt idx="1016">
                  <c:v>600.25</c:v>
                </c:pt>
                <c:pt idx="1017">
                  <c:v>605.15</c:v>
                </c:pt>
                <c:pt idx="1018">
                  <c:v>617.78</c:v>
                </c:pt>
                <c:pt idx="1019">
                  <c:v>615.99</c:v>
                </c:pt>
                <c:pt idx="1020">
                  <c:v>621.13</c:v>
                </c:pt>
                <c:pt idx="1021">
                  <c:v>625.04</c:v>
                </c:pt>
                <c:pt idx="1022">
                  <c:v>633.98</c:v>
                </c:pt>
                <c:pt idx="1023">
                  <c:v>633.49</c:v>
                </c:pt>
                <c:pt idx="1024">
                  <c:v>639.98</c:v>
                </c:pt>
                <c:pt idx="1025">
                  <c:v>646.04999999999995</c:v>
                </c:pt>
                <c:pt idx="1026">
                  <c:v>642.59</c:v>
                </c:pt>
                <c:pt idx="1027">
                  <c:v>649.33000000000004</c:v>
                </c:pt>
                <c:pt idx="1028">
                  <c:v>647.02</c:v>
                </c:pt>
                <c:pt idx="1029">
                  <c:v>655.76</c:v>
                </c:pt>
                <c:pt idx="1030">
                  <c:v>648.41</c:v>
                </c:pt>
                <c:pt idx="1031">
                  <c:v>641.24</c:v>
                </c:pt>
                <c:pt idx="1032">
                  <c:v>646.91999999999996</c:v>
                </c:pt>
                <c:pt idx="1033">
                  <c:v>642.62</c:v>
                </c:pt>
                <c:pt idx="1034">
                  <c:v>635.15</c:v>
                </c:pt>
                <c:pt idx="1035">
                  <c:v>632.32000000000005</c:v>
                </c:pt>
                <c:pt idx="1036">
                  <c:v>630.84</c:v>
                </c:pt>
                <c:pt idx="1037">
                  <c:v>626.86</c:v>
                </c:pt>
                <c:pt idx="1038">
                  <c:v>635.96</c:v>
                </c:pt>
                <c:pt idx="1039">
                  <c:v>651.01</c:v>
                </c:pt>
                <c:pt idx="1040">
                  <c:v>624.6</c:v>
                </c:pt>
                <c:pt idx="1041">
                  <c:v>606.07000000000005</c:v>
                </c:pt>
                <c:pt idx="1042">
                  <c:v>609.57000000000005</c:v>
                </c:pt>
                <c:pt idx="1043">
                  <c:v>607.45000000000005</c:v>
                </c:pt>
                <c:pt idx="1044">
                  <c:v>599.29999999999995</c:v>
                </c:pt>
                <c:pt idx="1045">
                  <c:v>596.05999999999995</c:v>
                </c:pt>
                <c:pt idx="1046">
                  <c:v>597.6</c:v>
                </c:pt>
                <c:pt idx="1047">
                  <c:v>601.27</c:v>
                </c:pt>
                <c:pt idx="1048">
                  <c:v>609.72</c:v>
                </c:pt>
                <c:pt idx="1049">
                  <c:v>615.47</c:v>
                </c:pt>
                <c:pt idx="1050">
                  <c:v>614.98</c:v>
                </c:pt>
                <c:pt idx="1051">
                  <c:v>604.85</c:v>
                </c:pt>
                <c:pt idx="1052">
                  <c:v>604.42999999999995</c:v>
                </c:pt>
                <c:pt idx="1053">
                  <c:v>607.26</c:v>
                </c:pt>
                <c:pt idx="1054">
                  <c:v>611.02</c:v>
                </c:pt>
                <c:pt idx="1055">
                  <c:v>596.97</c:v>
                </c:pt>
                <c:pt idx="1056">
                  <c:v>607.54999999999995</c:v>
                </c:pt>
                <c:pt idx="1057">
                  <c:v>612.79</c:v>
                </c:pt>
                <c:pt idx="1058">
                  <c:v>609.15</c:v>
                </c:pt>
                <c:pt idx="1059">
                  <c:v>613.66</c:v>
                </c:pt>
                <c:pt idx="1060">
                  <c:v>605.23</c:v>
                </c:pt>
                <c:pt idx="1061">
                  <c:v>604</c:v>
                </c:pt>
                <c:pt idx="1062">
                  <c:v>611.11</c:v>
                </c:pt>
                <c:pt idx="1063">
                  <c:v>628.92999999999995</c:v>
                </c:pt>
                <c:pt idx="1064">
                  <c:v>623.04999999999995</c:v>
                </c:pt>
                <c:pt idx="1065">
                  <c:v>600.4</c:v>
                </c:pt>
                <c:pt idx="1066">
                  <c:v>614.11</c:v>
                </c:pt>
                <c:pt idx="1067">
                  <c:v>600.79999999999995</c:v>
                </c:pt>
                <c:pt idx="1068">
                  <c:v>609.46</c:v>
                </c:pt>
                <c:pt idx="1069">
                  <c:v>603.66</c:v>
                </c:pt>
                <c:pt idx="1070">
                  <c:v>591.53</c:v>
                </c:pt>
                <c:pt idx="1071">
                  <c:v>594.34</c:v>
                </c:pt>
                <c:pt idx="1072">
                  <c:v>588.23</c:v>
                </c:pt>
                <c:pt idx="1073">
                  <c:v>580.86</c:v>
                </c:pt>
                <c:pt idx="1074">
                  <c:v>570.98</c:v>
                </c:pt>
                <c:pt idx="1075">
                  <c:v>578.59</c:v>
                </c:pt>
                <c:pt idx="1076">
                  <c:v>570.41</c:v>
                </c:pt>
                <c:pt idx="1077">
                  <c:v>580.57000000000005</c:v>
                </c:pt>
                <c:pt idx="1078">
                  <c:v>578.23</c:v>
                </c:pt>
                <c:pt idx="1079">
                  <c:v>580.45000000000005</c:v>
                </c:pt>
                <c:pt idx="1080">
                  <c:v>568.5</c:v>
                </c:pt>
                <c:pt idx="1081">
                  <c:v>565.1</c:v>
                </c:pt>
                <c:pt idx="1082">
                  <c:v>561.09</c:v>
                </c:pt>
                <c:pt idx="1083">
                  <c:v>559.04999999999995</c:v>
                </c:pt>
                <c:pt idx="1084">
                  <c:v>564.51</c:v>
                </c:pt>
                <c:pt idx="1085">
                  <c:v>570.85</c:v>
                </c:pt>
                <c:pt idx="1086">
                  <c:v>581.53</c:v>
                </c:pt>
                <c:pt idx="1087">
                  <c:v>577.51</c:v>
                </c:pt>
                <c:pt idx="1088">
                  <c:v>565.21</c:v>
                </c:pt>
                <c:pt idx="1089">
                  <c:v>571.48</c:v>
                </c:pt>
                <c:pt idx="1090">
                  <c:v>560.70000000000005</c:v>
                </c:pt>
                <c:pt idx="1091">
                  <c:v>564.67999999999995</c:v>
                </c:pt>
                <c:pt idx="1092">
                  <c:v>569.29999999999995</c:v>
                </c:pt>
                <c:pt idx="1093">
                  <c:v>564.30999999999995</c:v>
                </c:pt>
                <c:pt idx="1094">
                  <c:v>580.07000000000005</c:v>
                </c:pt>
                <c:pt idx="1095">
                  <c:v>580.47</c:v>
                </c:pt>
                <c:pt idx="1096">
                  <c:v>587.83000000000004</c:v>
                </c:pt>
                <c:pt idx="1097">
                  <c:v>595.91999999999996</c:v>
                </c:pt>
                <c:pt idx="1098">
                  <c:v>585.98</c:v>
                </c:pt>
                <c:pt idx="1099">
                  <c:v>586.01</c:v>
                </c:pt>
                <c:pt idx="1100">
                  <c:v>581.70000000000005</c:v>
                </c:pt>
                <c:pt idx="1101">
                  <c:v>571.19000000000005</c:v>
                </c:pt>
                <c:pt idx="1102">
                  <c:v>570.48</c:v>
                </c:pt>
                <c:pt idx="1103">
                  <c:v>576.52</c:v>
                </c:pt>
                <c:pt idx="1104">
                  <c:v>574.91999999999996</c:v>
                </c:pt>
                <c:pt idx="1105">
                  <c:v>576.73</c:v>
                </c:pt>
                <c:pt idx="1106">
                  <c:v>580.76</c:v>
                </c:pt>
                <c:pt idx="1107">
                  <c:v>593.05999999999995</c:v>
                </c:pt>
                <c:pt idx="1108">
                  <c:v>610.82000000000005</c:v>
                </c:pt>
                <c:pt idx="1109">
                  <c:v>615.51</c:v>
                </c:pt>
                <c:pt idx="1110">
                  <c:v>607.57000000000005</c:v>
                </c:pt>
                <c:pt idx="1111">
                  <c:v>607.99</c:v>
                </c:pt>
                <c:pt idx="1112">
                  <c:v>613.36</c:v>
                </c:pt>
                <c:pt idx="1113">
                  <c:v>634.96</c:v>
                </c:pt>
                <c:pt idx="1114">
                  <c:v>632.29999999999995</c:v>
                </c:pt>
                <c:pt idx="1115">
                  <c:v>632.97</c:v>
                </c:pt>
                <c:pt idx="1116">
                  <c:v>632.67999999999995</c:v>
                </c:pt>
                <c:pt idx="1117">
                  <c:v>628.75</c:v>
                </c:pt>
                <c:pt idx="1118">
                  <c:v>641.33000000000004</c:v>
                </c:pt>
                <c:pt idx="1119">
                  <c:v>642.82000000000005</c:v>
                </c:pt>
                <c:pt idx="1120">
                  <c:v>640.54</c:v>
                </c:pt>
                <c:pt idx="1121">
                  <c:v>642.23</c:v>
                </c:pt>
                <c:pt idx="1122">
                  <c:v>642.35</c:v>
                </c:pt>
                <c:pt idx="1123">
                  <c:v>642</c:v>
                </c:pt>
                <c:pt idx="1124">
                  <c:v>660.01</c:v>
                </c:pt>
                <c:pt idx="1125">
                  <c:v>668.66</c:v>
                </c:pt>
                <c:pt idx="1126">
                  <c:v>667.54</c:v>
                </c:pt>
                <c:pt idx="1127">
                  <c:v>672.87</c:v>
                </c:pt>
                <c:pt idx="1128">
                  <c:v>677.14</c:v>
                </c:pt>
                <c:pt idx="1129">
                  <c:v>675.54</c:v>
                </c:pt>
                <c:pt idx="1130">
                  <c:v>669.51</c:v>
                </c:pt>
                <c:pt idx="1131">
                  <c:v>677.18</c:v>
                </c:pt>
                <c:pt idx="1132">
                  <c:v>676.8</c:v>
                </c:pt>
                <c:pt idx="1133">
                  <c:v>678.63</c:v>
                </c:pt>
                <c:pt idx="1134">
                  <c:v>669.22</c:v>
                </c:pt>
                <c:pt idx="1135">
                  <c:v>677.25</c:v>
                </c:pt>
                <c:pt idx="1136">
                  <c:v>688.01</c:v>
                </c:pt>
                <c:pt idx="1137">
                  <c:v>681.68</c:v>
                </c:pt>
                <c:pt idx="1138">
                  <c:v>685.09</c:v>
                </c:pt>
                <c:pt idx="1139">
                  <c:v>681.04</c:v>
                </c:pt>
                <c:pt idx="1140">
                  <c:v>680.72</c:v>
                </c:pt>
                <c:pt idx="1141">
                  <c:v>699.4</c:v>
                </c:pt>
                <c:pt idx="1142">
                  <c:v>706.15</c:v>
                </c:pt>
                <c:pt idx="1143">
                  <c:v>700.77</c:v>
                </c:pt>
                <c:pt idx="1144">
                  <c:v>692.19</c:v>
                </c:pt>
                <c:pt idx="1145">
                  <c:v>690.88</c:v>
                </c:pt>
                <c:pt idx="1146">
                  <c:v>706.04</c:v>
                </c:pt>
                <c:pt idx="1147">
                  <c:v>709.68</c:v>
                </c:pt>
                <c:pt idx="1148">
                  <c:v>709.98</c:v>
                </c:pt>
                <c:pt idx="1149">
                  <c:v>718.28</c:v>
                </c:pt>
                <c:pt idx="1150">
                  <c:v>727.5</c:v>
                </c:pt>
                <c:pt idx="1151">
                  <c:v>728.12</c:v>
                </c:pt>
                <c:pt idx="1152">
                  <c:v>733.99</c:v>
                </c:pt>
                <c:pt idx="1153">
                  <c:v>749.38</c:v>
                </c:pt>
                <c:pt idx="1154">
                  <c:v>749.16</c:v>
                </c:pt>
                <c:pt idx="1155">
                  <c:v>753.46</c:v>
                </c:pt>
                <c:pt idx="1156">
                  <c:v>756.5</c:v>
                </c:pt>
                <c:pt idx="1157">
                  <c:v>754.5</c:v>
                </c:pt>
                <c:pt idx="1158">
                  <c:v>761.78</c:v>
                </c:pt>
                <c:pt idx="1159">
                  <c:v>756.99</c:v>
                </c:pt>
                <c:pt idx="1160">
                  <c:v>762.5</c:v>
                </c:pt>
                <c:pt idx="1161">
                  <c:v>768.05</c:v>
                </c:pt>
                <c:pt idx="1162">
                  <c:v>767.65</c:v>
                </c:pt>
                <c:pt idx="1163">
                  <c:v>757.84</c:v>
                </c:pt>
                <c:pt idx="1164">
                  <c:v>744.09</c:v>
                </c:pt>
                <c:pt idx="1165">
                  <c:v>744.56</c:v>
                </c:pt>
                <c:pt idx="1166">
                  <c:v>751.48</c:v>
                </c:pt>
                <c:pt idx="1167">
                  <c:v>744.75</c:v>
                </c:pt>
                <c:pt idx="1168">
                  <c:v>740.98</c:v>
                </c:pt>
                <c:pt idx="1169">
                  <c:v>744.7</c:v>
                </c:pt>
                <c:pt idx="1170">
                  <c:v>755.49</c:v>
                </c:pt>
                <c:pt idx="1171">
                  <c:v>695</c:v>
                </c:pt>
                <c:pt idx="1172">
                  <c:v>681.79</c:v>
                </c:pt>
                <c:pt idx="1173">
                  <c:v>678.67</c:v>
                </c:pt>
                <c:pt idx="1174">
                  <c:v>680.35</c:v>
                </c:pt>
                <c:pt idx="1175">
                  <c:v>677.3</c:v>
                </c:pt>
                <c:pt idx="1176">
                  <c:v>677.76</c:v>
                </c:pt>
                <c:pt idx="1177">
                  <c:v>675.15</c:v>
                </c:pt>
                <c:pt idx="1178">
                  <c:v>680.3</c:v>
                </c:pt>
                <c:pt idx="1179">
                  <c:v>687.59</c:v>
                </c:pt>
                <c:pt idx="1180">
                  <c:v>687.92</c:v>
                </c:pt>
                <c:pt idx="1181">
                  <c:v>682.96</c:v>
                </c:pt>
                <c:pt idx="1182">
                  <c:v>681.72</c:v>
                </c:pt>
                <c:pt idx="1183">
                  <c:v>667.12</c:v>
                </c:pt>
                <c:pt idx="1184">
                  <c:v>652.29</c:v>
                </c:pt>
                <c:pt idx="1185">
                  <c:v>663.03</c:v>
                </c:pt>
                <c:pt idx="1186">
                  <c:v>665.9</c:v>
                </c:pt>
                <c:pt idx="1187">
                  <c:v>659.05</c:v>
                </c:pt>
                <c:pt idx="1188">
                  <c:v>652.54999999999995</c:v>
                </c:pt>
                <c:pt idx="1189">
                  <c:v>647.26</c:v>
                </c:pt>
                <c:pt idx="1190">
                  <c:v>647.17999999999995</c:v>
                </c:pt>
                <c:pt idx="1191">
                  <c:v>668.21</c:v>
                </c:pt>
                <c:pt idx="1192">
                  <c:v>669.97</c:v>
                </c:pt>
                <c:pt idx="1193">
                  <c:v>665.87</c:v>
                </c:pt>
                <c:pt idx="1194">
                  <c:v>667.97</c:v>
                </c:pt>
                <c:pt idx="1195">
                  <c:v>661.15</c:v>
                </c:pt>
                <c:pt idx="1196">
                  <c:v>670.71</c:v>
                </c:pt>
                <c:pt idx="1197">
                  <c:v>683.67</c:v>
                </c:pt>
                <c:pt idx="1198">
                  <c:v>691.89</c:v>
                </c:pt>
                <c:pt idx="1199">
                  <c:v>698.37</c:v>
                </c:pt>
                <c:pt idx="1200">
                  <c:v>695.25</c:v>
                </c:pt>
                <c:pt idx="1201">
                  <c:v>691.03</c:v>
                </c:pt>
                <c:pt idx="1202">
                  <c:v>687.82</c:v>
                </c:pt>
                <c:pt idx="1203">
                  <c:v>691.13</c:v>
                </c:pt>
                <c:pt idx="1204">
                  <c:v>684.21</c:v>
                </c:pt>
                <c:pt idx="1205">
                  <c:v>685.42</c:v>
                </c:pt>
                <c:pt idx="1206">
                  <c:v>696.88</c:v>
                </c:pt>
                <c:pt idx="1207">
                  <c:v>697.56</c:v>
                </c:pt>
                <c:pt idx="1208">
                  <c:v>702.7</c:v>
                </c:pt>
                <c:pt idx="1209">
                  <c:v>701.96</c:v>
                </c:pt>
                <c:pt idx="1210">
                  <c:v>720.78</c:v>
                </c:pt>
                <c:pt idx="1211">
                  <c:v>721.07</c:v>
                </c:pt>
                <c:pt idx="1212">
                  <c:v>720.11</c:v>
                </c:pt>
                <c:pt idx="1213">
                  <c:v>722.36</c:v>
                </c:pt>
                <c:pt idx="1214">
                  <c:v>715.63</c:v>
                </c:pt>
                <c:pt idx="1215">
                  <c:v>709.5</c:v>
                </c:pt>
                <c:pt idx="1216">
                  <c:v>708.87</c:v>
                </c:pt>
                <c:pt idx="1217">
                  <c:v>706.29</c:v>
                </c:pt>
                <c:pt idx="1218">
                  <c:v>700.01</c:v>
                </c:pt>
                <c:pt idx="1219">
                  <c:v>707.38</c:v>
                </c:pt>
                <c:pt idx="1220">
                  <c:v>723.25</c:v>
                </c:pt>
                <c:pt idx="1221">
                  <c:v>723.67</c:v>
                </c:pt>
                <c:pt idx="1222">
                  <c:v>737.97</c:v>
                </c:pt>
                <c:pt idx="1223">
                  <c:v>734.75</c:v>
                </c:pt>
                <c:pt idx="1224">
                  <c:v>733.3</c:v>
                </c:pt>
                <c:pt idx="1225">
                  <c:v>738.12</c:v>
                </c:pt>
                <c:pt idx="1226">
                  <c:v>741.48</c:v>
                </c:pt>
                <c:pt idx="1227">
                  <c:v>739.99</c:v>
                </c:pt>
                <c:pt idx="1228">
                  <c:v>723.25</c:v>
                </c:pt>
                <c:pt idx="1229">
                  <c:v>724.93</c:v>
                </c:pt>
                <c:pt idx="1230">
                  <c:v>715.19</c:v>
                </c:pt>
                <c:pt idx="1231">
                  <c:v>711.32</c:v>
                </c:pt>
                <c:pt idx="1232">
                  <c:v>704.51</c:v>
                </c:pt>
                <c:pt idx="1233">
                  <c:v>702.87</c:v>
                </c:pt>
                <c:pt idx="1234">
                  <c:v>741.5</c:v>
                </c:pt>
                <c:pt idx="1235">
                  <c:v>754.21</c:v>
                </c:pt>
                <c:pt idx="1236">
                  <c:v>753.67</c:v>
                </c:pt>
                <c:pt idx="1237">
                  <c:v>750.73</c:v>
                </c:pt>
                <c:pt idx="1238">
                  <c:v>753.68</c:v>
                </c:pt>
                <c:pt idx="1239">
                  <c:v>753.83</c:v>
                </c:pt>
                <c:pt idx="1240">
                  <c:v>755.69</c:v>
                </c:pt>
                <c:pt idx="1241">
                  <c:v>775.6</c:v>
                </c:pt>
                <c:pt idx="1242">
                  <c:v>759.02</c:v>
                </c:pt>
                <c:pt idx="1243">
                  <c:v>765.74</c:v>
                </c:pt>
                <c:pt idx="1244">
                  <c:v>770.17</c:v>
                </c:pt>
                <c:pt idx="1245">
                  <c:v>773.95</c:v>
                </c:pt>
                <c:pt idx="1246">
                  <c:v>785.37</c:v>
                </c:pt>
                <c:pt idx="1247">
                  <c:v>782.42</c:v>
                </c:pt>
                <c:pt idx="1248">
                  <c:v>780.7</c:v>
                </c:pt>
                <c:pt idx="1249">
                  <c:v>782.86</c:v>
                </c:pt>
                <c:pt idx="1250">
                  <c:v>787.82</c:v>
                </c:pt>
                <c:pt idx="1251">
                  <c:v>792.89</c:v>
                </c:pt>
                <c:pt idx="1252">
                  <c:v>806.85</c:v>
                </c:pt>
                <c:pt idx="1253">
                  <c:v>792.46</c:v>
                </c:pt>
                <c:pt idx="1254">
                  <c:v>795.53</c:v>
                </c:pt>
                <c:pt idx="1255">
                  <c:v>799.71</c:v>
                </c:pt>
                <c:pt idx="1256">
                  <c:v>790.77</c:v>
                </c:pt>
                <c:pt idx="1257">
                  <c:v>790.13</c:v>
                </c:pt>
                <c:pt idx="1258">
                  <c:v>799.78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09888"/>
        <c:axId val="169477248"/>
      </c:lineChart>
      <c:catAx>
        <c:axId val="158283264"/>
        <c:scaling>
          <c:orientation val="minMax"/>
        </c:scaling>
        <c:delete val="0"/>
        <c:axPos val="b"/>
        <c:numFmt formatCode="[$-409]d\-mmm\-yy;@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476672"/>
        <c:crosses val="autoZero"/>
        <c:auto val="0"/>
        <c:lblAlgn val="ctr"/>
        <c:lblOffset val="100"/>
        <c:tickMarkSkip val="30"/>
        <c:noMultiLvlLbl val="0"/>
      </c:catAx>
      <c:valAx>
        <c:axId val="169476672"/>
        <c:scaling>
          <c:orientation val="minMax"/>
          <c:max val="1684.0340000000001"/>
          <c:min val="608.87699999999995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283264"/>
        <c:crosses val="autoZero"/>
        <c:crossBetween val="midCat"/>
      </c:valAx>
      <c:catAx>
        <c:axId val="158309888"/>
        <c:scaling>
          <c:orientation val="minMax"/>
        </c:scaling>
        <c:delete val="1"/>
        <c:axPos val="b"/>
        <c:numFmt formatCode="[$-409]d\-mmm\-yy;@" sourceLinked="1"/>
        <c:majorTickMark val="out"/>
        <c:minorTickMark val="none"/>
        <c:tickLblPos val="none"/>
        <c:crossAx val="169477248"/>
        <c:crosses val="autoZero"/>
        <c:auto val="0"/>
        <c:lblAlgn val="ctr"/>
        <c:lblOffset val="100"/>
        <c:noMultiLvlLbl val="0"/>
      </c:catAx>
      <c:valAx>
        <c:axId val="169477248"/>
        <c:scaling>
          <c:orientation val="minMax"/>
          <c:max val="887.53500000000008"/>
          <c:min val="231.696"/>
        </c:scaling>
        <c:delete val="0"/>
        <c:axPos val="r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309888"/>
        <c:crosses val="max"/>
        <c:crossBetween val="midCat"/>
      </c:valAx>
      <c:spPr>
        <a:noFill/>
        <a:ln w="12700">
          <a:noFill/>
          <a:prstDash val="solid"/>
        </a:ln>
      </c:spPr>
    </c:plotArea>
    <c:legend>
      <c:legendPos val="r"/>
      <c:layout>
        <c:manualLayout>
          <c:xMode val="edge"/>
          <c:yMode val="edge"/>
          <c:x val="0.26653676106812096"/>
          <c:y val="1.4360051790402737E-2"/>
          <c:w val="0.51500794047105358"/>
          <c:h val="4.9382815278612234E-2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480530897655339E-2"/>
          <c:y val="6.9201222020025571E-2"/>
          <c:w val="0.90843998543727478"/>
          <c:h val="0.82135721245437798"/>
        </c:manualLayout>
      </c:layout>
      <c:scatterChart>
        <c:scatterStyle val="lineMarker"/>
        <c:varyColors val="0"/>
        <c:ser>
          <c:idx val="0"/>
          <c:order val="0"/>
          <c:tx>
            <c:v>RETURNS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-0.62673725940511282"/>
                  <c:y val="-0.10411517353163385"/>
                </c:manualLayout>
              </c:layout>
              <c:numFmt formatCode="#,##0.00000000" sourceLinked="0"/>
              <c:spPr>
                <a:noFill/>
                <a:ln w="25400">
                  <a:noFill/>
                  <a:prstDash val="solid"/>
                </a:ln>
              </c:spPr>
              <c:txPr>
                <a:bodyPr/>
                <a:lstStyle/>
                <a:p>
                  <a:pPr algn="ctr" rtl="1">
                    <a:defRPr sz="1050" b="1" i="0" u="none" strike="noStrike" baseline="0">
                      <a:solidFill>
                        <a:srgbClr val="FF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[0]!INDEX_RETURNS_RNG</c:f>
              <c:numCache>
                <c:formatCode>0.00%</c:formatCode>
                <c:ptCount val="1259"/>
                <c:pt idx="1">
                  <c:v>-2.7306966660577775E-2</c:v>
                </c:pt>
                <c:pt idx="2">
                  <c:v>3.1628527486569907E-4</c:v>
                </c:pt>
                <c:pt idx="3">
                  <c:v>-3.6649508054025976E-3</c:v>
                </c:pt>
                <c:pt idx="4">
                  <c:v>5.0210678620360317E-3</c:v>
                </c:pt>
                <c:pt idx="5">
                  <c:v>-2.2231242727113854E-2</c:v>
                </c:pt>
                <c:pt idx="6">
                  <c:v>-8.6276803579452815E-3</c:v>
                </c:pt>
                <c:pt idx="7">
                  <c:v>-1.5680775690478221E-2</c:v>
                </c:pt>
                <c:pt idx="8">
                  <c:v>3.6912524306723392E-2</c:v>
                </c:pt>
                <c:pt idx="9">
                  <c:v>-9.2128669253879608E-3</c:v>
                </c:pt>
                <c:pt idx="10">
                  <c:v>4.9096546972704326E-3</c:v>
                </c:pt>
                <c:pt idx="11">
                  <c:v>-2.1000584791700725E-2</c:v>
                </c:pt>
                <c:pt idx="12">
                  <c:v>-9.1759501248101435E-3</c:v>
                </c:pt>
                <c:pt idx="13">
                  <c:v>4.2192228739273162E-2</c:v>
                </c:pt>
                <c:pt idx="14">
                  <c:v>-2.4504535241540278E-2</c:v>
                </c:pt>
                <c:pt idx="15">
                  <c:v>2.3727189813439815E-2</c:v>
                </c:pt>
                <c:pt idx="16">
                  <c:v>1.510413765029547E-2</c:v>
                </c:pt>
                <c:pt idx="17">
                  <c:v>2.0866119332608041E-3</c:v>
                </c:pt>
                <c:pt idx="18">
                  <c:v>-8.9830671888474316E-3</c:v>
                </c:pt>
                <c:pt idx="19">
                  <c:v>-1.1677781377353202E-2</c:v>
                </c:pt>
                <c:pt idx="20">
                  <c:v>-8.1674534534508583E-3</c:v>
                </c:pt>
                <c:pt idx="21">
                  <c:v>5.4699648844449824E-3</c:v>
                </c:pt>
                <c:pt idx="22">
                  <c:v>3.5678976213074517E-2</c:v>
                </c:pt>
                <c:pt idx="23">
                  <c:v>-2.1513490225698686E-3</c:v>
                </c:pt>
                <c:pt idx="24">
                  <c:v>1.0843202212348811E-3</c:v>
                </c:pt>
                <c:pt idx="25">
                  <c:v>5.7872479151136445E-4</c:v>
                </c:pt>
                <c:pt idx="26">
                  <c:v>1.3442912952506636E-3</c:v>
                </c:pt>
                <c:pt idx="27">
                  <c:v>-5.3173300768151249E-3</c:v>
                </c:pt>
                <c:pt idx="28">
                  <c:v>-8.3093334122000592E-3</c:v>
                </c:pt>
                <c:pt idx="29">
                  <c:v>4.2567121051597639E-3</c:v>
                </c:pt>
                <c:pt idx="30">
                  <c:v>-2.0591409972327182E-2</c:v>
                </c:pt>
                <c:pt idx="31">
                  <c:v>-3.601073938268598E-3</c:v>
                </c:pt>
                <c:pt idx="32">
                  <c:v>4.3824986677558717E-3</c:v>
                </c:pt>
                <c:pt idx="33">
                  <c:v>2.247403981352171E-2</c:v>
                </c:pt>
                <c:pt idx="34">
                  <c:v>4.0554638600951744E-4</c:v>
                </c:pt>
                <c:pt idx="35">
                  <c:v>1.7921781910991159E-2</c:v>
                </c:pt>
                <c:pt idx="36">
                  <c:v>-1.7708845594033881E-3</c:v>
                </c:pt>
                <c:pt idx="37">
                  <c:v>-9.0274567011970619E-3</c:v>
                </c:pt>
                <c:pt idx="38">
                  <c:v>2.6825391863426577E-3</c:v>
                </c:pt>
                <c:pt idx="39">
                  <c:v>6.2250592093604047E-3</c:v>
                </c:pt>
                <c:pt idx="40">
                  <c:v>6.2774255759088828E-3</c:v>
                </c:pt>
                <c:pt idx="41">
                  <c:v>-1.2689190655999646E-3</c:v>
                </c:pt>
                <c:pt idx="42">
                  <c:v>-4.1059507155780054E-3</c:v>
                </c:pt>
                <c:pt idx="43">
                  <c:v>-4.0636163172950096E-3</c:v>
                </c:pt>
                <c:pt idx="44">
                  <c:v>1.6923416058307317E-2</c:v>
                </c:pt>
                <c:pt idx="45">
                  <c:v>3.0182605069572922E-3</c:v>
                </c:pt>
                <c:pt idx="46">
                  <c:v>-4.7508562199935923E-3</c:v>
                </c:pt>
                <c:pt idx="47">
                  <c:v>7.4346228118959733E-3</c:v>
                </c:pt>
                <c:pt idx="48">
                  <c:v>-1.833104157380213E-2</c:v>
                </c:pt>
                <c:pt idx="49">
                  <c:v>3.4521778626748494E-3</c:v>
                </c:pt>
                <c:pt idx="50">
                  <c:v>-6.9427272760633953E-3</c:v>
                </c:pt>
                <c:pt idx="51">
                  <c:v>1.0803534970234695E-2</c:v>
                </c:pt>
                <c:pt idx="52">
                  <c:v>-6.0202703723757044E-4</c:v>
                </c:pt>
                <c:pt idx="53">
                  <c:v>3.788291304038187E-3</c:v>
                </c:pt>
                <c:pt idx="54">
                  <c:v>1.0367230576957933E-2</c:v>
                </c:pt>
                <c:pt idx="55">
                  <c:v>1.033081009569976E-3</c:v>
                </c:pt>
                <c:pt idx="56">
                  <c:v>6.8072848417063904E-4</c:v>
                </c:pt>
                <c:pt idx="57">
                  <c:v>-9.4908993885500347E-3</c:v>
                </c:pt>
                <c:pt idx="58">
                  <c:v>-1.6270784605326011E-2</c:v>
                </c:pt>
                <c:pt idx="59">
                  <c:v>2.4000715446290096E-3</c:v>
                </c:pt>
                <c:pt idx="60">
                  <c:v>-1.3427753047409757E-2</c:v>
                </c:pt>
                <c:pt idx="61">
                  <c:v>6.6289819547665505E-3</c:v>
                </c:pt>
                <c:pt idx="62">
                  <c:v>3.7456009004258758E-3</c:v>
                </c:pt>
                <c:pt idx="63">
                  <c:v>5.1176089624097023E-3</c:v>
                </c:pt>
                <c:pt idx="64">
                  <c:v>1.2988735348115343E-3</c:v>
                </c:pt>
                <c:pt idx="65">
                  <c:v>-1.0721588254564133E-2</c:v>
                </c:pt>
                <c:pt idx="66">
                  <c:v>-6.0051103996586145E-3</c:v>
                </c:pt>
                <c:pt idx="67">
                  <c:v>-5.4393975905725847E-4</c:v>
                </c:pt>
                <c:pt idx="68">
                  <c:v>1.9278782438562164E-2</c:v>
                </c:pt>
                <c:pt idx="69">
                  <c:v>-3.1106509909412196E-2</c:v>
                </c:pt>
                <c:pt idx="70">
                  <c:v>5.7642422435631778E-4</c:v>
                </c:pt>
                <c:pt idx="71">
                  <c:v>-2.6553179464003495E-3</c:v>
                </c:pt>
                <c:pt idx="72">
                  <c:v>-1.7111675408632898E-2</c:v>
                </c:pt>
                <c:pt idx="73">
                  <c:v>3.0623985308775971E-3</c:v>
                </c:pt>
                <c:pt idx="74">
                  <c:v>1.4828939266539895E-2</c:v>
                </c:pt>
                <c:pt idx="75">
                  <c:v>-1.3641599349819092E-4</c:v>
                </c:pt>
                <c:pt idx="76">
                  <c:v>-6.9886583338915099E-3</c:v>
                </c:pt>
                <c:pt idx="77">
                  <c:v>-9.9291247103257263E-3</c:v>
                </c:pt>
                <c:pt idx="78">
                  <c:v>3.5351047502837963E-3</c:v>
                </c:pt>
                <c:pt idx="79">
                  <c:v>-1.8760224557662273E-2</c:v>
                </c:pt>
                <c:pt idx="80">
                  <c:v>-1.6418296750520011E-4</c:v>
                </c:pt>
                <c:pt idx="81">
                  <c:v>-3.0321675790011306E-3</c:v>
                </c:pt>
                <c:pt idx="82">
                  <c:v>5.6261626438021111E-3</c:v>
                </c:pt>
                <c:pt idx="83">
                  <c:v>-2.9582562037319956E-2</c:v>
                </c:pt>
                <c:pt idx="84">
                  <c:v>-3.9347107383602975E-3</c:v>
                </c:pt>
                <c:pt idx="85">
                  <c:v>1.0499322741870174E-3</c:v>
                </c:pt>
                <c:pt idx="86">
                  <c:v>3.6186409376908271E-3</c:v>
                </c:pt>
                <c:pt idx="87">
                  <c:v>-1.8420906153642419E-2</c:v>
                </c:pt>
                <c:pt idx="88">
                  <c:v>8.7662188527786486E-4</c:v>
                </c:pt>
                <c:pt idx="89">
                  <c:v>-8.6027585941406727E-3</c:v>
                </c:pt>
                <c:pt idx="90">
                  <c:v>1.6863138793153931E-2</c:v>
                </c:pt>
                <c:pt idx="91">
                  <c:v>-2.2993460494161257E-2</c:v>
                </c:pt>
                <c:pt idx="92">
                  <c:v>6.7723956502096071E-3</c:v>
                </c:pt>
                <c:pt idx="93">
                  <c:v>-1.1307220688080082E-2</c:v>
                </c:pt>
                <c:pt idx="94">
                  <c:v>-9.2452032013300607E-3</c:v>
                </c:pt>
                <c:pt idx="95">
                  <c:v>-1.1118542186342392E-2</c:v>
                </c:pt>
                <c:pt idx="96">
                  <c:v>2.4846288394601217E-2</c:v>
                </c:pt>
                <c:pt idx="97">
                  <c:v>1.1795294174505885E-2</c:v>
                </c:pt>
                <c:pt idx="98">
                  <c:v>6.8345179470692441E-5</c:v>
                </c:pt>
                <c:pt idx="99">
                  <c:v>-7.566880018497384E-4</c:v>
                </c:pt>
                <c:pt idx="100">
                  <c:v>1.3274766929754319E-2</c:v>
                </c:pt>
                <c:pt idx="101">
                  <c:v>3.8469164369077415E-3</c:v>
                </c:pt>
                <c:pt idx="102">
                  <c:v>-2.3341794491633219E-2</c:v>
                </c:pt>
                <c:pt idx="103">
                  <c:v>3.9502350135287249E-3</c:v>
                </c:pt>
                <c:pt idx="104">
                  <c:v>-1.8813849163759371E-2</c:v>
                </c:pt>
                <c:pt idx="105">
                  <c:v>2.3138747411539835E-2</c:v>
                </c:pt>
                <c:pt idx="106">
                  <c:v>1.6454647706215211E-2</c:v>
                </c:pt>
                <c:pt idx="107">
                  <c:v>-1.3361052499580443E-2</c:v>
                </c:pt>
                <c:pt idx="108">
                  <c:v>-5.7957339686119389E-3</c:v>
                </c:pt>
                <c:pt idx="109">
                  <c:v>-9.1833445981098893E-3</c:v>
                </c:pt>
                <c:pt idx="110">
                  <c:v>2.8501448683925845E-2</c:v>
                </c:pt>
                <c:pt idx="111">
                  <c:v>3.1371022920585502E-3</c:v>
                </c:pt>
                <c:pt idx="112">
                  <c:v>-1.8151037903771643E-2</c:v>
                </c:pt>
                <c:pt idx="113">
                  <c:v>2.3675537167263443E-2</c:v>
                </c:pt>
                <c:pt idx="114">
                  <c:v>6.7254336277673514E-3</c:v>
                </c:pt>
                <c:pt idx="115">
                  <c:v>-1.2267981451838177E-2</c:v>
                </c:pt>
                <c:pt idx="116">
                  <c:v>-3.1329519256417054E-3</c:v>
                </c:pt>
                <c:pt idx="117">
                  <c:v>5.3044287046390233E-3</c:v>
                </c:pt>
                <c:pt idx="118">
                  <c:v>3.8587168336210011E-3</c:v>
                </c:pt>
                <c:pt idx="119">
                  <c:v>-1.5315124323825119E-2</c:v>
                </c:pt>
                <c:pt idx="120">
                  <c:v>-9.5321722075461506E-3</c:v>
                </c:pt>
                <c:pt idx="121">
                  <c:v>5.9799576987965434E-3</c:v>
                </c:pt>
                <c:pt idx="122">
                  <c:v>2.2777212480380895E-3</c:v>
                </c:pt>
                <c:pt idx="123">
                  <c:v>1.1115389785247414E-2</c:v>
                </c:pt>
                <c:pt idx="124">
                  <c:v>-1.9842741539866829E-2</c:v>
                </c:pt>
                <c:pt idx="125">
                  <c:v>3.4690410967480089E-3</c:v>
                </c:pt>
                <c:pt idx="126">
                  <c:v>7.7653382577079723E-3</c:v>
                </c:pt>
                <c:pt idx="127">
                  <c:v>1.4622832645124935E-2</c:v>
                </c:pt>
                <c:pt idx="128">
                  <c:v>-1.3940887299462048E-2</c:v>
                </c:pt>
                <c:pt idx="129">
                  <c:v>-4.3098107691799193E-3</c:v>
                </c:pt>
                <c:pt idx="130">
                  <c:v>-2.2523941687212961E-3</c:v>
                </c:pt>
                <c:pt idx="131">
                  <c:v>-3.0139334555062E-2</c:v>
                </c:pt>
                <c:pt idx="132">
                  <c:v>4.2133850996815617E-3</c:v>
                </c:pt>
                <c:pt idx="133">
                  <c:v>2.0292882056554072E-2</c:v>
                </c:pt>
                <c:pt idx="134">
                  <c:v>-3.4355442469754416E-2</c:v>
                </c:pt>
                <c:pt idx="135">
                  <c:v>5.9321019726150011E-3</c:v>
                </c:pt>
                <c:pt idx="136">
                  <c:v>1.3589073360745274E-2</c:v>
                </c:pt>
                <c:pt idx="137">
                  <c:v>1.9043158631341641E-3</c:v>
                </c:pt>
                <c:pt idx="138">
                  <c:v>-4.7353191744860905E-2</c:v>
                </c:pt>
                <c:pt idx="139">
                  <c:v>1.7305969975797645E-2</c:v>
                </c:pt>
                <c:pt idx="140">
                  <c:v>-4.7358034861584061E-2</c:v>
                </c:pt>
                <c:pt idx="141">
                  <c:v>4.3124482595241487E-2</c:v>
                </c:pt>
                <c:pt idx="142">
                  <c:v>4.0039311339821769E-2</c:v>
                </c:pt>
                <c:pt idx="143">
                  <c:v>-3.8453902993771709E-2</c:v>
                </c:pt>
                <c:pt idx="144">
                  <c:v>-1.5849933731037272E-2</c:v>
                </c:pt>
                <c:pt idx="145">
                  <c:v>-2.1950447907517173E-3</c:v>
                </c:pt>
                <c:pt idx="146">
                  <c:v>1.9439158192427856E-2</c:v>
                </c:pt>
                <c:pt idx="147">
                  <c:v>3.165160970895147E-3</c:v>
                </c:pt>
                <c:pt idx="148">
                  <c:v>-8.828508032025259E-2</c:v>
                </c:pt>
                <c:pt idx="149">
                  <c:v>5.3957429129561911E-2</c:v>
                </c:pt>
                <c:pt idx="150">
                  <c:v>-4.7613481415814387E-3</c:v>
                </c:pt>
                <c:pt idx="151">
                  <c:v>-4.0508065342561704E-2</c:v>
                </c:pt>
                <c:pt idx="152">
                  <c:v>-1.3723776082716969E-2</c:v>
                </c:pt>
                <c:pt idx="153">
                  <c:v>-3.8735168163338982E-2</c:v>
                </c:pt>
                <c:pt idx="154">
                  <c:v>-5.7612105861290147E-2</c:v>
                </c:pt>
                <c:pt idx="155">
                  <c:v>-1.1550020933187384E-2</c:v>
                </c:pt>
                <c:pt idx="156">
                  <c:v>-7.638437272938535E-2</c:v>
                </c:pt>
                <c:pt idx="157">
                  <c:v>-1.1976572103016048E-2</c:v>
                </c:pt>
                <c:pt idx="158">
                  <c:v>0.11558306374996147</c:v>
                </c:pt>
                <c:pt idx="159">
                  <c:v>-5.5394672903701682E-3</c:v>
                </c:pt>
                <c:pt idx="160">
                  <c:v>-9.0567092656536688E-2</c:v>
                </c:pt>
                <c:pt idx="161">
                  <c:v>4.2290193744352798E-2</c:v>
                </c:pt>
                <c:pt idx="162">
                  <c:v>-6.4301173731456853E-3</c:v>
                </c:pt>
                <c:pt idx="163">
                  <c:v>4.7467568676115159E-2</c:v>
                </c:pt>
                <c:pt idx="164">
                  <c:v>-3.1016971821087334E-2</c:v>
                </c:pt>
                <c:pt idx="165">
                  <c:v>-6.1229808996213157E-2</c:v>
                </c:pt>
                <c:pt idx="166">
                  <c:v>1.2416794296095341E-2</c:v>
                </c:pt>
                <c:pt idx="167">
                  <c:v>-3.472853418770698E-2</c:v>
                </c:pt>
                <c:pt idx="168">
                  <c:v>-3.1981613315847736E-2</c:v>
                </c:pt>
                <c:pt idx="169">
                  <c:v>0.10767272841059758</c:v>
                </c:pt>
                <c:pt idx="170">
                  <c:v>-1.1296391946728265E-2</c:v>
                </c:pt>
                <c:pt idx="171">
                  <c:v>2.5586657893711211E-2</c:v>
                </c:pt>
                <c:pt idx="172">
                  <c:v>1.5148130179402825E-2</c:v>
                </c:pt>
                <c:pt idx="173">
                  <c:v>-2.7463288203736893E-3</c:v>
                </c:pt>
                <c:pt idx="174">
                  <c:v>4.0608533925117089E-2</c:v>
                </c:pt>
                <c:pt idx="175">
                  <c:v>-5.2894403199147358E-2</c:v>
                </c:pt>
                <c:pt idx="176">
                  <c:v>-5.0481263731720467E-2</c:v>
                </c:pt>
                <c:pt idx="177">
                  <c:v>2.8637358198543093E-2</c:v>
                </c:pt>
                <c:pt idx="178">
                  <c:v>-1.2870493696542624E-2</c:v>
                </c:pt>
                <c:pt idx="179">
                  <c:v>-2.2257961916254409E-2</c:v>
                </c:pt>
                <c:pt idx="180">
                  <c:v>-5.2111172751196207E-2</c:v>
                </c:pt>
                <c:pt idx="181">
                  <c:v>6.8995421964031314E-2</c:v>
                </c:pt>
                <c:pt idx="182">
                  <c:v>-4.1916426367310876E-2</c:v>
                </c:pt>
                <c:pt idx="183">
                  <c:v>-2.6027737538388138E-2</c:v>
                </c:pt>
                <c:pt idx="184">
                  <c:v>9.6210813395421358E-3</c:v>
                </c:pt>
                <c:pt idx="185">
                  <c:v>-6.1372897642484235E-2</c:v>
                </c:pt>
                <c:pt idx="186">
                  <c:v>-6.7340210594395267E-2</c:v>
                </c:pt>
                <c:pt idx="187">
                  <c:v>6.3030271350082517E-2</c:v>
                </c:pt>
                <c:pt idx="188">
                  <c:v>6.4505276341206952E-2</c:v>
                </c:pt>
                <c:pt idx="189">
                  <c:v>6.3334600618206215E-3</c:v>
                </c:pt>
                <c:pt idx="190">
                  <c:v>3.5110850488624473E-2</c:v>
                </c:pt>
                <c:pt idx="191">
                  <c:v>9.4258180735956581E-3</c:v>
                </c:pt>
                <c:pt idx="192">
                  <c:v>-8.9512574612831353E-2</c:v>
                </c:pt>
                <c:pt idx="193">
                  <c:v>3.9723404972834969E-2</c:v>
                </c:pt>
                <c:pt idx="194">
                  <c:v>2.561887407658528E-2</c:v>
                </c:pt>
                <c:pt idx="195">
                  <c:v>-2.9525700908038095E-2</c:v>
                </c:pt>
                <c:pt idx="196">
                  <c:v>3.6282076382013015E-2</c:v>
                </c:pt>
                <c:pt idx="197">
                  <c:v>3.8170046914810234E-2</c:v>
                </c:pt>
                <c:pt idx="198">
                  <c:v>-2.3334807829759982E-2</c:v>
                </c:pt>
                <c:pt idx="199">
                  <c:v>1.1676882379255188E-2</c:v>
                </c:pt>
                <c:pt idx="200">
                  <c:v>-2.8741383569114921E-2</c:v>
                </c:pt>
                <c:pt idx="201">
                  <c:v>6.8111721701625818E-3</c:v>
                </c:pt>
                <c:pt idx="202">
                  <c:v>-1.29030069507238E-2</c:v>
                </c:pt>
                <c:pt idx="203">
                  <c:v>5.1142985280259651E-2</c:v>
                </c:pt>
                <c:pt idx="204">
                  <c:v>-9.8101479169161506E-3</c:v>
                </c:pt>
                <c:pt idx="205">
                  <c:v>-2.1380030690258577E-2</c:v>
                </c:pt>
                <c:pt idx="206">
                  <c:v>2.7196273487698078E-3</c:v>
                </c:pt>
                <c:pt idx="207">
                  <c:v>-1.851931935818249E-2</c:v>
                </c:pt>
                <c:pt idx="208">
                  <c:v>-9.9347225343385907E-3</c:v>
                </c:pt>
                <c:pt idx="209">
                  <c:v>5.5637868984628747E-3</c:v>
                </c:pt>
                <c:pt idx="210">
                  <c:v>5.1389206812547279E-3</c:v>
                </c:pt>
                <c:pt idx="211">
                  <c:v>-4.0898905128132976E-3</c:v>
                </c:pt>
                <c:pt idx="212">
                  <c:v>2.4189779419379769E-2</c:v>
                </c:pt>
                <c:pt idx="213">
                  <c:v>1.3941061472362525E-2</c:v>
                </c:pt>
                <c:pt idx="214">
                  <c:v>3.1390785364067801E-2</c:v>
                </c:pt>
                <c:pt idx="215">
                  <c:v>-4.8856803356510927E-3</c:v>
                </c:pt>
                <c:pt idx="216">
                  <c:v>7.5998364367743359E-3</c:v>
                </c:pt>
                <c:pt idx="217">
                  <c:v>-3.0226925320199407E-2</c:v>
                </c:pt>
                <c:pt idx="218">
                  <c:v>3.1798247083024193E-3</c:v>
                </c:pt>
                <c:pt idx="219">
                  <c:v>-2.1520320536455351E-2</c:v>
                </c:pt>
                <c:pt idx="220">
                  <c:v>-2.2781456724043324E-2</c:v>
                </c:pt>
                <c:pt idx="221">
                  <c:v>1.540798719560613E-3</c:v>
                </c:pt>
                <c:pt idx="222">
                  <c:v>-3.3677189426416357E-2</c:v>
                </c:pt>
                <c:pt idx="223">
                  <c:v>1.1118909718105963E-3</c:v>
                </c:pt>
                <c:pt idx="224">
                  <c:v>7.3442745377927544E-3</c:v>
                </c:pt>
                <c:pt idx="225">
                  <c:v>-5.3033369587293884E-2</c:v>
                </c:pt>
                <c:pt idx="226">
                  <c:v>4.3273923228555437E-2</c:v>
                </c:pt>
                <c:pt idx="227">
                  <c:v>-1.5379631133384104E-2</c:v>
                </c:pt>
                <c:pt idx="228">
                  <c:v>5.1603469422225488E-3</c:v>
                </c:pt>
                <c:pt idx="229">
                  <c:v>5.3359217801392913E-3</c:v>
                </c:pt>
                <c:pt idx="230">
                  <c:v>1.0708268542822497E-2</c:v>
                </c:pt>
                <c:pt idx="231">
                  <c:v>3.3340305925541269E-2</c:v>
                </c:pt>
                <c:pt idx="232">
                  <c:v>-3.3337455813644848E-2</c:v>
                </c:pt>
                <c:pt idx="233">
                  <c:v>-2.3006420257791579E-2</c:v>
                </c:pt>
                <c:pt idx="234">
                  <c:v>-7.5006161292185281E-4</c:v>
                </c:pt>
                <c:pt idx="235">
                  <c:v>1.5616682891073267E-2</c:v>
                </c:pt>
                <c:pt idx="236">
                  <c:v>-7.7067719412551609E-3</c:v>
                </c:pt>
                <c:pt idx="237">
                  <c:v>1.614837158231431E-2</c:v>
                </c:pt>
                <c:pt idx="238">
                  <c:v>2.6678725190956775E-2</c:v>
                </c:pt>
                <c:pt idx="239">
                  <c:v>1.2678519525423121E-3</c:v>
                </c:pt>
                <c:pt idx="240">
                  <c:v>-4.9338449811570581E-2</c:v>
                </c:pt>
                <c:pt idx="241">
                  <c:v>7.7376335600371693E-3</c:v>
                </c:pt>
                <c:pt idx="242">
                  <c:v>1.5218547318592728E-3</c:v>
                </c:pt>
                <c:pt idx="243">
                  <c:v>-1.0215021630856452E-2</c:v>
                </c:pt>
                <c:pt idx="244">
                  <c:v>-4.5776292256760338E-2</c:v>
                </c:pt>
                <c:pt idx="245">
                  <c:v>-1.167662136266622E-3</c:v>
                </c:pt>
                <c:pt idx="246">
                  <c:v>-1.2241344658501558E-2</c:v>
                </c:pt>
                <c:pt idx="247">
                  <c:v>-1.1630242360445102E-2</c:v>
                </c:pt>
                <c:pt idx="248">
                  <c:v>-3.4916342078834081E-2</c:v>
                </c:pt>
                <c:pt idx="249">
                  <c:v>3.9886022286654277E-2</c:v>
                </c:pt>
                <c:pt idx="250">
                  <c:v>-1.0875133435320528E-2</c:v>
                </c:pt>
                <c:pt idx="251">
                  <c:v>-1.5997137064335584E-2</c:v>
                </c:pt>
                <c:pt idx="252">
                  <c:v>-2.3781713495747002E-2</c:v>
                </c:pt>
                <c:pt idx="253">
                  <c:v>-4.6837438313659351E-2</c:v>
                </c:pt>
                <c:pt idx="254">
                  <c:v>-6.624077190715897E-3</c:v>
                </c:pt>
                <c:pt idx="255">
                  <c:v>2.3535809005453236E-2</c:v>
                </c:pt>
                <c:pt idx="256">
                  <c:v>-4.2749595578960173E-2</c:v>
                </c:pt>
                <c:pt idx="257">
                  <c:v>9.9873156749816726E-4</c:v>
                </c:pt>
                <c:pt idx="258">
                  <c:v>-1.0241002260456617E-2</c:v>
                </c:pt>
                <c:pt idx="259">
                  <c:v>6.3445807808524352E-2</c:v>
                </c:pt>
                <c:pt idx="260">
                  <c:v>2.2285066617041679E-3</c:v>
                </c:pt>
                <c:pt idx="261">
                  <c:v>4.0511327148459383E-2</c:v>
                </c:pt>
                <c:pt idx="262">
                  <c:v>7.5217342606122119E-3</c:v>
                </c:pt>
                <c:pt idx="263">
                  <c:v>-3.7332571729760161E-3</c:v>
                </c:pt>
                <c:pt idx="264">
                  <c:v>3.1922670806935671E-2</c:v>
                </c:pt>
                <c:pt idx="265">
                  <c:v>2.0640668790078632E-2</c:v>
                </c:pt>
                <c:pt idx="266">
                  <c:v>-1.3196461917631134E-2</c:v>
                </c:pt>
                <c:pt idx="267">
                  <c:v>-1.9986696082741805E-2</c:v>
                </c:pt>
                <c:pt idx="268">
                  <c:v>7.0540243708854339E-2</c:v>
                </c:pt>
                <c:pt idx="269">
                  <c:v>-2.0632403741621865E-2</c:v>
                </c:pt>
                <c:pt idx="270">
                  <c:v>9.4090617962478661E-3</c:v>
                </c:pt>
                <c:pt idx="271">
                  <c:v>2.3103094650154584E-2</c:v>
                </c:pt>
                <c:pt idx="272">
                  <c:v>-2.05328357885897E-2</c:v>
                </c:pt>
                <c:pt idx="273">
                  <c:v>-3.5036033234123277E-2</c:v>
                </c:pt>
                <c:pt idx="274">
                  <c:v>1.2912361990380884E-2</c:v>
                </c:pt>
                <c:pt idx="275">
                  <c:v>1.6339285336997734E-2</c:v>
                </c:pt>
                <c:pt idx="276">
                  <c:v>2.8509832697443255E-2</c:v>
                </c:pt>
                <c:pt idx="277">
                  <c:v>9.514480325919214E-3</c:v>
                </c:pt>
                <c:pt idx="278">
                  <c:v>-8.5496407759590252E-3</c:v>
                </c:pt>
                <c:pt idx="279">
                  <c:v>-2.4071847239764053E-2</c:v>
                </c:pt>
                <c:pt idx="280">
                  <c:v>1.1566162453079214E-2</c:v>
                </c:pt>
                <c:pt idx="281">
                  <c:v>3.7835929478701062E-2</c:v>
                </c:pt>
                <c:pt idx="282">
                  <c:v>2.3160928091300725E-3</c:v>
                </c:pt>
                <c:pt idx="283">
                  <c:v>-2.0281810437450372E-2</c:v>
                </c:pt>
                <c:pt idx="284">
                  <c:v>1.2331723045533965E-2</c:v>
                </c:pt>
                <c:pt idx="285">
                  <c:v>1.5321515258454623E-2</c:v>
                </c:pt>
                <c:pt idx="286">
                  <c:v>4.7520782210029736E-3</c:v>
                </c:pt>
                <c:pt idx="287">
                  <c:v>-4.3007084970772838E-2</c:v>
                </c:pt>
                <c:pt idx="288">
                  <c:v>2.1034760766587137E-2</c:v>
                </c:pt>
                <c:pt idx="289">
                  <c:v>-7.8989265265478337E-3</c:v>
                </c:pt>
                <c:pt idx="290">
                  <c:v>9.7050554026010278E-3</c:v>
                </c:pt>
                <c:pt idx="291">
                  <c:v>1.6580055301715618E-2</c:v>
                </c:pt>
                <c:pt idx="292">
                  <c:v>-1.0283907046822525E-2</c:v>
                </c:pt>
                <c:pt idx="293">
                  <c:v>-2.9577893845503132E-3</c:v>
                </c:pt>
                <c:pt idx="294">
                  <c:v>2.1392694550465045E-2</c:v>
                </c:pt>
                <c:pt idx="295">
                  <c:v>-1.1673446370310265E-3</c:v>
                </c:pt>
                <c:pt idx="296">
                  <c:v>5.1790669074035945E-3</c:v>
                </c:pt>
                <c:pt idx="297">
                  <c:v>3.3650877382444225E-2</c:v>
                </c:pt>
                <c:pt idx="298">
                  <c:v>-4.0090165041106818E-3</c:v>
                </c:pt>
                <c:pt idx="299">
                  <c:v>1.7186996422864542E-2</c:v>
                </c:pt>
                <c:pt idx="300">
                  <c:v>-1.3419693438974426E-2</c:v>
                </c:pt>
                <c:pt idx="301">
                  <c:v>2.3851736598735143E-2</c:v>
                </c:pt>
                <c:pt idx="302">
                  <c:v>-2.1729731589159362E-2</c:v>
                </c:pt>
                <c:pt idx="303">
                  <c:v>-1.1961360326360395E-3</c:v>
                </c:pt>
                <c:pt idx="304">
                  <c:v>-2.7112215921586986E-2</c:v>
                </c:pt>
                <c:pt idx="305">
                  <c:v>1.0134318968508096E-2</c:v>
                </c:pt>
                <c:pt idx="306">
                  <c:v>-1.1627376399276041E-2</c:v>
                </c:pt>
                <c:pt idx="307">
                  <c:v>3.0171884300322218E-2</c:v>
                </c:pt>
                <c:pt idx="308">
                  <c:v>-1.9541137897772674E-3</c:v>
                </c:pt>
                <c:pt idx="309">
                  <c:v>-5.3487204773874112E-3</c:v>
                </c:pt>
                <c:pt idx="310">
                  <c:v>-1.6974908879264911E-2</c:v>
                </c:pt>
                <c:pt idx="311">
                  <c:v>-1.7144879213761865E-3</c:v>
                </c:pt>
                <c:pt idx="312">
                  <c:v>2.6084845489551031E-2</c:v>
                </c:pt>
                <c:pt idx="313">
                  <c:v>-1.9188438895309294E-2</c:v>
                </c:pt>
                <c:pt idx="314">
                  <c:v>1.5201600264331814E-2</c:v>
                </c:pt>
                <c:pt idx="315">
                  <c:v>1.3357463866878215E-2</c:v>
                </c:pt>
                <c:pt idx="316">
                  <c:v>2.5600315553364176E-2</c:v>
                </c:pt>
                <c:pt idx="317">
                  <c:v>1.7660097259384116E-3</c:v>
                </c:pt>
                <c:pt idx="318">
                  <c:v>-1.3956526403323632E-2</c:v>
                </c:pt>
                <c:pt idx="319">
                  <c:v>1.1266347294477983E-2</c:v>
                </c:pt>
                <c:pt idx="320">
                  <c:v>-2.7319921462066327E-3</c:v>
                </c:pt>
                <c:pt idx="321">
                  <c:v>-1.2278381062039065E-3</c:v>
                </c:pt>
                <c:pt idx="322">
                  <c:v>3.2859084976392906E-3</c:v>
                </c:pt>
                <c:pt idx="323">
                  <c:v>-3.6976611517216497E-3</c:v>
                </c:pt>
                <c:pt idx="324">
                  <c:v>5.8946131432756647E-3</c:v>
                </c:pt>
                <c:pt idx="325">
                  <c:v>1.1796914468770816E-3</c:v>
                </c:pt>
                <c:pt idx="326">
                  <c:v>-2.3985804610205518E-2</c:v>
                </c:pt>
                <c:pt idx="327">
                  <c:v>-1.2937601416594023E-2</c:v>
                </c:pt>
                <c:pt idx="328">
                  <c:v>-1.5989209578484999E-3</c:v>
                </c:pt>
                <c:pt idx="329">
                  <c:v>8.1937234111181517E-3</c:v>
                </c:pt>
                <c:pt idx="330">
                  <c:v>2.8969166632970642E-3</c:v>
                </c:pt>
                <c:pt idx="331">
                  <c:v>-3.08176895152091E-2</c:v>
                </c:pt>
                <c:pt idx="332">
                  <c:v>2.0894310198819946E-3</c:v>
                </c:pt>
                <c:pt idx="333">
                  <c:v>6.3071141180617357E-3</c:v>
                </c:pt>
                <c:pt idx="334">
                  <c:v>2.1226972756402396E-2</c:v>
                </c:pt>
                <c:pt idx="335">
                  <c:v>-1.6951397805301106E-3</c:v>
                </c:pt>
                <c:pt idx="336">
                  <c:v>8.8478900738862797E-3</c:v>
                </c:pt>
                <c:pt idx="337">
                  <c:v>-8.7480818043742491E-3</c:v>
                </c:pt>
                <c:pt idx="338">
                  <c:v>4.1446231174541298E-3</c:v>
                </c:pt>
                <c:pt idx="339">
                  <c:v>-2.9361806109275048E-2</c:v>
                </c:pt>
                <c:pt idx="340">
                  <c:v>2.3484650226621574E-3</c:v>
                </c:pt>
                <c:pt idx="341">
                  <c:v>-1.9900846499998331E-2</c:v>
                </c:pt>
                <c:pt idx="342">
                  <c:v>-1.8857982024349351E-3</c:v>
                </c:pt>
                <c:pt idx="343">
                  <c:v>3.3299315972251391E-3</c:v>
                </c:pt>
                <c:pt idx="344">
                  <c:v>-4.2391391326630952E-3</c:v>
                </c:pt>
                <c:pt idx="345">
                  <c:v>2.4716444750124713E-2</c:v>
                </c:pt>
                <c:pt idx="346">
                  <c:v>5.0987236363479495E-3</c:v>
                </c:pt>
                <c:pt idx="347">
                  <c:v>2.9412660162940321E-2</c:v>
                </c:pt>
                <c:pt idx="348">
                  <c:v>8.4244669578692373E-3</c:v>
                </c:pt>
                <c:pt idx="349">
                  <c:v>-5.9997402898434365E-4</c:v>
                </c:pt>
                <c:pt idx="350">
                  <c:v>1.1214252385988326E-2</c:v>
                </c:pt>
                <c:pt idx="351">
                  <c:v>3.4099678494957327E-3</c:v>
                </c:pt>
                <c:pt idx="352">
                  <c:v>-7.5156294124022118E-4</c:v>
                </c:pt>
                <c:pt idx="353">
                  <c:v>2.3072399162323193E-2</c:v>
                </c:pt>
                <c:pt idx="354">
                  <c:v>2.8248323133322861E-3</c:v>
                </c:pt>
                <c:pt idx="355">
                  <c:v>2.7645468704870198E-3</c:v>
                </c:pt>
                <c:pt idx="356">
                  <c:v>-2.8237434457724893E-3</c:v>
                </c:pt>
                <c:pt idx="357">
                  <c:v>-4.7802903762370228E-3</c:v>
                </c:pt>
                <c:pt idx="358">
                  <c:v>1.1678309241926074E-2</c:v>
                </c:pt>
                <c:pt idx="359">
                  <c:v>5.2250581924643885E-4</c:v>
                </c:pt>
                <c:pt idx="360">
                  <c:v>1.5124786315318727E-2</c:v>
                </c:pt>
                <c:pt idx="361">
                  <c:v>2.7947816719347653E-3</c:v>
                </c:pt>
                <c:pt idx="362">
                  <c:v>-3.1308350697421767E-3</c:v>
                </c:pt>
                <c:pt idx="363">
                  <c:v>-5.8419973760956744E-3</c:v>
                </c:pt>
                <c:pt idx="364">
                  <c:v>1.3221946026048832E-2</c:v>
                </c:pt>
                <c:pt idx="365">
                  <c:v>-3.562241538953936E-3</c:v>
                </c:pt>
                <c:pt idx="366">
                  <c:v>-1.2877409758615399E-2</c:v>
                </c:pt>
                <c:pt idx="367">
                  <c:v>1.1307820348235404E-2</c:v>
                </c:pt>
                <c:pt idx="368">
                  <c:v>6.6627304805716896E-3</c:v>
                </c:pt>
                <c:pt idx="369">
                  <c:v>-8.7486918996646391E-3</c:v>
                </c:pt>
                <c:pt idx="370">
                  <c:v>-2.4478069998953297E-2</c:v>
                </c:pt>
                <c:pt idx="371">
                  <c:v>9.9283558113039648E-3</c:v>
                </c:pt>
                <c:pt idx="372">
                  <c:v>6.6435762538820829E-3</c:v>
                </c:pt>
                <c:pt idx="373">
                  <c:v>1.0731462043154167E-2</c:v>
                </c:pt>
                <c:pt idx="374">
                  <c:v>1.8405453767758231E-2</c:v>
                </c:pt>
                <c:pt idx="375">
                  <c:v>-7.6303638085068338E-4</c:v>
                </c:pt>
                <c:pt idx="376">
                  <c:v>2.1521175196160002E-3</c:v>
                </c:pt>
                <c:pt idx="377">
                  <c:v>-1.0056504479944537E-4</c:v>
                </c:pt>
                <c:pt idx="378">
                  <c:v>2.5644798840200492E-3</c:v>
                </c:pt>
                <c:pt idx="379">
                  <c:v>-2.2056959493001911E-3</c:v>
                </c:pt>
                <c:pt idx="380">
                  <c:v>-8.2936477232239091E-3</c:v>
                </c:pt>
                <c:pt idx="381">
                  <c:v>-2.2341103659955702E-2</c:v>
                </c:pt>
                <c:pt idx="382">
                  <c:v>-3.5137576259939951E-3</c:v>
                </c:pt>
                <c:pt idx="383">
                  <c:v>8.3175111783291792E-3</c:v>
                </c:pt>
                <c:pt idx="384">
                  <c:v>1.2900202739951502E-2</c:v>
                </c:pt>
                <c:pt idx="385">
                  <c:v>8.6276463735428539E-3</c:v>
                </c:pt>
                <c:pt idx="386">
                  <c:v>7.565108181251814E-3</c:v>
                </c:pt>
                <c:pt idx="387">
                  <c:v>1.0204914262468013E-2</c:v>
                </c:pt>
                <c:pt idx="388">
                  <c:v>-1.5676901876850804E-3</c:v>
                </c:pt>
                <c:pt idx="389">
                  <c:v>6.1218324547901715E-3</c:v>
                </c:pt>
                <c:pt idx="390">
                  <c:v>2.918007533598731E-3</c:v>
                </c:pt>
                <c:pt idx="391">
                  <c:v>1.5106226422975304E-2</c:v>
                </c:pt>
                <c:pt idx="392">
                  <c:v>-3.2769170570881695E-3</c:v>
                </c:pt>
                <c:pt idx="393">
                  <c:v>2.4199876918837336E-3</c:v>
                </c:pt>
                <c:pt idx="394">
                  <c:v>-3.6245791608301874E-3</c:v>
                </c:pt>
                <c:pt idx="395">
                  <c:v>6.3575724099448807E-3</c:v>
                </c:pt>
                <c:pt idx="396">
                  <c:v>-1.0285788434731397E-2</c:v>
                </c:pt>
                <c:pt idx="397">
                  <c:v>-9.7283582381035676E-3</c:v>
                </c:pt>
                <c:pt idx="398">
                  <c:v>-6.3080101274702914E-3</c:v>
                </c:pt>
                <c:pt idx="399">
                  <c:v>1.7592312966789432E-2</c:v>
                </c:pt>
                <c:pt idx="400">
                  <c:v>-2.4468775516034214E-3</c:v>
                </c:pt>
                <c:pt idx="401">
                  <c:v>-3.5455699144367222E-3</c:v>
                </c:pt>
                <c:pt idx="402">
                  <c:v>-2.5976936324673423E-2</c:v>
                </c:pt>
                <c:pt idx="403">
                  <c:v>-4.722807073548674E-3</c:v>
                </c:pt>
                <c:pt idx="404">
                  <c:v>1.4657704656953223E-2</c:v>
                </c:pt>
                <c:pt idx="405">
                  <c:v>1.348817986158026E-2</c:v>
                </c:pt>
                <c:pt idx="406">
                  <c:v>2.4943235833218948E-3</c:v>
                </c:pt>
                <c:pt idx="407">
                  <c:v>7.2525875126544228E-3</c:v>
                </c:pt>
                <c:pt idx="408">
                  <c:v>5.4233536610643297E-3</c:v>
                </c:pt>
                <c:pt idx="409">
                  <c:v>4.1691186165539063E-3</c:v>
                </c:pt>
                <c:pt idx="410">
                  <c:v>-3.0049084152347716E-3</c:v>
                </c:pt>
                <c:pt idx="411">
                  <c:v>1.7328524774080471E-2</c:v>
                </c:pt>
                <c:pt idx="412">
                  <c:v>3.9401364517381889E-3</c:v>
                </c:pt>
                <c:pt idx="413">
                  <c:v>-8.3153486524820772E-3</c:v>
                </c:pt>
                <c:pt idx="414">
                  <c:v>9.1880432435160701E-3</c:v>
                </c:pt>
                <c:pt idx="415">
                  <c:v>-6.4564236310124369E-3</c:v>
                </c:pt>
                <c:pt idx="416">
                  <c:v>-9.0710717900693329E-3</c:v>
                </c:pt>
                <c:pt idx="417">
                  <c:v>1.0426313572701001E-2</c:v>
                </c:pt>
                <c:pt idx="418">
                  <c:v>-1.2395792504335507E-2</c:v>
                </c:pt>
                <c:pt idx="419">
                  <c:v>-1.1934599267014619E-2</c:v>
                </c:pt>
                <c:pt idx="420">
                  <c:v>-3.535165253438092E-3</c:v>
                </c:pt>
                <c:pt idx="421">
                  <c:v>-1.9758207405727989E-2</c:v>
                </c:pt>
                <c:pt idx="422">
                  <c:v>2.2302676966171688E-2</c:v>
                </c:pt>
                <c:pt idx="423">
                  <c:v>-2.8281942799564242E-2</c:v>
                </c:pt>
                <c:pt idx="424">
                  <c:v>6.2390483165257905E-3</c:v>
                </c:pt>
                <c:pt idx="425">
                  <c:v>2.2086776629132881E-3</c:v>
                </c:pt>
                <c:pt idx="426">
                  <c:v>8.2535655943253596E-4</c:v>
                </c:pt>
                <c:pt idx="427">
                  <c:v>1.9018250499324846E-2</c:v>
                </c:pt>
                <c:pt idx="428">
                  <c:v>2.2859144855705981E-3</c:v>
                </c:pt>
                <c:pt idx="429">
                  <c:v>2.2021551282075003E-2</c:v>
                </c:pt>
                <c:pt idx="430">
                  <c:v>-2.8133579091092222E-4</c:v>
                </c:pt>
                <c:pt idx="431">
                  <c:v>4.8146793573987899E-3</c:v>
                </c:pt>
                <c:pt idx="432">
                  <c:v>-1.0476647865437958E-2</c:v>
                </c:pt>
                <c:pt idx="433">
                  <c:v>5.5220066274189461E-3</c:v>
                </c:pt>
                <c:pt idx="434">
                  <c:v>1.4250274861036477E-2</c:v>
                </c:pt>
                <c:pt idx="435">
                  <c:v>7.0220222070714361E-4</c:v>
                </c:pt>
                <c:pt idx="436">
                  <c:v>-6.8563001572800723E-4</c:v>
                </c:pt>
                <c:pt idx="437">
                  <c:v>-1.3643139056452262E-2</c:v>
                </c:pt>
                <c:pt idx="438">
                  <c:v>-3.4322020331284263E-3</c:v>
                </c:pt>
                <c:pt idx="439">
                  <c:v>1.3398492622026257E-2</c:v>
                </c:pt>
                <c:pt idx="440">
                  <c:v>-7.5063471677836596E-4</c:v>
                </c:pt>
                <c:pt idx="441">
                  <c:v>4.2868412751619978E-3</c:v>
                </c:pt>
                <c:pt idx="442">
                  <c:v>-1.7450758651393748E-2</c:v>
                </c:pt>
                <c:pt idx="443">
                  <c:v>3.5756836757140798E-3</c:v>
                </c:pt>
                <c:pt idx="444">
                  <c:v>1.1857947817636612E-2</c:v>
                </c:pt>
                <c:pt idx="445">
                  <c:v>1.2539773633988999E-4</c:v>
                </c:pt>
                <c:pt idx="446">
                  <c:v>-8.6194457815944505E-3</c:v>
                </c:pt>
                <c:pt idx="447">
                  <c:v>5.2921950370798734E-3</c:v>
                </c:pt>
                <c:pt idx="448">
                  <c:v>-2.6856956292000754E-3</c:v>
                </c:pt>
                <c:pt idx="449">
                  <c:v>-1.046882613402909E-2</c:v>
                </c:pt>
                <c:pt idx="450">
                  <c:v>3.4550663880360839E-3</c:v>
                </c:pt>
                <c:pt idx="451">
                  <c:v>5.6223859049566692E-3</c:v>
                </c:pt>
                <c:pt idx="452">
                  <c:v>3.4657442142137099E-3</c:v>
                </c:pt>
                <c:pt idx="453">
                  <c:v>6.7421488512355351E-3</c:v>
                </c:pt>
                <c:pt idx="454">
                  <c:v>-5.7643251321990397E-3</c:v>
                </c:pt>
                <c:pt idx="455">
                  <c:v>9.109335605325228E-4</c:v>
                </c:pt>
                <c:pt idx="456">
                  <c:v>-1.2027823257705773E-2</c:v>
                </c:pt>
                <c:pt idx="457">
                  <c:v>5.6125698707978995E-3</c:v>
                </c:pt>
                <c:pt idx="458">
                  <c:v>1.0286390612852057E-2</c:v>
                </c:pt>
                <c:pt idx="459">
                  <c:v>3.34627778354604E-3</c:v>
                </c:pt>
                <c:pt idx="460">
                  <c:v>2.0814100797902531E-3</c:v>
                </c:pt>
                <c:pt idx="461">
                  <c:v>5.0388631392765991E-3</c:v>
                </c:pt>
                <c:pt idx="462">
                  <c:v>9.3674079299229708E-4</c:v>
                </c:pt>
                <c:pt idx="463">
                  <c:v>-1.6182790234274763E-3</c:v>
                </c:pt>
                <c:pt idx="464">
                  <c:v>-2.1949377084523738E-5</c:v>
                </c:pt>
                <c:pt idx="465">
                  <c:v>-1.0266834035010297E-2</c:v>
                </c:pt>
                <c:pt idx="466">
                  <c:v>1.5826107616688224E-2</c:v>
                </c:pt>
                <c:pt idx="467">
                  <c:v>2.8983531786417626E-3</c:v>
                </c:pt>
                <c:pt idx="468">
                  <c:v>3.2822837345966523E-4</c:v>
                </c:pt>
                <c:pt idx="469">
                  <c:v>3.7839697725308647E-3</c:v>
                </c:pt>
                <c:pt idx="470">
                  <c:v>2.6643963665944699E-3</c:v>
                </c:pt>
                <c:pt idx="471">
                  <c:v>1.5294588395319071E-3</c:v>
                </c:pt>
                <c:pt idx="472">
                  <c:v>-9.5984540367202355E-3</c:v>
                </c:pt>
                <c:pt idx="473">
                  <c:v>8.1085558254326388E-3</c:v>
                </c:pt>
                <c:pt idx="474">
                  <c:v>2.2092099665645092E-3</c:v>
                </c:pt>
                <c:pt idx="475">
                  <c:v>-1.1040485876695396E-2</c:v>
                </c:pt>
                <c:pt idx="476">
                  <c:v>1.2282373340774371E-2</c:v>
                </c:pt>
                <c:pt idx="477">
                  <c:v>-1.0815176986224391E-2</c:v>
                </c:pt>
                <c:pt idx="478">
                  <c:v>-1.916214911582223E-2</c:v>
                </c:pt>
                <c:pt idx="479">
                  <c:v>-2.2358311179678049E-2</c:v>
                </c:pt>
                <c:pt idx="480">
                  <c:v>4.3807836018294657E-3</c:v>
                </c:pt>
                <c:pt idx="481">
                  <c:v>-4.4205096041224808E-3</c:v>
                </c:pt>
                <c:pt idx="482">
                  <c:v>4.6628960816931346E-3</c:v>
                </c:pt>
                <c:pt idx="483">
                  <c:v>-1.2035064216067716E-2</c:v>
                </c:pt>
                <c:pt idx="484">
                  <c:v>-1.0046439140200057E-2</c:v>
                </c:pt>
                <c:pt idx="485">
                  <c:v>1.4048862283733643E-2</c:v>
                </c:pt>
                <c:pt idx="486">
                  <c:v>1.2755646634011028E-2</c:v>
                </c:pt>
                <c:pt idx="487">
                  <c:v>-5.6916829597278736E-3</c:v>
                </c:pt>
                <c:pt idx="488">
                  <c:v>-3.1357935232475403E-2</c:v>
                </c:pt>
                <c:pt idx="489">
                  <c:v>2.6798636562947345E-3</c:v>
                </c:pt>
                <c:pt idx="490">
                  <c:v>-9.0806323654962218E-3</c:v>
                </c:pt>
                <c:pt idx="491">
                  <c:v>1.2822807909935655E-2</c:v>
                </c:pt>
                <c:pt idx="492">
                  <c:v>-2.4498564397519109E-3</c:v>
                </c:pt>
                <c:pt idx="493">
                  <c:v>9.4631730434504256E-3</c:v>
                </c:pt>
                <c:pt idx="494">
                  <c:v>-2.9619255274171501E-3</c:v>
                </c:pt>
                <c:pt idx="495">
                  <c:v>1.7783465866678009E-2</c:v>
                </c:pt>
                <c:pt idx="496">
                  <c:v>4.0206494952136386E-3</c:v>
                </c:pt>
                <c:pt idx="497">
                  <c:v>6.367454826946041E-3</c:v>
                </c:pt>
                <c:pt idx="498">
                  <c:v>1.9692857733583221E-3</c:v>
                </c:pt>
                <c:pt idx="499">
                  <c:v>-1.2631236221827722E-3</c:v>
                </c:pt>
                <c:pt idx="500">
                  <c:v>-1.2320075418095672E-2</c:v>
                </c:pt>
                <c:pt idx="501">
                  <c:v>9.5031492626497169E-3</c:v>
                </c:pt>
                <c:pt idx="502">
                  <c:v>-2.2982925450821456E-3</c:v>
                </c:pt>
                <c:pt idx="503">
                  <c:v>1.1880382700479816E-3</c:v>
                </c:pt>
                <c:pt idx="504">
                  <c:v>9.9412381460177481E-3</c:v>
                </c:pt>
                <c:pt idx="505">
                  <c:v>2.1130580997445864E-3</c:v>
                </c:pt>
                <c:pt idx="506">
                  <c:v>2.1192252720983337E-4</c:v>
                </c:pt>
                <c:pt idx="507">
                  <c:v>3.5188827027897284E-3</c:v>
                </c:pt>
                <c:pt idx="508">
                  <c:v>1.3790201411813021E-2</c:v>
                </c:pt>
                <c:pt idx="509">
                  <c:v>-3.9293544875863292E-4</c:v>
                </c:pt>
                <c:pt idx="510">
                  <c:v>1.495483411340366E-3</c:v>
                </c:pt>
                <c:pt idx="511">
                  <c:v>4.3072332285628507E-3</c:v>
                </c:pt>
                <c:pt idx="512">
                  <c:v>3.82421843843279E-3</c:v>
                </c:pt>
                <c:pt idx="513">
                  <c:v>-4.3464250750321952E-4</c:v>
                </c:pt>
                <c:pt idx="514">
                  <c:v>2.3488128271556636E-4</c:v>
                </c:pt>
                <c:pt idx="515">
                  <c:v>7.5618622455238755E-3</c:v>
                </c:pt>
                <c:pt idx="516">
                  <c:v>5.6043790453012667E-3</c:v>
                </c:pt>
                <c:pt idx="517">
                  <c:v>-5.4313839182529788E-4</c:v>
                </c:pt>
                <c:pt idx="518">
                  <c:v>-5.3038014558185187E-3</c:v>
                </c:pt>
                <c:pt idx="519">
                  <c:v>4.877970271038529E-3</c:v>
                </c:pt>
                <c:pt idx="520">
                  <c:v>6.9536832714544765E-3</c:v>
                </c:pt>
                <c:pt idx="521">
                  <c:v>-5.7105385971082225E-3</c:v>
                </c:pt>
                <c:pt idx="522">
                  <c:v>-1.9214722208574552E-3</c:v>
                </c:pt>
                <c:pt idx="523">
                  <c:v>5.2043859077087126E-4</c:v>
                </c:pt>
                <c:pt idx="524">
                  <c:v>5.4659340499882067E-3</c:v>
                </c:pt>
                <c:pt idx="525">
                  <c:v>-1.7467880945804535E-4</c:v>
                </c:pt>
                <c:pt idx="526">
                  <c:v>-3.490200497464764E-3</c:v>
                </c:pt>
                <c:pt idx="527">
                  <c:v>7.1965717325011194E-3</c:v>
                </c:pt>
                <c:pt idx="528">
                  <c:v>7.7107231304164026E-3</c:v>
                </c:pt>
                <c:pt idx="529">
                  <c:v>1.4669990652593778E-3</c:v>
                </c:pt>
                <c:pt idx="530">
                  <c:v>-6.0940116551259612E-3</c:v>
                </c:pt>
                <c:pt idx="531">
                  <c:v>3.1570533044928063E-3</c:v>
                </c:pt>
                <c:pt idx="532">
                  <c:v>6.4665643998970913E-3</c:v>
                </c:pt>
                <c:pt idx="533">
                  <c:v>1.5493251713244581E-3</c:v>
                </c:pt>
                <c:pt idx="534">
                  <c:v>4.6804711247017979E-4</c:v>
                </c:pt>
                <c:pt idx="535">
                  <c:v>1.0932791135009796E-2</c:v>
                </c:pt>
                <c:pt idx="536">
                  <c:v>6.2522604951092357E-4</c:v>
                </c:pt>
                <c:pt idx="537">
                  <c:v>-1.6343799653084714E-2</c:v>
                </c:pt>
                <c:pt idx="538">
                  <c:v>4.3040224213587155E-3</c:v>
                </c:pt>
                <c:pt idx="539">
                  <c:v>7.8410239667842871E-3</c:v>
                </c:pt>
                <c:pt idx="540">
                  <c:v>-1.2362085631044215E-3</c:v>
                </c:pt>
                <c:pt idx="541">
                  <c:v>2.0464976563086689E-3</c:v>
                </c:pt>
                <c:pt idx="542">
                  <c:v>6.9062359155383788E-3</c:v>
                </c:pt>
                <c:pt idx="543">
                  <c:v>-4.5137608104690048E-3</c:v>
                </c:pt>
                <c:pt idx="544">
                  <c:v>-2.3599170247388172E-2</c:v>
                </c:pt>
                <c:pt idx="545">
                  <c:v>6.2454350189058211E-3</c:v>
                </c:pt>
                <c:pt idx="546">
                  <c:v>1.2725894412710973E-2</c:v>
                </c:pt>
                <c:pt idx="547">
                  <c:v>-1.686490424556544E-2</c:v>
                </c:pt>
                <c:pt idx="548">
                  <c:v>1.2903231966624249E-2</c:v>
                </c:pt>
                <c:pt idx="549">
                  <c:v>-2.405573417147857E-2</c:v>
                </c:pt>
                <c:pt idx="550">
                  <c:v>-6.803867796119671E-3</c:v>
                </c:pt>
                <c:pt idx="551">
                  <c:v>-3.2570817966925472E-2</c:v>
                </c:pt>
                <c:pt idx="552">
                  <c:v>-1.5525544578973625E-2</c:v>
                </c:pt>
                <c:pt idx="553">
                  <c:v>4.3756850060188306E-2</c:v>
                </c:pt>
                <c:pt idx="554">
                  <c:v>-3.6146390471978973E-3</c:v>
                </c:pt>
                <c:pt idx="555">
                  <c:v>1.3522223592736292E-2</c:v>
                </c:pt>
                <c:pt idx="556">
                  <c:v>-1.2362354471106018E-2</c:v>
                </c:pt>
                <c:pt idx="557">
                  <c:v>-1.9017407151194991E-2</c:v>
                </c:pt>
                <c:pt idx="558">
                  <c:v>8.9217089331212866E-4</c:v>
                </c:pt>
                <c:pt idx="559">
                  <c:v>-1.4413296351216241E-2</c:v>
                </c:pt>
                <c:pt idx="560">
                  <c:v>-5.347560659382692E-3</c:v>
                </c:pt>
                <c:pt idx="561">
                  <c:v>-3.9193127242547726E-2</c:v>
                </c:pt>
                <c:pt idx="562">
                  <c:v>1.4807106427640342E-2</c:v>
                </c:pt>
                <c:pt idx="563">
                  <c:v>-1.3125386183432839E-2</c:v>
                </c:pt>
                <c:pt idx="564">
                  <c:v>1.3663628359032869E-4</c:v>
                </c:pt>
                <c:pt idx="565">
                  <c:v>-5.8782185104856669E-3</c:v>
                </c:pt>
                <c:pt idx="566">
                  <c:v>3.2658774414796504E-2</c:v>
                </c:pt>
                <c:pt idx="567">
                  <c:v>-1.2591963398202052E-2</c:v>
                </c:pt>
                <c:pt idx="568">
                  <c:v>-1.7382551149654618E-2</c:v>
                </c:pt>
                <c:pt idx="569">
                  <c:v>2.5625368585116368E-2</c:v>
                </c:pt>
                <c:pt idx="570">
                  <c:v>3.8341246216162445E-3</c:v>
                </c:pt>
                <c:pt idx="571">
                  <c:v>-3.4628765238351719E-2</c:v>
                </c:pt>
                <c:pt idx="572">
                  <c:v>-1.3749337731267177E-2</c:v>
                </c:pt>
                <c:pt idx="573">
                  <c:v>1.0758742734386593E-2</c:v>
                </c:pt>
                <c:pt idx="574">
                  <c:v>-6.1589161479965555E-3</c:v>
                </c:pt>
                <c:pt idx="575">
                  <c:v>2.9289471523018907E-2</c:v>
                </c:pt>
                <c:pt idx="576">
                  <c:v>4.1623729382612882E-3</c:v>
                </c:pt>
                <c:pt idx="577">
                  <c:v>-2.0219869250794184E-3</c:v>
                </c:pt>
                <c:pt idx="578">
                  <c:v>2.3276917069841193E-2</c:v>
                </c:pt>
                <c:pt idx="579">
                  <c:v>-7.7323569594080059E-4</c:v>
                </c:pt>
                <c:pt idx="580">
                  <c:v>1.0656633967796563E-3</c:v>
                </c:pt>
                <c:pt idx="581">
                  <c:v>1.0998605288345135E-3</c:v>
                </c:pt>
                <c:pt idx="582">
                  <c:v>-4.0740853158773736E-3</c:v>
                </c:pt>
                <c:pt idx="583">
                  <c:v>-1.6288083482898466E-2</c:v>
                </c:pt>
                <c:pt idx="584">
                  <c:v>-3.2027527345343883E-3</c:v>
                </c:pt>
                <c:pt idx="585">
                  <c:v>-1.702071035667568E-2</c:v>
                </c:pt>
                <c:pt idx="586">
                  <c:v>2.6420017453960306E-3</c:v>
                </c:pt>
                <c:pt idx="587">
                  <c:v>-2.2511759783350282E-3</c:v>
                </c:pt>
                <c:pt idx="588">
                  <c:v>-3.123435454829427E-2</c:v>
                </c:pt>
                <c:pt idx="589">
                  <c:v>-1.0330238823459341E-2</c:v>
                </c:pt>
                <c:pt idx="590">
                  <c:v>-3.45778127672933E-3</c:v>
                </c:pt>
                <c:pt idx="591">
                  <c:v>-4.8796869377338015E-3</c:v>
                </c:pt>
                <c:pt idx="592">
                  <c:v>5.141697355037147E-3</c:v>
                </c:pt>
                <c:pt idx="593">
                  <c:v>3.111355961340042E-2</c:v>
                </c:pt>
                <c:pt idx="594">
                  <c:v>9.1954002036089433E-3</c:v>
                </c:pt>
                <c:pt idx="595">
                  <c:v>6.9866277544392502E-3</c:v>
                </c:pt>
                <c:pt idx="596">
                  <c:v>5.1556922120784068E-4</c:v>
                </c:pt>
                <c:pt idx="597">
                  <c:v>1.5161614214052356E-2</c:v>
                </c:pt>
                <c:pt idx="598">
                  <c:v>-3.7249951299115301E-4</c:v>
                </c:pt>
                <c:pt idx="599">
                  <c:v>9.7886476424286916E-4</c:v>
                </c:pt>
                <c:pt idx="600">
                  <c:v>-2.9036791673939119E-2</c:v>
                </c:pt>
                <c:pt idx="601">
                  <c:v>5.7645981112690705E-3</c:v>
                </c:pt>
                <c:pt idx="602">
                  <c:v>1.1199272865928867E-2</c:v>
                </c:pt>
                <c:pt idx="603">
                  <c:v>-1.3037099419768472E-2</c:v>
                </c:pt>
                <c:pt idx="604">
                  <c:v>2.2296002926279913E-2</c:v>
                </c:pt>
                <c:pt idx="605">
                  <c:v>8.0027332455853487E-3</c:v>
                </c:pt>
                <c:pt idx="606">
                  <c:v>1.0982892072446781E-2</c:v>
                </c:pt>
                <c:pt idx="607">
                  <c:v>-1.2666145056460041E-3</c:v>
                </c:pt>
                <c:pt idx="608">
                  <c:v>-7.139296131367566E-3</c:v>
                </c:pt>
                <c:pt idx="609">
                  <c:v>-4.3759397597633604E-3</c:v>
                </c:pt>
                <c:pt idx="610">
                  <c:v>-1.5374858812780708E-4</c:v>
                </c:pt>
                <c:pt idx="611">
                  <c:v>2.1805216146478047E-2</c:v>
                </c:pt>
                <c:pt idx="612">
                  <c:v>-5.013630031834691E-3</c:v>
                </c:pt>
                <c:pt idx="613">
                  <c:v>5.8337895987318278E-3</c:v>
                </c:pt>
                <c:pt idx="614">
                  <c:v>-1.4858817792993437E-3</c:v>
                </c:pt>
                <c:pt idx="615">
                  <c:v>-3.9212963491293291E-3</c:v>
                </c:pt>
                <c:pt idx="616">
                  <c:v>5.2657461251841408E-3</c:v>
                </c:pt>
                <c:pt idx="617">
                  <c:v>-6.1847195754587839E-3</c:v>
                </c:pt>
                <c:pt idx="618">
                  <c:v>-2.8395984589711813E-2</c:v>
                </c:pt>
                <c:pt idx="619">
                  <c:v>-5.5960587127125809E-3</c:v>
                </c:pt>
                <c:pt idx="620">
                  <c:v>-4.2408843844961219E-3</c:v>
                </c:pt>
                <c:pt idx="621">
                  <c:v>-9.6842543314500776E-5</c:v>
                </c:pt>
                <c:pt idx="622">
                  <c:v>1.197488783984762E-2</c:v>
                </c:pt>
                <c:pt idx="623">
                  <c:v>1.2654866767484361E-3</c:v>
                </c:pt>
                <c:pt idx="624">
                  <c:v>-1.7152662505132893E-2</c:v>
                </c:pt>
                <c:pt idx="625">
                  <c:v>-3.8802661708176754E-3</c:v>
                </c:pt>
                <c:pt idx="626">
                  <c:v>-4.2576440508553014E-3</c:v>
                </c:pt>
                <c:pt idx="627">
                  <c:v>-1.472973847506588E-2</c:v>
                </c:pt>
                <c:pt idx="628">
                  <c:v>3.072083304024119E-3</c:v>
                </c:pt>
                <c:pt idx="629">
                  <c:v>-7.9020965774703085E-3</c:v>
                </c:pt>
                <c:pt idx="630">
                  <c:v>1.6369476035616767E-2</c:v>
                </c:pt>
                <c:pt idx="631">
                  <c:v>-1.4936578163676835E-2</c:v>
                </c:pt>
                <c:pt idx="632">
                  <c:v>1.7358167435329886E-4</c:v>
                </c:pt>
                <c:pt idx="633">
                  <c:v>2.9287244430514819E-2</c:v>
                </c:pt>
                <c:pt idx="634">
                  <c:v>8.8635983825667407E-3</c:v>
                </c:pt>
                <c:pt idx="635">
                  <c:v>1.3001674174320493E-2</c:v>
                </c:pt>
                <c:pt idx="636">
                  <c:v>-1.1688446665069675E-2</c:v>
                </c:pt>
                <c:pt idx="637">
                  <c:v>6.221375770633383E-3</c:v>
                </c:pt>
                <c:pt idx="638">
                  <c:v>4.6149401899909176E-3</c:v>
                </c:pt>
                <c:pt idx="639">
                  <c:v>4.6460409370115896E-3</c:v>
                </c:pt>
                <c:pt idx="640">
                  <c:v>1.0913341984849586E-2</c:v>
                </c:pt>
                <c:pt idx="641">
                  <c:v>-9.3037259404105653E-4</c:v>
                </c:pt>
                <c:pt idx="642">
                  <c:v>3.3238683649943683E-3</c:v>
                </c:pt>
                <c:pt idx="643">
                  <c:v>-5.8171833162130469E-4</c:v>
                </c:pt>
                <c:pt idx="644">
                  <c:v>6.0962001692366186E-4</c:v>
                </c:pt>
                <c:pt idx="645">
                  <c:v>1.4992504519789993E-2</c:v>
                </c:pt>
                <c:pt idx="646">
                  <c:v>-2.7813766876253077E-3</c:v>
                </c:pt>
                <c:pt idx="647">
                  <c:v>-5.0427892012394927E-3</c:v>
                </c:pt>
                <c:pt idx="648">
                  <c:v>-8.5485727904010024E-3</c:v>
                </c:pt>
                <c:pt idx="649">
                  <c:v>2.0977017245110613E-2</c:v>
                </c:pt>
                <c:pt idx="650">
                  <c:v>-5.88472062666186E-3</c:v>
                </c:pt>
                <c:pt idx="651">
                  <c:v>4.6331622175465395E-3</c:v>
                </c:pt>
                <c:pt idx="652">
                  <c:v>-2.805080826489708E-3</c:v>
                </c:pt>
                <c:pt idx="653">
                  <c:v>-3.3009931545186898E-3</c:v>
                </c:pt>
                <c:pt idx="654">
                  <c:v>4.1991072231797859E-3</c:v>
                </c:pt>
                <c:pt idx="655">
                  <c:v>-8.2522630614716534E-3</c:v>
                </c:pt>
                <c:pt idx="656">
                  <c:v>2.064407033214392E-2</c:v>
                </c:pt>
                <c:pt idx="657">
                  <c:v>-8.8927588602228953E-4</c:v>
                </c:pt>
                <c:pt idx="658">
                  <c:v>-1.8638908707826682E-3</c:v>
                </c:pt>
                <c:pt idx="659">
                  <c:v>5.9050114355493144E-3</c:v>
                </c:pt>
                <c:pt idx="660">
                  <c:v>-7.1392601445764866E-5</c:v>
                </c:pt>
                <c:pt idx="661">
                  <c:v>3.6013970154205491E-3</c:v>
                </c:pt>
                <c:pt idx="662">
                  <c:v>6.9037614234487114E-3</c:v>
                </c:pt>
                <c:pt idx="663">
                  <c:v>-3.8587531449422261E-3</c:v>
                </c:pt>
                <c:pt idx="664">
                  <c:v>1.8102888220375272E-3</c:v>
                </c:pt>
                <c:pt idx="665">
                  <c:v>7.0264310667303527E-3</c:v>
                </c:pt>
                <c:pt idx="666">
                  <c:v>-1.6094599868603541E-2</c:v>
                </c:pt>
                <c:pt idx="667">
                  <c:v>1.0306762104814939E-2</c:v>
                </c:pt>
                <c:pt idx="668">
                  <c:v>1.5566409849038778E-3</c:v>
                </c:pt>
                <c:pt idx="669">
                  <c:v>2.1720074893404637E-3</c:v>
                </c:pt>
                <c:pt idx="670">
                  <c:v>1.9296419372005812E-3</c:v>
                </c:pt>
                <c:pt idx="671">
                  <c:v>-2.0042775105430212E-4</c:v>
                </c:pt>
                <c:pt idx="672">
                  <c:v>-2.9078265714181776E-3</c:v>
                </c:pt>
                <c:pt idx="673">
                  <c:v>9.0748672662482009E-4</c:v>
                </c:pt>
                <c:pt idx="674">
                  <c:v>-6.5656737276381834E-4</c:v>
                </c:pt>
                <c:pt idx="675">
                  <c:v>7.2924096959421257E-4</c:v>
                </c:pt>
                <c:pt idx="676">
                  <c:v>7.5420374352254023E-3</c:v>
                </c:pt>
                <c:pt idx="677">
                  <c:v>3.4607449434257229E-3</c:v>
                </c:pt>
                <c:pt idx="678">
                  <c:v>1.9065484164927128E-2</c:v>
                </c:pt>
                <c:pt idx="679">
                  <c:v>3.7055245930804068E-3</c:v>
                </c:pt>
                <c:pt idx="680">
                  <c:v>-2.338273843379451E-3</c:v>
                </c:pt>
                <c:pt idx="681">
                  <c:v>-8.2696162026116467E-3</c:v>
                </c:pt>
                <c:pt idx="682">
                  <c:v>4.158836617186459E-3</c:v>
                </c:pt>
                <c:pt idx="683">
                  <c:v>-4.4594870752285715E-3</c:v>
                </c:pt>
                <c:pt idx="684">
                  <c:v>-1.2025724797060397E-2</c:v>
                </c:pt>
                <c:pt idx="685">
                  <c:v>-1.4347647288521471E-3</c:v>
                </c:pt>
                <c:pt idx="686">
                  <c:v>-1.6422681659366157E-2</c:v>
                </c:pt>
                <c:pt idx="687">
                  <c:v>-5.1336891146790508E-6</c:v>
                </c:pt>
                <c:pt idx="688">
                  <c:v>1.5140037200916376E-2</c:v>
                </c:pt>
                <c:pt idx="689">
                  <c:v>2.3230438767351913E-3</c:v>
                </c:pt>
                <c:pt idx="690">
                  <c:v>-1.7926510170614923E-3</c:v>
                </c:pt>
                <c:pt idx="691">
                  <c:v>-1.4501341175947056E-2</c:v>
                </c:pt>
                <c:pt idx="692">
                  <c:v>1.4705674819801893E-2</c:v>
                </c:pt>
                <c:pt idx="693">
                  <c:v>-7.6858992243027478E-3</c:v>
                </c:pt>
                <c:pt idx="694">
                  <c:v>-1.5961430395245758E-3</c:v>
                </c:pt>
                <c:pt idx="695">
                  <c:v>-6.287546444440243E-3</c:v>
                </c:pt>
                <c:pt idx="696">
                  <c:v>2.1399746341422141E-2</c:v>
                </c:pt>
                <c:pt idx="697">
                  <c:v>1.2601196559980578E-2</c:v>
                </c:pt>
                <c:pt idx="698">
                  <c:v>2.3859960297679763E-3</c:v>
                </c:pt>
                <c:pt idx="699">
                  <c:v>-1.5155630907118154E-3</c:v>
                </c:pt>
                <c:pt idx="700">
                  <c:v>2.9777963626496527E-4</c:v>
                </c:pt>
                <c:pt idx="701">
                  <c:v>3.4844399034722369E-3</c:v>
                </c:pt>
                <c:pt idx="702">
                  <c:v>3.6254754440737365E-3</c:v>
                </c:pt>
                <c:pt idx="703">
                  <c:v>5.7843254977070482E-3</c:v>
                </c:pt>
                <c:pt idx="704">
                  <c:v>-1.6892506924242036E-4</c:v>
                </c:pt>
                <c:pt idx="705">
                  <c:v>6.9365582632085142E-4</c:v>
                </c:pt>
                <c:pt idx="706">
                  <c:v>-5.3397604996798034E-3</c:v>
                </c:pt>
                <c:pt idx="707">
                  <c:v>5.9677863777100942E-3</c:v>
                </c:pt>
                <c:pt idx="708">
                  <c:v>6.1947639061430261E-4</c:v>
                </c:pt>
                <c:pt idx="709">
                  <c:v>2.3311193198687985E-3</c:v>
                </c:pt>
                <c:pt idx="710">
                  <c:v>5.8127897192445368E-3</c:v>
                </c:pt>
                <c:pt idx="711">
                  <c:v>3.162266645087607E-3</c:v>
                </c:pt>
                <c:pt idx="712">
                  <c:v>-1.861667570538972E-3</c:v>
                </c:pt>
                <c:pt idx="713">
                  <c:v>3.9538515351790753E-4</c:v>
                </c:pt>
                <c:pt idx="714">
                  <c:v>5.5405067117842983E-4</c:v>
                </c:pt>
                <c:pt idx="715">
                  <c:v>7.9183328171272599E-4</c:v>
                </c:pt>
                <c:pt idx="716">
                  <c:v>-1.7254964067264524E-3</c:v>
                </c:pt>
                <c:pt idx="717">
                  <c:v>-4.0809377666984334E-4</c:v>
                </c:pt>
                <c:pt idx="718">
                  <c:v>1.1097547113146443E-2</c:v>
                </c:pt>
                <c:pt idx="719">
                  <c:v>-1.5303238371092707E-3</c:v>
                </c:pt>
                <c:pt idx="720">
                  <c:v>4.789788936037544E-3</c:v>
                </c:pt>
                <c:pt idx="721">
                  <c:v>-2.3401893366401878E-3</c:v>
                </c:pt>
                <c:pt idx="722">
                  <c:v>-2.0620977555422856E-3</c:v>
                </c:pt>
                <c:pt idx="723">
                  <c:v>-1.5936237349399242E-3</c:v>
                </c:pt>
                <c:pt idx="724">
                  <c:v>3.5078461823255976E-3</c:v>
                </c:pt>
                <c:pt idx="725">
                  <c:v>8.7902986922260111E-3</c:v>
                </c:pt>
                <c:pt idx="726">
                  <c:v>-1.9280807235583564E-3</c:v>
                </c:pt>
                <c:pt idx="727">
                  <c:v>7.1672612989733099E-3</c:v>
                </c:pt>
                <c:pt idx="728">
                  <c:v>1.1590914244527582E-3</c:v>
                </c:pt>
                <c:pt idx="729">
                  <c:v>-1.0332970451515516E-2</c:v>
                </c:pt>
                <c:pt idx="730">
                  <c:v>-1.5122291634075255E-3</c:v>
                </c:pt>
                <c:pt idx="731">
                  <c:v>2.1962756808289394E-3</c:v>
                </c:pt>
                <c:pt idx="732">
                  <c:v>5.6189912781084836E-3</c:v>
                </c:pt>
                <c:pt idx="733">
                  <c:v>4.6097816544906515E-5</c:v>
                </c:pt>
                <c:pt idx="734">
                  <c:v>4.0036486196174366E-3</c:v>
                </c:pt>
                <c:pt idx="735">
                  <c:v>2.0269828389078278E-3</c:v>
                </c:pt>
                <c:pt idx="736">
                  <c:v>-1.8069767436618544E-2</c:v>
                </c:pt>
                <c:pt idx="737">
                  <c:v>7.4452384988814187E-3</c:v>
                </c:pt>
                <c:pt idx="738">
                  <c:v>1.6476324561691697E-2</c:v>
                </c:pt>
                <c:pt idx="739">
                  <c:v>-2.9398625042328648E-3</c:v>
                </c:pt>
                <c:pt idx="740">
                  <c:v>2.1369437542479615E-3</c:v>
                </c:pt>
                <c:pt idx="741">
                  <c:v>2.6669510086494378E-3</c:v>
                </c:pt>
                <c:pt idx="742">
                  <c:v>6.0228340379791852E-3</c:v>
                </c:pt>
                <c:pt idx="743">
                  <c:v>3.967533428972431E-3</c:v>
                </c:pt>
                <c:pt idx="744">
                  <c:v>-3.0031062967890423E-3</c:v>
                </c:pt>
                <c:pt idx="745">
                  <c:v>5.3220377080208619E-4</c:v>
                </c:pt>
                <c:pt idx="746">
                  <c:v>5.2900528744735664E-3</c:v>
                </c:pt>
                <c:pt idx="747">
                  <c:v>2.167686321488743E-3</c:v>
                </c:pt>
                <c:pt idx="748">
                  <c:v>-3.4522551308212423E-3</c:v>
                </c:pt>
                <c:pt idx="749">
                  <c:v>6.0401864385718441E-3</c:v>
                </c:pt>
                <c:pt idx="750">
                  <c:v>2.8583140698747356E-3</c:v>
                </c:pt>
                <c:pt idx="751">
                  <c:v>1.7074589266011023E-3</c:v>
                </c:pt>
                <c:pt idx="752">
                  <c:v>-2.074581086972312E-2</c:v>
                </c:pt>
                <c:pt idx="753">
                  <c:v>-6.329319915711837E-3</c:v>
                </c:pt>
                <c:pt idx="754">
                  <c:v>-1.2116364735834579E-3</c:v>
                </c:pt>
                <c:pt idx="755">
                  <c:v>1.0333197274303645E-2</c:v>
                </c:pt>
                <c:pt idx="756">
                  <c:v>5.3438150538983615E-3</c:v>
                </c:pt>
                <c:pt idx="757">
                  <c:v>-1.5956962932617034E-2</c:v>
                </c:pt>
                <c:pt idx="758">
                  <c:v>1.3979155203958096E-3</c:v>
                </c:pt>
                <c:pt idx="759">
                  <c:v>1.7001681763024811E-2</c:v>
                </c:pt>
                <c:pt idx="760">
                  <c:v>-7.5953742049307202E-3</c:v>
                </c:pt>
                <c:pt idx="761">
                  <c:v>-8.5585144406727202E-3</c:v>
                </c:pt>
                <c:pt idx="762">
                  <c:v>8.7054820932440935E-3</c:v>
                </c:pt>
                <c:pt idx="763">
                  <c:v>-1.5790553494360131E-3</c:v>
                </c:pt>
                <c:pt idx="764">
                  <c:v>-1.9088222760397081E-2</c:v>
                </c:pt>
                <c:pt idx="765">
                  <c:v>6.8631830880680157E-3</c:v>
                </c:pt>
                <c:pt idx="766">
                  <c:v>-6.2666111266665193E-3</c:v>
                </c:pt>
                <c:pt idx="767">
                  <c:v>-1.1417629795364041E-2</c:v>
                </c:pt>
                <c:pt idx="768">
                  <c:v>-1.9712253149170557E-2</c:v>
                </c:pt>
                <c:pt idx="769">
                  <c:v>1.3180959436672433E-2</c:v>
                </c:pt>
                <c:pt idx="770">
                  <c:v>4.0929129028794082E-3</c:v>
                </c:pt>
                <c:pt idx="771">
                  <c:v>1.4768514993260281E-2</c:v>
                </c:pt>
                <c:pt idx="772">
                  <c:v>-3.7678749754085738E-3</c:v>
                </c:pt>
                <c:pt idx="773">
                  <c:v>2.6966680527305948E-3</c:v>
                </c:pt>
                <c:pt idx="774">
                  <c:v>9.1234559385771196E-3</c:v>
                </c:pt>
                <c:pt idx="775">
                  <c:v>2.9438292260633818E-3</c:v>
                </c:pt>
                <c:pt idx="776">
                  <c:v>-2.9650511672718767E-3</c:v>
                </c:pt>
                <c:pt idx="777">
                  <c:v>6.8427481640282294E-3</c:v>
                </c:pt>
                <c:pt idx="778">
                  <c:v>6.4673575333677813E-3</c:v>
                </c:pt>
                <c:pt idx="779">
                  <c:v>-2.0467576617927081E-3</c:v>
                </c:pt>
                <c:pt idx="780">
                  <c:v>4.7456323199758866E-3</c:v>
                </c:pt>
                <c:pt idx="781">
                  <c:v>1.2794251575238465E-4</c:v>
                </c:pt>
                <c:pt idx="782">
                  <c:v>-3.9735913405285396E-4</c:v>
                </c:pt>
                <c:pt idx="783">
                  <c:v>1.9663553140556096E-3</c:v>
                </c:pt>
                <c:pt idx="784">
                  <c:v>-1.7372809880845149E-3</c:v>
                </c:pt>
                <c:pt idx="785">
                  <c:v>-4.2217659701126392E-3</c:v>
                </c:pt>
                <c:pt idx="786">
                  <c:v>-3.0106136828585003E-3</c:v>
                </c:pt>
                <c:pt idx="787">
                  <c:v>-7.9940508621747786E-3</c:v>
                </c:pt>
                <c:pt idx="788">
                  <c:v>-2.7060974557301085E-5</c:v>
                </c:pt>
                <c:pt idx="789">
                  <c:v>-1.3360882408441818E-4</c:v>
                </c:pt>
                <c:pt idx="790">
                  <c:v>3.7080906512744925E-3</c:v>
                </c:pt>
                <c:pt idx="791">
                  <c:v>-1.1235119064734003E-2</c:v>
                </c:pt>
                <c:pt idx="792">
                  <c:v>5.5138893641048514E-3</c:v>
                </c:pt>
                <c:pt idx="793">
                  <c:v>1.32976582608689E-2</c:v>
                </c:pt>
                <c:pt idx="794">
                  <c:v>5.0594706285263906E-3</c:v>
                </c:pt>
                <c:pt idx="795">
                  <c:v>-1.8099628202164245E-3</c:v>
                </c:pt>
                <c:pt idx="796">
                  <c:v>8.762295274425522E-3</c:v>
                </c:pt>
                <c:pt idx="797">
                  <c:v>6.0325178731292055E-3</c:v>
                </c:pt>
                <c:pt idx="798">
                  <c:v>3.3381671970405162E-3</c:v>
                </c:pt>
                <c:pt idx="799">
                  <c:v>2.0833620287763264E-3</c:v>
                </c:pt>
                <c:pt idx="800">
                  <c:v>-1.9699971145198491E-3</c:v>
                </c:pt>
                <c:pt idx="801">
                  <c:v>-3.5966180533245858E-3</c:v>
                </c:pt>
                <c:pt idx="802">
                  <c:v>-7.0725692252508968E-3</c:v>
                </c:pt>
                <c:pt idx="803">
                  <c:v>-9.2871537603022251E-3</c:v>
                </c:pt>
                <c:pt idx="804">
                  <c:v>3.6026420190704992E-3</c:v>
                </c:pt>
                <c:pt idx="805">
                  <c:v>4.3268013335272699E-3</c:v>
                </c:pt>
                <c:pt idx="806">
                  <c:v>7.8567439490219663E-3</c:v>
                </c:pt>
                <c:pt idx="807">
                  <c:v>-1.1328735154663797E-2</c:v>
                </c:pt>
                <c:pt idx="808">
                  <c:v>4.6780897037852478E-3</c:v>
                </c:pt>
                <c:pt idx="809">
                  <c:v>-8.2846231481542767E-3</c:v>
                </c:pt>
                <c:pt idx="810">
                  <c:v>-6.4216515710176962E-3</c:v>
                </c:pt>
                <c:pt idx="811">
                  <c:v>-5.8586448787349558E-4</c:v>
                </c:pt>
                <c:pt idx="812">
                  <c:v>8.5864476625851071E-3</c:v>
                </c:pt>
                <c:pt idx="813">
                  <c:v>1.960702661965076E-3</c:v>
                </c:pt>
                <c:pt idx="814">
                  <c:v>-7.9055966516214694E-3</c:v>
                </c:pt>
                <c:pt idx="815">
                  <c:v>-1.2142863026716234E-2</c:v>
                </c:pt>
                <c:pt idx="816">
                  <c:v>-1.0447026820781065E-3</c:v>
                </c:pt>
                <c:pt idx="817">
                  <c:v>2.965916735773302E-3</c:v>
                </c:pt>
                <c:pt idx="818">
                  <c:v>3.7358413355605253E-3</c:v>
                </c:pt>
                <c:pt idx="819">
                  <c:v>3.8635971609594648E-3</c:v>
                </c:pt>
                <c:pt idx="820">
                  <c:v>1.037544628195497E-2</c:v>
                </c:pt>
                <c:pt idx="821">
                  <c:v>-2.30020125896657E-2</c:v>
                </c:pt>
                <c:pt idx="822">
                  <c:v>-1.4420502803115314E-3</c:v>
                </c:pt>
                <c:pt idx="823">
                  <c:v>-9.9511762521655271E-3</c:v>
                </c:pt>
                <c:pt idx="824">
                  <c:v>-1.0977510689801174E-2</c:v>
                </c:pt>
                <c:pt idx="825">
                  <c:v>-1.1736242639349302E-3</c:v>
                </c:pt>
                <c:pt idx="826">
                  <c:v>-4.4042624906793695E-3</c:v>
                </c:pt>
                <c:pt idx="827">
                  <c:v>7.1602394657004553E-3</c:v>
                </c:pt>
                <c:pt idx="828">
                  <c:v>-1.4197125887367358E-2</c:v>
                </c:pt>
                <c:pt idx="829">
                  <c:v>4.5147871346227901E-4</c:v>
                </c:pt>
                <c:pt idx="830">
                  <c:v>1.2394451863187946E-2</c:v>
                </c:pt>
                <c:pt idx="831">
                  <c:v>-1.7649180215162333E-2</c:v>
                </c:pt>
                <c:pt idx="832">
                  <c:v>1.537061674481774E-3</c:v>
                </c:pt>
                <c:pt idx="833">
                  <c:v>2.8277319946943928E-3</c:v>
                </c:pt>
                <c:pt idx="834">
                  <c:v>5.1779059544033714E-3</c:v>
                </c:pt>
                <c:pt idx="835">
                  <c:v>1.3206152231457843E-2</c:v>
                </c:pt>
                <c:pt idx="836">
                  <c:v>-6.6857416654337873E-3</c:v>
                </c:pt>
                <c:pt idx="837">
                  <c:v>-3.0452717631420274E-3</c:v>
                </c:pt>
                <c:pt idx="838">
                  <c:v>-1.1943046464919225E-2</c:v>
                </c:pt>
                <c:pt idx="839">
                  <c:v>8.9671411372454005E-3</c:v>
                </c:pt>
                <c:pt idx="840">
                  <c:v>1.2727004664157509E-2</c:v>
                </c:pt>
                <c:pt idx="841">
                  <c:v>8.0654584948757699E-3</c:v>
                </c:pt>
                <c:pt idx="842">
                  <c:v>9.9019468272931715E-3</c:v>
                </c:pt>
                <c:pt idx="843">
                  <c:v>1.4192383592767154E-2</c:v>
                </c:pt>
                <c:pt idx="844">
                  <c:v>-1.5534465096842729E-3</c:v>
                </c:pt>
                <c:pt idx="845">
                  <c:v>7.8428803421667394E-4</c:v>
                </c:pt>
                <c:pt idx="846">
                  <c:v>1.0236549706414414E-2</c:v>
                </c:pt>
                <c:pt idx="847">
                  <c:v>-7.1784706507796361E-3</c:v>
                </c:pt>
                <c:pt idx="848">
                  <c:v>-1.830778621850801E-2</c:v>
                </c:pt>
                <c:pt idx="849">
                  <c:v>-4.6508276993393891E-3</c:v>
                </c:pt>
                <c:pt idx="850">
                  <c:v>2.8885771930575945E-3</c:v>
                </c:pt>
                <c:pt idx="851">
                  <c:v>-6.9334426327945578E-3</c:v>
                </c:pt>
                <c:pt idx="852">
                  <c:v>5.33711296652104E-3</c:v>
                </c:pt>
                <c:pt idx="853">
                  <c:v>-8.347130774475053E-3</c:v>
                </c:pt>
                <c:pt idx="854">
                  <c:v>1.6091380971702349E-2</c:v>
                </c:pt>
                <c:pt idx="855">
                  <c:v>-8.8811880948832785E-4</c:v>
                </c:pt>
                <c:pt idx="856">
                  <c:v>1.3328832684055396E-2</c:v>
                </c:pt>
                <c:pt idx="857">
                  <c:v>6.9057663310681159E-4</c:v>
                </c:pt>
                <c:pt idx="858">
                  <c:v>-5.860335327531995E-3</c:v>
                </c:pt>
                <c:pt idx="859">
                  <c:v>-4.3221842947512449E-3</c:v>
                </c:pt>
                <c:pt idx="860">
                  <c:v>-2.0526019177441988E-2</c:v>
                </c:pt>
                <c:pt idx="861">
                  <c:v>-3.4512856341849633E-3</c:v>
                </c:pt>
                <c:pt idx="862">
                  <c:v>-6.667818216533534E-3</c:v>
                </c:pt>
                <c:pt idx="863">
                  <c:v>-4.3495279672678506E-3</c:v>
                </c:pt>
                <c:pt idx="864">
                  <c:v>-2.5774043574601897E-2</c:v>
                </c:pt>
                <c:pt idx="865">
                  <c:v>4.7984524110172497E-3</c:v>
                </c:pt>
                <c:pt idx="866">
                  <c:v>-4.803772597024672E-2</c:v>
                </c:pt>
                <c:pt idx="867">
                  <c:v>-7.9226302259898949E-4</c:v>
                </c:pt>
                <c:pt idx="868">
                  <c:v>-6.6851724349999489E-2</c:v>
                </c:pt>
                <c:pt idx="869">
                  <c:v>4.7189488852087055E-2</c:v>
                </c:pt>
                <c:pt idx="870">
                  <c:v>-4.4369684987338807E-2</c:v>
                </c:pt>
                <c:pt idx="871">
                  <c:v>4.607272092582388E-2</c:v>
                </c:pt>
                <c:pt idx="872">
                  <c:v>5.0443353110705517E-3</c:v>
                </c:pt>
                <c:pt idx="873">
                  <c:v>2.1567384599201163E-2</c:v>
                </c:pt>
                <c:pt idx="874">
                  <c:v>-9.9558581111804795E-3</c:v>
                </c:pt>
                <c:pt idx="875">
                  <c:v>7.3008597902353433E-4</c:v>
                </c:pt>
                <c:pt idx="876">
                  <c:v>-4.4811019602120215E-2</c:v>
                </c:pt>
                <c:pt idx="877">
                  <c:v>-1.5226282666723323E-2</c:v>
                </c:pt>
                <c:pt idx="878">
                  <c:v>4.0818485798131656E-5</c:v>
                </c:pt>
                <c:pt idx="879">
                  <c:v>3.4067553324683406E-2</c:v>
                </c:pt>
                <c:pt idx="880">
                  <c:v>1.2902675907256793E-2</c:v>
                </c:pt>
                <c:pt idx="881">
                  <c:v>-1.5782853627526565E-2</c:v>
                </c:pt>
                <c:pt idx="882">
                  <c:v>1.4904288573164013E-2</c:v>
                </c:pt>
                <c:pt idx="883">
                  <c:v>2.8062785014849226E-2</c:v>
                </c:pt>
                <c:pt idx="884">
                  <c:v>2.1296557053094968E-3</c:v>
                </c:pt>
                <c:pt idx="885">
                  <c:v>4.7047098354746873E-3</c:v>
                </c:pt>
                <c:pt idx="886">
                  <c:v>-1.2088753379577342E-2</c:v>
                </c:pt>
                <c:pt idx="887">
                  <c:v>-2.5499174976815742E-2</c:v>
                </c:pt>
                <c:pt idx="888">
                  <c:v>-7.6536024304318688E-3</c:v>
                </c:pt>
                <c:pt idx="889">
                  <c:v>2.8429162536245632E-2</c:v>
                </c:pt>
                <c:pt idx="890">
                  <c:v>-1.082950059694901E-2</c:v>
                </c:pt>
                <c:pt idx="891">
                  <c:v>-2.6922752334296692E-2</c:v>
                </c:pt>
                <c:pt idx="892">
                  <c:v>6.7483861872294805E-3</c:v>
                </c:pt>
                <c:pt idx="893">
                  <c:v>8.9027874112942076E-3</c:v>
                </c:pt>
                <c:pt idx="894">
                  <c:v>1.3262458227224196E-2</c:v>
                </c:pt>
                <c:pt idx="895">
                  <c:v>1.6969835382368955E-2</c:v>
                </c:pt>
                <c:pt idx="896">
                  <c:v>5.4893802495607153E-3</c:v>
                </c:pt>
                <c:pt idx="897">
                  <c:v>-1.0019847528172941E-2</c:v>
                </c:pt>
                <c:pt idx="898">
                  <c:v>-1.8783019688817714E-3</c:v>
                </c:pt>
                <c:pt idx="899">
                  <c:v>-2.9607774812689763E-2</c:v>
                </c:pt>
                <c:pt idx="900">
                  <c:v>-3.2100460194932852E-2</c:v>
                </c:pt>
                <c:pt idx="901">
                  <c:v>5.8647176733224006E-3</c:v>
                </c:pt>
                <c:pt idx="902">
                  <c:v>2.3118940601440464E-2</c:v>
                </c:pt>
                <c:pt idx="903">
                  <c:v>1.0471039135700201E-2</c:v>
                </c:pt>
                <c:pt idx="904">
                  <c:v>-2.0908477286840817E-2</c:v>
                </c:pt>
                <c:pt idx="905">
                  <c:v>7.8969633372616577E-3</c:v>
                </c:pt>
                <c:pt idx="906">
                  <c:v>-2.5191443408224375E-2</c:v>
                </c:pt>
                <c:pt idx="907">
                  <c:v>-2.8668269675741851E-2</c:v>
                </c:pt>
                <c:pt idx="908">
                  <c:v>2.2271172638858919E-2</c:v>
                </c:pt>
                <c:pt idx="909">
                  <c:v>1.7648266852433474E-2</c:v>
                </c:pt>
                <c:pt idx="910">
                  <c:v>1.8086419249339125E-2</c:v>
                </c:pt>
                <c:pt idx="911">
                  <c:v>-8.3805969048072644E-3</c:v>
                </c:pt>
                <c:pt idx="912">
                  <c:v>3.3907640692117637E-2</c:v>
                </c:pt>
                <c:pt idx="913">
                  <c:v>3.2668656584488302E-4</c:v>
                </c:pt>
                <c:pt idx="914">
                  <c:v>9.5774405439357051E-3</c:v>
                </c:pt>
                <c:pt idx="915">
                  <c:v>-3.1909971214311443E-3</c:v>
                </c:pt>
                <c:pt idx="916">
                  <c:v>1.7163026784815433E-2</c:v>
                </c:pt>
                <c:pt idx="917">
                  <c:v>-1.9587202979203126E-2</c:v>
                </c:pt>
                <c:pt idx="918">
                  <c:v>2.0201403369406429E-2</c:v>
                </c:pt>
                <c:pt idx="919">
                  <c:v>-1.2866433972745119E-2</c:v>
                </c:pt>
                <c:pt idx="920">
                  <c:v>4.3368740992440384E-3</c:v>
                </c:pt>
                <c:pt idx="921">
                  <c:v>1.8591480867157915E-2</c:v>
                </c:pt>
                <c:pt idx="922">
                  <c:v>1.2655709696523859E-2</c:v>
                </c:pt>
                <c:pt idx="923">
                  <c:v>-2.0262106359867759E-2</c:v>
                </c:pt>
                <c:pt idx="924">
                  <c:v>1.0319296741462033E-2</c:v>
                </c:pt>
                <c:pt idx="925">
                  <c:v>3.4074168816112728E-2</c:v>
                </c:pt>
                <c:pt idx="926">
                  <c:v>1.7193268593345697E-4</c:v>
                </c:pt>
                <c:pt idx="927">
                  <c:v>-2.4954863580961564E-2</c:v>
                </c:pt>
                <c:pt idx="928">
                  <c:v>-2.8159529068492849E-2</c:v>
                </c:pt>
                <c:pt idx="929">
                  <c:v>1.5887375598442052E-2</c:v>
                </c:pt>
                <c:pt idx="930">
                  <c:v>1.8564511338167441E-2</c:v>
                </c:pt>
                <c:pt idx="931">
                  <c:v>-6.4972791179131852E-3</c:v>
                </c:pt>
                <c:pt idx="932">
                  <c:v>6.0784352666448105E-3</c:v>
                </c:pt>
                <c:pt idx="933">
                  <c:v>1.151830353918791E-2</c:v>
                </c:pt>
                <c:pt idx="934">
                  <c:v>-3.6912387163600791E-2</c:v>
                </c:pt>
                <c:pt idx="935">
                  <c:v>8.4069000042842693E-3</c:v>
                </c:pt>
                <c:pt idx="936">
                  <c:v>1.9263222918210306E-2</c:v>
                </c:pt>
                <c:pt idx="937">
                  <c:v>-9.7674805240134891E-3</c:v>
                </c:pt>
                <c:pt idx="938">
                  <c:v>4.5998438297725035E-3</c:v>
                </c:pt>
                <c:pt idx="939">
                  <c:v>-1.6833478656584144E-2</c:v>
                </c:pt>
                <c:pt idx="940">
                  <c:v>-1.701722541727841E-2</c:v>
                </c:pt>
                <c:pt idx="941">
                  <c:v>-6.1199120844075434E-4</c:v>
                </c:pt>
                <c:pt idx="942">
                  <c:v>-1.8865756234089703E-2</c:v>
                </c:pt>
                <c:pt idx="943">
                  <c:v>-4.3581874406139224E-3</c:v>
                </c:pt>
                <c:pt idx="944">
                  <c:v>-2.231251221161391E-2</c:v>
                </c:pt>
                <c:pt idx="945">
                  <c:v>-2.9028077132056346E-3</c:v>
                </c:pt>
                <c:pt idx="946">
                  <c:v>2.9023125645912324E-2</c:v>
                </c:pt>
                <c:pt idx="947">
                  <c:v>1.9964470962376387E-3</c:v>
                </c:pt>
                <c:pt idx="948">
                  <c:v>4.3097992220227498E-2</c:v>
                </c:pt>
                <c:pt idx="949">
                  <c:v>-2.1259383792078708E-3</c:v>
                </c:pt>
                <c:pt idx="950">
                  <c:v>-4.5834173417438055E-4</c:v>
                </c:pt>
                <c:pt idx="951">
                  <c:v>1.0069777086708732E-2</c:v>
                </c:pt>
                <c:pt idx="952">
                  <c:v>8.8844054272789702E-4</c:v>
                </c:pt>
                <c:pt idx="953">
                  <c:v>1.801027275366735E-3</c:v>
                </c:pt>
                <c:pt idx="954">
                  <c:v>-2.1359079736114301E-2</c:v>
                </c:pt>
                <c:pt idx="955">
                  <c:v>1.6666083354246099E-2</c:v>
                </c:pt>
                <c:pt idx="956">
                  <c:v>-1.5131373315629387E-2</c:v>
                </c:pt>
                <c:pt idx="957">
                  <c:v>-8.903314015219474E-3</c:v>
                </c:pt>
                <c:pt idx="958">
                  <c:v>-1.1565635919263805E-2</c:v>
                </c:pt>
                <c:pt idx="959">
                  <c:v>3.0257593370818254E-3</c:v>
                </c:pt>
                <c:pt idx="960">
                  <c:v>2.9988251732450118E-3</c:v>
                </c:pt>
                <c:pt idx="961">
                  <c:v>-1.1950074549617112E-2</c:v>
                </c:pt>
                <c:pt idx="962">
                  <c:v>2.9608065365761514E-2</c:v>
                </c:pt>
                <c:pt idx="963">
                  <c:v>1.732272437932509E-3</c:v>
                </c:pt>
                <c:pt idx="964">
                  <c:v>8.0482294403280766E-3</c:v>
                </c:pt>
                <c:pt idx="965">
                  <c:v>8.817791156989073E-3</c:v>
                </c:pt>
                <c:pt idx="966">
                  <c:v>-1.3826579563170548E-4</c:v>
                </c:pt>
                <c:pt idx="967">
                  <c:v>-1.2695268476994301E-2</c:v>
                </c:pt>
                <c:pt idx="968">
                  <c:v>1.0489787077779172E-2</c:v>
                </c:pt>
                <c:pt idx="969">
                  <c:v>-4.5085983627557212E-3</c:v>
                </c:pt>
                <c:pt idx="970">
                  <c:v>1.5256622012754441E-2</c:v>
                </c:pt>
                <c:pt idx="971">
                  <c:v>-2.9364906787897573E-5</c:v>
                </c:pt>
                <c:pt idx="972">
                  <c:v>2.7264128246790053E-3</c:v>
                </c:pt>
                <c:pt idx="973">
                  <c:v>-2.7542581410018182E-3</c:v>
                </c:pt>
                <c:pt idx="974">
                  <c:v>2.0443855344031711E-3</c:v>
                </c:pt>
                <c:pt idx="975">
                  <c:v>8.6684690346300018E-3</c:v>
                </c:pt>
                <c:pt idx="976">
                  <c:v>9.2281791972295652E-5</c:v>
                </c:pt>
                <c:pt idx="977">
                  <c:v>2.1192966538334367E-3</c:v>
                </c:pt>
                <c:pt idx="978">
                  <c:v>-5.1651931273419792E-3</c:v>
                </c:pt>
                <c:pt idx="979">
                  <c:v>3.335597339590617E-3</c:v>
                </c:pt>
                <c:pt idx="980">
                  <c:v>1.0890636681872111E-2</c:v>
                </c:pt>
                <c:pt idx="981">
                  <c:v>4.7213903279999924E-3</c:v>
                </c:pt>
                <c:pt idx="982">
                  <c:v>4.5215950463643371E-4</c:v>
                </c:pt>
                <c:pt idx="983">
                  <c:v>2.5405012077860388E-4</c:v>
                </c:pt>
                <c:pt idx="984">
                  <c:v>-1.2431324285705713E-3</c:v>
                </c:pt>
                <c:pt idx="985">
                  <c:v>8.4618195522460325E-3</c:v>
                </c:pt>
                <c:pt idx="986">
                  <c:v>-5.9711840183820511E-3</c:v>
                </c:pt>
                <c:pt idx="987">
                  <c:v>-1.8101001241213285E-3</c:v>
                </c:pt>
                <c:pt idx="988">
                  <c:v>-2.7394604573810779E-3</c:v>
                </c:pt>
                <c:pt idx="989">
                  <c:v>-6.7426185579513279E-4</c:v>
                </c:pt>
                <c:pt idx="990">
                  <c:v>8.6823613189931648E-3</c:v>
                </c:pt>
                <c:pt idx="991">
                  <c:v>8.7779516106310535E-4</c:v>
                </c:pt>
                <c:pt idx="992">
                  <c:v>1.4388071815861233E-2</c:v>
                </c:pt>
                <c:pt idx="993">
                  <c:v>-6.4111989489895669E-4</c:v>
                </c:pt>
                <c:pt idx="994">
                  <c:v>1.8060161659643908E-3</c:v>
                </c:pt>
                <c:pt idx="995">
                  <c:v>1.9429795967049694E-3</c:v>
                </c:pt>
                <c:pt idx="996">
                  <c:v>1.2568211893279125E-3</c:v>
                </c:pt>
                <c:pt idx="997">
                  <c:v>-7.1036459095483468E-3</c:v>
                </c:pt>
                <c:pt idx="998">
                  <c:v>6.5827391881526044E-3</c:v>
                </c:pt>
                <c:pt idx="999">
                  <c:v>-1.1568055024395207E-3</c:v>
                </c:pt>
                <c:pt idx="1000">
                  <c:v>-5.6004879728978442E-3</c:v>
                </c:pt>
                <c:pt idx="1001">
                  <c:v>1.0808365461320437E-2</c:v>
                </c:pt>
                <c:pt idx="1002">
                  <c:v>2.1316769583529581E-3</c:v>
                </c:pt>
                <c:pt idx="1003">
                  <c:v>5.0264055338766008E-4</c:v>
                </c:pt>
                <c:pt idx="1004">
                  <c:v>-3.5574570368321909E-3</c:v>
                </c:pt>
                <c:pt idx="1005">
                  <c:v>4.0547597699094979E-3</c:v>
                </c:pt>
                <c:pt idx="1006">
                  <c:v>1.4549197109955077E-3</c:v>
                </c:pt>
                <c:pt idx="1007">
                  <c:v>1.1372804435631015E-3</c:v>
                </c:pt>
                <c:pt idx="1008">
                  <c:v>3.1389724949375166E-3</c:v>
                </c:pt>
                <c:pt idx="1009">
                  <c:v>-4.954284421044907E-3</c:v>
                </c:pt>
                <c:pt idx="1010">
                  <c:v>5.9408078252486743E-3</c:v>
                </c:pt>
                <c:pt idx="1011">
                  <c:v>-3.4630810451305315E-3</c:v>
                </c:pt>
                <c:pt idx="1012">
                  <c:v>-4.0869547911739036E-3</c:v>
                </c:pt>
                <c:pt idx="1013">
                  <c:v>-1.5587478263217313E-2</c:v>
                </c:pt>
                <c:pt idx="1014">
                  <c:v>6.6833108698013564E-3</c:v>
                </c:pt>
                <c:pt idx="1015">
                  <c:v>9.600613730971326E-3</c:v>
                </c:pt>
                <c:pt idx="1016">
                  <c:v>3.4139822188696749E-3</c:v>
                </c:pt>
                <c:pt idx="1017">
                  <c:v>-5.6814532649176063E-5</c:v>
                </c:pt>
                <c:pt idx="1018">
                  <c:v>1.7914262999791056E-2</c:v>
                </c:pt>
                <c:pt idx="1019">
                  <c:v>-1.4136144820054372E-3</c:v>
                </c:pt>
                <c:pt idx="1020">
                  <c:v>5.749941008336608E-3</c:v>
                </c:pt>
                <c:pt idx="1021">
                  <c:v>9.0205321667271784E-4</c:v>
                </c:pt>
                <c:pt idx="1022">
                  <c:v>3.7565812445090902E-3</c:v>
                </c:pt>
                <c:pt idx="1023">
                  <c:v>-3.2178285715306664E-3</c:v>
                </c:pt>
                <c:pt idx="1024">
                  <c:v>-2.0884901419096057E-3</c:v>
                </c:pt>
                <c:pt idx="1025">
                  <c:v>-7.4238487510053649E-3</c:v>
                </c:pt>
                <c:pt idx="1026">
                  <c:v>2.8915935710930869E-3</c:v>
                </c:pt>
                <c:pt idx="1027">
                  <c:v>1.3668510568124365E-2</c:v>
                </c:pt>
                <c:pt idx="1028">
                  <c:v>-3.034078653505141E-3</c:v>
                </c:pt>
                <c:pt idx="1029">
                  <c:v>-5.1588195141965805E-3</c:v>
                </c:pt>
                <c:pt idx="1030">
                  <c:v>-1.8252194958436152E-3</c:v>
                </c:pt>
                <c:pt idx="1031">
                  <c:v>3.4811812895806852E-3</c:v>
                </c:pt>
                <c:pt idx="1032">
                  <c:v>7.287300624709365E-3</c:v>
                </c:pt>
                <c:pt idx="1033">
                  <c:v>-4.2059085817025658E-3</c:v>
                </c:pt>
                <c:pt idx="1034">
                  <c:v>-1.0419789876209186E-2</c:v>
                </c:pt>
                <c:pt idx="1035">
                  <c:v>-8.4633527678278195E-4</c:v>
                </c:pt>
                <c:pt idx="1036">
                  <c:v>-1.1575730986662572E-2</c:v>
                </c:pt>
                <c:pt idx="1037">
                  <c:v>-1.7298760894533163E-2</c:v>
                </c:pt>
                <c:pt idx="1038">
                  <c:v>7.2316026640946718E-3</c:v>
                </c:pt>
                <c:pt idx="1039">
                  <c:v>1.3562101557087924E-2</c:v>
                </c:pt>
                <c:pt idx="1040">
                  <c:v>-1.2692342866279424E-2</c:v>
                </c:pt>
                <c:pt idx="1041">
                  <c:v>-7.2085063233967822E-4</c:v>
                </c:pt>
                <c:pt idx="1042">
                  <c:v>1.5269316024123066E-2</c:v>
                </c:pt>
                <c:pt idx="1043">
                  <c:v>-4.2725748953309304E-3</c:v>
                </c:pt>
                <c:pt idx="1044">
                  <c:v>-6.1517147438648282E-3</c:v>
                </c:pt>
                <c:pt idx="1045">
                  <c:v>9.519797936156447E-4</c:v>
                </c:pt>
                <c:pt idx="1046">
                  <c:v>-8.6248031091380409E-3</c:v>
                </c:pt>
                <c:pt idx="1047">
                  <c:v>3.4624552921979743E-3</c:v>
                </c:pt>
                <c:pt idx="1048">
                  <c:v>1.3427316658096522E-2</c:v>
                </c:pt>
                <c:pt idx="1049">
                  <c:v>6.462840635772355E-3</c:v>
                </c:pt>
                <c:pt idx="1050">
                  <c:v>2.1970236422651779E-3</c:v>
                </c:pt>
                <c:pt idx="1051">
                  <c:v>-4.1008332171945903E-3</c:v>
                </c:pt>
                <c:pt idx="1052">
                  <c:v>5.4411506910905455E-3</c:v>
                </c:pt>
                <c:pt idx="1053">
                  <c:v>-2.7140600170900129E-3</c:v>
                </c:pt>
                <c:pt idx="1054">
                  <c:v>-7.8760881276549247E-3</c:v>
                </c:pt>
                <c:pt idx="1055">
                  <c:v>-1.6364525950697827E-2</c:v>
                </c:pt>
                <c:pt idx="1056">
                  <c:v>1.3329871926266251E-4</c:v>
                </c:pt>
                <c:pt idx="1057">
                  <c:v>-4.495980538418637E-3</c:v>
                </c:pt>
                <c:pt idx="1058">
                  <c:v>-6.919552157299347E-3</c:v>
                </c:pt>
                <c:pt idx="1059">
                  <c:v>2.3000889003434574E-3</c:v>
                </c:pt>
                <c:pt idx="1060">
                  <c:v>-3.6046558212138782E-3</c:v>
                </c:pt>
                <c:pt idx="1061">
                  <c:v>-1.1330131739161375E-2</c:v>
                </c:pt>
                <c:pt idx="1062">
                  <c:v>-5.9631776845866045E-3</c:v>
                </c:pt>
                <c:pt idx="1063">
                  <c:v>-4.6211262408145763E-3</c:v>
                </c:pt>
                <c:pt idx="1064">
                  <c:v>-1.5268625064724633E-2</c:v>
                </c:pt>
                <c:pt idx="1065">
                  <c:v>-7.6050622996296519E-3</c:v>
                </c:pt>
                <c:pt idx="1066">
                  <c:v>1.5818589233154146E-2</c:v>
                </c:pt>
                <c:pt idx="1067">
                  <c:v>2.6902932162611528E-4</c:v>
                </c:pt>
                <c:pt idx="1068">
                  <c:v>1.4764214905986295E-3</c:v>
                </c:pt>
                <c:pt idx="1069">
                  <c:v>1.1626831171109324E-3</c:v>
                </c:pt>
                <c:pt idx="1070">
                  <c:v>-2.38284764205597E-3</c:v>
                </c:pt>
                <c:pt idx="1071">
                  <c:v>1.0861606474524386E-2</c:v>
                </c:pt>
                <c:pt idx="1072">
                  <c:v>-1.4552115913564784E-2</c:v>
                </c:pt>
                <c:pt idx="1073">
                  <c:v>-2.4939694219321133E-3</c:v>
                </c:pt>
                <c:pt idx="1074">
                  <c:v>-2.4859943834370412E-2</c:v>
                </c:pt>
                <c:pt idx="1075">
                  <c:v>-1.0775382499265708E-4</c:v>
                </c:pt>
                <c:pt idx="1076">
                  <c:v>5.5095963635698108E-3</c:v>
                </c:pt>
                <c:pt idx="1077">
                  <c:v>2.2832100559433341E-2</c:v>
                </c:pt>
                <c:pt idx="1078">
                  <c:v>-3.2374991673040889E-4</c:v>
                </c:pt>
                <c:pt idx="1079">
                  <c:v>7.89683358316722E-3</c:v>
                </c:pt>
                <c:pt idx="1080">
                  <c:v>-1.2837425403791907E-2</c:v>
                </c:pt>
                <c:pt idx="1081">
                  <c:v>1.1433441063079502E-2</c:v>
                </c:pt>
                <c:pt idx="1082">
                  <c:v>-7.2405109289360664E-3</c:v>
                </c:pt>
                <c:pt idx="1083">
                  <c:v>1.059737854112232E-2</c:v>
                </c:pt>
                <c:pt idx="1084">
                  <c:v>1.0120526024403642E-2</c:v>
                </c:pt>
                <c:pt idx="1085">
                  <c:v>1.227402731724368E-3</c:v>
                </c:pt>
                <c:pt idx="1086">
                  <c:v>9.5984353789749042E-3</c:v>
                </c:pt>
                <c:pt idx="1087">
                  <c:v>-1.903624785110687E-3</c:v>
                </c:pt>
                <c:pt idx="1088">
                  <c:v>-2.2479023063205397E-2</c:v>
                </c:pt>
                <c:pt idx="1089">
                  <c:v>6.9573003852808112E-3</c:v>
                </c:pt>
                <c:pt idx="1090">
                  <c:v>-1.6172113718606461E-2</c:v>
                </c:pt>
                <c:pt idx="1091">
                  <c:v>4.5554099504941641E-3</c:v>
                </c:pt>
                <c:pt idx="1092">
                  <c:v>8.7676199900889509E-3</c:v>
                </c:pt>
                <c:pt idx="1093">
                  <c:v>-2.3271437673247526E-3</c:v>
                </c:pt>
                <c:pt idx="1094">
                  <c:v>2.4702946620740247E-2</c:v>
                </c:pt>
                <c:pt idx="1095">
                  <c:v>2.2420327382135265E-3</c:v>
                </c:pt>
                <c:pt idx="1096">
                  <c:v>6.0148071937966051E-3</c:v>
                </c:pt>
                <c:pt idx="1097">
                  <c:v>-4.9042734622087372E-3</c:v>
                </c:pt>
                <c:pt idx="1098">
                  <c:v>-9.6500171344146447E-3</c:v>
                </c:pt>
                <c:pt idx="1099">
                  <c:v>-1.8560599603072243E-3</c:v>
                </c:pt>
                <c:pt idx="1100">
                  <c:v>-8.3432300464787602E-3</c:v>
                </c:pt>
                <c:pt idx="1101">
                  <c:v>-2.3220558002854056E-4</c:v>
                </c:pt>
                <c:pt idx="1102">
                  <c:v>-5.2044373428078872E-3</c:v>
                </c:pt>
                <c:pt idx="1103">
                  <c:v>1.628005127550437E-2</c:v>
                </c:pt>
                <c:pt idx="1104">
                  <c:v>-2.5315995443696399E-3</c:v>
                </c:pt>
                <c:pt idx="1105">
                  <c:v>7.1923544527317538E-3</c:v>
                </c:pt>
                <c:pt idx="1106">
                  <c:v>6.4632053186444299E-3</c:v>
                </c:pt>
                <c:pt idx="1107">
                  <c:v>2.4998176147621714E-3</c:v>
                </c:pt>
                <c:pt idx="1108">
                  <c:v>-1.0278974283502627E-2</c:v>
                </c:pt>
                <c:pt idx="1109">
                  <c:v>-9.1263421055848264E-3</c:v>
                </c:pt>
                <c:pt idx="1110">
                  <c:v>-9.2582585621314648E-3</c:v>
                </c:pt>
                <c:pt idx="1111">
                  <c:v>-5.3112519693044907E-4</c:v>
                </c:pt>
                <c:pt idx="1112">
                  <c:v>1.6323674668509508E-2</c:v>
                </c:pt>
                <c:pt idx="1113">
                  <c:v>1.8863305193547359E-2</c:v>
                </c:pt>
                <c:pt idx="1114">
                  <c:v>-7.0071250926329173E-4</c:v>
                </c:pt>
                <c:pt idx="1115">
                  <c:v>-4.5340510559206647E-3</c:v>
                </c:pt>
                <c:pt idx="1116">
                  <c:v>-3.1172762624512721E-3</c:v>
                </c:pt>
                <c:pt idx="1117">
                  <c:v>-7.7210047902124979E-3</c:v>
                </c:pt>
                <c:pt idx="1118">
                  <c:v>1.8822996477983866E-2</c:v>
                </c:pt>
                <c:pt idx="1119">
                  <c:v>2.1119797085482738E-3</c:v>
                </c:pt>
                <c:pt idx="1120">
                  <c:v>4.8894648759040338E-3</c:v>
                </c:pt>
                <c:pt idx="1121">
                  <c:v>4.0353335170231595E-4</c:v>
                </c:pt>
                <c:pt idx="1122">
                  <c:v>1.9633325326898167E-4</c:v>
                </c:pt>
                <c:pt idx="1123">
                  <c:v>1.9711836201829857E-3</c:v>
                </c:pt>
                <c:pt idx="1124">
                  <c:v>-1.4691904074015357E-3</c:v>
                </c:pt>
                <c:pt idx="1125">
                  <c:v>-3.4549164673988004E-4</c:v>
                </c:pt>
                <c:pt idx="1126">
                  <c:v>9.2236139784553561E-4</c:v>
                </c:pt>
                <c:pt idx="1127">
                  <c:v>6.8832277950506837E-3</c:v>
                </c:pt>
                <c:pt idx="1128">
                  <c:v>1.6548202012601411E-3</c:v>
                </c:pt>
                <c:pt idx="1129">
                  <c:v>-2.3845073391181307E-4</c:v>
                </c:pt>
                <c:pt idx="1130">
                  <c:v>-3.7148602553415469E-3</c:v>
                </c:pt>
                <c:pt idx="1131">
                  <c:v>9.1447009500244074E-6</c:v>
                </c:pt>
                <c:pt idx="1132">
                  <c:v>-8.2895149720609226E-3</c:v>
                </c:pt>
                <c:pt idx="1133">
                  <c:v>6.237399318097081E-3</c:v>
                </c:pt>
                <c:pt idx="1134">
                  <c:v>-7.0626639499645188E-4</c:v>
                </c:pt>
                <c:pt idx="1135">
                  <c:v>-1.025554978122678E-3</c:v>
                </c:pt>
                <c:pt idx="1136">
                  <c:v>6.2709427001893313E-4</c:v>
                </c:pt>
                <c:pt idx="1137">
                  <c:v>-8.0230945474065504E-3</c:v>
                </c:pt>
                <c:pt idx="1138">
                  <c:v>4.8560163824988992E-3</c:v>
                </c:pt>
                <c:pt idx="1139">
                  <c:v>-1.3832451752568903E-3</c:v>
                </c:pt>
                <c:pt idx="1140">
                  <c:v>-1.2849578147469995E-3</c:v>
                </c:pt>
                <c:pt idx="1141">
                  <c:v>2.0218204777256468E-2</c:v>
                </c:pt>
                <c:pt idx="1142">
                  <c:v>3.8326433868570982E-3</c:v>
                </c:pt>
                <c:pt idx="1143">
                  <c:v>-6.3650655619753574E-3</c:v>
                </c:pt>
                <c:pt idx="1144">
                  <c:v>2.9175874189934833E-3</c:v>
                </c:pt>
                <c:pt idx="1145">
                  <c:v>1.8753957561148903E-3</c:v>
                </c:pt>
                <c:pt idx="1146">
                  <c:v>1.60924990605677E-2</c:v>
                </c:pt>
                <c:pt idx="1147">
                  <c:v>3.7416346632471666E-3</c:v>
                </c:pt>
                <c:pt idx="1148">
                  <c:v>-3.3419341248189802E-3</c:v>
                </c:pt>
                <c:pt idx="1149">
                  <c:v>-1.4970753727308157E-3</c:v>
                </c:pt>
                <c:pt idx="1150">
                  <c:v>9.6818708760996759E-4</c:v>
                </c:pt>
                <c:pt idx="1151">
                  <c:v>-7.5800358807831167E-4</c:v>
                </c:pt>
                <c:pt idx="1152">
                  <c:v>-2.9262561330009243E-4</c:v>
                </c:pt>
                <c:pt idx="1153">
                  <c:v>-2.4499438930628628E-3</c:v>
                </c:pt>
                <c:pt idx="1154">
                  <c:v>-1.0719118937368375E-2</c:v>
                </c:pt>
                <c:pt idx="1155">
                  <c:v>-5.9540178214744005E-3</c:v>
                </c:pt>
                <c:pt idx="1156">
                  <c:v>9.4316304044533075E-3</c:v>
                </c:pt>
                <c:pt idx="1157">
                  <c:v>-4.6950632070937503E-3</c:v>
                </c:pt>
                <c:pt idx="1158">
                  <c:v>2.4342475109345265E-3</c:v>
                </c:pt>
                <c:pt idx="1159">
                  <c:v>6.5498361962355064E-4</c:v>
                </c:pt>
                <c:pt idx="1160">
                  <c:v>3.4071198305664972E-3</c:v>
                </c:pt>
                <c:pt idx="1161">
                  <c:v>6.9571153909089752E-3</c:v>
                </c:pt>
                <c:pt idx="1162">
                  <c:v>-5.3890597793802212E-4</c:v>
                </c:pt>
                <c:pt idx="1163">
                  <c:v>-3.6739987999249387E-3</c:v>
                </c:pt>
                <c:pt idx="1164">
                  <c:v>-1.0108221638551719E-2</c:v>
                </c:pt>
                <c:pt idx="1165">
                  <c:v>-6.4053810310496341E-3</c:v>
                </c:pt>
                <c:pt idx="1166">
                  <c:v>-2.1842270691369905E-5</c:v>
                </c:pt>
                <c:pt idx="1167">
                  <c:v>-3.1834337444090585E-3</c:v>
                </c:pt>
                <c:pt idx="1168">
                  <c:v>7.860598425055992E-3</c:v>
                </c:pt>
                <c:pt idx="1169">
                  <c:v>1.005260962671543E-2</c:v>
                </c:pt>
                <c:pt idx="1170">
                  <c:v>3.8997682934904586E-3</c:v>
                </c:pt>
                <c:pt idx="1171">
                  <c:v>-2.6609789246723574E-3</c:v>
                </c:pt>
                <c:pt idx="1172">
                  <c:v>-1.6788583976364919E-2</c:v>
                </c:pt>
                <c:pt idx="1173">
                  <c:v>2.2228227929591774E-4</c:v>
                </c:pt>
                <c:pt idx="1174">
                  <c:v>-1.4661229552503201E-2</c:v>
                </c:pt>
                <c:pt idx="1175">
                  <c:v>-3.3026897730287917E-3</c:v>
                </c:pt>
                <c:pt idx="1176">
                  <c:v>2.7782668804592387E-3</c:v>
                </c:pt>
                <c:pt idx="1177">
                  <c:v>-9.4625754520336048E-4</c:v>
                </c:pt>
                <c:pt idx="1178">
                  <c:v>-6.1482575879154739E-5</c:v>
                </c:pt>
                <c:pt idx="1179">
                  <c:v>1.07092273443303E-2</c:v>
                </c:pt>
                <c:pt idx="1180">
                  <c:v>-9.596740240115826E-3</c:v>
                </c:pt>
                <c:pt idx="1181">
                  <c:v>1.9464709387514976E-3</c:v>
                </c:pt>
                <c:pt idx="1182">
                  <c:v>7.6358849287369293E-3</c:v>
                </c:pt>
                <c:pt idx="1183">
                  <c:v>-2.3922307098647289E-2</c:v>
                </c:pt>
                <c:pt idx="1184">
                  <c:v>-1.2422125429382667E-2</c:v>
                </c:pt>
                <c:pt idx="1185">
                  <c:v>1.4814206883822921E-3</c:v>
                </c:pt>
                <c:pt idx="1186">
                  <c:v>-8.6847600465494334E-5</c:v>
                </c:pt>
                <c:pt idx="1187">
                  <c:v>-4.2027171691075759E-3</c:v>
                </c:pt>
                <c:pt idx="1188">
                  <c:v>-1.4069304157632667E-2</c:v>
                </c:pt>
                <c:pt idx="1189">
                  <c:v>-1.810816248916968E-3</c:v>
                </c:pt>
                <c:pt idx="1190">
                  <c:v>4.622616836492302E-3</c:v>
                </c:pt>
                <c:pt idx="1191">
                  <c:v>1.9644750088865931E-2</c:v>
                </c:pt>
                <c:pt idx="1192">
                  <c:v>4.4605813777518844E-4</c:v>
                </c:pt>
                <c:pt idx="1193">
                  <c:v>2.1029057708632356E-3</c:v>
                </c:pt>
                <c:pt idx="1194">
                  <c:v>1.2809022064895131E-2</c:v>
                </c:pt>
                <c:pt idx="1195">
                  <c:v>-2.2468888697285395E-3</c:v>
                </c:pt>
                <c:pt idx="1196">
                  <c:v>-5.443814563574915E-3</c:v>
                </c:pt>
                <c:pt idx="1197">
                  <c:v>7.6386515126618771E-3</c:v>
                </c:pt>
                <c:pt idx="1198">
                  <c:v>4.0524189554824903E-3</c:v>
                </c:pt>
                <c:pt idx="1199">
                  <c:v>-5.4861448074913316E-5</c:v>
                </c:pt>
                <c:pt idx="1200">
                  <c:v>-4.9624560759303233E-3</c:v>
                </c:pt>
                <c:pt idx="1201">
                  <c:v>-1.927171266096439E-3</c:v>
                </c:pt>
                <c:pt idx="1202">
                  <c:v>1.367579597031291E-3</c:v>
                </c:pt>
                <c:pt idx="1203">
                  <c:v>3.089356480379292E-3</c:v>
                </c:pt>
                <c:pt idx="1204">
                  <c:v>2.7036194595870889E-3</c:v>
                </c:pt>
                <c:pt idx="1205">
                  <c:v>1.2119166464718318E-4</c:v>
                </c:pt>
                <c:pt idx="1206">
                  <c:v>6.331644257542084E-3</c:v>
                </c:pt>
                <c:pt idx="1207">
                  <c:v>2.3093293119149933E-4</c:v>
                </c:pt>
                <c:pt idx="1208">
                  <c:v>-6.5387011322016464E-3</c:v>
                </c:pt>
                <c:pt idx="1209">
                  <c:v>-4.3527011204126638E-3</c:v>
                </c:pt>
                <c:pt idx="1210">
                  <c:v>1.1653273196742314E-2</c:v>
                </c:pt>
                <c:pt idx="1211">
                  <c:v>1.126932219101167E-2</c:v>
                </c:pt>
                <c:pt idx="1212">
                  <c:v>-7.8065113066742844E-3</c:v>
                </c:pt>
                <c:pt idx="1213">
                  <c:v>5.2708947721988751E-3</c:v>
                </c:pt>
                <c:pt idx="1214">
                  <c:v>-9.5960413066795008E-3</c:v>
                </c:pt>
                <c:pt idx="1215">
                  <c:v>-2.657600026980711E-3</c:v>
                </c:pt>
                <c:pt idx="1216">
                  <c:v>-5.004702110933232E-3</c:v>
                </c:pt>
                <c:pt idx="1217">
                  <c:v>-1.4357522929248101E-3</c:v>
                </c:pt>
                <c:pt idx="1218">
                  <c:v>-1.1267293036464735E-2</c:v>
                </c:pt>
                <c:pt idx="1219">
                  <c:v>1.6724725499398005E-2</c:v>
                </c:pt>
                <c:pt idx="1220">
                  <c:v>2.5186050817773427E-2</c:v>
                </c:pt>
                <c:pt idx="1221">
                  <c:v>-2.3028807310158375E-3</c:v>
                </c:pt>
                <c:pt idx="1222">
                  <c:v>4.6478164659153349E-3</c:v>
                </c:pt>
                <c:pt idx="1223">
                  <c:v>-3.3404426205306164E-3</c:v>
                </c:pt>
                <c:pt idx="1224">
                  <c:v>-3.4596745798070698E-3</c:v>
                </c:pt>
                <c:pt idx="1225">
                  <c:v>2.43857277166468E-3</c:v>
                </c:pt>
                <c:pt idx="1226">
                  <c:v>7.380135368807445E-3</c:v>
                </c:pt>
                <c:pt idx="1227">
                  <c:v>-2.6484703373813259E-4</c:v>
                </c:pt>
                <c:pt idx="1228">
                  <c:v>-1.1479714714494875E-3</c:v>
                </c:pt>
                <c:pt idx="1229">
                  <c:v>9.1143300496582908E-4</c:v>
                </c:pt>
                <c:pt idx="1230">
                  <c:v>-2.0331187463688943E-5</c:v>
                </c:pt>
                <c:pt idx="1231">
                  <c:v>5.4256687446586323E-3</c:v>
                </c:pt>
                <c:pt idx="1232">
                  <c:v>3.1859473233310288E-3</c:v>
                </c:pt>
                <c:pt idx="1233">
                  <c:v>4.2107576510718959E-3</c:v>
                </c:pt>
                <c:pt idx="1234">
                  <c:v>1.2901805240391145E-3</c:v>
                </c:pt>
                <c:pt idx="1235">
                  <c:v>-2.1060674888806932E-4</c:v>
                </c:pt>
                <c:pt idx="1236">
                  <c:v>5.2281751332795938E-3</c:v>
                </c:pt>
                <c:pt idx="1237">
                  <c:v>-2.0669798539470078E-3</c:v>
                </c:pt>
                <c:pt idx="1238">
                  <c:v>4.8887573778846711E-3</c:v>
                </c:pt>
                <c:pt idx="1239">
                  <c:v>-4.1169145589135866E-3</c:v>
                </c:pt>
                <c:pt idx="1240">
                  <c:v>-2.7806138277489982E-3</c:v>
                </c:pt>
                <c:pt idx="1241">
                  <c:v>9.8353697973039399E-3</c:v>
                </c:pt>
                <c:pt idx="1242">
                  <c:v>-1.1755986861482432E-2</c:v>
                </c:pt>
                <c:pt idx="1243">
                  <c:v>1.0199161173481856E-2</c:v>
                </c:pt>
                <c:pt idx="1244">
                  <c:v>3.3190312802160399E-4</c:v>
                </c:pt>
                <c:pt idx="1245">
                  <c:v>-2.0227088311767232E-3</c:v>
                </c:pt>
                <c:pt idx="1246">
                  <c:v>5.4406182244589917E-3</c:v>
                </c:pt>
                <c:pt idx="1247">
                  <c:v>-8.2338511711736576E-4</c:v>
                </c:pt>
                <c:pt idx="1248">
                  <c:v>1.3779467122902033E-3</c:v>
                </c:pt>
                <c:pt idx="1249">
                  <c:v>3.7503082361844465E-4</c:v>
                </c:pt>
                <c:pt idx="1250">
                  <c:v>4.7334296989765055E-4</c:v>
                </c:pt>
                <c:pt idx="1251">
                  <c:v>-1.2624003496601306E-3</c:v>
                </c:pt>
                <c:pt idx="1252">
                  <c:v>7.1192433543898447E-3</c:v>
                </c:pt>
                <c:pt idx="1253">
                  <c:v>-1.2621440421637429E-2</c:v>
                </c:pt>
                <c:pt idx="1254">
                  <c:v>-6.5204150516772075E-3</c:v>
                </c:pt>
                <c:pt idx="1255">
                  <c:v>8.5552171156237627E-3</c:v>
                </c:pt>
                <c:pt idx="1256">
                  <c:v>-1.8526876926521364E-2</c:v>
                </c:pt>
                <c:pt idx="1257">
                  <c:v>5.8921902811226255E-3</c:v>
                </c:pt>
                <c:pt idx="1258">
                  <c:v>1.2508664398049959E-2</c:v>
                </c:pt>
              </c:numCache>
            </c:numRef>
          </c:xVal>
          <c:yVal>
            <c:numRef>
              <c:f>[0]!ASSET_RETURNS_RNG</c:f>
              <c:numCache>
                <c:formatCode>0.00%</c:formatCode>
                <c:ptCount val="1259"/>
                <c:pt idx="1">
                  <c:v>-9.5017411814878414E-3</c:v>
                </c:pt>
                <c:pt idx="2">
                  <c:v>-3.0698063782614922E-2</c:v>
                </c:pt>
                <c:pt idx="3">
                  <c:v>-2.7821908000263889E-2</c:v>
                </c:pt>
                <c:pt idx="4">
                  <c:v>6.3267051682700968E-3</c:v>
                </c:pt>
                <c:pt idx="5">
                  <c:v>-3.4150433394992873E-2</c:v>
                </c:pt>
                <c:pt idx="6">
                  <c:v>8.5634108065569571E-4</c:v>
                </c:pt>
                <c:pt idx="7">
                  <c:v>-4.6174872550556356E-2</c:v>
                </c:pt>
                <c:pt idx="8">
                  <c:v>6.2745664349490082E-2</c:v>
                </c:pt>
                <c:pt idx="9">
                  <c:v>1.271539308103373E-4</c:v>
                </c:pt>
                <c:pt idx="10">
                  <c:v>5.7833336235617785E-3</c:v>
                </c:pt>
                <c:pt idx="11">
                  <c:v>-1.2135437063800105E-2</c:v>
                </c:pt>
                <c:pt idx="12">
                  <c:v>-4.1863428421984643E-2</c:v>
                </c:pt>
                <c:pt idx="13">
                  <c:v>4.5296937380646177E-2</c:v>
                </c:pt>
                <c:pt idx="14">
                  <c:v>-1.6949707245778281E-2</c:v>
                </c:pt>
                <c:pt idx="15">
                  <c:v>2.9421085270945079E-3</c:v>
                </c:pt>
                <c:pt idx="16">
                  <c:v>6.1653764985190249E-2</c:v>
                </c:pt>
                <c:pt idx="17">
                  <c:v>-2.1880872674534427E-2</c:v>
                </c:pt>
                <c:pt idx="18">
                  <c:v>1.5792319396156034E-2</c:v>
                </c:pt>
                <c:pt idx="19">
                  <c:v>-3.1440939444271086E-2</c:v>
                </c:pt>
                <c:pt idx="20">
                  <c:v>-1.4156933520718033E-2</c:v>
                </c:pt>
                <c:pt idx="21">
                  <c:v>4.8097701075939265E-3</c:v>
                </c:pt>
                <c:pt idx="22">
                  <c:v>5.6656572517158992E-2</c:v>
                </c:pt>
                <c:pt idx="23">
                  <c:v>-6.6732702610701553E-4</c:v>
                </c:pt>
                <c:pt idx="24">
                  <c:v>-2.3364342733055484E-2</c:v>
                </c:pt>
                <c:pt idx="25">
                  <c:v>3.4443792250719696E-2</c:v>
                </c:pt>
                <c:pt idx="26">
                  <c:v>1.1517426465870067E-2</c:v>
                </c:pt>
                <c:pt idx="27">
                  <c:v>-1.9541873898139335E-2</c:v>
                </c:pt>
                <c:pt idx="28">
                  <c:v>-8.3840387414626065E-3</c:v>
                </c:pt>
                <c:pt idx="29">
                  <c:v>9.8886249798880253E-3</c:v>
                </c:pt>
                <c:pt idx="30">
                  <c:v>-2.5439066681114467E-2</c:v>
                </c:pt>
                <c:pt idx="31">
                  <c:v>-1.3302975432698712E-2</c:v>
                </c:pt>
                <c:pt idx="32">
                  <c:v>-1.1317598668255649E-2</c:v>
                </c:pt>
                <c:pt idx="33">
                  <c:v>1.7682853826596855E-2</c:v>
                </c:pt>
                <c:pt idx="34">
                  <c:v>-1.2710992998161051E-2</c:v>
                </c:pt>
                <c:pt idx="35">
                  <c:v>0.19926961471036991</c:v>
                </c:pt>
                <c:pt idx="36">
                  <c:v>-3.6491357988391085E-3</c:v>
                </c:pt>
                <c:pt idx="37">
                  <c:v>3.1355484376679191E-2</c:v>
                </c:pt>
                <c:pt idx="38">
                  <c:v>-1.5979187769201788E-2</c:v>
                </c:pt>
                <c:pt idx="39">
                  <c:v>-6.9588702275572324E-3</c:v>
                </c:pt>
                <c:pt idx="40">
                  <c:v>1.2324602370838136E-3</c:v>
                </c:pt>
                <c:pt idx="41">
                  <c:v>1.4168688077824889E-2</c:v>
                </c:pt>
                <c:pt idx="42">
                  <c:v>1.085526850841902E-2</c:v>
                </c:pt>
                <c:pt idx="43">
                  <c:v>2.7681540052644803E-2</c:v>
                </c:pt>
                <c:pt idx="44">
                  <c:v>3.2072806867654152E-2</c:v>
                </c:pt>
                <c:pt idx="45">
                  <c:v>-2.0525128732759263E-2</c:v>
                </c:pt>
                <c:pt idx="46">
                  <c:v>2.2767588079915406E-2</c:v>
                </c:pt>
                <c:pt idx="47">
                  <c:v>-1.5001208276850133E-2</c:v>
                </c:pt>
                <c:pt idx="48">
                  <c:v>-1.3197870262323193E-2</c:v>
                </c:pt>
                <c:pt idx="49">
                  <c:v>6.2798795883111658E-3</c:v>
                </c:pt>
                <c:pt idx="50">
                  <c:v>-1.7472323964693004E-2</c:v>
                </c:pt>
                <c:pt idx="51">
                  <c:v>1.9835652891416963E-2</c:v>
                </c:pt>
                <c:pt idx="52">
                  <c:v>-3.9624339141055391E-3</c:v>
                </c:pt>
                <c:pt idx="53">
                  <c:v>-1.2138135739470514E-2</c:v>
                </c:pt>
                <c:pt idx="54">
                  <c:v>7.5096201433437612E-3</c:v>
                </c:pt>
                <c:pt idx="55">
                  <c:v>-2.2465429040268024E-3</c:v>
                </c:pt>
                <c:pt idx="56">
                  <c:v>-5.0418756057272656E-3</c:v>
                </c:pt>
                <c:pt idx="57">
                  <c:v>1.2242106701019009E-3</c:v>
                </c:pt>
                <c:pt idx="58">
                  <c:v>-5.0092795327676271E-2</c:v>
                </c:pt>
                <c:pt idx="59">
                  <c:v>-1.609508320484539E-3</c:v>
                </c:pt>
                <c:pt idx="60">
                  <c:v>-9.4545029271144061E-3</c:v>
                </c:pt>
                <c:pt idx="61">
                  <c:v>2.924654760592215E-2</c:v>
                </c:pt>
                <c:pt idx="62">
                  <c:v>1.2440257170478489E-2</c:v>
                </c:pt>
                <c:pt idx="63">
                  <c:v>2.5329085730258535E-2</c:v>
                </c:pt>
                <c:pt idx="64">
                  <c:v>4.1568899895174797E-3</c:v>
                </c:pt>
                <c:pt idx="65">
                  <c:v>-1.9082180827128273E-2</c:v>
                </c:pt>
                <c:pt idx="66">
                  <c:v>-1.4037158783694543E-2</c:v>
                </c:pt>
                <c:pt idx="67">
                  <c:v>8.0268055324023025E-3</c:v>
                </c:pt>
                <c:pt idx="68">
                  <c:v>2.3960066363823973E-2</c:v>
                </c:pt>
                <c:pt idx="69">
                  <c:v>-3.3564155646852591E-2</c:v>
                </c:pt>
                <c:pt idx="70">
                  <c:v>-1.6748147204827892E-2</c:v>
                </c:pt>
                <c:pt idx="71">
                  <c:v>-7.2782239843295661E-3</c:v>
                </c:pt>
                <c:pt idx="72">
                  <c:v>-1.6832223239665125E-2</c:v>
                </c:pt>
                <c:pt idx="73">
                  <c:v>1.3569112548724355E-2</c:v>
                </c:pt>
                <c:pt idx="74">
                  <c:v>3.2919567392506628E-2</c:v>
                </c:pt>
                <c:pt idx="75">
                  <c:v>1.6288214228216817E-3</c:v>
                </c:pt>
                <c:pt idx="76">
                  <c:v>-6.4942160217346242E-3</c:v>
                </c:pt>
                <c:pt idx="77">
                  <c:v>-1.3078685539018808E-2</c:v>
                </c:pt>
                <c:pt idx="78">
                  <c:v>-4.5222369530276713E-3</c:v>
                </c:pt>
                <c:pt idx="79">
                  <c:v>-2.5226361397667815E-2</c:v>
                </c:pt>
                <c:pt idx="80">
                  <c:v>-2.8785283373745948E-3</c:v>
                </c:pt>
                <c:pt idx="81">
                  <c:v>-5.9832473670325941E-3</c:v>
                </c:pt>
                <c:pt idx="82">
                  <c:v>1.5396926312794648E-2</c:v>
                </c:pt>
                <c:pt idx="83">
                  <c:v>-4.0899937920441963E-2</c:v>
                </c:pt>
                <c:pt idx="84">
                  <c:v>-2.0641063930561562E-3</c:v>
                </c:pt>
                <c:pt idx="85">
                  <c:v>-3.770440191544786E-3</c:v>
                </c:pt>
                <c:pt idx="86">
                  <c:v>1.5140019961000966E-2</c:v>
                </c:pt>
                <c:pt idx="87">
                  <c:v>-1.5026943957683203E-2</c:v>
                </c:pt>
                <c:pt idx="88">
                  <c:v>1.8252141921144299E-2</c:v>
                </c:pt>
                <c:pt idx="89">
                  <c:v>1.2221929549233965E-2</c:v>
                </c:pt>
                <c:pt idx="90">
                  <c:v>1.8879434674462299E-2</c:v>
                </c:pt>
                <c:pt idx="91">
                  <c:v>-2.4053064144991497E-2</c:v>
                </c:pt>
                <c:pt idx="92">
                  <c:v>-2.4554749695218574E-3</c:v>
                </c:pt>
                <c:pt idx="93">
                  <c:v>-1.3169671887817326E-2</c:v>
                </c:pt>
                <c:pt idx="94">
                  <c:v>-2.3463389093043428E-2</c:v>
                </c:pt>
                <c:pt idx="95">
                  <c:v>-1.1247441798316214E-2</c:v>
                </c:pt>
                <c:pt idx="96">
                  <c:v>3.7157629452600614E-2</c:v>
                </c:pt>
                <c:pt idx="97">
                  <c:v>-4.6787147794084107E-3</c:v>
                </c:pt>
                <c:pt idx="98">
                  <c:v>-9.835131334408681E-2</c:v>
                </c:pt>
                <c:pt idx="99">
                  <c:v>-2.6657655316779286E-2</c:v>
                </c:pt>
                <c:pt idx="100">
                  <c:v>1.708025477914861E-2</c:v>
                </c:pt>
                <c:pt idx="101">
                  <c:v>2.4736132946496202E-2</c:v>
                </c:pt>
                <c:pt idx="102">
                  <c:v>-2.8445208509700271E-2</c:v>
                </c:pt>
                <c:pt idx="103">
                  <c:v>3.3751353419141851E-2</c:v>
                </c:pt>
                <c:pt idx="104">
                  <c:v>-3.0850334292773209E-2</c:v>
                </c:pt>
                <c:pt idx="105">
                  <c:v>1.1908639192568836E-2</c:v>
                </c:pt>
                <c:pt idx="106">
                  <c:v>-1.4945224410846585E-3</c:v>
                </c:pt>
                <c:pt idx="107">
                  <c:v>-1.9187391622526834E-2</c:v>
                </c:pt>
                <c:pt idx="108">
                  <c:v>-1.307857211396872E-2</c:v>
                </c:pt>
                <c:pt idx="109">
                  <c:v>-1.1033577258935185E-2</c:v>
                </c:pt>
                <c:pt idx="110">
                  <c:v>3.5747234117047312E-2</c:v>
                </c:pt>
                <c:pt idx="111">
                  <c:v>1.2879205478688177E-2</c:v>
                </c:pt>
                <c:pt idx="112">
                  <c:v>-1.5491435716454055E-2</c:v>
                </c:pt>
                <c:pt idx="113">
                  <c:v>3.2519114674166613E-2</c:v>
                </c:pt>
                <c:pt idx="114">
                  <c:v>1.1131685411811391E-2</c:v>
                </c:pt>
                <c:pt idx="115">
                  <c:v>2.8882083386703203E-3</c:v>
                </c:pt>
                <c:pt idx="116">
                  <c:v>-5.7790591074826292E-3</c:v>
                </c:pt>
                <c:pt idx="117">
                  <c:v>1.0273490403441188E-2</c:v>
                </c:pt>
                <c:pt idx="118">
                  <c:v>8.5729233836729802E-3</c:v>
                </c:pt>
                <c:pt idx="119">
                  <c:v>-2.3874316652863457E-2</c:v>
                </c:pt>
                <c:pt idx="120">
                  <c:v>-1.6299075387102652E-2</c:v>
                </c:pt>
                <c:pt idx="121">
                  <c:v>-1.1858902346164072E-2</c:v>
                </c:pt>
                <c:pt idx="122">
                  <c:v>2.5087847393892768E-3</c:v>
                </c:pt>
                <c:pt idx="123">
                  <c:v>7.6989547228679027E-3</c:v>
                </c:pt>
                <c:pt idx="124">
                  <c:v>-1.6096638186046813E-2</c:v>
                </c:pt>
                <c:pt idx="125">
                  <c:v>-1.8968456452389853E-2</c:v>
                </c:pt>
                <c:pt idx="126">
                  <c:v>-1.2414033953330916E-2</c:v>
                </c:pt>
                <c:pt idx="127">
                  <c:v>1.0451503539290537E-2</c:v>
                </c:pt>
                <c:pt idx="128">
                  <c:v>-2.2786932573400642E-2</c:v>
                </c:pt>
                <c:pt idx="129">
                  <c:v>3.5847570601707426E-3</c:v>
                </c:pt>
                <c:pt idx="130">
                  <c:v>-2.4513353601027378E-3</c:v>
                </c:pt>
                <c:pt idx="131">
                  <c:v>-3.1114621258288302E-2</c:v>
                </c:pt>
                <c:pt idx="132">
                  <c:v>-1.3993697904086817E-2</c:v>
                </c:pt>
                <c:pt idx="133">
                  <c:v>-5.5344785218085682E-2</c:v>
                </c:pt>
                <c:pt idx="134">
                  <c:v>-3.7176486970900294E-3</c:v>
                </c:pt>
                <c:pt idx="135">
                  <c:v>-1.1394433234893919E-2</c:v>
                </c:pt>
                <c:pt idx="136">
                  <c:v>4.6654705734114163E-2</c:v>
                </c:pt>
                <c:pt idx="137">
                  <c:v>8.3685547860335632E-3</c:v>
                </c:pt>
                <c:pt idx="138">
                  <c:v>-9.3283933930498279E-3</c:v>
                </c:pt>
                <c:pt idx="139">
                  <c:v>2.0259506740547901E-2</c:v>
                </c:pt>
                <c:pt idx="140">
                  <c:v>-6.4854645892757801E-2</c:v>
                </c:pt>
                <c:pt idx="141">
                  <c:v>5.8680064162891468E-2</c:v>
                </c:pt>
                <c:pt idx="142">
                  <c:v>2.2288462772840665E-2</c:v>
                </c:pt>
                <c:pt idx="143">
                  <c:v>-4.2970244951286471E-2</c:v>
                </c:pt>
                <c:pt idx="144">
                  <c:v>-2.6684517297727653E-3</c:v>
                </c:pt>
                <c:pt idx="145">
                  <c:v>1.2958636909904602E-2</c:v>
                </c:pt>
                <c:pt idx="146">
                  <c:v>9.6733751842276137E-3</c:v>
                </c:pt>
                <c:pt idx="147">
                  <c:v>-2.011810193359366E-2</c:v>
                </c:pt>
                <c:pt idx="148">
                  <c:v>-0.11673716846704887</c:v>
                </c:pt>
                <c:pt idx="149">
                  <c:v>5.0587741364656477E-2</c:v>
                </c:pt>
                <c:pt idx="150">
                  <c:v>2.7317792822695412E-2</c:v>
                </c:pt>
                <c:pt idx="151">
                  <c:v>-5.221002426002079E-2</c:v>
                </c:pt>
                <c:pt idx="152">
                  <c:v>-9.8138228857647392E-3</c:v>
                </c:pt>
                <c:pt idx="153">
                  <c:v>-4.1223766611826695E-2</c:v>
                </c:pt>
                <c:pt idx="154">
                  <c:v>-6.8531956642166783E-2</c:v>
                </c:pt>
                <c:pt idx="155">
                  <c:v>-2.3477564502051514E-2</c:v>
                </c:pt>
                <c:pt idx="156">
                  <c:v>-2.7648900781732228E-2</c:v>
                </c:pt>
                <c:pt idx="157">
                  <c:v>8.5340349191075308E-3</c:v>
                </c:pt>
                <c:pt idx="158">
                  <c:v>0.14700474797377011</c:v>
                </c:pt>
                <c:pt idx="159">
                  <c:v>-4.8701074634283234E-2</c:v>
                </c:pt>
                <c:pt idx="160">
                  <c:v>-6.5546188035714062E-2</c:v>
                </c:pt>
                <c:pt idx="161">
                  <c:v>4.0189125072932444E-2</c:v>
                </c:pt>
                <c:pt idx="162">
                  <c:v>5.4648463166533677E-2</c:v>
                </c:pt>
                <c:pt idx="163">
                  <c:v>1.7553533549314347E-2</c:v>
                </c:pt>
                <c:pt idx="164">
                  <c:v>-4.4329287948469943E-2</c:v>
                </c:pt>
                <c:pt idx="165">
                  <c:v>-2.0163428522705119E-2</c:v>
                </c:pt>
                <c:pt idx="166">
                  <c:v>-1.006469774567811E-2</c:v>
                </c:pt>
                <c:pt idx="167">
                  <c:v>-3.7629278595723133E-2</c:v>
                </c:pt>
                <c:pt idx="168">
                  <c:v>-2.9529700113607265E-2</c:v>
                </c:pt>
                <c:pt idx="169">
                  <c:v>0.11850798938336735</c:v>
                </c:pt>
                <c:pt idx="170">
                  <c:v>-2.9798396808749811E-2</c:v>
                </c:pt>
                <c:pt idx="171">
                  <c:v>4.0748159551929975E-3</c:v>
                </c:pt>
                <c:pt idx="172">
                  <c:v>-1.5633111346924423E-3</c:v>
                </c:pt>
                <c:pt idx="173">
                  <c:v>-3.6459523180303002E-2</c:v>
                </c:pt>
                <c:pt idx="174">
                  <c:v>5.837460791513735E-2</c:v>
                </c:pt>
                <c:pt idx="175">
                  <c:v>-6.7959311676834291E-2</c:v>
                </c:pt>
                <c:pt idx="176">
                  <c:v>-3.2845480429323337E-2</c:v>
                </c:pt>
                <c:pt idx="177">
                  <c:v>-8.8738574436431875E-4</c:v>
                </c:pt>
                <c:pt idx="178">
                  <c:v>-3.7971456900082988E-2</c:v>
                </c:pt>
                <c:pt idx="179">
                  <c:v>-2.3608399137543593E-2</c:v>
                </c:pt>
                <c:pt idx="180">
                  <c:v>-6.6336472813830316E-2</c:v>
                </c:pt>
                <c:pt idx="181">
                  <c:v>7.1794008107086874E-2</c:v>
                </c:pt>
                <c:pt idx="182">
                  <c:v>-7.246726007260406E-3</c:v>
                </c:pt>
                <c:pt idx="183">
                  <c:v>-3.2579278085955551E-2</c:v>
                </c:pt>
                <c:pt idx="184">
                  <c:v>-9.6422558752926862E-3</c:v>
                </c:pt>
                <c:pt idx="185">
                  <c:v>-5.8611021539627446E-2</c:v>
                </c:pt>
                <c:pt idx="186">
                  <c:v>-7.424140015647665E-2</c:v>
                </c:pt>
                <c:pt idx="187">
                  <c:v>1.0411319242664446E-2</c:v>
                </c:pt>
                <c:pt idx="188">
                  <c:v>-1.9660448803890403E-2</c:v>
                </c:pt>
                <c:pt idx="189">
                  <c:v>9.4949235682217317E-2</c:v>
                </c:pt>
                <c:pt idx="190">
                  <c:v>3.4950671002883543E-2</c:v>
                </c:pt>
                <c:pt idx="191">
                  <c:v>2.332679577620538E-3</c:v>
                </c:pt>
                <c:pt idx="192">
                  <c:v>-9.2706203971641254E-2</c:v>
                </c:pt>
                <c:pt idx="193">
                  <c:v>3.3641148834931203E-2</c:v>
                </c:pt>
                <c:pt idx="194">
                  <c:v>1.5056955349308385E-2</c:v>
                </c:pt>
                <c:pt idx="195">
                  <c:v>-1.8861507730074518E-2</c:v>
                </c:pt>
                <c:pt idx="196">
                  <c:v>3.4529475446758939E-2</c:v>
                </c:pt>
                <c:pt idx="197">
                  <c:v>6.315920912270756E-2</c:v>
                </c:pt>
                <c:pt idx="198">
                  <c:v>1.2130948715301649E-2</c:v>
                </c:pt>
                <c:pt idx="199">
                  <c:v>8.6687842541991987E-3</c:v>
                </c:pt>
                <c:pt idx="200">
                  <c:v>-2.8493791745628189E-2</c:v>
                </c:pt>
                <c:pt idx="201">
                  <c:v>5.1116186733940354E-2</c:v>
                </c:pt>
                <c:pt idx="202">
                  <c:v>-1.6765692287401265E-2</c:v>
                </c:pt>
                <c:pt idx="203">
                  <c:v>4.638153797408423E-2</c:v>
                </c:pt>
                <c:pt idx="204">
                  <c:v>-3.1511570126965358E-2</c:v>
                </c:pt>
                <c:pt idx="205">
                  <c:v>-1.6379898338926443E-2</c:v>
                </c:pt>
                <c:pt idx="206">
                  <c:v>-1.000372935288334E-3</c:v>
                </c:pt>
                <c:pt idx="207">
                  <c:v>-4.2751796338695934E-2</c:v>
                </c:pt>
                <c:pt idx="208">
                  <c:v>2.4169842434085807E-3</c:v>
                </c:pt>
                <c:pt idx="209">
                  <c:v>1.5896659489371464E-2</c:v>
                </c:pt>
                <c:pt idx="210">
                  <c:v>-9.1951199912406294E-3</c:v>
                </c:pt>
                <c:pt idx="211">
                  <c:v>-1.0434108530954353E-2</c:v>
                </c:pt>
                <c:pt idx="212">
                  <c:v>1.8485340507309544E-2</c:v>
                </c:pt>
                <c:pt idx="213">
                  <c:v>1.4332206334149031E-2</c:v>
                </c:pt>
                <c:pt idx="214">
                  <c:v>4.3787755185454483E-2</c:v>
                </c:pt>
                <c:pt idx="215">
                  <c:v>2.0298998047637087E-2</c:v>
                </c:pt>
                <c:pt idx="216">
                  <c:v>1.7674523555291432E-2</c:v>
                </c:pt>
                <c:pt idx="217">
                  <c:v>-3.671721886142075E-2</c:v>
                </c:pt>
                <c:pt idx="218">
                  <c:v>9.2296152700413001E-3</c:v>
                </c:pt>
                <c:pt idx="219">
                  <c:v>-3.1766122586795606E-2</c:v>
                </c:pt>
                <c:pt idx="220">
                  <c:v>-8.1997313521092897E-3</c:v>
                </c:pt>
                <c:pt idx="221">
                  <c:v>4.5669761631273557E-3</c:v>
                </c:pt>
                <c:pt idx="222">
                  <c:v>-4.3118493784303172E-2</c:v>
                </c:pt>
                <c:pt idx="223">
                  <c:v>-7.224583212822969E-3</c:v>
                </c:pt>
                <c:pt idx="224">
                  <c:v>1.6284691201033168E-3</c:v>
                </c:pt>
                <c:pt idx="225">
                  <c:v>-5.7107962755019524E-2</c:v>
                </c:pt>
                <c:pt idx="226">
                  <c:v>7.1255118154759309E-2</c:v>
                </c:pt>
                <c:pt idx="227">
                  <c:v>1.0638294963630028E-2</c:v>
                </c:pt>
                <c:pt idx="228">
                  <c:v>5.8734243443413769E-2</c:v>
                </c:pt>
                <c:pt idx="229">
                  <c:v>-3.2020601642330994E-3</c:v>
                </c:pt>
                <c:pt idx="230">
                  <c:v>2.2851227726727649E-2</c:v>
                </c:pt>
                <c:pt idx="231">
                  <c:v>5.1212477891873796E-2</c:v>
                </c:pt>
                <c:pt idx="232">
                  <c:v>-1.5989876003539891E-2</c:v>
                </c:pt>
                <c:pt idx="233">
                  <c:v>-1.4597852571718393E-2</c:v>
                </c:pt>
                <c:pt idx="234">
                  <c:v>5.3801993850632196E-3</c:v>
                </c:pt>
                <c:pt idx="235">
                  <c:v>-9.9820490713721033E-4</c:v>
                </c:pt>
                <c:pt idx="236">
                  <c:v>6.8442322141535747E-3</c:v>
                </c:pt>
                <c:pt idx="237">
                  <c:v>3.0607789879000352E-2</c:v>
                </c:pt>
                <c:pt idx="238">
                  <c:v>4.8997931609591233E-2</c:v>
                </c:pt>
                <c:pt idx="239">
                  <c:v>1.9527599561114956E-2</c:v>
                </c:pt>
                <c:pt idx="240">
                  <c:v>-5.4134779113113228E-2</c:v>
                </c:pt>
                <c:pt idx="241">
                  <c:v>-1.9568359984469047E-3</c:v>
                </c:pt>
                <c:pt idx="242">
                  <c:v>1.334699552502977E-2</c:v>
                </c:pt>
                <c:pt idx="243">
                  <c:v>-1.5437205489442342E-2</c:v>
                </c:pt>
                <c:pt idx="244">
                  <c:v>-4.2638697200350677E-2</c:v>
                </c:pt>
                <c:pt idx="245">
                  <c:v>2.9850847834603737E-2</c:v>
                </c:pt>
                <c:pt idx="246">
                  <c:v>-3.0296671461724423E-2</c:v>
                </c:pt>
                <c:pt idx="247">
                  <c:v>1.047368794097021E-2</c:v>
                </c:pt>
                <c:pt idx="248">
                  <c:v>-4.7954268348409948E-2</c:v>
                </c:pt>
                <c:pt idx="249">
                  <c:v>4.5982031403069924E-2</c:v>
                </c:pt>
                <c:pt idx="250">
                  <c:v>-1.1674946923927509E-2</c:v>
                </c:pt>
                <c:pt idx="251">
                  <c:v>-1.3700531874107538E-2</c:v>
                </c:pt>
                <c:pt idx="252">
                  <c:v>1.7564232792985181E-3</c:v>
                </c:pt>
                <c:pt idx="253">
                  <c:v>-3.2688222553268378E-2</c:v>
                </c:pt>
                <c:pt idx="254">
                  <c:v>-5.7809565265885925E-3</c:v>
                </c:pt>
                <c:pt idx="255">
                  <c:v>-2.0800702660029695E-2</c:v>
                </c:pt>
                <c:pt idx="256">
                  <c:v>-4.2286391247608079E-2</c:v>
                </c:pt>
                <c:pt idx="257">
                  <c:v>8.9405871293716972E-3</c:v>
                </c:pt>
                <c:pt idx="258">
                  <c:v>-5.7942415994023819E-2</c:v>
                </c:pt>
                <c:pt idx="259">
                  <c:v>5.8758043944962791E-2</c:v>
                </c:pt>
                <c:pt idx="260">
                  <c:v>3.0960077355026181E-2</c:v>
                </c:pt>
                <c:pt idx="261">
                  <c:v>1.703210473496606E-2</c:v>
                </c:pt>
                <c:pt idx="262">
                  <c:v>2.1050496533968374E-3</c:v>
                </c:pt>
                <c:pt idx="263">
                  <c:v>-1.5225720042181258E-2</c:v>
                </c:pt>
                <c:pt idx="264">
                  <c:v>4.8307819435694621E-2</c:v>
                </c:pt>
                <c:pt idx="265">
                  <c:v>-7.3256421140458277E-3</c:v>
                </c:pt>
                <c:pt idx="266">
                  <c:v>-1.0132495084322372E-2</c:v>
                </c:pt>
                <c:pt idx="267">
                  <c:v>2.0933464961999025E-5</c:v>
                </c:pt>
                <c:pt idx="268">
                  <c:v>5.5205853826792071E-2</c:v>
                </c:pt>
                <c:pt idx="269">
                  <c:v>-4.7479772126900266E-3</c:v>
                </c:pt>
                <c:pt idx="270">
                  <c:v>-9.575197409051623E-3</c:v>
                </c:pt>
                <c:pt idx="271">
                  <c:v>2.6151018293518007E-2</c:v>
                </c:pt>
                <c:pt idx="272">
                  <c:v>-1.6468549672076671E-2</c:v>
                </c:pt>
                <c:pt idx="273">
                  <c:v>-1.5054827688672598E-2</c:v>
                </c:pt>
                <c:pt idx="274">
                  <c:v>1.5024284756988063E-2</c:v>
                </c:pt>
                <c:pt idx="275">
                  <c:v>1.6678744771164818E-2</c:v>
                </c:pt>
                <c:pt idx="276">
                  <c:v>2.3105169315155296E-2</c:v>
                </c:pt>
                <c:pt idx="277">
                  <c:v>1.9436904184821201E-2</c:v>
                </c:pt>
                <c:pt idx="278">
                  <c:v>-4.8104928695317144E-3</c:v>
                </c:pt>
                <c:pt idx="279">
                  <c:v>-2.6688652610971648E-2</c:v>
                </c:pt>
                <c:pt idx="280">
                  <c:v>8.6947283049652272E-3</c:v>
                </c:pt>
                <c:pt idx="281">
                  <c:v>2.8359670426010002E-2</c:v>
                </c:pt>
                <c:pt idx="282">
                  <c:v>1.4414548248695301E-2</c:v>
                </c:pt>
                <c:pt idx="283">
                  <c:v>-2.4977398166528848E-2</c:v>
                </c:pt>
                <c:pt idx="284">
                  <c:v>2.8060334065392017E-2</c:v>
                </c:pt>
                <c:pt idx="285">
                  <c:v>2.3701971651088068E-2</c:v>
                </c:pt>
                <c:pt idx="286">
                  <c:v>8.3575925981388514E-3</c:v>
                </c:pt>
                <c:pt idx="287">
                  <c:v>-3.3635860554571295E-2</c:v>
                </c:pt>
                <c:pt idx="288">
                  <c:v>5.0752106840893626E-3</c:v>
                </c:pt>
                <c:pt idx="289">
                  <c:v>5.6193826732095853E-3</c:v>
                </c:pt>
                <c:pt idx="290">
                  <c:v>1.5163922165569086E-3</c:v>
                </c:pt>
                <c:pt idx="291">
                  <c:v>1.1831724913737723E-2</c:v>
                </c:pt>
                <c:pt idx="292">
                  <c:v>-9.7346628776769743E-3</c:v>
                </c:pt>
                <c:pt idx="293">
                  <c:v>-6.4497150395735978E-3</c:v>
                </c:pt>
                <c:pt idx="294">
                  <c:v>1.9577751933525098E-2</c:v>
                </c:pt>
                <c:pt idx="295">
                  <c:v>1.08492792908539E-2</c:v>
                </c:pt>
                <c:pt idx="296">
                  <c:v>-6.4038664064722884E-3</c:v>
                </c:pt>
                <c:pt idx="297">
                  <c:v>2.0411322530780433E-2</c:v>
                </c:pt>
                <c:pt idx="298">
                  <c:v>1.8667083782018968E-3</c:v>
                </c:pt>
                <c:pt idx="299">
                  <c:v>5.4524211739589404E-4</c:v>
                </c:pt>
                <c:pt idx="300">
                  <c:v>-1.7648357719879659E-2</c:v>
                </c:pt>
                <c:pt idx="301">
                  <c:v>2.6383216944076582E-2</c:v>
                </c:pt>
                <c:pt idx="302">
                  <c:v>9.4990330355658123E-4</c:v>
                </c:pt>
                <c:pt idx="303">
                  <c:v>-2.2632226316843012E-2</c:v>
                </c:pt>
                <c:pt idx="304">
                  <c:v>-2.4379595444865725E-2</c:v>
                </c:pt>
                <c:pt idx="305">
                  <c:v>-5.8828005774713716E-3</c:v>
                </c:pt>
                <c:pt idx="306">
                  <c:v>5.8057584673573519E-3</c:v>
                </c:pt>
                <c:pt idx="307">
                  <c:v>1.6892607102593084E-2</c:v>
                </c:pt>
                <c:pt idx="308">
                  <c:v>4.4947563896531656E-3</c:v>
                </c:pt>
                <c:pt idx="309">
                  <c:v>-4.9077878494264175E-3</c:v>
                </c:pt>
                <c:pt idx="310">
                  <c:v>-2.3579245300323101E-3</c:v>
                </c:pt>
                <c:pt idx="311">
                  <c:v>-8.2120587233842184E-3</c:v>
                </c:pt>
                <c:pt idx="312">
                  <c:v>2.6952620786494949E-2</c:v>
                </c:pt>
                <c:pt idx="313">
                  <c:v>2.321798150935383E-3</c:v>
                </c:pt>
                <c:pt idx="314">
                  <c:v>1.128826135464343E-2</c:v>
                </c:pt>
                <c:pt idx="315">
                  <c:v>1.5996445759063321E-2</c:v>
                </c:pt>
                <c:pt idx="316">
                  <c:v>2.1715912455294695E-2</c:v>
                </c:pt>
                <c:pt idx="317">
                  <c:v>3.667723958730195E-3</c:v>
                </c:pt>
                <c:pt idx="318">
                  <c:v>6.9405134446170729E-3</c:v>
                </c:pt>
                <c:pt idx="319">
                  <c:v>1.9347195488839064E-2</c:v>
                </c:pt>
                <c:pt idx="320">
                  <c:v>8.5301244866354074E-3</c:v>
                </c:pt>
                <c:pt idx="321">
                  <c:v>-1.3136851915162659E-2</c:v>
                </c:pt>
                <c:pt idx="322">
                  <c:v>-7.8250143602023887E-3</c:v>
                </c:pt>
                <c:pt idx="323">
                  <c:v>-7.5785021563587913E-3</c:v>
                </c:pt>
                <c:pt idx="324">
                  <c:v>-8.9676297479350294E-3</c:v>
                </c:pt>
                <c:pt idx="325">
                  <c:v>-1.0342824132838152E-2</c:v>
                </c:pt>
                <c:pt idx="326">
                  <c:v>-1.9641240934314932E-2</c:v>
                </c:pt>
                <c:pt idx="327">
                  <c:v>-2.4933962454996668E-3</c:v>
                </c:pt>
                <c:pt idx="328">
                  <c:v>-2.6650852050992243E-3</c:v>
                </c:pt>
                <c:pt idx="329">
                  <c:v>-3.2954353203467285E-3</c:v>
                </c:pt>
                <c:pt idx="330">
                  <c:v>1.3917252360248048E-2</c:v>
                </c:pt>
                <c:pt idx="331">
                  <c:v>-3.0972689161760523E-2</c:v>
                </c:pt>
                <c:pt idx="332">
                  <c:v>-4.7455230255333625E-3</c:v>
                </c:pt>
                <c:pt idx="333">
                  <c:v>8.2527848857643603E-3</c:v>
                </c:pt>
                <c:pt idx="334">
                  <c:v>1.5186440513922646E-2</c:v>
                </c:pt>
                <c:pt idx="335">
                  <c:v>2.2323575777951687E-2</c:v>
                </c:pt>
                <c:pt idx="336">
                  <c:v>-3.4202360779261999E-3</c:v>
                </c:pt>
                <c:pt idx="337">
                  <c:v>-6.6580202301816539E-3</c:v>
                </c:pt>
                <c:pt idx="338">
                  <c:v>-6.8129836372252239E-3</c:v>
                </c:pt>
                <c:pt idx="339">
                  <c:v>-2.5706118403982254E-2</c:v>
                </c:pt>
                <c:pt idx="340">
                  <c:v>2.0959507490809931E-3</c:v>
                </c:pt>
                <c:pt idx="341">
                  <c:v>-3.2334533911467199E-2</c:v>
                </c:pt>
                <c:pt idx="342">
                  <c:v>1.4128620515597648E-2</c:v>
                </c:pt>
                <c:pt idx="343">
                  <c:v>1.8981962404301486E-2</c:v>
                </c:pt>
                <c:pt idx="344">
                  <c:v>9.1253388193278228E-3</c:v>
                </c:pt>
                <c:pt idx="345">
                  <c:v>2.3244106954092934E-2</c:v>
                </c:pt>
                <c:pt idx="346">
                  <c:v>2.7330653514262207E-4</c:v>
                </c:pt>
                <c:pt idx="347">
                  <c:v>3.1094944735291685E-2</c:v>
                </c:pt>
                <c:pt idx="348">
                  <c:v>9.4643767529395406E-3</c:v>
                </c:pt>
                <c:pt idx="349">
                  <c:v>-2.8549153125430136E-2</c:v>
                </c:pt>
                <c:pt idx="350">
                  <c:v>-8.3179284377083731E-4</c:v>
                </c:pt>
                <c:pt idx="351">
                  <c:v>-5.9228379540124448E-3</c:v>
                </c:pt>
                <c:pt idx="352">
                  <c:v>-1.1366233071000514E-3</c:v>
                </c:pt>
                <c:pt idx="353">
                  <c:v>2.1917216947610233E-2</c:v>
                </c:pt>
                <c:pt idx="354">
                  <c:v>2.0801989347000709E-2</c:v>
                </c:pt>
                <c:pt idx="355">
                  <c:v>-4.9438487052094289E-3</c:v>
                </c:pt>
                <c:pt idx="356">
                  <c:v>-1.1774451558170612E-2</c:v>
                </c:pt>
                <c:pt idx="357">
                  <c:v>-8.853197848395453E-3</c:v>
                </c:pt>
                <c:pt idx="358">
                  <c:v>2.0901917432827679E-2</c:v>
                </c:pt>
                <c:pt idx="359">
                  <c:v>-6.4577205161125981E-3</c:v>
                </c:pt>
                <c:pt idx="360">
                  <c:v>2.0029012960587927E-2</c:v>
                </c:pt>
                <c:pt idx="361">
                  <c:v>2.7154157704516175E-3</c:v>
                </c:pt>
                <c:pt idx="362">
                  <c:v>-6.3540950194754461E-3</c:v>
                </c:pt>
                <c:pt idx="363">
                  <c:v>-2.3748077541288623E-3</c:v>
                </c:pt>
                <c:pt idx="364">
                  <c:v>1.4319950697802387E-2</c:v>
                </c:pt>
                <c:pt idx="365">
                  <c:v>-1.7178299335713647E-3</c:v>
                </c:pt>
                <c:pt idx="366">
                  <c:v>-6.4932953591947075E-3</c:v>
                </c:pt>
                <c:pt idx="367">
                  <c:v>9.5757607555665373E-3</c:v>
                </c:pt>
                <c:pt idx="368">
                  <c:v>7.4225305787418636E-3</c:v>
                </c:pt>
                <c:pt idx="369">
                  <c:v>-5.577930234085985E-3</c:v>
                </c:pt>
                <c:pt idx="370">
                  <c:v>-3.3493680522824976E-2</c:v>
                </c:pt>
                <c:pt idx="371">
                  <c:v>2.3076675139131709E-4</c:v>
                </c:pt>
                <c:pt idx="372">
                  <c:v>-3.5878235339640353E-3</c:v>
                </c:pt>
                <c:pt idx="373">
                  <c:v>3.6383674586362776E-2</c:v>
                </c:pt>
                <c:pt idx="374">
                  <c:v>9.8447952024973504E-3</c:v>
                </c:pt>
                <c:pt idx="375">
                  <c:v>6.8556501639080048E-3</c:v>
                </c:pt>
                <c:pt idx="376">
                  <c:v>4.9863858730513928E-3</c:v>
                </c:pt>
                <c:pt idx="377">
                  <c:v>-7.7952275397995497E-3</c:v>
                </c:pt>
                <c:pt idx="378">
                  <c:v>-4.7911535811676004E-3</c:v>
                </c:pt>
                <c:pt idx="379">
                  <c:v>-3.4566513289723474E-3</c:v>
                </c:pt>
                <c:pt idx="380">
                  <c:v>-7.2730733707796983E-3</c:v>
                </c:pt>
                <c:pt idx="381">
                  <c:v>-1.3447206050658241E-2</c:v>
                </c:pt>
                <c:pt idx="382">
                  <c:v>-6.6797319152435653E-3</c:v>
                </c:pt>
                <c:pt idx="383">
                  <c:v>9.3097756826719738E-3</c:v>
                </c:pt>
                <c:pt idx="384">
                  <c:v>7.6160794686603089E-3</c:v>
                </c:pt>
                <c:pt idx="385">
                  <c:v>-6.4555227645049177E-3</c:v>
                </c:pt>
                <c:pt idx="386">
                  <c:v>1.101957663996775E-2</c:v>
                </c:pt>
                <c:pt idx="387">
                  <c:v>1.4376668572084646E-2</c:v>
                </c:pt>
                <c:pt idx="388">
                  <c:v>1.9022408628957188E-3</c:v>
                </c:pt>
                <c:pt idx="389">
                  <c:v>5.6658327755518866E-3</c:v>
                </c:pt>
                <c:pt idx="390">
                  <c:v>4.4475956399018766E-3</c:v>
                </c:pt>
                <c:pt idx="391">
                  <c:v>2.1865348814121076E-2</c:v>
                </c:pt>
                <c:pt idx="392">
                  <c:v>6.3786596848385019E-3</c:v>
                </c:pt>
                <c:pt idx="393">
                  <c:v>-1.1746106385854486E-3</c:v>
                </c:pt>
                <c:pt idx="394">
                  <c:v>1.0626680460155637E-2</c:v>
                </c:pt>
                <c:pt idx="395">
                  <c:v>3.4990147794232958E-3</c:v>
                </c:pt>
                <c:pt idx="396">
                  <c:v>-1.8481146851370802E-3</c:v>
                </c:pt>
                <c:pt idx="397">
                  <c:v>-4.0362969989627857E-3</c:v>
                </c:pt>
                <c:pt idx="398">
                  <c:v>-9.2816416210849545E-3</c:v>
                </c:pt>
                <c:pt idx="399">
                  <c:v>1.1638908397139993E-2</c:v>
                </c:pt>
                <c:pt idx="400">
                  <c:v>-6.45854435868455E-4</c:v>
                </c:pt>
                <c:pt idx="401">
                  <c:v>-6.0216593021753971E-3</c:v>
                </c:pt>
                <c:pt idx="402">
                  <c:v>-1.8090646207573606E-2</c:v>
                </c:pt>
                <c:pt idx="403">
                  <c:v>-6.0235227445712466E-3</c:v>
                </c:pt>
                <c:pt idx="404">
                  <c:v>7.48489796827534E-3</c:v>
                </c:pt>
                <c:pt idx="405">
                  <c:v>2.0274476359185997E-2</c:v>
                </c:pt>
                <c:pt idx="406">
                  <c:v>3.7049136942404796E-2</c:v>
                </c:pt>
                <c:pt idx="407">
                  <c:v>-7.1381062424920975E-3</c:v>
                </c:pt>
                <c:pt idx="408">
                  <c:v>3.3799730953462952E-3</c:v>
                </c:pt>
                <c:pt idx="409">
                  <c:v>1.4443733941855516E-2</c:v>
                </c:pt>
                <c:pt idx="410">
                  <c:v>3.3042257106852433E-3</c:v>
                </c:pt>
                <c:pt idx="411">
                  <c:v>1.6859990349442602E-2</c:v>
                </c:pt>
                <c:pt idx="412">
                  <c:v>-1.0751959195638313E-2</c:v>
                </c:pt>
                <c:pt idx="413">
                  <c:v>3.6983176909076911E-2</c:v>
                </c:pt>
                <c:pt idx="414">
                  <c:v>3.4279838836732382E-3</c:v>
                </c:pt>
                <c:pt idx="415">
                  <c:v>-1.3160350223670333E-3</c:v>
                </c:pt>
                <c:pt idx="416">
                  <c:v>-1.7696128640566665E-3</c:v>
                </c:pt>
                <c:pt idx="417">
                  <c:v>4.7796581752728986E-3</c:v>
                </c:pt>
                <c:pt idx="418">
                  <c:v>-1.3677588196328253E-3</c:v>
                </c:pt>
                <c:pt idx="419">
                  <c:v>2.9329924218243991E-4</c:v>
                </c:pt>
                <c:pt idx="420">
                  <c:v>-1.1327725928623909E-2</c:v>
                </c:pt>
                <c:pt idx="421">
                  <c:v>-1.5218434639775147E-2</c:v>
                </c:pt>
                <c:pt idx="422">
                  <c:v>1.9250499441607023E-2</c:v>
                </c:pt>
                <c:pt idx="423">
                  <c:v>-2.7739584587397354E-2</c:v>
                </c:pt>
                <c:pt idx="424">
                  <c:v>-4.6188455572591883E-3</c:v>
                </c:pt>
                <c:pt idx="425">
                  <c:v>5.534036573326474E-3</c:v>
                </c:pt>
                <c:pt idx="426">
                  <c:v>5.0121700946457928E-3</c:v>
                </c:pt>
                <c:pt idx="427">
                  <c:v>1.4752143084165599E-2</c:v>
                </c:pt>
                <c:pt idx="428">
                  <c:v>3.8196518067270067E-3</c:v>
                </c:pt>
                <c:pt idx="429">
                  <c:v>2.0058192016680992E-2</c:v>
                </c:pt>
                <c:pt idx="430">
                  <c:v>6.9095668010873326E-3</c:v>
                </c:pt>
                <c:pt idx="431">
                  <c:v>6.0589236006902292E-3</c:v>
                </c:pt>
                <c:pt idx="432">
                  <c:v>-5.395574009620558E-3</c:v>
                </c:pt>
                <c:pt idx="433">
                  <c:v>6.7504650146906721E-3</c:v>
                </c:pt>
                <c:pt idx="434">
                  <c:v>6.7486040904841367E-3</c:v>
                </c:pt>
                <c:pt idx="435">
                  <c:v>1.4538193338268321E-3</c:v>
                </c:pt>
                <c:pt idx="436">
                  <c:v>-2.1004250777843323E-3</c:v>
                </c:pt>
                <c:pt idx="437">
                  <c:v>-6.9928586845461622E-3</c:v>
                </c:pt>
                <c:pt idx="438">
                  <c:v>-5.9339048381442366E-3</c:v>
                </c:pt>
                <c:pt idx="439">
                  <c:v>2.1092513168875737E-2</c:v>
                </c:pt>
                <c:pt idx="440">
                  <c:v>6.2485905258350695E-4</c:v>
                </c:pt>
                <c:pt idx="441">
                  <c:v>3.8988985182209649E-3</c:v>
                </c:pt>
                <c:pt idx="442">
                  <c:v>-1.085516231991257E-2</c:v>
                </c:pt>
                <c:pt idx="443">
                  <c:v>4.9426649514642349E-3</c:v>
                </c:pt>
                <c:pt idx="444">
                  <c:v>1.1138022064989178E-2</c:v>
                </c:pt>
                <c:pt idx="445">
                  <c:v>-4.6467359860405269E-3</c:v>
                </c:pt>
                <c:pt idx="446">
                  <c:v>-3.6585691130654394E-3</c:v>
                </c:pt>
                <c:pt idx="447">
                  <c:v>-1.8921411842551111E-3</c:v>
                </c:pt>
                <c:pt idx="448">
                  <c:v>1.4737674509368987E-3</c:v>
                </c:pt>
                <c:pt idx="449">
                  <c:v>7.1875110784156641E-4</c:v>
                </c:pt>
                <c:pt idx="450">
                  <c:v>2.7099074242797438E-3</c:v>
                </c:pt>
                <c:pt idx="451">
                  <c:v>3.5645289127444954E-3</c:v>
                </c:pt>
                <c:pt idx="452">
                  <c:v>-2.31956534034859E-3</c:v>
                </c:pt>
                <c:pt idx="453">
                  <c:v>8.1939619939972539E-3</c:v>
                </c:pt>
                <c:pt idx="454">
                  <c:v>-4.9934615733300564E-3</c:v>
                </c:pt>
                <c:pt idx="455">
                  <c:v>7.1432004247040911E-3</c:v>
                </c:pt>
                <c:pt idx="456">
                  <c:v>-7.0363790611361219E-3</c:v>
                </c:pt>
                <c:pt idx="457">
                  <c:v>3.5296515074928272E-3</c:v>
                </c:pt>
                <c:pt idx="458">
                  <c:v>3.1434215776790452E-3</c:v>
                </c:pt>
                <c:pt idx="459">
                  <c:v>3.4297786235288857E-3</c:v>
                </c:pt>
                <c:pt idx="460">
                  <c:v>1.6921353442758112E-2</c:v>
                </c:pt>
                <c:pt idx="461">
                  <c:v>1.0471069445899791E-2</c:v>
                </c:pt>
                <c:pt idx="462">
                  <c:v>6.4521923886044471E-3</c:v>
                </c:pt>
                <c:pt idx="463">
                  <c:v>-6.2168403558838679E-3</c:v>
                </c:pt>
                <c:pt idx="464">
                  <c:v>4.7303160517001598E-3</c:v>
                </c:pt>
                <c:pt idx="465">
                  <c:v>-5.0618934897120153E-3</c:v>
                </c:pt>
                <c:pt idx="466">
                  <c:v>1.0273852651456944E-2</c:v>
                </c:pt>
                <c:pt idx="467">
                  <c:v>-5.0495241606390972E-3</c:v>
                </c:pt>
                <c:pt idx="468">
                  <c:v>-2.5854591755376782E-2</c:v>
                </c:pt>
                <c:pt idx="469">
                  <c:v>-2.3925373062771423E-2</c:v>
                </c:pt>
                <c:pt idx="470">
                  <c:v>1.2685234606380325E-2</c:v>
                </c:pt>
                <c:pt idx="471">
                  <c:v>-2.1574321243173437E-3</c:v>
                </c:pt>
                <c:pt idx="472">
                  <c:v>-1.8329805792525307E-2</c:v>
                </c:pt>
                <c:pt idx="473">
                  <c:v>-6.3869464288233389E-3</c:v>
                </c:pt>
                <c:pt idx="474">
                  <c:v>4.0552987093051985E-3</c:v>
                </c:pt>
                <c:pt idx="475">
                  <c:v>-1.7345015239462587E-2</c:v>
                </c:pt>
                <c:pt idx="476">
                  <c:v>1.2492076598614305E-2</c:v>
                </c:pt>
                <c:pt idx="477">
                  <c:v>-1.2915688682490423E-2</c:v>
                </c:pt>
                <c:pt idx="478">
                  <c:v>3.7820499765296774E-3</c:v>
                </c:pt>
                <c:pt idx="479">
                  <c:v>-5.7200110156476372E-2</c:v>
                </c:pt>
                <c:pt idx="480">
                  <c:v>-1.8845523532793968E-2</c:v>
                </c:pt>
                <c:pt idx="481">
                  <c:v>3.8356270456130267E-3</c:v>
                </c:pt>
                <c:pt idx="482">
                  <c:v>-1.2358031840709548E-3</c:v>
                </c:pt>
                <c:pt idx="483">
                  <c:v>-1.5052790425538259E-2</c:v>
                </c:pt>
                <c:pt idx="484">
                  <c:v>-8.7875003584947445E-3</c:v>
                </c:pt>
                <c:pt idx="485">
                  <c:v>5.1661242787030062E-3</c:v>
                </c:pt>
                <c:pt idx="486">
                  <c:v>-4.2104486349604222E-3</c:v>
                </c:pt>
                <c:pt idx="487">
                  <c:v>1.7617438228689462E-2</c:v>
                </c:pt>
                <c:pt idx="488">
                  <c:v>-2.6606432816845493E-2</c:v>
                </c:pt>
                <c:pt idx="489">
                  <c:v>7.9155943662880431E-3</c:v>
                </c:pt>
                <c:pt idx="490">
                  <c:v>3.4573660275319476E-3</c:v>
                </c:pt>
                <c:pt idx="491">
                  <c:v>4.9214689375171152E-3</c:v>
                </c:pt>
                <c:pt idx="492">
                  <c:v>-4.3554957750676204E-3</c:v>
                </c:pt>
                <c:pt idx="493">
                  <c:v>3.0027562854338186E-3</c:v>
                </c:pt>
                <c:pt idx="494">
                  <c:v>-6.7606941077551072E-3</c:v>
                </c:pt>
                <c:pt idx="495">
                  <c:v>1.469778301911354E-2</c:v>
                </c:pt>
                <c:pt idx="496">
                  <c:v>-6.3543340220498703E-3</c:v>
                </c:pt>
                <c:pt idx="497">
                  <c:v>8.6627797403824505E-3</c:v>
                </c:pt>
                <c:pt idx="498">
                  <c:v>-5.1744064037635993E-3</c:v>
                </c:pt>
                <c:pt idx="499">
                  <c:v>3.1266139419701428E-3</c:v>
                </c:pt>
                <c:pt idx="500">
                  <c:v>-1.4886827169840453E-2</c:v>
                </c:pt>
                <c:pt idx="501">
                  <c:v>-7.3739460874280649E-3</c:v>
                </c:pt>
                <c:pt idx="502">
                  <c:v>-1.0128986127215097E-2</c:v>
                </c:pt>
                <c:pt idx="503">
                  <c:v>5.6993046227930088E-5</c:v>
                </c:pt>
                <c:pt idx="504">
                  <c:v>1.0534859307487657E-2</c:v>
                </c:pt>
                <c:pt idx="505">
                  <c:v>1.5066849012666339E-2</c:v>
                </c:pt>
                <c:pt idx="506">
                  <c:v>7.2275791944128448E-3</c:v>
                </c:pt>
                <c:pt idx="507">
                  <c:v>1.6353338698438007E-2</c:v>
                </c:pt>
                <c:pt idx="508">
                  <c:v>1.670029316866823E-2</c:v>
                </c:pt>
                <c:pt idx="509">
                  <c:v>-3.7120886394451376E-3</c:v>
                </c:pt>
                <c:pt idx="510">
                  <c:v>-4.7171103027437225E-3</c:v>
                </c:pt>
                <c:pt idx="511">
                  <c:v>2.8380011788091273E-2</c:v>
                </c:pt>
                <c:pt idx="512">
                  <c:v>7.4901504214478776E-3</c:v>
                </c:pt>
                <c:pt idx="513">
                  <c:v>-3.3990636453532608E-3</c:v>
                </c:pt>
                <c:pt idx="514">
                  <c:v>-2.8875139731102607E-2</c:v>
                </c:pt>
                <c:pt idx="515">
                  <c:v>2.9409206626790788E-3</c:v>
                </c:pt>
                <c:pt idx="516">
                  <c:v>-8.911760709219332E-6</c:v>
                </c:pt>
                <c:pt idx="517">
                  <c:v>8.3939911813112067E-4</c:v>
                </c:pt>
                <c:pt idx="518">
                  <c:v>-1.1945289464117043E-2</c:v>
                </c:pt>
                <c:pt idx="519">
                  <c:v>-5.1101401501541695E-3</c:v>
                </c:pt>
                <c:pt idx="520">
                  <c:v>-1.5892491207168905E-2</c:v>
                </c:pt>
                <c:pt idx="521">
                  <c:v>1.4527187458484915E-2</c:v>
                </c:pt>
                <c:pt idx="522">
                  <c:v>9.3123390939971531E-3</c:v>
                </c:pt>
                <c:pt idx="523">
                  <c:v>-9.834041800412805E-4</c:v>
                </c:pt>
                <c:pt idx="524">
                  <c:v>-1.0723770326801986E-3</c:v>
                </c:pt>
                <c:pt idx="525">
                  <c:v>6.9281521424940668E-3</c:v>
                </c:pt>
                <c:pt idx="526">
                  <c:v>7.7619651407223914E-5</c:v>
                </c:pt>
                <c:pt idx="527">
                  <c:v>2.3164815776736524E-3</c:v>
                </c:pt>
                <c:pt idx="528">
                  <c:v>3.2395182786181835E-3</c:v>
                </c:pt>
                <c:pt idx="529">
                  <c:v>-5.5319334887747092E-3</c:v>
                </c:pt>
                <c:pt idx="530">
                  <c:v>-8.8821009601020278E-3</c:v>
                </c:pt>
                <c:pt idx="531">
                  <c:v>6.3634084381067732E-3</c:v>
                </c:pt>
                <c:pt idx="532">
                  <c:v>-2.8837793332234744E-3</c:v>
                </c:pt>
                <c:pt idx="533">
                  <c:v>1.0851443434217378E-2</c:v>
                </c:pt>
                <c:pt idx="534">
                  <c:v>2.3868314544279259E-2</c:v>
                </c:pt>
                <c:pt idx="535">
                  <c:v>3.1546125273368896E-3</c:v>
                </c:pt>
                <c:pt idx="536">
                  <c:v>1.0050240640532223E-2</c:v>
                </c:pt>
                <c:pt idx="537">
                  <c:v>-7.6489966648198376E-2</c:v>
                </c:pt>
                <c:pt idx="538">
                  <c:v>-7.3673874014910576E-4</c:v>
                </c:pt>
                <c:pt idx="539">
                  <c:v>8.3343309849641216E-3</c:v>
                </c:pt>
                <c:pt idx="540">
                  <c:v>-1.9790916800310381E-3</c:v>
                </c:pt>
                <c:pt idx="541">
                  <c:v>-1.3707373468883068E-2</c:v>
                </c:pt>
                <c:pt idx="542">
                  <c:v>-4.4297172662709702E-3</c:v>
                </c:pt>
                <c:pt idx="543">
                  <c:v>-2.514171674526863E-2</c:v>
                </c:pt>
                <c:pt idx="544">
                  <c:v>-5.4987624187139896E-3</c:v>
                </c:pt>
                <c:pt idx="545">
                  <c:v>-4.0013561380668509E-4</c:v>
                </c:pt>
                <c:pt idx="546">
                  <c:v>4.6641476427800458E-3</c:v>
                </c:pt>
                <c:pt idx="547">
                  <c:v>-1.2487959699026351E-2</c:v>
                </c:pt>
                <c:pt idx="548">
                  <c:v>8.6750510235190283E-3</c:v>
                </c:pt>
                <c:pt idx="549">
                  <c:v>-4.6311139019358849E-2</c:v>
                </c:pt>
                <c:pt idx="550">
                  <c:v>6.0488549663473166E-3</c:v>
                </c:pt>
                <c:pt idx="551">
                  <c:v>-2.240119028018735E-2</c:v>
                </c:pt>
                <c:pt idx="552">
                  <c:v>-1.1735352500720964E-2</c:v>
                </c:pt>
                <c:pt idx="553">
                  <c:v>5.7167342627845709E-2</c:v>
                </c:pt>
                <c:pt idx="554">
                  <c:v>-2.4799980765783148E-2</c:v>
                </c:pt>
                <c:pt idx="555">
                  <c:v>-7.8357179070402457E-3</c:v>
                </c:pt>
                <c:pt idx="556">
                  <c:v>1.0217043524122839E-2</c:v>
                </c:pt>
                <c:pt idx="557">
                  <c:v>-7.2031673077757527E-3</c:v>
                </c:pt>
                <c:pt idx="558">
                  <c:v>2.2108939011227519E-4</c:v>
                </c:pt>
                <c:pt idx="559">
                  <c:v>-1.9544608299285584E-2</c:v>
                </c:pt>
                <c:pt idx="560">
                  <c:v>-8.5516272552596702E-3</c:v>
                </c:pt>
                <c:pt idx="561">
                  <c:v>-3.9923406364351766E-2</c:v>
                </c:pt>
                <c:pt idx="562">
                  <c:v>-6.8773021948630025E-3</c:v>
                </c:pt>
                <c:pt idx="563">
                  <c:v>1.0179270021286508E-2</c:v>
                </c:pt>
                <c:pt idx="564">
                  <c:v>-8.3447041373751357E-4</c:v>
                </c:pt>
                <c:pt idx="565">
                  <c:v>-3.9996599570707942E-3</c:v>
                </c:pt>
                <c:pt idx="566">
                  <c:v>3.0880845461075623E-2</c:v>
                </c:pt>
                <c:pt idx="567">
                  <c:v>-1.0493752327643524E-2</c:v>
                </c:pt>
                <c:pt idx="568">
                  <c:v>-7.3587840324749248E-3</c:v>
                </c:pt>
                <c:pt idx="569">
                  <c:v>2.2158217127454305E-2</c:v>
                </c:pt>
                <c:pt idx="570">
                  <c:v>2.4142843701432153E-2</c:v>
                </c:pt>
                <c:pt idx="571">
                  <c:v>-1.4253449372577318E-2</c:v>
                </c:pt>
                <c:pt idx="572">
                  <c:v>-2.7113611894963738E-2</c:v>
                </c:pt>
                <c:pt idx="573">
                  <c:v>-2.1699935032601174E-3</c:v>
                </c:pt>
                <c:pt idx="574">
                  <c:v>-2.2841489569331058E-2</c:v>
                </c:pt>
                <c:pt idx="575">
                  <c:v>2.6758052572274663E-2</c:v>
                </c:pt>
                <c:pt idx="576">
                  <c:v>2.4136309956421919E-3</c:v>
                </c:pt>
                <c:pt idx="577">
                  <c:v>-1.1515864671282988E-2</c:v>
                </c:pt>
                <c:pt idx="578">
                  <c:v>2.9983918531287325E-2</c:v>
                </c:pt>
                <c:pt idx="579">
                  <c:v>5.9406232042447998E-3</c:v>
                </c:pt>
                <c:pt idx="580">
                  <c:v>-3.0198245517740548E-3</c:v>
                </c:pt>
                <c:pt idx="581">
                  <c:v>-7.4583843842804557E-4</c:v>
                </c:pt>
                <c:pt idx="582">
                  <c:v>-2.3584478118447504E-2</c:v>
                </c:pt>
                <c:pt idx="583">
                  <c:v>-5.3740352120269621E-3</c:v>
                </c:pt>
                <c:pt idx="584">
                  <c:v>-9.2833865695445481E-3</c:v>
                </c:pt>
                <c:pt idx="585">
                  <c:v>-1.5063445972016157E-2</c:v>
                </c:pt>
                <c:pt idx="586">
                  <c:v>-5.739518927554416E-3</c:v>
                </c:pt>
                <c:pt idx="587">
                  <c:v>-1.9152121408697244E-3</c:v>
                </c:pt>
                <c:pt idx="588">
                  <c:v>-3.8393693785131293E-2</c:v>
                </c:pt>
                <c:pt idx="589">
                  <c:v>-2.1140725214717573E-2</c:v>
                </c:pt>
                <c:pt idx="590">
                  <c:v>-1.2916896125945992E-2</c:v>
                </c:pt>
                <c:pt idx="591">
                  <c:v>-7.3354264397820822E-3</c:v>
                </c:pt>
                <c:pt idx="592">
                  <c:v>-1.7453848447563259E-3</c:v>
                </c:pt>
                <c:pt idx="593">
                  <c:v>3.1757200119592821E-2</c:v>
                </c:pt>
                <c:pt idx="594">
                  <c:v>1.3481200206512708E-2</c:v>
                </c:pt>
                <c:pt idx="595">
                  <c:v>2.3294043934553837E-2</c:v>
                </c:pt>
                <c:pt idx="596">
                  <c:v>1.7194099359934663E-2</c:v>
                </c:pt>
                <c:pt idx="597">
                  <c:v>2.7452415954817296E-2</c:v>
                </c:pt>
                <c:pt idx="598">
                  <c:v>3.7286345257014552E-3</c:v>
                </c:pt>
                <c:pt idx="599">
                  <c:v>4.8086170095664781E-3</c:v>
                </c:pt>
                <c:pt idx="600">
                  <c:v>-7.0298904919654542E-2</c:v>
                </c:pt>
                <c:pt idx="601">
                  <c:v>1.3648873703205978E-2</c:v>
                </c:pt>
                <c:pt idx="602">
                  <c:v>3.2410046718192212E-2</c:v>
                </c:pt>
                <c:pt idx="603">
                  <c:v>-9.1385556962766869E-3</c:v>
                </c:pt>
                <c:pt idx="604">
                  <c:v>1.4663046087691754E-2</c:v>
                </c:pt>
                <c:pt idx="605">
                  <c:v>1.0183130114780253E-2</c:v>
                </c:pt>
                <c:pt idx="606">
                  <c:v>-2.870071878630566E-3</c:v>
                </c:pt>
                <c:pt idx="607">
                  <c:v>6.8392673507442206E-3</c:v>
                </c:pt>
                <c:pt idx="608">
                  <c:v>-1.7453600614542104E-2</c:v>
                </c:pt>
                <c:pt idx="609">
                  <c:v>6.7550408586169888E-4</c:v>
                </c:pt>
                <c:pt idx="610">
                  <c:v>-9.3452018155393312E-4</c:v>
                </c:pt>
                <c:pt idx="611">
                  <c:v>1.0821609728306033E-2</c:v>
                </c:pt>
                <c:pt idx="612">
                  <c:v>-1.8285383126246386E-3</c:v>
                </c:pt>
                <c:pt idx="613">
                  <c:v>3.3018886392582235E-2</c:v>
                </c:pt>
                <c:pt idx="614">
                  <c:v>2.8697088442705874E-3</c:v>
                </c:pt>
                <c:pt idx="615">
                  <c:v>-1.6154612554349069E-2</c:v>
                </c:pt>
                <c:pt idx="616">
                  <c:v>9.6096331495939425E-3</c:v>
                </c:pt>
                <c:pt idx="617">
                  <c:v>-3.8911299874663575E-3</c:v>
                </c:pt>
                <c:pt idx="618">
                  <c:v>-2.4409527978184471E-2</c:v>
                </c:pt>
                <c:pt idx="619">
                  <c:v>-9.6783788778529429E-5</c:v>
                </c:pt>
                <c:pt idx="620">
                  <c:v>-1.2149685658811079E-2</c:v>
                </c:pt>
                <c:pt idx="621">
                  <c:v>-2.208515071213371E-3</c:v>
                </c:pt>
                <c:pt idx="622">
                  <c:v>9.5067434347631471E-3</c:v>
                </c:pt>
                <c:pt idx="623">
                  <c:v>-1.77093788589297E-2</c:v>
                </c:pt>
                <c:pt idx="624">
                  <c:v>-3.0055789103503008E-2</c:v>
                </c:pt>
                <c:pt idx="625">
                  <c:v>-1.3360344680969638E-2</c:v>
                </c:pt>
                <c:pt idx="626">
                  <c:v>3.7911829218216886E-3</c:v>
                </c:pt>
                <c:pt idx="627">
                  <c:v>-2.7969318568434664E-2</c:v>
                </c:pt>
                <c:pt idx="628">
                  <c:v>6.5098202578553763E-3</c:v>
                </c:pt>
                <c:pt idx="629">
                  <c:v>-8.6525413392163058E-3</c:v>
                </c:pt>
                <c:pt idx="630">
                  <c:v>1.6760682439380999E-2</c:v>
                </c:pt>
                <c:pt idx="631">
                  <c:v>-1.4027716999345125E-2</c:v>
                </c:pt>
                <c:pt idx="632">
                  <c:v>-6.5439303818800743E-3</c:v>
                </c:pt>
                <c:pt idx="633">
                  <c:v>2.2264238448892224E-2</c:v>
                </c:pt>
                <c:pt idx="634">
                  <c:v>5.5453562173585777E-3</c:v>
                </c:pt>
                <c:pt idx="635">
                  <c:v>1.4726139173527461E-2</c:v>
                </c:pt>
                <c:pt idx="636">
                  <c:v>-1.3191038361022613E-2</c:v>
                </c:pt>
                <c:pt idx="637">
                  <c:v>1.2661639104183225E-2</c:v>
                </c:pt>
                <c:pt idx="638">
                  <c:v>1.1254353817775984E-2</c:v>
                </c:pt>
                <c:pt idx="639">
                  <c:v>-7.298562839091119E-4</c:v>
                </c:pt>
                <c:pt idx="640">
                  <c:v>1.2228510246787908E-2</c:v>
                </c:pt>
                <c:pt idx="641">
                  <c:v>-4.4611446260109065E-3</c:v>
                </c:pt>
                <c:pt idx="642">
                  <c:v>-2.0874601216468961E-4</c:v>
                </c:pt>
                <c:pt idx="643">
                  <c:v>2.2798045094912157E-4</c:v>
                </c:pt>
                <c:pt idx="644">
                  <c:v>1.8249917401324412E-2</c:v>
                </c:pt>
                <c:pt idx="645">
                  <c:v>3.6342822499763498E-2</c:v>
                </c:pt>
                <c:pt idx="646">
                  <c:v>9.5453787426945415E-3</c:v>
                </c:pt>
                <c:pt idx="647">
                  <c:v>4.300976865498741E-3</c:v>
                </c:pt>
                <c:pt idx="648">
                  <c:v>-5.5295753661010133E-3</c:v>
                </c:pt>
                <c:pt idx="649">
                  <c:v>2.6249058705831319E-2</c:v>
                </c:pt>
                <c:pt idx="650">
                  <c:v>5.2711931091257609E-3</c:v>
                </c:pt>
                <c:pt idx="651">
                  <c:v>-6.7543365534755888E-3</c:v>
                </c:pt>
                <c:pt idx="652">
                  <c:v>3.4054463843395221E-4</c:v>
                </c:pt>
                <c:pt idx="653">
                  <c:v>-4.2464532723065149E-3</c:v>
                </c:pt>
                <c:pt idx="654">
                  <c:v>-9.6917743554513207E-4</c:v>
                </c:pt>
                <c:pt idx="655">
                  <c:v>-6.8670788946029017E-3</c:v>
                </c:pt>
                <c:pt idx="656">
                  <c:v>2.9755217642240091E-2</c:v>
                </c:pt>
                <c:pt idx="657">
                  <c:v>-7.8546685116353213E-3</c:v>
                </c:pt>
                <c:pt idx="658">
                  <c:v>-8.7678718401914633E-3</c:v>
                </c:pt>
                <c:pt idx="659">
                  <c:v>1.1316184016236222E-2</c:v>
                </c:pt>
                <c:pt idx="660">
                  <c:v>3.9966364749174131E-3</c:v>
                </c:pt>
                <c:pt idx="661">
                  <c:v>4.0865336570719349E-3</c:v>
                </c:pt>
                <c:pt idx="662">
                  <c:v>2.8821013815644491E-3</c:v>
                </c:pt>
                <c:pt idx="663">
                  <c:v>-5.0080852475746949E-3</c:v>
                </c:pt>
                <c:pt idx="664">
                  <c:v>0.11123553502302642</c:v>
                </c:pt>
                <c:pt idx="665">
                  <c:v>2.6388811787425252E-2</c:v>
                </c:pt>
                <c:pt idx="666">
                  <c:v>-1.6640414990173873E-2</c:v>
                </c:pt>
                <c:pt idx="667">
                  <c:v>-3.9907490869802906E-4</c:v>
                </c:pt>
                <c:pt idx="668">
                  <c:v>5.9497572618847612E-3</c:v>
                </c:pt>
                <c:pt idx="669">
                  <c:v>2.365129230753186E-4</c:v>
                </c:pt>
                <c:pt idx="670">
                  <c:v>5.8354607650196646E-3</c:v>
                </c:pt>
                <c:pt idx="671">
                  <c:v>2.7604715981948053E-3</c:v>
                </c:pt>
                <c:pt idx="672">
                  <c:v>-4.089113407740424E-3</c:v>
                </c:pt>
                <c:pt idx="673">
                  <c:v>2.7768587537433673E-3</c:v>
                </c:pt>
                <c:pt idx="674">
                  <c:v>-8.5348906155056897E-3</c:v>
                </c:pt>
                <c:pt idx="675">
                  <c:v>1.4724444072144846E-3</c:v>
                </c:pt>
                <c:pt idx="676">
                  <c:v>3.2975532022910597E-4</c:v>
                </c:pt>
                <c:pt idx="677">
                  <c:v>6.794041600518809E-3</c:v>
                </c:pt>
                <c:pt idx="678">
                  <c:v>5.9490051210343798E-3</c:v>
                </c:pt>
                <c:pt idx="679">
                  <c:v>6.5166106223332786E-4</c:v>
                </c:pt>
                <c:pt idx="680">
                  <c:v>2.0577994964282114E-3</c:v>
                </c:pt>
                <c:pt idx="681">
                  <c:v>-3.7570435483020434E-3</c:v>
                </c:pt>
                <c:pt idx="682">
                  <c:v>-3.7507486454008009E-3</c:v>
                </c:pt>
                <c:pt idx="683">
                  <c:v>-9.7808403079465457E-3</c:v>
                </c:pt>
                <c:pt idx="684">
                  <c:v>-2.3167282197173726E-2</c:v>
                </c:pt>
                <c:pt idx="685">
                  <c:v>-1.3608111393550499E-2</c:v>
                </c:pt>
                <c:pt idx="686">
                  <c:v>-2.0378166726999832E-2</c:v>
                </c:pt>
                <c:pt idx="687">
                  <c:v>-9.3708995974976794E-4</c:v>
                </c:pt>
                <c:pt idx="688">
                  <c:v>2.164872186436289E-2</c:v>
                </c:pt>
                <c:pt idx="689">
                  <c:v>-1.0250923498494177E-2</c:v>
                </c:pt>
                <c:pt idx="690">
                  <c:v>1.4233914418429552E-5</c:v>
                </c:pt>
                <c:pt idx="691">
                  <c:v>-1.4532394133442962E-2</c:v>
                </c:pt>
                <c:pt idx="692">
                  <c:v>1.9868373450445675E-2</c:v>
                </c:pt>
                <c:pt idx="693">
                  <c:v>-8.9992167902728792E-3</c:v>
                </c:pt>
                <c:pt idx="694">
                  <c:v>-1.4018735791800659E-2</c:v>
                </c:pt>
                <c:pt idx="695">
                  <c:v>-4.5998107446467824E-2</c:v>
                </c:pt>
                <c:pt idx="696">
                  <c:v>1.4901823309718272E-2</c:v>
                </c:pt>
                <c:pt idx="697">
                  <c:v>1.2590612295769714E-2</c:v>
                </c:pt>
                <c:pt idx="698">
                  <c:v>1.4177320074178939E-3</c:v>
                </c:pt>
                <c:pt idx="699">
                  <c:v>8.7084213058418423E-3</c:v>
                </c:pt>
                <c:pt idx="700">
                  <c:v>1.4535001778254238E-2</c:v>
                </c:pt>
                <c:pt idx="701">
                  <c:v>5.1449280010290484E-3</c:v>
                </c:pt>
                <c:pt idx="702">
                  <c:v>9.7977634274095337E-4</c:v>
                </c:pt>
                <c:pt idx="703">
                  <c:v>5.5448368754659153E-4</c:v>
                </c:pt>
                <c:pt idx="704">
                  <c:v>3.4236479366007702E-3</c:v>
                </c:pt>
                <c:pt idx="705">
                  <c:v>-1.581480015070141E-4</c:v>
                </c:pt>
                <c:pt idx="706">
                  <c:v>-8.3949257239624517E-3</c:v>
                </c:pt>
                <c:pt idx="707">
                  <c:v>1.7427615221190091E-3</c:v>
                </c:pt>
                <c:pt idx="708">
                  <c:v>-2.1837699688153378E-3</c:v>
                </c:pt>
                <c:pt idx="709">
                  <c:v>6.5647075140299882E-3</c:v>
                </c:pt>
                <c:pt idx="710">
                  <c:v>1.2814973043713436E-2</c:v>
                </c:pt>
                <c:pt idx="711">
                  <c:v>3.3669467314918844E-3</c:v>
                </c:pt>
                <c:pt idx="712">
                  <c:v>-2.7268136589770117E-3</c:v>
                </c:pt>
                <c:pt idx="713">
                  <c:v>-3.7076024457322488E-3</c:v>
                </c:pt>
                <c:pt idx="714">
                  <c:v>-6.3897370348923272E-3</c:v>
                </c:pt>
                <c:pt idx="715">
                  <c:v>2.8270634830522691E-3</c:v>
                </c:pt>
                <c:pt idx="716">
                  <c:v>-4.2065865490132142E-3</c:v>
                </c:pt>
                <c:pt idx="717">
                  <c:v>-8.8113689133757188E-3</c:v>
                </c:pt>
                <c:pt idx="718">
                  <c:v>1.6829775646458937E-2</c:v>
                </c:pt>
                <c:pt idx="719">
                  <c:v>-4.335769220347647E-3</c:v>
                </c:pt>
                <c:pt idx="720">
                  <c:v>1.0896695222007051E-2</c:v>
                </c:pt>
                <c:pt idx="721">
                  <c:v>6.6275295758214982E-3</c:v>
                </c:pt>
                <c:pt idx="722">
                  <c:v>4.1463216032513496E-3</c:v>
                </c:pt>
                <c:pt idx="723">
                  <c:v>-4.263400344634921E-3</c:v>
                </c:pt>
                <c:pt idx="724">
                  <c:v>2.2847393349916746E-3</c:v>
                </c:pt>
                <c:pt idx="725">
                  <c:v>7.5022679657907017E-4</c:v>
                </c:pt>
                <c:pt idx="726">
                  <c:v>-9.3765011405024369E-4</c:v>
                </c:pt>
                <c:pt idx="727">
                  <c:v>1.1499631951133118E-2</c:v>
                </c:pt>
                <c:pt idx="728">
                  <c:v>2.41066208116563E-2</c:v>
                </c:pt>
                <c:pt idx="729">
                  <c:v>-1.2965476717500023E-2</c:v>
                </c:pt>
                <c:pt idx="730">
                  <c:v>-8.528719493248748E-3</c:v>
                </c:pt>
                <c:pt idx="731">
                  <c:v>-2.4482349481898098E-2</c:v>
                </c:pt>
                <c:pt idx="732">
                  <c:v>-1.8716851404759439E-3</c:v>
                </c:pt>
                <c:pt idx="733">
                  <c:v>1.3803972100755228E-2</c:v>
                </c:pt>
                <c:pt idx="734">
                  <c:v>-6.1466529388769561E-3</c:v>
                </c:pt>
                <c:pt idx="735">
                  <c:v>-1.7545703116448095E-4</c:v>
                </c:pt>
                <c:pt idx="736">
                  <c:v>-2.6262352757825687E-2</c:v>
                </c:pt>
                <c:pt idx="737">
                  <c:v>-1.6941247897844936E-3</c:v>
                </c:pt>
                <c:pt idx="738">
                  <c:v>1.7143471968289054E-2</c:v>
                </c:pt>
                <c:pt idx="739">
                  <c:v>9.2523747300821428E-4</c:v>
                </c:pt>
                <c:pt idx="740">
                  <c:v>-3.6687302528619192E-3</c:v>
                </c:pt>
                <c:pt idx="741">
                  <c:v>7.1446679661536056E-4</c:v>
                </c:pt>
                <c:pt idx="742">
                  <c:v>4.771671506060904E-3</c:v>
                </c:pt>
                <c:pt idx="743">
                  <c:v>6.012238647203059E-3</c:v>
                </c:pt>
                <c:pt idx="744">
                  <c:v>-3.686056253521031E-3</c:v>
                </c:pt>
                <c:pt idx="745">
                  <c:v>-7.4317803684169099E-4</c:v>
                </c:pt>
                <c:pt idx="746">
                  <c:v>1.2429221808372672E-2</c:v>
                </c:pt>
                <c:pt idx="747">
                  <c:v>5.1988213047240188E-3</c:v>
                </c:pt>
                <c:pt idx="748">
                  <c:v>-7.0137601908632809E-3</c:v>
                </c:pt>
                <c:pt idx="749">
                  <c:v>-5.3370190843114024E-4</c:v>
                </c:pt>
                <c:pt idx="750">
                  <c:v>1.0202248310566676E-3</c:v>
                </c:pt>
                <c:pt idx="751">
                  <c:v>7.0629387061844516E-3</c:v>
                </c:pt>
                <c:pt idx="752">
                  <c:v>-3.2181532445010153E-2</c:v>
                </c:pt>
                <c:pt idx="753">
                  <c:v>1.1731914663619246E-3</c:v>
                </c:pt>
                <c:pt idx="754">
                  <c:v>-4.735365657487247E-3</c:v>
                </c:pt>
                <c:pt idx="755">
                  <c:v>1.3580219151055604E-3</c:v>
                </c:pt>
                <c:pt idx="756">
                  <c:v>4.8619811158986427E-3</c:v>
                </c:pt>
                <c:pt idx="757">
                  <c:v>-2.1252310255888019E-2</c:v>
                </c:pt>
                <c:pt idx="758">
                  <c:v>-5.9591768908105237E-4</c:v>
                </c:pt>
                <c:pt idx="759">
                  <c:v>1.3951592259316218E-2</c:v>
                </c:pt>
                <c:pt idx="760">
                  <c:v>-1.5312171123315139E-2</c:v>
                </c:pt>
                <c:pt idx="761">
                  <c:v>-1.5563772587112171E-2</c:v>
                </c:pt>
                <c:pt idx="762">
                  <c:v>4.5274949206312734E-4</c:v>
                </c:pt>
                <c:pt idx="763">
                  <c:v>-1.5575391955382225E-3</c:v>
                </c:pt>
                <c:pt idx="764">
                  <c:v>-2.0028384810845221E-2</c:v>
                </c:pt>
                <c:pt idx="765">
                  <c:v>-6.8323097176192739E-3</c:v>
                </c:pt>
                <c:pt idx="766">
                  <c:v>-1.2298158019992192E-2</c:v>
                </c:pt>
                <c:pt idx="767">
                  <c:v>-1.4002536358544196E-3</c:v>
                </c:pt>
                <c:pt idx="768">
                  <c:v>-2.2522390709483173E-2</c:v>
                </c:pt>
                <c:pt idx="769">
                  <c:v>7.0008876212128597E-3</c:v>
                </c:pt>
                <c:pt idx="770">
                  <c:v>-1.1802708531407937E-3</c:v>
                </c:pt>
                <c:pt idx="771">
                  <c:v>2.6873483959312095E-2</c:v>
                </c:pt>
                <c:pt idx="772">
                  <c:v>7.76521973498414E-4</c:v>
                </c:pt>
                <c:pt idx="773">
                  <c:v>7.7377110044419446E-3</c:v>
                </c:pt>
                <c:pt idx="774">
                  <c:v>7.4790596770901822E-3</c:v>
                </c:pt>
                <c:pt idx="775">
                  <c:v>-1.2828716641733268E-2</c:v>
                </c:pt>
                <c:pt idx="776">
                  <c:v>-8.2009653476564984E-3</c:v>
                </c:pt>
                <c:pt idx="777">
                  <c:v>1.0425474818859021E-2</c:v>
                </c:pt>
                <c:pt idx="778">
                  <c:v>-4.5676327673964954E-4</c:v>
                </c:pt>
                <c:pt idx="779">
                  <c:v>7.8100784666477003E-3</c:v>
                </c:pt>
                <c:pt idx="780">
                  <c:v>7.9436881369040584E-3</c:v>
                </c:pt>
                <c:pt idx="781">
                  <c:v>-7.6076658586464209E-3</c:v>
                </c:pt>
                <c:pt idx="782">
                  <c:v>-3.2278715857050048E-2</c:v>
                </c:pt>
                <c:pt idx="783">
                  <c:v>8.2982493087062174E-3</c:v>
                </c:pt>
                <c:pt idx="784">
                  <c:v>9.4903397889390968E-3</c:v>
                </c:pt>
                <c:pt idx="785">
                  <c:v>-3.8182682289719032E-3</c:v>
                </c:pt>
                <c:pt idx="786">
                  <c:v>-2.0122581995324928E-3</c:v>
                </c:pt>
                <c:pt idx="787">
                  <c:v>-1.2354117767873929E-2</c:v>
                </c:pt>
                <c:pt idx="788">
                  <c:v>9.2908799361194182E-3</c:v>
                </c:pt>
                <c:pt idx="789">
                  <c:v>3.2237922636526111E-3</c:v>
                </c:pt>
                <c:pt idx="790">
                  <c:v>-8.3289196815429747E-2</c:v>
                </c:pt>
                <c:pt idx="791">
                  <c:v>-7.9192669099592793E-3</c:v>
                </c:pt>
                <c:pt idx="792">
                  <c:v>-1.0724815790359382E-2</c:v>
                </c:pt>
                <c:pt idx="793">
                  <c:v>7.4073735663557697E-3</c:v>
                </c:pt>
                <c:pt idx="794">
                  <c:v>-1.8441881813271506E-3</c:v>
                </c:pt>
                <c:pt idx="795">
                  <c:v>-7.4107439397167352E-4</c:v>
                </c:pt>
                <c:pt idx="796">
                  <c:v>1.4152736174549601E-2</c:v>
                </c:pt>
                <c:pt idx="797">
                  <c:v>8.6255693094864482E-3</c:v>
                </c:pt>
                <c:pt idx="798">
                  <c:v>-2.553456587187972E-4</c:v>
                </c:pt>
                <c:pt idx="799">
                  <c:v>1.074883300023393E-2</c:v>
                </c:pt>
                <c:pt idx="800">
                  <c:v>-1.0827806282955387E-2</c:v>
                </c:pt>
                <c:pt idx="801">
                  <c:v>-9.3171259747870522E-3</c:v>
                </c:pt>
                <c:pt idx="802">
                  <c:v>2.9129310817475333E-3</c:v>
                </c:pt>
                <c:pt idx="803">
                  <c:v>-3.4827868160920501E-3</c:v>
                </c:pt>
                <c:pt idx="804">
                  <c:v>1.2820097526504589E-3</c:v>
                </c:pt>
                <c:pt idx="805">
                  <c:v>3.8002505519888212E-3</c:v>
                </c:pt>
                <c:pt idx="806">
                  <c:v>8.6161601452950636E-3</c:v>
                </c:pt>
                <c:pt idx="807">
                  <c:v>-1.3932258445745728E-2</c:v>
                </c:pt>
                <c:pt idx="808">
                  <c:v>-1.3928896399024453E-3</c:v>
                </c:pt>
                <c:pt idx="809">
                  <c:v>-1.0925267574827431E-2</c:v>
                </c:pt>
                <c:pt idx="810">
                  <c:v>-2.16636997762518E-2</c:v>
                </c:pt>
                <c:pt idx="811">
                  <c:v>2.2578558202532843E-2</c:v>
                </c:pt>
                <c:pt idx="812">
                  <c:v>-1.8712060175145734E-3</c:v>
                </c:pt>
                <c:pt idx="813">
                  <c:v>2.0721010576103395E-3</c:v>
                </c:pt>
                <c:pt idx="814">
                  <c:v>-1.4236442671162574E-2</c:v>
                </c:pt>
                <c:pt idx="815">
                  <c:v>-1.1408597026941487E-2</c:v>
                </c:pt>
                <c:pt idx="816">
                  <c:v>-8.9663087831526149E-4</c:v>
                </c:pt>
                <c:pt idx="817">
                  <c:v>2.0747877128599822E-3</c:v>
                </c:pt>
                <c:pt idx="818">
                  <c:v>-3.6092735287543251E-3</c:v>
                </c:pt>
                <c:pt idx="819">
                  <c:v>4.7002942140842597E-3</c:v>
                </c:pt>
                <c:pt idx="820">
                  <c:v>1.4942550248331968E-2</c:v>
                </c:pt>
                <c:pt idx="821">
                  <c:v>-7.1106383759841404E-3</c:v>
                </c:pt>
                <c:pt idx="822">
                  <c:v>4.034510860935198E-3</c:v>
                </c:pt>
                <c:pt idx="823">
                  <c:v>-1.007660094194731E-2</c:v>
                </c:pt>
                <c:pt idx="824">
                  <c:v>-4.5075964256214565E-3</c:v>
                </c:pt>
                <c:pt idx="825">
                  <c:v>-4.5417589382290274E-3</c:v>
                </c:pt>
                <c:pt idx="826">
                  <c:v>-3.7612050912048288E-4</c:v>
                </c:pt>
                <c:pt idx="827">
                  <c:v>-5.3456637468841149E-3</c:v>
                </c:pt>
                <c:pt idx="828">
                  <c:v>-1.4618335228545483E-2</c:v>
                </c:pt>
                <c:pt idx="829">
                  <c:v>-1.0027417113735426E-2</c:v>
                </c:pt>
                <c:pt idx="830">
                  <c:v>6.5659221575577334E-3</c:v>
                </c:pt>
                <c:pt idx="831">
                  <c:v>-1.1307380489726864E-2</c:v>
                </c:pt>
                <c:pt idx="832">
                  <c:v>-5.7755890019286996E-3</c:v>
                </c:pt>
                <c:pt idx="833">
                  <c:v>-3.1323153234757276E-2</c:v>
                </c:pt>
                <c:pt idx="834">
                  <c:v>-1.5530335212669954E-3</c:v>
                </c:pt>
                <c:pt idx="835">
                  <c:v>1.6730017453190114E-2</c:v>
                </c:pt>
                <c:pt idx="836">
                  <c:v>-1.2795955855746752E-2</c:v>
                </c:pt>
                <c:pt idx="837">
                  <c:v>-1.4588073281477376E-2</c:v>
                </c:pt>
                <c:pt idx="838">
                  <c:v>-1.1765757813487047E-2</c:v>
                </c:pt>
                <c:pt idx="839">
                  <c:v>1.6032043138255535E-2</c:v>
                </c:pt>
                <c:pt idx="840">
                  <c:v>2.1827219300668416E-2</c:v>
                </c:pt>
                <c:pt idx="841">
                  <c:v>7.2949943436311903E-3</c:v>
                </c:pt>
                <c:pt idx="842">
                  <c:v>1.7060196973983428E-2</c:v>
                </c:pt>
                <c:pt idx="843">
                  <c:v>2.8284988014465287E-2</c:v>
                </c:pt>
                <c:pt idx="844">
                  <c:v>2.1253076527799664E-2</c:v>
                </c:pt>
                <c:pt idx="845">
                  <c:v>4.838331575700924E-3</c:v>
                </c:pt>
                <c:pt idx="846">
                  <c:v>2.0349363735081935E-2</c:v>
                </c:pt>
                <c:pt idx="847">
                  <c:v>-2.7374723810182397E-2</c:v>
                </c:pt>
                <c:pt idx="848">
                  <c:v>-9.4994043146255751E-3</c:v>
                </c:pt>
                <c:pt idx="849">
                  <c:v>1.2117762617689426E-2</c:v>
                </c:pt>
                <c:pt idx="850">
                  <c:v>7.3127980238233119E-3</c:v>
                </c:pt>
                <c:pt idx="851">
                  <c:v>-1.7960906641122425E-2</c:v>
                </c:pt>
                <c:pt idx="852">
                  <c:v>0.12919874041420909</c:v>
                </c:pt>
                <c:pt idx="853">
                  <c:v>-5.1303094407210374E-3</c:v>
                </c:pt>
                <c:pt idx="854">
                  <c:v>1.2145351400014156E-2</c:v>
                </c:pt>
                <c:pt idx="855">
                  <c:v>-1.2595070268579433E-2</c:v>
                </c:pt>
                <c:pt idx="856">
                  <c:v>1.8905669877560621E-2</c:v>
                </c:pt>
                <c:pt idx="857">
                  <c:v>1.7871748819539377E-2</c:v>
                </c:pt>
                <c:pt idx="858">
                  <c:v>5.6728630463265305E-4</c:v>
                </c:pt>
                <c:pt idx="859">
                  <c:v>5.0732318027822288E-3</c:v>
                </c:pt>
                <c:pt idx="860">
                  <c:v>-2.5223378049567615E-2</c:v>
                </c:pt>
                <c:pt idx="861">
                  <c:v>5.480425989677476E-3</c:v>
                </c:pt>
                <c:pt idx="862">
                  <c:v>-1.2512813548056232E-2</c:v>
                </c:pt>
                <c:pt idx="863">
                  <c:v>4.4561018662071144E-3</c:v>
                </c:pt>
                <c:pt idx="864">
                  <c:v>-2.4328633742689822E-2</c:v>
                </c:pt>
                <c:pt idx="865">
                  <c:v>1.415833192469873E-2</c:v>
                </c:pt>
                <c:pt idx="866">
                  <c:v>-3.9985808192709284E-2</c:v>
                </c:pt>
                <c:pt idx="867">
                  <c:v>1.9860890466083425E-3</c:v>
                </c:pt>
                <c:pt idx="868">
                  <c:v>-5.7671275822991974E-2</c:v>
                </c:pt>
                <c:pt idx="869">
                  <c:v>4.951714325652376E-2</c:v>
                </c:pt>
                <c:pt idx="870">
                  <c:v>-4.3198303817637174E-2</c:v>
                </c:pt>
                <c:pt idx="871">
                  <c:v>2.3251706628593032E-2</c:v>
                </c:pt>
                <c:pt idx="872">
                  <c:v>2.2716201696498417E-3</c:v>
                </c:pt>
                <c:pt idx="873">
                  <c:v>-1.2246329807030455E-2</c:v>
                </c:pt>
                <c:pt idx="874">
                  <c:v>-3.3361250232936096E-2</c:v>
                </c:pt>
                <c:pt idx="875">
                  <c:v>-1.1499286717872167E-2</c:v>
                </c:pt>
                <c:pt idx="876">
                  <c:v>-5.3670331599893588E-2</c:v>
                </c:pt>
                <c:pt idx="877">
                  <c:v>-2.829598912133827E-2</c:v>
                </c:pt>
                <c:pt idx="878">
                  <c:v>1.4122335900642586E-2</c:v>
                </c:pt>
                <c:pt idx="879">
                  <c:v>4.0805858834701829E-2</c:v>
                </c:pt>
                <c:pt idx="880">
                  <c:v>7.9698504328721501E-3</c:v>
                </c:pt>
                <c:pt idx="881">
                  <c:v>-6.856559780897024E-3</c:v>
                </c:pt>
                <c:pt idx="882">
                  <c:v>1.2468521381376373E-2</c:v>
                </c:pt>
                <c:pt idx="883">
                  <c:v>2.2548162950154396E-2</c:v>
                </c:pt>
                <c:pt idx="884">
                  <c:v>2.3592653979224482E-3</c:v>
                </c:pt>
                <c:pt idx="885">
                  <c:v>-1.6499628902177479E-4</c:v>
                </c:pt>
                <c:pt idx="886">
                  <c:v>-1.6284718677217168E-2</c:v>
                </c:pt>
                <c:pt idx="887">
                  <c:v>-1.5030830961690051E-2</c:v>
                </c:pt>
                <c:pt idx="888">
                  <c:v>-5.7140657002537915E-3</c:v>
                </c:pt>
                <c:pt idx="889">
                  <c:v>2.2047469705232317E-2</c:v>
                </c:pt>
                <c:pt idx="890">
                  <c:v>1.0956207621541281E-3</c:v>
                </c:pt>
                <c:pt idx="891">
                  <c:v>-1.954446367768093E-2</c:v>
                </c:pt>
                <c:pt idx="892">
                  <c:v>9.3951096491082069E-3</c:v>
                </c:pt>
                <c:pt idx="893">
                  <c:v>-1.7776736466131918E-3</c:v>
                </c:pt>
                <c:pt idx="894">
                  <c:v>4.1698276913410938E-3</c:v>
                </c:pt>
                <c:pt idx="895">
                  <c:v>1.906959653862738E-2</c:v>
                </c:pt>
                <c:pt idx="896">
                  <c:v>6.9477757617133797E-3</c:v>
                </c:pt>
                <c:pt idx="897">
                  <c:v>-6.6414667264316784E-4</c:v>
                </c:pt>
                <c:pt idx="898">
                  <c:v>-7.1902472141549436E-4</c:v>
                </c:pt>
                <c:pt idx="899">
                  <c:v>-1.423822953419822E-2</c:v>
                </c:pt>
                <c:pt idx="900">
                  <c:v>-3.5030127432901098E-2</c:v>
                </c:pt>
                <c:pt idx="901">
                  <c:v>8.6692456294332771E-3</c:v>
                </c:pt>
                <c:pt idx="902">
                  <c:v>1.1494732803194551E-2</c:v>
                </c:pt>
                <c:pt idx="903">
                  <c:v>1.3360801075609482E-2</c:v>
                </c:pt>
                <c:pt idx="904">
                  <c:v>-2.011409339459579E-2</c:v>
                </c:pt>
                <c:pt idx="905">
                  <c:v>-3.179702102459484E-3</c:v>
                </c:pt>
                <c:pt idx="906">
                  <c:v>-2.4266707516437176E-2</c:v>
                </c:pt>
                <c:pt idx="907">
                  <c:v>-3.8545823370320156E-2</c:v>
                </c:pt>
                <c:pt idx="908">
                  <c:v>1.222950881889422E-2</c:v>
                </c:pt>
                <c:pt idx="909">
                  <c:v>4.932946122011601E-3</c:v>
                </c:pt>
                <c:pt idx="910">
                  <c:v>1.9187710057890214E-2</c:v>
                </c:pt>
                <c:pt idx="911">
                  <c:v>1.5071062018252515E-4</c:v>
                </c:pt>
                <c:pt idx="912">
                  <c:v>4.2159705433676503E-2</c:v>
                </c:pt>
                <c:pt idx="913">
                  <c:v>1.0542409986939968E-2</c:v>
                </c:pt>
                <c:pt idx="914">
                  <c:v>9.1483206073952883E-3</c:v>
                </c:pt>
                <c:pt idx="915">
                  <c:v>1.8479031617003011E-2</c:v>
                </c:pt>
                <c:pt idx="916">
                  <c:v>5.783461927564696E-2</c:v>
                </c:pt>
                <c:pt idx="917">
                  <c:v>-1.6313107004824648E-2</c:v>
                </c:pt>
                <c:pt idx="918">
                  <c:v>1.3261873796819857E-2</c:v>
                </c:pt>
                <c:pt idx="919">
                  <c:v>-1.7258612898891943E-2</c:v>
                </c:pt>
                <c:pt idx="920">
                  <c:v>4.4686625264184401E-3</c:v>
                </c:pt>
                <c:pt idx="921">
                  <c:v>1.1038830403167303E-2</c:v>
                </c:pt>
                <c:pt idx="922">
                  <c:v>9.3966526345307059E-3</c:v>
                </c:pt>
                <c:pt idx="923">
                  <c:v>-2.2878509276417061E-2</c:v>
                </c:pt>
                <c:pt idx="924">
                  <c:v>4.7557506124887719E-3</c:v>
                </c:pt>
                <c:pt idx="925">
                  <c:v>2.0435143670935112E-2</c:v>
                </c:pt>
                <c:pt idx="926">
                  <c:v>1.8095884625563869E-3</c:v>
                </c:pt>
                <c:pt idx="927">
                  <c:v>-1.3142938449598586E-2</c:v>
                </c:pt>
                <c:pt idx="928">
                  <c:v>-2.425209093694837E-2</c:v>
                </c:pt>
                <c:pt idx="929">
                  <c:v>1.0016895067285437E-2</c:v>
                </c:pt>
                <c:pt idx="930">
                  <c:v>2.1036030588583516E-2</c:v>
                </c:pt>
                <c:pt idx="931">
                  <c:v>-2.9220050634835176E-3</c:v>
                </c:pt>
                <c:pt idx="932">
                  <c:v>1.9802362425942532E-2</c:v>
                </c:pt>
                <c:pt idx="933">
                  <c:v>5.9459625055942383E-3</c:v>
                </c:pt>
                <c:pt idx="934">
                  <c:v>-1.9246631781787392E-2</c:v>
                </c:pt>
                <c:pt idx="935">
                  <c:v>-1.0413721978925282E-2</c:v>
                </c:pt>
                <c:pt idx="936">
                  <c:v>2.1653668317374804E-2</c:v>
                </c:pt>
                <c:pt idx="937">
                  <c:v>6.9977717661534079E-3</c:v>
                </c:pt>
                <c:pt idx="938">
                  <c:v>5.1616496424349706E-3</c:v>
                </c:pt>
                <c:pt idx="939">
                  <c:v>-8.9013364651924463E-3</c:v>
                </c:pt>
                <c:pt idx="940">
                  <c:v>-1.7981128447676065E-2</c:v>
                </c:pt>
                <c:pt idx="941">
                  <c:v>-1.0614732895435417E-2</c:v>
                </c:pt>
                <c:pt idx="942">
                  <c:v>-2.4079151907627466E-2</c:v>
                </c:pt>
                <c:pt idx="943">
                  <c:v>-2.2639217061545432E-3</c:v>
                </c:pt>
                <c:pt idx="944">
                  <c:v>-1.7697578573799489E-2</c:v>
                </c:pt>
                <c:pt idx="945">
                  <c:v>-1.3117131908636869E-2</c:v>
                </c:pt>
                <c:pt idx="946">
                  <c:v>4.4096596718660855E-2</c:v>
                </c:pt>
                <c:pt idx="947">
                  <c:v>-9.5885430228896552E-3</c:v>
                </c:pt>
                <c:pt idx="948">
                  <c:v>2.7590812059251027E-2</c:v>
                </c:pt>
                <c:pt idx="949">
                  <c:v>2.3345203139332998E-2</c:v>
                </c:pt>
                <c:pt idx="950">
                  <c:v>1.009106656059602E-2</c:v>
                </c:pt>
                <c:pt idx="951">
                  <c:v>7.88145228925889E-3</c:v>
                </c:pt>
                <c:pt idx="952">
                  <c:v>-3.6507293659411794E-3</c:v>
                </c:pt>
                <c:pt idx="953">
                  <c:v>-1.2550533393104288E-3</c:v>
                </c:pt>
                <c:pt idx="954">
                  <c:v>-1.242018511168937E-2</c:v>
                </c:pt>
                <c:pt idx="955">
                  <c:v>1.7810439696101354E-2</c:v>
                </c:pt>
                <c:pt idx="956">
                  <c:v>-3.8813266873108702E-3</c:v>
                </c:pt>
                <c:pt idx="957">
                  <c:v>-2.6209390244131354E-4</c:v>
                </c:pt>
                <c:pt idx="958">
                  <c:v>-1.2729673945802442E-2</c:v>
                </c:pt>
                <c:pt idx="959">
                  <c:v>1.7325169460138561E-3</c:v>
                </c:pt>
                <c:pt idx="960">
                  <c:v>9.7166726003196854E-3</c:v>
                </c:pt>
                <c:pt idx="961">
                  <c:v>-7.243720114186559E-3</c:v>
                </c:pt>
                <c:pt idx="962">
                  <c:v>1.3087802672987665E-2</c:v>
                </c:pt>
                <c:pt idx="963">
                  <c:v>-7.8638375251652171E-3</c:v>
                </c:pt>
                <c:pt idx="964">
                  <c:v>5.5540113402332992E-3</c:v>
                </c:pt>
                <c:pt idx="965">
                  <c:v>4.8170644143776939E-3</c:v>
                </c:pt>
                <c:pt idx="966">
                  <c:v>1.0583889380665013E-2</c:v>
                </c:pt>
                <c:pt idx="967">
                  <c:v>-1.5048938735880957E-3</c:v>
                </c:pt>
                <c:pt idx="968">
                  <c:v>3.5748740306002025E-3</c:v>
                </c:pt>
                <c:pt idx="969">
                  <c:v>4.8024643686147336E-3</c:v>
                </c:pt>
                <c:pt idx="970">
                  <c:v>2.9560059792340249E-2</c:v>
                </c:pt>
                <c:pt idx="971">
                  <c:v>3.6672758146537796E-3</c:v>
                </c:pt>
                <c:pt idx="972">
                  <c:v>-1.4517285572517764E-2</c:v>
                </c:pt>
                <c:pt idx="973">
                  <c:v>-1.428752906903032E-2</c:v>
                </c:pt>
                <c:pt idx="974">
                  <c:v>-4.3044549860624615E-2</c:v>
                </c:pt>
                <c:pt idx="975">
                  <c:v>4.4658523897008883E-4</c:v>
                </c:pt>
                <c:pt idx="976">
                  <c:v>3.8796133562809818E-3</c:v>
                </c:pt>
                <c:pt idx="977">
                  <c:v>5.2331154663617192E-3</c:v>
                </c:pt>
                <c:pt idx="978">
                  <c:v>-8.0310269153805579E-3</c:v>
                </c:pt>
                <c:pt idx="979">
                  <c:v>5.0982374696020329E-3</c:v>
                </c:pt>
                <c:pt idx="980">
                  <c:v>6.2426879930984232E-3</c:v>
                </c:pt>
                <c:pt idx="981">
                  <c:v>9.8769687143424757E-3</c:v>
                </c:pt>
                <c:pt idx="982">
                  <c:v>-8.4420890788417829E-2</c:v>
                </c:pt>
                <c:pt idx="983">
                  <c:v>-1.4479159044941995E-3</c:v>
                </c:pt>
                <c:pt idx="984">
                  <c:v>-8.485040116972431E-3</c:v>
                </c:pt>
                <c:pt idx="985">
                  <c:v>-2.033841636243448E-2</c:v>
                </c:pt>
                <c:pt idx="986">
                  <c:v>-3.0866347831967661E-3</c:v>
                </c:pt>
                <c:pt idx="987">
                  <c:v>2.0265956864958867E-2</c:v>
                </c:pt>
                <c:pt idx="988">
                  <c:v>-4.5942664500758417E-3</c:v>
                </c:pt>
                <c:pt idx="989">
                  <c:v>3.5432435232445642E-3</c:v>
                </c:pt>
                <c:pt idx="990">
                  <c:v>5.9528948511204877E-4</c:v>
                </c:pt>
                <c:pt idx="991">
                  <c:v>6.7229109515943141E-3</c:v>
                </c:pt>
                <c:pt idx="992">
                  <c:v>1.8530027022318894E-2</c:v>
                </c:pt>
                <c:pt idx="993">
                  <c:v>2.0751693901461546E-2</c:v>
                </c:pt>
                <c:pt idx="994">
                  <c:v>-4.4548153447653343E-3</c:v>
                </c:pt>
                <c:pt idx="995">
                  <c:v>4.4302040376882467E-3</c:v>
                </c:pt>
                <c:pt idx="996">
                  <c:v>1.9941390051416296E-3</c:v>
                </c:pt>
                <c:pt idx="997">
                  <c:v>-9.7224906835379678E-3</c:v>
                </c:pt>
                <c:pt idx="998">
                  <c:v>9.7352252624365743E-3</c:v>
                </c:pt>
                <c:pt idx="999">
                  <c:v>-4.6314800484133752E-3</c:v>
                </c:pt>
                <c:pt idx="1000">
                  <c:v>-7.5338103529505865E-3</c:v>
                </c:pt>
                <c:pt idx="1001">
                  <c:v>9.3945502975014599E-4</c:v>
                </c:pt>
                <c:pt idx="1002">
                  <c:v>-3.7455049008160248E-3</c:v>
                </c:pt>
                <c:pt idx="1003">
                  <c:v>1.4834431354023051E-2</c:v>
                </c:pt>
                <c:pt idx="1004">
                  <c:v>-1.0515561276259335E-2</c:v>
                </c:pt>
                <c:pt idx="1005">
                  <c:v>-3.6560199127247239E-3</c:v>
                </c:pt>
                <c:pt idx="1006">
                  <c:v>5.6071359454154708E-3</c:v>
                </c:pt>
                <c:pt idx="1007">
                  <c:v>-1.6132261361471892E-3</c:v>
                </c:pt>
                <c:pt idx="1008">
                  <c:v>1.4256247942231364E-2</c:v>
                </c:pt>
                <c:pt idx="1009">
                  <c:v>-8.7224878247819969E-4</c:v>
                </c:pt>
                <c:pt idx="1010">
                  <c:v>6.0666405095419779E-3</c:v>
                </c:pt>
                <c:pt idx="1011">
                  <c:v>-2.4935408111897918E-3</c:v>
                </c:pt>
                <c:pt idx="1012">
                  <c:v>-1.1913460069671273E-2</c:v>
                </c:pt>
                <c:pt idx="1013">
                  <c:v>-1.576998956000358E-2</c:v>
                </c:pt>
                <c:pt idx="1014">
                  <c:v>2.3956689706377604E-3</c:v>
                </c:pt>
                <c:pt idx="1015">
                  <c:v>-8.5538021893504431E-5</c:v>
                </c:pt>
                <c:pt idx="1016">
                  <c:v>-1.1994143133697621E-2</c:v>
                </c:pt>
                <c:pt idx="1017">
                  <c:v>7.5174108702539943E-3</c:v>
                </c:pt>
                <c:pt idx="1018">
                  <c:v>2.022500402897497E-2</c:v>
                </c:pt>
                <c:pt idx="1019">
                  <c:v>-3.5433260276972614E-3</c:v>
                </c:pt>
                <c:pt idx="1020">
                  <c:v>7.6984368675617962E-3</c:v>
                </c:pt>
                <c:pt idx="1021">
                  <c:v>5.6491240710463617E-3</c:v>
                </c:pt>
                <c:pt idx="1022">
                  <c:v>1.365723016671698E-2</c:v>
                </c:pt>
                <c:pt idx="1023">
                  <c:v>-1.4187494798761525E-3</c:v>
                </c:pt>
                <c:pt idx="1024">
                  <c:v>9.5989797367309563E-3</c:v>
                </c:pt>
                <c:pt idx="1025">
                  <c:v>8.8388169601126693E-3</c:v>
                </c:pt>
                <c:pt idx="1026">
                  <c:v>-6.0014770656958687E-3</c:v>
                </c:pt>
                <c:pt idx="1027">
                  <c:v>9.8429486889856505E-3</c:v>
                </c:pt>
                <c:pt idx="1028">
                  <c:v>-4.2033675647859554E-3</c:v>
                </c:pt>
                <c:pt idx="1029">
                  <c:v>1.2862228776397007E-2</c:v>
                </c:pt>
                <c:pt idx="1030">
                  <c:v>-1.185422335132533E-2</c:v>
                </c:pt>
                <c:pt idx="1031">
                  <c:v>-1.1703672791538479E-2</c:v>
                </c:pt>
                <c:pt idx="1032">
                  <c:v>8.2119835031247458E-3</c:v>
                </c:pt>
                <c:pt idx="1033">
                  <c:v>-7.2927350393433826E-3</c:v>
                </c:pt>
                <c:pt idx="1034">
                  <c:v>-1.2270142506578985E-2</c:v>
                </c:pt>
                <c:pt idx="1035">
                  <c:v>-5.1014948357739889E-3</c:v>
                </c:pt>
                <c:pt idx="1036">
                  <c:v>-2.9864414804028679E-3</c:v>
                </c:pt>
                <c:pt idx="1037">
                  <c:v>-6.9549026889912761E-3</c:v>
                </c:pt>
                <c:pt idx="1038">
                  <c:v>1.387094357325639E-2</c:v>
                </c:pt>
                <c:pt idx="1039">
                  <c:v>2.3019155942142742E-2</c:v>
                </c:pt>
                <c:pt idx="1040">
                  <c:v>-4.1213587650412012E-2</c:v>
                </c:pt>
                <c:pt idx="1041">
                  <c:v>-3.0312841307466282E-2</c:v>
                </c:pt>
                <c:pt idx="1042">
                  <c:v>5.1290560530189676E-3</c:v>
                </c:pt>
                <c:pt idx="1043">
                  <c:v>-4.1237158791809538E-3</c:v>
                </c:pt>
                <c:pt idx="1044">
                  <c:v>-1.4062596554561352E-2</c:v>
                </c:pt>
                <c:pt idx="1045">
                  <c:v>-6.0521617944534712E-3</c:v>
                </c:pt>
                <c:pt idx="1046">
                  <c:v>1.9377780843476307E-3</c:v>
                </c:pt>
                <c:pt idx="1047">
                  <c:v>5.4953771571703671E-3</c:v>
                </c:pt>
                <c:pt idx="1048">
                  <c:v>1.3407732139214288E-2</c:v>
                </c:pt>
                <c:pt idx="1049">
                  <c:v>8.7847038531822571E-3</c:v>
                </c:pt>
                <c:pt idx="1050">
                  <c:v>-1.4419939715078851E-3</c:v>
                </c:pt>
                <c:pt idx="1051">
                  <c:v>-1.7117934828726759E-2</c:v>
                </c:pt>
                <c:pt idx="1052">
                  <c:v>-1.340241473977077E-3</c:v>
                </c:pt>
                <c:pt idx="1053">
                  <c:v>4.0362427466009796E-3</c:v>
                </c:pt>
                <c:pt idx="1054">
                  <c:v>5.5458920977415303E-3</c:v>
                </c:pt>
                <c:pt idx="1055">
                  <c:v>-2.3640191773435147E-2</c:v>
                </c:pt>
                <c:pt idx="1056">
                  <c:v>1.7076979207363199E-2</c:v>
                </c:pt>
                <c:pt idx="1057">
                  <c:v>7.9789501069675254E-3</c:v>
                </c:pt>
                <c:pt idx="1058">
                  <c:v>-6.5858991493918479E-3</c:v>
                </c:pt>
                <c:pt idx="1059">
                  <c:v>6.7579049009123052E-3</c:v>
                </c:pt>
                <c:pt idx="1060">
                  <c:v>-1.4383103075180127E-2</c:v>
                </c:pt>
                <c:pt idx="1061">
                  <c:v>-2.6781396827993739E-3</c:v>
                </c:pt>
                <c:pt idx="1062">
                  <c:v>1.1125668742939491E-2</c:v>
                </c:pt>
                <c:pt idx="1063">
                  <c:v>2.8514198582409764E-2</c:v>
                </c:pt>
                <c:pt idx="1064">
                  <c:v>-9.9950665898442554E-3</c:v>
                </c:pt>
                <c:pt idx="1065">
                  <c:v>-3.6999277114626181E-2</c:v>
                </c:pt>
                <c:pt idx="1066">
                  <c:v>2.2188922379587906E-2</c:v>
                </c:pt>
                <c:pt idx="1067">
                  <c:v>-2.2319495965887507E-2</c:v>
                </c:pt>
                <c:pt idx="1068">
                  <c:v>1.3768260078112902E-2</c:v>
                </c:pt>
                <c:pt idx="1069">
                  <c:v>-1.0162475707157793E-2</c:v>
                </c:pt>
                <c:pt idx="1070">
                  <c:v>-2.0739947137057867E-2</c:v>
                </c:pt>
                <c:pt idx="1071">
                  <c:v>4.1045386126666999E-3</c:v>
                </c:pt>
                <c:pt idx="1072">
                  <c:v>-1.0926165369004372E-2</c:v>
                </c:pt>
                <c:pt idx="1073">
                  <c:v>-1.3174967197883313E-2</c:v>
                </c:pt>
                <c:pt idx="1074">
                  <c:v>-1.7655116564436441E-2</c:v>
                </c:pt>
                <c:pt idx="1075">
                  <c:v>1.2682108014655207E-2</c:v>
                </c:pt>
                <c:pt idx="1076">
                  <c:v>-1.4783672234309493E-2</c:v>
                </c:pt>
                <c:pt idx="1077">
                  <c:v>1.7165895007514375E-2</c:v>
                </c:pt>
                <c:pt idx="1078">
                  <c:v>-4.6763761645144414E-3</c:v>
                </c:pt>
                <c:pt idx="1079">
                  <c:v>3.1934482637493442E-3</c:v>
                </c:pt>
                <c:pt idx="1080">
                  <c:v>-2.123332967060013E-2</c:v>
                </c:pt>
                <c:pt idx="1081">
                  <c:v>-6.6265052714005578E-3</c:v>
                </c:pt>
                <c:pt idx="1082">
                  <c:v>-7.7419436236228351E-3</c:v>
                </c:pt>
                <c:pt idx="1083">
                  <c:v>-4.2816347919610604E-3</c:v>
                </c:pt>
                <c:pt idx="1084">
                  <c:v>9.1207138496158489E-3</c:v>
                </c:pt>
                <c:pt idx="1085">
                  <c:v>1.0585124643332977E-2</c:v>
                </c:pt>
                <c:pt idx="1086">
                  <c:v>1.806308836872119E-2</c:v>
                </c:pt>
                <c:pt idx="1087">
                  <c:v>-7.5586534316210395E-3</c:v>
                </c:pt>
                <c:pt idx="1088">
                  <c:v>-2.1944186932275445E-2</c:v>
                </c:pt>
                <c:pt idx="1089">
                  <c:v>1.0447367552419085E-2</c:v>
                </c:pt>
                <c:pt idx="1090">
                  <c:v>-1.9509156738661205E-2</c:v>
                </c:pt>
                <c:pt idx="1091">
                  <c:v>6.4524155837498796E-3</c:v>
                </c:pt>
                <c:pt idx="1092">
                  <c:v>7.5357705552769726E-3</c:v>
                </c:pt>
                <c:pt idx="1093">
                  <c:v>-9.4110046203054829E-3</c:v>
                </c:pt>
                <c:pt idx="1094">
                  <c:v>2.7282057527414139E-2</c:v>
                </c:pt>
                <c:pt idx="1095">
                  <c:v>4.3717512344691692E-5</c:v>
                </c:pt>
                <c:pt idx="1096">
                  <c:v>1.203352606613854E-2</c:v>
                </c:pt>
                <c:pt idx="1097">
                  <c:v>1.311662791447093E-2</c:v>
                </c:pt>
                <c:pt idx="1098">
                  <c:v>-1.7325945723289587E-2</c:v>
                </c:pt>
                <c:pt idx="1099">
                  <c:v>-5.9465814930577377E-4</c:v>
                </c:pt>
                <c:pt idx="1100">
                  <c:v>-8.0006777323992327E-3</c:v>
                </c:pt>
                <c:pt idx="1101">
                  <c:v>-1.8713586944034178E-2</c:v>
                </c:pt>
                <c:pt idx="1102">
                  <c:v>-1.8888733962844288E-3</c:v>
                </c:pt>
                <c:pt idx="1103">
                  <c:v>9.9417209392542484E-3</c:v>
                </c:pt>
                <c:pt idx="1104">
                  <c:v>-3.4211267594652082E-3</c:v>
                </c:pt>
                <c:pt idx="1105">
                  <c:v>2.5024096704419885E-3</c:v>
                </c:pt>
                <c:pt idx="1106">
                  <c:v>6.3418174383187732E-3</c:v>
                </c:pt>
                <c:pt idx="1107">
                  <c:v>2.0533290133316753E-2</c:v>
                </c:pt>
                <c:pt idx="1108">
                  <c:v>2.9300525357069864E-2</c:v>
                </c:pt>
                <c:pt idx="1109">
                  <c:v>7.0323486354127735E-3</c:v>
                </c:pt>
                <c:pt idx="1110">
                  <c:v>-1.3545726087019533E-2</c:v>
                </c:pt>
                <c:pt idx="1111">
                  <c:v>4.5423935348030347E-5</c:v>
                </c:pt>
                <c:pt idx="1112">
                  <c:v>8.1865276756794333E-3</c:v>
                </c:pt>
                <c:pt idx="1113">
                  <c:v>3.4570005744123722E-2</c:v>
                </c:pt>
                <c:pt idx="1114">
                  <c:v>-4.835094702971895E-3</c:v>
                </c:pt>
                <c:pt idx="1115">
                  <c:v>4.1376916052566175E-4</c:v>
                </c:pt>
                <c:pt idx="1116">
                  <c:v>-1.1040120104770464E-3</c:v>
                </c:pt>
                <c:pt idx="1117">
                  <c:v>-6.8575254227812707E-3</c:v>
                </c:pt>
                <c:pt idx="1118">
                  <c:v>1.9362097850413852E-2</c:v>
                </c:pt>
                <c:pt idx="1119">
                  <c:v>1.6774424627640744E-3</c:v>
                </c:pt>
                <c:pt idx="1120">
                  <c:v>-4.1927260328940615E-3</c:v>
                </c:pt>
                <c:pt idx="1121">
                  <c:v>1.9925444151010397E-3</c:v>
                </c:pt>
                <c:pt idx="1122">
                  <c:v>-4.5900548767232593E-4</c:v>
                </c:pt>
                <c:pt idx="1123">
                  <c:v>-1.1907287255858987E-3</c:v>
                </c:pt>
                <c:pt idx="1124">
                  <c:v>2.7407105065689181E-2</c:v>
                </c:pt>
                <c:pt idx="1125">
                  <c:v>1.2460007596524993E-2</c:v>
                </c:pt>
                <c:pt idx="1126">
                  <c:v>-2.3208462104624189E-3</c:v>
                </c:pt>
                <c:pt idx="1127">
                  <c:v>7.3386858164010719E-3</c:v>
                </c:pt>
                <c:pt idx="1128">
                  <c:v>5.7000964907592735E-3</c:v>
                </c:pt>
                <c:pt idx="1129">
                  <c:v>-3.0087336041349881E-3</c:v>
                </c:pt>
                <c:pt idx="1130">
                  <c:v>-9.5720468152982446E-3</c:v>
                </c:pt>
                <c:pt idx="1131">
                  <c:v>1.081028512888786E-2</c:v>
                </c:pt>
                <c:pt idx="1132">
                  <c:v>-1.2070050900519808E-3</c:v>
                </c:pt>
                <c:pt idx="1133">
                  <c:v>2.0580462733514032E-3</c:v>
                </c:pt>
                <c:pt idx="1134">
                  <c:v>-1.451202598737664E-2</c:v>
                </c:pt>
                <c:pt idx="1135">
                  <c:v>1.1353189226903131E-2</c:v>
                </c:pt>
                <c:pt idx="1136">
                  <c:v>1.5241927033308364E-2</c:v>
                </c:pt>
                <c:pt idx="1137">
                  <c:v>-9.8463021037802599E-3</c:v>
                </c:pt>
                <c:pt idx="1138">
                  <c:v>4.3564927064857293E-3</c:v>
                </c:pt>
                <c:pt idx="1139">
                  <c:v>-6.5574864842124683E-3</c:v>
                </c:pt>
                <c:pt idx="1140">
                  <c:v>-1.1157240470513518E-3</c:v>
                </c:pt>
                <c:pt idx="1141">
                  <c:v>2.6795678059136834E-2</c:v>
                </c:pt>
                <c:pt idx="1142">
                  <c:v>9.0052751037369202E-3</c:v>
                </c:pt>
                <c:pt idx="1143">
                  <c:v>-8.2646323159222684E-3</c:v>
                </c:pt>
                <c:pt idx="1144">
                  <c:v>-1.288952925071498E-2</c:v>
                </c:pt>
                <c:pt idx="1145">
                  <c:v>-2.5383983905629755E-3</c:v>
                </c:pt>
                <c:pt idx="1146">
                  <c:v>2.1297174744307555E-2</c:v>
                </c:pt>
                <c:pt idx="1147">
                  <c:v>4.5096608323883011E-3</c:v>
                </c:pt>
                <c:pt idx="1148">
                  <c:v>-2.2312870032567517E-4</c:v>
                </c:pt>
                <c:pt idx="1149">
                  <c:v>1.1044615718220394E-2</c:v>
                </c:pt>
                <c:pt idx="1150">
                  <c:v>1.2190365422682529E-2</c:v>
                </c:pt>
                <c:pt idx="1151">
                  <c:v>2.0637924110749004E-4</c:v>
                </c:pt>
                <c:pt idx="1152">
                  <c:v>7.4160034996366819E-3</c:v>
                </c:pt>
                <c:pt idx="1153">
                  <c:v>2.032173367841103E-2</c:v>
                </c:pt>
                <c:pt idx="1154">
                  <c:v>-9.3943045871400742E-4</c:v>
                </c:pt>
                <c:pt idx="1155">
                  <c:v>5.0939074307554972E-3</c:v>
                </c:pt>
                <c:pt idx="1156">
                  <c:v>3.3888653900015315E-3</c:v>
                </c:pt>
                <c:pt idx="1157">
                  <c:v>-3.2896085667342848E-3</c:v>
                </c:pt>
                <c:pt idx="1158">
                  <c:v>9.0029195866630236E-3</c:v>
                </c:pt>
                <c:pt idx="1159">
                  <c:v>-6.933759080253973E-3</c:v>
                </c:pt>
                <c:pt idx="1160">
                  <c:v>6.6329735539332598E-3</c:v>
                </c:pt>
                <c:pt idx="1161">
                  <c:v>6.6328340887217094E-3</c:v>
                </c:pt>
                <c:pt idx="1162">
                  <c:v>-1.1666538629890851E-3</c:v>
                </c:pt>
                <c:pt idx="1163">
                  <c:v>-1.3425115818008754E-2</c:v>
                </c:pt>
                <c:pt idx="1164">
                  <c:v>-1.8789525923253655E-2</c:v>
                </c:pt>
                <c:pt idx="1165">
                  <c:v>-1.4210414311922861E-5</c:v>
                </c:pt>
                <c:pt idx="1166">
                  <c:v>8.6482252890697636E-3</c:v>
                </c:pt>
                <c:pt idx="1167">
                  <c:v>-9.6015152651653096E-3</c:v>
                </c:pt>
                <c:pt idx="1168">
                  <c:v>-5.7079558121692275E-3</c:v>
                </c:pt>
                <c:pt idx="1169">
                  <c:v>4.3745239819026052E-3</c:v>
                </c:pt>
                <c:pt idx="1170">
                  <c:v>1.3843201559834513E-2</c:v>
                </c:pt>
                <c:pt idx="1171">
                  <c:v>-8.0713095564142828E-2</c:v>
                </c:pt>
                <c:pt idx="1172">
                  <c:v>-1.9653048680472775E-2</c:v>
                </c:pt>
                <c:pt idx="1173">
                  <c:v>-5.2220435850199535E-3</c:v>
                </c:pt>
                <c:pt idx="1174">
                  <c:v>1.829575449053525E-3</c:v>
                </c:pt>
                <c:pt idx="1175">
                  <c:v>-5.1288411338915318E-3</c:v>
                </c:pt>
                <c:pt idx="1176">
                  <c:v>3.3312845985966971E-5</c:v>
                </c:pt>
                <c:pt idx="1177">
                  <c:v>-4.4967751157551404E-3</c:v>
                </c:pt>
                <c:pt idx="1178">
                  <c:v>6.982080097198271E-3</c:v>
                </c:pt>
                <c:pt idx="1179">
                  <c:v>1.0070006213844906E-2</c:v>
                </c:pt>
                <c:pt idx="1180">
                  <c:v>-1.6591726400731684E-4</c:v>
                </c:pt>
                <c:pt idx="1181">
                  <c:v>-7.8559951499049714E-3</c:v>
                </c:pt>
                <c:pt idx="1182">
                  <c:v>-2.4614805340294017E-3</c:v>
                </c:pt>
                <c:pt idx="1183">
                  <c:v>-2.2062271733292619E-2</c:v>
                </c:pt>
                <c:pt idx="1184">
                  <c:v>-2.2875738114966671E-2</c:v>
                </c:pt>
                <c:pt idx="1185">
                  <c:v>1.5819214781810798E-2</c:v>
                </c:pt>
                <c:pt idx="1186">
                  <c:v>3.6827581457643519E-3</c:v>
                </c:pt>
                <c:pt idx="1187">
                  <c:v>-1.0932684290200938E-2</c:v>
                </c:pt>
                <c:pt idx="1188">
                  <c:v>-1.0508535567800781E-2</c:v>
                </c:pt>
                <c:pt idx="1189">
                  <c:v>-8.7525129294704768E-3</c:v>
                </c:pt>
                <c:pt idx="1190">
                  <c:v>-7.6945237178292531E-4</c:v>
                </c:pt>
                <c:pt idx="1191">
                  <c:v>3.1848969260784718E-2</c:v>
                </c:pt>
                <c:pt idx="1192">
                  <c:v>1.9880480798077547E-3</c:v>
                </c:pt>
                <c:pt idx="1193">
                  <c:v>-6.7655314363311621E-3</c:v>
                </c:pt>
                <c:pt idx="1194">
                  <c:v>2.5079143177921697E-3</c:v>
                </c:pt>
                <c:pt idx="1195">
                  <c:v>-1.085589380889419E-2</c:v>
                </c:pt>
                <c:pt idx="1196">
                  <c:v>1.3813799197951405E-2</c:v>
                </c:pt>
                <c:pt idx="1197">
                  <c:v>1.8676952738618285E-2</c:v>
                </c:pt>
                <c:pt idx="1198">
                  <c:v>1.13774901602086E-2</c:v>
                </c:pt>
                <c:pt idx="1199">
                  <c:v>8.7197961733324302E-3</c:v>
                </c:pt>
                <c:pt idx="1200">
                  <c:v>-5.1134002926492448E-3</c:v>
                </c:pt>
                <c:pt idx="1201">
                  <c:v>-6.7156135153362724E-3</c:v>
                </c:pt>
                <c:pt idx="1202">
                  <c:v>-5.2910941504973425E-3</c:v>
                </c:pt>
                <c:pt idx="1203">
                  <c:v>4.1664511091869371E-3</c:v>
                </c:pt>
                <c:pt idx="1204">
                  <c:v>-1.0658442516258542E-2</c:v>
                </c:pt>
                <c:pt idx="1205">
                  <c:v>1.1226084629491595E-3</c:v>
                </c:pt>
                <c:pt idx="1206">
                  <c:v>1.6073821091545395E-2</c:v>
                </c:pt>
                <c:pt idx="1207">
                  <c:v>3.2992331639879332E-4</c:v>
                </c:pt>
                <c:pt idx="1208">
                  <c:v>6.7226873383158456E-3</c:v>
                </c:pt>
                <c:pt idx="1209">
                  <c:v>-1.6989354092568141E-3</c:v>
                </c:pt>
                <c:pt idx="1210">
                  <c:v>2.6164790045298564E-2</c:v>
                </c:pt>
                <c:pt idx="1211">
                  <c:v>-2.4351252849033687E-4</c:v>
                </c:pt>
                <c:pt idx="1212">
                  <c:v>-1.9772092280522934E-3</c:v>
                </c:pt>
                <c:pt idx="1213">
                  <c:v>2.4786682065056267E-3</c:v>
                </c:pt>
                <c:pt idx="1214">
                  <c:v>-9.9625386376514993E-3</c:v>
                </c:pt>
                <c:pt idx="1215">
                  <c:v>-9.2117334515609221E-3</c:v>
                </c:pt>
                <c:pt idx="1216">
                  <c:v>-1.5338036959107384E-3</c:v>
                </c:pt>
                <c:pt idx="1217">
                  <c:v>-4.2854498482854005E-3</c:v>
                </c:pt>
                <c:pt idx="1218">
                  <c:v>-9.5373862429165516E-3</c:v>
                </c:pt>
                <c:pt idx="1219">
                  <c:v>9.8825665866883669E-3</c:v>
                </c:pt>
                <c:pt idx="1220">
                  <c:v>2.1789046183317839E-2</c:v>
                </c:pt>
                <c:pt idx="1221">
                  <c:v>-6.5142372266657558E-5</c:v>
                </c:pt>
                <c:pt idx="1222">
                  <c:v>1.9114533586296344E-2</c:v>
                </c:pt>
                <c:pt idx="1223">
                  <c:v>-5.0091754380772171E-3</c:v>
                </c:pt>
                <c:pt idx="1224">
                  <c:v>-2.6193147965353487E-3</c:v>
                </c:pt>
                <c:pt idx="1225">
                  <c:v>5.9271716107700285E-3</c:v>
                </c:pt>
                <c:pt idx="1226">
                  <c:v>3.9062509128553295E-3</c:v>
                </c:pt>
                <c:pt idx="1227">
                  <c:v>-2.6553489603330397E-3</c:v>
                </c:pt>
                <c:pt idx="1228">
                  <c:v>-2.3267781759210664E-2</c:v>
                </c:pt>
                <c:pt idx="1229">
                  <c:v>1.6769938185387347E-3</c:v>
                </c:pt>
                <c:pt idx="1230">
                  <c:v>-1.4081634442213897E-2</c:v>
                </c:pt>
                <c:pt idx="1231">
                  <c:v>-6.0570039206207585E-3</c:v>
                </c:pt>
                <c:pt idx="1232">
                  <c:v>-1.0219604646744011E-2</c:v>
                </c:pt>
                <c:pt idx="1233">
                  <c:v>-2.9737135152285779E-3</c:v>
                </c:pt>
                <c:pt idx="1234">
                  <c:v>5.4314522305207419E-2</c:v>
                </c:pt>
                <c:pt idx="1235">
                  <c:v>1.6495076110321701E-2</c:v>
                </c:pt>
                <c:pt idx="1236">
                  <c:v>-1.361835396078476E-3</c:v>
                </c:pt>
                <c:pt idx="1237">
                  <c:v>-4.546765975401673E-3</c:v>
                </c:pt>
                <c:pt idx="1238">
                  <c:v>3.2836541757495698E-3</c:v>
                </c:pt>
                <c:pt idx="1239">
                  <c:v>-4.4683097763684475E-4</c:v>
                </c:pt>
                <c:pt idx="1240">
                  <c:v>1.8215453757601614E-3</c:v>
                </c:pt>
                <c:pt idx="1241">
                  <c:v>2.5700927974908451E-2</c:v>
                </c:pt>
                <c:pt idx="1242">
                  <c:v>-2.2022852888679181E-2</c:v>
                </c:pt>
                <c:pt idx="1243">
                  <c:v>8.2076672104649754E-3</c:v>
                </c:pt>
                <c:pt idx="1244">
                  <c:v>5.1393990444251175E-3</c:v>
                </c:pt>
                <c:pt idx="1245">
                  <c:v>4.2621528871900904E-3</c:v>
                </c:pt>
                <c:pt idx="1246">
                  <c:v>1.4109620724025594E-2</c:v>
                </c:pt>
                <c:pt idx="1247">
                  <c:v>-4.4020457851687844E-3</c:v>
                </c:pt>
                <c:pt idx="1248">
                  <c:v>-2.8441622500858833E-3</c:v>
                </c:pt>
                <c:pt idx="1249">
                  <c:v>2.1208933545760178E-3</c:v>
                </c:pt>
                <c:pt idx="1250">
                  <c:v>5.689888864338479E-3</c:v>
                </c:pt>
                <c:pt idx="1251">
                  <c:v>5.7896257499607954E-3</c:v>
                </c:pt>
                <c:pt idx="1252">
                  <c:v>1.696062313352957E-2</c:v>
                </c:pt>
                <c:pt idx="1253">
                  <c:v>-1.8480644049799176E-2</c:v>
                </c:pt>
                <c:pt idx="1254">
                  <c:v>3.2281581325892591E-3</c:v>
                </c:pt>
                <c:pt idx="1255">
                  <c:v>4.6085042935320704E-3</c:v>
                </c:pt>
                <c:pt idx="1256">
                  <c:v>-1.182490684236581E-2</c:v>
                </c:pt>
                <c:pt idx="1257">
                  <c:v>-1.4551921699757174E-3</c:v>
                </c:pt>
                <c:pt idx="1258">
                  <c:v>1.1567325673733763E-2</c:v>
                </c:pt>
              </c:numCache>
            </c:numRef>
          </c:yVal>
          <c:smooth val="0"/>
        </c:ser>
        <c:ser>
          <c:idx val="1"/>
          <c:order val="1"/>
          <c:tx>
            <c:v>ELLIPSE</c:v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[0]!U_RNG</c:f>
              <c:numCache>
                <c:formatCode>0.00%</c:formatCode>
                <c:ptCount val="38"/>
                <c:pt idx="0">
                  <c:v>4.9344559720322714E-2</c:v>
                </c:pt>
                <c:pt idx="1">
                  <c:v>4.8594904981547726E-2</c:v>
                </c:pt>
                <c:pt idx="2">
                  <c:v>4.6368718645116831E-2</c:v>
                </c:pt>
                <c:pt idx="3">
                  <c:v>4.273364225635784E-2</c:v>
                </c:pt>
                <c:pt idx="4">
                  <c:v>3.7800125771905786E-2</c:v>
                </c:pt>
                <c:pt idx="5">
                  <c:v>3.1718071593660961E-2</c:v>
                </c:pt>
                <c:pt idx="6">
                  <c:v>2.4672279860161402E-2</c:v>
                </c:pt>
                <c:pt idx="7">
                  <c:v>1.6876833387886852E-2</c:v>
                </c:pt>
                <c:pt idx="8">
                  <c:v>8.5685928732111231E-3</c:v>
                </c:pt>
                <c:pt idx="9">
                  <c:v>7.9718335733932122E-17</c:v>
                </c:pt>
                <c:pt idx="10">
                  <c:v>-8.5685928732109652E-3</c:v>
                </c:pt>
                <c:pt idx="11">
                  <c:v>-1.6876833387886699E-2</c:v>
                </c:pt>
                <c:pt idx="12">
                  <c:v>-2.4672279860161274E-2</c:v>
                </c:pt>
                <c:pt idx="13">
                  <c:v>-3.1718071593660843E-2</c:v>
                </c:pt>
                <c:pt idx="14">
                  <c:v>-3.7800125771905689E-2</c:v>
                </c:pt>
                <c:pt idx="15">
                  <c:v>-4.2733642256357764E-2</c:v>
                </c:pt>
                <c:pt idx="16">
                  <c:v>-4.6368718645116776E-2</c:v>
                </c:pt>
                <c:pt idx="17">
                  <c:v>-4.8594904981547699E-2</c:v>
                </c:pt>
                <c:pt idx="18">
                  <c:v>-4.9344559720322714E-2</c:v>
                </c:pt>
                <c:pt idx="19">
                  <c:v>-4.8594904981547754E-2</c:v>
                </c:pt>
                <c:pt idx="20">
                  <c:v>-4.6368718645116887E-2</c:v>
                </c:pt>
                <c:pt idx="21">
                  <c:v>-4.2733642256357923E-2</c:v>
                </c:pt>
                <c:pt idx="22">
                  <c:v>-3.7800125771905897E-2</c:v>
                </c:pt>
                <c:pt idx="23">
                  <c:v>-3.1718071593661072E-2</c:v>
                </c:pt>
                <c:pt idx="24">
                  <c:v>-2.4672279860161527E-2</c:v>
                </c:pt>
                <c:pt idx="25">
                  <c:v>-1.6876833387886991E-2</c:v>
                </c:pt>
                <c:pt idx="26">
                  <c:v>-8.5685928732112671E-3</c:v>
                </c:pt>
                <c:pt idx="27">
                  <c:v>-2.2819831393349767E-16</c:v>
                </c:pt>
                <c:pt idx="28">
                  <c:v>8.5685928732108178E-3</c:v>
                </c:pt>
                <c:pt idx="29">
                  <c:v>1.687683338788656E-2</c:v>
                </c:pt>
                <c:pt idx="30">
                  <c:v>2.4672279860161132E-2</c:v>
                </c:pt>
                <c:pt idx="31">
                  <c:v>3.1718071593660718E-2</c:v>
                </c:pt>
                <c:pt idx="32">
                  <c:v>3.7800125771905592E-2</c:v>
                </c:pt>
                <c:pt idx="33">
                  <c:v>4.273364225635768E-2</c:v>
                </c:pt>
                <c:pt idx="34">
                  <c:v>4.636871864511672E-2</c:v>
                </c:pt>
                <c:pt idx="35">
                  <c:v>4.8594904981547671E-2</c:v>
                </c:pt>
                <c:pt idx="36">
                  <c:v>4.9344559720322714E-2</c:v>
                </c:pt>
                <c:pt idx="37">
                  <c:v>4.8594904981547782E-2</c:v>
                </c:pt>
              </c:numCache>
            </c:numRef>
          </c:xVal>
          <c:yVal>
            <c:numRef>
              <c:f>[0]!V_RNG</c:f>
              <c:numCache>
                <c:formatCode>0.00%</c:formatCode>
                <c:ptCount val="38"/>
                <c:pt idx="0">
                  <c:v>4.5473965762415476E-2</c:v>
                </c:pt>
                <c:pt idx="1">
                  <c:v>5.6066718622496084E-2</c:v>
                </c:pt>
                <c:pt idx="2">
                  <c:v>6.49559126083607E-2</c:v>
                </c:pt>
                <c:pt idx="3">
                  <c:v>7.1871454058898027E-2</c:v>
                </c:pt>
                <c:pt idx="4">
                  <c:v>7.6603217746566338E-2</c:v>
                </c:pt>
                <c:pt idx="5">
                  <c:v>7.9007431426103752E-2</c:v>
                </c:pt>
                <c:pt idx="6">
                  <c:v>7.9011044281448367E-2</c:v>
                </c:pt>
                <c:pt idx="7">
                  <c:v>7.6613946537818736E-2</c:v>
                </c:pt>
                <c:pt idx="8">
                  <c:v>7.1888972797165038E-2</c:v>
                </c:pt>
                <c:pt idx="9">
                  <c:v>6.4979688995644977E-2</c:v>
                </c:pt>
                <c:pt idx="10">
                  <c:v>5.6096030225301435E-2</c:v>
                </c:pt>
                <c:pt idx="11">
                  <c:v>4.5507921962523047E-2</c:v>
                </c:pt>
                <c:pt idx="12">
                  <c:v>3.353707851903303E-2</c:v>
                </c:pt>
                <c:pt idx="13">
                  <c:v>2.0547227915322777E-2</c:v>
                </c:pt>
                <c:pt idx="14">
                  <c:v>6.933060188804456E-3</c:v>
                </c:pt>
                <c:pt idx="15">
                  <c:v>-6.8917650632529526E-3</c:v>
                </c:pt>
                <c:pt idx="16">
                  <c:v>-2.0507187521264812E-2</c:v>
                </c:pt>
                <c:pt idx="17">
                  <c:v>-3.3499509463580636E-2</c:v>
                </c:pt>
                <c:pt idx="18">
                  <c:v>-4.5473965762415282E-2</c:v>
                </c:pt>
                <c:pt idx="19">
                  <c:v>-5.6066718622495917E-2</c:v>
                </c:pt>
                <c:pt idx="20">
                  <c:v>-6.4955912608360561E-2</c:v>
                </c:pt>
                <c:pt idx="21">
                  <c:v>-7.1871454058897943E-2</c:v>
                </c:pt>
                <c:pt idx="22">
                  <c:v>-7.6603217746566282E-2</c:v>
                </c:pt>
                <c:pt idx="23">
                  <c:v>-7.9007431426103739E-2</c:v>
                </c:pt>
                <c:pt idx="24">
                  <c:v>-7.9011044281448395E-2</c:v>
                </c:pt>
                <c:pt idx="25">
                  <c:v>-7.6613946537818806E-2</c:v>
                </c:pt>
                <c:pt idx="26">
                  <c:v>-7.1888972797165135E-2</c:v>
                </c:pt>
                <c:pt idx="27">
                  <c:v>-6.4979688995645116E-2</c:v>
                </c:pt>
                <c:pt idx="28">
                  <c:v>-5.6096030225301609E-2</c:v>
                </c:pt>
                <c:pt idx="29">
                  <c:v>-4.5507921962523248E-2</c:v>
                </c:pt>
                <c:pt idx="30">
                  <c:v>-3.3537078519033259E-2</c:v>
                </c:pt>
                <c:pt idx="31">
                  <c:v>-2.0547227915323037E-2</c:v>
                </c:pt>
                <c:pt idx="32">
                  <c:v>-6.9330601888047266E-3</c:v>
                </c:pt>
                <c:pt idx="33">
                  <c:v>6.891765063252675E-3</c:v>
                </c:pt>
                <c:pt idx="34">
                  <c:v>2.0507187521264552E-2</c:v>
                </c:pt>
                <c:pt idx="35">
                  <c:v>3.3499509463580393E-2</c:v>
                </c:pt>
                <c:pt idx="36">
                  <c:v>4.5473965762415053E-2</c:v>
                </c:pt>
                <c:pt idx="37">
                  <c:v>5.6066718622495716E-2</c:v>
                </c:pt>
              </c:numCache>
            </c:numRef>
          </c:yVal>
          <c:smooth val="0"/>
        </c:ser>
        <c:ser>
          <c:idx val="2"/>
          <c:order val="2"/>
          <c:tx>
            <c:v>ELLIPSE ROTATED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[0]!Ur_RNG</c:f>
              <c:numCache>
                <c:formatCode>0.00%</c:formatCode>
                <c:ptCount val="38"/>
                <c:pt idx="0">
                  <c:v>9.2976760436007388E-5</c:v>
                </c:pt>
                <c:pt idx="1">
                  <c:v>-8.1953352050841907E-3</c:v>
                </c:pt>
                <c:pt idx="2">
                  <c:v>-1.6234636057437607E-2</c:v>
                </c:pt>
                <c:pt idx="3">
                  <c:v>-2.3780655708308018E-2</c:v>
                </c:pt>
                <c:pt idx="4">
                  <c:v>-3.0604112169073928E-2</c:v>
                </c:pt>
                <c:pt idx="5">
                  <c:v>-3.64976781680105E-2</c:v>
                </c:pt>
                <c:pt idx="6">
                  <c:v>-4.1282280684528355E-2</c:v>
                </c:pt>
                <c:pt idx="7">
                  <c:v>-4.4812541992288818E-2</c:v>
                </c:pt>
                <c:pt idx="8">
                  <c:v>-4.6981196887853967E-2</c:v>
                </c:pt>
                <c:pt idx="9">
                  <c:v>-4.7722351889614406E-2</c:v>
                </c:pt>
                <c:pt idx="10">
                  <c:v>-4.7013487377884168E-2</c:v>
                </c:pt>
                <c:pt idx="11">
                  <c:v>-4.4876141842149421E-2</c:v>
                </c:pt>
                <c:pt idx="12">
                  <c:v>-4.1375257444964439E-2</c:v>
                </c:pt>
                <c:pt idx="13">
                  <c:v>-3.6617206787204697E-2</c:v>
                </c:pt>
                <c:pt idx="14">
                  <c:v>-3.0746560830416433E-2</c:v>
                </c:pt>
                <c:pt idx="15">
                  <c:v>-2.3941696181306461E-2</c:v>
                </c:pt>
                <c:pt idx="16">
                  <c:v>-1.6409375208810327E-2</c:v>
                </c:pt>
                <c:pt idx="17">
                  <c:v>-8.3784636741390008E-3</c:v>
                </c:pt>
                <c:pt idx="18">
                  <c:v>-9.2976760436146166E-5</c:v>
                </c:pt>
                <c:pt idx="19">
                  <c:v>8.1953352050840519E-3</c:v>
                </c:pt>
                <c:pt idx="20">
                  <c:v>1.6234636057437468E-2</c:v>
                </c:pt>
                <c:pt idx="21">
                  <c:v>2.37806557083079E-2</c:v>
                </c:pt>
                <c:pt idx="22">
                  <c:v>3.060411216907381E-2</c:v>
                </c:pt>
                <c:pt idx="23">
                  <c:v>3.649767816801041E-2</c:v>
                </c:pt>
                <c:pt idx="24">
                  <c:v>4.1282280684528293E-2</c:v>
                </c:pt>
                <c:pt idx="25">
                  <c:v>4.4812541992288776E-2</c:v>
                </c:pt>
                <c:pt idx="26">
                  <c:v>4.6981196887853939E-2</c:v>
                </c:pt>
                <c:pt idx="27">
                  <c:v>4.7722351889614413E-2</c:v>
                </c:pt>
                <c:pt idx="28">
                  <c:v>4.7013487377884196E-2</c:v>
                </c:pt>
                <c:pt idx="29">
                  <c:v>4.487614184214947E-2</c:v>
                </c:pt>
                <c:pt idx="30">
                  <c:v>4.1375257444964508E-2</c:v>
                </c:pt>
                <c:pt idx="31">
                  <c:v>3.6617206787204801E-2</c:v>
                </c:pt>
                <c:pt idx="32">
                  <c:v>3.0746560830416565E-2</c:v>
                </c:pt>
                <c:pt idx="33">
                  <c:v>2.3941696181306611E-2</c:v>
                </c:pt>
                <c:pt idx="34">
                  <c:v>1.6409375208810483E-2</c:v>
                </c:pt>
                <c:pt idx="35">
                  <c:v>8.3784636741391569E-3</c:v>
                </c:pt>
                <c:pt idx="36">
                  <c:v>9.29767604363127E-5</c:v>
                </c:pt>
                <c:pt idx="37">
                  <c:v>-8.1953352050838854E-3</c:v>
                </c:pt>
              </c:numCache>
            </c:numRef>
          </c:xVal>
          <c:yVal>
            <c:numRef>
              <c:f>[0]!Vr_RNG</c:f>
              <c:numCache>
                <c:formatCode>0.00%</c:formatCode>
                <c:ptCount val="38"/>
                <c:pt idx="0">
                  <c:v>6.7102596756577523E-2</c:v>
                </c:pt>
                <c:pt idx="1">
                  <c:v>7.3741292422469157E-2</c:v>
                </c:pt>
                <c:pt idx="2">
                  <c:v>7.8139396232998523E-2</c:v>
                </c:pt>
                <c:pt idx="3">
                  <c:v>8.0163274029430576E-2</c:v>
                </c:pt>
                <c:pt idx="4">
                  <c:v>7.9751431309052337E-2</c:v>
                </c:pt>
                <c:pt idx="5">
                  <c:v>7.691638170451999E-2</c:v>
                </c:pt>
                <c:pt idx="6">
                  <c:v>7.1744266763462961E-2</c:v>
                </c:pt>
                <c:pt idx="7">
                  <c:v>6.4392238581148828E-2</c:v>
                </c:pt>
                <c:pt idx="8">
                  <c:v>5.5083684813591396E-2</c:v>
                </c:pt>
                <c:pt idx="9">
                  <c:v>4.4101441156662445E-2</c:v>
                </c:pt>
                <c:pt idx="10">
                  <c:v>3.1779197526594333E-2</c:v>
                </c:pt>
                <c:pt idx="11">
                  <c:v>1.8491359060730524E-2</c:v>
                </c:pt>
                <c:pt idx="12">
                  <c:v>4.6416700068855656E-3</c:v>
                </c:pt>
                <c:pt idx="13">
                  <c:v>-9.3490538413202352E-3</c:v>
                </c:pt>
                <c:pt idx="14">
                  <c:v>-2.3055711419407033E-2</c:v>
                </c:pt>
                <c:pt idx="15">
                  <c:v>-3.6061832872768061E-2</c:v>
                </c:pt>
                <c:pt idx="16">
                  <c:v>-4.7972233782457956E-2</c:v>
                </c:pt>
                <c:pt idx="17">
                  <c:v>-5.8425022643789459E-2</c:v>
                </c:pt>
                <c:pt idx="18">
                  <c:v>-6.7102596756577398E-2</c:v>
                </c:pt>
                <c:pt idx="19">
                  <c:v>-7.3741292422469074E-2</c:v>
                </c:pt>
                <c:pt idx="20">
                  <c:v>-7.8139396232998481E-2</c:v>
                </c:pt>
                <c:pt idx="21">
                  <c:v>-8.0163274029430576E-2</c:v>
                </c:pt>
                <c:pt idx="22">
                  <c:v>-7.9751431309052379E-2</c:v>
                </c:pt>
                <c:pt idx="23">
                  <c:v>-7.6916381704520073E-2</c:v>
                </c:pt>
                <c:pt idx="24">
                  <c:v>-7.1744266763463072E-2</c:v>
                </c:pt>
                <c:pt idx="25">
                  <c:v>-6.4392238581148981E-2</c:v>
                </c:pt>
                <c:pt idx="26">
                  <c:v>-5.508368481359157E-2</c:v>
                </c:pt>
                <c:pt idx="27">
                  <c:v>-4.4101441156662653E-2</c:v>
                </c:pt>
                <c:pt idx="28">
                  <c:v>-3.1779197526594562E-2</c:v>
                </c:pt>
                <c:pt idx="29">
                  <c:v>-1.849135906073076E-2</c:v>
                </c:pt>
                <c:pt idx="30">
                  <c:v>-4.6416700068858258E-3</c:v>
                </c:pt>
                <c:pt idx="31">
                  <c:v>9.3490538413199681E-3</c:v>
                </c:pt>
                <c:pt idx="32">
                  <c:v>2.3055711419406776E-2</c:v>
                </c:pt>
                <c:pt idx="33">
                  <c:v>3.6061832872767811E-2</c:v>
                </c:pt>
                <c:pt idx="34">
                  <c:v>4.7972233782457734E-2</c:v>
                </c:pt>
                <c:pt idx="35">
                  <c:v>5.8425022643789272E-2</c:v>
                </c:pt>
                <c:pt idx="36">
                  <c:v>6.7102596756577232E-2</c:v>
                </c:pt>
                <c:pt idx="37">
                  <c:v>7.3741292422468963E-2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78976"/>
        <c:axId val="169479552"/>
      </c:scatterChart>
      <c:valAx>
        <c:axId val="169478976"/>
        <c:scaling>
          <c:orientation val="minMax"/>
          <c:max val="0.11558306374996147"/>
          <c:min val="-9.0567092656536688E-2"/>
        </c:scaling>
        <c:delete val="0"/>
        <c:axPos val="b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479552"/>
        <c:crosses val="autoZero"/>
        <c:crossBetween val="midCat"/>
      </c:valAx>
      <c:valAx>
        <c:axId val="169479552"/>
        <c:scaling>
          <c:orientation val="minMax"/>
          <c:max val="0.19926961471036991"/>
          <c:min val="-0.11673716846704887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478976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>
    <tabColor rgb="FFFF0000"/>
  </sheetPr>
  <sheetViews>
    <sheetView zoomScale="118" workbookViewId="0" zoomToFit="1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">
    <tabColor rgb="FF0070C0"/>
  </sheetPr>
  <sheetViews>
    <sheetView tabSelected="1" zoomScale="118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933451</xdr:colOff>
      <xdr:row>10</xdr:row>
      <xdr:rowOff>180976</xdr:rowOff>
    </xdr:from>
    <xdr:to>
      <xdr:col>2</xdr:col>
      <xdr:colOff>400050</xdr:colOff>
      <xdr:row>13</xdr:row>
      <xdr:rowOff>161926</xdr:rowOff>
    </xdr:to>
    <xdr:sp macro="[0]!REFRESH_MODEL1" textlink="">
      <xdr:nvSpPr>
        <xdr:cNvPr id="2" name="AutoShape 2"/>
        <xdr:cNvSpPr>
          <a:spLocks noChangeArrowheads="1"/>
        </xdr:cNvSpPr>
      </xdr:nvSpPr>
      <xdr:spPr bwMode="auto">
        <a:xfrm>
          <a:off x="1181101" y="2076451"/>
          <a:ext cx="1800224" cy="55245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  <xdr:twoCellAnchor editAs="oneCell">
    <xdr:from>
      <xdr:col>0</xdr:col>
      <xdr:colOff>85725</xdr:colOff>
      <xdr:row>23</xdr:row>
      <xdr:rowOff>123825</xdr:rowOff>
    </xdr:from>
    <xdr:to>
      <xdr:col>3</xdr:col>
      <xdr:colOff>171450</xdr:colOff>
      <xdr:row>39</xdr:row>
      <xdr:rowOff>57150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4495800"/>
          <a:ext cx="3895725" cy="2981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29004" cy="62881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0.76309</cdr:x>
      <cdr:y>0.91187</cdr:y>
    </cdr:from>
    <cdr:to>
      <cdr:x>0.93586</cdr:x>
      <cdr:y>0.97661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610803" y="5749018"/>
          <a:ext cx="1496743" cy="408163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29004" cy="62881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0.78534</cdr:x>
      <cdr:y>0.91367</cdr:y>
    </cdr:from>
    <cdr:to>
      <cdr:x>0.95811</cdr:x>
      <cdr:y>0.97841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803572" y="5760357"/>
          <a:ext cx="1496743" cy="408163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LS/2.%20GITHUB/BGCVI/ADD-IN/BGCVI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MATRIX_TRANSPOSE_FUN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</sheetPr>
  <dimension ref="B2:AA1265"/>
  <sheetViews>
    <sheetView showGridLines="0" workbookViewId="0">
      <selection activeCell="C16" sqref="C16"/>
    </sheetView>
  </sheetViews>
  <sheetFormatPr defaultColWidth="15.7109375" defaultRowHeight="15" customHeight="1" x14ac:dyDescent="0.2"/>
  <cols>
    <col min="1" max="1" width="3.7109375" style="2" customWidth="1"/>
    <col min="2" max="2" width="35" style="2" bestFit="1" customWidth="1"/>
    <col min="3" max="3" width="18.42578125" style="2" bestFit="1" customWidth="1"/>
    <col min="4" max="4" width="3.7109375" style="2" customWidth="1"/>
    <col min="5" max="22" width="15.7109375" style="3" customWidth="1"/>
    <col min="23" max="27" width="15.7109375" style="2" customWidth="1"/>
    <col min="28" max="16384" width="15.7109375" style="2"/>
  </cols>
  <sheetData>
    <row r="2" spans="2:27" ht="29.25" x14ac:dyDescent="0.2">
      <c r="B2" s="1" t="s">
        <v>23</v>
      </c>
      <c r="R2" s="4"/>
    </row>
    <row r="3" spans="2:27" ht="15" customHeight="1" x14ac:dyDescent="0.2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2:27" ht="15" customHeight="1" x14ac:dyDescent="0.25">
      <c r="B4" s="5" t="s">
        <v>9</v>
      </c>
      <c r="C4" s="6" t="s">
        <v>13</v>
      </c>
      <c r="D4" s="7"/>
      <c r="E4" s="14" t="s">
        <v>0</v>
      </c>
      <c r="F4" s="12" t="s">
        <v>14</v>
      </c>
      <c r="G4" s="12" t="s">
        <v>20</v>
      </c>
      <c r="H4" s="16" t="s">
        <v>15</v>
      </c>
      <c r="I4" s="16" t="s">
        <v>21</v>
      </c>
      <c r="J4" s="12" t="s">
        <v>1</v>
      </c>
      <c r="K4" s="16" t="s">
        <v>2</v>
      </c>
      <c r="L4" s="16" t="s">
        <v>3</v>
      </c>
      <c r="M4" s="16" t="s">
        <v>4</v>
      </c>
      <c r="N4" s="16" t="s">
        <v>5</v>
      </c>
      <c r="O4"/>
      <c r="P4" s="18"/>
      <c r="Q4" s="8"/>
      <c r="R4" s="8"/>
      <c r="S4" s="8"/>
      <c r="T4" s="8"/>
      <c r="U4" s="8"/>
      <c r="V4" s="8"/>
      <c r="W4" s="8"/>
      <c r="X4" s="8"/>
      <c r="Y4" s="8"/>
      <c r="Z4" s="8"/>
      <c r="AA4" s="8"/>
    </row>
    <row r="5" spans="2:27" ht="15" customHeight="1" x14ac:dyDescent="0.25">
      <c r="B5" s="5" t="s">
        <v>6</v>
      </c>
      <c r="C5" s="6" t="s">
        <v>19</v>
      </c>
      <c r="D5" s="7"/>
      <c r="E5" s="15">
        <v>39506</v>
      </c>
      <c r="F5" s="13">
        <v>1367.68</v>
      </c>
      <c r="G5" s="13">
        <v>475.39</v>
      </c>
      <c r="H5" s="17"/>
      <c r="I5" s="17"/>
      <c r="J5" s="13">
        <v>0</v>
      </c>
      <c r="K5" s="17">
        <v>4.9344559720322714E-2</v>
      </c>
      <c r="L5" s="17">
        <v>4.5473965762415476E-2</v>
      </c>
      <c r="M5" s="17">
        <v>9.2976760436007388E-5</v>
      </c>
      <c r="N5" s="17">
        <v>6.7102596756577523E-2</v>
      </c>
      <c r="O5"/>
      <c r="P5" s="1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2:27" ht="15" customHeight="1" x14ac:dyDescent="0.25">
      <c r="B6" s="5" t="s">
        <v>7</v>
      </c>
      <c r="C6" s="9">
        <f ca="1">DATE(YEAR(C7)-5,MONTH(C7)-0,DAY(C7))</f>
        <v>39506</v>
      </c>
      <c r="D6" s="7"/>
      <c r="E6" s="15">
        <v>39507</v>
      </c>
      <c r="F6" s="13">
        <v>1330.63</v>
      </c>
      <c r="G6" s="13">
        <v>471.18</v>
      </c>
      <c r="H6" s="17">
        <v>-2.7306966660577775E-2</v>
      </c>
      <c r="I6" s="17">
        <v>-9.5017411814878414E-3</v>
      </c>
      <c r="J6" s="13">
        <v>10</v>
      </c>
      <c r="K6" s="17">
        <v>4.8594904981547726E-2</v>
      </c>
      <c r="L6" s="17">
        <v>5.6066718622496084E-2</v>
      </c>
      <c r="M6" s="17">
        <v>-8.1953352050841907E-3</v>
      </c>
      <c r="N6" s="17">
        <v>7.3741292422469157E-2</v>
      </c>
      <c r="O6"/>
      <c r="P6" s="18"/>
      <c r="Q6" s="8"/>
      <c r="R6" s="8"/>
      <c r="S6" s="8"/>
      <c r="T6" s="8"/>
      <c r="U6" s="8"/>
      <c r="V6" s="8"/>
      <c r="W6" s="8"/>
      <c r="X6" s="8"/>
      <c r="Y6" s="8"/>
      <c r="Z6" s="8"/>
      <c r="AA6" s="8"/>
    </row>
    <row r="7" spans="2:27" ht="15" customHeight="1" x14ac:dyDescent="0.25">
      <c r="B7" s="5" t="s">
        <v>8</v>
      </c>
      <c r="C7" s="9">
        <f ca="1">TODAY()</f>
        <v>41333</v>
      </c>
      <c r="D7" s="7"/>
      <c r="E7" s="15">
        <v>39510</v>
      </c>
      <c r="F7" s="13">
        <v>1331.34</v>
      </c>
      <c r="G7" s="13">
        <v>457.02</v>
      </c>
      <c r="H7" s="17">
        <v>3.1628527486569907E-4</v>
      </c>
      <c r="I7" s="17">
        <v>-3.0698063782614922E-2</v>
      </c>
      <c r="J7" s="13">
        <v>20</v>
      </c>
      <c r="K7" s="17">
        <v>4.6368718645116831E-2</v>
      </c>
      <c r="L7" s="17">
        <v>6.49559126083607E-2</v>
      </c>
      <c r="M7" s="17">
        <v>-1.6234636057437607E-2</v>
      </c>
      <c r="N7" s="17">
        <v>7.8139396232998523E-2</v>
      </c>
      <c r="O7"/>
      <c r="P7" s="1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2:27" ht="15" customHeight="1" x14ac:dyDescent="0.25">
      <c r="B8" s="5" t="s">
        <v>10</v>
      </c>
      <c r="C8" s="6" t="s">
        <v>12</v>
      </c>
      <c r="D8" s="7"/>
      <c r="E8" s="15">
        <v>39511</v>
      </c>
      <c r="F8" s="13">
        <v>1326.75</v>
      </c>
      <c r="G8" s="13">
        <v>444.6</v>
      </c>
      <c r="H8" s="17">
        <v>-3.6649508054025976E-3</v>
      </c>
      <c r="I8" s="17">
        <v>-2.7821908000263889E-2</v>
      </c>
      <c r="J8" s="13">
        <v>30</v>
      </c>
      <c r="K8" s="17">
        <v>4.273364225635784E-2</v>
      </c>
      <c r="L8" s="17">
        <v>7.1871454058898027E-2</v>
      </c>
      <c r="M8" s="17">
        <v>-2.3780655708308018E-2</v>
      </c>
      <c r="N8" s="17">
        <v>8.0163274029430576E-2</v>
      </c>
      <c r="O8"/>
      <c r="P8" s="1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2:27" ht="15" customHeight="1" x14ac:dyDescent="0.25">
      <c r="B9" s="5" t="s">
        <v>11</v>
      </c>
      <c r="C9" s="11">
        <v>3</v>
      </c>
      <c r="D9" s="7"/>
      <c r="E9" s="15">
        <v>39512</v>
      </c>
      <c r="F9" s="13">
        <v>1333.7</v>
      </c>
      <c r="G9" s="13">
        <v>447.7</v>
      </c>
      <c r="H9" s="17">
        <v>5.0210678620360317E-3</v>
      </c>
      <c r="I9" s="17">
        <v>6.3267051682700968E-3</v>
      </c>
      <c r="J9" s="13">
        <v>40</v>
      </c>
      <c r="K9" s="17">
        <v>3.7800125771905786E-2</v>
      </c>
      <c r="L9" s="17">
        <v>7.6603217746566338E-2</v>
      </c>
      <c r="M9" s="17">
        <v>-3.0604112169073928E-2</v>
      </c>
      <c r="N9" s="17">
        <v>7.9751431309052337E-2</v>
      </c>
      <c r="O9"/>
      <c r="P9" s="1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2:27" ht="15" customHeight="1" x14ac:dyDescent="0.25">
      <c r="B10" s="24" t="s">
        <v>22</v>
      </c>
      <c r="C10" s="25"/>
      <c r="D10" s="7"/>
      <c r="E10" s="15">
        <v>39513</v>
      </c>
      <c r="F10" s="13">
        <v>1304.3399999999999</v>
      </c>
      <c r="G10" s="13">
        <v>432.7</v>
      </c>
      <c r="H10" s="17">
        <v>-2.2231242727113854E-2</v>
      </c>
      <c r="I10" s="17">
        <v>-3.4150433394992873E-2</v>
      </c>
      <c r="J10" s="13">
        <v>50</v>
      </c>
      <c r="K10" s="17">
        <v>3.1718071593660961E-2</v>
      </c>
      <c r="L10" s="17">
        <v>7.9007431426103752E-2</v>
      </c>
      <c r="M10" s="17">
        <v>-3.64976781680105E-2</v>
      </c>
      <c r="N10" s="17">
        <v>7.691638170451999E-2</v>
      </c>
      <c r="O10"/>
      <c r="P10" s="1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1" spans="2:27" ht="15" customHeight="1" x14ac:dyDescent="0.25">
      <c r="C11" s="10"/>
      <c r="E11" s="15">
        <v>39514</v>
      </c>
      <c r="F11" s="13">
        <v>1293.3699999999999</v>
      </c>
      <c r="G11" s="13">
        <v>433.35</v>
      </c>
      <c r="H11" s="17">
        <v>-8.6276803579452815E-3</v>
      </c>
      <c r="I11" s="17">
        <v>8.5634108065569571E-4</v>
      </c>
      <c r="J11" s="13">
        <v>60</v>
      </c>
      <c r="K11" s="17">
        <v>2.4672279860161402E-2</v>
      </c>
      <c r="L11" s="17">
        <v>7.9011044281448367E-2</v>
      </c>
      <c r="M11" s="17">
        <v>-4.1282280684528355E-2</v>
      </c>
      <c r="N11" s="17">
        <v>7.1744266763462961E-2</v>
      </c>
      <c r="O11" s="19"/>
      <c r="P11" s="18"/>
      <c r="Q11" s="8"/>
      <c r="R11" s="8"/>
      <c r="S11" s="8"/>
      <c r="T11" s="8"/>
      <c r="U11" s="8"/>
      <c r="V11" s="8"/>
      <c r="W11" s="8"/>
      <c r="X11" s="8"/>
      <c r="Y11" s="8"/>
    </row>
    <row r="12" spans="2:27" ht="15" customHeight="1" x14ac:dyDescent="0.25">
      <c r="E12" s="15">
        <v>39517</v>
      </c>
      <c r="F12" s="13">
        <v>1273.3699999999999</v>
      </c>
      <c r="G12" s="13">
        <v>413.62</v>
      </c>
      <c r="H12" s="17">
        <v>-1.5680775690478221E-2</v>
      </c>
      <c r="I12" s="17">
        <v>-4.6174872550556356E-2</v>
      </c>
      <c r="J12" s="13">
        <v>70</v>
      </c>
      <c r="K12" s="17">
        <v>1.6876833387886852E-2</v>
      </c>
      <c r="L12" s="17">
        <v>7.6613946537818736E-2</v>
      </c>
      <c r="M12" s="17">
        <v>-4.4812541992288818E-2</v>
      </c>
      <c r="N12" s="17">
        <v>6.4392238581148828E-2</v>
      </c>
      <c r="O12"/>
      <c r="P12" s="18"/>
      <c r="Q12" s="8"/>
      <c r="R12" s="8"/>
      <c r="S12" s="8"/>
      <c r="T12" s="8"/>
      <c r="U12" s="8"/>
      <c r="V12" s="8"/>
      <c r="W12" s="8"/>
      <c r="X12" s="8"/>
      <c r="Y12" s="8"/>
    </row>
    <row r="13" spans="2:27" ht="15" customHeight="1" x14ac:dyDescent="0.25">
      <c r="E13" s="15">
        <v>39518</v>
      </c>
      <c r="F13" s="13">
        <v>1320.65</v>
      </c>
      <c r="G13" s="13">
        <v>439.84</v>
      </c>
      <c r="H13" s="17">
        <v>3.6912524306723392E-2</v>
      </c>
      <c r="I13" s="17">
        <v>6.2745664349490082E-2</v>
      </c>
      <c r="J13" s="13">
        <v>80</v>
      </c>
      <c r="K13" s="17">
        <v>8.5685928732111231E-3</v>
      </c>
      <c r="L13" s="17">
        <v>7.1888972797165038E-2</v>
      </c>
      <c r="M13" s="17">
        <v>-4.6981196887853967E-2</v>
      </c>
      <c r="N13" s="17">
        <v>5.5083684813591396E-2</v>
      </c>
      <c r="O13"/>
      <c r="P13" s="18"/>
      <c r="Q13" s="8"/>
      <c r="R13" s="8"/>
      <c r="S13" s="8"/>
      <c r="T13" s="8"/>
      <c r="U13" s="8"/>
      <c r="V13" s="8"/>
      <c r="W13" s="8"/>
      <c r="X13" s="8"/>
      <c r="Y13" s="8"/>
    </row>
    <row r="14" spans="2:27" ht="15" customHeight="1" x14ac:dyDescent="0.25">
      <c r="E14" s="15">
        <v>39519</v>
      </c>
      <c r="F14" s="13">
        <v>1308.77</v>
      </c>
      <c r="G14" s="13">
        <v>440.18</v>
      </c>
      <c r="H14" s="17">
        <v>-9.2128669253879608E-3</v>
      </c>
      <c r="I14" s="17">
        <v>1.271539308103373E-4</v>
      </c>
      <c r="J14" s="13">
        <v>90</v>
      </c>
      <c r="K14" s="17">
        <v>7.9718335733932122E-17</v>
      </c>
      <c r="L14" s="17">
        <v>6.4979688995644977E-2</v>
      </c>
      <c r="M14" s="17">
        <v>-4.7722351889614406E-2</v>
      </c>
      <c r="N14" s="17">
        <v>4.4101441156662445E-2</v>
      </c>
      <c r="O14"/>
      <c r="P14" s="18"/>
      <c r="Q14" s="8"/>
      <c r="R14" s="8"/>
      <c r="S14" s="8"/>
      <c r="T14" s="8"/>
      <c r="U14" s="8"/>
      <c r="V14" s="8"/>
      <c r="W14" s="8"/>
      <c r="X14" s="8"/>
      <c r="Y14" s="8"/>
    </row>
    <row r="15" spans="2:27" ht="15" customHeight="1" x14ac:dyDescent="0.25">
      <c r="E15" s="15">
        <v>39520</v>
      </c>
      <c r="F15" s="13">
        <v>1315.48</v>
      </c>
      <c r="G15" s="13">
        <v>443.01</v>
      </c>
      <c r="H15" s="17">
        <v>4.9096546972704326E-3</v>
      </c>
      <c r="I15" s="17">
        <v>5.7833336235617785E-3</v>
      </c>
      <c r="J15" s="13">
        <v>100</v>
      </c>
      <c r="K15" s="17">
        <v>-8.5685928732109652E-3</v>
      </c>
      <c r="L15" s="17">
        <v>5.6096030225301435E-2</v>
      </c>
      <c r="M15" s="17">
        <v>-4.7013487377884168E-2</v>
      </c>
      <c r="N15" s="17">
        <v>3.1779197526594333E-2</v>
      </c>
      <c r="O15"/>
      <c r="P15" s="18"/>
      <c r="Q15" s="8"/>
      <c r="R15" s="8"/>
      <c r="S15" s="8"/>
      <c r="T15" s="8"/>
      <c r="U15" s="8"/>
      <c r="V15" s="8"/>
      <c r="W15" s="8"/>
      <c r="X15" s="8"/>
      <c r="Y15" s="8"/>
    </row>
    <row r="16" spans="2:27" ht="15" customHeight="1" x14ac:dyDescent="0.25">
      <c r="B16" s="23" t="s">
        <v>9</v>
      </c>
      <c r="C16" s="22" t="b">
        <v>0</v>
      </c>
      <c r="E16" s="15">
        <v>39521</v>
      </c>
      <c r="F16" s="13">
        <v>1288.1400000000001</v>
      </c>
      <c r="G16" s="13">
        <v>437.92</v>
      </c>
      <c r="H16" s="17">
        <v>-2.1000584791700725E-2</v>
      </c>
      <c r="I16" s="17">
        <v>-1.2135437063800105E-2</v>
      </c>
      <c r="J16" s="13">
        <v>110</v>
      </c>
      <c r="K16" s="17">
        <v>-1.6876833387886699E-2</v>
      </c>
      <c r="L16" s="17">
        <v>4.5507921962523047E-2</v>
      </c>
      <c r="M16" s="17">
        <v>-4.4876141842149421E-2</v>
      </c>
      <c r="N16" s="17">
        <v>1.8491359060730524E-2</v>
      </c>
      <c r="O16"/>
      <c r="P16" s="18"/>
      <c r="Q16" s="8"/>
      <c r="R16" s="8"/>
      <c r="S16" s="8"/>
      <c r="T16" s="8"/>
      <c r="U16" s="8"/>
      <c r="V16" s="8"/>
      <c r="W16" s="8"/>
      <c r="X16" s="8"/>
      <c r="Y16" s="8"/>
    </row>
    <row r="17" spans="2:25" ht="15" customHeight="1" x14ac:dyDescent="0.25">
      <c r="B17" s="23" t="s">
        <v>16</v>
      </c>
      <c r="C17" s="21" t="str">
        <f t="array" ref="C17:C23">IF(C16=FALSE,"--",[1]!MATRIX_TRANSPOSE_FUNC(ASSET_ELLIPSES_FUNC(C4,C5,C6,C7,C8,C9,1)))</f>
        <v>--</v>
      </c>
      <c r="E17" s="15">
        <v>39524</v>
      </c>
      <c r="F17" s="13">
        <v>1276.5999999999999</v>
      </c>
      <c r="G17" s="13">
        <v>419.87</v>
      </c>
      <c r="H17" s="17">
        <v>-9.1759501248101435E-3</v>
      </c>
      <c r="I17" s="17">
        <v>-4.1863428421984643E-2</v>
      </c>
      <c r="J17" s="13">
        <v>120</v>
      </c>
      <c r="K17" s="17">
        <v>-2.4672279860161274E-2</v>
      </c>
      <c r="L17" s="17">
        <v>3.353707851903303E-2</v>
      </c>
      <c r="M17" s="17">
        <v>-4.1375257444964439E-2</v>
      </c>
      <c r="N17" s="17">
        <v>4.6416700068855656E-3</v>
      </c>
      <c r="O17"/>
      <c r="P17" s="18"/>
      <c r="Q17" s="8"/>
      <c r="R17" s="8"/>
      <c r="S17" s="8"/>
      <c r="T17" s="8"/>
      <c r="U17" s="8"/>
      <c r="V17" s="8"/>
      <c r="W17" s="8"/>
      <c r="X17" s="8"/>
      <c r="Y17" s="8"/>
    </row>
    <row r="18" spans="2:25" ht="15" customHeight="1" x14ac:dyDescent="0.25">
      <c r="B18" s="23" t="s">
        <v>17</v>
      </c>
      <c r="C18" s="21" t="str">
        <v>--</v>
      </c>
      <c r="E18" s="15">
        <v>39525</v>
      </c>
      <c r="F18" s="13">
        <v>1330.74</v>
      </c>
      <c r="G18" s="13">
        <v>439.16</v>
      </c>
      <c r="H18" s="17">
        <v>4.2192228739273162E-2</v>
      </c>
      <c r="I18" s="17">
        <v>4.5296937380646177E-2</v>
      </c>
      <c r="J18" s="13">
        <v>130</v>
      </c>
      <c r="K18" s="17">
        <v>-3.1718071593660843E-2</v>
      </c>
      <c r="L18" s="17">
        <v>2.0547227915322777E-2</v>
      </c>
      <c r="M18" s="17">
        <v>-3.6617206787204697E-2</v>
      </c>
      <c r="N18" s="17">
        <v>-9.3490538413202352E-3</v>
      </c>
      <c r="O18"/>
      <c r="P18" s="18"/>
      <c r="Q18" s="8"/>
      <c r="R18" s="8"/>
      <c r="S18" s="8"/>
      <c r="T18" s="8"/>
      <c r="U18" s="8"/>
      <c r="V18" s="8"/>
      <c r="W18" s="8"/>
      <c r="X18" s="8"/>
      <c r="Y18" s="8"/>
    </row>
    <row r="19" spans="2:25" ht="15" customHeight="1" x14ac:dyDescent="0.25">
      <c r="B19" s="23" t="s">
        <v>18</v>
      </c>
      <c r="C19" s="20" t="str">
        <v>--</v>
      </c>
      <c r="E19" s="15">
        <v>39526</v>
      </c>
      <c r="F19" s="13">
        <v>1298.42</v>
      </c>
      <c r="G19" s="13">
        <v>432</v>
      </c>
      <c r="H19" s="17">
        <v>-2.4504535241540278E-2</v>
      </c>
      <c r="I19" s="17">
        <v>-1.6949707245778281E-2</v>
      </c>
      <c r="J19" s="13">
        <v>140</v>
      </c>
      <c r="K19" s="17">
        <v>-3.7800125771905689E-2</v>
      </c>
      <c r="L19" s="17">
        <v>6.933060188804456E-3</v>
      </c>
      <c r="M19" s="17">
        <v>-3.0746560830416433E-2</v>
      </c>
      <c r="N19" s="17">
        <v>-2.3055711419407033E-2</v>
      </c>
      <c r="O19"/>
      <c r="P19" s="18"/>
      <c r="Q19" s="8"/>
      <c r="R19" s="8"/>
      <c r="S19" s="8"/>
      <c r="T19" s="8"/>
      <c r="U19" s="8"/>
      <c r="V19" s="8"/>
      <c r="W19" s="8"/>
      <c r="X19" s="8"/>
      <c r="Y19" s="8"/>
    </row>
    <row r="20" spans="2:25" ht="15" customHeight="1" x14ac:dyDescent="0.25">
      <c r="B20" s="23" t="str">
        <f>C4&amp;": AVERAGE"</f>
        <v>^GSPC: AVERAGE</v>
      </c>
      <c r="C20" s="20" t="str">
        <v>--</v>
      </c>
      <c r="E20" s="15">
        <v>39527</v>
      </c>
      <c r="F20" s="13">
        <v>1329.51</v>
      </c>
      <c r="G20" s="13">
        <v>433.55</v>
      </c>
      <c r="H20" s="17">
        <v>2.3727189813439815E-2</v>
      </c>
      <c r="I20" s="17">
        <v>2.9421085270945079E-3</v>
      </c>
      <c r="J20" s="13">
        <v>150</v>
      </c>
      <c r="K20" s="17">
        <v>-4.2733642256357764E-2</v>
      </c>
      <c r="L20" s="17">
        <v>-6.8917650632529526E-3</v>
      </c>
      <c r="M20" s="17">
        <v>-2.3941696181306461E-2</v>
      </c>
      <c r="N20" s="17">
        <v>-3.6061832872768061E-2</v>
      </c>
      <c r="O20"/>
      <c r="P20" s="18"/>
      <c r="Q20" s="8"/>
      <c r="R20" s="8"/>
      <c r="S20" s="8"/>
      <c r="T20" s="8"/>
      <c r="U20" s="8"/>
      <c r="V20" s="8"/>
      <c r="W20" s="8"/>
      <c r="X20" s="8"/>
      <c r="Y20" s="8"/>
    </row>
    <row r="21" spans="2:25" ht="15" customHeight="1" x14ac:dyDescent="0.25">
      <c r="B21" s="23" t="str">
        <f>C5&amp;": STDEVP"</f>
        <v>GOOG: STDEVP</v>
      </c>
      <c r="C21" s="20" t="str">
        <v>--</v>
      </c>
      <c r="E21" s="15">
        <v>39531</v>
      </c>
      <c r="F21" s="13">
        <v>1349.88</v>
      </c>
      <c r="G21" s="13">
        <v>460.56</v>
      </c>
      <c r="H21" s="17">
        <v>1.510413765029547E-2</v>
      </c>
      <c r="I21" s="17">
        <v>6.1653764985190249E-2</v>
      </c>
      <c r="J21" s="13">
        <v>160</v>
      </c>
      <c r="K21" s="17">
        <v>-4.6368718645116776E-2</v>
      </c>
      <c r="L21" s="17">
        <v>-2.0507187521264812E-2</v>
      </c>
      <c r="M21" s="17">
        <v>-1.6409375208810327E-2</v>
      </c>
      <c r="N21" s="17">
        <v>-4.7972233782457956E-2</v>
      </c>
      <c r="O21"/>
      <c r="P21" s="18"/>
      <c r="Q21" s="8"/>
      <c r="R21" s="8"/>
      <c r="S21" s="8"/>
      <c r="T21" s="8"/>
      <c r="U21" s="8"/>
      <c r="V21" s="8"/>
      <c r="W21" s="8"/>
      <c r="X21" s="8"/>
      <c r="Y21" s="8"/>
    </row>
    <row r="22" spans="2:25" ht="15" customHeight="1" x14ac:dyDescent="0.25">
      <c r="B22" s="23" t="str">
        <f>C4&amp;": AVERAGE"</f>
        <v>^GSPC: AVERAGE</v>
      </c>
      <c r="C22" s="20" t="str">
        <v>--</v>
      </c>
      <c r="E22" s="15">
        <v>39532</v>
      </c>
      <c r="F22" s="13">
        <v>1352.99</v>
      </c>
      <c r="G22" s="13">
        <v>450.78</v>
      </c>
      <c r="H22" s="17">
        <v>2.0866119332608041E-3</v>
      </c>
      <c r="I22" s="17">
        <v>-2.1880872674534427E-2</v>
      </c>
      <c r="J22" s="13">
        <v>170</v>
      </c>
      <c r="K22" s="17">
        <v>-4.8594904981547699E-2</v>
      </c>
      <c r="L22" s="17">
        <v>-3.3499509463580636E-2</v>
      </c>
      <c r="M22" s="17">
        <v>-8.3784636741390008E-3</v>
      </c>
      <c r="N22" s="17">
        <v>-5.8425022643789459E-2</v>
      </c>
      <c r="O22"/>
      <c r="P22" s="18"/>
      <c r="Q22" s="8"/>
      <c r="R22" s="8"/>
      <c r="S22" s="8"/>
      <c r="T22" s="8"/>
      <c r="U22" s="8"/>
      <c r="V22" s="8"/>
      <c r="W22" s="8"/>
      <c r="X22" s="8"/>
      <c r="Y22" s="8"/>
    </row>
    <row r="23" spans="2:25" ht="15" customHeight="1" x14ac:dyDescent="0.25">
      <c r="B23" s="23" t="str">
        <f>C5&amp;": STDEVP"</f>
        <v>GOOG: STDEVP</v>
      </c>
      <c r="C23" s="20" t="str">
        <v>--</v>
      </c>
      <c r="E23" s="15">
        <v>39533</v>
      </c>
      <c r="F23" s="13">
        <v>1341.13</v>
      </c>
      <c r="G23" s="13">
        <v>458.19</v>
      </c>
      <c r="H23" s="17">
        <v>-8.9830671888474316E-3</v>
      </c>
      <c r="I23" s="17">
        <v>1.5792319396156034E-2</v>
      </c>
      <c r="J23" s="13">
        <v>180</v>
      </c>
      <c r="K23" s="17">
        <v>-4.9344559720322714E-2</v>
      </c>
      <c r="L23" s="17">
        <v>-4.5473965762415282E-2</v>
      </c>
      <c r="M23" s="17">
        <v>-9.2976760436146166E-5</v>
      </c>
      <c r="N23" s="17">
        <v>-6.7102596756577398E-2</v>
      </c>
      <c r="O23"/>
      <c r="P23" s="18"/>
      <c r="Q23" s="8"/>
      <c r="R23" s="8"/>
      <c r="S23" s="8"/>
      <c r="T23" s="8"/>
      <c r="U23" s="8"/>
      <c r="V23" s="8"/>
      <c r="W23" s="8"/>
      <c r="X23" s="8"/>
      <c r="Y23" s="8"/>
    </row>
    <row r="24" spans="2:25" ht="15" customHeight="1" x14ac:dyDescent="0.25">
      <c r="E24" s="15">
        <v>39534</v>
      </c>
      <c r="F24" s="13">
        <v>1325.76</v>
      </c>
      <c r="G24" s="13">
        <v>444.08</v>
      </c>
      <c r="H24" s="17">
        <v>-1.1677781377353202E-2</v>
      </c>
      <c r="I24" s="17">
        <v>-3.1440939444271086E-2</v>
      </c>
      <c r="J24" s="13">
        <v>190</v>
      </c>
      <c r="K24" s="17">
        <v>-4.8594904981547754E-2</v>
      </c>
      <c r="L24" s="17">
        <v>-5.6066718622495917E-2</v>
      </c>
      <c r="M24" s="17">
        <v>8.1953352050840519E-3</v>
      </c>
      <c r="N24" s="17">
        <v>-7.3741292422469074E-2</v>
      </c>
      <c r="O24"/>
      <c r="P24" s="18"/>
      <c r="Q24" s="8"/>
      <c r="R24" s="8"/>
      <c r="S24" s="8"/>
      <c r="T24" s="8"/>
      <c r="U24" s="8"/>
      <c r="V24" s="8"/>
      <c r="W24" s="8"/>
      <c r="X24" s="8"/>
      <c r="Y24" s="8"/>
    </row>
    <row r="25" spans="2:25" ht="15" customHeight="1" x14ac:dyDescent="0.25">
      <c r="E25" s="15">
        <v>39535</v>
      </c>
      <c r="F25" s="13">
        <v>1315.22</v>
      </c>
      <c r="G25" s="13">
        <v>438.08</v>
      </c>
      <c r="H25" s="17">
        <v>-8.1674534534508583E-3</v>
      </c>
      <c r="I25" s="17">
        <v>-1.4156933520718033E-2</v>
      </c>
      <c r="J25" s="13">
        <v>200</v>
      </c>
      <c r="K25" s="17">
        <v>-4.6368718645116887E-2</v>
      </c>
      <c r="L25" s="17">
        <v>-6.4955912608360561E-2</v>
      </c>
      <c r="M25" s="17">
        <v>1.6234636057437468E-2</v>
      </c>
      <c r="N25" s="17">
        <v>-7.8139396232998481E-2</v>
      </c>
      <c r="O25"/>
      <c r="P25" s="18"/>
      <c r="Q25" s="8"/>
      <c r="R25" s="8"/>
      <c r="S25" s="8"/>
      <c r="T25" s="8"/>
      <c r="U25" s="8"/>
      <c r="V25" s="8"/>
      <c r="W25" s="8"/>
      <c r="X25" s="8"/>
      <c r="Y25" s="8"/>
    </row>
    <row r="26" spans="2:25" ht="15" customHeight="1" x14ac:dyDescent="0.25">
      <c r="E26" s="15">
        <v>39538</v>
      </c>
      <c r="F26" s="13">
        <v>1322.7</v>
      </c>
      <c r="G26" s="13">
        <v>440.47</v>
      </c>
      <c r="H26" s="17">
        <v>5.4699648844449824E-3</v>
      </c>
      <c r="I26" s="17">
        <v>4.8097701075939265E-3</v>
      </c>
      <c r="J26" s="13">
        <v>210</v>
      </c>
      <c r="K26" s="17">
        <v>-4.2733642256357923E-2</v>
      </c>
      <c r="L26" s="17">
        <v>-7.1871454058897943E-2</v>
      </c>
      <c r="M26" s="17">
        <v>2.37806557083079E-2</v>
      </c>
      <c r="N26" s="17">
        <v>-8.0163274029430576E-2</v>
      </c>
      <c r="O26"/>
      <c r="P26" s="18"/>
      <c r="Q26" s="8"/>
      <c r="R26" s="8"/>
      <c r="S26" s="8"/>
      <c r="T26" s="8"/>
      <c r="U26" s="8"/>
      <c r="V26" s="8"/>
      <c r="W26" s="8"/>
      <c r="X26" s="8"/>
      <c r="Y26" s="8"/>
    </row>
    <row r="27" spans="2:25" ht="15" customHeight="1" x14ac:dyDescent="0.25">
      <c r="E27" s="15">
        <v>39539</v>
      </c>
      <c r="F27" s="13">
        <v>1370.18</v>
      </c>
      <c r="G27" s="13">
        <v>465.71</v>
      </c>
      <c r="H27" s="17">
        <v>3.5678976213074517E-2</v>
      </c>
      <c r="I27" s="17">
        <v>5.6656572517158992E-2</v>
      </c>
      <c r="J27" s="13">
        <v>220</v>
      </c>
      <c r="K27" s="17">
        <v>-3.7800125771905897E-2</v>
      </c>
      <c r="L27" s="17">
        <v>-7.6603217746566282E-2</v>
      </c>
      <c r="M27" s="17">
        <v>3.060411216907381E-2</v>
      </c>
      <c r="N27" s="17">
        <v>-7.9751431309052379E-2</v>
      </c>
      <c r="O27"/>
      <c r="P27" s="18"/>
      <c r="Q27" s="8"/>
      <c r="R27" s="8"/>
      <c r="S27" s="8"/>
      <c r="T27" s="8"/>
      <c r="U27" s="8"/>
      <c r="V27" s="8"/>
      <c r="W27" s="8"/>
      <c r="X27" s="8"/>
      <c r="Y27" s="8"/>
    </row>
    <row r="28" spans="2:25" ht="15" customHeight="1" x14ac:dyDescent="0.25">
      <c r="E28" s="15">
        <v>39540</v>
      </c>
      <c r="F28" s="13">
        <v>1367.53</v>
      </c>
      <c r="G28" s="13">
        <v>465.7</v>
      </c>
      <c r="H28" s="17">
        <v>-2.1513490225698686E-3</v>
      </c>
      <c r="I28" s="17">
        <v>-6.6732702610701553E-4</v>
      </c>
      <c r="J28" s="13">
        <v>230</v>
      </c>
      <c r="K28" s="17">
        <v>-3.1718071593661072E-2</v>
      </c>
      <c r="L28" s="17">
        <v>-7.9007431426103739E-2</v>
      </c>
      <c r="M28" s="17">
        <v>3.649767816801041E-2</v>
      </c>
      <c r="N28" s="17">
        <v>-7.6916381704520073E-2</v>
      </c>
      <c r="O28"/>
      <c r="P28" s="18"/>
      <c r="Q28" s="8"/>
      <c r="R28" s="8"/>
      <c r="S28" s="8"/>
      <c r="T28" s="8"/>
      <c r="U28" s="8"/>
      <c r="V28" s="8"/>
      <c r="W28" s="8"/>
      <c r="X28" s="8"/>
      <c r="Y28" s="8"/>
    </row>
    <row r="29" spans="2:25" ht="15" customHeight="1" x14ac:dyDescent="0.25">
      <c r="E29" s="15">
        <v>39541</v>
      </c>
      <c r="F29" s="13">
        <v>1369.31</v>
      </c>
      <c r="G29" s="13">
        <v>455.12</v>
      </c>
      <c r="H29" s="17">
        <v>1.0843202212348811E-3</v>
      </c>
      <c r="I29" s="17">
        <v>-2.3364342733055484E-2</v>
      </c>
      <c r="J29" s="13">
        <v>240</v>
      </c>
      <c r="K29" s="17">
        <v>-2.4672279860161527E-2</v>
      </c>
      <c r="L29" s="17">
        <v>-7.9011044281448395E-2</v>
      </c>
      <c r="M29" s="17">
        <v>4.1282280684528293E-2</v>
      </c>
      <c r="N29" s="17">
        <v>-7.1744266763463072E-2</v>
      </c>
      <c r="O29"/>
      <c r="P29" s="18"/>
      <c r="Q29" s="8"/>
      <c r="R29" s="8"/>
      <c r="S29" s="8"/>
      <c r="T29" s="8"/>
      <c r="U29" s="8"/>
      <c r="V29" s="8"/>
      <c r="W29" s="8"/>
      <c r="X29" s="8"/>
      <c r="Y29" s="8"/>
    </row>
    <row r="30" spans="2:25" ht="15" customHeight="1" x14ac:dyDescent="0.25">
      <c r="E30" s="15">
        <v>39542</v>
      </c>
      <c r="F30" s="13">
        <v>1370.4</v>
      </c>
      <c r="G30" s="13">
        <v>471.09</v>
      </c>
      <c r="H30" s="17">
        <v>5.7872479151136445E-4</v>
      </c>
      <c r="I30" s="17">
        <v>3.4443792250719696E-2</v>
      </c>
      <c r="J30" s="13">
        <v>250</v>
      </c>
      <c r="K30" s="17">
        <v>-1.6876833387886991E-2</v>
      </c>
      <c r="L30" s="17">
        <v>-7.6613946537818806E-2</v>
      </c>
      <c r="M30" s="17">
        <v>4.4812541992288776E-2</v>
      </c>
      <c r="N30" s="17">
        <v>-6.4392238581148981E-2</v>
      </c>
      <c r="O30"/>
      <c r="P30" s="18"/>
      <c r="Q30" s="8"/>
      <c r="R30" s="8"/>
      <c r="S30" s="8"/>
      <c r="T30" s="8"/>
      <c r="U30" s="8"/>
      <c r="V30" s="8"/>
      <c r="W30" s="8"/>
      <c r="X30" s="8"/>
      <c r="Y30" s="8"/>
    </row>
    <row r="31" spans="2:25" ht="15" customHeight="1" x14ac:dyDescent="0.25">
      <c r="E31" s="15">
        <v>39545</v>
      </c>
      <c r="F31" s="13">
        <v>1372.54</v>
      </c>
      <c r="G31" s="13">
        <v>476.82</v>
      </c>
      <c r="H31" s="17">
        <v>1.3442912952506636E-3</v>
      </c>
      <c r="I31" s="17">
        <v>1.1517426465870067E-2</v>
      </c>
      <c r="J31" s="13">
        <v>260</v>
      </c>
      <c r="K31" s="17">
        <v>-8.5685928732112671E-3</v>
      </c>
      <c r="L31" s="17">
        <v>-7.1888972797165135E-2</v>
      </c>
      <c r="M31" s="17">
        <v>4.6981196887853939E-2</v>
      </c>
      <c r="N31" s="17">
        <v>-5.508368481359157E-2</v>
      </c>
      <c r="O31"/>
      <c r="P31" s="18"/>
      <c r="Q31" s="8"/>
      <c r="R31" s="8"/>
      <c r="S31" s="8"/>
      <c r="T31" s="8"/>
      <c r="U31" s="8"/>
      <c r="V31" s="8"/>
      <c r="W31" s="8"/>
      <c r="X31" s="8"/>
      <c r="Y31" s="8"/>
    </row>
    <row r="32" spans="2:25" ht="15" customHeight="1" x14ac:dyDescent="0.25">
      <c r="E32" s="15">
        <v>39546</v>
      </c>
      <c r="F32" s="13">
        <v>1365.54</v>
      </c>
      <c r="G32" s="13">
        <v>467.81</v>
      </c>
      <c r="H32" s="17">
        <v>-5.3173300768151249E-3</v>
      </c>
      <c r="I32" s="17">
        <v>-1.9541873898139335E-2</v>
      </c>
      <c r="J32" s="13">
        <v>270</v>
      </c>
      <c r="K32" s="17">
        <v>-2.2819831393349767E-16</v>
      </c>
      <c r="L32" s="17">
        <v>-6.4979688995645116E-2</v>
      </c>
      <c r="M32" s="17">
        <v>4.7722351889614413E-2</v>
      </c>
      <c r="N32" s="17">
        <v>-4.4101441156662653E-2</v>
      </c>
      <c r="O32"/>
      <c r="P32" s="18"/>
      <c r="Q32" s="8"/>
      <c r="R32" s="8"/>
      <c r="S32" s="8"/>
      <c r="T32" s="8"/>
      <c r="U32" s="8"/>
      <c r="V32" s="8"/>
      <c r="W32" s="8"/>
      <c r="X32" s="8"/>
      <c r="Y32" s="8"/>
    </row>
    <row r="33" spans="5:25" ht="15" customHeight="1" x14ac:dyDescent="0.25">
      <c r="E33" s="15">
        <v>39547</v>
      </c>
      <c r="F33" s="13">
        <v>1354.49</v>
      </c>
      <c r="G33" s="13">
        <v>464.19</v>
      </c>
      <c r="H33" s="17">
        <v>-8.3093334122000592E-3</v>
      </c>
      <c r="I33" s="17">
        <v>-8.3840387414626065E-3</v>
      </c>
      <c r="J33" s="13">
        <v>280</v>
      </c>
      <c r="K33" s="17">
        <v>8.5685928732108178E-3</v>
      </c>
      <c r="L33" s="17">
        <v>-5.6096030225301609E-2</v>
      </c>
      <c r="M33" s="17">
        <v>4.7013487377884196E-2</v>
      </c>
      <c r="N33" s="17">
        <v>-3.1779197526594562E-2</v>
      </c>
      <c r="O33"/>
      <c r="P33" s="18"/>
      <c r="Q33" s="8"/>
      <c r="R33" s="8"/>
      <c r="S33" s="8"/>
      <c r="T33" s="8"/>
      <c r="U33" s="8"/>
      <c r="V33" s="8"/>
      <c r="W33" s="8"/>
      <c r="X33" s="8"/>
      <c r="Y33" s="8"/>
    </row>
    <row r="34" spans="5:25" ht="15" customHeight="1" x14ac:dyDescent="0.25">
      <c r="E34" s="15">
        <v>39548</v>
      </c>
      <c r="F34" s="13">
        <v>1360.55</v>
      </c>
      <c r="G34" s="13">
        <v>469.08</v>
      </c>
      <c r="H34" s="17">
        <v>4.2567121051597639E-3</v>
      </c>
      <c r="I34" s="17">
        <v>9.8886249798880253E-3</v>
      </c>
      <c r="J34" s="13">
        <v>290</v>
      </c>
      <c r="K34" s="17">
        <v>1.687683338788656E-2</v>
      </c>
      <c r="L34" s="17">
        <v>-4.5507921962523248E-2</v>
      </c>
      <c r="M34" s="17">
        <v>4.487614184214947E-2</v>
      </c>
      <c r="N34" s="17">
        <v>-1.849135906073076E-2</v>
      </c>
      <c r="O34"/>
      <c r="P34" s="18"/>
      <c r="Q34" s="8"/>
      <c r="R34" s="8"/>
      <c r="S34" s="8"/>
      <c r="T34" s="8"/>
      <c r="U34" s="8"/>
      <c r="V34" s="8"/>
      <c r="W34" s="8"/>
      <c r="X34" s="8"/>
      <c r="Y34" s="8"/>
    </row>
    <row r="35" spans="5:25" ht="15" customHeight="1" x14ac:dyDescent="0.25">
      <c r="E35" s="15">
        <v>39549</v>
      </c>
      <c r="F35" s="13">
        <v>1332.83</v>
      </c>
      <c r="G35" s="13">
        <v>457.45</v>
      </c>
      <c r="H35" s="17">
        <v>-2.0591409972327182E-2</v>
      </c>
      <c r="I35" s="17">
        <v>-2.5439066681114467E-2</v>
      </c>
      <c r="J35" s="13">
        <v>300</v>
      </c>
      <c r="K35" s="17">
        <v>2.4672279860161132E-2</v>
      </c>
      <c r="L35" s="17">
        <v>-3.3537078519033259E-2</v>
      </c>
      <c r="M35" s="17">
        <v>4.1375257444964508E-2</v>
      </c>
      <c r="N35" s="17">
        <v>-4.6416700068858258E-3</v>
      </c>
      <c r="O35"/>
      <c r="P35" s="18"/>
      <c r="Q35" s="8"/>
      <c r="R35" s="8"/>
      <c r="S35" s="8"/>
      <c r="T35" s="8"/>
      <c r="U35" s="8"/>
      <c r="V35" s="8"/>
      <c r="W35" s="8"/>
      <c r="X35" s="8"/>
      <c r="Y35" s="8"/>
    </row>
    <row r="36" spans="5:25" ht="15" customHeight="1" x14ac:dyDescent="0.25">
      <c r="E36" s="15">
        <v>39552</v>
      </c>
      <c r="F36" s="13">
        <v>1328.32</v>
      </c>
      <c r="G36" s="13">
        <v>451.66</v>
      </c>
      <c r="H36" s="17">
        <v>-3.601073938268598E-3</v>
      </c>
      <c r="I36" s="17">
        <v>-1.3302975432698712E-2</v>
      </c>
      <c r="J36" s="13">
        <v>310</v>
      </c>
      <c r="K36" s="17">
        <v>3.1718071593660718E-2</v>
      </c>
      <c r="L36" s="17">
        <v>-2.0547227915323037E-2</v>
      </c>
      <c r="M36" s="17">
        <v>3.6617206787204801E-2</v>
      </c>
      <c r="N36" s="17">
        <v>9.3490538413199681E-3</v>
      </c>
      <c r="O36"/>
      <c r="P36" s="18"/>
      <c r="Q36" s="8"/>
      <c r="R36" s="8"/>
      <c r="S36" s="8"/>
      <c r="T36" s="8"/>
      <c r="U36" s="8"/>
      <c r="V36" s="8"/>
      <c r="W36" s="8"/>
      <c r="X36" s="8"/>
      <c r="Y36" s="8"/>
    </row>
    <row r="37" spans="5:25" ht="15" customHeight="1" x14ac:dyDescent="0.25">
      <c r="E37" s="15">
        <v>39553</v>
      </c>
      <c r="F37" s="13">
        <v>1334.43</v>
      </c>
      <c r="G37" s="13">
        <v>446.84</v>
      </c>
      <c r="H37" s="17">
        <v>4.3824986677558717E-3</v>
      </c>
      <c r="I37" s="17">
        <v>-1.1317598668255649E-2</v>
      </c>
      <c r="J37" s="13">
        <v>320</v>
      </c>
      <c r="K37" s="17">
        <v>3.7800125771905592E-2</v>
      </c>
      <c r="L37" s="17">
        <v>-6.9330601888047266E-3</v>
      </c>
      <c r="M37" s="17">
        <v>3.0746560830416565E-2</v>
      </c>
      <c r="N37" s="17">
        <v>2.3055711419406776E-2</v>
      </c>
      <c r="O37"/>
      <c r="P37" s="18"/>
      <c r="Q37" s="8"/>
      <c r="R37" s="8"/>
      <c r="S37" s="8"/>
      <c r="T37" s="8"/>
      <c r="U37" s="8"/>
      <c r="V37" s="8"/>
      <c r="W37" s="8"/>
      <c r="X37" s="8"/>
      <c r="Y37" s="8"/>
    </row>
    <row r="38" spans="5:25" ht="15" customHeight="1" x14ac:dyDescent="0.25">
      <c r="E38" s="15">
        <v>39554</v>
      </c>
      <c r="F38" s="13">
        <v>1364.71</v>
      </c>
      <c r="G38" s="13">
        <v>455.03</v>
      </c>
      <c r="H38" s="17">
        <v>2.247403981352171E-2</v>
      </c>
      <c r="I38" s="17">
        <v>1.7682853826596855E-2</v>
      </c>
      <c r="J38" s="13">
        <v>330</v>
      </c>
      <c r="K38" s="17">
        <v>4.273364225635768E-2</v>
      </c>
      <c r="L38" s="17">
        <v>6.891765063252675E-3</v>
      </c>
      <c r="M38" s="17">
        <v>2.3941696181306611E-2</v>
      </c>
      <c r="N38" s="17">
        <v>3.6061832872767811E-2</v>
      </c>
      <c r="O38"/>
      <c r="P38" s="18"/>
      <c r="Q38" s="8"/>
      <c r="R38" s="8"/>
      <c r="S38" s="8"/>
      <c r="T38" s="8"/>
      <c r="U38" s="8"/>
      <c r="V38" s="8"/>
      <c r="W38" s="8"/>
      <c r="X38" s="8"/>
      <c r="Y38" s="8"/>
    </row>
    <row r="39" spans="5:25" ht="15" customHeight="1" x14ac:dyDescent="0.25">
      <c r="E39" s="15">
        <v>39555</v>
      </c>
      <c r="F39" s="13">
        <v>1365.56</v>
      </c>
      <c r="G39" s="13">
        <v>449.54</v>
      </c>
      <c r="H39" s="17">
        <v>4.0554638600951744E-4</v>
      </c>
      <c r="I39" s="17">
        <v>-1.2710992998161051E-2</v>
      </c>
      <c r="J39" s="13">
        <v>340</v>
      </c>
      <c r="K39" s="17">
        <v>4.636871864511672E-2</v>
      </c>
      <c r="L39" s="17">
        <v>2.0507187521264552E-2</v>
      </c>
      <c r="M39" s="17">
        <v>1.6409375208810483E-2</v>
      </c>
      <c r="N39" s="17">
        <v>4.7972233782457734E-2</v>
      </c>
      <c r="O39"/>
      <c r="P39" s="18"/>
      <c r="Q39" s="8"/>
      <c r="R39" s="8"/>
      <c r="S39" s="8"/>
      <c r="T39" s="8"/>
      <c r="U39" s="8"/>
      <c r="V39" s="8"/>
      <c r="W39" s="8"/>
      <c r="X39" s="8"/>
      <c r="Y39" s="8"/>
    </row>
    <row r="40" spans="5:25" ht="15" customHeight="1" x14ac:dyDescent="0.25">
      <c r="E40" s="15">
        <v>39556</v>
      </c>
      <c r="F40" s="13">
        <v>1390.33</v>
      </c>
      <c r="G40" s="13">
        <v>539.41</v>
      </c>
      <c r="H40" s="17">
        <v>1.7921781910991159E-2</v>
      </c>
      <c r="I40" s="17">
        <v>0.19926961471036991</v>
      </c>
      <c r="J40" s="13">
        <v>350</v>
      </c>
      <c r="K40" s="17">
        <v>4.8594904981547671E-2</v>
      </c>
      <c r="L40" s="17">
        <v>3.3499509463580393E-2</v>
      </c>
      <c r="M40" s="17">
        <v>8.3784636741391569E-3</v>
      </c>
      <c r="N40" s="17">
        <v>5.8425022643789272E-2</v>
      </c>
      <c r="O40"/>
      <c r="P40" s="18"/>
      <c r="Q40" s="8"/>
      <c r="R40" s="8"/>
      <c r="S40" s="8"/>
      <c r="T40" s="8"/>
      <c r="U40" s="8"/>
      <c r="V40" s="8"/>
      <c r="W40" s="8"/>
      <c r="X40" s="8"/>
      <c r="Y40" s="8"/>
    </row>
    <row r="41" spans="5:25" ht="15" customHeight="1" x14ac:dyDescent="0.25">
      <c r="E41" s="15">
        <v>39559</v>
      </c>
      <c r="F41" s="13">
        <v>1388.17</v>
      </c>
      <c r="G41" s="13">
        <v>537.79</v>
      </c>
      <c r="H41" s="17">
        <v>-1.7708845594033881E-3</v>
      </c>
      <c r="I41" s="17">
        <v>-3.6491357988391085E-3</v>
      </c>
      <c r="J41" s="13">
        <v>360</v>
      </c>
      <c r="K41" s="17">
        <v>4.9344559720322714E-2</v>
      </c>
      <c r="L41" s="17">
        <v>4.5473965762415053E-2</v>
      </c>
      <c r="M41" s="17">
        <v>9.29767604363127E-5</v>
      </c>
      <c r="N41" s="17">
        <v>6.7102596756577232E-2</v>
      </c>
      <c r="O41"/>
      <c r="P41" s="18"/>
      <c r="Q41" s="8"/>
      <c r="R41" s="8"/>
      <c r="S41" s="8"/>
      <c r="T41" s="8"/>
      <c r="U41" s="8"/>
      <c r="V41" s="8"/>
      <c r="W41" s="8"/>
      <c r="X41" s="8"/>
      <c r="Y41" s="8"/>
    </row>
    <row r="42" spans="5:25" ht="15" customHeight="1" x14ac:dyDescent="0.25">
      <c r="E42" s="15">
        <v>39560</v>
      </c>
      <c r="F42" s="13">
        <v>1375.94</v>
      </c>
      <c r="G42" s="13">
        <v>555</v>
      </c>
      <c r="H42" s="17">
        <v>-9.0274567011970619E-3</v>
      </c>
      <c r="I42" s="17">
        <v>3.1355484376679191E-2</v>
      </c>
      <c r="J42" s="13">
        <v>370</v>
      </c>
      <c r="K42" s="17">
        <v>4.8594904981547782E-2</v>
      </c>
      <c r="L42" s="17">
        <v>5.6066718622495716E-2</v>
      </c>
      <c r="M42" s="17">
        <v>-8.1953352050838854E-3</v>
      </c>
      <c r="N42" s="17">
        <v>7.3741292422468963E-2</v>
      </c>
      <c r="O42"/>
      <c r="P42" s="18"/>
      <c r="Q42" s="8"/>
      <c r="R42" s="8"/>
      <c r="S42" s="8"/>
      <c r="T42" s="8"/>
      <c r="U42" s="8"/>
      <c r="V42" s="8"/>
      <c r="W42" s="8"/>
      <c r="X42" s="8"/>
      <c r="Y42" s="8"/>
    </row>
    <row r="43" spans="5:25" ht="15" customHeight="1" x14ac:dyDescent="0.25">
      <c r="E43" s="15">
        <v>39561</v>
      </c>
      <c r="F43" s="13">
        <v>1379.93</v>
      </c>
      <c r="G43" s="13">
        <v>546.49</v>
      </c>
      <c r="H43" s="17">
        <v>2.6825391863426577E-3</v>
      </c>
      <c r="I43" s="17">
        <v>-1.5979187769201788E-2</v>
      </c>
      <c r="J43" s="13"/>
      <c r="K43" s="17"/>
      <c r="L43" s="17"/>
      <c r="M43" s="17"/>
      <c r="N43" s="17"/>
      <c r="O43"/>
      <c r="P43" s="18"/>
      <c r="Q43" s="8"/>
      <c r="R43" s="8"/>
      <c r="S43" s="8"/>
      <c r="T43" s="8"/>
      <c r="U43" s="8"/>
      <c r="V43" s="8"/>
      <c r="W43" s="8"/>
      <c r="X43" s="8"/>
      <c r="Y43" s="8"/>
    </row>
    <row r="44" spans="5:25" ht="15" customHeight="1" x14ac:dyDescent="0.25">
      <c r="E44" s="15">
        <v>39562</v>
      </c>
      <c r="F44" s="13">
        <v>1388.82</v>
      </c>
      <c r="G44" s="13">
        <v>543.04</v>
      </c>
      <c r="H44" s="17">
        <v>6.2250592093604047E-3</v>
      </c>
      <c r="I44" s="17">
        <v>-6.9588702275572324E-3</v>
      </c>
      <c r="J44" s="13"/>
      <c r="K44" s="17"/>
      <c r="L44" s="17"/>
      <c r="M44" s="17"/>
      <c r="N44" s="17"/>
      <c r="O44"/>
      <c r="P44" s="18"/>
      <c r="Q44" s="8"/>
      <c r="R44" s="8"/>
      <c r="S44" s="8"/>
      <c r="T44" s="8"/>
      <c r="U44" s="8"/>
      <c r="V44" s="8"/>
      <c r="W44" s="8"/>
      <c r="X44" s="8"/>
      <c r="Y44" s="8"/>
    </row>
    <row r="45" spans="5:25" ht="15" customHeight="1" x14ac:dyDescent="0.25">
      <c r="E45" s="15">
        <v>39563</v>
      </c>
      <c r="F45" s="13">
        <v>1397.84</v>
      </c>
      <c r="G45" s="13">
        <v>544.05999999999995</v>
      </c>
      <c r="H45" s="17">
        <v>6.2774255759088828E-3</v>
      </c>
      <c r="I45" s="17">
        <v>1.2324602370838136E-3</v>
      </c>
      <c r="J45" s="13"/>
      <c r="K45" s="17"/>
      <c r="L45" s="17"/>
      <c r="M45" s="17"/>
      <c r="N45" s="17"/>
      <c r="O45"/>
      <c r="P45" s="18"/>
      <c r="Q45" s="8"/>
      <c r="R45" s="8"/>
      <c r="S45" s="8"/>
      <c r="T45" s="8"/>
      <c r="U45" s="8"/>
      <c r="V45" s="8"/>
      <c r="W45" s="8"/>
      <c r="X45" s="8"/>
      <c r="Y45" s="8"/>
    </row>
    <row r="46" spans="5:25" ht="15" customHeight="1" x14ac:dyDescent="0.25">
      <c r="E46" s="15">
        <v>39566</v>
      </c>
      <c r="F46" s="13">
        <v>1396.37</v>
      </c>
      <c r="G46" s="13">
        <v>552.12</v>
      </c>
      <c r="H46" s="17">
        <v>-1.2689190655999646E-3</v>
      </c>
      <c r="I46" s="17">
        <v>1.4168688077824889E-2</v>
      </c>
      <c r="J46" s="13"/>
      <c r="K46" s="17"/>
      <c r="L46" s="17"/>
      <c r="M46" s="17"/>
      <c r="N46" s="17"/>
      <c r="O46"/>
      <c r="P46" s="18"/>
      <c r="Q46" s="8"/>
      <c r="R46" s="8"/>
      <c r="S46" s="8"/>
      <c r="T46" s="8"/>
      <c r="U46" s="8"/>
      <c r="V46" s="8"/>
      <c r="W46" s="8"/>
      <c r="X46" s="8"/>
      <c r="Y46" s="8"/>
    </row>
    <row r="47" spans="5:25" ht="15" customHeight="1" x14ac:dyDescent="0.25">
      <c r="E47" s="15">
        <v>39567</v>
      </c>
      <c r="F47" s="13">
        <v>1390.94</v>
      </c>
      <c r="G47" s="13">
        <v>558.47</v>
      </c>
      <c r="H47" s="17">
        <v>-4.1059507155780054E-3</v>
      </c>
      <c r="I47" s="17">
        <v>1.085526850841902E-2</v>
      </c>
      <c r="J47" s="13"/>
      <c r="K47" s="17"/>
      <c r="L47" s="17"/>
      <c r="M47" s="17"/>
      <c r="N47" s="17"/>
      <c r="O47"/>
      <c r="P47" s="18"/>
      <c r="Q47" s="8"/>
      <c r="R47" s="8"/>
      <c r="S47" s="8"/>
      <c r="T47" s="8"/>
      <c r="U47" s="8"/>
      <c r="V47" s="8"/>
      <c r="W47" s="8"/>
      <c r="X47" s="8"/>
      <c r="Y47" s="8"/>
    </row>
    <row r="48" spans="5:25" ht="15" customHeight="1" x14ac:dyDescent="0.25">
      <c r="E48" s="15">
        <v>39568</v>
      </c>
      <c r="F48" s="13">
        <v>1385.59</v>
      </c>
      <c r="G48" s="13">
        <v>574.29</v>
      </c>
      <c r="H48" s="17">
        <v>-4.0636163172950096E-3</v>
      </c>
      <c r="I48" s="17">
        <v>2.7681540052644803E-2</v>
      </c>
      <c r="J48" s="13"/>
      <c r="K48" s="17"/>
      <c r="L48" s="17"/>
      <c r="M48" s="17"/>
      <c r="N48" s="17"/>
      <c r="O48"/>
      <c r="P48" s="18"/>
      <c r="Q48" s="8"/>
      <c r="R48" s="8"/>
      <c r="S48" s="8"/>
      <c r="T48" s="8"/>
      <c r="U48" s="8"/>
      <c r="V48" s="8"/>
      <c r="W48" s="8"/>
      <c r="X48" s="8"/>
      <c r="Y48" s="8"/>
    </row>
    <row r="49" spans="5:25" ht="15" customHeight="1" x14ac:dyDescent="0.25">
      <c r="E49" s="15">
        <v>39569</v>
      </c>
      <c r="F49" s="13">
        <v>1409.34</v>
      </c>
      <c r="G49" s="13">
        <v>593.08000000000004</v>
      </c>
      <c r="H49" s="17">
        <v>1.6923416058307317E-2</v>
      </c>
      <c r="I49" s="17">
        <v>3.2072806867654152E-2</v>
      </c>
      <c r="J49" s="13"/>
      <c r="K49" s="17"/>
      <c r="L49" s="17"/>
      <c r="M49" s="17"/>
      <c r="N49" s="17"/>
      <c r="O49"/>
      <c r="P49" s="18"/>
      <c r="Q49" s="8"/>
      <c r="R49" s="8"/>
      <c r="S49" s="8"/>
      <c r="T49" s="8"/>
      <c r="U49" s="8"/>
      <c r="V49" s="8"/>
      <c r="W49" s="8"/>
      <c r="X49" s="8"/>
      <c r="Y49" s="8"/>
    </row>
    <row r="50" spans="5:25" ht="15" customHeight="1" x14ac:dyDescent="0.25">
      <c r="E50" s="15">
        <v>39570</v>
      </c>
      <c r="F50" s="13">
        <v>1413.9</v>
      </c>
      <c r="G50" s="13">
        <v>581.29</v>
      </c>
      <c r="H50" s="17">
        <v>3.0182605069572922E-3</v>
      </c>
      <c r="I50" s="17">
        <v>-2.0525128732759263E-2</v>
      </c>
      <c r="J50" s="13"/>
      <c r="K50" s="17"/>
      <c r="L50" s="17"/>
      <c r="M50" s="17"/>
      <c r="N50" s="17"/>
      <c r="O50"/>
      <c r="P50" s="18"/>
      <c r="Q50" s="8"/>
      <c r="R50" s="8"/>
      <c r="S50" s="8"/>
      <c r="T50" s="8"/>
      <c r="U50" s="8"/>
      <c r="V50" s="8"/>
      <c r="W50" s="8"/>
      <c r="X50" s="8"/>
      <c r="Y50" s="8"/>
    </row>
    <row r="51" spans="5:25" ht="15" customHeight="1" x14ac:dyDescent="0.25">
      <c r="E51" s="15">
        <v>39573</v>
      </c>
      <c r="F51" s="13">
        <v>1407.49</v>
      </c>
      <c r="G51" s="13">
        <v>594.9</v>
      </c>
      <c r="H51" s="17">
        <v>-4.7508562199935923E-3</v>
      </c>
      <c r="I51" s="17">
        <v>2.2767588079915406E-2</v>
      </c>
      <c r="J51" s="13"/>
      <c r="K51" s="17"/>
      <c r="L51" s="17"/>
      <c r="M51" s="17"/>
      <c r="N51" s="17"/>
      <c r="O51"/>
      <c r="P51" s="18"/>
      <c r="Q51" s="8"/>
      <c r="R51" s="8"/>
      <c r="S51" s="8"/>
      <c r="T51" s="8"/>
      <c r="U51" s="8"/>
      <c r="V51" s="8"/>
      <c r="W51" s="8"/>
      <c r="X51" s="8"/>
      <c r="Y51" s="8"/>
    </row>
    <row r="52" spans="5:25" ht="15" customHeight="1" x14ac:dyDescent="0.25">
      <c r="E52" s="15">
        <v>39574</v>
      </c>
      <c r="F52" s="13">
        <v>1418.26</v>
      </c>
      <c r="G52" s="13">
        <v>586.36</v>
      </c>
      <c r="H52" s="17">
        <v>7.4346228118959733E-3</v>
      </c>
      <c r="I52" s="17">
        <v>-1.5001208276850133E-2</v>
      </c>
      <c r="J52" s="13"/>
      <c r="K52" s="17"/>
      <c r="L52" s="17"/>
      <c r="M52" s="17"/>
      <c r="N52" s="17"/>
      <c r="O52"/>
      <c r="P52" s="18"/>
      <c r="Q52" s="8"/>
      <c r="R52" s="8"/>
      <c r="S52" s="8"/>
      <c r="T52" s="8"/>
      <c r="U52" s="8"/>
      <c r="V52" s="8"/>
      <c r="W52" s="8"/>
      <c r="X52" s="8"/>
      <c r="Y52" s="8"/>
    </row>
    <row r="53" spans="5:25" ht="15" customHeight="1" x14ac:dyDescent="0.25">
      <c r="E53" s="15">
        <v>39575</v>
      </c>
      <c r="F53" s="13">
        <v>1392.57</v>
      </c>
      <c r="G53" s="13">
        <v>579</v>
      </c>
      <c r="H53" s="17">
        <v>-1.833104157380213E-2</v>
      </c>
      <c r="I53" s="17">
        <v>-1.3197870262323193E-2</v>
      </c>
      <c r="J53" s="13"/>
      <c r="K53" s="17"/>
      <c r="L53" s="17"/>
      <c r="M53" s="17"/>
      <c r="N53" s="17"/>
      <c r="O53"/>
      <c r="P53" s="18"/>
      <c r="Q53" s="8"/>
      <c r="R53" s="8"/>
      <c r="S53" s="8"/>
      <c r="T53" s="8"/>
      <c r="U53" s="8"/>
      <c r="V53" s="8"/>
      <c r="W53" s="8"/>
      <c r="X53" s="8"/>
      <c r="Y53" s="8"/>
    </row>
    <row r="54" spans="5:25" ht="15" customHeight="1" x14ac:dyDescent="0.25">
      <c r="E54" s="15">
        <v>39576</v>
      </c>
      <c r="F54" s="13">
        <v>1397.68</v>
      </c>
      <c r="G54" s="13">
        <v>583.01</v>
      </c>
      <c r="H54" s="17">
        <v>3.4521778626748494E-3</v>
      </c>
      <c r="I54" s="17">
        <v>6.2798795883111658E-3</v>
      </c>
      <c r="J54" s="13"/>
      <c r="K54" s="17"/>
      <c r="L54" s="17"/>
      <c r="M54" s="17"/>
      <c r="N54" s="17"/>
      <c r="O54"/>
      <c r="P54" s="18"/>
      <c r="Q54" s="8"/>
      <c r="R54" s="8"/>
      <c r="S54" s="8"/>
      <c r="T54" s="8"/>
      <c r="U54" s="8"/>
      <c r="V54" s="8"/>
      <c r="W54" s="8"/>
      <c r="X54" s="8"/>
      <c r="Y54" s="8"/>
    </row>
    <row r="55" spans="5:25" ht="15" customHeight="1" x14ac:dyDescent="0.25">
      <c r="E55" s="15">
        <v>39577</v>
      </c>
      <c r="F55" s="13">
        <v>1388.28</v>
      </c>
      <c r="G55" s="13">
        <v>573.20000000000005</v>
      </c>
      <c r="H55" s="17">
        <v>-6.9427272760633953E-3</v>
      </c>
      <c r="I55" s="17">
        <v>-1.7472323964693004E-2</v>
      </c>
      <c r="J55" s="13"/>
      <c r="K55" s="17"/>
      <c r="L55" s="17"/>
      <c r="M55" s="17"/>
      <c r="N55" s="17"/>
      <c r="O55"/>
      <c r="P55" s="18"/>
      <c r="Q55" s="8"/>
      <c r="R55" s="8"/>
      <c r="S55" s="8"/>
      <c r="T55" s="8"/>
      <c r="U55" s="8"/>
      <c r="V55" s="8"/>
      <c r="W55" s="8"/>
      <c r="X55" s="8"/>
      <c r="Y55" s="8"/>
    </row>
    <row r="56" spans="5:25" ht="15" customHeight="1" x14ac:dyDescent="0.25">
      <c r="E56" s="15">
        <v>39580</v>
      </c>
      <c r="F56" s="13">
        <v>1403.58</v>
      </c>
      <c r="G56" s="13">
        <v>584.94000000000005</v>
      </c>
      <c r="H56" s="17">
        <v>1.0803534970234695E-2</v>
      </c>
      <c r="I56" s="17">
        <v>1.9835652891416963E-2</v>
      </c>
      <c r="J56" s="13"/>
      <c r="K56" s="17"/>
      <c r="L56" s="17"/>
      <c r="M56" s="17"/>
      <c r="N56" s="17"/>
      <c r="O56"/>
      <c r="P56" s="18"/>
      <c r="Q56" s="8"/>
      <c r="R56" s="8"/>
      <c r="S56" s="8"/>
      <c r="T56" s="8"/>
      <c r="U56" s="8"/>
      <c r="V56" s="8"/>
      <c r="W56" s="8"/>
      <c r="X56" s="8"/>
      <c r="Y56" s="8"/>
    </row>
    <row r="57" spans="5:25" ht="15" customHeight="1" x14ac:dyDescent="0.25">
      <c r="E57" s="15">
        <v>39581</v>
      </c>
      <c r="F57" s="13">
        <v>1403.04</v>
      </c>
      <c r="G57" s="13">
        <v>583</v>
      </c>
      <c r="H57" s="17">
        <v>-6.0202703723757044E-4</v>
      </c>
      <c r="I57" s="17">
        <v>-3.9624339141055391E-3</v>
      </c>
      <c r="J57" s="13"/>
      <c r="K57" s="17"/>
      <c r="L57" s="17"/>
      <c r="M57" s="17"/>
      <c r="N57" s="17"/>
      <c r="O57"/>
      <c r="P57" s="18"/>
      <c r="Q57" s="8"/>
      <c r="R57" s="8"/>
      <c r="S57" s="8"/>
      <c r="T57" s="8"/>
      <c r="U57" s="8"/>
      <c r="V57" s="8"/>
      <c r="W57" s="8"/>
      <c r="X57" s="8"/>
      <c r="Y57" s="8"/>
    </row>
    <row r="58" spans="5:25" ht="15" customHeight="1" x14ac:dyDescent="0.25">
      <c r="E58" s="15">
        <v>39582</v>
      </c>
      <c r="F58" s="13">
        <v>1408.66</v>
      </c>
      <c r="G58" s="13">
        <v>576.29999999999995</v>
      </c>
      <c r="H58" s="17">
        <v>3.788291304038187E-3</v>
      </c>
      <c r="I58" s="17">
        <v>-1.2138135739470514E-2</v>
      </c>
      <c r="J58" s="13"/>
      <c r="K58" s="17"/>
      <c r="L58" s="17"/>
      <c r="M58" s="17"/>
      <c r="N58" s="17"/>
      <c r="O58"/>
      <c r="P58" s="18"/>
      <c r="Q58" s="8"/>
      <c r="R58" s="8"/>
      <c r="S58" s="8"/>
      <c r="T58" s="8"/>
      <c r="U58" s="8"/>
      <c r="V58" s="8"/>
      <c r="W58" s="8"/>
      <c r="X58" s="8"/>
      <c r="Y58" s="8"/>
    </row>
    <row r="59" spans="5:25" ht="15" customHeight="1" x14ac:dyDescent="0.25">
      <c r="E59" s="15">
        <v>39583</v>
      </c>
      <c r="F59" s="13">
        <v>1423.57</v>
      </c>
      <c r="G59" s="13">
        <v>581</v>
      </c>
      <c r="H59" s="17">
        <v>1.0367230576957933E-2</v>
      </c>
      <c r="I59" s="17">
        <v>7.5096201433437612E-3</v>
      </c>
      <c r="J59" s="13"/>
      <c r="K59" s="17"/>
      <c r="L59" s="17"/>
      <c r="M59" s="17"/>
      <c r="N59" s="17"/>
      <c r="O59"/>
      <c r="P59" s="18"/>
      <c r="Q59" s="8"/>
      <c r="R59" s="8"/>
      <c r="S59" s="8"/>
      <c r="T59" s="8"/>
      <c r="U59" s="8"/>
      <c r="V59" s="8"/>
      <c r="W59" s="8"/>
      <c r="X59" s="8"/>
      <c r="Y59" s="8"/>
    </row>
    <row r="60" spans="5:25" ht="15" customHeight="1" x14ac:dyDescent="0.25">
      <c r="E60" s="15">
        <v>39584</v>
      </c>
      <c r="F60" s="13">
        <v>1425.35</v>
      </c>
      <c r="G60" s="13">
        <v>580.07000000000005</v>
      </c>
      <c r="H60" s="17">
        <v>1.033081009569976E-3</v>
      </c>
      <c r="I60" s="17">
        <v>-2.2465429040268024E-3</v>
      </c>
      <c r="J60" s="13"/>
      <c r="K60" s="17"/>
      <c r="L60" s="17"/>
      <c r="M60" s="17"/>
      <c r="N60" s="17"/>
      <c r="O60"/>
      <c r="P60" s="18"/>
      <c r="Q60" s="8"/>
      <c r="R60" s="8"/>
      <c r="S60" s="8"/>
      <c r="T60" s="8"/>
      <c r="U60" s="8"/>
      <c r="V60" s="8"/>
      <c r="W60" s="8"/>
      <c r="X60" s="8"/>
      <c r="Y60" s="8"/>
    </row>
    <row r="61" spans="5:25" ht="15" customHeight="1" x14ac:dyDescent="0.25">
      <c r="E61" s="15">
        <v>39587</v>
      </c>
      <c r="F61" s="13">
        <v>1426.63</v>
      </c>
      <c r="G61" s="13">
        <v>577.52</v>
      </c>
      <c r="H61" s="17">
        <v>6.8072848417063904E-4</v>
      </c>
      <c r="I61" s="17">
        <v>-5.0418756057272656E-3</v>
      </c>
      <c r="J61" s="13"/>
      <c r="K61" s="17"/>
      <c r="L61" s="17"/>
      <c r="M61" s="17"/>
      <c r="N61" s="17"/>
      <c r="O61"/>
      <c r="P61" s="18"/>
      <c r="Q61" s="8"/>
      <c r="R61" s="8"/>
      <c r="S61" s="8"/>
      <c r="T61" s="8"/>
      <c r="U61" s="8"/>
      <c r="V61" s="8"/>
      <c r="W61" s="8"/>
      <c r="X61" s="8"/>
      <c r="Y61" s="8"/>
    </row>
    <row r="62" spans="5:25" ht="15" customHeight="1" x14ac:dyDescent="0.25">
      <c r="E62" s="15">
        <v>39588</v>
      </c>
      <c r="F62" s="13">
        <v>1413.4</v>
      </c>
      <c r="G62" s="13">
        <v>578.6</v>
      </c>
      <c r="H62" s="17">
        <v>-9.4908993885500347E-3</v>
      </c>
      <c r="I62" s="17">
        <v>1.2242106701019009E-3</v>
      </c>
      <c r="J62" s="13"/>
      <c r="K62" s="17"/>
      <c r="L62" s="17"/>
      <c r="M62" s="17"/>
      <c r="N62" s="17"/>
      <c r="O62"/>
      <c r="P62" s="18"/>
      <c r="Q62" s="8"/>
      <c r="R62" s="8"/>
      <c r="S62" s="8"/>
      <c r="T62" s="8"/>
      <c r="U62" s="8"/>
      <c r="V62" s="8"/>
      <c r="W62" s="8"/>
      <c r="X62" s="8"/>
      <c r="Y62" s="8"/>
    </row>
    <row r="63" spans="5:25" ht="15" customHeight="1" x14ac:dyDescent="0.25">
      <c r="E63" s="15">
        <v>39589</v>
      </c>
      <c r="F63" s="13">
        <v>1390.71</v>
      </c>
      <c r="G63" s="13">
        <v>549.99</v>
      </c>
      <c r="H63" s="17">
        <v>-1.6270784605326011E-2</v>
      </c>
      <c r="I63" s="17">
        <v>-5.0092795327676271E-2</v>
      </c>
      <c r="J63" s="13"/>
      <c r="K63" s="17"/>
      <c r="L63" s="17"/>
      <c r="M63" s="17"/>
      <c r="N63" s="17"/>
      <c r="O63"/>
      <c r="P63" s="18"/>
      <c r="Q63" s="8"/>
      <c r="R63" s="8"/>
      <c r="S63" s="8"/>
      <c r="T63" s="8"/>
      <c r="U63" s="8"/>
      <c r="V63" s="8"/>
      <c r="W63" s="8"/>
      <c r="X63" s="8"/>
      <c r="Y63" s="8"/>
    </row>
    <row r="64" spans="5:25" ht="15" customHeight="1" x14ac:dyDescent="0.25">
      <c r="E64" s="15">
        <v>39590</v>
      </c>
      <c r="F64" s="13">
        <v>1394.35</v>
      </c>
      <c r="G64" s="13">
        <v>549.46</v>
      </c>
      <c r="H64" s="17">
        <v>2.4000715446290096E-3</v>
      </c>
      <c r="I64" s="17">
        <v>-1.609508320484539E-3</v>
      </c>
      <c r="J64" s="13"/>
      <c r="K64" s="17"/>
      <c r="L64" s="17"/>
      <c r="M64" s="17"/>
      <c r="N64" s="17"/>
      <c r="O64"/>
      <c r="P64" s="18"/>
      <c r="Q64" s="8"/>
      <c r="R64" s="8"/>
      <c r="S64" s="8"/>
      <c r="T64" s="8"/>
      <c r="U64" s="8"/>
      <c r="V64" s="8"/>
      <c r="W64" s="8"/>
      <c r="X64" s="8"/>
      <c r="Y64" s="8"/>
    </row>
    <row r="65" spans="5:25" ht="15" customHeight="1" x14ac:dyDescent="0.25">
      <c r="E65" s="15">
        <v>39591</v>
      </c>
      <c r="F65" s="13">
        <v>1375.93</v>
      </c>
      <c r="G65" s="13">
        <v>544.62</v>
      </c>
      <c r="H65" s="17">
        <v>-1.3427753047409757E-2</v>
      </c>
      <c r="I65" s="17">
        <v>-9.4545029271144061E-3</v>
      </c>
      <c r="J65" s="13"/>
      <c r="K65" s="17"/>
      <c r="L65" s="17"/>
      <c r="M65" s="17"/>
      <c r="N65" s="17"/>
      <c r="O65"/>
      <c r="P65" s="18"/>
      <c r="Q65" s="8"/>
      <c r="R65" s="8"/>
      <c r="S65" s="8"/>
      <c r="T65" s="8"/>
      <c r="U65" s="8"/>
      <c r="V65" s="8"/>
      <c r="W65" s="8"/>
      <c r="X65" s="8"/>
      <c r="Y65" s="8"/>
    </row>
    <row r="66" spans="5:25" ht="15" customHeight="1" x14ac:dyDescent="0.25">
      <c r="E66" s="15">
        <v>39595</v>
      </c>
      <c r="F66" s="13">
        <v>1385.35</v>
      </c>
      <c r="G66" s="13">
        <v>560.9</v>
      </c>
      <c r="H66" s="17">
        <v>6.6289819547665505E-3</v>
      </c>
      <c r="I66" s="17">
        <v>2.924654760592215E-2</v>
      </c>
      <c r="J66" s="13"/>
      <c r="K66" s="17"/>
      <c r="L66" s="17"/>
      <c r="M66" s="17"/>
      <c r="N66" s="17"/>
      <c r="O66"/>
      <c r="P66" s="18"/>
      <c r="Q66" s="8"/>
      <c r="R66" s="8"/>
      <c r="S66" s="8"/>
      <c r="T66" s="8"/>
      <c r="U66" s="8"/>
      <c r="V66" s="8"/>
      <c r="W66" s="8"/>
      <c r="X66" s="8"/>
      <c r="Y66" s="8"/>
    </row>
    <row r="67" spans="5:25" ht="15" customHeight="1" x14ac:dyDescent="0.25">
      <c r="E67" s="15">
        <v>39596</v>
      </c>
      <c r="F67" s="13">
        <v>1390.84</v>
      </c>
      <c r="G67" s="13">
        <v>568.24</v>
      </c>
      <c r="H67" s="17">
        <v>3.7456009004258758E-3</v>
      </c>
      <c r="I67" s="17">
        <v>1.2440257170478489E-2</v>
      </c>
      <c r="J67" s="13"/>
      <c r="K67" s="17"/>
      <c r="L67" s="17"/>
      <c r="M67" s="17"/>
      <c r="N67" s="17"/>
      <c r="O67"/>
      <c r="P67" s="18"/>
      <c r="Q67" s="8"/>
      <c r="R67" s="8"/>
      <c r="S67" s="8"/>
      <c r="T67" s="8"/>
      <c r="U67" s="8"/>
      <c r="V67" s="8"/>
      <c r="W67" s="8"/>
      <c r="X67" s="8"/>
      <c r="Y67" s="8"/>
    </row>
    <row r="68" spans="5:25" ht="15" customHeight="1" x14ac:dyDescent="0.25">
      <c r="E68" s="15">
        <v>39597</v>
      </c>
      <c r="F68" s="13">
        <v>1398.26</v>
      </c>
      <c r="G68" s="13">
        <v>583</v>
      </c>
      <c r="H68" s="17">
        <v>5.1176089624097023E-3</v>
      </c>
      <c r="I68" s="17">
        <v>2.5329085730258535E-2</v>
      </c>
      <c r="J68" s="13"/>
      <c r="K68" s="17"/>
      <c r="L68" s="17"/>
      <c r="M68" s="17"/>
      <c r="N68" s="17"/>
      <c r="O68"/>
      <c r="P68" s="18"/>
      <c r="Q68" s="8"/>
      <c r="R68" s="8"/>
      <c r="S68" s="8"/>
      <c r="T68" s="8"/>
      <c r="U68" s="8"/>
      <c r="V68" s="8"/>
      <c r="W68" s="8"/>
      <c r="X68" s="8"/>
      <c r="Y68" s="8"/>
    </row>
    <row r="69" spans="5:25" ht="15" customHeight="1" x14ac:dyDescent="0.25">
      <c r="E69" s="15">
        <v>39598</v>
      </c>
      <c r="F69" s="13">
        <v>1400.38</v>
      </c>
      <c r="G69" s="13">
        <v>585.79999999999995</v>
      </c>
      <c r="H69" s="17">
        <v>1.2988735348115343E-3</v>
      </c>
      <c r="I69" s="17">
        <v>4.1568899895174797E-3</v>
      </c>
      <c r="J69" s="13"/>
      <c r="K69" s="17"/>
      <c r="L69" s="17"/>
      <c r="M69" s="17"/>
      <c r="N69" s="17"/>
      <c r="O69"/>
      <c r="P69" s="18"/>
      <c r="Q69" s="8"/>
      <c r="R69" s="8"/>
      <c r="S69" s="8"/>
      <c r="T69" s="8"/>
      <c r="U69" s="8"/>
      <c r="V69" s="8"/>
      <c r="W69" s="8"/>
      <c r="X69" s="8"/>
      <c r="Y69" s="8"/>
    </row>
    <row r="70" spans="5:25" ht="15" customHeight="1" x14ac:dyDescent="0.25">
      <c r="E70" s="15">
        <v>39601</v>
      </c>
      <c r="F70" s="13">
        <v>1385.67</v>
      </c>
      <c r="G70" s="13">
        <v>575</v>
      </c>
      <c r="H70" s="17">
        <v>-1.0721588254564133E-2</v>
      </c>
      <c r="I70" s="17">
        <v>-1.9082180827128273E-2</v>
      </c>
      <c r="J70" s="13"/>
      <c r="K70" s="17"/>
      <c r="L70" s="17"/>
      <c r="M70" s="17"/>
      <c r="N70" s="17"/>
      <c r="O70"/>
      <c r="P70" s="18"/>
      <c r="Q70" s="8"/>
      <c r="R70" s="8"/>
      <c r="S70" s="8"/>
      <c r="T70" s="8"/>
      <c r="U70" s="8"/>
      <c r="V70" s="8"/>
      <c r="W70" s="8"/>
      <c r="X70" s="8"/>
      <c r="Y70" s="8"/>
    </row>
    <row r="71" spans="5:25" ht="15" customHeight="1" x14ac:dyDescent="0.25">
      <c r="E71" s="15">
        <v>39602</v>
      </c>
      <c r="F71" s="13">
        <v>1377.65</v>
      </c>
      <c r="G71" s="13">
        <v>567.29999999999995</v>
      </c>
      <c r="H71" s="17">
        <v>-6.0051103996586145E-3</v>
      </c>
      <c r="I71" s="17">
        <v>-1.4037158783694543E-2</v>
      </c>
      <c r="J71" s="13"/>
      <c r="K71" s="17"/>
      <c r="L71" s="17"/>
      <c r="M71" s="17"/>
      <c r="N71" s="17"/>
      <c r="O71"/>
      <c r="P71" s="18"/>
      <c r="Q71" s="8"/>
      <c r="R71" s="8"/>
      <c r="S71" s="8"/>
      <c r="T71" s="8"/>
      <c r="U71" s="8"/>
      <c r="V71" s="8"/>
      <c r="W71" s="8"/>
      <c r="X71" s="8"/>
      <c r="Y71" s="8"/>
    </row>
    <row r="72" spans="5:25" ht="15" customHeight="1" x14ac:dyDescent="0.25">
      <c r="E72" s="15">
        <v>39603</v>
      </c>
      <c r="F72" s="13">
        <v>1377.2</v>
      </c>
      <c r="G72" s="13">
        <v>572.22</v>
      </c>
      <c r="H72" s="17">
        <v>-5.4393975905725847E-4</v>
      </c>
      <c r="I72" s="17">
        <v>8.0268055324023025E-3</v>
      </c>
      <c r="J72" s="13"/>
      <c r="K72" s="17"/>
      <c r="L72" s="17"/>
      <c r="M72" s="17"/>
      <c r="N72" s="17"/>
      <c r="O72"/>
      <c r="P72" s="18"/>
      <c r="Q72" s="8"/>
      <c r="R72" s="8"/>
      <c r="S72" s="8"/>
      <c r="T72" s="8"/>
      <c r="U72" s="8"/>
      <c r="V72" s="8"/>
      <c r="W72" s="8"/>
      <c r="X72" s="8"/>
      <c r="Y72" s="8"/>
    </row>
    <row r="73" spans="5:25" ht="15" customHeight="1" x14ac:dyDescent="0.25">
      <c r="E73" s="15">
        <v>39604</v>
      </c>
      <c r="F73" s="13">
        <v>1404.05</v>
      </c>
      <c r="G73" s="13">
        <v>586.29999999999995</v>
      </c>
      <c r="H73" s="17">
        <v>1.9278782438562164E-2</v>
      </c>
      <c r="I73" s="17">
        <v>2.3960066363823973E-2</v>
      </c>
      <c r="J73" s="13"/>
      <c r="K73" s="17"/>
      <c r="L73" s="17"/>
      <c r="M73" s="17"/>
      <c r="N73" s="17"/>
      <c r="O73"/>
      <c r="P73" s="18"/>
      <c r="Q73" s="8"/>
      <c r="R73" s="8"/>
      <c r="S73" s="8"/>
      <c r="T73" s="8"/>
      <c r="U73" s="8"/>
      <c r="V73" s="8"/>
      <c r="W73" s="8"/>
      <c r="X73" s="8"/>
      <c r="Y73" s="8"/>
    </row>
    <row r="74" spans="5:25" ht="15" customHeight="1" x14ac:dyDescent="0.25">
      <c r="E74" s="15">
        <v>39605</v>
      </c>
      <c r="F74" s="13">
        <v>1360.68</v>
      </c>
      <c r="G74" s="13">
        <v>567</v>
      </c>
      <c r="H74" s="17">
        <v>-3.1106509909412196E-2</v>
      </c>
      <c r="I74" s="17">
        <v>-3.3564155646852591E-2</v>
      </c>
      <c r="J74" s="13"/>
      <c r="K74" s="17"/>
      <c r="L74" s="17"/>
      <c r="M74" s="17"/>
      <c r="N74" s="17"/>
      <c r="O74"/>
      <c r="P74" s="18"/>
      <c r="Q74" s="8"/>
      <c r="R74" s="8"/>
      <c r="S74" s="8"/>
      <c r="T74" s="8"/>
      <c r="U74" s="8"/>
      <c r="V74" s="8"/>
      <c r="W74" s="8"/>
      <c r="X74" s="8"/>
      <c r="Y74" s="8"/>
    </row>
    <row r="75" spans="5:25" ht="15" customHeight="1" x14ac:dyDescent="0.25">
      <c r="E75" s="15">
        <v>39608</v>
      </c>
      <c r="F75" s="13">
        <v>1361.76</v>
      </c>
      <c r="G75" s="13">
        <v>557.87</v>
      </c>
      <c r="H75" s="17">
        <v>5.7642422435631778E-4</v>
      </c>
      <c r="I75" s="17">
        <v>-1.6748147204827892E-2</v>
      </c>
      <c r="J75" s="13"/>
      <c r="K75" s="17"/>
      <c r="L75" s="17"/>
      <c r="M75" s="17"/>
      <c r="N75" s="17"/>
      <c r="O75"/>
      <c r="P75" s="18"/>
      <c r="Q75" s="8"/>
      <c r="R75" s="8"/>
      <c r="S75" s="8"/>
      <c r="T75" s="8"/>
      <c r="U75" s="8"/>
      <c r="V75" s="8"/>
      <c r="W75" s="8"/>
      <c r="X75" s="8"/>
      <c r="Y75" s="8"/>
    </row>
    <row r="76" spans="5:25" ht="15" customHeight="1" x14ac:dyDescent="0.25">
      <c r="E76" s="15">
        <v>39609</v>
      </c>
      <c r="F76" s="13">
        <v>1358.44</v>
      </c>
      <c r="G76" s="13">
        <v>554.16999999999996</v>
      </c>
      <c r="H76" s="17">
        <v>-2.6553179464003495E-3</v>
      </c>
      <c r="I76" s="17">
        <v>-7.2782239843295661E-3</v>
      </c>
      <c r="J76" s="13"/>
      <c r="K76" s="17"/>
      <c r="L76" s="17"/>
      <c r="M76" s="17"/>
      <c r="N76" s="17"/>
      <c r="O76"/>
      <c r="P76" s="18"/>
      <c r="Q76" s="8"/>
      <c r="R76" s="8"/>
      <c r="S76" s="8"/>
      <c r="T76" s="8"/>
      <c r="U76" s="8"/>
      <c r="V76" s="8"/>
      <c r="W76" s="8"/>
      <c r="X76" s="8"/>
      <c r="Y76" s="8"/>
    </row>
    <row r="77" spans="5:25" ht="15" customHeight="1" x14ac:dyDescent="0.25">
      <c r="E77" s="15">
        <v>39610</v>
      </c>
      <c r="F77" s="13">
        <v>1335.49</v>
      </c>
      <c r="G77" s="13">
        <v>545.20000000000005</v>
      </c>
      <c r="H77" s="17">
        <v>-1.7111675408632898E-2</v>
      </c>
      <c r="I77" s="17">
        <v>-1.6832223239665125E-2</v>
      </c>
      <c r="J77" s="13"/>
      <c r="K77" s="17"/>
      <c r="L77" s="17"/>
      <c r="M77" s="17"/>
      <c r="N77" s="17"/>
      <c r="O77"/>
      <c r="P77" s="18"/>
      <c r="Q77" s="8"/>
      <c r="R77" s="8"/>
      <c r="S77" s="8"/>
      <c r="T77" s="8"/>
      <c r="U77" s="8"/>
      <c r="V77" s="8"/>
      <c r="W77" s="8"/>
      <c r="X77" s="8"/>
      <c r="Y77" s="8"/>
    </row>
    <row r="78" spans="5:25" ht="15" customHeight="1" x14ac:dyDescent="0.25">
      <c r="E78" s="15">
        <v>39611</v>
      </c>
      <c r="F78" s="13">
        <v>1339.87</v>
      </c>
      <c r="G78" s="13">
        <v>552.95000000000005</v>
      </c>
      <c r="H78" s="17">
        <v>3.0623985308775971E-3</v>
      </c>
      <c r="I78" s="17">
        <v>1.3569112548724355E-2</v>
      </c>
      <c r="J78" s="13"/>
      <c r="K78" s="17"/>
      <c r="L78" s="17"/>
      <c r="M78" s="17"/>
      <c r="N78" s="17"/>
      <c r="O78"/>
      <c r="P78" s="18"/>
      <c r="Q78" s="8"/>
      <c r="R78" s="8"/>
      <c r="S78" s="8"/>
      <c r="T78" s="8"/>
      <c r="U78" s="8"/>
      <c r="V78" s="8"/>
      <c r="W78" s="8"/>
      <c r="X78" s="8"/>
      <c r="Y78" s="8"/>
    </row>
    <row r="79" spans="5:25" ht="15" customHeight="1" x14ac:dyDescent="0.25">
      <c r="E79" s="15">
        <v>39612</v>
      </c>
      <c r="F79" s="13">
        <v>1360.03</v>
      </c>
      <c r="G79" s="13">
        <v>571.51</v>
      </c>
      <c r="H79" s="17">
        <v>1.4828939266539895E-2</v>
      </c>
      <c r="I79" s="17">
        <v>3.2919567392506628E-2</v>
      </c>
      <c r="J79" s="13"/>
      <c r="K79" s="17"/>
      <c r="L79" s="17"/>
      <c r="M79" s="17"/>
      <c r="N79" s="17"/>
      <c r="O79"/>
      <c r="P79" s="18"/>
      <c r="Q79" s="8"/>
      <c r="R79" s="8"/>
      <c r="S79" s="8"/>
      <c r="T79" s="8"/>
      <c r="U79" s="8"/>
      <c r="V79" s="8"/>
      <c r="W79" s="8"/>
      <c r="X79" s="8"/>
      <c r="Y79" s="8"/>
    </row>
    <row r="80" spans="5:25" ht="15" customHeight="1" x14ac:dyDescent="0.25">
      <c r="E80" s="15">
        <v>39615</v>
      </c>
      <c r="F80" s="13">
        <v>1360.14</v>
      </c>
      <c r="G80" s="13">
        <v>572.80999999999995</v>
      </c>
      <c r="H80" s="17">
        <v>-1.3641599349819092E-4</v>
      </c>
      <c r="I80" s="17">
        <v>1.6288214228216817E-3</v>
      </c>
      <c r="J80" s="13"/>
      <c r="K80" s="17"/>
      <c r="L80" s="17"/>
      <c r="M80" s="17"/>
      <c r="N80" s="17"/>
      <c r="O80"/>
      <c r="P80" s="18"/>
      <c r="Q80" s="8"/>
      <c r="R80" s="8"/>
      <c r="S80" s="8"/>
      <c r="T80" s="8"/>
      <c r="U80" s="8"/>
      <c r="V80" s="8"/>
      <c r="W80" s="8"/>
      <c r="X80" s="8"/>
      <c r="Y80" s="8"/>
    </row>
    <row r="81" spans="5:25" ht="15" customHeight="1" x14ac:dyDescent="0.25">
      <c r="E81" s="15">
        <v>39616</v>
      </c>
      <c r="F81" s="13">
        <v>1350.93</v>
      </c>
      <c r="G81" s="13">
        <v>569.46</v>
      </c>
      <c r="H81" s="17">
        <v>-6.9886583338915099E-3</v>
      </c>
      <c r="I81" s="17">
        <v>-6.4942160217346242E-3</v>
      </c>
      <c r="J81" s="13"/>
      <c r="K81" s="17"/>
      <c r="L81" s="17"/>
      <c r="M81" s="17"/>
      <c r="N81" s="17"/>
      <c r="O81"/>
      <c r="P81" s="18"/>
      <c r="Q81" s="8"/>
      <c r="R81" s="8"/>
      <c r="S81" s="8"/>
      <c r="T81" s="8"/>
      <c r="U81" s="8"/>
      <c r="V81" s="8"/>
      <c r="W81" s="8"/>
      <c r="X81" s="8"/>
      <c r="Y81" s="8"/>
    </row>
    <row r="82" spans="5:25" ht="15" customHeight="1" x14ac:dyDescent="0.25">
      <c r="E82" s="15">
        <v>39617</v>
      </c>
      <c r="F82" s="13">
        <v>1337.81</v>
      </c>
      <c r="G82" s="13">
        <v>562.38</v>
      </c>
      <c r="H82" s="17">
        <v>-9.9291247103257263E-3</v>
      </c>
      <c r="I82" s="17">
        <v>-1.3078685539018808E-2</v>
      </c>
      <c r="J82" s="13"/>
      <c r="K82" s="17"/>
      <c r="L82" s="17"/>
      <c r="M82" s="17"/>
      <c r="N82" s="17"/>
      <c r="O82"/>
      <c r="P82" s="18"/>
      <c r="Q82" s="8"/>
      <c r="R82" s="8"/>
      <c r="S82" s="8"/>
      <c r="T82" s="8"/>
      <c r="U82" s="8"/>
      <c r="V82" s="8"/>
      <c r="W82" s="8"/>
      <c r="X82" s="8"/>
      <c r="Y82" s="8"/>
    </row>
    <row r="83" spans="5:25" ht="15" customHeight="1" x14ac:dyDescent="0.25">
      <c r="E83" s="15">
        <v>39618</v>
      </c>
      <c r="F83" s="13">
        <v>1342.83</v>
      </c>
      <c r="G83" s="13">
        <v>560.20000000000005</v>
      </c>
      <c r="H83" s="17">
        <v>3.5351047502837963E-3</v>
      </c>
      <c r="I83" s="17">
        <v>-4.5222369530276713E-3</v>
      </c>
      <c r="J83" s="13"/>
      <c r="K83" s="17"/>
      <c r="L83" s="17"/>
      <c r="M83" s="17"/>
      <c r="N83" s="17"/>
      <c r="O83"/>
      <c r="P83" s="18"/>
      <c r="Q83" s="8"/>
      <c r="R83" s="8"/>
      <c r="S83" s="8"/>
      <c r="T83" s="8"/>
      <c r="U83" s="8"/>
      <c r="V83" s="8"/>
      <c r="W83" s="8"/>
      <c r="X83" s="8"/>
      <c r="Y83" s="8"/>
    </row>
    <row r="84" spans="5:25" ht="15" customHeight="1" x14ac:dyDescent="0.25">
      <c r="E84" s="15">
        <v>39619</v>
      </c>
      <c r="F84" s="13">
        <v>1317.93</v>
      </c>
      <c r="G84" s="13">
        <v>546.42999999999995</v>
      </c>
      <c r="H84" s="17">
        <v>-1.8760224557662273E-2</v>
      </c>
      <c r="I84" s="17">
        <v>-2.5226361397667815E-2</v>
      </c>
      <c r="J84" s="13"/>
      <c r="K84" s="17"/>
      <c r="L84" s="17"/>
      <c r="M84" s="17"/>
      <c r="N84" s="17"/>
      <c r="O84"/>
      <c r="P84" s="18"/>
      <c r="Q84" s="8"/>
      <c r="R84" s="8"/>
      <c r="S84" s="8"/>
      <c r="T84" s="8"/>
      <c r="U84" s="8"/>
      <c r="V84" s="8"/>
      <c r="W84" s="8"/>
      <c r="X84" s="8"/>
      <c r="Y84" s="8"/>
    </row>
    <row r="85" spans="5:25" ht="15" customHeight="1" x14ac:dyDescent="0.25">
      <c r="E85" s="15">
        <v>39622</v>
      </c>
      <c r="F85" s="13">
        <v>1318</v>
      </c>
      <c r="G85" s="13">
        <v>545.21</v>
      </c>
      <c r="H85" s="17">
        <v>-1.6418296750520011E-4</v>
      </c>
      <c r="I85" s="17">
        <v>-2.8785283373745948E-3</v>
      </c>
      <c r="J85" s="13"/>
      <c r="K85" s="17"/>
      <c r="L85" s="17"/>
      <c r="M85" s="17"/>
      <c r="N85" s="17"/>
      <c r="O85"/>
      <c r="P85" s="18"/>
      <c r="Q85" s="8"/>
      <c r="R85" s="8"/>
      <c r="S85" s="8"/>
      <c r="T85" s="8"/>
      <c r="U85" s="8"/>
      <c r="V85" s="8"/>
      <c r="W85" s="8"/>
      <c r="X85" s="8"/>
      <c r="Y85" s="8"/>
    </row>
    <row r="86" spans="5:25" ht="15" customHeight="1" x14ac:dyDescent="0.25">
      <c r="E86" s="15">
        <v>39623</v>
      </c>
      <c r="F86" s="13">
        <v>1314.29</v>
      </c>
      <c r="G86" s="13">
        <v>542.29999999999995</v>
      </c>
      <c r="H86" s="17">
        <v>-3.0321675790011306E-3</v>
      </c>
      <c r="I86" s="17">
        <v>-5.9832473670325941E-3</v>
      </c>
      <c r="J86" s="13"/>
      <c r="K86" s="17"/>
      <c r="L86" s="17"/>
      <c r="M86" s="17"/>
      <c r="N86" s="17"/>
      <c r="O86"/>
      <c r="P86" s="18"/>
      <c r="Q86" s="8"/>
      <c r="R86" s="8"/>
      <c r="S86" s="8"/>
      <c r="T86" s="8"/>
      <c r="U86" s="8"/>
      <c r="V86" s="8"/>
      <c r="W86" s="8"/>
      <c r="X86" s="8"/>
      <c r="Y86" s="8"/>
    </row>
    <row r="87" spans="5:25" ht="15" customHeight="1" x14ac:dyDescent="0.25">
      <c r="E87" s="15">
        <v>39624</v>
      </c>
      <c r="F87" s="13">
        <v>1321.97</v>
      </c>
      <c r="G87" s="13">
        <v>551</v>
      </c>
      <c r="H87" s="17">
        <v>5.6261626438021111E-3</v>
      </c>
      <c r="I87" s="17">
        <v>1.5396926312794648E-2</v>
      </c>
      <c r="J87" s="13"/>
      <c r="K87" s="17"/>
      <c r="L87" s="17"/>
      <c r="M87" s="17"/>
      <c r="N87" s="17"/>
      <c r="O87"/>
      <c r="P87" s="18"/>
      <c r="Q87" s="8"/>
      <c r="R87" s="8"/>
      <c r="S87" s="8"/>
      <c r="T87" s="8"/>
      <c r="U87" s="8"/>
      <c r="V87" s="8"/>
      <c r="W87" s="8"/>
      <c r="X87" s="8"/>
      <c r="Y87" s="8"/>
    </row>
    <row r="88" spans="5:25" ht="15" customHeight="1" x14ac:dyDescent="0.25">
      <c r="E88" s="15">
        <v>39625</v>
      </c>
      <c r="F88" s="13">
        <v>1283.1500000000001</v>
      </c>
      <c r="G88" s="13">
        <v>528.82000000000005</v>
      </c>
      <c r="H88" s="17">
        <v>-2.9582562037319956E-2</v>
      </c>
      <c r="I88" s="17">
        <v>-4.0899937920441963E-2</v>
      </c>
      <c r="J88" s="13"/>
      <c r="K88" s="17"/>
      <c r="L88" s="17"/>
      <c r="M88" s="17"/>
      <c r="N88" s="17"/>
      <c r="O88"/>
      <c r="P88" s="18"/>
      <c r="Q88" s="8"/>
      <c r="R88" s="8"/>
      <c r="S88" s="8"/>
      <c r="T88" s="8"/>
      <c r="U88" s="8"/>
      <c r="V88" s="8"/>
      <c r="W88" s="8"/>
      <c r="X88" s="8"/>
      <c r="Y88" s="8"/>
    </row>
    <row r="89" spans="5:25" ht="15" customHeight="1" x14ac:dyDescent="0.25">
      <c r="E89" s="15">
        <v>39626</v>
      </c>
      <c r="F89" s="13">
        <v>1278.3800000000001</v>
      </c>
      <c r="G89" s="13">
        <v>528.07000000000005</v>
      </c>
      <c r="H89" s="17">
        <v>-3.9347107383602975E-3</v>
      </c>
      <c r="I89" s="17">
        <v>-2.0641063930561562E-3</v>
      </c>
      <c r="J89" s="13"/>
      <c r="K89" s="17"/>
      <c r="L89" s="17"/>
      <c r="M89" s="17"/>
      <c r="N89" s="17"/>
      <c r="O89"/>
      <c r="P89" s="18"/>
      <c r="Q89" s="8"/>
      <c r="R89" s="8"/>
      <c r="S89" s="8"/>
      <c r="T89" s="8"/>
      <c r="U89" s="8"/>
      <c r="V89" s="8"/>
      <c r="W89" s="8"/>
      <c r="X89" s="8"/>
      <c r="Y89" s="8"/>
    </row>
    <row r="90" spans="5:25" ht="15" customHeight="1" x14ac:dyDescent="0.25">
      <c r="E90" s="15">
        <v>39629</v>
      </c>
      <c r="F90" s="13">
        <v>1280</v>
      </c>
      <c r="G90" s="13">
        <v>526.41999999999996</v>
      </c>
      <c r="H90" s="17">
        <v>1.0499322741870174E-3</v>
      </c>
      <c r="I90" s="17">
        <v>-3.770440191544786E-3</v>
      </c>
      <c r="J90" s="13"/>
      <c r="K90" s="17"/>
      <c r="L90" s="17"/>
      <c r="M90" s="17"/>
      <c r="N90" s="17"/>
      <c r="O90"/>
      <c r="P90" s="18"/>
      <c r="Q90" s="8"/>
      <c r="R90" s="8"/>
      <c r="S90" s="8"/>
      <c r="T90" s="8"/>
      <c r="U90" s="8"/>
      <c r="V90" s="8"/>
      <c r="W90" s="8"/>
      <c r="X90" s="8"/>
      <c r="Y90" s="8"/>
    </row>
    <row r="91" spans="5:25" ht="15" customHeight="1" x14ac:dyDescent="0.25">
      <c r="E91" s="15">
        <v>39630</v>
      </c>
      <c r="F91" s="13">
        <v>1284.9100000000001</v>
      </c>
      <c r="G91" s="13">
        <v>534.73</v>
      </c>
      <c r="H91" s="17">
        <v>3.6186409376908271E-3</v>
      </c>
      <c r="I91" s="17">
        <v>1.5140019961000966E-2</v>
      </c>
      <c r="J91" s="13"/>
      <c r="K91" s="17"/>
      <c r="L91" s="17"/>
      <c r="M91" s="17"/>
      <c r="N91" s="17"/>
      <c r="O91"/>
      <c r="P91" s="18"/>
      <c r="Q91" s="8"/>
      <c r="R91" s="8"/>
      <c r="S91" s="8"/>
      <c r="T91" s="8"/>
      <c r="U91" s="8"/>
      <c r="V91" s="8"/>
      <c r="W91" s="8"/>
      <c r="X91" s="8"/>
      <c r="Y91" s="8"/>
    </row>
    <row r="92" spans="5:25" ht="15" customHeight="1" x14ac:dyDescent="0.25">
      <c r="E92" s="15">
        <v>39631</v>
      </c>
      <c r="F92" s="13">
        <v>1261.52</v>
      </c>
      <c r="G92" s="13">
        <v>527.04</v>
      </c>
      <c r="H92" s="17">
        <v>-1.8420906153642419E-2</v>
      </c>
      <c r="I92" s="17">
        <v>-1.5026943957683203E-2</v>
      </c>
      <c r="J92" s="13"/>
      <c r="K92" s="17"/>
      <c r="L92" s="17"/>
      <c r="M92" s="17"/>
      <c r="N92" s="17"/>
      <c r="O92"/>
      <c r="P92" s="18"/>
      <c r="Q92" s="8"/>
      <c r="R92" s="8"/>
      <c r="S92" s="8"/>
      <c r="T92" s="8"/>
      <c r="U92" s="8"/>
      <c r="V92" s="8"/>
      <c r="W92" s="8"/>
      <c r="X92" s="8"/>
      <c r="Y92" s="8"/>
    </row>
    <row r="93" spans="5:25" ht="15" customHeight="1" x14ac:dyDescent="0.25">
      <c r="E93" s="15">
        <v>39632</v>
      </c>
      <c r="F93" s="13">
        <v>1262.9000000000001</v>
      </c>
      <c r="G93" s="13">
        <v>537</v>
      </c>
      <c r="H93" s="17">
        <v>8.7662188527786486E-4</v>
      </c>
      <c r="I93" s="17">
        <v>1.8252141921144299E-2</v>
      </c>
      <c r="J93" s="13"/>
      <c r="K93" s="17"/>
      <c r="L93" s="17"/>
      <c r="M93" s="17"/>
      <c r="N93" s="17"/>
      <c r="O93"/>
      <c r="P93" s="18"/>
      <c r="Q93" s="8"/>
      <c r="R93" s="8"/>
      <c r="S93" s="8"/>
      <c r="T93" s="8"/>
      <c r="U93" s="8"/>
      <c r="V93" s="8"/>
      <c r="W93" s="8"/>
      <c r="X93" s="8"/>
      <c r="Y93" s="8"/>
    </row>
    <row r="94" spans="5:25" ht="15" customHeight="1" x14ac:dyDescent="0.25">
      <c r="E94" s="15">
        <v>39636</v>
      </c>
      <c r="F94" s="13">
        <v>1252.31</v>
      </c>
      <c r="G94" s="13">
        <v>543.91</v>
      </c>
      <c r="H94" s="17">
        <v>-8.6027585941406727E-3</v>
      </c>
      <c r="I94" s="17">
        <v>1.2221929549233965E-2</v>
      </c>
      <c r="J94" s="13"/>
      <c r="K94" s="17"/>
      <c r="L94" s="17"/>
      <c r="M94" s="17"/>
      <c r="N94" s="17"/>
      <c r="O94"/>
      <c r="P94" s="18"/>
      <c r="Q94" s="8"/>
      <c r="R94" s="8"/>
      <c r="S94" s="8"/>
      <c r="T94" s="8"/>
      <c r="U94" s="8"/>
      <c r="V94" s="8"/>
      <c r="W94" s="8"/>
      <c r="X94" s="8"/>
      <c r="Y94" s="8"/>
    </row>
    <row r="95" spans="5:25" ht="15" customHeight="1" x14ac:dyDescent="0.25">
      <c r="E95" s="15">
        <v>39637</v>
      </c>
      <c r="F95" s="13">
        <v>1273.7</v>
      </c>
      <c r="G95" s="13">
        <v>554.53</v>
      </c>
      <c r="H95" s="17">
        <v>1.6863138793153931E-2</v>
      </c>
      <c r="I95" s="17">
        <v>1.8879434674462299E-2</v>
      </c>
      <c r="J95" s="13"/>
      <c r="K95" s="17"/>
      <c r="L95" s="17"/>
      <c r="M95" s="17"/>
      <c r="N95" s="17"/>
      <c r="O95"/>
      <c r="P95" s="18"/>
      <c r="Q95" s="8"/>
      <c r="R95" s="8"/>
      <c r="S95" s="8"/>
      <c r="T95" s="8"/>
      <c r="U95" s="8"/>
      <c r="V95" s="8"/>
      <c r="W95" s="8"/>
      <c r="X95" s="8"/>
      <c r="Y95" s="8"/>
    </row>
    <row r="96" spans="5:25" ht="15" customHeight="1" x14ac:dyDescent="0.25">
      <c r="E96" s="15">
        <v>39638</v>
      </c>
      <c r="F96" s="13">
        <v>1244.69</v>
      </c>
      <c r="G96" s="13">
        <v>541.54999999999995</v>
      </c>
      <c r="H96" s="17">
        <v>-2.2993460494161257E-2</v>
      </c>
      <c r="I96" s="17">
        <v>-2.4053064144991497E-2</v>
      </c>
      <c r="J96" s="13"/>
      <c r="K96" s="17"/>
      <c r="L96" s="17"/>
      <c r="M96" s="17"/>
      <c r="N96" s="17"/>
      <c r="O96"/>
      <c r="P96" s="18"/>
      <c r="Q96" s="8"/>
      <c r="R96" s="8"/>
      <c r="S96" s="8"/>
      <c r="T96" s="8"/>
      <c r="U96" s="8"/>
      <c r="V96" s="8"/>
      <c r="W96" s="8"/>
      <c r="X96" s="8"/>
      <c r="Y96" s="8"/>
    </row>
    <row r="97" spans="5:25" ht="15" customHeight="1" x14ac:dyDescent="0.25">
      <c r="E97" s="15">
        <v>39639</v>
      </c>
      <c r="F97" s="13">
        <v>1253.3900000000001</v>
      </c>
      <c r="G97" s="13">
        <v>540.57000000000005</v>
      </c>
      <c r="H97" s="17">
        <v>6.7723956502096071E-3</v>
      </c>
      <c r="I97" s="17">
        <v>-2.4554749695218574E-3</v>
      </c>
      <c r="J97" s="13"/>
      <c r="K97" s="17"/>
      <c r="L97" s="17"/>
      <c r="M97" s="17"/>
      <c r="N97" s="17"/>
      <c r="O97"/>
      <c r="P97" s="18"/>
      <c r="Q97" s="8"/>
      <c r="R97" s="8"/>
      <c r="S97" s="8"/>
      <c r="T97" s="8"/>
      <c r="U97" s="8"/>
      <c r="V97" s="8"/>
      <c r="W97" s="8"/>
      <c r="X97" s="8"/>
      <c r="Y97" s="8"/>
    </row>
    <row r="98" spans="5:25" ht="15" customHeight="1" x14ac:dyDescent="0.25">
      <c r="E98" s="15">
        <v>39640</v>
      </c>
      <c r="F98" s="13">
        <v>1239.49</v>
      </c>
      <c r="G98" s="13">
        <v>533.79999999999995</v>
      </c>
      <c r="H98" s="17">
        <v>-1.1307220688080082E-2</v>
      </c>
      <c r="I98" s="17">
        <v>-1.3169671887817326E-2</v>
      </c>
      <c r="J98" s="13"/>
      <c r="K98" s="17"/>
      <c r="L98" s="17"/>
      <c r="M98" s="17"/>
      <c r="N98" s="17"/>
      <c r="O98"/>
      <c r="P98" s="18"/>
      <c r="Q98" s="8"/>
      <c r="R98" s="8"/>
      <c r="S98" s="8"/>
      <c r="T98" s="8"/>
      <c r="U98" s="8"/>
      <c r="V98" s="8"/>
      <c r="W98" s="8"/>
      <c r="X98" s="8"/>
      <c r="Y98" s="8"/>
    </row>
    <row r="99" spans="5:25" ht="15" customHeight="1" x14ac:dyDescent="0.25">
      <c r="E99" s="15">
        <v>39643</v>
      </c>
      <c r="F99" s="13">
        <v>1228.3</v>
      </c>
      <c r="G99" s="13">
        <v>521.62</v>
      </c>
      <c r="H99" s="17">
        <v>-9.2452032013300607E-3</v>
      </c>
      <c r="I99" s="17">
        <v>-2.3463389093043428E-2</v>
      </c>
      <c r="J99" s="13"/>
      <c r="K99" s="17"/>
      <c r="L99" s="17"/>
      <c r="M99" s="17"/>
      <c r="N99" s="17"/>
      <c r="O99"/>
      <c r="P99" s="18"/>
      <c r="Q99" s="8"/>
      <c r="R99" s="8"/>
      <c r="S99" s="8"/>
      <c r="T99" s="8"/>
      <c r="U99" s="8"/>
      <c r="V99" s="8"/>
      <c r="W99" s="8"/>
      <c r="X99" s="8"/>
      <c r="Y99" s="8"/>
    </row>
    <row r="100" spans="5:25" ht="15" customHeight="1" x14ac:dyDescent="0.25">
      <c r="E100" s="15">
        <v>39644</v>
      </c>
      <c r="F100" s="13">
        <v>1214.9100000000001</v>
      </c>
      <c r="G100" s="13">
        <v>516.09</v>
      </c>
      <c r="H100" s="17">
        <v>-1.1118542186342392E-2</v>
      </c>
      <c r="I100" s="17">
        <v>-1.1247441798316214E-2</v>
      </c>
      <c r="J100" s="13"/>
      <c r="K100" s="17"/>
      <c r="L100" s="17"/>
      <c r="M100" s="17"/>
      <c r="N100" s="17"/>
      <c r="O100"/>
      <c r="P100" s="18"/>
      <c r="Q100" s="8"/>
      <c r="R100" s="8"/>
      <c r="S100" s="8"/>
      <c r="T100" s="8"/>
      <c r="U100" s="8"/>
      <c r="V100" s="8"/>
      <c r="W100" s="8"/>
      <c r="X100" s="8"/>
      <c r="Y100" s="8"/>
    </row>
    <row r="101" spans="5:25" ht="15" customHeight="1" x14ac:dyDescent="0.25">
      <c r="E101" s="15">
        <v>39645</v>
      </c>
      <c r="F101" s="13">
        <v>1245.3599999999999</v>
      </c>
      <c r="G101" s="13">
        <v>535.6</v>
      </c>
      <c r="H101" s="17">
        <v>2.4846288394601217E-2</v>
      </c>
      <c r="I101" s="17">
        <v>3.7157629452600614E-2</v>
      </c>
      <c r="J101" s="13"/>
      <c r="K101" s="17"/>
      <c r="L101" s="17"/>
      <c r="M101" s="17"/>
      <c r="N101" s="17"/>
      <c r="O101"/>
      <c r="P101" s="18"/>
      <c r="Q101" s="8"/>
      <c r="R101" s="8"/>
      <c r="S101" s="8"/>
      <c r="T101" s="8"/>
      <c r="U101" s="8"/>
      <c r="V101" s="8"/>
      <c r="W101" s="8"/>
      <c r="X101" s="8"/>
      <c r="Y101" s="8"/>
    </row>
    <row r="102" spans="5:25" ht="15" customHeight="1" x14ac:dyDescent="0.25">
      <c r="E102" s="15">
        <v>39646</v>
      </c>
      <c r="F102" s="13">
        <v>1260.32</v>
      </c>
      <c r="G102" s="13">
        <v>533.44000000000005</v>
      </c>
      <c r="H102" s="17">
        <v>1.1795294174505885E-2</v>
      </c>
      <c r="I102" s="17">
        <v>-4.6787147794084107E-3</v>
      </c>
      <c r="J102" s="13"/>
      <c r="K102" s="17"/>
      <c r="L102" s="17"/>
      <c r="M102" s="17"/>
      <c r="N102" s="17"/>
      <c r="O102"/>
      <c r="P102" s="18"/>
      <c r="Q102" s="8"/>
      <c r="R102" s="8"/>
      <c r="S102" s="8"/>
      <c r="T102" s="8"/>
      <c r="U102" s="8"/>
      <c r="V102" s="8"/>
      <c r="W102" s="8"/>
      <c r="X102" s="8"/>
      <c r="Y102" s="8"/>
    </row>
    <row r="103" spans="5:25" ht="15" customHeight="1" x14ac:dyDescent="0.25">
      <c r="E103" s="15">
        <v>39647</v>
      </c>
      <c r="F103" s="13">
        <v>1260.68</v>
      </c>
      <c r="G103" s="13">
        <v>481.32</v>
      </c>
      <c r="H103" s="17">
        <v>6.8345179470692441E-5</v>
      </c>
      <c r="I103" s="17">
        <v>-9.835131334408681E-2</v>
      </c>
      <c r="J103" s="13"/>
      <c r="K103" s="17"/>
      <c r="L103" s="17"/>
      <c r="M103" s="17"/>
      <c r="N103" s="17"/>
      <c r="O103"/>
      <c r="P103" s="18"/>
      <c r="Q103" s="8"/>
      <c r="R103" s="8"/>
      <c r="S103" s="8"/>
      <c r="T103" s="8"/>
      <c r="U103" s="8"/>
      <c r="V103" s="8"/>
      <c r="W103" s="8"/>
      <c r="X103" s="8"/>
      <c r="Y103" s="8"/>
    </row>
    <row r="104" spans="5:25" ht="15" customHeight="1" x14ac:dyDescent="0.25">
      <c r="E104" s="15">
        <v>39650</v>
      </c>
      <c r="F104" s="13">
        <v>1260</v>
      </c>
      <c r="G104" s="13">
        <v>468.8</v>
      </c>
      <c r="H104" s="17">
        <v>-7.566880018497384E-4</v>
      </c>
      <c r="I104" s="17">
        <v>-2.6657655316779286E-2</v>
      </c>
      <c r="J104" s="13"/>
      <c r="K104" s="17"/>
      <c r="L104" s="17"/>
      <c r="M104" s="17"/>
      <c r="N104" s="17"/>
      <c r="O104"/>
      <c r="P104" s="18"/>
      <c r="Q104" s="8"/>
      <c r="R104" s="8"/>
      <c r="S104" s="8"/>
      <c r="T104" s="8"/>
      <c r="U104" s="8"/>
      <c r="V104" s="8"/>
      <c r="W104" s="8"/>
      <c r="X104" s="8"/>
      <c r="Y104" s="8"/>
    </row>
    <row r="105" spans="5:25" ht="15" customHeight="1" x14ac:dyDescent="0.25">
      <c r="E105" s="15">
        <v>39651</v>
      </c>
      <c r="F105" s="13">
        <v>1277</v>
      </c>
      <c r="G105" s="13">
        <v>477.11</v>
      </c>
      <c r="H105" s="17">
        <v>1.3274766929754319E-2</v>
      </c>
      <c r="I105" s="17">
        <v>1.708025477914861E-2</v>
      </c>
      <c r="J105" s="13"/>
      <c r="K105" s="17"/>
      <c r="L105" s="17"/>
      <c r="M105" s="17"/>
      <c r="N105" s="17"/>
      <c r="O105"/>
      <c r="P105" s="18"/>
      <c r="Q105" s="8"/>
      <c r="R105" s="8"/>
      <c r="S105" s="8"/>
      <c r="T105" s="8"/>
      <c r="U105" s="8"/>
      <c r="V105" s="8"/>
      <c r="W105" s="8"/>
      <c r="X105" s="8"/>
      <c r="Y105" s="8"/>
    </row>
    <row r="106" spans="5:25" ht="15" customHeight="1" x14ac:dyDescent="0.25">
      <c r="E106" s="15">
        <v>39652</v>
      </c>
      <c r="F106" s="13">
        <v>1282.19</v>
      </c>
      <c r="G106" s="13">
        <v>489.22</v>
      </c>
      <c r="H106" s="17">
        <v>3.8469164369077415E-3</v>
      </c>
      <c r="I106" s="17">
        <v>2.4736132946496202E-2</v>
      </c>
      <c r="J106" s="13"/>
      <c r="K106" s="17"/>
      <c r="L106" s="17"/>
      <c r="M106" s="17"/>
      <c r="N106" s="17"/>
      <c r="O106"/>
      <c r="P106" s="18"/>
      <c r="Q106" s="8"/>
      <c r="R106" s="8"/>
      <c r="S106" s="8"/>
      <c r="T106" s="8"/>
      <c r="U106" s="8"/>
      <c r="V106" s="8"/>
      <c r="W106" s="8"/>
      <c r="X106" s="8"/>
      <c r="Y106" s="8"/>
    </row>
    <row r="107" spans="5:25" ht="15" customHeight="1" x14ac:dyDescent="0.25">
      <c r="E107" s="15">
        <v>39653</v>
      </c>
      <c r="F107" s="13">
        <v>1252.54</v>
      </c>
      <c r="G107" s="13">
        <v>475.62</v>
      </c>
      <c r="H107" s="17">
        <v>-2.3341794491633219E-2</v>
      </c>
      <c r="I107" s="17">
        <v>-2.8445208509700271E-2</v>
      </c>
      <c r="J107" s="13"/>
      <c r="K107" s="17"/>
      <c r="L107" s="17"/>
      <c r="M107" s="17"/>
      <c r="N107" s="17"/>
      <c r="O107"/>
      <c r="P107" s="18"/>
      <c r="Q107" s="8"/>
      <c r="R107" s="8"/>
      <c r="S107" s="8"/>
      <c r="T107" s="8"/>
      <c r="U107" s="8"/>
      <c r="V107" s="8"/>
      <c r="W107" s="8"/>
      <c r="X107" s="8"/>
      <c r="Y107" s="8"/>
    </row>
    <row r="108" spans="5:25" ht="15" customHeight="1" x14ac:dyDescent="0.25">
      <c r="E108" s="15">
        <v>39654</v>
      </c>
      <c r="F108" s="13">
        <v>1257.76</v>
      </c>
      <c r="G108" s="13">
        <v>491.98</v>
      </c>
      <c r="H108" s="17">
        <v>3.9502350135287249E-3</v>
      </c>
      <c r="I108" s="17">
        <v>3.3751353419141851E-2</v>
      </c>
      <c r="J108" s="13"/>
      <c r="K108" s="17"/>
      <c r="L108" s="17"/>
      <c r="M108" s="17"/>
      <c r="N108" s="17"/>
      <c r="O108"/>
      <c r="P108" s="18"/>
      <c r="Q108" s="8"/>
      <c r="R108" s="8"/>
      <c r="S108" s="8"/>
      <c r="T108" s="8"/>
      <c r="U108" s="8"/>
      <c r="V108" s="8"/>
      <c r="W108" s="8"/>
      <c r="X108" s="8"/>
      <c r="Y108" s="8"/>
    </row>
    <row r="109" spans="5:25" ht="15" customHeight="1" x14ac:dyDescent="0.25">
      <c r="E109" s="15">
        <v>39657</v>
      </c>
      <c r="F109" s="13">
        <v>1234.3699999999999</v>
      </c>
      <c r="G109" s="13">
        <v>477.12</v>
      </c>
      <c r="H109" s="17">
        <v>-1.8813849163759371E-2</v>
      </c>
      <c r="I109" s="17">
        <v>-3.0850334292773209E-2</v>
      </c>
      <c r="J109" s="13"/>
      <c r="K109" s="17"/>
      <c r="L109" s="17"/>
      <c r="M109" s="17"/>
      <c r="N109" s="17"/>
      <c r="O109"/>
      <c r="P109" s="18"/>
      <c r="Q109" s="8"/>
      <c r="R109" s="8"/>
      <c r="S109" s="8"/>
      <c r="T109" s="8"/>
      <c r="U109" s="8"/>
      <c r="V109" s="8"/>
      <c r="W109" s="8"/>
      <c r="X109" s="8"/>
      <c r="Y109" s="8"/>
    </row>
    <row r="110" spans="5:25" ht="15" customHeight="1" x14ac:dyDescent="0.25">
      <c r="E110" s="15">
        <v>39658</v>
      </c>
      <c r="F110" s="13">
        <v>1263.2</v>
      </c>
      <c r="G110" s="13">
        <v>483.11</v>
      </c>
      <c r="H110" s="17">
        <v>2.3138747411539835E-2</v>
      </c>
      <c r="I110" s="17">
        <v>1.1908639192568836E-2</v>
      </c>
      <c r="J110" s="13"/>
      <c r="K110" s="17"/>
      <c r="L110" s="17"/>
      <c r="M110" s="17"/>
      <c r="N110" s="17"/>
      <c r="O110"/>
      <c r="P110" s="18"/>
      <c r="Q110" s="8"/>
      <c r="R110" s="8"/>
      <c r="S110" s="8"/>
      <c r="T110" s="8"/>
      <c r="U110" s="8"/>
      <c r="V110" s="8"/>
      <c r="W110" s="8"/>
      <c r="X110" s="8"/>
      <c r="Y110" s="8"/>
    </row>
    <row r="111" spans="5:25" ht="15" customHeight="1" x14ac:dyDescent="0.25">
      <c r="E111" s="15">
        <v>39659</v>
      </c>
      <c r="F111" s="13">
        <v>1284.26</v>
      </c>
      <c r="G111" s="13">
        <v>482.7</v>
      </c>
      <c r="H111" s="17">
        <v>1.6454647706215211E-2</v>
      </c>
      <c r="I111" s="17">
        <v>-1.4945224410846585E-3</v>
      </c>
      <c r="J111" s="13"/>
      <c r="K111" s="17"/>
      <c r="L111" s="17"/>
      <c r="M111" s="17"/>
      <c r="N111" s="17"/>
      <c r="O111"/>
      <c r="P111" s="18"/>
      <c r="Q111" s="8"/>
      <c r="R111" s="8"/>
      <c r="S111" s="8"/>
      <c r="T111" s="8"/>
      <c r="U111" s="8"/>
      <c r="V111" s="8"/>
      <c r="W111" s="8"/>
      <c r="X111" s="8"/>
      <c r="Y111" s="8"/>
    </row>
    <row r="112" spans="5:25" ht="15" customHeight="1" x14ac:dyDescent="0.25">
      <c r="E112" s="15">
        <v>39660</v>
      </c>
      <c r="F112" s="13">
        <v>1267.3800000000001</v>
      </c>
      <c r="G112" s="13">
        <v>473.75</v>
      </c>
      <c r="H112" s="17">
        <v>-1.3361052499580443E-2</v>
      </c>
      <c r="I112" s="17">
        <v>-1.9187391622526834E-2</v>
      </c>
      <c r="J112" s="13"/>
      <c r="K112" s="17"/>
      <c r="L112" s="17"/>
      <c r="M112" s="17"/>
      <c r="N112" s="17"/>
      <c r="O112"/>
      <c r="P112" s="18"/>
      <c r="Q112" s="8"/>
      <c r="R112" s="8"/>
      <c r="S112" s="8"/>
      <c r="T112" s="8"/>
      <c r="U112" s="8"/>
      <c r="V112" s="8"/>
      <c r="W112" s="8"/>
      <c r="X112" s="8"/>
      <c r="Y112" s="8"/>
    </row>
    <row r="113" spans="5:25" ht="15" customHeight="1" x14ac:dyDescent="0.25">
      <c r="E113" s="15">
        <v>39661</v>
      </c>
      <c r="F113" s="13">
        <v>1260.31</v>
      </c>
      <c r="G113" s="13">
        <v>467.86</v>
      </c>
      <c r="H113" s="17">
        <v>-5.7957339686119389E-3</v>
      </c>
      <c r="I113" s="17">
        <v>-1.307857211396872E-2</v>
      </c>
      <c r="J113" s="13"/>
      <c r="K113" s="17"/>
      <c r="L113" s="17"/>
      <c r="M113" s="17"/>
      <c r="N113" s="17"/>
      <c r="O113"/>
      <c r="P113" s="18"/>
      <c r="Q113" s="8"/>
      <c r="R113" s="8"/>
      <c r="S113" s="8"/>
      <c r="T113" s="8"/>
      <c r="U113" s="8"/>
      <c r="V113" s="8"/>
      <c r="W113" s="8"/>
      <c r="X113" s="8"/>
      <c r="Y113" s="8"/>
    </row>
    <row r="114" spans="5:25" ht="15" customHeight="1" x14ac:dyDescent="0.25">
      <c r="E114" s="15">
        <v>39664</v>
      </c>
      <c r="F114" s="13">
        <v>1249.01</v>
      </c>
      <c r="G114" s="13">
        <v>463</v>
      </c>
      <c r="H114" s="17">
        <v>-9.1833445981098893E-3</v>
      </c>
      <c r="I114" s="17">
        <v>-1.1033577258935185E-2</v>
      </c>
      <c r="J114" s="13"/>
      <c r="K114" s="17"/>
      <c r="L114" s="17"/>
      <c r="M114" s="17"/>
      <c r="N114" s="17"/>
      <c r="O114"/>
      <c r="P114" s="18"/>
      <c r="Q114" s="8"/>
      <c r="R114" s="8"/>
      <c r="S114" s="8"/>
      <c r="T114" s="8"/>
      <c r="U114" s="8"/>
      <c r="V114" s="8"/>
      <c r="W114" s="8"/>
      <c r="X114" s="8"/>
      <c r="Y114" s="8"/>
    </row>
    <row r="115" spans="5:25" ht="15" customHeight="1" x14ac:dyDescent="0.25">
      <c r="E115" s="15">
        <v>39665</v>
      </c>
      <c r="F115" s="13">
        <v>1284.8800000000001</v>
      </c>
      <c r="G115" s="13">
        <v>479.85</v>
      </c>
      <c r="H115" s="17">
        <v>2.8501448683925845E-2</v>
      </c>
      <c r="I115" s="17">
        <v>3.5747234117047312E-2</v>
      </c>
      <c r="J115" s="13"/>
      <c r="K115" s="17"/>
      <c r="L115" s="17"/>
      <c r="M115" s="17"/>
      <c r="N115" s="17"/>
      <c r="O115"/>
      <c r="P115" s="18"/>
      <c r="Q115" s="8"/>
      <c r="R115" s="8"/>
      <c r="S115" s="8"/>
      <c r="T115" s="8"/>
      <c r="U115" s="8"/>
      <c r="V115" s="8"/>
      <c r="W115" s="8"/>
      <c r="X115" s="8"/>
      <c r="Y115" s="8"/>
    </row>
    <row r="116" spans="5:25" ht="15" customHeight="1" x14ac:dyDescent="0.25">
      <c r="E116" s="15">
        <v>39666</v>
      </c>
      <c r="F116" s="13">
        <v>1289.19</v>
      </c>
      <c r="G116" s="13">
        <v>486.34</v>
      </c>
      <c r="H116" s="17">
        <v>3.1371022920585502E-3</v>
      </c>
      <c r="I116" s="17">
        <v>1.2879205478688177E-2</v>
      </c>
      <c r="J116" s="13"/>
      <c r="K116" s="17"/>
      <c r="L116" s="17"/>
      <c r="M116" s="17"/>
      <c r="N116" s="17"/>
      <c r="O116"/>
      <c r="P116" s="18"/>
      <c r="Q116" s="8"/>
      <c r="R116" s="8"/>
      <c r="S116" s="8"/>
      <c r="T116" s="8"/>
      <c r="U116" s="8"/>
      <c r="V116" s="8"/>
      <c r="W116" s="8"/>
      <c r="X116" s="8"/>
      <c r="Y116" s="8"/>
    </row>
    <row r="117" spans="5:25" ht="15" customHeight="1" x14ac:dyDescent="0.25">
      <c r="E117" s="15">
        <v>39667</v>
      </c>
      <c r="F117" s="13">
        <v>1266.07</v>
      </c>
      <c r="G117" s="13">
        <v>479.12</v>
      </c>
      <c r="H117" s="17">
        <v>-1.8151037903771643E-2</v>
      </c>
      <c r="I117" s="17">
        <v>-1.5491435716454055E-2</v>
      </c>
      <c r="J117" s="13"/>
      <c r="K117" s="17"/>
      <c r="L117" s="17"/>
      <c r="M117" s="17"/>
      <c r="N117" s="17"/>
      <c r="O117"/>
      <c r="P117" s="18"/>
      <c r="Q117" s="8"/>
      <c r="R117" s="8"/>
      <c r="S117" s="8"/>
      <c r="T117" s="8"/>
      <c r="U117" s="8"/>
      <c r="V117" s="8"/>
      <c r="W117" s="8"/>
      <c r="X117" s="8"/>
      <c r="Y117" s="8"/>
    </row>
    <row r="118" spans="5:25" ht="15" customHeight="1" x14ac:dyDescent="0.25">
      <c r="E118" s="15">
        <v>39668</v>
      </c>
      <c r="F118" s="13">
        <v>1296.32</v>
      </c>
      <c r="G118" s="13">
        <v>495.01</v>
      </c>
      <c r="H118" s="17">
        <v>2.3675537167263443E-2</v>
      </c>
      <c r="I118" s="17">
        <v>3.2519114674166613E-2</v>
      </c>
      <c r="J118" s="13"/>
      <c r="K118" s="17"/>
      <c r="L118" s="17"/>
      <c r="M118" s="17"/>
      <c r="N118" s="17"/>
      <c r="O118"/>
      <c r="P118" s="18"/>
      <c r="Q118" s="8"/>
      <c r="R118" s="8"/>
      <c r="S118" s="8"/>
      <c r="T118" s="8"/>
      <c r="U118" s="8"/>
      <c r="V118" s="8"/>
      <c r="W118" s="8"/>
      <c r="X118" s="8"/>
      <c r="Y118" s="8"/>
    </row>
    <row r="119" spans="5:25" ht="15" customHeight="1" x14ac:dyDescent="0.25">
      <c r="E119" s="15">
        <v>39671</v>
      </c>
      <c r="F119" s="13">
        <v>1305.32</v>
      </c>
      <c r="G119" s="13">
        <v>500.84</v>
      </c>
      <c r="H119" s="17">
        <v>6.7254336277673514E-3</v>
      </c>
      <c r="I119" s="17">
        <v>1.1131685411811391E-2</v>
      </c>
      <c r="J119" s="13"/>
      <c r="K119" s="17"/>
      <c r="L119" s="17"/>
      <c r="M119" s="17"/>
      <c r="N119" s="17"/>
      <c r="O119"/>
      <c r="P119" s="18"/>
      <c r="Q119" s="8"/>
      <c r="R119" s="8"/>
      <c r="S119" s="8"/>
      <c r="T119" s="8"/>
      <c r="U119" s="8"/>
      <c r="V119" s="8"/>
      <c r="W119" s="8"/>
      <c r="X119" s="8"/>
      <c r="Y119" s="8"/>
    </row>
    <row r="120" spans="5:25" ht="15" customHeight="1" x14ac:dyDescent="0.25">
      <c r="E120" s="15">
        <v>39672</v>
      </c>
      <c r="F120" s="13">
        <v>1289.5899999999999</v>
      </c>
      <c r="G120" s="13">
        <v>502.61</v>
      </c>
      <c r="H120" s="17">
        <v>-1.2267981451838177E-2</v>
      </c>
      <c r="I120" s="17">
        <v>2.8882083386703203E-3</v>
      </c>
      <c r="J120" s="13"/>
      <c r="K120" s="17"/>
      <c r="L120" s="17"/>
      <c r="M120" s="17"/>
      <c r="N120" s="17"/>
      <c r="O120"/>
      <c r="P120" s="18"/>
      <c r="Q120" s="8"/>
      <c r="R120" s="8"/>
      <c r="S120" s="8"/>
      <c r="T120" s="8"/>
      <c r="U120" s="8"/>
      <c r="V120" s="8"/>
      <c r="W120" s="8"/>
      <c r="X120" s="8"/>
      <c r="Y120" s="8"/>
    </row>
    <row r="121" spans="5:25" ht="15" customHeight="1" x14ac:dyDescent="0.25">
      <c r="E121" s="15">
        <v>39673</v>
      </c>
      <c r="F121" s="13">
        <v>1285.83</v>
      </c>
      <c r="G121" s="13">
        <v>500.03</v>
      </c>
      <c r="H121" s="17">
        <v>-3.1329519256417054E-3</v>
      </c>
      <c r="I121" s="17">
        <v>-5.7790591074826292E-3</v>
      </c>
      <c r="J121" s="13"/>
      <c r="K121" s="17"/>
      <c r="L121" s="17"/>
      <c r="M121" s="17"/>
      <c r="N121" s="17"/>
      <c r="O121"/>
      <c r="P121" s="18"/>
      <c r="Q121" s="8"/>
      <c r="R121" s="8"/>
      <c r="S121" s="8"/>
      <c r="T121" s="8"/>
      <c r="U121" s="8"/>
      <c r="V121" s="8"/>
      <c r="W121" s="8"/>
      <c r="X121" s="8"/>
      <c r="Y121" s="8"/>
    </row>
    <row r="122" spans="5:25" ht="15" customHeight="1" x14ac:dyDescent="0.25">
      <c r="E122" s="15">
        <v>39674</v>
      </c>
      <c r="F122" s="13">
        <v>1292.93</v>
      </c>
      <c r="G122" s="13">
        <v>505.49</v>
      </c>
      <c r="H122" s="17">
        <v>5.3044287046390233E-3</v>
      </c>
      <c r="I122" s="17">
        <v>1.0273490403441188E-2</v>
      </c>
      <c r="J122" s="13"/>
      <c r="K122" s="17"/>
      <c r="L122" s="17"/>
      <c r="M122" s="17"/>
      <c r="N122" s="17"/>
      <c r="O122"/>
      <c r="P122" s="18"/>
      <c r="Q122" s="8"/>
      <c r="R122" s="8"/>
      <c r="S122" s="8"/>
      <c r="T122" s="8"/>
      <c r="U122" s="8"/>
      <c r="V122" s="8"/>
      <c r="W122" s="8"/>
      <c r="X122" s="8"/>
      <c r="Y122" s="8"/>
    </row>
    <row r="123" spans="5:25" ht="15" customHeight="1" x14ac:dyDescent="0.25">
      <c r="E123" s="15">
        <v>39675</v>
      </c>
      <c r="F123" s="13">
        <v>1298.2</v>
      </c>
      <c r="G123" s="13">
        <v>510.15</v>
      </c>
      <c r="H123" s="17">
        <v>3.8587168336210011E-3</v>
      </c>
      <c r="I123" s="17">
        <v>8.5729233836729802E-3</v>
      </c>
      <c r="J123" s="13"/>
      <c r="K123" s="17"/>
      <c r="L123" s="17"/>
      <c r="M123" s="17"/>
      <c r="N123" s="17"/>
      <c r="O123"/>
      <c r="P123" s="18"/>
      <c r="Q123" s="8"/>
      <c r="R123" s="8"/>
      <c r="S123" s="8"/>
      <c r="T123" s="8"/>
      <c r="U123" s="8"/>
      <c r="V123" s="8"/>
      <c r="W123" s="8"/>
      <c r="X123" s="8"/>
      <c r="Y123" s="8"/>
    </row>
    <row r="124" spans="5:25" ht="15" customHeight="1" x14ac:dyDescent="0.25">
      <c r="E124" s="15">
        <v>39678</v>
      </c>
      <c r="F124" s="13">
        <v>1278.5999999999999</v>
      </c>
      <c r="G124" s="13">
        <v>498.3</v>
      </c>
      <c r="H124" s="17">
        <v>-1.5315124323825119E-2</v>
      </c>
      <c r="I124" s="17">
        <v>-2.3874316652863457E-2</v>
      </c>
      <c r="J124" s="13"/>
      <c r="K124" s="17"/>
      <c r="L124" s="17"/>
      <c r="M124" s="17"/>
      <c r="N124" s="17"/>
      <c r="O124"/>
      <c r="P124" s="18"/>
      <c r="Q124" s="8"/>
      <c r="R124" s="8"/>
      <c r="S124" s="8"/>
      <c r="T124" s="8"/>
      <c r="U124" s="8"/>
      <c r="V124" s="8"/>
      <c r="W124" s="8"/>
      <c r="X124" s="8"/>
      <c r="Y124" s="8"/>
    </row>
    <row r="125" spans="5:25" ht="15" customHeight="1" x14ac:dyDescent="0.25">
      <c r="E125" s="15">
        <v>39679</v>
      </c>
      <c r="F125" s="13">
        <v>1266.69</v>
      </c>
      <c r="G125" s="13">
        <v>490.5</v>
      </c>
      <c r="H125" s="17">
        <v>-9.5321722075461506E-3</v>
      </c>
      <c r="I125" s="17">
        <v>-1.6299075387102652E-2</v>
      </c>
      <c r="J125" s="13"/>
      <c r="K125" s="17"/>
      <c r="L125" s="17"/>
      <c r="M125" s="17"/>
      <c r="N125" s="17"/>
      <c r="O125"/>
      <c r="P125" s="18"/>
      <c r="Q125" s="8"/>
      <c r="R125" s="8"/>
      <c r="S125" s="8"/>
      <c r="T125" s="8"/>
      <c r="U125" s="8"/>
      <c r="V125" s="8"/>
      <c r="W125" s="8"/>
      <c r="X125" s="8"/>
      <c r="Y125" s="8"/>
    </row>
    <row r="126" spans="5:25" ht="15" customHeight="1" x14ac:dyDescent="0.25">
      <c r="E126" s="15">
        <v>39680</v>
      </c>
      <c r="F126" s="13">
        <v>1274.54</v>
      </c>
      <c r="G126" s="13">
        <v>485</v>
      </c>
      <c r="H126" s="17">
        <v>5.9799576987965434E-3</v>
      </c>
      <c r="I126" s="17">
        <v>-1.1858902346164072E-2</v>
      </c>
      <c r="J126" s="13"/>
      <c r="K126" s="17"/>
      <c r="L126" s="17"/>
      <c r="M126" s="17"/>
      <c r="N126" s="17"/>
      <c r="O126"/>
      <c r="P126" s="18"/>
      <c r="Q126" s="8"/>
      <c r="R126" s="8"/>
      <c r="S126" s="8"/>
      <c r="T126" s="8"/>
      <c r="U126" s="8"/>
      <c r="V126" s="8"/>
      <c r="W126" s="8"/>
      <c r="X126" s="8"/>
      <c r="Y126" s="8"/>
    </row>
    <row r="127" spans="5:25" ht="15" customHeight="1" x14ac:dyDescent="0.25">
      <c r="E127" s="15">
        <v>39681</v>
      </c>
      <c r="F127" s="13">
        <v>1277.72</v>
      </c>
      <c r="G127" s="13">
        <v>486.53</v>
      </c>
      <c r="H127" s="17">
        <v>2.2777212480380895E-3</v>
      </c>
      <c r="I127" s="17">
        <v>2.5087847393892768E-3</v>
      </c>
      <c r="J127" s="13"/>
      <c r="K127" s="17"/>
      <c r="L127" s="17"/>
      <c r="M127" s="17"/>
      <c r="N127" s="17"/>
      <c r="O127"/>
      <c r="P127" s="18"/>
      <c r="Q127" s="8"/>
      <c r="R127" s="8"/>
      <c r="S127" s="8"/>
      <c r="T127" s="8"/>
      <c r="U127" s="8"/>
      <c r="V127" s="8"/>
      <c r="W127" s="8"/>
      <c r="X127" s="8"/>
      <c r="Y127" s="8"/>
    </row>
    <row r="128" spans="5:25" ht="15" customHeight="1" x14ac:dyDescent="0.25">
      <c r="E128" s="15">
        <v>39682</v>
      </c>
      <c r="F128" s="13">
        <v>1292.2</v>
      </c>
      <c r="G128" s="13">
        <v>490.59</v>
      </c>
      <c r="H128" s="17">
        <v>1.1115389785247414E-2</v>
      </c>
      <c r="I128" s="17">
        <v>7.6989547228679027E-3</v>
      </c>
      <c r="J128" s="13"/>
      <c r="K128" s="17"/>
      <c r="L128" s="17"/>
      <c r="M128" s="17"/>
      <c r="N128" s="17"/>
      <c r="O128"/>
      <c r="P128" s="18"/>
      <c r="Q128" s="8"/>
      <c r="R128" s="8"/>
      <c r="S128" s="8"/>
      <c r="T128" s="8"/>
      <c r="U128" s="8"/>
      <c r="V128" s="8"/>
      <c r="W128" s="8"/>
      <c r="X128" s="8"/>
      <c r="Y128" s="8"/>
    </row>
    <row r="129" spans="5:25" ht="15" customHeight="1" x14ac:dyDescent="0.25">
      <c r="E129" s="15">
        <v>39685</v>
      </c>
      <c r="F129" s="13">
        <v>1266.8399999999999</v>
      </c>
      <c r="G129" s="13">
        <v>483.01</v>
      </c>
      <c r="H129" s="17">
        <v>-1.9842741539866829E-2</v>
      </c>
      <c r="I129" s="17">
        <v>-1.6096638186046813E-2</v>
      </c>
      <c r="J129" s="13"/>
      <c r="K129" s="17"/>
      <c r="L129" s="17"/>
      <c r="M129" s="17"/>
      <c r="N129" s="17"/>
      <c r="O129"/>
      <c r="P129" s="18"/>
      <c r="Q129" s="8"/>
      <c r="R129" s="8"/>
      <c r="S129" s="8"/>
      <c r="T129" s="8"/>
      <c r="U129" s="8"/>
      <c r="V129" s="8"/>
      <c r="W129" s="8"/>
      <c r="X129" s="8"/>
      <c r="Y129" s="8"/>
    </row>
    <row r="130" spans="5:25" ht="15" customHeight="1" x14ac:dyDescent="0.25">
      <c r="E130" s="15">
        <v>39686</v>
      </c>
      <c r="F130" s="13">
        <v>1271.51</v>
      </c>
      <c r="G130" s="13">
        <v>474.16</v>
      </c>
      <c r="H130" s="17">
        <v>3.4690410967480089E-3</v>
      </c>
      <c r="I130" s="17">
        <v>-1.8968456452389853E-2</v>
      </c>
      <c r="J130" s="13"/>
      <c r="K130" s="17"/>
      <c r="L130" s="17"/>
      <c r="M130" s="17"/>
      <c r="N130" s="17"/>
      <c r="O130"/>
      <c r="P130" s="18"/>
      <c r="Q130" s="8"/>
      <c r="R130" s="8"/>
      <c r="S130" s="8"/>
      <c r="T130" s="8"/>
      <c r="U130" s="8"/>
      <c r="V130" s="8"/>
      <c r="W130" s="8"/>
      <c r="X130" s="8"/>
      <c r="Y130" s="8"/>
    </row>
    <row r="131" spans="5:25" ht="15" customHeight="1" x14ac:dyDescent="0.25">
      <c r="E131" s="15">
        <v>39687</v>
      </c>
      <c r="F131" s="13">
        <v>1281.6600000000001</v>
      </c>
      <c r="G131" s="13">
        <v>468.58</v>
      </c>
      <c r="H131" s="17">
        <v>7.7653382577079723E-3</v>
      </c>
      <c r="I131" s="17">
        <v>-1.2414033953330916E-2</v>
      </c>
      <c r="J131" s="13"/>
      <c r="K131" s="17"/>
      <c r="L131" s="17"/>
      <c r="M131" s="17"/>
      <c r="N131" s="17"/>
      <c r="O131"/>
      <c r="P131" s="18"/>
      <c r="Q131" s="8"/>
      <c r="R131" s="8"/>
      <c r="S131" s="8"/>
      <c r="T131" s="8"/>
      <c r="U131" s="8"/>
      <c r="V131" s="8"/>
      <c r="W131" s="8"/>
      <c r="X131" s="8"/>
      <c r="Y131" s="8"/>
    </row>
    <row r="132" spans="5:25" ht="15" customHeight="1" x14ac:dyDescent="0.25">
      <c r="E132" s="15">
        <v>39688</v>
      </c>
      <c r="F132" s="13">
        <v>1300.68</v>
      </c>
      <c r="G132" s="13">
        <v>473.78</v>
      </c>
      <c r="H132" s="17">
        <v>1.4622832645124935E-2</v>
      </c>
      <c r="I132" s="17">
        <v>1.0451503539290537E-2</v>
      </c>
      <c r="J132" s="13"/>
      <c r="K132" s="17"/>
      <c r="L132" s="17"/>
      <c r="M132" s="17"/>
      <c r="N132" s="17"/>
      <c r="O132"/>
      <c r="P132" s="18"/>
      <c r="Q132" s="8"/>
      <c r="R132" s="8"/>
      <c r="S132" s="8"/>
      <c r="T132" s="8"/>
      <c r="U132" s="8"/>
      <c r="V132" s="8"/>
      <c r="W132" s="8"/>
      <c r="X132" s="8"/>
      <c r="Y132" s="8"/>
    </row>
    <row r="133" spans="5:25" ht="15" customHeight="1" x14ac:dyDescent="0.25">
      <c r="E133" s="15">
        <v>39689</v>
      </c>
      <c r="F133" s="13">
        <v>1282.83</v>
      </c>
      <c r="G133" s="13">
        <v>463.29</v>
      </c>
      <c r="H133" s="17">
        <v>-1.3940887299462048E-2</v>
      </c>
      <c r="I133" s="17">
        <v>-2.2786932573400642E-2</v>
      </c>
      <c r="J133" s="13"/>
      <c r="K133" s="17"/>
      <c r="L133" s="17"/>
      <c r="M133" s="17"/>
      <c r="N133" s="17"/>
      <c r="O133"/>
      <c r="P133" s="18"/>
      <c r="Q133" s="8"/>
      <c r="R133" s="8"/>
      <c r="S133" s="8"/>
      <c r="T133" s="8"/>
      <c r="U133" s="8"/>
      <c r="V133" s="8"/>
      <c r="W133" s="8"/>
      <c r="X133" s="8"/>
      <c r="Y133" s="8"/>
    </row>
    <row r="134" spans="5:25" ht="15" customHeight="1" x14ac:dyDescent="0.25">
      <c r="E134" s="15">
        <v>39693</v>
      </c>
      <c r="F134" s="13">
        <v>1277.58</v>
      </c>
      <c r="G134" s="13">
        <v>465.25</v>
      </c>
      <c r="H134" s="17">
        <v>-4.3098107691799193E-3</v>
      </c>
      <c r="I134" s="17">
        <v>3.5847570601707426E-3</v>
      </c>
      <c r="J134" s="13"/>
      <c r="K134" s="17"/>
      <c r="L134" s="17"/>
      <c r="M134" s="17"/>
      <c r="N134" s="17"/>
      <c r="O134"/>
      <c r="P134" s="18"/>
      <c r="Q134" s="8"/>
      <c r="R134" s="8"/>
      <c r="S134" s="8"/>
      <c r="T134" s="8"/>
      <c r="U134" s="8"/>
      <c r="V134" s="8"/>
      <c r="W134" s="8"/>
      <c r="X134" s="8"/>
      <c r="Y134" s="8"/>
    </row>
    <row r="135" spans="5:25" ht="15" customHeight="1" x14ac:dyDescent="0.25">
      <c r="E135" s="15">
        <v>39694</v>
      </c>
      <c r="F135" s="13">
        <v>1274.98</v>
      </c>
      <c r="G135" s="13">
        <v>464.41</v>
      </c>
      <c r="H135" s="17">
        <v>-2.2523941687212961E-3</v>
      </c>
      <c r="I135" s="17">
        <v>-2.4513353601027378E-3</v>
      </c>
      <c r="J135" s="13"/>
      <c r="K135" s="17"/>
      <c r="L135" s="17"/>
      <c r="M135" s="17"/>
      <c r="N135" s="17"/>
      <c r="O135"/>
      <c r="P135" s="18"/>
      <c r="Q135" s="8"/>
      <c r="R135" s="8"/>
      <c r="S135" s="8"/>
      <c r="T135" s="8"/>
      <c r="U135" s="8"/>
      <c r="V135" s="8"/>
      <c r="W135" s="8"/>
      <c r="X135" s="8"/>
      <c r="Y135" s="8"/>
    </row>
    <row r="136" spans="5:25" ht="15" customHeight="1" x14ac:dyDescent="0.25">
      <c r="E136" s="15">
        <v>39695</v>
      </c>
      <c r="F136" s="13">
        <v>1236.83</v>
      </c>
      <c r="G136" s="13">
        <v>450.26</v>
      </c>
      <c r="H136" s="17">
        <v>-3.0139334555062E-2</v>
      </c>
      <c r="I136" s="17">
        <v>-3.1114621258288302E-2</v>
      </c>
      <c r="J136" s="13"/>
      <c r="K136" s="17"/>
      <c r="L136" s="17"/>
      <c r="M136" s="17"/>
      <c r="N136" s="17"/>
      <c r="O136"/>
      <c r="P136" s="18"/>
      <c r="Q136" s="8"/>
      <c r="R136" s="8"/>
      <c r="S136" s="8"/>
      <c r="T136" s="8"/>
      <c r="U136" s="8"/>
      <c r="V136" s="8"/>
      <c r="W136" s="8"/>
      <c r="X136" s="8"/>
      <c r="Y136" s="8"/>
    </row>
    <row r="137" spans="5:25" ht="15" customHeight="1" x14ac:dyDescent="0.25">
      <c r="E137" s="15">
        <v>39696</v>
      </c>
      <c r="F137" s="13">
        <v>1242.31</v>
      </c>
      <c r="G137" s="13">
        <v>444.25</v>
      </c>
      <c r="H137" s="17">
        <v>4.2133850996815617E-3</v>
      </c>
      <c r="I137" s="17">
        <v>-1.3993697904086817E-2</v>
      </c>
      <c r="J137" s="13"/>
      <c r="K137" s="17"/>
      <c r="L137" s="17"/>
      <c r="M137" s="17"/>
      <c r="N137" s="17"/>
      <c r="O137"/>
      <c r="P137" s="18"/>
      <c r="Q137" s="8"/>
      <c r="R137" s="8"/>
      <c r="S137" s="8"/>
      <c r="T137" s="8"/>
      <c r="U137" s="8"/>
      <c r="V137" s="8"/>
      <c r="W137" s="8"/>
      <c r="X137" s="8"/>
      <c r="Y137" s="8"/>
    </row>
    <row r="138" spans="5:25" ht="15" customHeight="1" x14ac:dyDescent="0.25">
      <c r="E138" s="15">
        <v>39699</v>
      </c>
      <c r="F138" s="13">
        <v>1267.79</v>
      </c>
      <c r="G138" s="13">
        <v>419.95</v>
      </c>
      <c r="H138" s="17">
        <v>2.0292882056554072E-2</v>
      </c>
      <c r="I138" s="17">
        <v>-5.5344785218085682E-2</v>
      </c>
      <c r="J138" s="13"/>
      <c r="K138" s="17"/>
      <c r="L138" s="17"/>
      <c r="M138" s="17"/>
      <c r="N138" s="17"/>
      <c r="O138"/>
      <c r="P138" s="18"/>
      <c r="Q138" s="8"/>
      <c r="R138" s="8"/>
      <c r="S138" s="8"/>
      <c r="T138" s="8"/>
      <c r="U138" s="8"/>
      <c r="V138" s="8"/>
      <c r="W138" s="8"/>
      <c r="X138" s="8"/>
      <c r="Y138" s="8"/>
    </row>
    <row r="139" spans="5:25" ht="15" customHeight="1" x14ac:dyDescent="0.25">
      <c r="E139" s="15">
        <v>39700</v>
      </c>
      <c r="F139" s="13">
        <v>1224.51</v>
      </c>
      <c r="G139" s="13">
        <v>418.66</v>
      </c>
      <c r="H139" s="17">
        <v>-3.4355442469754416E-2</v>
      </c>
      <c r="I139" s="17">
        <v>-3.7176486970900294E-3</v>
      </c>
      <c r="J139" s="13"/>
      <c r="K139" s="17"/>
      <c r="L139" s="17"/>
      <c r="M139" s="17"/>
      <c r="N139" s="17"/>
      <c r="O139"/>
      <c r="P139" s="18"/>
      <c r="Q139" s="8"/>
      <c r="R139" s="8"/>
      <c r="S139" s="8"/>
      <c r="T139" s="8"/>
      <c r="U139" s="8"/>
      <c r="V139" s="8"/>
      <c r="W139" s="8"/>
      <c r="X139" s="8"/>
      <c r="Y139" s="8"/>
    </row>
    <row r="140" spans="5:25" ht="15" customHeight="1" x14ac:dyDescent="0.25">
      <c r="E140" s="15">
        <v>39701</v>
      </c>
      <c r="F140" s="13">
        <v>1232.04</v>
      </c>
      <c r="G140" s="13">
        <v>414.16</v>
      </c>
      <c r="H140" s="17">
        <v>5.9321019726150011E-3</v>
      </c>
      <c r="I140" s="17">
        <v>-1.1394433234893919E-2</v>
      </c>
      <c r="J140" s="13"/>
      <c r="K140" s="17"/>
      <c r="L140" s="17"/>
      <c r="M140" s="17"/>
      <c r="N140" s="17"/>
      <c r="O140"/>
      <c r="P140" s="18"/>
      <c r="Q140" s="8"/>
      <c r="R140" s="8"/>
      <c r="S140" s="8"/>
      <c r="T140" s="8"/>
      <c r="U140" s="8"/>
      <c r="V140" s="8"/>
      <c r="W140" s="8"/>
      <c r="X140" s="8"/>
      <c r="Y140" s="8"/>
    </row>
    <row r="141" spans="5:25" ht="15" customHeight="1" x14ac:dyDescent="0.25">
      <c r="E141" s="15">
        <v>39702</v>
      </c>
      <c r="F141" s="13">
        <v>1249.05</v>
      </c>
      <c r="G141" s="13">
        <v>433.75</v>
      </c>
      <c r="H141" s="17">
        <v>1.3589073360745274E-2</v>
      </c>
      <c r="I141" s="17">
        <v>4.6654705734114163E-2</v>
      </c>
      <c r="J141" s="13"/>
      <c r="K141" s="17"/>
      <c r="L141" s="17"/>
      <c r="M141" s="17"/>
      <c r="N141" s="17"/>
      <c r="O141"/>
      <c r="P141" s="18"/>
      <c r="Q141" s="8"/>
      <c r="R141" s="8"/>
      <c r="S141" s="8"/>
      <c r="T141" s="8"/>
      <c r="U141" s="8"/>
      <c r="V141" s="8"/>
      <c r="W141" s="8"/>
      <c r="X141" s="8"/>
      <c r="Y141" s="8"/>
    </row>
    <row r="142" spans="5:25" ht="15" customHeight="1" x14ac:dyDescent="0.25">
      <c r="E142" s="15">
        <v>39703</v>
      </c>
      <c r="F142" s="13">
        <v>1251.7</v>
      </c>
      <c r="G142" s="13">
        <v>437.66</v>
      </c>
      <c r="H142" s="17">
        <v>1.9043158631341641E-3</v>
      </c>
      <c r="I142" s="17">
        <v>8.3685547860335632E-3</v>
      </c>
      <c r="J142" s="13"/>
      <c r="K142" s="17"/>
      <c r="L142" s="17"/>
      <c r="M142" s="17"/>
      <c r="N142" s="17"/>
      <c r="O142"/>
      <c r="P142" s="18"/>
      <c r="Q142" s="8"/>
      <c r="R142" s="8"/>
      <c r="S142" s="8"/>
      <c r="T142" s="8"/>
      <c r="U142" s="8"/>
      <c r="V142" s="8"/>
      <c r="W142" s="8"/>
      <c r="X142" s="8"/>
      <c r="Y142" s="8"/>
    </row>
    <row r="143" spans="5:25" ht="15" customHeight="1" x14ac:dyDescent="0.25">
      <c r="E143" s="15">
        <v>39706</v>
      </c>
      <c r="F143" s="13">
        <v>1192.7</v>
      </c>
      <c r="G143" s="13">
        <v>433.86</v>
      </c>
      <c r="H143" s="17">
        <v>-4.7353191744860905E-2</v>
      </c>
      <c r="I143" s="17">
        <v>-9.3283933930498279E-3</v>
      </c>
      <c r="J143" s="13"/>
      <c r="K143" s="17"/>
      <c r="L143" s="17"/>
      <c r="M143" s="17"/>
      <c r="N143" s="17"/>
      <c r="O143"/>
      <c r="P143" s="18"/>
      <c r="Q143" s="8"/>
      <c r="R143" s="8"/>
      <c r="S143" s="8"/>
      <c r="T143" s="8"/>
      <c r="U143" s="8"/>
      <c r="V143" s="8"/>
      <c r="W143" s="8"/>
      <c r="X143" s="8"/>
      <c r="Y143" s="8"/>
    </row>
    <row r="144" spans="5:25" ht="15" customHeight="1" x14ac:dyDescent="0.25">
      <c r="E144" s="15">
        <v>39707</v>
      </c>
      <c r="F144" s="13">
        <v>1213.5999999999999</v>
      </c>
      <c r="G144" s="13">
        <v>442.93</v>
      </c>
      <c r="H144" s="17">
        <v>1.7305969975797645E-2</v>
      </c>
      <c r="I144" s="17">
        <v>2.0259506740547901E-2</v>
      </c>
      <c r="J144" s="13"/>
      <c r="K144" s="17"/>
      <c r="L144" s="17"/>
      <c r="M144" s="17"/>
      <c r="N144" s="17"/>
      <c r="O144"/>
      <c r="P144" s="18"/>
      <c r="Q144" s="8"/>
      <c r="R144" s="8"/>
      <c r="S144" s="8"/>
      <c r="T144" s="8"/>
      <c r="U144" s="8"/>
      <c r="V144" s="8"/>
      <c r="W144" s="8"/>
      <c r="X144" s="8"/>
      <c r="Y144" s="8"/>
    </row>
    <row r="145" spans="5:25" ht="15" customHeight="1" x14ac:dyDescent="0.25">
      <c r="E145" s="15">
        <v>39708</v>
      </c>
      <c r="F145" s="13">
        <v>1156.3900000000001</v>
      </c>
      <c r="G145" s="13">
        <v>414.49</v>
      </c>
      <c r="H145" s="17">
        <v>-4.7358034861584061E-2</v>
      </c>
      <c r="I145" s="17">
        <v>-6.4854645892757801E-2</v>
      </c>
      <c r="J145" s="13"/>
      <c r="K145" s="17"/>
      <c r="L145" s="17"/>
      <c r="M145" s="17"/>
      <c r="N145" s="17"/>
      <c r="O145"/>
      <c r="P145" s="18"/>
      <c r="Q145" s="8"/>
      <c r="R145" s="8"/>
      <c r="S145" s="8"/>
      <c r="T145" s="8"/>
      <c r="U145" s="8"/>
      <c r="V145" s="8"/>
      <c r="W145" s="8"/>
      <c r="X145" s="8"/>
      <c r="Y145" s="8"/>
    </row>
    <row r="146" spans="5:25" ht="15" customHeight="1" x14ac:dyDescent="0.25">
      <c r="E146" s="15">
        <v>39709</v>
      </c>
      <c r="F146" s="13">
        <v>1206.51</v>
      </c>
      <c r="G146" s="13">
        <v>439.08</v>
      </c>
      <c r="H146" s="17">
        <v>4.3124482595241487E-2</v>
      </c>
      <c r="I146" s="17">
        <v>5.8680064162891468E-2</v>
      </c>
      <c r="J146" s="13"/>
      <c r="K146" s="17"/>
      <c r="L146" s="17"/>
      <c r="M146" s="17"/>
      <c r="N146" s="17"/>
      <c r="O146"/>
      <c r="P146" s="18"/>
      <c r="Q146" s="8"/>
      <c r="R146" s="8"/>
      <c r="S146" s="8"/>
      <c r="T146" s="8"/>
      <c r="U146" s="8"/>
      <c r="V146" s="8"/>
      <c r="W146" s="8"/>
      <c r="X146" s="8"/>
      <c r="Y146" s="8"/>
    </row>
    <row r="147" spans="5:25" ht="15" customHeight="1" x14ac:dyDescent="0.25">
      <c r="E147" s="15">
        <v>39710</v>
      </c>
      <c r="F147" s="13">
        <v>1255.08</v>
      </c>
      <c r="G147" s="13">
        <v>449.15</v>
      </c>
      <c r="H147" s="17">
        <v>4.0039311339821769E-2</v>
      </c>
      <c r="I147" s="17">
        <v>2.2288462772840665E-2</v>
      </c>
      <c r="J147" s="13"/>
      <c r="K147" s="17"/>
      <c r="L147" s="17"/>
      <c r="M147" s="17"/>
      <c r="N147" s="17"/>
      <c r="O147"/>
      <c r="P147" s="18"/>
      <c r="Q147" s="8"/>
      <c r="R147" s="8"/>
      <c r="S147" s="8"/>
      <c r="T147" s="8"/>
      <c r="U147" s="8"/>
      <c r="V147" s="8"/>
      <c r="W147" s="8"/>
      <c r="X147" s="8"/>
      <c r="Y147" s="8"/>
    </row>
    <row r="148" spans="5:25" ht="15" customHeight="1" x14ac:dyDescent="0.25">
      <c r="E148" s="15">
        <v>39713</v>
      </c>
      <c r="F148" s="13">
        <v>1207.0899999999999</v>
      </c>
      <c r="G148" s="13">
        <v>430.14</v>
      </c>
      <c r="H148" s="17">
        <v>-3.8453902993771709E-2</v>
      </c>
      <c r="I148" s="17">
        <v>-4.2970244951286471E-2</v>
      </c>
      <c r="J148" s="13"/>
      <c r="K148" s="17"/>
      <c r="L148" s="17"/>
      <c r="M148" s="17"/>
      <c r="N148" s="17"/>
      <c r="O148"/>
      <c r="P148" s="18"/>
      <c r="Q148" s="8"/>
      <c r="R148" s="8"/>
      <c r="S148" s="8"/>
      <c r="T148" s="8"/>
      <c r="U148" s="8"/>
      <c r="V148" s="8"/>
      <c r="W148" s="8"/>
      <c r="X148" s="8"/>
      <c r="Y148" s="8"/>
    </row>
    <row r="149" spans="5:25" ht="15" customHeight="1" x14ac:dyDescent="0.25">
      <c r="E149" s="15">
        <v>39714</v>
      </c>
      <c r="F149" s="13">
        <v>1188.22</v>
      </c>
      <c r="G149" s="13">
        <v>429.27</v>
      </c>
      <c r="H149" s="17">
        <v>-1.5849933731037272E-2</v>
      </c>
      <c r="I149" s="17">
        <v>-2.6684517297727653E-3</v>
      </c>
      <c r="J149" s="13"/>
      <c r="K149" s="17"/>
      <c r="L149" s="17"/>
      <c r="M149" s="17"/>
      <c r="N149" s="17"/>
      <c r="O149"/>
      <c r="P149" s="18"/>
      <c r="Q149" s="8"/>
      <c r="R149" s="8"/>
      <c r="S149" s="8"/>
      <c r="T149" s="8"/>
      <c r="U149" s="8"/>
      <c r="V149" s="8"/>
      <c r="W149" s="8"/>
      <c r="X149" s="8"/>
      <c r="Y149" s="8"/>
    </row>
    <row r="150" spans="5:25" ht="15" customHeight="1" x14ac:dyDescent="0.25">
      <c r="E150" s="15">
        <v>39715</v>
      </c>
      <c r="F150" s="13">
        <v>1185.8699999999999</v>
      </c>
      <c r="G150" s="13">
        <v>435.11</v>
      </c>
      <c r="H150" s="17">
        <v>-2.1950447907517173E-3</v>
      </c>
      <c r="I150" s="17">
        <v>1.2958636909904602E-2</v>
      </c>
      <c r="J150" s="13"/>
      <c r="K150" s="17"/>
      <c r="L150" s="17"/>
      <c r="M150" s="17"/>
      <c r="N150" s="17"/>
      <c r="O150"/>
      <c r="P150" s="18"/>
      <c r="Q150" s="8"/>
      <c r="R150" s="8"/>
      <c r="S150" s="8"/>
      <c r="T150" s="8"/>
      <c r="U150" s="8"/>
      <c r="V150" s="8"/>
      <c r="W150" s="8"/>
      <c r="X150" s="8"/>
      <c r="Y150" s="8"/>
    </row>
    <row r="151" spans="5:25" ht="15" customHeight="1" x14ac:dyDescent="0.25">
      <c r="E151" s="15">
        <v>39716</v>
      </c>
      <c r="F151" s="13">
        <v>1209.18</v>
      </c>
      <c r="G151" s="13">
        <v>439.6</v>
      </c>
      <c r="H151" s="17">
        <v>1.9439158192427856E-2</v>
      </c>
      <c r="I151" s="17">
        <v>9.6733751842276137E-3</v>
      </c>
      <c r="J151" s="13"/>
      <c r="K151" s="17"/>
      <c r="L151" s="17"/>
      <c r="M151" s="17"/>
      <c r="N151" s="17"/>
      <c r="O151"/>
      <c r="P151" s="18"/>
      <c r="Q151" s="8"/>
      <c r="R151" s="8"/>
      <c r="S151" s="8"/>
      <c r="T151" s="8"/>
      <c r="U151" s="8"/>
      <c r="V151" s="8"/>
      <c r="W151" s="8"/>
      <c r="X151" s="8"/>
      <c r="Y151" s="8"/>
    </row>
    <row r="152" spans="5:25" ht="15" customHeight="1" x14ac:dyDescent="0.25">
      <c r="E152" s="15">
        <v>39717</v>
      </c>
      <c r="F152" s="13">
        <v>1213.27</v>
      </c>
      <c r="G152" s="13">
        <v>431.04</v>
      </c>
      <c r="H152" s="17">
        <v>3.165160970895147E-3</v>
      </c>
      <c r="I152" s="17">
        <v>-2.011810193359366E-2</v>
      </c>
      <c r="J152" s="13"/>
      <c r="K152" s="17"/>
      <c r="L152" s="17"/>
      <c r="M152" s="17"/>
      <c r="N152" s="17"/>
      <c r="O152"/>
      <c r="P152" s="18"/>
      <c r="Q152" s="8"/>
      <c r="R152" s="8"/>
      <c r="S152" s="8"/>
      <c r="T152" s="8"/>
      <c r="U152" s="8"/>
      <c r="V152" s="8"/>
      <c r="W152" s="8"/>
      <c r="X152" s="8"/>
      <c r="Y152" s="8"/>
    </row>
    <row r="153" spans="5:25" ht="15" customHeight="1" x14ac:dyDescent="0.25">
      <c r="E153" s="15">
        <v>39720</v>
      </c>
      <c r="F153" s="13">
        <v>1106.42</v>
      </c>
      <c r="G153" s="13">
        <v>381</v>
      </c>
      <c r="H153" s="17">
        <v>-8.828508032025259E-2</v>
      </c>
      <c r="I153" s="17">
        <v>-0.11673716846704887</v>
      </c>
      <c r="J153" s="13"/>
      <c r="K153" s="17"/>
      <c r="L153" s="17"/>
      <c r="M153" s="17"/>
      <c r="N153" s="17"/>
      <c r="O153"/>
      <c r="P153" s="18"/>
      <c r="Q153" s="8"/>
      <c r="R153" s="8"/>
      <c r="S153" s="8"/>
      <c r="T153" s="8"/>
      <c r="U153" s="8"/>
      <c r="V153" s="8"/>
      <c r="W153" s="8"/>
      <c r="X153" s="8"/>
      <c r="Y153" s="8"/>
    </row>
    <row r="154" spans="5:25" ht="15" customHeight="1" x14ac:dyDescent="0.25">
      <c r="E154" s="15">
        <v>39721</v>
      </c>
      <c r="F154" s="13">
        <v>1166.3599999999999</v>
      </c>
      <c r="G154" s="13">
        <v>400.52</v>
      </c>
      <c r="H154" s="17">
        <v>5.3957429129561911E-2</v>
      </c>
      <c r="I154" s="17">
        <v>5.0587741364656477E-2</v>
      </c>
      <c r="J154" s="13"/>
      <c r="K154" s="17"/>
      <c r="L154" s="17"/>
      <c r="M154" s="17"/>
      <c r="N154" s="17"/>
      <c r="O154"/>
      <c r="P154" s="18"/>
      <c r="Q154" s="8"/>
      <c r="R154" s="8"/>
      <c r="S154" s="8"/>
      <c r="T154" s="8"/>
      <c r="U154" s="8"/>
      <c r="V154" s="8"/>
      <c r="W154" s="8"/>
      <c r="X154" s="8"/>
      <c r="Y154" s="8"/>
    </row>
    <row r="155" spans="5:25" ht="15" customHeight="1" x14ac:dyDescent="0.25">
      <c r="E155" s="15">
        <v>39722</v>
      </c>
      <c r="F155" s="13">
        <v>1161.06</v>
      </c>
      <c r="G155" s="13">
        <v>411.72</v>
      </c>
      <c r="H155" s="17">
        <v>-4.7613481415814387E-3</v>
      </c>
      <c r="I155" s="17">
        <v>2.7317792822695412E-2</v>
      </c>
      <c r="J155" s="13"/>
      <c r="K155" s="17"/>
      <c r="L155" s="17"/>
      <c r="M155" s="17"/>
      <c r="N155" s="17"/>
      <c r="O155"/>
      <c r="P155" s="18"/>
      <c r="Q155" s="8"/>
      <c r="R155" s="8"/>
      <c r="S155" s="8"/>
      <c r="T155" s="8"/>
      <c r="U155" s="8"/>
      <c r="V155" s="8"/>
      <c r="W155" s="8"/>
      <c r="X155" s="8"/>
      <c r="Y155" s="8"/>
    </row>
    <row r="156" spans="5:25" ht="15" customHeight="1" x14ac:dyDescent="0.25">
      <c r="E156" s="15">
        <v>39723</v>
      </c>
      <c r="F156" s="13">
        <v>1114.28</v>
      </c>
      <c r="G156" s="13">
        <v>390.49</v>
      </c>
      <c r="H156" s="17">
        <v>-4.0508065342561704E-2</v>
      </c>
      <c r="I156" s="17">
        <v>-5.221002426002079E-2</v>
      </c>
      <c r="J156" s="13"/>
      <c r="K156" s="17"/>
      <c r="L156" s="17"/>
      <c r="M156" s="17"/>
      <c r="N156" s="17"/>
      <c r="O156"/>
      <c r="P156" s="18"/>
      <c r="Q156" s="8"/>
      <c r="R156" s="8"/>
      <c r="S156" s="8"/>
      <c r="T156" s="8"/>
      <c r="U156" s="8"/>
      <c r="V156" s="8"/>
      <c r="W156" s="8"/>
      <c r="X156" s="8"/>
      <c r="Y156" s="8"/>
    </row>
    <row r="157" spans="5:25" ht="15" customHeight="1" x14ac:dyDescent="0.25">
      <c r="E157" s="15">
        <v>39724</v>
      </c>
      <c r="F157" s="13">
        <v>1099.23</v>
      </c>
      <c r="G157" s="13">
        <v>386.91</v>
      </c>
      <c r="H157" s="17">
        <v>-1.3723776082716969E-2</v>
      </c>
      <c r="I157" s="17">
        <v>-9.8138228857647392E-3</v>
      </c>
      <c r="J157" s="13"/>
      <c r="K157" s="17"/>
      <c r="L157" s="17"/>
      <c r="M157" s="17"/>
      <c r="N157" s="17"/>
      <c r="O157"/>
      <c r="P157" s="18"/>
      <c r="Q157" s="8"/>
      <c r="R157" s="8"/>
      <c r="S157" s="8"/>
      <c r="T157" s="8"/>
      <c r="U157" s="8"/>
      <c r="V157" s="8"/>
      <c r="W157" s="8"/>
      <c r="X157" s="8"/>
      <c r="Y157" s="8"/>
    </row>
    <row r="158" spans="5:25" ht="15" customHeight="1" x14ac:dyDescent="0.25">
      <c r="E158" s="15">
        <v>39727</v>
      </c>
      <c r="F158" s="13">
        <v>1056.8900000000001</v>
      </c>
      <c r="G158" s="13">
        <v>371.21</v>
      </c>
      <c r="H158" s="17">
        <v>-3.8735168163338982E-2</v>
      </c>
      <c r="I158" s="17">
        <v>-4.1223766611826695E-2</v>
      </c>
      <c r="J158" s="13"/>
      <c r="K158" s="17"/>
      <c r="L158" s="17"/>
      <c r="M158" s="17"/>
      <c r="N158" s="17"/>
      <c r="O158"/>
      <c r="P158" s="18"/>
      <c r="Q158" s="8"/>
      <c r="R158" s="8"/>
      <c r="S158" s="8"/>
      <c r="T158" s="8"/>
      <c r="U158" s="8"/>
      <c r="V158" s="8"/>
      <c r="W158" s="8"/>
      <c r="X158" s="8"/>
      <c r="Y158" s="8"/>
    </row>
    <row r="159" spans="5:25" ht="15" customHeight="1" x14ac:dyDescent="0.25">
      <c r="E159" s="15">
        <v>39728</v>
      </c>
      <c r="F159" s="13">
        <v>996.23</v>
      </c>
      <c r="G159" s="13">
        <v>346.01</v>
      </c>
      <c r="H159" s="17">
        <v>-5.7612105861290147E-2</v>
      </c>
      <c r="I159" s="17">
        <v>-6.8531956642166783E-2</v>
      </c>
      <c r="J159" s="13"/>
      <c r="K159" s="17"/>
      <c r="L159" s="17"/>
      <c r="M159" s="17"/>
      <c r="N159" s="17"/>
      <c r="O159"/>
      <c r="P159" s="18"/>
      <c r="Q159" s="8"/>
      <c r="R159" s="8"/>
      <c r="S159" s="8"/>
      <c r="T159" s="8"/>
      <c r="U159" s="8"/>
      <c r="V159" s="8"/>
      <c r="W159" s="8"/>
      <c r="X159" s="8"/>
      <c r="Y159" s="8"/>
    </row>
    <row r="160" spans="5:25" ht="15" customHeight="1" x14ac:dyDescent="0.25">
      <c r="E160" s="15">
        <v>39729</v>
      </c>
      <c r="F160" s="13">
        <v>984.94</v>
      </c>
      <c r="G160" s="13">
        <v>338.11</v>
      </c>
      <c r="H160" s="17">
        <v>-1.1550020933187384E-2</v>
      </c>
      <c r="I160" s="17">
        <v>-2.3477564502051514E-2</v>
      </c>
      <c r="J160" s="13"/>
      <c r="K160" s="17"/>
      <c r="L160" s="17"/>
      <c r="M160" s="17"/>
      <c r="N160" s="17"/>
      <c r="O160"/>
      <c r="P160" s="18"/>
      <c r="Q160" s="8"/>
      <c r="R160" s="8"/>
      <c r="S160" s="8"/>
      <c r="T160" s="8"/>
      <c r="U160" s="8"/>
      <c r="V160" s="8"/>
      <c r="W160" s="8"/>
      <c r="X160" s="8"/>
      <c r="Y160" s="8"/>
    </row>
    <row r="161" spans="5:25" ht="15" customHeight="1" x14ac:dyDescent="0.25">
      <c r="E161" s="15">
        <v>39730</v>
      </c>
      <c r="F161" s="13">
        <v>909.92</v>
      </c>
      <c r="G161" s="13">
        <v>328.98</v>
      </c>
      <c r="H161" s="17">
        <v>-7.638437272938535E-2</v>
      </c>
      <c r="I161" s="17">
        <v>-2.7648900781732228E-2</v>
      </c>
      <c r="J161" s="13"/>
      <c r="K161" s="17"/>
      <c r="L161" s="17"/>
      <c r="M161" s="17"/>
      <c r="N161" s="17"/>
      <c r="O161"/>
      <c r="P161" s="18"/>
      <c r="Q161" s="8"/>
      <c r="R161" s="8"/>
      <c r="S161" s="8"/>
      <c r="T161" s="8"/>
      <c r="U161" s="8"/>
      <c r="V161" s="8"/>
      <c r="W161" s="8"/>
      <c r="X161" s="8"/>
      <c r="Y161" s="8"/>
    </row>
    <row r="162" spans="5:25" ht="15" customHeight="1" x14ac:dyDescent="0.25">
      <c r="E162" s="15">
        <v>39731</v>
      </c>
      <c r="F162" s="13">
        <v>899.22</v>
      </c>
      <c r="G162" s="13">
        <v>332</v>
      </c>
      <c r="H162" s="17">
        <v>-1.1976572103016048E-2</v>
      </c>
      <c r="I162" s="17">
        <v>8.5340349191075308E-3</v>
      </c>
      <c r="J162" s="13"/>
      <c r="K162" s="17"/>
      <c r="L162" s="17"/>
      <c r="M162" s="17"/>
      <c r="N162" s="17"/>
      <c r="O162"/>
      <c r="P162" s="18"/>
      <c r="Q162" s="8"/>
      <c r="R162" s="8"/>
      <c r="S162" s="8"/>
      <c r="T162" s="8"/>
      <c r="U162" s="8"/>
      <c r="V162" s="8"/>
      <c r="W162" s="8"/>
      <c r="X162" s="8"/>
      <c r="Y162" s="8"/>
    </row>
    <row r="163" spans="5:25" ht="15" customHeight="1" x14ac:dyDescent="0.25">
      <c r="E163" s="15">
        <v>39734</v>
      </c>
      <c r="F163" s="13">
        <v>1003.35</v>
      </c>
      <c r="G163" s="13">
        <v>381.02</v>
      </c>
      <c r="H163" s="17">
        <v>0.11558306374996147</v>
      </c>
      <c r="I163" s="17">
        <v>0.14700474797377011</v>
      </c>
      <c r="J163" s="13"/>
      <c r="K163" s="17"/>
      <c r="L163" s="17"/>
      <c r="M163" s="17"/>
      <c r="N163" s="17"/>
      <c r="O163"/>
      <c r="P163" s="18"/>
      <c r="Q163" s="8"/>
      <c r="R163" s="8"/>
      <c r="S163" s="8"/>
      <c r="T163" s="8"/>
      <c r="U163" s="8"/>
      <c r="V163" s="8"/>
      <c r="W163" s="8"/>
      <c r="X163" s="8"/>
      <c r="Y163" s="8"/>
    </row>
    <row r="164" spans="5:25" ht="15" customHeight="1" x14ac:dyDescent="0.25">
      <c r="E164" s="15">
        <v>39735</v>
      </c>
      <c r="F164" s="13">
        <v>998.01</v>
      </c>
      <c r="G164" s="13">
        <v>362.71</v>
      </c>
      <c r="H164" s="17">
        <v>-5.5394672903701682E-3</v>
      </c>
      <c r="I164" s="17">
        <v>-4.8701074634283234E-2</v>
      </c>
      <c r="J164" s="13"/>
      <c r="K164" s="17"/>
      <c r="L164" s="17"/>
      <c r="M164" s="17"/>
      <c r="N164" s="17"/>
      <c r="O164"/>
      <c r="P164" s="18"/>
      <c r="Q164" s="8"/>
      <c r="R164" s="8"/>
      <c r="S164" s="8"/>
      <c r="T164" s="8"/>
      <c r="U164" s="8"/>
      <c r="V164" s="8"/>
      <c r="W164" s="8"/>
      <c r="X164" s="8"/>
      <c r="Y164" s="8"/>
    </row>
    <row r="165" spans="5:25" ht="15" customHeight="1" x14ac:dyDescent="0.25">
      <c r="E165" s="15">
        <v>39736</v>
      </c>
      <c r="F165" s="13">
        <v>907.84</v>
      </c>
      <c r="G165" s="13">
        <v>339.17</v>
      </c>
      <c r="H165" s="17">
        <v>-9.0567092656536688E-2</v>
      </c>
      <c r="I165" s="17">
        <v>-6.5546188035714062E-2</v>
      </c>
      <c r="J165" s="13"/>
      <c r="K165" s="17"/>
      <c r="L165" s="17"/>
      <c r="M165" s="17"/>
      <c r="N165" s="17"/>
      <c r="O165"/>
      <c r="P165" s="18"/>
      <c r="Q165" s="8"/>
      <c r="R165" s="8"/>
      <c r="S165" s="8"/>
      <c r="T165" s="8"/>
      <c r="U165" s="8"/>
      <c r="V165" s="8"/>
      <c r="W165" s="8"/>
      <c r="X165" s="8"/>
      <c r="Y165" s="8"/>
    </row>
    <row r="166" spans="5:25" ht="15" customHeight="1" x14ac:dyDescent="0.25">
      <c r="E166" s="15">
        <v>39737</v>
      </c>
      <c r="F166" s="13">
        <v>946.43</v>
      </c>
      <c r="G166" s="13">
        <v>353.02</v>
      </c>
      <c r="H166" s="17">
        <v>4.2290193744352798E-2</v>
      </c>
      <c r="I166" s="17">
        <v>4.0189125072932444E-2</v>
      </c>
      <c r="J166" s="13"/>
      <c r="K166" s="17"/>
      <c r="L166" s="17"/>
      <c r="M166" s="17"/>
      <c r="N166" s="17"/>
      <c r="O166"/>
      <c r="P166" s="18"/>
      <c r="Q166" s="8"/>
      <c r="R166" s="8"/>
      <c r="S166" s="8"/>
      <c r="T166" s="8"/>
      <c r="U166" s="8"/>
      <c r="V166" s="8"/>
      <c r="W166" s="8"/>
      <c r="X166" s="8"/>
      <c r="Y166" s="8"/>
    </row>
    <row r="167" spans="5:25" ht="15" customHeight="1" x14ac:dyDescent="0.25">
      <c r="E167" s="15">
        <v>39738</v>
      </c>
      <c r="F167" s="13">
        <v>940.55</v>
      </c>
      <c r="G167" s="13">
        <v>372.54</v>
      </c>
      <c r="H167" s="17">
        <v>-6.4301173731456853E-3</v>
      </c>
      <c r="I167" s="17">
        <v>5.4648463166533677E-2</v>
      </c>
      <c r="J167" s="13"/>
      <c r="K167" s="17"/>
      <c r="L167" s="17"/>
      <c r="M167" s="17"/>
      <c r="N167" s="17"/>
      <c r="O167"/>
      <c r="P167" s="18"/>
      <c r="Q167" s="8"/>
      <c r="R167" s="8"/>
      <c r="S167" s="8"/>
      <c r="T167" s="8"/>
      <c r="U167" s="8"/>
      <c r="V167" s="8"/>
      <c r="W167" s="8"/>
      <c r="X167" s="8"/>
      <c r="Y167" s="8"/>
    </row>
    <row r="168" spans="5:25" ht="15" customHeight="1" x14ac:dyDescent="0.25">
      <c r="E168" s="15">
        <v>39741</v>
      </c>
      <c r="F168" s="13">
        <v>985.4</v>
      </c>
      <c r="G168" s="13">
        <v>379.32</v>
      </c>
      <c r="H168" s="17">
        <v>4.7467568676115159E-2</v>
      </c>
      <c r="I168" s="17">
        <v>1.7553533549314347E-2</v>
      </c>
      <c r="J168" s="13"/>
      <c r="K168" s="17"/>
      <c r="L168" s="17"/>
      <c r="M168" s="17"/>
      <c r="N168" s="17"/>
      <c r="O168"/>
      <c r="P168" s="18"/>
      <c r="Q168" s="8"/>
      <c r="R168" s="8"/>
      <c r="S168" s="8"/>
      <c r="T168" s="8"/>
      <c r="U168" s="8"/>
      <c r="V168" s="8"/>
      <c r="W168" s="8"/>
      <c r="X168" s="8"/>
      <c r="Y168" s="8"/>
    </row>
    <row r="169" spans="5:25" ht="15" customHeight="1" x14ac:dyDescent="0.25">
      <c r="E169" s="15">
        <v>39742</v>
      </c>
      <c r="F169" s="13">
        <v>955.05</v>
      </c>
      <c r="G169" s="13">
        <v>362.75</v>
      </c>
      <c r="H169" s="17">
        <v>-3.1016971821087334E-2</v>
      </c>
      <c r="I169" s="17">
        <v>-4.4329287948469943E-2</v>
      </c>
      <c r="J169" s="13"/>
      <c r="K169" s="17"/>
      <c r="L169" s="17"/>
      <c r="M169" s="17"/>
      <c r="N169" s="17"/>
      <c r="O169"/>
      <c r="P169" s="18"/>
      <c r="Q169" s="8"/>
      <c r="R169" s="8"/>
      <c r="S169" s="8"/>
      <c r="T169" s="8"/>
      <c r="U169" s="8"/>
      <c r="V169" s="8"/>
      <c r="W169" s="8"/>
      <c r="X169" s="8"/>
      <c r="Y169" s="8"/>
    </row>
    <row r="170" spans="5:25" ht="15" customHeight="1" x14ac:dyDescent="0.25">
      <c r="E170" s="15">
        <v>39743</v>
      </c>
      <c r="F170" s="13">
        <v>896.78</v>
      </c>
      <c r="G170" s="13">
        <v>355.67</v>
      </c>
      <c r="H170" s="17">
        <v>-6.1229808996213157E-2</v>
      </c>
      <c r="I170" s="17">
        <v>-2.0163428522705119E-2</v>
      </c>
      <c r="J170" s="13"/>
      <c r="K170" s="17"/>
      <c r="L170" s="17"/>
      <c r="M170" s="17"/>
      <c r="N170" s="17"/>
      <c r="O170"/>
      <c r="P170" s="18"/>
      <c r="Q170" s="8"/>
      <c r="R170" s="8"/>
      <c r="S170" s="8"/>
      <c r="T170" s="8"/>
      <c r="U170" s="8"/>
      <c r="V170" s="8"/>
      <c r="W170" s="8"/>
      <c r="X170" s="8"/>
      <c r="Y170" s="8"/>
    </row>
    <row r="171" spans="5:25" ht="15" customHeight="1" x14ac:dyDescent="0.25">
      <c r="E171" s="15">
        <v>39744</v>
      </c>
      <c r="F171" s="13">
        <v>908.11</v>
      </c>
      <c r="G171" s="13">
        <v>352.32</v>
      </c>
      <c r="H171" s="17">
        <v>1.2416794296095341E-2</v>
      </c>
      <c r="I171" s="17">
        <v>-1.006469774567811E-2</v>
      </c>
      <c r="J171" s="13"/>
      <c r="K171" s="17"/>
      <c r="L171" s="17"/>
      <c r="M171" s="17"/>
      <c r="N171" s="17"/>
      <c r="O171"/>
      <c r="P171" s="18"/>
      <c r="Q171" s="8"/>
      <c r="R171" s="8"/>
      <c r="S171" s="8"/>
      <c r="T171" s="8"/>
      <c r="U171" s="8"/>
      <c r="V171" s="8"/>
      <c r="W171" s="8"/>
      <c r="X171" s="8"/>
      <c r="Y171" s="8"/>
    </row>
    <row r="172" spans="5:25" ht="15" customHeight="1" x14ac:dyDescent="0.25">
      <c r="E172" s="15">
        <v>39745</v>
      </c>
      <c r="F172" s="13">
        <v>876.77</v>
      </c>
      <c r="G172" s="13">
        <v>339.29</v>
      </c>
      <c r="H172" s="17">
        <v>-3.472853418770698E-2</v>
      </c>
      <c r="I172" s="17">
        <v>-3.7629278595723133E-2</v>
      </c>
      <c r="J172" s="13"/>
      <c r="K172" s="17"/>
      <c r="L172" s="17"/>
      <c r="M172" s="17"/>
      <c r="N172" s="17"/>
      <c r="O172"/>
      <c r="P172" s="18"/>
      <c r="Q172" s="8"/>
      <c r="R172" s="8"/>
      <c r="S172" s="8"/>
      <c r="T172" s="8"/>
      <c r="U172" s="8"/>
      <c r="V172" s="8"/>
      <c r="W172" s="8"/>
      <c r="X172" s="8"/>
      <c r="Y172" s="8"/>
    </row>
    <row r="173" spans="5:25" ht="15" customHeight="1" x14ac:dyDescent="0.25">
      <c r="E173" s="15">
        <v>39748</v>
      </c>
      <c r="F173" s="13">
        <v>848.92</v>
      </c>
      <c r="G173" s="13">
        <v>329.49</v>
      </c>
      <c r="H173" s="17">
        <v>-3.1981613315847736E-2</v>
      </c>
      <c r="I173" s="17">
        <v>-2.9529700113607265E-2</v>
      </c>
      <c r="J173" s="13"/>
      <c r="K173" s="17"/>
      <c r="L173" s="17"/>
      <c r="M173" s="17"/>
      <c r="N173" s="17"/>
      <c r="O173"/>
      <c r="P173" s="18"/>
      <c r="Q173" s="8"/>
      <c r="R173" s="8"/>
      <c r="S173" s="8"/>
      <c r="T173" s="8"/>
      <c r="U173" s="8"/>
      <c r="V173" s="8"/>
      <c r="W173" s="8"/>
      <c r="X173" s="8"/>
      <c r="Y173" s="8"/>
    </row>
    <row r="174" spans="5:25" ht="15" customHeight="1" x14ac:dyDescent="0.25">
      <c r="E174" s="15">
        <v>39749</v>
      </c>
      <c r="F174" s="13">
        <v>940.51</v>
      </c>
      <c r="G174" s="13">
        <v>368.75</v>
      </c>
      <c r="H174" s="17">
        <v>0.10767272841059758</v>
      </c>
      <c r="I174" s="17">
        <v>0.11850798938336735</v>
      </c>
      <c r="J174" s="13"/>
      <c r="K174" s="17"/>
      <c r="L174" s="17"/>
      <c r="M174" s="17"/>
      <c r="N174" s="17"/>
      <c r="O174"/>
      <c r="P174" s="18"/>
      <c r="Q174" s="8"/>
      <c r="R174" s="8"/>
      <c r="S174" s="8"/>
      <c r="T174" s="8"/>
      <c r="U174" s="8"/>
      <c r="V174" s="8"/>
      <c r="W174" s="8"/>
      <c r="X174" s="8"/>
      <c r="Y174" s="8"/>
    </row>
    <row r="175" spans="5:25" ht="15" customHeight="1" x14ac:dyDescent="0.25">
      <c r="E175" s="15">
        <v>39750</v>
      </c>
      <c r="F175" s="13">
        <v>930.09</v>
      </c>
      <c r="G175" s="13">
        <v>358</v>
      </c>
      <c r="H175" s="17">
        <v>-1.1296391946728265E-2</v>
      </c>
      <c r="I175" s="17">
        <v>-2.9798396808749811E-2</v>
      </c>
      <c r="J175" s="13"/>
      <c r="K175" s="17"/>
      <c r="L175" s="17"/>
      <c r="M175" s="17"/>
      <c r="N175" s="17"/>
      <c r="O175"/>
      <c r="P175" s="18"/>
      <c r="Q175" s="8"/>
      <c r="R175" s="8"/>
      <c r="S175" s="8"/>
      <c r="T175" s="8"/>
      <c r="U175" s="8"/>
      <c r="V175" s="8"/>
      <c r="W175" s="8"/>
      <c r="X175" s="8"/>
      <c r="Y175" s="8"/>
    </row>
    <row r="176" spans="5:25" ht="15" customHeight="1" x14ac:dyDescent="0.25">
      <c r="E176" s="15">
        <v>39751</v>
      </c>
      <c r="F176" s="13">
        <v>954.09</v>
      </c>
      <c r="G176" s="13">
        <v>359.69</v>
      </c>
      <c r="H176" s="17">
        <v>2.5586657893711211E-2</v>
      </c>
      <c r="I176" s="17">
        <v>4.0748159551929975E-3</v>
      </c>
      <c r="J176" s="13"/>
      <c r="K176" s="17"/>
      <c r="L176" s="17"/>
      <c r="M176" s="17"/>
      <c r="N176" s="17"/>
      <c r="O176"/>
      <c r="P176" s="18"/>
      <c r="Q176" s="8"/>
      <c r="R176" s="8"/>
      <c r="S176" s="8"/>
      <c r="T176" s="8"/>
      <c r="U176" s="8"/>
      <c r="V176" s="8"/>
      <c r="W176" s="8"/>
      <c r="X176" s="8"/>
      <c r="Y176" s="8"/>
    </row>
    <row r="177" spans="5:25" ht="15" customHeight="1" x14ac:dyDescent="0.25">
      <c r="E177" s="15">
        <v>39752</v>
      </c>
      <c r="F177" s="13">
        <v>968.75</v>
      </c>
      <c r="G177" s="13">
        <v>359.36</v>
      </c>
      <c r="H177" s="17">
        <v>1.5148130179402825E-2</v>
      </c>
      <c r="I177" s="17">
        <v>-1.5633111346924423E-3</v>
      </c>
      <c r="J177" s="13"/>
      <c r="K177" s="17"/>
      <c r="L177" s="17"/>
      <c r="M177" s="17"/>
      <c r="N177" s="17"/>
      <c r="O177"/>
      <c r="P177" s="18"/>
      <c r="Q177" s="8"/>
      <c r="R177" s="8"/>
      <c r="S177" s="8"/>
      <c r="T177" s="8"/>
      <c r="U177" s="8"/>
      <c r="V177" s="8"/>
      <c r="W177" s="8"/>
      <c r="X177" s="8"/>
      <c r="Y177" s="8"/>
    </row>
    <row r="178" spans="5:25" ht="15" customHeight="1" x14ac:dyDescent="0.25">
      <c r="E178" s="15">
        <v>39755</v>
      </c>
      <c r="F178" s="13">
        <v>966.3</v>
      </c>
      <c r="G178" s="13">
        <v>346.49</v>
      </c>
      <c r="H178" s="17">
        <v>-2.7463288203736893E-3</v>
      </c>
      <c r="I178" s="17">
        <v>-3.6459523180303002E-2</v>
      </c>
      <c r="J178" s="13"/>
      <c r="K178" s="17"/>
      <c r="L178" s="17"/>
      <c r="M178" s="17"/>
      <c r="N178" s="17"/>
      <c r="O178"/>
      <c r="P178" s="18"/>
      <c r="Q178" s="8"/>
      <c r="R178" s="8"/>
      <c r="S178" s="8"/>
      <c r="T178" s="8"/>
      <c r="U178" s="8"/>
      <c r="V178" s="8"/>
      <c r="W178" s="8"/>
      <c r="X178" s="8"/>
      <c r="Y178" s="8"/>
    </row>
    <row r="179" spans="5:25" ht="15" customHeight="1" x14ac:dyDescent="0.25">
      <c r="E179" s="15">
        <v>39756</v>
      </c>
      <c r="F179" s="13">
        <v>1005.75</v>
      </c>
      <c r="G179" s="13">
        <v>366.94</v>
      </c>
      <c r="H179" s="17">
        <v>4.0608533925117089E-2</v>
      </c>
      <c r="I179" s="17">
        <v>5.837460791513735E-2</v>
      </c>
      <c r="J179" s="13"/>
      <c r="K179" s="17"/>
      <c r="L179" s="17"/>
      <c r="M179" s="17"/>
      <c r="N179" s="17"/>
      <c r="O179"/>
      <c r="P179" s="18"/>
      <c r="Q179" s="8"/>
      <c r="R179" s="8"/>
      <c r="S179" s="8"/>
      <c r="T179" s="8"/>
      <c r="U179" s="8"/>
      <c r="V179" s="8"/>
      <c r="W179" s="8"/>
      <c r="X179" s="8"/>
      <c r="Y179" s="8"/>
    </row>
    <row r="180" spans="5:25" ht="15" customHeight="1" x14ac:dyDescent="0.25">
      <c r="E180" s="15">
        <v>39757</v>
      </c>
      <c r="F180" s="13">
        <v>952.77</v>
      </c>
      <c r="G180" s="13">
        <v>342.24</v>
      </c>
      <c r="H180" s="17">
        <v>-5.2894403199147358E-2</v>
      </c>
      <c r="I180" s="17">
        <v>-6.7959311676834291E-2</v>
      </c>
      <c r="J180" s="13"/>
      <c r="K180" s="17"/>
      <c r="L180" s="17"/>
      <c r="M180" s="17"/>
      <c r="N180" s="17"/>
      <c r="O180"/>
      <c r="P180" s="18"/>
      <c r="Q180" s="8"/>
      <c r="R180" s="8"/>
      <c r="S180" s="8"/>
      <c r="T180" s="8"/>
      <c r="U180" s="8"/>
      <c r="V180" s="8"/>
      <c r="W180" s="8"/>
      <c r="X180" s="8"/>
      <c r="Y180" s="8"/>
    </row>
    <row r="181" spans="5:25" ht="15" customHeight="1" x14ac:dyDescent="0.25">
      <c r="E181" s="15">
        <v>39758</v>
      </c>
      <c r="F181" s="13">
        <v>904.88</v>
      </c>
      <c r="G181" s="13">
        <v>331.22</v>
      </c>
      <c r="H181" s="17">
        <v>-5.0481263731720467E-2</v>
      </c>
      <c r="I181" s="17">
        <v>-3.2845480429323337E-2</v>
      </c>
      <c r="J181" s="13"/>
      <c r="K181" s="17"/>
      <c r="L181" s="17"/>
      <c r="M181" s="17"/>
      <c r="N181" s="17"/>
      <c r="O181"/>
      <c r="P181" s="18"/>
      <c r="Q181" s="8"/>
      <c r="R181" s="8"/>
      <c r="S181" s="8"/>
      <c r="T181" s="8"/>
      <c r="U181" s="8"/>
      <c r="V181" s="8"/>
      <c r="W181" s="8"/>
      <c r="X181" s="8"/>
      <c r="Y181" s="8"/>
    </row>
    <row r="182" spans="5:25" ht="15" customHeight="1" x14ac:dyDescent="0.25">
      <c r="E182" s="15">
        <v>39759</v>
      </c>
      <c r="F182" s="13">
        <v>930.99</v>
      </c>
      <c r="G182" s="13">
        <v>331.14</v>
      </c>
      <c r="H182" s="17">
        <v>2.8637358198543093E-2</v>
      </c>
      <c r="I182" s="17">
        <v>-8.8738574436431875E-4</v>
      </c>
      <c r="J182" s="13"/>
      <c r="K182" s="17"/>
      <c r="L182" s="17"/>
      <c r="M182" s="17"/>
      <c r="N182" s="17"/>
      <c r="O182"/>
      <c r="P182" s="18"/>
      <c r="Q182" s="8"/>
      <c r="R182" s="8"/>
      <c r="S182" s="8"/>
      <c r="T182" s="8"/>
      <c r="U182" s="8"/>
      <c r="V182" s="8"/>
      <c r="W182" s="8"/>
      <c r="X182" s="8"/>
      <c r="Y182" s="8"/>
    </row>
    <row r="183" spans="5:25" ht="15" customHeight="1" x14ac:dyDescent="0.25">
      <c r="E183" s="15">
        <v>39762</v>
      </c>
      <c r="F183" s="13">
        <v>919.21</v>
      </c>
      <c r="G183" s="13">
        <v>318.77999999999997</v>
      </c>
      <c r="H183" s="17">
        <v>-1.2870493696542624E-2</v>
      </c>
      <c r="I183" s="17">
        <v>-3.7971456900082988E-2</v>
      </c>
      <c r="J183" s="13"/>
      <c r="K183" s="17"/>
      <c r="L183" s="17"/>
      <c r="M183" s="17"/>
      <c r="N183" s="17"/>
      <c r="O183"/>
      <c r="P183" s="18"/>
      <c r="Q183" s="8"/>
      <c r="R183" s="8"/>
      <c r="S183" s="8"/>
      <c r="T183" s="8"/>
      <c r="U183" s="8"/>
      <c r="V183" s="8"/>
      <c r="W183" s="8"/>
      <c r="X183" s="8"/>
      <c r="Y183" s="8"/>
    </row>
    <row r="184" spans="5:25" ht="15" customHeight="1" x14ac:dyDescent="0.25">
      <c r="E184" s="15">
        <v>39763</v>
      </c>
      <c r="F184" s="13">
        <v>898.95</v>
      </c>
      <c r="G184" s="13">
        <v>311.45999999999998</v>
      </c>
      <c r="H184" s="17">
        <v>-2.2257961916254409E-2</v>
      </c>
      <c r="I184" s="17">
        <v>-2.3608399137543593E-2</v>
      </c>
      <c r="J184" s="13"/>
      <c r="K184" s="17"/>
      <c r="L184" s="17"/>
      <c r="M184" s="17"/>
      <c r="N184" s="17"/>
      <c r="O184"/>
      <c r="P184" s="18"/>
      <c r="Q184" s="8"/>
      <c r="R184" s="8"/>
      <c r="S184" s="8"/>
      <c r="T184" s="8"/>
      <c r="U184" s="8"/>
      <c r="V184" s="8"/>
      <c r="W184" s="8"/>
      <c r="X184" s="8"/>
      <c r="Y184" s="8"/>
    </row>
    <row r="185" spans="5:25" ht="15" customHeight="1" x14ac:dyDescent="0.25">
      <c r="E185" s="15">
        <v>39764</v>
      </c>
      <c r="F185" s="13">
        <v>852.3</v>
      </c>
      <c r="G185" s="13">
        <v>291</v>
      </c>
      <c r="H185" s="17">
        <v>-5.2111172751196207E-2</v>
      </c>
      <c r="I185" s="17">
        <v>-6.6336472813830316E-2</v>
      </c>
      <c r="J185" s="13"/>
      <c r="K185" s="17"/>
      <c r="L185" s="17"/>
      <c r="M185" s="17"/>
      <c r="N185" s="17"/>
      <c r="O185"/>
      <c r="P185" s="18"/>
      <c r="Q185" s="8"/>
      <c r="R185" s="8"/>
      <c r="S185" s="8"/>
      <c r="T185" s="8"/>
      <c r="U185" s="8"/>
      <c r="V185" s="8"/>
      <c r="W185" s="8"/>
      <c r="X185" s="8"/>
      <c r="Y185" s="8"/>
    </row>
    <row r="186" spans="5:25" ht="15" customHeight="1" x14ac:dyDescent="0.25">
      <c r="E186" s="15">
        <v>39765</v>
      </c>
      <c r="F186" s="13">
        <v>911.29</v>
      </c>
      <c r="G186" s="13">
        <v>312.08</v>
      </c>
      <c r="H186" s="17">
        <v>6.8995421964031314E-2</v>
      </c>
      <c r="I186" s="17">
        <v>7.1794008107086874E-2</v>
      </c>
      <c r="J186" s="13"/>
      <c r="K186" s="17"/>
      <c r="L186" s="17"/>
      <c r="M186" s="17"/>
      <c r="N186" s="17"/>
      <c r="O186"/>
      <c r="P186" s="18"/>
      <c r="Q186" s="8"/>
      <c r="R186" s="8"/>
      <c r="S186" s="8"/>
      <c r="T186" s="8"/>
      <c r="U186" s="8"/>
      <c r="V186" s="8"/>
      <c r="W186" s="8"/>
      <c r="X186" s="8"/>
      <c r="Y186" s="8"/>
    </row>
    <row r="187" spans="5:25" ht="15" customHeight="1" x14ac:dyDescent="0.25">
      <c r="E187" s="15">
        <v>39766</v>
      </c>
      <c r="F187" s="13">
        <v>873.29</v>
      </c>
      <c r="G187" s="13">
        <v>310.02</v>
      </c>
      <c r="H187" s="17">
        <v>-4.1916426367310876E-2</v>
      </c>
      <c r="I187" s="17">
        <v>-7.246726007260406E-3</v>
      </c>
      <c r="J187" s="13"/>
      <c r="K187" s="17"/>
      <c r="L187" s="17"/>
      <c r="M187" s="17"/>
      <c r="N187" s="17"/>
      <c r="O187"/>
      <c r="P187" s="18"/>
      <c r="Q187" s="8"/>
      <c r="R187" s="8"/>
      <c r="S187" s="8"/>
      <c r="T187" s="8"/>
      <c r="U187" s="8"/>
      <c r="V187" s="8"/>
      <c r="W187" s="8"/>
      <c r="X187" s="8"/>
      <c r="Y187" s="8"/>
    </row>
    <row r="188" spans="5:25" ht="15" customHeight="1" x14ac:dyDescent="0.25">
      <c r="E188" s="15">
        <v>39769</v>
      </c>
      <c r="F188" s="13">
        <v>850.75</v>
      </c>
      <c r="G188" s="13">
        <v>300.12</v>
      </c>
      <c r="H188" s="17">
        <v>-2.6027737538388138E-2</v>
      </c>
      <c r="I188" s="17">
        <v>-3.2579278085955551E-2</v>
      </c>
      <c r="J188" s="13"/>
      <c r="K188" s="17"/>
      <c r="L188" s="17"/>
      <c r="M188" s="17"/>
      <c r="N188" s="17"/>
      <c r="O188"/>
      <c r="P188" s="18"/>
      <c r="Q188" s="8"/>
      <c r="R188" s="8"/>
      <c r="S188" s="8"/>
      <c r="T188" s="8"/>
      <c r="U188" s="8"/>
      <c r="V188" s="8"/>
      <c r="W188" s="8"/>
      <c r="X188" s="8"/>
      <c r="Y188" s="8"/>
    </row>
    <row r="189" spans="5:25" ht="15" customHeight="1" x14ac:dyDescent="0.25">
      <c r="E189" s="15">
        <v>39770</v>
      </c>
      <c r="F189" s="13">
        <v>859.12</v>
      </c>
      <c r="G189" s="13">
        <v>297.42</v>
      </c>
      <c r="H189" s="17">
        <v>9.6210813395421358E-3</v>
      </c>
      <c r="I189" s="17">
        <v>-9.6422558752926862E-3</v>
      </c>
      <c r="J189" s="13"/>
      <c r="K189" s="17"/>
      <c r="L189" s="17"/>
      <c r="M189" s="17"/>
      <c r="N189" s="17"/>
      <c r="O189"/>
      <c r="P189" s="18"/>
      <c r="Q189" s="8"/>
      <c r="R189" s="8"/>
      <c r="S189" s="8"/>
      <c r="T189" s="8"/>
      <c r="U189" s="8"/>
      <c r="V189" s="8"/>
      <c r="W189" s="8"/>
      <c r="X189" s="8"/>
      <c r="Y189" s="8"/>
    </row>
    <row r="190" spans="5:25" ht="15" customHeight="1" x14ac:dyDescent="0.25">
      <c r="E190" s="15">
        <v>39771</v>
      </c>
      <c r="F190" s="13">
        <v>806.58</v>
      </c>
      <c r="G190" s="13">
        <v>280.18</v>
      </c>
      <c r="H190" s="17">
        <v>-6.1372897642484235E-2</v>
      </c>
      <c r="I190" s="17">
        <v>-5.8611021539627446E-2</v>
      </c>
      <c r="J190" s="13"/>
      <c r="K190" s="17"/>
      <c r="L190" s="17"/>
      <c r="M190" s="17"/>
      <c r="N190" s="17"/>
      <c r="O190"/>
      <c r="P190" s="18"/>
      <c r="Q190" s="8"/>
      <c r="R190" s="8"/>
      <c r="S190" s="8"/>
      <c r="T190" s="8"/>
      <c r="U190" s="8"/>
      <c r="V190" s="8"/>
      <c r="W190" s="8"/>
      <c r="X190" s="8"/>
      <c r="Y190" s="8"/>
    </row>
    <row r="191" spans="5:25" ht="15" customHeight="1" x14ac:dyDescent="0.25">
      <c r="E191" s="15">
        <v>39772</v>
      </c>
      <c r="F191" s="13">
        <v>752.44</v>
      </c>
      <c r="G191" s="13">
        <v>259.56</v>
      </c>
      <c r="H191" s="17">
        <v>-6.7340210594395267E-2</v>
      </c>
      <c r="I191" s="17">
        <v>-7.424140015647665E-2</v>
      </c>
      <c r="J191" s="13"/>
      <c r="K191" s="17"/>
      <c r="L191" s="17"/>
      <c r="M191" s="17"/>
      <c r="N191" s="17"/>
      <c r="O191"/>
      <c r="P191" s="18"/>
      <c r="Q191" s="8"/>
      <c r="R191" s="8"/>
      <c r="S191" s="8"/>
      <c r="T191" s="8"/>
      <c r="U191" s="8"/>
      <c r="V191" s="8"/>
      <c r="W191" s="8"/>
      <c r="X191" s="8"/>
      <c r="Y191" s="8"/>
    </row>
    <row r="192" spans="5:25" ht="15" customHeight="1" x14ac:dyDescent="0.25">
      <c r="E192" s="15">
        <v>39773</v>
      </c>
      <c r="F192" s="13">
        <v>800.03</v>
      </c>
      <c r="G192" s="13">
        <v>262.43</v>
      </c>
      <c r="H192" s="17">
        <v>6.3030271350082517E-2</v>
      </c>
      <c r="I192" s="17">
        <v>1.0411319242664446E-2</v>
      </c>
      <c r="J192" s="13"/>
      <c r="K192" s="17"/>
      <c r="L192" s="17"/>
      <c r="M192" s="17"/>
      <c r="N192" s="17"/>
      <c r="O192"/>
      <c r="P192" s="18"/>
      <c r="Q192" s="8"/>
      <c r="R192" s="8"/>
      <c r="S192" s="8"/>
      <c r="T192" s="8"/>
      <c r="U192" s="8"/>
      <c r="V192" s="8"/>
      <c r="W192" s="8"/>
      <c r="X192" s="8"/>
      <c r="Y192" s="8"/>
    </row>
    <row r="193" spans="5:25" ht="15" customHeight="1" x14ac:dyDescent="0.25">
      <c r="E193" s="15">
        <v>39776</v>
      </c>
      <c r="F193" s="13">
        <v>851.81</v>
      </c>
      <c r="G193" s="13">
        <v>257.44</v>
      </c>
      <c r="H193" s="17">
        <v>6.4505276341206952E-2</v>
      </c>
      <c r="I193" s="17">
        <v>-1.9660448803890403E-2</v>
      </c>
      <c r="J193" s="13"/>
      <c r="K193" s="17"/>
      <c r="L193" s="17"/>
      <c r="M193" s="17"/>
      <c r="N193" s="17"/>
      <c r="O193"/>
      <c r="P193" s="18"/>
      <c r="Q193" s="8"/>
      <c r="R193" s="8"/>
      <c r="S193" s="8"/>
      <c r="T193" s="8"/>
      <c r="U193" s="8"/>
      <c r="V193" s="8"/>
      <c r="W193" s="8"/>
      <c r="X193" s="8"/>
      <c r="Y193" s="8"/>
    </row>
    <row r="194" spans="5:25" ht="15" customHeight="1" x14ac:dyDescent="0.25">
      <c r="E194" s="15">
        <v>39777</v>
      </c>
      <c r="F194" s="13">
        <v>857.39</v>
      </c>
      <c r="G194" s="13">
        <v>282.05</v>
      </c>
      <c r="H194" s="17">
        <v>6.3334600618206215E-3</v>
      </c>
      <c r="I194" s="17">
        <v>9.4949235682217317E-2</v>
      </c>
      <c r="J194" s="13"/>
      <c r="K194" s="17"/>
      <c r="L194" s="17"/>
      <c r="M194" s="17"/>
      <c r="N194" s="17"/>
      <c r="O194"/>
      <c r="P194" s="18"/>
      <c r="Q194" s="8"/>
      <c r="R194" s="8"/>
      <c r="S194" s="8"/>
      <c r="T194" s="8"/>
      <c r="U194" s="8"/>
      <c r="V194" s="8"/>
      <c r="W194" s="8"/>
      <c r="X194" s="8"/>
      <c r="Y194" s="8"/>
    </row>
    <row r="195" spans="5:25" ht="15" customHeight="1" x14ac:dyDescent="0.25">
      <c r="E195" s="15">
        <v>39778</v>
      </c>
      <c r="F195" s="13">
        <v>887.68</v>
      </c>
      <c r="G195" s="13">
        <v>292.08999999999997</v>
      </c>
      <c r="H195" s="17">
        <v>3.5110850488624473E-2</v>
      </c>
      <c r="I195" s="17">
        <v>3.4950671002883543E-2</v>
      </c>
      <c r="J195" s="13"/>
      <c r="K195" s="17"/>
      <c r="L195" s="17"/>
      <c r="M195" s="17"/>
      <c r="N195" s="17"/>
      <c r="O195"/>
      <c r="P195" s="18"/>
      <c r="Q195" s="8"/>
      <c r="R195" s="8"/>
      <c r="S195" s="8"/>
      <c r="T195" s="8"/>
      <c r="U195" s="8"/>
      <c r="V195" s="8"/>
      <c r="W195" s="8"/>
      <c r="X195" s="8"/>
      <c r="Y195" s="8"/>
    </row>
    <row r="196" spans="5:25" ht="15" customHeight="1" x14ac:dyDescent="0.25">
      <c r="E196" s="15">
        <v>39780</v>
      </c>
      <c r="F196" s="13">
        <v>896.24</v>
      </c>
      <c r="G196" s="13">
        <v>292.95999999999998</v>
      </c>
      <c r="H196" s="17">
        <v>9.4258180735956581E-3</v>
      </c>
      <c r="I196" s="17">
        <v>2.332679577620538E-3</v>
      </c>
      <c r="J196" s="13"/>
      <c r="K196" s="17"/>
      <c r="L196" s="17"/>
      <c r="M196" s="17"/>
      <c r="N196" s="17"/>
      <c r="O196"/>
      <c r="P196" s="18"/>
      <c r="Q196" s="8"/>
      <c r="R196" s="8"/>
      <c r="S196" s="8"/>
      <c r="T196" s="8"/>
      <c r="U196" s="8"/>
      <c r="V196" s="8"/>
      <c r="W196" s="8"/>
      <c r="X196" s="8"/>
      <c r="Y196" s="8"/>
    </row>
    <row r="197" spans="5:25" ht="15" customHeight="1" x14ac:dyDescent="0.25">
      <c r="E197" s="15">
        <v>39783</v>
      </c>
      <c r="F197" s="13">
        <v>816.21</v>
      </c>
      <c r="G197" s="13">
        <v>265.99</v>
      </c>
      <c r="H197" s="17">
        <v>-8.9512574612831353E-2</v>
      </c>
      <c r="I197" s="17">
        <v>-9.2706203971641254E-2</v>
      </c>
      <c r="J197" s="13"/>
      <c r="K197" s="17"/>
      <c r="L197" s="17"/>
      <c r="M197" s="17"/>
      <c r="N197" s="17"/>
      <c r="O197"/>
      <c r="P197" s="18"/>
      <c r="Q197" s="8"/>
      <c r="R197" s="8"/>
      <c r="S197" s="8"/>
      <c r="T197" s="8"/>
      <c r="U197" s="8"/>
      <c r="V197" s="8"/>
      <c r="W197" s="8"/>
      <c r="X197" s="8"/>
      <c r="Y197" s="8"/>
    </row>
    <row r="198" spans="5:25" ht="15" customHeight="1" x14ac:dyDescent="0.25">
      <c r="E198" s="15">
        <v>39784</v>
      </c>
      <c r="F198" s="13">
        <v>848.81</v>
      </c>
      <c r="G198" s="13">
        <v>275.11</v>
      </c>
      <c r="H198" s="17">
        <v>3.9723404972834969E-2</v>
      </c>
      <c r="I198" s="17">
        <v>3.3641148834931203E-2</v>
      </c>
      <c r="J198" s="13"/>
      <c r="K198" s="17"/>
      <c r="L198" s="17"/>
      <c r="M198" s="17"/>
      <c r="N198" s="17"/>
      <c r="O198"/>
      <c r="P198" s="18"/>
      <c r="Q198" s="8"/>
      <c r="R198" s="8"/>
      <c r="S198" s="8"/>
      <c r="T198" s="8"/>
      <c r="U198" s="8"/>
      <c r="V198" s="8"/>
      <c r="W198" s="8"/>
      <c r="X198" s="8"/>
      <c r="Y198" s="8"/>
    </row>
    <row r="199" spans="5:25" ht="15" customHeight="1" x14ac:dyDescent="0.25">
      <c r="E199" s="15">
        <v>39785</v>
      </c>
      <c r="F199" s="13">
        <v>870.74</v>
      </c>
      <c r="G199" s="13">
        <v>279.43</v>
      </c>
      <c r="H199" s="17">
        <v>2.561887407658528E-2</v>
      </c>
      <c r="I199" s="17">
        <v>1.5056955349308385E-2</v>
      </c>
      <c r="J199" s="13"/>
      <c r="K199" s="17"/>
      <c r="L199" s="17"/>
      <c r="M199" s="17"/>
      <c r="N199" s="17"/>
      <c r="O199"/>
      <c r="P199" s="18"/>
      <c r="Q199" s="8"/>
      <c r="R199" s="8"/>
      <c r="S199" s="8"/>
      <c r="T199" s="8"/>
      <c r="U199" s="8"/>
      <c r="V199" s="8"/>
      <c r="W199" s="8"/>
      <c r="X199" s="8"/>
      <c r="Y199" s="8"/>
    </row>
    <row r="200" spans="5:25" ht="15" customHeight="1" x14ac:dyDescent="0.25">
      <c r="E200" s="15">
        <v>39786</v>
      </c>
      <c r="F200" s="13">
        <v>845.22</v>
      </c>
      <c r="G200" s="13">
        <v>274.33999999999997</v>
      </c>
      <c r="H200" s="17">
        <v>-2.9525700908038095E-2</v>
      </c>
      <c r="I200" s="17">
        <v>-1.8861507730074518E-2</v>
      </c>
      <c r="J200" s="13"/>
      <c r="K200" s="17"/>
      <c r="L200" s="17"/>
      <c r="M200" s="17"/>
      <c r="N200" s="17"/>
      <c r="O200"/>
      <c r="P200" s="18"/>
      <c r="Q200" s="8"/>
      <c r="R200" s="8"/>
      <c r="S200" s="8"/>
      <c r="T200" s="8"/>
      <c r="U200" s="8"/>
      <c r="V200" s="8"/>
      <c r="W200" s="8"/>
      <c r="X200" s="8"/>
      <c r="Y200" s="8"/>
    </row>
    <row r="201" spans="5:25" ht="15" customHeight="1" x14ac:dyDescent="0.25">
      <c r="E201" s="15">
        <v>39787</v>
      </c>
      <c r="F201" s="13">
        <v>876.07</v>
      </c>
      <c r="G201" s="13">
        <v>283.99</v>
      </c>
      <c r="H201" s="17">
        <v>3.6282076382013015E-2</v>
      </c>
      <c r="I201" s="17">
        <v>3.4529475446758939E-2</v>
      </c>
      <c r="J201" s="13"/>
      <c r="K201" s="17"/>
      <c r="L201" s="17"/>
      <c r="M201" s="17"/>
      <c r="N201" s="17"/>
      <c r="O201"/>
      <c r="P201" s="18"/>
      <c r="Q201" s="8"/>
      <c r="R201" s="8"/>
      <c r="S201" s="8"/>
      <c r="T201" s="8"/>
      <c r="U201" s="8"/>
      <c r="V201" s="8"/>
      <c r="W201" s="8"/>
      <c r="X201" s="8"/>
      <c r="Y201" s="8"/>
    </row>
    <row r="202" spans="5:25" ht="15" customHeight="1" x14ac:dyDescent="0.25">
      <c r="E202" s="15">
        <v>39790</v>
      </c>
      <c r="F202" s="13">
        <v>909.7</v>
      </c>
      <c r="G202" s="13">
        <v>302.11</v>
      </c>
      <c r="H202" s="17">
        <v>3.8170046914810234E-2</v>
      </c>
      <c r="I202" s="17">
        <v>6.315920912270756E-2</v>
      </c>
      <c r="J202" s="13"/>
      <c r="K202" s="17"/>
      <c r="L202" s="17"/>
      <c r="M202" s="17"/>
      <c r="N202" s="17"/>
      <c r="O202"/>
      <c r="P202" s="18"/>
      <c r="Q202" s="8"/>
      <c r="R202" s="8"/>
      <c r="S202" s="8"/>
      <c r="T202" s="8"/>
      <c r="U202" s="8"/>
      <c r="V202" s="8"/>
      <c r="W202" s="8"/>
      <c r="X202" s="8"/>
      <c r="Y202" s="8"/>
    </row>
    <row r="203" spans="5:25" ht="15" customHeight="1" x14ac:dyDescent="0.25">
      <c r="E203" s="15">
        <v>39791</v>
      </c>
      <c r="F203" s="13">
        <v>888.67</v>
      </c>
      <c r="G203" s="13">
        <v>305.97000000000003</v>
      </c>
      <c r="H203" s="17">
        <v>-2.3334807829759982E-2</v>
      </c>
      <c r="I203" s="17">
        <v>1.2130948715301649E-2</v>
      </c>
      <c r="J203" s="13"/>
      <c r="K203" s="17"/>
      <c r="L203" s="17"/>
      <c r="M203" s="17"/>
      <c r="N203" s="17"/>
      <c r="O203"/>
      <c r="P203" s="18"/>
      <c r="Q203" s="8"/>
      <c r="R203" s="8"/>
      <c r="S203" s="8"/>
      <c r="T203" s="8"/>
      <c r="U203" s="8"/>
      <c r="V203" s="8"/>
      <c r="W203" s="8"/>
      <c r="X203" s="8"/>
      <c r="Y203" s="8"/>
    </row>
    <row r="204" spans="5:25" ht="15" customHeight="1" x14ac:dyDescent="0.25">
      <c r="E204" s="15">
        <v>39792</v>
      </c>
      <c r="F204" s="13">
        <v>899.24</v>
      </c>
      <c r="G204" s="13">
        <v>308.82</v>
      </c>
      <c r="H204" s="17">
        <v>1.1676882379255188E-2</v>
      </c>
      <c r="I204" s="17">
        <v>8.6687842541991987E-3</v>
      </c>
      <c r="J204" s="13"/>
      <c r="K204" s="17"/>
      <c r="L204" s="17"/>
      <c r="M204" s="17"/>
      <c r="N204" s="17"/>
      <c r="O204"/>
      <c r="P204" s="18"/>
      <c r="Q204" s="8"/>
      <c r="R204" s="8"/>
      <c r="S204" s="8"/>
      <c r="T204" s="8"/>
      <c r="U204" s="8"/>
      <c r="V204" s="8"/>
      <c r="W204" s="8"/>
      <c r="X204" s="8"/>
      <c r="Y204" s="8"/>
    </row>
    <row r="205" spans="5:25" ht="15" customHeight="1" x14ac:dyDescent="0.25">
      <c r="E205" s="15">
        <v>39793</v>
      </c>
      <c r="F205" s="13">
        <v>873.59</v>
      </c>
      <c r="G205" s="13">
        <v>300.22000000000003</v>
      </c>
      <c r="H205" s="17">
        <v>-2.8741383569114921E-2</v>
      </c>
      <c r="I205" s="17">
        <v>-2.8493791745628189E-2</v>
      </c>
      <c r="J205" s="13"/>
      <c r="K205" s="17"/>
      <c r="L205" s="17"/>
      <c r="M205" s="17"/>
      <c r="N205" s="17"/>
      <c r="O205"/>
      <c r="P205" s="18"/>
      <c r="Q205" s="8"/>
      <c r="R205" s="8"/>
      <c r="S205" s="8"/>
      <c r="T205" s="8"/>
      <c r="U205" s="8"/>
      <c r="V205" s="8"/>
      <c r="W205" s="8"/>
      <c r="X205" s="8"/>
      <c r="Y205" s="8"/>
    </row>
    <row r="206" spans="5:25" ht="15" customHeight="1" x14ac:dyDescent="0.25">
      <c r="E206" s="15">
        <v>39794</v>
      </c>
      <c r="F206" s="13">
        <v>879.73</v>
      </c>
      <c r="G206" s="13">
        <v>315.76</v>
      </c>
      <c r="H206" s="17">
        <v>6.8111721701625818E-3</v>
      </c>
      <c r="I206" s="17">
        <v>5.1116186733940354E-2</v>
      </c>
      <c r="J206" s="13"/>
      <c r="K206" s="17"/>
      <c r="L206" s="17"/>
      <c r="M206" s="17"/>
      <c r="N206" s="17"/>
      <c r="O206"/>
      <c r="P206" s="18"/>
      <c r="Q206" s="8"/>
      <c r="R206" s="8"/>
      <c r="S206" s="8"/>
      <c r="T206" s="8"/>
      <c r="U206" s="8"/>
      <c r="V206" s="8"/>
      <c r="W206" s="8"/>
      <c r="X206" s="8"/>
      <c r="Y206" s="8"/>
    </row>
    <row r="207" spans="5:25" ht="15" customHeight="1" x14ac:dyDescent="0.25">
      <c r="E207" s="15">
        <v>39797</v>
      </c>
      <c r="F207" s="13">
        <v>868.57</v>
      </c>
      <c r="G207" s="13">
        <v>310.67</v>
      </c>
      <c r="H207" s="17">
        <v>-1.29030069507238E-2</v>
      </c>
      <c r="I207" s="17">
        <v>-1.6765692287401265E-2</v>
      </c>
      <c r="J207" s="13"/>
      <c r="K207" s="17"/>
      <c r="L207" s="17"/>
      <c r="M207" s="17"/>
      <c r="N207" s="17"/>
      <c r="O207"/>
      <c r="P207" s="18"/>
      <c r="Q207" s="8"/>
      <c r="R207" s="8"/>
      <c r="S207" s="8"/>
      <c r="T207" s="8"/>
      <c r="U207" s="8"/>
      <c r="V207" s="8"/>
      <c r="W207" s="8"/>
      <c r="X207" s="8"/>
      <c r="Y207" s="8"/>
    </row>
    <row r="208" spans="5:25" ht="15" customHeight="1" x14ac:dyDescent="0.25">
      <c r="E208" s="15">
        <v>39798</v>
      </c>
      <c r="F208" s="13">
        <v>913.18</v>
      </c>
      <c r="G208" s="13">
        <v>325.27999999999997</v>
      </c>
      <c r="H208" s="17">
        <v>5.1142985280259651E-2</v>
      </c>
      <c r="I208" s="17">
        <v>4.638153797408423E-2</v>
      </c>
      <c r="J208" s="13"/>
      <c r="K208" s="17"/>
      <c r="L208" s="17"/>
      <c r="M208" s="17"/>
      <c r="N208" s="17"/>
      <c r="O208"/>
      <c r="P208" s="18"/>
      <c r="Q208" s="8"/>
      <c r="R208" s="8"/>
      <c r="S208" s="8"/>
      <c r="T208" s="8"/>
      <c r="U208" s="8"/>
      <c r="V208" s="8"/>
      <c r="W208" s="8"/>
      <c r="X208" s="8"/>
      <c r="Y208" s="8"/>
    </row>
    <row r="209" spans="5:25" ht="15" customHeight="1" x14ac:dyDescent="0.25">
      <c r="E209" s="15">
        <v>39799</v>
      </c>
      <c r="F209" s="13">
        <v>904.42</v>
      </c>
      <c r="G209" s="13">
        <v>315.24</v>
      </c>
      <c r="H209" s="17">
        <v>-9.8101479169161506E-3</v>
      </c>
      <c r="I209" s="17">
        <v>-3.1511570126965358E-2</v>
      </c>
      <c r="J209" s="13"/>
      <c r="K209" s="17"/>
      <c r="L209" s="17"/>
      <c r="M209" s="17"/>
      <c r="N209" s="17"/>
      <c r="O209"/>
      <c r="P209" s="18"/>
      <c r="Q209" s="8"/>
      <c r="R209" s="8"/>
      <c r="S209" s="8"/>
      <c r="T209" s="8"/>
      <c r="U209" s="8"/>
      <c r="V209" s="8"/>
      <c r="W209" s="8"/>
      <c r="X209" s="8"/>
      <c r="Y209" s="8"/>
    </row>
    <row r="210" spans="5:25" ht="15" customHeight="1" x14ac:dyDescent="0.25">
      <c r="E210" s="15">
        <v>39800</v>
      </c>
      <c r="F210" s="13">
        <v>885.28</v>
      </c>
      <c r="G210" s="13">
        <v>310.27999999999997</v>
      </c>
      <c r="H210" s="17">
        <v>-2.1380030690258577E-2</v>
      </c>
      <c r="I210" s="17">
        <v>-1.6379898338926443E-2</v>
      </c>
      <c r="J210" s="13"/>
      <c r="K210" s="17"/>
      <c r="L210" s="17"/>
      <c r="M210" s="17"/>
      <c r="N210" s="17"/>
      <c r="O210"/>
      <c r="P210" s="18"/>
      <c r="Q210" s="8"/>
      <c r="R210" s="8"/>
      <c r="S210" s="8"/>
      <c r="T210" s="8"/>
      <c r="U210" s="8"/>
      <c r="V210" s="8"/>
      <c r="W210" s="8"/>
      <c r="X210" s="8"/>
      <c r="Y210" s="8"/>
    </row>
    <row r="211" spans="5:25" ht="15" customHeight="1" x14ac:dyDescent="0.25">
      <c r="E211" s="15">
        <v>39801</v>
      </c>
      <c r="F211" s="13">
        <v>887.88</v>
      </c>
      <c r="G211" s="13">
        <v>310.17</v>
      </c>
      <c r="H211" s="17">
        <v>2.7196273487698078E-3</v>
      </c>
      <c r="I211" s="17">
        <v>-1.000372935288334E-3</v>
      </c>
      <c r="J211" s="13"/>
      <c r="K211" s="17"/>
      <c r="L211" s="17"/>
      <c r="M211" s="17"/>
      <c r="N211" s="17"/>
      <c r="O211"/>
      <c r="P211" s="18"/>
      <c r="Q211" s="8"/>
      <c r="R211" s="8"/>
      <c r="S211" s="8"/>
      <c r="T211" s="8"/>
      <c r="U211" s="8"/>
      <c r="V211" s="8"/>
      <c r="W211" s="8"/>
      <c r="X211" s="8"/>
      <c r="Y211" s="8"/>
    </row>
    <row r="212" spans="5:25" ht="15" customHeight="1" x14ac:dyDescent="0.25">
      <c r="E212" s="15">
        <v>39804</v>
      </c>
      <c r="F212" s="13">
        <v>871.63</v>
      </c>
      <c r="G212" s="13">
        <v>297.11</v>
      </c>
      <c r="H212" s="17">
        <v>-1.851931935818249E-2</v>
      </c>
      <c r="I212" s="17">
        <v>-4.2751796338695934E-2</v>
      </c>
      <c r="J212" s="13"/>
      <c r="K212" s="17"/>
      <c r="L212" s="17"/>
      <c r="M212" s="17"/>
      <c r="N212" s="17"/>
      <c r="O212"/>
      <c r="P212" s="18"/>
      <c r="Q212" s="8"/>
      <c r="R212" s="8"/>
      <c r="S212" s="8"/>
      <c r="T212" s="8"/>
      <c r="U212" s="8"/>
      <c r="V212" s="8"/>
      <c r="W212" s="8"/>
      <c r="X212" s="8"/>
      <c r="Y212" s="8"/>
    </row>
    <row r="213" spans="5:25" ht="15" customHeight="1" x14ac:dyDescent="0.25">
      <c r="E213" s="15">
        <v>39805</v>
      </c>
      <c r="F213" s="13">
        <v>863.16</v>
      </c>
      <c r="G213" s="13">
        <v>298.02</v>
      </c>
      <c r="H213" s="17">
        <v>-9.9347225343385907E-3</v>
      </c>
      <c r="I213" s="17">
        <v>2.4169842434085807E-3</v>
      </c>
      <c r="J213" s="13"/>
      <c r="K213" s="17"/>
      <c r="L213" s="17"/>
      <c r="M213" s="17"/>
      <c r="N213" s="17"/>
      <c r="O213"/>
      <c r="P213" s="18"/>
      <c r="Q213" s="8"/>
      <c r="R213" s="8"/>
      <c r="S213" s="8"/>
      <c r="T213" s="8"/>
      <c r="U213" s="8"/>
      <c r="V213" s="8"/>
      <c r="W213" s="8"/>
      <c r="X213" s="8"/>
      <c r="Y213" s="8"/>
    </row>
    <row r="214" spans="5:25" ht="15" customHeight="1" x14ac:dyDescent="0.25">
      <c r="E214" s="15">
        <v>39806</v>
      </c>
      <c r="F214" s="13">
        <v>868.15</v>
      </c>
      <c r="G214" s="13">
        <v>302.95</v>
      </c>
      <c r="H214" s="17">
        <v>5.5637868984628747E-3</v>
      </c>
      <c r="I214" s="17">
        <v>1.5896659489371464E-2</v>
      </c>
      <c r="J214" s="13"/>
      <c r="K214" s="17"/>
      <c r="L214" s="17"/>
      <c r="M214" s="17"/>
      <c r="N214" s="17"/>
      <c r="O214"/>
      <c r="P214" s="18"/>
      <c r="Q214" s="8"/>
      <c r="R214" s="8"/>
      <c r="S214" s="8"/>
      <c r="T214" s="8"/>
      <c r="U214" s="8"/>
      <c r="V214" s="8"/>
      <c r="W214" s="8"/>
      <c r="X214" s="8"/>
      <c r="Y214" s="8"/>
    </row>
    <row r="215" spans="5:25" ht="15" customHeight="1" x14ac:dyDescent="0.25">
      <c r="E215" s="15">
        <v>39808</v>
      </c>
      <c r="F215" s="13">
        <v>872.8</v>
      </c>
      <c r="G215" s="13">
        <v>300.36</v>
      </c>
      <c r="H215" s="17">
        <v>5.1389206812547279E-3</v>
      </c>
      <c r="I215" s="17">
        <v>-9.1951199912406294E-3</v>
      </c>
      <c r="J215" s="13"/>
      <c r="K215" s="17"/>
      <c r="L215" s="17"/>
      <c r="M215" s="17"/>
      <c r="N215" s="17"/>
      <c r="O215"/>
      <c r="P215" s="18"/>
      <c r="Q215" s="8"/>
      <c r="R215" s="8"/>
      <c r="S215" s="8"/>
      <c r="T215" s="8"/>
      <c r="U215" s="8"/>
      <c r="V215" s="8"/>
      <c r="W215" s="8"/>
      <c r="X215" s="8"/>
      <c r="Y215" s="8"/>
    </row>
    <row r="216" spans="5:25" ht="15" customHeight="1" x14ac:dyDescent="0.25">
      <c r="E216" s="15">
        <v>39811</v>
      </c>
      <c r="F216" s="13">
        <v>869.42</v>
      </c>
      <c r="G216" s="13">
        <v>297.42</v>
      </c>
      <c r="H216" s="17">
        <v>-4.0898905128132976E-3</v>
      </c>
      <c r="I216" s="17">
        <v>-1.0434108530954353E-2</v>
      </c>
      <c r="J216" s="13"/>
      <c r="K216" s="17"/>
      <c r="L216" s="17"/>
      <c r="M216" s="17"/>
      <c r="N216" s="17"/>
      <c r="O216"/>
      <c r="P216" s="18"/>
      <c r="Q216" s="8"/>
      <c r="R216" s="8"/>
      <c r="S216" s="8"/>
      <c r="T216" s="8"/>
      <c r="U216" s="8"/>
      <c r="V216" s="8"/>
      <c r="W216" s="8"/>
      <c r="X216" s="8"/>
      <c r="Y216" s="8"/>
    </row>
    <row r="217" spans="5:25" ht="15" customHeight="1" x14ac:dyDescent="0.25">
      <c r="E217" s="15">
        <v>39812</v>
      </c>
      <c r="F217" s="13">
        <v>890.64</v>
      </c>
      <c r="G217" s="13">
        <v>303.11</v>
      </c>
      <c r="H217" s="17">
        <v>2.4189779419379769E-2</v>
      </c>
      <c r="I217" s="17">
        <v>1.8485340507309544E-2</v>
      </c>
      <c r="J217" s="13"/>
      <c r="K217" s="17"/>
      <c r="L217" s="17"/>
      <c r="M217" s="17"/>
      <c r="N217" s="17"/>
      <c r="O217"/>
      <c r="P217" s="18"/>
      <c r="Q217" s="8"/>
      <c r="R217" s="8"/>
      <c r="S217" s="8"/>
      <c r="T217" s="8"/>
      <c r="U217" s="8"/>
      <c r="V217" s="8"/>
      <c r="W217" s="8"/>
      <c r="X217" s="8"/>
      <c r="Y217" s="8"/>
    </row>
    <row r="218" spans="5:25" ht="15" customHeight="1" x14ac:dyDescent="0.25">
      <c r="E218" s="15">
        <v>39813</v>
      </c>
      <c r="F218" s="13">
        <v>903.25</v>
      </c>
      <c r="G218" s="13">
        <v>307.64999999999998</v>
      </c>
      <c r="H218" s="17">
        <v>1.3941061472362525E-2</v>
      </c>
      <c r="I218" s="17">
        <v>1.4332206334149031E-2</v>
      </c>
      <c r="J218" s="13"/>
      <c r="K218" s="17"/>
      <c r="L218" s="17"/>
      <c r="M218" s="17"/>
      <c r="N218" s="17"/>
      <c r="O218"/>
      <c r="P218" s="18"/>
      <c r="Q218" s="8"/>
      <c r="R218" s="8"/>
      <c r="S218" s="8"/>
      <c r="T218" s="8"/>
      <c r="U218" s="8"/>
      <c r="V218" s="8"/>
      <c r="W218" s="8"/>
      <c r="X218" s="8"/>
      <c r="Y218" s="8"/>
    </row>
    <row r="219" spans="5:25" ht="15" customHeight="1" x14ac:dyDescent="0.25">
      <c r="E219" s="15">
        <v>39815</v>
      </c>
      <c r="F219" s="13">
        <v>931.8</v>
      </c>
      <c r="G219" s="13">
        <v>321.32</v>
      </c>
      <c r="H219" s="17">
        <v>3.1390785364067801E-2</v>
      </c>
      <c r="I219" s="17">
        <v>4.3787755185454483E-2</v>
      </c>
      <c r="J219" s="13"/>
      <c r="K219" s="17"/>
      <c r="L219" s="17"/>
      <c r="M219" s="17"/>
      <c r="N219" s="17"/>
      <c r="O219"/>
      <c r="P219" s="18"/>
      <c r="Q219" s="8"/>
      <c r="R219" s="8"/>
      <c r="S219" s="8"/>
      <c r="T219" s="8"/>
      <c r="U219" s="8"/>
      <c r="V219" s="8"/>
      <c r="W219" s="8"/>
      <c r="X219" s="8"/>
      <c r="Y219" s="8"/>
    </row>
    <row r="220" spans="5:25" ht="15" customHeight="1" x14ac:dyDescent="0.25">
      <c r="E220" s="15">
        <v>39818</v>
      </c>
      <c r="F220" s="13">
        <v>927.45</v>
      </c>
      <c r="G220" s="13">
        <v>328.05</v>
      </c>
      <c r="H220" s="17">
        <v>-4.8856803356510927E-3</v>
      </c>
      <c r="I220" s="17">
        <v>2.0298998047637087E-2</v>
      </c>
      <c r="J220" s="13"/>
      <c r="K220" s="17"/>
      <c r="L220" s="17"/>
      <c r="M220" s="17"/>
      <c r="N220" s="17"/>
      <c r="O220"/>
      <c r="P220" s="18"/>
      <c r="Q220" s="8"/>
      <c r="R220" s="8"/>
      <c r="S220" s="8"/>
      <c r="T220" s="8"/>
      <c r="U220" s="8"/>
      <c r="V220" s="8"/>
      <c r="W220" s="8"/>
      <c r="X220" s="8"/>
      <c r="Y220" s="8"/>
    </row>
    <row r="221" spans="5:25" ht="15" customHeight="1" x14ac:dyDescent="0.25">
      <c r="E221" s="15">
        <v>39819</v>
      </c>
      <c r="F221" s="13">
        <v>934.7</v>
      </c>
      <c r="G221" s="13">
        <v>334.06</v>
      </c>
      <c r="H221" s="17">
        <v>7.5998364367743359E-3</v>
      </c>
      <c r="I221" s="17">
        <v>1.7674523555291432E-2</v>
      </c>
      <c r="J221" s="13"/>
      <c r="K221" s="17"/>
      <c r="L221" s="17"/>
      <c r="M221" s="17"/>
      <c r="N221" s="17"/>
      <c r="O221"/>
      <c r="P221" s="18"/>
      <c r="Q221" s="8"/>
      <c r="R221" s="8"/>
      <c r="S221" s="8"/>
      <c r="T221" s="8"/>
      <c r="U221" s="8"/>
      <c r="V221" s="8"/>
      <c r="W221" s="8"/>
      <c r="X221" s="8"/>
      <c r="Y221" s="8"/>
    </row>
    <row r="222" spans="5:25" ht="15" customHeight="1" x14ac:dyDescent="0.25">
      <c r="E222" s="15">
        <v>39820</v>
      </c>
      <c r="F222" s="13">
        <v>906.65</v>
      </c>
      <c r="G222" s="13">
        <v>322.01</v>
      </c>
      <c r="H222" s="17">
        <v>-3.0226925320199407E-2</v>
      </c>
      <c r="I222" s="17">
        <v>-3.671721886142075E-2</v>
      </c>
      <c r="J222" s="13"/>
      <c r="K222" s="17"/>
      <c r="L222" s="17"/>
      <c r="M222" s="17"/>
      <c r="N222" s="17"/>
      <c r="O222"/>
      <c r="P222" s="18"/>
      <c r="Q222" s="8"/>
      <c r="R222" s="8"/>
      <c r="S222" s="8"/>
      <c r="T222" s="8"/>
      <c r="U222" s="8"/>
      <c r="V222" s="8"/>
      <c r="W222" s="8"/>
      <c r="X222" s="8"/>
      <c r="Y222" s="8"/>
    </row>
    <row r="223" spans="5:25" ht="15" customHeight="1" x14ac:dyDescent="0.25">
      <c r="E223" s="15">
        <v>39821</v>
      </c>
      <c r="F223" s="13">
        <v>909.73</v>
      </c>
      <c r="G223" s="13">
        <v>325.19</v>
      </c>
      <c r="H223" s="17">
        <v>3.1798247083024193E-3</v>
      </c>
      <c r="I223" s="17">
        <v>9.2296152700413001E-3</v>
      </c>
      <c r="J223" s="13"/>
      <c r="K223" s="17"/>
      <c r="L223" s="17"/>
      <c r="M223" s="17"/>
      <c r="N223" s="17"/>
      <c r="O223"/>
      <c r="P223" s="18"/>
      <c r="Q223" s="8"/>
      <c r="R223" s="8"/>
      <c r="S223" s="8"/>
      <c r="T223" s="8"/>
      <c r="U223" s="8"/>
      <c r="V223" s="8"/>
      <c r="W223" s="8"/>
      <c r="X223" s="8"/>
      <c r="Y223" s="8"/>
    </row>
    <row r="224" spans="5:25" ht="15" customHeight="1" x14ac:dyDescent="0.25">
      <c r="E224" s="15">
        <v>39822</v>
      </c>
      <c r="F224" s="13">
        <v>890.35</v>
      </c>
      <c r="G224" s="13">
        <v>315.07</v>
      </c>
      <c r="H224" s="17">
        <v>-2.1520320536455351E-2</v>
      </c>
      <c r="I224" s="17">
        <v>-3.1766122586795606E-2</v>
      </c>
      <c r="J224" s="13"/>
      <c r="K224" s="17"/>
      <c r="L224" s="17"/>
      <c r="M224" s="17"/>
      <c r="N224" s="17"/>
      <c r="O224"/>
      <c r="P224" s="18"/>
      <c r="Q224" s="8"/>
      <c r="R224" s="8"/>
      <c r="S224" s="8"/>
      <c r="T224" s="8"/>
      <c r="U224" s="8"/>
      <c r="V224" s="8"/>
      <c r="W224" s="8"/>
      <c r="X224" s="8"/>
      <c r="Y224" s="8"/>
    </row>
    <row r="225" spans="5:25" ht="15" customHeight="1" x14ac:dyDescent="0.25">
      <c r="E225" s="15">
        <v>39825</v>
      </c>
      <c r="F225" s="13">
        <v>870.26</v>
      </c>
      <c r="G225" s="13">
        <v>312.69</v>
      </c>
      <c r="H225" s="17">
        <v>-2.2781456724043324E-2</v>
      </c>
      <c r="I225" s="17">
        <v>-8.1997313521092897E-3</v>
      </c>
      <c r="J225" s="13"/>
      <c r="K225" s="17"/>
      <c r="L225" s="17"/>
      <c r="M225" s="17"/>
      <c r="N225" s="17"/>
      <c r="O225"/>
      <c r="P225" s="18"/>
      <c r="Q225" s="8"/>
      <c r="R225" s="8"/>
      <c r="S225" s="8"/>
      <c r="T225" s="8"/>
      <c r="U225" s="8"/>
      <c r="V225" s="8"/>
      <c r="W225" s="8"/>
      <c r="X225" s="8"/>
      <c r="Y225" s="8"/>
    </row>
    <row r="226" spans="5:25" ht="15" customHeight="1" x14ac:dyDescent="0.25">
      <c r="E226" s="15">
        <v>39826</v>
      </c>
      <c r="F226" s="13">
        <v>871.79</v>
      </c>
      <c r="G226" s="13">
        <v>314.32</v>
      </c>
      <c r="H226" s="17">
        <v>1.540798719560613E-3</v>
      </c>
      <c r="I226" s="17">
        <v>4.5669761631273557E-3</v>
      </c>
      <c r="J226" s="13"/>
      <c r="K226" s="17"/>
      <c r="L226" s="17"/>
      <c r="M226" s="17"/>
      <c r="N226" s="17"/>
      <c r="O226"/>
      <c r="P226" s="18"/>
      <c r="Q226" s="8"/>
      <c r="R226" s="8"/>
      <c r="S226" s="8"/>
      <c r="T226" s="8"/>
      <c r="U226" s="8"/>
      <c r="V226" s="8"/>
      <c r="W226" s="8"/>
      <c r="X226" s="8"/>
      <c r="Y226" s="8"/>
    </row>
    <row r="227" spans="5:25" ht="15" customHeight="1" x14ac:dyDescent="0.25">
      <c r="E227" s="15">
        <v>39827</v>
      </c>
      <c r="F227" s="13">
        <v>842.62</v>
      </c>
      <c r="G227" s="13">
        <v>300.97000000000003</v>
      </c>
      <c r="H227" s="17">
        <v>-3.3677189426416357E-2</v>
      </c>
      <c r="I227" s="17">
        <v>-4.3118493784303172E-2</v>
      </c>
      <c r="J227" s="13"/>
      <c r="K227" s="17"/>
      <c r="L227" s="17"/>
      <c r="M227" s="17"/>
      <c r="N227" s="17"/>
      <c r="O227"/>
      <c r="P227" s="18"/>
      <c r="Q227" s="8"/>
      <c r="R227" s="8"/>
      <c r="S227" s="8"/>
      <c r="T227" s="8"/>
      <c r="U227" s="8"/>
      <c r="V227" s="8"/>
      <c r="W227" s="8"/>
      <c r="X227" s="8"/>
      <c r="Y227" s="8"/>
    </row>
    <row r="228" spans="5:25" ht="15" customHeight="1" x14ac:dyDescent="0.25">
      <c r="E228" s="15">
        <v>39828</v>
      </c>
      <c r="F228" s="13">
        <v>843.74</v>
      </c>
      <c r="G228" s="13">
        <v>298.99</v>
      </c>
      <c r="H228" s="17">
        <v>1.1118909718105963E-3</v>
      </c>
      <c r="I228" s="17">
        <v>-7.224583212822969E-3</v>
      </c>
      <c r="J228" s="13"/>
      <c r="K228" s="17"/>
      <c r="L228" s="17"/>
      <c r="M228" s="17"/>
      <c r="N228" s="17"/>
      <c r="O228"/>
      <c r="P228" s="18"/>
      <c r="Q228" s="8"/>
      <c r="R228" s="8"/>
      <c r="S228" s="8"/>
      <c r="T228" s="8"/>
      <c r="U228" s="8"/>
      <c r="V228" s="8"/>
      <c r="W228" s="8"/>
      <c r="X228" s="8"/>
      <c r="Y228" s="8"/>
    </row>
    <row r="229" spans="5:25" ht="15" customHeight="1" x14ac:dyDescent="0.25">
      <c r="E229" s="15">
        <v>39829</v>
      </c>
      <c r="F229" s="13">
        <v>850.12</v>
      </c>
      <c r="G229" s="13">
        <v>299.67</v>
      </c>
      <c r="H229" s="17">
        <v>7.3442745377927544E-3</v>
      </c>
      <c r="I229" s="17">
        <v>1.6284691201033168E-3</v>
      </c>
      <c r="J229" s="13"/>
      <c r="K229" s="17"/>
      <c r="L229" s="17"/>
      <c r="M229" s="17"/>
      <c r="N229" s="17"/>
      <c r="O229"/>
      <c r="P229" s="18"/>
      <c r="Q229" s="8"/>
      <c r="R229" s="8"/>
      <c r="S229" s="8"/>
      <c r="T229" s="8"/>
      <c r="U229" s="8"/>
      <c r="V229" s="8"/>
      <c r="W229" s="8"/>
      <c r="X229" s="8"/>
      <c r="Y229" s="8"/>
    </row>
    <row r="230" spans="5:25" ht="15" customHeight="1" x14ac:dyDescent="0.25">
      <c r="E230" s="15">
        <v>39833</v>
      </c>
      <c r="F230" s="13">
        <v>805.22</v>
      </c>
      <c r="G230" s="13">
        <v>282.75</v>
      </c>
      <c r="H230" s="17">
        <v>-5.3033369587293884E-2</v>
      </c>
      <c r="I230" s="17">
        <v>-5.7107962755019524E-2</v>
      </c>
      <c r="J230" s="13"/>
      <c r="K230" s="17"/>
      <c r="L230" s="17"/>
      <c r="M230" s="17"/>
      <c r="N230" s="17"/>
      <c r="O230"/>
      <c r="P230" s="18"/>
      <c r="Q230" s="8"/>
      <c r="R230" s="8"/>
      <c r="S230" s="8"/>
      <c r="T230" s="8"/>
      <c r="U230" s="8"/>
      <c r="V230" s="8"/>
      <c r="W230" s="8"/>
      <c r="X230" s="8"/>
      <c r="Y230" s="8"/>
    </row>
    <row r="231" spans="5:25" ht="15" customHeight="1" x14ac:dyDescent="0.25">
      <c r="E231" s="15">
        <v>39834</v>
      </c>
      <c r="F231" s="13">
        <v>840.24</v>
      </c>
      <c r="G231" s="13">
        <v>303.08</v>
      </c>
      <c r="H231" s="17">
        <v>4.3273923228555437E-2</v>
      </c>
      <c r="I231" s="17">
        <v>7.1255118154759309E-2</v>
      </c>
      <c r="J231" s="13"/>
      <c r="K231" s="17"/>
      <c r="L231" s="17"/>
      <c r="M231" s="17"/>
      <c r="N231" s="17"/>
      <c r="O231"/>
      <c r="P231" s="18"/>
      <c r="Q231" s="8"/>
      <c r="R231" s="8"/>
      <c r="S231" s="8"/>
      <c r="T231" s="8"/>
      <c r="U231" s="8"/>
      <c r="V231" s="8"/>
      <c r="W231" s="8"/>
      <c r="X231" s="8"/>
      <c r="Y231" s="8"/>
    </row>
    <row r="232" spans="5:25" ht="15" customHeight="1" x14ac:dyDescent="0.25">
      <c r="E232" s="15">
        <v>39835</v>
      </c>
      <c r="F232" s="13">
        <v>827.5</v>
      </c>
      <c r="G232" s="13">
        <v>306.5</v>
      </c>
      <c r="H232" s="17">
        <v>-1.5379631133384104E-2</v>
      </c>
      <c r="I232" s="17">
        <v>1.0638294963630028E-2</v>
      </c>
      <c r="J232" s="13"/>
      <c r="K232" s="17"/>
      <c r="L232" s="17"/>
      <c r="M232" s="17"/>
      <c r="N232" s="17"/>
      <c r="O232"/>
      <c r="P232" s="18"/>
      <c r="Q232" s="8"/>
      <c r="R232" s="8"/>
      <c r="S232" s="8"/>
      <c r="T232" s="8"/>
      <c r="U232" s="8"/>
      <c r="V232" s="8"/>
      <c r="W232" s="8"/>
      <c r="X232" s="8"/>
      <c r="Y232" s="8"/>
    </row>
    <row r="233" spans="5:25" ht="15" customHeight="1" x14ac:dyDescent="0.25">
      <c r="E233" s="15">
        <v>39836</v>
      </c>
      <c r="F233" s="13">
        <v>831.95</v>
      </c>
      <c r="G233" s="13">
        <v>324.7</v>
      </c>
      <c r="H233" s="17">
        <v>5.1603469422225488E-3</v>
      </c>
      <c r="I233" s="17">
        <v>5.8734243443413769E-2</v>
      </c>
      <c r="J233" s="13"/>
      <c r="K233" s="17"/>
      <c r="L233" s="17"/>
      <c r="M233" s="17"/>
      <c r="N233" s="17"/>
      <c r="O233"/>
      <c r="P233" s="18"/>
      <c r="Q233" s="8"/>
      <c r="R233" s="8"/>
      <c r="S233" s="8"/>
      <c r="T233" s="8"/>
      <c r="U233" s="8"/>
      <c r="V233" s="8"/>
      <c r="W233" s="8"/>
      <c r="X233" s="8"/>
      <c r="Y233" s="8"/>
    </row>
    <row r="234" spans="5:25" ht="15" customHeight="1" x14ac:dyDescent="0.25">
      <c r="E234" s="15">
        <v>39839</v>
      </c>
      <c r="F234" s="13">
        <v>836.57</v>
      </c>
      <c r="G234" s="13">
        <v>323.87</v>
      </c>
      <c r="H234" s="17">
        <v>5.3359217801392913E-3</v>
      </c>
      <c r="I234" s="17">
        <v>-3.2020601642330994E-3</v>
      </c>
      <c r="J234" s="13"/>
      <c r="K234" s="17"/>
      <c r="L234" s="17"/>
      <c r="M234" s="17"/>
      <c r="N234" s="17"/>
      <c r="O234"/>
      <c r="P234" s="18"/>
      <c r="Q234" s="8"/>
      <c r="R234" s="8"/>
      <c r="S234" s="8"/>
      <c r="T234" s="8"/>
      <c r="U234" s="8"/>
      <c r="V234" s="8"/>
      <c r="W234" s="8"/>
      <c r="X234" s="8"/>
      <c r="Y234" s="8"/>
    </row>
    <row r="235" spans="5:25" ht="15" customHeight="1" x14ac:dyDescent="0.25">
      <c r="E235" s="15">
        <v>39840</v>
      </c>
      <c r="F235" s="13">
        <v>845.71</v>
      </c>
      <c r="G235" s="13">
        <v>331.48</v>
      </c>
      <c r="H235" s="17">
        <v>1.0708268542822497E-2</v>
      </c>
      <c r="I235" s="17">
        <v>2.2851227726727649E-2</v>
      </c>
      <c r="J235" s="13"/>
      <c r="K235" s="17"/>
      <c r="L235" s="17"/>
      <c r="M235" s="17"/>
      <c r="N235" s="17"/>
      <c r="O235"/>
      <c r="P235" s="18"/>
      <c r="Q235" s="8"/>
      <c r="R235" s="8"/>
      <c r="S235" s="8"/>
      <c r="T235" s="8"/>
      <c r="U235" s="8"/>
      <c r="V235" s="8"/>
      <c r="W235" s="8"/>
      <c r="X235" s="8"/>
      <c r="Y235" s="8"/>
    </row>
    <row r="236" spans="5:25" ht="15" customHeight="1" x14ac:dyDescent="0.25">
      <c r="E236" s="15">
        <v>39841</v>
      </c>
      <c r="F236" s="13">
        <v>874.09</v>
      </c>
      <c r="G236" s="13">
        <v>348.67</v>
      </c>
      <c r="H236" s="17">
        <v>3.3340305925541269E-2</v>
      </c>
      <c r="I236" s="17">
        <v>5.1212477891873796E-2</v>
      </c>
      <c r="J236" s="13"/>
      <c r="K236" s="17"/>
      <c r="L236" s="17"/>
      <c r="M236" s="17"/>
      <c r="N236" s="17"/>
      <c r="O236"/>
      <c r="P236" s="18"/>
      <c r="Q236" s="8"/>
      <c r="R236" s="8"/>
      <c r="S236" s="8"/>
      <c r="T236" s="8"/>
      <c r="U236" s="8"/>
      <c r="V236" s="8"/>
      <c r="W236" s="8"/>
      <c r="X236" s="8"/>
      <c r="Y236" s="8"/>
    </row>
    <row r="237" spans="5:25" ht="15" customHeight="1" x14ac:dyDescent="0.25">
      <c r="E237" s="15">
        <v>39842</v>
      </c>
      <c r="F237" s="13">
        <v>845.14</v>
      </c>
      <c r="G237" s="13">
        <v>343.32</v>
      </c>
      <c r="H237" s="17">
        <v>-3.3337455813644848E-2</v>
      </c>
      <c r="I237" s="17">
        <v>-1.5989876003539891E-2</v>
      </c>
      <c r="J237" s="13"/>
      <c r="K237" s="17"/>
      <c r="L237" s="17"/>
      <c r="M237" s="17"/>
      <c r="N237" s="17"/>
      <c r="O237"/>
      <c r="P237" s="18"/>
      <c r="Q237" s="8"/>
      <c r="R237" s="8"/>
      <c r="S237" s="8"/>
      <c r="T237" s="8"/>
      <c r="U237" s="8"/>
      <c r="V237" s="8"/>
      <c r="W237" s="8"/>
      <c r="X237" s="8"/>
      <c r="Y237" s="8"/>
    </row>
    <row r="238" spans="5:25" ht="15" customHeight="1" x14ac:dyDescent="0.25">
      <c r="E238" s="15">
        <v>39843</v>
      </c>
      <c r="F238" s="13">
        <v>825.88</v>
      </c>
      <c r="G238" s="13">
        <v>338.53</v>
      </c>
      <c r="H238" s="17">
        <v>-2.3006420257791579E-2</v>
      </c>
      <c r="I238" s="17">
        <v>-1.4597852571718393E-2</v>
      </c>
      <c r="J238" s="13"/>
      <c r="K238" s="17"/>
      <c r="L238" s="17"/>
      <c r="M238" s="17"/>
      <c r="N238" s="17"/>
      <c r="O238"/>
      <c r="P238" s="18"/>
      <c r="Q238" s="8"/>
      <c r="R238" s="8"/>
      <c r="S238" s="8"/>
      <c r="T238" s="8"/>
      <c r="U238" s="8"/>
      <c r="V238" s="8"/>
      <c r="W238" s="8"/>
      <c r="X238" s="8"/>
      <c r="Y238" s="8"/>
    </row>
    <row r="239" spans="5:25" ht="15" customHeight="1" x14ac:dyDescent="0.25">
      <c r="E239" s="15">
        <v>39846</v>
      </c>
      <c r="F239" s="13">
        <v>825.44</v>
      </c>
      <c r="G239" s="13">
        <v>340.57</v>
      </c>
      <c r="H239" s="17">
        <v>-7.5006161292185281E-4</v>
      </c>
      <c r="I239" s="17">
        <v>5.3801993850632196E-3</v>
      </c>
      <c r="J239" s="13"/>
      <c r="K239" s="17"/>
      <c r="L239" s="17"/>
      <c r="M239" s="17"/>
      <c r="N239" s="17"/>
      <c r="O239"/>
      <c r="P239" s="18"/>
      <c r="Q239" s="8"/>
      <c r="R239" s="8"/>
      <c r="S239" s="8"/>
      <c r="T239" s="8"/>
      <c r="U239" s="8"/>
      <c r="V239" s="8"/>
      <c r="W239" s="8"/>
      <c r="X239" s="8"/>
      <c r="Y239" s="8"/>
    </row>
    <row r="240" spans="5:25" ht="15" customHeight="1" x14ac:dyDescent="0.25">
      <c r="E240" s="15">
        <v>39847</v>
      </c>
      <c r="F240" s="13">
        <v>838.51</v>
      </c>
      <c r="G240" s="13">
        <v>340.45</v>
      </c>
      <c r="H240" s="17">
        <v>1.5616682891073267E-2</v>
      </c>
      <c r="I240" s="17">
        <v>-9.9820490713721033E-4</v>
      </c>
      <c r="J240" s="13"/>
      <c r="K240" s="17"/>
      <c r="L240" s="17"/>
      <c r="M240" s="17"/>
      <c r="N240" s="17"/>
      <c r="O240"/>
      <c r="P240" s="18"/>
      <c r="Q240" s="8"/>
      <c r="R240" s="8"/>
      <c r="S240" s="8"/>
      <c r="T240" s="8"/>
      <c r="U240" s="8"/>
      <c r="V240" s="8"/>
      <c r="W240" s="8"/>
      <c r="X240" s="8"/>
      <c r="Y240" s="8"/>
    </row>
    <row r="241" spans="5:25" ht="15" customHeight="1" x14ac:dyDescent="0.25">
      <c r="E241" s="15">
        <v>39848</v>
      </c>
      <c r="F241" s="13">
        <v>832.23</v>
      </c>
      <c r="G241" s="13">
        <v>343</v>
      </c>
      <c r="H241" s="17">
        <v>-7.7067719412551609E-3</v>
      </c>
      <c r="I241" s="17">
        <v>6.8442322141535747E-3</v>
      </c>
      <c r="J241" s="13"/>
      <c r="K241" s="17"/>
      <c r="L241" s="17"/>
      <c r="M241" s="17"/>
      <c r="N241" s="17"/>
      <c r="O241"/>
      <c r="P241" s="18"/>
      <c r="Q241" s="8"/>
      <c r="R241" s="8"/>
      <c r="S241" s="8"/>
      <c r="T241" s="8"/>
      <c r="U241" s="8"/>
      <c r="V241" s="8"/>
      <c r="W241" s="8"/>
      <c r="X241" s="8"/>
      <c r="Y241" s="8"/>
    </row>
    <row r="242" spans="5:25" ht="15" customHeight="1" x14ac:dyDescent="0.25">
      <c r="E242" s="15">
        <v>39849</v>
      </c>
      <c r="F242" s="13">
        <v>845.85</v>
      </c>
      <c r="G242" s="13">
        <v>353.72</v>
      </c>
      <c r="H242" s="17">
        <v>1.614837158231431E-2</v>
      </c>
      <c r="I242" s="17">
        <v>3.0607789879000352E-2</v>
      </c>
      <c r="J242" s="13"/>
      <c r="K242" s="17"/>
      <c r="L242" s="17"/>
      <c r="M242" s="17"/>
      <c r="N242" s="17"/>
      <c r="O242"/>
      <c r="P242" s="18"/>
      <c r="Q242" s="8"/>
      <c r="R242" s="8"/>
      <c r="S242" s="8"/>
      <c r="T242" s="8"/>
      <c r="U242" s="8"/>
      <c r="V242" s="8"/>
      <c r="W242" s="8"/>
      <c r="X242" s="8"/>
      <c r="Y242" s="8"/>
    </row>
    <row r="243" spans="5:25" ht="15" customHeight="1" x14ac:dyDescent="0.25">
      <c r="E243" s="15">
        <v>39850</v>
      </c>
      <c r="F243" s="13">
        <v>868.6</v>
      </c>
      <c r="G243" s="13">
        <v>371.28</v>
      </c>
      <c r="H243" s="17">
        <v>2.6678725190956775E-2</v>
      </c>
      <c r="I243" s="17">
        <v>4.8997931609591233E-2</v>
      </c>
      <c r="J243" s="13"/>
      <c r="K243" s="17"/>
      <c r="L243" s="17"/>
      <c r="M243" s="17"/>
      <c r="N243" s="17"/>
      <c r="O243"/>
      <c r="P243" s="18"/>
      <c r="Q243" s="8"/>
      <c r="R243" s="8"/>
      <c r="S243" s="8"/>
      <c r="T243" s="8"/>
      <c r="U243" s="8"/>
      <c r="V243" s="8"/>
      <c r="W243" s="8"/>
      <c r="X243" s="8"/>
      <c r="Y243" s="8"/>
    </row>
    <row r="244" spans="5:25" ht="15" customHeight="1" x14ac:dyDescent="0.25">
      <c r="E244" s="15">
        <v>39853</v>
      </c>
      <c r="F244" s="13">
        <v>869.89</v>
      </c>
      <c r="G244" s="13">
        <v>378.77</v>
      </c>
      <c r="H244" s="17">
        <v>1.2678519525423121E-3</v>
      </c>
      <c r="I244" s="17">
        <v>1.9527599561114956E-2</v>
      </c>
      <c r="J244" s="13"/>
      <c r="K244" s="17"/>
      <c r="L244" s="17"/>
      <c r="M244" s="17"/>
      <c r="N244" s="17"/>
      <c r="O244"/>
      <c r="P244" s="18"/>
      <c r="Q244" s="8"/>
      <c r="R244" s="8"/>
      <c r="S244" s="8"/>
      <c r="T244" s="8"/>
      <c r="U244" s="8"/>
      <c r="V244" s="8"/>
      <c r="W244" s="8"/>
      <c r="X244" s="8"/>
      <c r="Y244" s="8"/>
    </row>
    <row r="245" spans="5:25" ht="15" customHeight="1" x14ac:dyDescent="0.25">
      <c r="E245" s="15">
        <v>39854</v>
      </c>
      <c r="F245" s="13">
        <v>827.16</v>
      </c>
      <c r="G245" s="13">
        <v>358.51</v>
      </c>
      <c r="H245" s="17">
        <v>-4.9338449811570581E-2</v>
      </c>
      <c r="I245" s="17">
        <v>-5.4134779113113228E-2</v>
      </c>
      <c r="J245" s="13"/>
      <c r="K245" s="17"/>
      <c r="L245" s="17"/>
      <c r="M245" s="17"/>
      <c r="N245" s="17"/>
      <c r="O245"/>
      <c r="P245" s="18"/>
      <c r="Q245" s="8"/>
      <c r="R245" s="8"/>
      <c r="S245" s="8"/>
      <c r="T245" s="8"/>
      <c r="U245" s="8"/>
      <c r="V245" s="8"/>
      <c r="W245" s="8"/>
      <c r="X245" s="8"/>
      <c r="Y245" s="8"/>
    </row>
    <row r="246" spans="5:25" ht="15" customHeight="1" x14ac:dyDescent="0.25">
      <c r="E246" s="15">
        <v>39855</v>
      </c>
      <c r="F246" s="13">
        <v>833.74</v>
      </c>
      <c r="G246" s="13">
        <v>358.04</v>
      </c>
      <c r="H246" s="17">
        <v>7.7376335600371693E-3</v>
      </c>
      <c r="I246" s="17">
        <v>-1.9568359984469047E-3</v>
      </c>
      <c r="J246" s="13"/>
      <c r="K246" s="17"/>
      <c r="L246" s="17"/>
      <c r="M246" s="17"/>
      <c r="N246" s="17"/>
      <c r="O246"/>
      <c r="P246" s="18"/>
      <c r="Q246" s="8"/>
      <c r="R246" s="8"/>
      <c r="S246" s="8"/>
      <c r="T246" s="8"/>
      <c r="U246" s="8"/>
      <c r="V246" s="8"/>
      <c r="W246" s="8"/>
      <c r="X246" s="8"/>
      <c r="Y246" s="8"/>
    </row>
    <row r="247" spans="5:25" ht="15" customHeight="1" x14ac:dyDescent="0.25">
      <c r="E247" s="15">
        <v>39856</v>
      </c>
      <c r="F247" s="13">
        <v>835.19</v>
      </c>
      <c r="G247" s="13">
        <v>363.05</v>
      </c>
      <c r="H247" s="17">
        <v>1.5218547318592728E-3</v>
      </c>
      <c r="I247" s="17">
        <v>1.334699552502977E-2</v>
      </c>
      <c r="J247" s="13"/>
      <c r="K247" s="17"/>
      <c r="L247" s="17"/>
      <c r="M247" s="17"/>
      <c r="N247" s="17"/>
      <c r="O247"/>
      <c r="P247" s="18"/>
      <c r="Q247" s="8"/>
      <c r="R247" s="8"/>
      <c r="S247" s="8"/>
      <c r="T247" s="8"/>
      <c r="U247" s="8"/>
      <c r="V247" s="8"/>
      <c r="W247" s="8"/>
      <c r="X247" s="8"/>
      <c r="Y247" s="8"/>
    </row>
    <row r="248" spans="5:25" ht="15" customHeight="1" x14ac:dyDescent="0.25">
      <c r="E248" s="15">
        <v>39857</v>
      </c>
      <c r="F248" s="13">
        <v>826.84</v>
      </c>
      <c r="G248" s="13">
        <v>357.68</v>
      </c>
      <c r="H248" s="17">
        <v>-1.0215021630856452E-2</v>
      </c>
      <c r="I248" s="17">
        <v>-1.5437205489442342E-2</v>
      </c>
      <c r="J248" s="13"/>
      <c r="K248" s="17"/>
      <c r="L248" s="17"/>
      <c r="M248" s="17"/>
      <c r="N248" s="17"/>
      <c r="O248"/>
      <c r="P248" s="18"/>
      <c r="Q248" s="8"/>
      <c r="R248" s="8"/>
      <c r="S248" s="8"/>
      <c r="T248" s="8"/>
      <c r="U248" s="8"/>
      <c r="V248" s="8"/>
      <c r="W248" s="8"/>
      <c r="X248" s="8"/>
      <c r="Y248" s="8"/>
    </row>
    <row r="249" spans="5:25" ht="15" customHeight="1" x14ac:dyDescent="0.25">
      <c r="E249" s="15">
        <v>39861</v>
      </c>
      <c r="F249" s="13">
        <v>789.17</v>
      </c>
      <c r="G249" s="13">
        <v>342.66</v>
      </c>
      <c r="H249" s="17">
        <v>-4.5776292256760338E-2</v>
      </c>
      <c r="I249" s="17">
        <v>-4.2638697200350677E-2</v>
      </c>
      <c r="J249" s="13"/>
      <c r="K249" s="17"/>
      <c r="L249" s="17"/>
      <c r="M249" s="17"/>
      <c r="N249" s="17"/>
      <c r="O249"/>
      <c r="P249" s="18"/>
      <c r="Q249" s="8"/>
      <c r="R249" s="8"/>
      <c r="S249" s="8"/>
      <c r="T249" s="8"/>
      <c r="U249" s="8"/>
      <c r="V249" s="8"/>
      <c r="W249" s="8"/>
      <c r="X249" s="8"/>
      <c r="Y249" s="8"/>
    </row>
    <row r="250" spans="5:25" ht="15" customHeight="1" x14ac:dyDescent="0.25">
      <c r="E250" s="15">
        <v>39862</v>
      </c>
      <c r="F250" s="13">
        <v>788.42</v>
      </c>
      <c r="G250" s="13">
        <v>353.11</v>
      </c>
      <c r="H250" s="17">
        <v>-1.167662136266622E-3</v>
      </c>
      <c r="I250" s="17">
        <v>2.9850847834603737E-2</v>
      </c>
      <c r="J250" s="13"/>
      <c r="K250" s="17"/>
      <c r="L250" s="17"/>
      <c r="M250" s="17"/>
      <c r="N250" s="17"/>
      <c r="O250"/>
      <c r="P250" s="18"/>
      <c r="Q250" s="8"/>
      <c r="R250" s="8"/>
      <c r="S250" s="8"/>
      <c r="T250" s="8"/>
      <c r="U250" s="8"/>
      <c r="V250" s="8"/>
      <c r="W250" s="8"/>
      <c r="X250" s="8"/>
      <c r="Y250" s="8"/>
    </row>
    <row r="251" spans="5:25" ht="15" customHeight="1" x14ac:dyDescent="0.25">
      <c r="E251" s="15">
        <v>39863</v>
      </c>
      <c r="F251" s="13">
        <v>778.94</v>
      </c>
      <c r="G251" s="13">
        <v>342.64</v>
      </c>
      <c r="H251" s="17">
        <v>-1.2241344658501558E-2</v>
      </c>
      <c r="I251" s="17">
        <v>-3.0296671461724423E-2</v>
      </c>
      <c r="J251" s="13"/>
      <c r="K251" s="17"/>
      <c r="L251" s="17"/>
      <c r="M251" s="17"/>
      <c r="N251" s="17"/>
      <c r="O251"/>
      <c r="P251" s="18"/>
      <c r="Q251" s="8"/>
      <c r="R251" s="8"/>
      <c r="S251" s="8"/>
      <c r="T251" s="8"/>
      <c r="U251" s="8"/>
      <c r="V251" s="8"/>
      <c r="W251" s="8"/>
      <c r="X251" s="8"/>
      <c r="Y251" s="8"/>
    </row>
    <row r="252" spans="5:25" ht="15" customHeight="1" x14ac:dyDescent="0.25">
      <c r="E252" s="15">
        <v>39864</v>
      </c>
      <c r="F252" s="13">
        <v>770.05</v>
      </c>
      <c r="G252" s="13">
        <v>346.45</v>
      </c>
      <c r="H252" s="17">
        <v>-1.1630242360445102E-2</v>
      </c>
      <c r="I252" s="17">
        <v>1.047368794097021E-2</v>
      </c>
      <c r="J252" s="13"/>
      <c r="K252" s="17"/>
      <c r="L252" s="17"/>
      <c r="M252" s="17"/>
      <c r="N252" s="17"/>
      <c r="O252"/>
      <c r="P252" s="18"/>
      <c r="Q252" s="8"/>
      <c r="R252" s="8"/>
      <c r="S252" s="8"/>
      <c r="T252" s="8"/>
      <c r="U252" s="8"/>
      <c r="V252" s="8"/>
      <c r="W252" s="8"/>
      <c r="X252" s="8"/>
      <c r="Y252" s="8"/>
    </row>
    <row r="253" spans="5:25" ht="15" customHeight="1" x14ac:dyDescent="0.25">
      <c r="E253" s="15">
        <v>39867</v>
      </c>
      <c r="F253" s="13">
        <v>743.33</v>
      </c>
      <c r="G253" s="13">
        <v>330.06</v>
      </c>
      <c r="H253" s="17">
        <v>-3.4916342078834081E-2</v>
      </c>
      <c r="I253" s="17">
        <v>-4.7954268348409948E-2</v>
      </c>
      <c r="J253" s="13"/>
      <c r="K253" s="17"/>
      <c r="L253" s="17"/>
      <c r="M253" s="17"/>
      <c r="N253" s="17"/>
      <c r="O253"/>
      <c r="P253" s="18"/>
      <c r="Q253" s="8"/>
      <c r="R253" s="8"/>
      <c r="S253" s="8"/>
      <c r="T253" s="8"/>
      <c r="U253" s="8"/>
      <c r="V253" s="8"/>
      <c r="W253" s="8"/>
      <c r="X253" s="8"/>
      <c r="Y253" s="8"/>
    </row>
    <row r="254" spans="5:25" ht="15" customHeight="1" x14ac:dyDescent="0.25">
      <c r="E254" s="15">
        <v>39868</v>
      </c>
      <c r="F254" s="13">
        <v>773.14</v>
      </c>
      <c r="G254" s="13">
        <v>345.45</v>
      </c>
      <c r="H254" s="17">
        <v>3.9886022286654277E-2</v>
      </c>
      <c r="I254" s="17">
        <v>4.5982031403069924E-2</v>
      </c>
      <c r="J254" s="13"/>
      <c r="K254" s="17"/>
      <c r="L254" s="17"/>
      <c r="M254" s="17"/>
      <c r="N254" s="17"/>
      <c r="O254"/>
      <c r="P254" s="18"/>
      <c r="Q254" s="8"/>
      <c r="R254" s="8"/>
      <c r="S254" s="8"/>
      <c r="T254" s="8"/>
      <c r="U254" s="8"/>
      <c r="V254" s="8"/>
      <c r="W254" s="8"/>
      <c r="X254" s="8"/>
      <c r="Y254" s="8"/>
    </row>
    <row r="255" spans="5:25" ht="15" customHeight="1" x14ac:dyDescent="0.25">
      <c r="E255" s="15">
        <v>39869</v>
      </c>
      <c r="F255" s="13">
        <v>764.9</v>
      </c>
      <c r="G255" s="13">
        <v>341.64</v>
      </c>
      <c r="H255" s="17">
        <v>-1.0875133435320528E-2</v>
      </c>
      <c r="I255" s="17">
        <v>-1.1674946923927509E-2</v>
      </c>
      <c r="J255" s="13"/>
      <c r="K255" s="17"/>
      <c r="L255" s="17"/>
      <c r="M255" s="17"/>
      <c r="N255" s="17"/>
      <c r="O255"/>
      <c r="P255" s="18"/>
      <c r="Q255" s="8"/>
      <c r="R255" s="8"/>
      <c r="S255" s="8"/>
      <c r="T255" s="8"/>
      <c r="U255" s="8"/>
      <c r="V255" s="8"/>
      <c r="W255" s="8"/>
      <c r="X255" s="8"/>
      <c r="Y255" s="8"/>
    </row>
    <row r="256" spans="5:25" ht="15" customHeight="1" x14ac:dyDescent="0.25">
      <c r="E256" s="15">
        <v>39870</v>
      </c>
      <c r="F256" s="13">
        <v>752.83</v>
      </c>
      <c r="G256" s="13">
        <v>337.18</v>
      </c>
      <c r="H256" s="17">
        <v>-1.5997137064335584E-2</v>
      </c>
      <c r="I256" s="17">
        <v>-1.3700531874107538E-2</v>
      </c>
      <c r="J256" s="13"/>
      <c r="K256" s="17"/>
      <c r="L256" s="17"/>
      <c r="M256" s="17"/>
      <c r="N256" s="17"/>
      <c r="O256"/>
      <c r="P256" s="18"/>
      <c r="Q256" s="8"/>
      <c r="R256" s="8"/>
      <c r="S256" s="8"/>
      <c r="T256" s="8"/>
      <c r="U256" s="8"/>
      <c r="V256" s="8"/>
      <c r="W256" s="8"/>
      <c r="X256" s="8"/>
      <c r="Y256" s="8"/>
    </row>
    <row r="257" spans="5:25" ht="15" customHeight="1" x14ac:dyDescent="0.25">
      <c r="E257" s="15">
        <v>39871</v>
      </c>
      <c r="F257" s="13">
        <v>735.09</v>
      </c>
      <c r="G257" s="13">
        <v>337.99</v>
      </c>
      <c r="H257" s="17">
        <v>-2.3781713495747002E-2</v>
      </c>
      <c r="I257" s="17">
        <v>1.7564232792985181E-3</v>
      </c>
      <c r="J257" s="13"/>
      <c r="K257" s="17"/>
      <c r="L257" s="17"/>
      <c r="M257" s="17"/>
      <c r="N257" s="17"/>
      <c r="O257"/>
      <c r="P257"/>
      <c r="Q257" s="8"/>
      <c r="R257" s="8"/>
      <c r="S257" s="8"/>
      <c r="T257" s="8"/>
      <c r="U257" s="8"/>
      <c r="V257" s="8"/>
      <c r="W257" s="8"/>
      <c r="X257" s="8"/>
      <c r="Y257" s="8"/>
    </row>
    <row r="258" spans="5:25" ht="15" customHeight="1" x14ac:dyDescent="0.25">
      <c r="E258" s="15">
        <v>39874</v>
      </c>
      <c r="F258" s="13">
        <v>700.82</v>
      </c>
      <c r="G258" s="13">
        <v>327.16000000000003</v>
      </c>
      <c r="H258" s="17">
        <v>-4.6837438313659351E-2</v>
      </c>
      <c r="I258" s="17">
        <v>-3.2688222553268378E-2</v>
      </c>
      <c r="J258" s="13"/>
      <c r="K258" s="17"/>
      <c r="L258" s="17"/>
      <c r="M258" s="17"/>
      <c r="N258" s="17"/>
      <c r="O258"/>
      <c r="P258"/>
      <c r="Q258" s="8"/>
      <c r="R258" s="8"/>
      <c r="S258" s="8"/>
      <c r="T258" s="8"/>
      <c r="U258" s="8"/>
      <c r="V258" s="8"/>
      <c r="W258" s="8"/>
      <c r="X258" s="8"/>
      <c r="Y258" s="8"/>
    </row>
    <row r="259" spans="5:25" ht="15" customHeight="1" x14ac:dyDescent="0.25">
      <c r="E259" s="15">
        <v>39875</v>
      </c>
      <c r="F259" s="13">
        <v>696.33</v>
      </c>
      <c r="G259" s="13">
        <v>325.48</v>
      </c>
      <c r="H259" s="17">
        <v>-6.624077190715897E-3</v>
      </c>
      <c r="I259" s="17">
        <v>-5.7809565265885925E-3</v>
      </c>
      <c r="J259" s="13"/>
      <c r="K259" s="17"/>
      <c r="L259" s="17"/>
      <c r="M259" s="17"/>
      <c r="N259" s="17"/>
      <c r="O259"/>
      <c r="P259"/>
      <c r="Q259" s="8"/>
      <c r="R259" s="8"/>
      <c r="S259" s="8"/>
      <c r="T259" s="8"/>
      <c r="U259" s="8"/>
      <c r="V259" s="8"/>
      <c r="W259" s="8"/>
      <c r="X259" s="8"/>
      <c r="Y259" s="8"/>
    </row>
    <row r="260" spans="5:25" ht="15" customHeight="1" x14ac:dyDescent="0.25">
      <c r="E260" s="15">
        <v>39876</v>
      </c>
      <c r="F260" s="13">
        <v>712.87</v>
      </c>
      <c r="G260" s="13">
        <v>318.92</v>
      </c>
      <c r="H260" s="17">
        <v>2.3535809005453236E-2</v>
      </c>
      <c r="I260" s="17">
        <v>-2.0800702660029695E-2</v>
      </c>
      <c r="J260" s="13"/>
      <c r="K260" s="17"/>
      <c r="L260" s="17"/>
      <c r="M260" s="17"/>
      <c r="N260" s="17"/>
      <c r="O260"/>
      <c r="P260"/>
      <c r="Q260" s="8"/>
      <c r="R260" s="8"/>
      <c r="S260" s="8"/>
      <c r="T260" s="8"/>
      <c r="U260" s="8"/>
      <c r="V260" s="8"/>
      <c r="W260" s="8"/>
      <c r="X260" s="8"/>
      <c r="Y260" s="8"/>
    </row>
    <row r="261" spans="5:25" ht="15" customHeight="1" x14ac:dyDescent="0.25">
      <c r="E261" s="15">
        <v>39877</v>
      </c>
      <c r="F261" s="13">
        <v>682.55</v>
      </c>
      <c r="G261" s="13">
        <v>305.64</v>
      </c>
      <c r="H261" s="17">
        <v>-4.2749595578960173E-2</v>
      </c>
      <c r="I261" s="17">
        <v>-4.2286391247608079E-2</v>
      </c>
      <c r="J261" s="13"/>
      <c r="K261" s="17"/>
      <c r="L261" s="17"/>
      <c r="M261" s="17"/>
      <c r="N261" s="17"/>
      <c r="O261"/>
      <c r="P261"/>
      <c r="Q261" s="8"/>
      <c r="R261" s="8"/>
      <c r="S261" s="8"/>
      <c r="T261" s="8"/>
      <c r="U261" s="8"/>
      <c r="V261" s="8"/>
      <c r="W261" s="8"/>
      <c r="X261" s="8"/>
      <c r="Y261" s="8"/>
    </row>
    <row r="262" spans="5:25" ht="15" customHeight="1" x14ac:dyDescent="0.25">
      <c r="E262" s="15">
        <v>39878</v>
      </c>
      <c r="F262" s="13">
        <v>683.38</v>
      </c>
      <c r="G262" s="13">
        <v>308.57</v>
      </c>
      <c r="H262" s="17">
        <v>9.9873156749816726E-4</v>
      </c>
      <c r="I262" s="17">
        <v>8.9405871293716972E-3</v>
      </c>
      <c r="J262" s="13"/>
      <c r="K262" s="17"/>
      <c r="L262" s="17"/>
      <c r="M262" s="17"/>
      <c r="N262" s="17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</row>
    <row r="263" spans="5:25" ht="15" customHeight="1" x14ac:dyDescent="0.25">
      <c r="E263" s="15">
        <v>39881</v>
      </c>
      <c r="F263" s="13">
        <v>676.53</v>
      </c>
      <c r="G263" s="13">
        <v>290.89</v>
      </c>
      <c r="H263" s="17">
        <v>-1.0241002260456617E-2</v>
      </c>
      <c r="I263" s="17">
        <v>-5.7942415994023819E-2</v>
      </c>
      <c r="J263" s="13"/>
      <c r="K263" s="17"/>
      <c r="L263" s="17"/>
      <c r="M263" s="17"/>
      <c r="N263" s="17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</row>
    <row r="264" spans="5:25" ht="15" customHeight="1" x14ac:dyDescent="0.25">
      <c r="E264" s="15">
        <v>39882</v>
      </c>
      <c r="F264" s="13">
        <v>719.6</v>
      </c>
      <c r="G264" s="13">
        <v>308.17</v>
      </c>
      <c r="H264" s="17">
        <v>6.3445807808524352E-2</v>
      </c>
      <c r="I264" s="17">
        <v>5.8758043944962791E-2</v>
      </c>
      <c r="J264" s="13"/>
      <c r="K264" s="17"/>
      <c r="L264" s="17"/>
      <c r="M264" s="17"/>
      <c r="N264" s="17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</row>
    <row r="265" spans="5:25" ht="15" customHeight="1" x14ac:dyDescent="0.25">
      <c r="E265" s="15">
        <v>39883</v>
      </c>
      <c r="F265" s="13">
        <v>721.36</v>
      </c>
      <c r="G265" s="13">
        <v>317.91000000000003</v>
      </c>
      <c r="H265" s="17">
        <v>2.2285066617041679E-3</v>
      </c>
      <c r="I265" s="17">
        <v>3.0960077355026181E-2</v>
      </c>
      <c r="J265" s="13"/>
      <c r="K265" s="17"/>
      <c r="L265" s="17"/>
      <c r="M265" s="17"/>
      <c r="N265" s="17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</row>
    <row r="266" spans="5:25" ht="15" customHeight="1" x14ac:dyDescent="0.25">
      <c r="E266" s="15">
        <v>39884</v>
      </c>
      <c r="F266" s="13">
        <v>750.74</v>
      </c>
      <c r="G266" s="13">
        <v>323.52999999999997</v>
      </c>
      <c r="H266" s="17">
        <v>4.0511327148459383E-2</v>
      </c>
      <c r="I266" s="17">
        <v>1.703210473496606E-2</v>
      </c>
      <c r="J266" s="13"/>
      <c r="K266" s="17"/>
      <c r="L266" s="17"/>
      <c r="M266" s="17"/>
      <c r="N266" s="17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</row>
    <row r="267" spans="5:25" ht="15" customHeight="1" x14ac:dyDescent="0.25">
      <c r="E267" s="15">
        <v>39885</v>
      </c>
      <c r="F267" s="13">
        <v>756.55</v>
      </c>
      <c r="G267" s="13">
        <v>324.42</v>
      </c>
      <c r="H267" s="17">
        <v>7.5217342606122119E-3</v>
      </c>
      <c r="I267" s="17">
        <v>2.1050496533968374E-3</v>
      </c>
      <c r="J267" s="13"/>
      <c r="K267" s="17"/>
      <c r="L267" s="17"/>
      <c r="M267" s="17"/>
      <c r="N267" s="17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</row>
    <row r="268" spans="5:25" ht="15" customHeight="1" x14ac:dyDescent="0.25">
      <c r="E268" s="15">
        <v>39888</v>
      </c>
      <c r="F268" s="13">
        <v>753.89</v>
      </c>
      <c r="G268" s="13">
        <v>319.69</v>
      </c>
      <c r="H268" s="17">
        <v>-3.7332571729760161E-3</v>
      </c>
      <c r="I268" s="17">
        <v>-1.5225720042181258E-2</v>
      </c>
      <c r="J268" s="13"/>
      <c r="K268" s="17"/>
      <c r="L268" s="17"/>
      <c r="M268" s="17"/>
      <c r="N268" s="17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</row>
    <row r="269" spans="5:25" ht="15" customHeight="1" x14ac:dyDescent="0.25">
      <c r="E269" s="15">
        <v>39889</v>
      </c>
      <c r="F269" s="13">
        <v>778.12</v>
      </c>
      <c r="G269" s="13">
        <v>335.34</v>
      </c>
      <c r="H269" s="17">
        <v>3.1922670806935671E-2</v>
      </c>
      <c r="I269" s="17">
        <v>4.8307819435694621E-2</v>
      </c>
      <c r="J269" s="13"/>
      <c r="K269" s="17"/>
      <c r="L269" s="17"/>
      <c r="M269" s="17"/>
      <c r="N269" s="17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</row>
    <row r="270" spans="5:25" ht="15" customHeight="1" x14ac:dyDescent="0.25">
      <c r="E270" s="15">
        <v>39890</v>
      </c>
      <c r="F270" s="13">
        <v>794.35</v>
      </c>
      <c r="G270" s="13">
        <v>333.1</v>
      </c>
      <c r="H270" s="17">
        <v>2.0640668790078632E-2</v>
      </c>
      <c r="I270" s="17">
        <v>-7.3256421140458277E-3</v>
      </c>
      <c r="J270" s="13"/>
      <c r="K270" s="17"/>
      <c r="L270" s="17"/>
      <c r="M270" s="17"/>
      <c r="N270" s="17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</row>
    <row r="271" spans="5:25" ht="15" customHeight="1" x14ac:dyDescent="0.25">
      <c r="E271" s="15">
        <v>39891</v>
      </c>
      <c r="F271" s="13">
        <v>784.04</v>
      </c>
      <c r="G271" s="13">
        <v>329.94</v>
      </c>
      <c r="H271" s="17">
        <v>-1.3196461917631134E-2</v>
      </c>
      <c r="I271" s="17">
        <v>-1.0132495084322372E-2</v>
      </c>
      <c r="J271" s="13"/>
      <c r="K271" s="17"/>
      <c r="L271" s="17"/>
      <c r="M271" s="17"/>
      <c r="N271" s="17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</row>
    <row r="272" spans="5:25" ht="15" customHeight="1" x14ac:dyDescent="0.25">
      <c r="E272" s="15">
        <v>39892</v>
      </c>
      <c r="F272" s="13">
        <v>768.54</v>
      </c>
      <c r="G272" s="13">
        <v>330.16</v>
      </c>
      <c r="H272" s="17">
        <v>-1.9986696082741805E-2</v>
      </c>
      <c r="I272" s="17">
        <v>2.0933464961999025E-5</v>
      </c>
      <c r="J272" s="13"/>
      <c r="K272" s="17"/>
      <c r="L272" s="17"/>
      <c r="M272" s="17"/>
      <c r="N272" s="17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</row>
    <row r="273" spans="5:25" ht="15" customHeight="1" x14ac:dyDescent="0.25">
      <c r="E273" s="15">
        <v>39895</v>
      </c>
      <c r="F273" s="13">
        <v>822.92</v>
      </c>
      <c r="G273" s="13">
        <v>348.6</v>
      </c>
      <c r="H273" s="17">
        <v>7.0540243708854339E-2</v>
      </c>
      <c r="I273" s="17">
        <v>5.5205853826792071E-2</v>
      </c>
      <c r="J273" s="13"/>
      <c r="K273" s="17"/>
      <c r="L273" s="17"/>
      <c r="M273" s="17"/>
      <c r="N273" s="17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</row>
    <row r="274" spans="5:25" ht="15" customHeight="1" x14ac:dyDescent="0.25">
      <c r="E274" s="15">
        <v>39896</v>
      </c>
      <c r="F274" s="13">
        <v>806.12</v>
      </c>
      <c r="G274" s="13">
        <v>347.17</v>
      </c>
      <c r="H274" s="17">
        <v>-2.0632403741621865E-2</v>
      </c>
      <c r="I274" s="17">
        <v>-4.7479772126900266E-3</v>
      </c>
      <c r="J274" s="13"/>
      <c r="K274" s="17"/>
      <c r="L274" s="17"/>
      <c r="M274" s="17"/>
      <c r="N274" s="17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</row>
    <row r="275" spans="5:25" ht="15" customHeight="1" x14ac:dyDescent="0.25">
      <c r="E275" s="15">
        <v>39897</v>
      </c>
      <c r="F275" s="13">
        <v>813.88</v>
      </c>
      <c r="G275" s="13">
        <v>344.07</v>
      </c>
      <c r="H275" s="17">
        <v>9.4090617962478661E-3</v>
      </c>
      <c r="I275" s="17">
        <v>-9.575197409051623E-3</v>
      </c>
      <c r="J275" s="13"/>
      <c r="K275" s="17"/>
      <c r="L275" s="17"/>
      <c r="M275" s="17"/>
      <c r="N275" s="17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</row>
    <row r="276" spans="5:25" ht="15" customHeight="1" x14ac:dyDescent="0.25">
      <c r="E276" s="15">
        <v>39898</v>
      </c>
      <c r="F276" s="13">
        <v>832.86</v>
      </c>
      <c r="G276" s="13">
        <v>353.29</v>
      </c>
      <c r="H276" s="17">
        <v>2.3103094650154584E-2</v>
      </c>
      <c r="I276" s="17">
        <v>2.6151018293518007E-2</v>
      </c>
      <c r="J276" s="13"/>
      <c r="K276" s="17"/>
      <c r="L276" s="17"/>
      <c r="M276" s="17"/>
      <c r="N276" s="17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</row>
    <row r="277" spans="5:25" ht="15" customHeight="1" x14ac:dyDescent="0.25">
      <c r="E277" s="15">
        <v>39899</v>
      </c>
      <c r="F277" s="13">
        <v>815.94</v>
      </c>
      <c r="G277" s="13">
        <v>347.7</v>
      </c>
      <c r="H277" s="17">
        <v>-2.05328357885897E-2</v>
      </c>
      <c r="I277" s="17">
        <v>-1.6468549672076671E-2</v>
      </c>
      <c r="J277" s="13"/>
      <c r="K277" s="17"/>
      <c r="L277" s="17"/>
      <c r="M277" s="17"/>
      <c r="N277" s="17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</row>
    <row r="278" spans="5:25" ht="15" customHeight="1" x14ac:dyDescent="0.25">
      <c r="E278" s="15">
        <v>39902</v>
      </c>
      <c r="F278" s="13">
        <v>787.53</v>
      </c>
      <c r="G278" s="13">
        <v>342.69</v>
      </c>
      <c r="H278" s="17">
        <v>-3.5036033234123277E-2</v>
      </c>
      <c r="I278" s="17">
        <v>-1.5054827688672598E-2</v>
      </c>
      <c r="J278" s="13"/>
      <c r="K278" s="17"/>
      <c r="L278" s="17"/>
      <c r="M278" s="17"/>
      <c r="N278" s="17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</row>
    <row r="279" spans="5:25" ht="15" customHeight="1" x14ac:dyDescent="0.25">
      <c r="E279" s="15">
        <v>39903</v>
      </c>
      <c r="F279" s="13">
        <v>797.87</v>
      </c>
      <c r="G279" s="13">
        <v>348.06</v>
      </c>
      <c r="H279" s="17">
        <v>1.2912361990380884E-2</v>
      </c>
      <c r="I279" s="17">
        <v>1.5024284756988063E-2</v>
      </c>
      <c r="J279" s="13"/>
      <c r="K279" s="17"/>
      <c r="L279" s="17"/>
      <c r="M279" s="17"/>
      <c r="N279" s="17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</row>
    <row r="280" spans="5:25" ht="15" customHeight="1" x14ac:dyDescent="0.25">
      <c r="E280" s="15">
        <v>39904</v>
      </c>
      <c r="F280" s="13">
        <v>811.08</v>
      </c>
      <c r="G280" s="13">
        <v>354.09</v>
      </c>
      <c r="H280" s="17">
        <v>1.6339285336997734E-2</v>
      </c>
      <c r="I280" s="17">
        <v>1.6678744771164818E-2</v>
      </c>
      <c r="J280" s="13"/>
      <c r="K280" s="17"/>
      <c r="L280" s="17"/>
      <c r="M280" s="17"/>
      <c r="N280" s="17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</row>
    <row r="281" spans="5:25" ht="15" customHeight="1" x14ac:dyDescent="0.25">
      <c r="E281" s="15">
        <v>39905</v>
      </c>
      <c r="F281" s="13">
        <v>834.38</v>
      </c>
      <c r="G281" s="13">
        <v>362.5</v>
      </c>
      <c r="H281" s="17">
        <v>2.8509832697443255E-2</v>
      </c>
      <c r="I281" s="17">
        <v>2.3105169315155296E-2</v>
      </c>
      <c r="J281" s="13"/>
      <c r="K281" s="17"/>
      <c r="L281" s="17"/>
      <c r="M281" s="17"/>
      <c r="N281" s="17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</row>
    <row r="282" spans="5:25" ht="15" customHeight="1" x14ac:dyDescent="0.25">
      <c r="E282" s="15">
        <v>39906</v>
      </c>
      <c r="F282" s="13">
        <v>842.5</v>
      </c>
      <c r="G282" s="13">
        <v>369.78</v>
      </c>
      <c r="H282" s="17">
        <v>9.514480325919214E-3</v>
      </c>
      <c r="I282" s="17">
        <v>1.9436904184821201E-2</v>
      </c>
      <c r="J282" s="13"/>
      <c r="K282" s="17"/>
      <c r="L282" s="17"/>
      <c r="M282" s="17"/>
      <c r="N282" s="17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</row>
    <row r="283" spans="5:25" ht="15" customHeight="1" x14ac:dyDescent="0.25">
      <c r="E283" s="15">
        <v>39909</v>
      </c>
      <c r="F283" s="13">
        <v>835.48</v>
      </c>
      <c r="G283" s="13">
        <v>368.24</v>
      </c>
      <c r="H283" s="17">
        <v>-8.5496407759590252E-3</v>
      </c>
      <c r="I283" s="17">
        <v>-4.8104928695317144E-3</v>
      </c>
      <c r="J283" s="13"/>
      <c r="K283" s="17"/>
      <c r="L283" s="17"/>
      <c r="M283" s="17"/>
      <c r="N283" s="17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</row>
    <row r="284" spans="5:25" ht="15" customHeight="1" x14ac:dyDescent="0.25">
      <c r="E284" s="15">
        <v>39910</v>
      </c>
      <c r="F284" s="13">
        <v>815.55</v>
      </c>
      <c r="G284" s="13">
        <v>358.65</v>
      </c>
      <c r="H284" s="17">
        <v>-2.4071847239764053E-2</v>
      </c>
      <c r="I284" s="17">
        <v>-2.6688652610971648E-2</v>
      </c>
      <c r="J284" s="13"/>
      <c r="K284" s="17"/>
      <c r="L284" s="17"/>
      <c r="M284" s="17"/>
      <c r="N284" s="17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</row>
    <row r="285" spans="5:25" ht="15" customHeight="1" x14ac:dyDescent="0.25">
      <c r="E285" s="15">
        <v>39911</v>
      </c>
      <c r="F285" s="13">
        <v>825.16</v>
      </c>
      <c r="G285" s="13">
        <v>362</v>
      </c>
      <c r="H285" s="17">
        <v>1.1566162453079214E-2</v>
      </c>
      <c r="I285" s="17">
        <v>8.6947283049652272E-3</v>
      </c>
      <c r="J285" s="13"/>
      <c r="K285" s="17"/>
      <c r="L285" s="17"/>
      <c r="M285" s="17"/>
      <c r="N285" s="17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</row>
    <row r="286" spans="5:25" ht="15" customHeight="1" x14ac:dyDescent="0.25">
      <c r="E286" s="15">
        <v>39912</v>
      </c>
      <c r="F286" s="13">
        <v>856.56</v>
      </c>
      <c r="G286" s="13">
        <v>372.5</v>
      </c>
      <c r="H286" s="17">
        <v>3.7835929478701062E-2</v>
      </c>
      <c r="I286" s="17">
        <v>2.8359670426010002E-2</v>
      </c>
      <c r="J286" s="13"/>
      <c r="K286" s="17"/>
      <c r="L286" s="17"/>
      <c r="M286" s="17"/>
      <c r="N286" s="17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</row>
    <row r="287" spans="5:25" ht="15" customHeight="1" x14ac:dyDescent="0.25">
      <c r="E287" s="15">
        <v>39916</v>
      </c>
      <c r="F287" s="13">
        <v>858.73</v>
      </c>
      <c r="G287" s="13">
        <v>378.11</v>
      </c>
      <c r="H287" s="17">
        <v>2.3160928091300725E-3</v>
      </c>
      <c r="I287" s="17">
        <v>1.4414548248695301E-2</v>
      </c>
      <c r="J287" s="13"/>
      <c r="K287" s="17"/>
      <c r="L287" s="17"/>
      <c r="M287" s="17"/>
      <c r="N287" s="17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</row>
    <row r="288" spans="5:25" ht="15" customHeight="1" x14ac:dyDescent="0.25">
      <c r="E288" s="15">
        <v>39917</v>
      </c>
      <c r="F288" s="13">
        <v>841.5</v>
      </c>
      <c r="G288" s="13">
        <v>368.91</v>
      </c>
      <c r="H288" s="17">
        <v>-2.0281810437450372E-2</v>
      </c>
      <c r="I288" s="17">
        <v>-2.4977398166528848E-2</v>
      </c>
      <c r="J288" s="13"/>
      <c r="K288" s="17"/>
      <c r="L288" s="17"/>
      <c r="M288" s="17"/>
      <c r="N288" s="17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</row>
    <row r="289" spans="5:25" ht="15" customHeight="1" x14ac:dyDescent="0.25">
      <c r="E289" s="15">
        <v>39918</v>
      </c>
      <c r="F289" s="13">
        <v>852.06</v>
      </c>
      <c r="G289" s="13">
        <v>379.5</v>
      </c>
      <c r="H289" s="17">
        <v>1.2331723045533965E-2</v>
      </c>
      <c r="I289" s="17">
        <v>2.8060334065392017E-2</v>
      </c>
      <c r="J289" s="13"/>
      <c r="K289" s="17"/>
      <c r="L289" s="17"/>
      <c r="M289" s="17"/>
      <c r="N289" s="17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</row>
    <row r="290" spans="5:25" ht="15" customHeight="1" x14ac:dyDescent="0.25">
      <c r="E290" s="15">
        <v>39919</v>
      </c>
      <c r="F290" s="13">
        <v>865.3</v>
      </c>
      <c r="G290" s="13">
        <v>388.74</v>
      </c>
      <c r="H290" s="17">
        <v>1.5321515258454623E-2</v>
      </c>
      <c r="I290" s="17">
        <v>2.3701971651088068E-2</v>
      </c>
      <c r="J290" s="13"/>
      <c r="K290" s="17"/>
      <c r="L290" s="17"/>
      <c r="M290" s="17"/>
      <c r="N290" s="17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</row>
    <row r="291" spans="5:25" ht="15" customHeight="1" x14ac:dyDescent="0.25">
      <c r="E291" s="15">
        <v>39920</v>
      </c>
      <c r="F291" s="13">
        <v>869.6</v>
      </c>
      <c r="G291" s="13">
        <v>392.24</v>
      </c>
      <c r="H291" s="17">
        <v>4.7520782210029736E-3</v>
      </c>
      <c r="I291" s="17">
        <v>8.3575925981388514E-3</v>
      </c>
      <c r="J291" s="13"/>
      <c r="K291" s="17"/>
      <c r="L291" s="17"/>
      <c r="M291" s="17"/>
      <c r="N291" s="17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</row>
    <row r="292" spans="5:25" ht="15" customHeight="1" x14ac:dyDescent="0.25">
      <c r="E292" s="15">
        <v>39923</v>
      </c>
      <c r="F292" s="13">
        <v>832.39</v>
      </c>
      <c r="G292" s="13">
        <v>379.3</v>
      </c>
      <c r="H292" s="17">
        <v>-4.3007084970772838E-2</v>
      </c>
      <c r="I292" s="17">
        <v>-3.3635860554571295E-2</v>
      </c>
      <c r="J292" s="13"/>
      <c r="K292" s="17"/>
      <c r="L292" s="17"/>
      <c r="M292" s="17"/>
      <c r="N292" s="17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</row>
    <row r="293" spans="5:25" ht="15" customHeight="1" x14ac:dyDescent="0.25">
      <c r="E293" s="15">
        <v>39924</v>
      </c>
      <c r="F293" s="13">
        <v>850.08</v>
      </c>
      <c r="G293" s="13">
        <v>381.47</v>
      </c>
      <c r="H293" s="17">
        <v>2.1034760766587137E-2</v>
      </c>
      <c r="I293" s="17">
        <v>5.0752106840893626E-3</v>
      </c>
      <c r="J293" s="13"/>
      <c r="K293" s="17"/>
      <c r="L293" s="17"/>
      <c r="M293" s="17"/>
      <c r="N293" s="17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</row>
    <row r="294" spans="5:25" ht="15" customHeight="1" x14ac:dyDescent="0.25">
      <c r="E294" s="15">
        <v>39925</v>
      </c>
      <c r="F294" s="13">
        <v>843.55</v>
      </c>
      <c r="G294" s="13">
        <v>383.86</v>
      </c>
      <c r="H294" s="17">
        <v>-7.8989265265478337E-3</v>
      </c>
      <c r="I294" s="17">
        <v>5.6193826732095853E-3</v>
      </c>
      <c r="J294" s="13"/>
      <c r="K294" s="17"/>
      <c r="L294" s="17"/>
      <c r="M294" s="17"/>
      <c r="N294" s="17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</row>
    <row r="295" spans="5:25" ht="15" customHeight="1" x14ac:dyDescent="0.25">
      <c r="E295" s="15">
        <v>39926</v>
      </c>
      <c r="F295" s="13">
        <v>851.92</v>
      </c>
      <c r="G295" s="13">
        <v>384.69</v>
      </c>
      <c r="H295" s="17">
        <v>9.7050554026010278E-3</v>
      </c>
      <c r="I295" s="17">
        <v>1.5163922165569086E-3</v>
      </c>
      <c r="J295" s="13"/>
      <c r="K295" s="17"/>
      <c r="L295" s="17"/>
      <c r="M295" s="17"/>
      <c r="N295" s="17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</row>
    <row r="296" spans="5:25" ht="15" customHeight="1" x14ac:dyDescent="0.25">
      <c r="E296" s="15">
        <v>39927</v>
      </c>
      <c r="F296" s="13">
        <v>866.23</v>
      </c>
      <c r="G296" s="13">
        <v>389.49</v>
      </c>
      <c r="H296" s="17">
        <v>1.6580055301715618E-2</v>
      </c>
      <c r="I296" s="17">
        <v>1.1831724913737723E-2</v>
      </c>
      <c r="J296" s="13"/>
      <c r="K296" s="17"/>
      <c r="L296" s="17"/>
      <c r="M296" s="17"/>
      <c r="N296" s="17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</row>
    <row r="297" spans="5:25" ht="15" customHeight="1" x14ac:dyDescent="0.25">
      <c r="E297" s="15">
        <v>39930</v>
      </c>
      <c r="F297" s="13">
        <v>857.51</v>
      </c>
      <c r="G297" s="13">
        <v>385.95</v>
      </c>
      <c r="H297" s="17">
        <v>-1.0283907046822525E-2</v>
      </c>
      <c r="I297" s="17">
        <v>-9.7346628776769743E-3</v>
      </c>
      <c r="J297" s="13"/>
      <c r="K297" s="17"/>
      <c r="L297" s="17"/>
      <c r="M297" s="17"/>
      <c r="N297" s="17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</row>
    <row r="298" spans="5:25" ht="15" customHeight="1" x14ac:dyDescent="0.25">
      <c r="E298" s="15">
        <v>39931</v>
      </c>
      <c r="F298" s="13">
        <v>855.16</v>
      </c>
      <c r="G298" s="13">
        <v>383.71</v>
      </c>
      <c r="H298" s="17">
        <v>-2.9577893845503132E-3</v>
      </c>
      <c r="I298" s="17">
        <v>-6.4497150395735978E-3</v>
      </c>
      <c r="J298" s="13"/>
      <c r="K298" s="17"/>
      <c r="L298" s="17"/>
      <c r="M298" s="17"/>
      <c r="N298" s="17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</row>
    <row r="299" spans="5:25" ht="15" customHeight="1" x14ac:dyDescent="0.25">
      <c r="E299" s="15">
        <v>39932</v>
      </c>
      <c r="F299" s="13">
        <v>873.64</v>
      </c>
      <c r="G299" s="13">
        <v>391.47</v>
      </c>
      <c r="H299" s="17">
        <v>2.1392694550465045E-2</v>
      </c>
      <c r="I299" s="17">
        <v>1.9577751933525098E-2</v>
      </c>
      <c r="J299" s="13"/>
      <c r="K299" s="17"/>
      <c r="L299" s="17"/>
      <c r="M299" s="17"/>
      <c r="N299" s="17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</row>
    <row r="300" spans="5:25" ht="15" customHeight="1" x14ac:dyDescent="0.25">
      <c r="E300" s="15">
        <v>39933</v>
      </c>
      <c r="F300" s="13">
        <v>872.81</v>
      </c>
      <c r="G300" s="13">
        <v>395.97</v>
      </c>
      <c r="H300" s="17">
        <v>-1.1673446370310265E-3</v>
      </c>
      <c r="I300" s="17">
        <v>1.08492792908539E-2</v>
      </c>
      <c r="J300" s="13"/>
      <c r="K300" s="17"/>
      <c r="L300" s="17"/>
      <c r="M300" s="17"/>
      <c r="N300" s="17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</row>
    <row r="301" spans="5:25" ht="15" customHeight="1" x14ac:dyDescent="0.25">
      <c r="E301" s="15">
        <v>39934</v>
      </c>
      <c r="F301" s="13">
        <v>877.52</v>
      </c>
      <c r="G301" s="13">
        <v>393.69</v>
      </c>
      <c r="H301" s="17">
        <v>5.1790669074035945E-3</v>
      </c>
      <c r="I301" s="17">
        <v>-6.4038664064722884E-3</v>
      </c>
      <c r="J301" s="13"/>
      <c r="K301" s="17"/>
      <c r="L301" s="17"/>
      <c r="M301" s="17"/>
      <c r="N301" s="17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</row>
    <row r="302" spans="5:25" ht="15" customHeight="1" x14ac:dyDescent="0.25">
      <c r="E302" s="15">
        <v>39937</v>
      </c>
      <c r="F302" s="13">
        <v>907.24</v>
      </c>
      <c r="G302" s="13">
        <v>401.98</v>
      </c>
      <c r="H302" s="17">
        <v>3.3650877382444225E-2</v>
      </c>
      <c r="I302" s="17">
        <v>2.0411322530780433E-2</v>
      </c>
      <c r="J302" s="13"/>
      <c r="K302" s="17"/>
      <c r="L302" s="17"/>
      <c r="M302" s="17"/>
      <c r="N302" s="17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</row>
    <row r="303" spans="5:25" ht="15" customHeight="1" x14ac:dyDescent="0.25">
      <c r="E303" s="15">
        <v>39938</v>
      </c>
      <c r="F303" s="13">
        <v>903.8</v>
      </c>
      <c r="G303" s="13">
        <v>402.99</v>
      </c>
      <c r="H303" s="17">
        <v>-4.0090165041106818E-3</v>
      </c>
      <c r="I303" s="17">
        <v>1.8667083782018968E-3</v>
      </c>
      <c r="J303" s="13"/>
      <c r="K303" s="17"/>
      <c r="L303" s="17"/>
      <c r="M303" s="17"/>
      <c r="N303" s="17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</row>
    <row r="304" spans="5:25" ht="15" customHeight="1" x14ac:dyDescent="0.25">
      <c r="E304" s="15">
        <v>39939</v>
      </c>
      <c r="F304" s="13">
        <v>919.53</v>
      </c>
      <c r="G304" s="13">
        <v>403.47</v>
      </c>
      <c r="H304" s="17">
        <v>1.7186996422864542E-2</v>
      </c>
      <c r="I304" s="17">
        <v>5.4524211739589404E-4</v>
      </c>
      <c r="J304" s="13"/>
      <c r="K304" s="17"/>
      <c r="L304" s="17"/>
      <c r="M304" s="17"/>
      <c r="N304" s="17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</row>
    <row r="305" spans="5:25" ht="15" customHeight="1" x14ac:dyDescent="0.25">
      <c r="E305" s="15">
        <v>39940</v>
      </c>
      <c r="F305" s="13">
        <v>907.39</v>
      </c>
      <c r="G305" s="13">
        <v>396.61</v>
      </c>
      <c r="H305" s="17">
        <v>-1.3419693438974426E-2</v>
      </c>
      <c r="I305" s="17">
        <v>-1.7648357719879659E-2</v>
      </c>
      <c r="J305" s="13"/>
      <c r="K305" s="17"/>
      <c r="L305" s="17"/>
      <c r="M305" s="17"/>
      <c r="N305" s="17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</row>
    <row r="306" spans="5:25" ht="15" customHeight="1" x14ac:dyDescent="0.25">
      <c r="E306" s="15">
        <v>39941</v>
      </c>
      <c r="F306" s="13">
        <v>929.23</v>
      </c>
      <c r="G306" s="13">
        <v>407.33</v>
      </c>
      <c r="H306" s="17">
        <v>2.3851736598735143E-2</v>
      </c>
      <c r="I306" s="17">
        <v>2.6383216944076582E-2</v>
      </c>
      <c r="J306" s="13"/>
      <c r="K306" s="17"/>
      <c r="L306" s="17"/>
      <c r="M306" s="17"/>
      <c r="N306" s="17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</row>
    <row r="307" spans="5:25" ht="15" customHeight="1" x14ac:dyDescent="0.25">
      <c r="E307" s="15">
        <v>39944</v>
      </c>
      <c r="F307" s="13">
        <v>909.24</v>
      </c>
      <c r="G307" s="13">
        <v>407.98</v>
      </c>
      <c r="H307" s="17">
        <v>-2.1729731589159362E-2</v>
      </c>
      <c r="I307" s="17">
        <v>9.4990330355658123E-4</v>
      </c>
      <c r="J307" s="13"/>
      <c r="K307" s="17"/>
      <c r="L307" s="17"/>
      <c r="M307" s="17"/>
      <c r="N307" s="17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</row>
    <row r="308" spans="5:25" ht="15" customHeight="1" x14ac:dyDescent="0.25">
      <c r="E308" s="15">
        <v>39945</v>
      </c>
      <c r="F308" s="13">
        <v>908.35</v>
      </c>
      <c r="G308" s="13">
        <v>399.01</v>
      </c>
      <c r="H308" s="17">
        <v>-1.1961360326360395E-3</v>
      </c>
      <c r="I308" s="17">
        <v>-2.2632226316843012E-2</v>
      </c>
      <c r="J308" s="13"/>
      <c r="K308" s="17"/>
      <c r="L308" s="17"/>
      <c r="M308" s="17"/>
      <c r="N308" s="17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</row>
    <row r="309" spans="5:25" ht="15" customHeight="1" x14ac:dyDescent="0.25">
      <c r="E309" s="15">
        <v>39946</v>
      </c>
      <c r="F309" s="13">
        <v>883.92</v>
      </c>
      <c r="G309" s="13">
        <v>389.54</v>
      </c>
      <c r="H309" s="17">
        <v>-2.7112215921586986E-2</v>
      </c>
      <c r="I309" s="17">
        <v>-2.4379595444865725E-2</v>
      </c>
      <c r="J309" s="13"/>
      <c r="K309" s="17"/>
      <c r="L309" s="17"/>
      <c r="M309" s="17"/>
      <c r="N309" s="17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</row>
    <row r="310" spans="5:25" ht="15" customHeight="1" x14ac:dyDescent="0.25">
      <c r="E310" s="15">
        <v>39947</v>
      </c>
      <c r="F310" s="13">
        <v>893.07</v>
      </c>
      <c r="G310" s="13">
        <v>387.5</v>
      </c>
      <c r="H310" s="17">
        <v>1.0134318968508096E-2</v>
      </c>
      <c r="I310" s="17">
        <v>-5.8828005774713716E-3</v>
      </c>
      <c r="J310" s="13"/>
      <c r="K310" s="17"/>
      <c r="L310" s="17"/>
      <c r="M310" s="17"/>
      <c r="N310" s="17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</row>
    <row r="311" spans="5:25" ht="15" customHeight="1" x14ac:dyDescent="0.25">
      <c r="E311" s="15">
        <v>39948</v>
      </c>
      <c r="F311" s="13">
        <v>882.88</v>
      </c>
      <c r="G311" s="13">
        <v>390</v>
      </c>
      <c r="H311" s="17">
        <v>-1.1627376399276041E-2</v>
      </c>
      <c r="I311" s="17">
        <v>5.8057584673573519E-3</v>
      </c>
      <c r="J311" s="13"/>
      <c r="K311" s="17"/>
      <c r="L311" s="17"/>
      <c r="M311" s="17"/>
      <c r="N311" s="17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</row>
    <row r="312" spans="5:25" ht="15" customHeight="1" x14ac:dyDescent="0.25">
      <c r="E312" s="15">
        <v>39951</v>
      </c>
      <c r="F312" s="13">
        <v>909.71</v>
      </c>
      <c r="G312" s="13">
        <v>396.84</v>
      </c>
      <c r="H312" s="17">
        <v>3.0171884300322218E-2</v>
      </c>
      <c r="I312" s="17">
        <v>1.6892607102593084E-2</v>
      </c>
      <c r="J312" s="13"/>
      <c r="K312" s="17"/>
      <c r="L312" s="17"/>
      <c r="M312" s="17"/>
      <c r="N312" s="17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</row>
    <row r="313" spans="5:25" ht="15" customHeight="1" x14ac:dyDescent="0.25">
      <c r="E313" s="15">
        <v>39952</v>
      </c>
      <c r="F313" s="13">
        <v>908.13</v>
      </c>
      <c r="G313" s="13">
        <v>398.88</v>
      </c>
      <c r="H313" s="17">
        <v>-1.9541137897772674E-3</v>
      </c>
      <c r="I313" s="17">
        <v>4.4947563896531656E-3</v>
      </c>
      <c r="J313" s="13"/>
      <c r="K313" s="17"/>
      <c r="L313" s="17"/>
      <c r="M313" s="17"/>
      <c r="N313" s="17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</row>
    <row r="314" spans="5:25" ht="15" customHeight="1" x14ac:dyDescent="0.25">
      <c r="E314" s="15">
        <v>39953</v>
      </c>
      <c r="F314" s="13">
        <v>903.47</v>
      </c>
      <c r="G314" s="13">
        <v>397.18</v>
      </c>
      <c r="H314" s="17">
        <v>-5.3487204773874112E-3</v>
      </c>
      <c r="I314" s="17">
        <v>-4.9077878494264175E-3</v>
      </c>
      <c r="J314" s="13"/>
      <c r="K314" s="17"/>
      <c r="L314" s="17"/>
      <c r="M314" s="17"/>
      <c r="N314" s="17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</row>
    <row r="315" spans="5:25" ht="15" customHeight="1" x14ac:dyDescent="0.25">
      <c r="E315" s="15">
        <v>39954</v>
      </c>
      <c r="F315" s="13">
        <v>888.33</v>
      </c>
      <c r="G315" s="13">
        <v>396.5</v>
      </c>
      <c r="H315" s="17">
        <v>-1.6974908879264911E-2</v>
      </c>
      <c r="I315" s="17">
        <v>-2.3579245300323101E-3</v>
      </c>
      <c r="J315" s="13"/>
      <c r="K315" s="17"/>
      <c r="L315" s="17"/>
      <c r="M315" s="17"/>
      <c r="N315" s="17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</row>
    <row r="316" spans="5:25" ht="15" customHeight="1" x14ac:dyDescent="0.25">
      <c r="E316" s="15">
        <v>39955</v>
      </c>
      <c r="F316" s="13">
        <v>887</v>
      </c>
      <c r="G316" s="13">
        <v>393.5</v>
      </c>
      <c r="H316" s="17">
        <v>-1.7144879213761865E-3</v>
      </c>
      <c r="I316" s="17">
        <v>-8.2120587233842184E-3</v>
      </c>
      <c r="J316" s="13"/>
      <c r="K316" s="17"/>
      <c r="L316" s="17"/>
      <c r="M316" s="17"/>
      <c r="N316" s="17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</row>
    <row r="317" spans="5:25" ht="15" customHeight="1" x14ac:dyDescent="0.25">
      <c r="E317" s="15">
        <v>39959</v>
      </c>
      <c r="F317" s="13">
        <v>910.33</v>
      </c>
      <c r="G317" s="13">
        <v>404.36</v>
      </c>
      <c r="H317" s="17">
        <v>2.6084845489551031E-2</v>
      </c>
      <c r="I317" s="17">
        <v>2.6952620786494949E-2</v>
      </c>
      <c r="J317" s="13"/>
      <c r="K317" s="17"/>
      <c r="L317" s="17"/>
      <c r="M317" s="17"/>
      <c r="N317" s="17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</row>
    <row r="318" spans="5:25" ht="15" customHeight="1" x14ac:dyDescent="0.25">
      <c r="E318" s="15">
        <v>39960</v>
      </c>
      <c r="F318" s="13">
        <v>893.06</v>
      </c>
      <c r="G318" s="13">
        <v>405.56</v>
      </c>
      <c r="H318" s="17">
        <v>-1.9188438895309294E-2</v>
      </c>
      <c r="I318" s="17">
        <v>2.321798150935383E-3</v>
      </c>
      <c r="J318" s="13"/>
      <c r="K318" s="17"/>
      <c r="L318" s="17"/>
      <c r="M318" s="17"/>
      <c r="N318" s="17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</row>
    <row r="319" spans="5:25" ht="15" customHeight="1" x14ac:dyDescent="0.25">
      <c r="E319" s="15">
        <v>39961</v>
      </c>
      <c r="F319" s="13">
        <v>906.83</v>
      </c>
      <c r="G319" s="13">
        <v>410.4</v>
      </c>
      <c r="H319" s="17">
        <v>1.5201600264331814E-2</v>
      </c>
      <c r="I319" s="17">
        <v>1.128826135464343E-2</v>
      </c>
      <c r="J319" s="13"/>
      <c r="K319" s="17"/>
      <c r="L319" s="17"/>
      <c r="M319" s="17"/>
      <c r="N319" s="17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</row>
    <row r="320" spans="5:25" ht="15" customHeight="1" x14ac:dyDescent="0.25">
      <c r="E320" s="15">
        <v>39962</v>
      </c>
      <c r="F320" s="13">
        <v>919.14</v>
      </c>
      <c r="G320" s="13">
        <v>417.23</v>
      </c>
      <c r="H320" s="17">
        <v>1.3357463866878215E-2</v>
      </c>
      <c r="I320" s="17">
        <v>1.5996445759063321E-2</v>
      </c>
      <c r="J320" s="13"/>
      <c r="K320" s="17"/>
      <c r="L320" s="17"/>
      <c r="M320" s="17"/>
      <c r="N320" s="17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</row>
    <row r="321" spans="5:25" ht="15" customHeight="1" x14ac:dyDescent="0.25">
      <c r="E321" s="15">
        <v>39965</v>
      </c>
      <c r="F321" s="13">
        <v>942.87</v>
      </c>
      <c r="G321" s="13">
        <v>426.56</v>
      </c>
      <c r="H321" s="17">
        <v>2.5600315553364176E-2</v>
      </c>
      <c r="I321" s="17">
        <v>2.1715912455294695E-2</v>
      </c>
      <c r="J321" s="13"/>
      <c r="K321" s="17"/>
      <c r="L321" s="17"/>
      <c r="M321" s="17"/>
      <c r="N321" s="17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</row>
    <row r="322" spans="5:25" ht="15" customHeight="1" x14ac:dyDescent="0.25">
      <c r="E322" s="15">
        <v>39966</v>
      </c>
      <c r="F322" s="13">
        <v>944.74</v>
      </c>
      <c r="G322" s="13">
        <v>428.4</v>
      </c>
      <c r="H322" s="17">
        <v>1.7660097259384116E-3</v>
      </c>
      <c r="I322" s="17">
        <v>3.667723958730195E-3</v>
      </c>
      <c r="J322" s="13"/>
      <c r="K322" s="17"/>
      <c r="L322" s="17"/>
      <c r="M322" s="17"/>
      <c r="N322" s="17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</row>
    <row r="323" spans="5:25" ht="15" customHeight="1" x14ac:dyDescent="0.25">
      <c r="E323" s="15">
        <v>39967</v>
      </c>
      <c r="F323" s="13">
        <v>931.76</v>
      </c>
      <c r="G323" s="13">
        <v>431.65</v>
      </c>
      <c r="H323" s="17">
        <v>-1.3956526403323632E-2</v>
      </c>
      <c r="I323" s="17">
        <v>6.9405134446170729E-3</v>
      </c>
      <c r="J323" s="13"/>
      <c r="K323" s="17"/>
      <c r="L323" s="17"/>
      <c r="M323" s="17"/>
      <c r="N323" s="17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</row>
    <row r="324" spans="5:25" ht="15" customHeight="1" x14ac:dyDescent="0.25">
      <c r="E324" s="15">
        <v>39968</v>
      </c>
      <c r="F324" s="13">
        <v>942.46</v>
      </c>
      <c r="G324" s="13">
        <v>440.28</v>
      </c>
      <c r="H324" s="17">
        <v>1.1266347294477983E-2</v>
      </c>
      <c r="I324" s="17">
        <v>1.9347195488839064E-2</v>
      </c>
      <c r="J324" s="13"/>
      <c r="K324" s="17"/>
      <c r="L324" s="17"/>
      <c r="M324" s="17"/>
      <c r="N324" s="17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</row>
    <row r="325" spans="5:25" ht="15" customHeight="1" x14ac:dyDescent="0.25">
      <c r="E325" s="15">
        <v>39969</v>
      </c>
      <c r="F325" s="13">
        <v>940.09</v>
      </c>
      <c r="G325" s="13">
        <v>444.32</v>
      </c>
      <c r="H325" s="17">
        <v>-2.7319921462066327E-3</v>
      </c>
      <c r="I325" s="17">
        <v>8.5301244866354074E-3</v>
      </c>
      <c r="J325" s="13"/>
      <c r="K325" s="17"/>
      <c r="L325" s="17"/>
      <c r="M325" s="17"/>
      <c r="N325" s="17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</row>
    <row r="326" spans="5:25" ht="15" customHeight="1" x14ac:dyDescent="0.25">
      <c r="E326" s="15">
        <v>39972</v>
      </c>
      <c r="F326" s="13">
        <v>939.14</v>
      </c>
      <c r="G326" s="13">
        <v>438.77</v>
      </c>
      <c r="H326" s="17">
        <v>-1.2278381062039065E-3</v>
      </c>
      <c r="I326" s="17">
        <v>-1.3136851915162659E-2</v>
      </c>
      <c r="J326" s="13"/>
      <c r="K326" s="17"/>
      <c r="L326" s="17"/>
      <c r="M326" s="17"/>
      <c r="N326" s="17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</row>
    <row r="327" spans="5:25" ht="15" customHeight="1" x14ac:dyDescent="0.25">
      <c r="E327" s="15">
        <v>39973</v>
      </c>
      <c r="F327" s="13">
        <v>942.43</v>
      </c>
      <c r="G327" s="13">
        <v>435.62</v>
      </c>
      <c r="H327" s="17">
        <v>3.2859084976392906E-3</v>
      </c>
      <c r="I327" s="17">
        <v>-7.8250143602023887E-3</v>
      </c>
      <c r="J327" s="13"/>
      <c r="K327" s="17"/>
      <c r="L327" s="17"/>
      <c r="M327" s="17"/>
      <c r="N327" s="17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</row>
    <row r="328" spans="5:25" ht="15" customHeight="1" x14ac:dyDescent="0.25">
      <c r="E328" s="15">
        <v>39974</v>
      </c>
      <c r="F328" s="13">
        <v>939.15</v>
      </c>
      <c r="G328" s="13">
        <v>432.6</v>
      </c>
      <c r="H328" s="17">
        <v>-3.6976611517216497E-3</v>
      </c>
      <c r="I328" s="17">
        <v>-7.5785021563587913E-3</v>
      </c>
      <c r="J328" s="13"/>
      <c r="K328" s="17"/>
      <c r="L328" s="17"/>
      <c r="M328" s="17"/>
      <c r="N328" s="17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</row>
    <row r="329" spans="5:25" ht="15" customHeight="1" x14ac:dyDescent="0.25">
      <c r="E329" s="15">
        <v>39975</v>
      </c>
      <c r="F329" s="13">
        <v>944.89</v>
      </c>
      <c r="G329" s="13">
        <v>429</v>
      </c>
      <c r="H329" s="17">
        <v>5.8946131432756647E-3</v>
      </c>
      <c r="I329" s="17">
        <v>-8.9676297479350294E-3</v>
      </c>
      <c r="J329" s="13"/>
      <c r="K329" s="17"/>
      <c r="L329" s="17"/>
      <c r="M329" s="17"/>
      <c r="N329" s="17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</row>
    <row r="330" spans="5:25" ht="15" customHeight="1" x14ac:dyDescent="0.25">
      <c r="E330" s="15">
        <v>39976</v>
      </c>
      <c r="F330" s="13">
        <v>946.21</v>
      </c>
      <c r="G330" s="13">
        <v>424.84</v>
      </c>
      <c r="H330" s="17">
        <v>1.1796914468770816E-3</v>
      </c>
      <c r="I330" s="17">
        <v>-1.0342824132838152E-2</v>
      </c>
      <c r="J330" s="13"/>
      <c r="K330" s="17"/>
      <c r="L330" s="17"/>
      <c r="M330" s="17"/>
      <c r="N330" s="17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</row>
    <row r="331" spans="5:25" ht="15" customHeight="1" x14ac:dyDescent="0.25">
      <c r="E331" s="15">
        <v>39979</v>
      </c>
      <c r="F331" s="13">
        <v>923.72</v>
      </c>
      <c r="G331" s="13">
        <v>416.77</v>
      </c>
      <c r="H331" s="17">
        <v>-2.3985804610205518E-2</v>
      </c>
      <c r="I331" s="17">
        <v>-1.9641240934314932E-2</v>
      </c>
      <c r="J331" s="13"/>
      <c r="K331" s="17"/>
      <c r="L331" s="17"/>
      <c r="M331" s="17"/>
      <c r="N331" s="17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</row>
    <row r="332" spans="5:25" ht="15" customHeight="1" x14ac:dyDescent="0.25">
      <c r="E332" s="15">
        <v>39980</v>
      </c>
      <c r="F332" s="13">
        <v>911.97</v>
      </c>
      <c r="G332" s="13">
        <v>416</v>
      </c>
      <c r="H332" s="17">
        <v>-1.2937601416594023E-2</v>
      </c>
      <c r="I332" s="17">
        <v>-2.4933962454996668E-3</v>
      </c>
      <c r="J332" s="13"/>
      <c r="K332" s="17"/>
      <c r="L332" s="17"/>
      <c r="M332" s="17"/>
      <c r="N332" s="17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</row>
    <row r="333" spans="5:25" ht="15" customHeight="1" x14ac:dyDescent="0.25">
      <c r="E333" s="15">
        <v>39981</v>
      </c>
      <c r="F333" s="13">
        <v>910.71</v>
      </c>
      <c r="G333" s="13">
        <v>415.16</v>
      </c>
      <c r="H333" s="17">
        <v>-1.5989209578484999E-3</v>
      </c>
      <c r="I333" s="17">
        <v>-2.6650852050992243E-3</v>
      </c>
      <c r="J333" s="13"/>
      <c r="K333" s="17"/>
      <c r="L333" s="17"/>
      <c r="M333" s="17"/>
      <c r="N333" s="17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</row>
    <row r="334" spans="5:25" ht="15" customHeight="1" x14ac:dyDescent="0.25">
      <c r="E334" s="15">
        <v>39982</v>
      </c>
      <c r="F334" s="13">
        <v>918.37</v>
      </c>
      <c r="G334" s="13">
        <v>414.06</v>
      </c>
      <c r="H334" s="17">
        <v>8.1937234111181517E-3</v>
      </c>
      <c r="I334" s="17">
        <v>-3.2954353203467285E-3</v>
      </c>
      <c r="J334" s="13"/>
      <c r="K334" s="17"/>
      <c r="L334" s="17"/>
      <c r="M334" s="17"/>
      <c r="N334" s="17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</row>
    <row r="335" spans="5:25" ht="15" customHeight="1" x14ac:dyDescent="0.25">
      <c r="E335" s="15">
        <v>39983</v>
      </c>
      <c r="F335" s="13">
        <v>921.23</v>
      </c>
      <c r="G335" s="13">
        <v>420.09</v>
      </c>
      <c r="H335" s="17">
        <v>2.8969166632970642E-3</v>
      </c>
      <c r="I335" s="17">
        <v>1.3917252360248048E-2</v>
      </c>
      <c r="J335" s="13"/>
      <c r="K335" s="17"/>
      <c r="L335" s="17"/>
      <c r="M335" s="17"/>
      <c r="N335" s="17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</row>
    <row r="336" spans="5:25" ht="15" customHeight="1" x14ac:dyDescent="0.25">
      <c r="E336" s="15">
        <v>39986</v>
      </c>
      <c r="F336" s="13">
        <v>893.04</v>
      </c>
      <c r="G336" s="13">
        <v>407.35</v>
      </c>
      <c r="H336" s="17">
        <v>-3.08176895152091E-2</v>
      </c>
      <c r="I336" s="17">
        <v>-3.0972689161760523E-2</v>
      </c>
      <c r="J336" s="13"/>
      <c r="K336" s="17"/>
      <c r="L336" s="17"/>
      <c r="M336" s="17"/>
      <c r="N336" s="17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</row>
    <row r="337" spans="5:25" ht="15" customHeight="1" x14ac:dyDescent="0.25">
      <c r="E337" s="15">
        <v>39987</v>
      </c>
      <c r="F337" s="13">
        <v>895.1</v>
      </c>
      <c r="G337" s="13">
        <v>405.68</v>
      </c>
      <c r="H337" s="17">
        <v>2.0894310198819946E-3</v>
      </c>
      <c r="I337" s="17">
        <v>-4.7455230255333625E-3</v>
      </c>
      <c r="J337" s="13"/>
      <c r="K337" s="17"/>
      <c r="L337" s="17"/>
      <c r="M337" s="17"/>
      <c r="N337" s="17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</row>
    <row r="338" spans="5:25" ht="15" customHeight="1" x14ac:dyDescent="0.25">
      <c r="E338" s="15">
        <v>39988</v>
      </c>
      <c r="F338" s="13">
        <v>900.94</v>
      </c>
      <c r="G338" s="13">
        <v>409.29</v>
      </c>
      <c r="H338" s="17">
        <v>6.3071141180617357E-3</v>
      </c>
      <c r="I338" s="17">
        <v>8.2527848857643603E-3</v>
      </c>
      <c r="J338" s="13"/>
      <c r="K338" s="17"/>
      <c r="L338" s="17"/>
      <c r="M338" s="17"/>
      <c r="N338" s="17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</row>
    <row r="339" spans="5:25" ht="15" customHeight="1" x14ac:dyDescent="0.25">
      <c r="E339" s="15">
        <v>39989</v>
      </c>
      <c r="F339" s="13">
        <v>920.26</v>
      </c>
      <c r="G339" s="13">
        <v>415.77</v>
      </c>
      <c r="H339" s="17">
        <v>2.1226972756402396E-2</v>
      </c>
      <c r="I339" s="17">
        <v>1.5186440513922646E-2</v>
      </c>
      <c r="J339" s="13"/>
      <c r="K339" s="17"/>
      <c r="L339" s="17"/>
      <c r="M339" s="17"/>
      <c r="N339" s="17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</row>
    <row r="340" spans="5:25" ht="15" customHeight="1" x14ac:dyDescent="0.25">
      <c r="E340" s="15">
        <v>39990</v>
      </c>
      <c r="F340" s="13">
        <v>918.9</v>
      </c>
      <c r="G340" s="13">
        <v>425.32</v>
      </c>
      <c r="H340" s="17">
        <v>-1.6951397805301106E-3</v>
      </c>
      <c r="I340" s="17">
        <v>2.2323575777951687E-2</v>
      </c>
      <c r="J340" s="13"/>
      <c r="K340" s="17"/>
      <c r="L340" s="17"/>
      <c r="M340" s="17"/>
      <c r="N340" s="17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</row>
    <row r="341" spans="5:25" ht="15" customHeight="1" x14ac:dyDescent="0.25">
      <c r="E341" s="15">
        <v>39993</v>
      </c>
      <c r="F341" s="13">
        <v>927.23</v>
      </c>
      <c r="G341" s="13">
        <v>424.14</v>
      </c>
      <c r="H341" s="17">
        <v>8.8478900738862797E-3</v>
      </c>
      <c r="I341" s="17">
        <v>-3.4202360779261999E-3</v>
      </c>
      <c r="J341" s="13"/>
      <c r="K341" s="17"/>
      <c r="L341" s="17"/>
      <c r="M341" s="17"/>
      <c r="N341" s="17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</row>
    <row r="342" spans="5:25" ht="15" customHeight="1" x14ac:dyDescent="0.25">
      <c r="E342" s="15">
        <v>39994</v>
      </c>
      <c r="F342" s="13">
        <v>919.32</v>
      </c>
      <c r="G342" s="13">
        <v>421.59</v>
      </c>
      <c r="H342" s="17">
        <v>-8.7480818043742491E-3</v>
      </c>
      <c r="I342" s="17">
        <v>-6.6580202301816539E-3</v>
      </c>
      <c r="J342" s="13"/>
      <c r="K342" s="17"/>
      <c r="L342" s="17"/>
      <c r="M342" s="17"/>
      <c r="N342" s="17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</row>
    <row r="343" spans="5:25" ht="15" customHeight="1" x14ac:dyDescent="0.25">
      <c r="E343" s="15">
        <v>39995</v>
      </c>
      <c r="F343" s="13">
        <v>923.33</v>
      </c>
      <c r="G343" s="13">
        <v>418.99</v>
      </c>
      <c r="H343" s="17">
        <v>4.1446231174541298E-3</v>
      </c>
      <c r="I343" s="17">
        <v>-6.8129836372252239E-3</v>
      </c>
      <c r="J343" s="13"/>
      <c r="K343" s="17"/>
      <c r="L343" s="17"/>
      <c r="M343" s="17"/>
      <c r="N343" s="17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</row>
    <row r="344" spans="5:25" ht="15" customHeight="1" x14ac:dyDescent="0.25">
      <c r="E344" s="15">
        <v>39996</v>
      </c>
      <c r="F344" s="13">
        <v>896.42</v>
      </c>
      <c r="G344" s="13">
        <v>408.49</v>
      </c>
      <c r="H344" s="17">
        <v>-2.9361806109275048E-2</v>
      </c>
      <c r="I344" s="17">
        <v>-2.5706118403982254E-2</v>
      </c>
      <c r="J344" s="13"/>
      <c r="K344" s="17"/>
      <c r="L344" s="17"/>
      <c r="M344" s="17"/>
      <c r="N344" s="17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</row>
    <row r="345" spans="5:25" ht="15" customHeight="1" x14ac:dyDescent="0.25">
      <c r="E345" s="15">
        <v>40000</v>
      </c>
      <c r="F345" s="13">
        <v>898.72</v>
      </c>
      <c r="G345" s="13">
        <v>409.61</v>
      </c>
      <c r="H345" s="17">
        <v>2.3484650226621574E-3</v>
      </c>
      <c r="I345" s="17">
        <v>2.0959507490809931E-3</v>
      </c>
      <c r="J345" s="13"/>
      <c r="K345" s="17"/>
      <c r="L345" s="17"/>
      <c r="M345" s="17"/>
      <c r="N345" s="17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</row>
    <row r="346" spans="5:25" ht="15" customHeight="1" x14ac:dyDescent="0.25">
      <c r="E346" s="15">
        <v>40001</v>
      </c>
      <c r="F346" s="13">
        <v>881.03</v>
      </c>
      <c r="G346" s="13">
        <v>396.63</v>
      </c>
      <c r="H346" s="17">
        <v>-1.9900846499998331E-2</v>
      </c>
      <c r="I346" s="17">
        <v>-3.2334533911467199E-2</v>
      </c>
      <c r="J346" s="13"/>
      <c r="K346" s="17"/>
      <c r="L346" s="17"/>
      <c r="M346" s="17"/>
      <c r="N346" s="17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</row>
    <row r="347" spans="5:25" ht="15" customHeight="1" x14ac:dyDescent="0.25">
      <c r="E347" s="15">
        <v>40002</v>
      </c>
      <c r="F347" s="13">
        <v>879.56</v>
      </c>
      <c r="G347" s="13">
        <v>402.49</v>
      </c>
      <c r="H347" s="17">
        <v>-1.8857982024349351E-3</v>
      </c>
      <c r="I347" s="17">
        <v>1.4128620515597648E-2</v>
      </c>
      <c r="J347" s="13"/>
      <c r="K347" s="17"/>
      <c r="L347" s="17"/>
      <c r="M347" s="17"/>
      <c r="N347" s="17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</row>
    <row r="348" spans="5:25" ht="15" customHeight="1" x14ac:dyDescent="0.25">
      <c r="E348" s="15">
        <v>40003</v>
      </c>
      <c r="F348" s="13">
        <v>882.68</v>
      </c>
      <c r="G348" s="13">
        <v>410.39</v>
      </c>
      <c r="H348" s="17">
        <v>3.3299315972251391E-3</v>
      </c>
      <c r="I348" s="17">
        <v>1.8981962404301486E-2</v>
      </c>
      <c r="J348" s="13"/>
      <c r="K348" s="17"/>
      <c r="L348" s="17"/>
      <c r="M348" s="17"/>
      <c r="N348" s="17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</row>
    <row r="349" spans="5:25" ht="15" customHeight="1" x14ac:dyDescent="0.25">
      <c r="E349" s="15">
        <v>40004</v>
      </c>
      <c r="F349" s="13">
        <v>879.13</v>
      </c>
      <c r="G349" s="13">
        <v>414.4</v>
      </c>
      <c r="H349" s="17">
        <v>-4.2391391326630952E-3</v>
      </c>
      <c r="I349" s="17">
        <v>9.1253388193278228E-3</v>
      </c>
      <c r="J349" s="13"/>
      <c r="K349" s="17"/>
      <c r="L349" s="17"/>
      <c r="M349" s="17"/>
      <c r="N349" s="17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</row>
    <row r="350" spans="5:25" ht="15" customHeight="1" x14ac:dyDescent="0.25">
      <c r="E350" s="15">
        <v>40007</v>
      </c>
      <c r="F350" s="13">
        <v>901.05</v>
      </c>
      <c r="G350" s="13">
        <v>424.3</v>
      </c>
      <c r="H350" s="17">
        <v>2.4716444750124713E-2</v>
      </c>
      <c r="I350" s="17">
        <v>2.3244106954092934E-2</v>
      </c>
      <c r="J350" s="13"/>
      <c r="K350" s="17"/>
      <c r="L350" s="17"/>
      <c r="M350" s="17"/>
      <c r="N350" s="17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</row>
    <row r="351" spans="5:25" ht="15" customHeight="1" x14ac:dyDescent="0.25">
      <c r="E351" s="15">
        <v>40008</v>
      </c>
      <c r="F351" s="13">
        <v>905.84</v>
      </c>
      <c r="G351" s="13">
        <v>424.69</v>
      </c>
      <c r="H351" s="17">
        <v>5.0987236363479495E-3</v>
      </c>
      <c r="I351" s="17">
        <v>2.7330653514262207E-4</v>
      </c>
      <c r="J351" s="13"/>
      <c r="K351" s="17"/>
      <c r="L351" s="17"/>
      <c r="M351" s="17"/>
      <c r="N351" s="17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</row>
    <row r="352" spans="5:25" ht="15" customHeight="1" x14ac:dyDescent="0.25">
      <c r="E352" s="15">
        <v>40009</v>
      </c>
      <c r="F352" s="13">
        <v>932.68</v>
      </c>
      <c r="G352" s="13">
        <v>438.17</v>
      </c>
      <c r="H352" s="17">
        <v>2.9412660162940321E-2</v>
      </c>
      <c r="I352" s="17">
        <v>3.1094944735291685E-2</v>
      </c>
      <c r="J352" s="13"/>
      <c r="K352" s="17"/>
      <c r="L352" s="17"/>
      <c r="M352" s="17"/>
      <c r="N352" s="17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</row>
    <row r="353" spans="5:25" ht="15" customHeight="1" x14ac:dyDescent="0.25">
      <c r="E353" s="15">
        <v>40010</v>
      </c>
      <c r="F353" s="13">
        <v>940.74</v>
      </c>
      <c r="G353" s="13">
        <v>442.6</v>
      </c>
      <c r="H353" s="17">
        <v>8.4244669578692373E-3</v>
      </c>
      <c r="I353" s="17">
        <v>9.4643767529395406E-3</v>
      </c>
      <c r="J353" s="13"/>
      <c r="K353" s="17"/>
      <c r="L353" s="17"/>
      <c r="M353" s="17"/>
      <c r="N353" s="17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</row>
    <row r="354" spans="5:25" ht="15" customHeight="1" x14ac:dyDescent="0.25">
      <c r="E354" s="15">
        <v>40011</v>
      </c>
      <c r="F354" s="13">
        <v>940.38</v>
      </c>
      <c r="G354" s="13">
        <v>430.25</v>
      </c>
      <c r="H354" s="17">
        <v>-5.9997402898434365E-4</v>
      </c>
      <c r="I354" s="17">
        <v>-2.8549153125430136E-2</v>
      </c>
      <c r="J354" s="13"/>
      <c r="K354" s="17"/>
      <c r="L354" s="17"/>
      <c r="M354" s="17"/>
      <c r="N354" s="17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</row>
    <row r="355" spans="5:25" ht="15" customHeight="1" x14ac:dyDescent="0.25">
      <c r="E355" s="15">
        <v>40014</v>
      </c>
      <c r="F355" s="13">
        <v>951.13</v>
      </c>
      <c r="G355" s="13">
        <v>430.17</v>
      </c>
      <c r="H355" s="17">
        <v>1.1214252385988326E-2</v>
      </c>
      <c r="I355" s="17">
        <v>-8.3179284377083731E-4</v>
      </c>
      <c r="J355" s="13"/>
      <c r="K355" s="17"/>
      <c r="L355" s="17"/>
      <c r="M355" s="17"/>
      <c r="N355" s="17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</row>
    <row r="356" spans="5:25" ht="15" customHeight="1" x14ac:dyDescent="0.25">
      <c r="E356" s="15">
        <v>40015</v>
      </c>
      <c r="F356" s="13">
        <v>954.58</v>
      </c>
      <c r="G356" s="13">
        <v>427.9</v>
      </c>
      <c r="H356" s="17">
        <v>3.4099678494957327E-3</v>
      </c>
      <c r="I356" s="17">
        <v>-5.9228379540124448E-3</v>
      </c>
      <c r="J356" s="13"/>
      <c r="K356" s="17"/>
      <c r="L356" s="17"/>
      <c r="M356" s="17"/>
      <c r="N356" s="17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</row>
    <row r="357" spans="5:25" ht="15" customHeight="1" x14ac:dyDescent="0.25">
      <c r="E357" s="15">
        <v>40016</v>
      </c>
      <c r="F357" s="13">
        <v>954.07</v>
      </c>
      <c r="G357" s="13">
        <v>427.69</v>
      </c>
      <c r="H357" s="17">
        <v>-7.5156294124022118E-4</v>
      </c>
      <c r="I357" s="17">
        <v>-1.1366233071000514E-3</v>
      </c>
      <c r="J357" s="13"/>
      <c r="K357" s="17"/>
      <c r="L357" s="17"/>
      <c r="M357" s="17"/>
      <c r="N357" s="17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</row>
    <row r="358" spans="5:25" ht="15" customHeight="1" x14ac:dyDescent="0.25">
      <c r="E358" s="15">
        <v>40017</v>
      </c>
      <c r="F358" s="13">
        <v>976.29</v>
      </c>
      <c r="G358" s="13">
        <v>437.34</v>
      </c>
      <c r="H358" s="17">
        <v>2.3072399162323193E-2</v>
      </c>
      <c r="I358" s="17">
        <v>2.1917216947610233E-2</v>
      </c>
      <c r="J358" s="13"/>
      <c r="K358" s="17"/>
      <c r="L358" s="17"/>
      <c r="M358" s="17"/>
      <c r="N358" s="17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</row>
    <row r="359" spans="5:25" ht="15" customHeight="1" x14ac:dyDescent="0.25">
      <c r="E359" s="15">
        <v>40018</v>
      </c>
      <c r="F359" s="13">
        <v>979.26</v>
      </c>
      <c r="G359" s="13">
        <v>446.72</v>
      </c>
      <c r="H359" s="17">
        <v>2.8248323133322861E-3</v>
      </c>
      <c r="I359" s="17">
        <v>2.0801989347000709E-2</v>
      </c>
      <c r="J359" s="13"/>
      <c r="K359" s="17"/>
      <c r="L359" s="17"/>
      <c r="M359" s="17"/>
      <c r="N359" s="17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</row>
    <row r="360" spans="5:25" ht="15" customHeight="1" x14ac:dyDescent="0.25">
      <c r="E360" s="15">
        <v>40021</v>
      </c>
      <c r="F360" s="13">
        <v>982.18</v>
      </c>
      <c r="G360" s="13">
        <v>444.8</v>
      </c>
      <c r="H360" s="17">
        <v>2.7645468704870198E-3</v>
      </c>
      <c r="I360" s="17">
        <v>-4.9438487052094289E-3</v>
      </c>
      <c r="J360" s="13"/>
      <c r="K360" s="17"/>
      <c r="L360" s="17"/>
      <c r="M360" s="17"/>
      <c r="N360" s="17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</row>
    <row r="361" spans="5:25" ht="15" customHeight="1" x14ac:dyDescent="0.25">
      <c r="E361" s="15">
        <v>40022</v>
      </c>
      <c r="F361" s="13">
        <v>979.62</v>
      </c>
      <c r="G361" s="13">
        <v>439.85</v>
      </c>
      <c r="H361" s="17">
        <v>-2.8237434457724893E-3</v>
      </c>
      <c r="I361" s="17">
        <v>-1.1774451558170612E-2</v>
      </c>
      <c r="J361" s="13"/>
      <c r="K361" s="17"/>
      <c r="L361" s="17"/>
      <c r="M361" s="17"/>
      <c r="N361" s="17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</row>
    <row r="362" spans="5:25" ht="15" customHeight="1" x14ac:dyDescent="0.25">
      <c r="E362" s="15">
        <v>40023</v>
      </c>
      <c r="F362" s="13">
        <v>975.15</v>
      </c>
      <c r="G362" s="13">
        <v>436.24</v>
      </c>
      <c r="H362" s="17">
        <v>-4.7802903762370228E-3</v>
      </c>
      <c r="I362" s="17">
        <v>-8.853197848395453E-3</v>
      </c>
      <c r="J362" s="13"/>
      <c r="K362" s="17"/>
      <c r="L362" s="17"/>
      <c r="M362" s="17"/>
      <c r="N362" s="17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</row>
    <row r="363" spans="5:25" ht="15" customHeight="1" x14ac:dyDescent="0.25">
      <c r="E363" s="15">
        <v>40024</v>
      </c>
      <c r="F363" s="13">
        <v>986.75</v>
      </c>
      <c r="G363" s="13">
        <v>445.64</v>
      </c>
      <c r="H363" s="17">
        <v>1.1678309241926074E-2</v>
      </c>
      <c r="I363" s="17">
        <v>2.0901917432827679E-2</v>
      </c>
      <c r="J363" s="13"/>
      <c r="K363" s="17"/>
      <c r="L363" s="17"/>
      <c r="M363" s="17"/>
      <c r="N363" s="17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</row>
    <row r="364" spans="5:25" ht="15" customHeight="1" x14ac:dyDescent="0.25">
      <c r="E364" s="15">
        <v>40025</v>
      </c>
      <c r="F364" s="13">
        <v>987.48</v>
      </c>
      <c r="G364" s="13">
        <v>443.05</v>
      </c>
      <c r="H364" s="17">
        <v>5.2250581924643885E-4</v>
      </c>
      <c r="I364" s="17">
        <v>-6.4577205161125981E-3</v>
      </c>
      <c r="J364" s="13"/>
      <c r="K364" s="17"/>
      <c r="L364" s="17"/>
      <c r="M364" s="17"/>
      <c r="N364" s="17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</row>
    <row r="365" spans="5:25" ht="15" customHeight="1" x14ac:dyDescent="0.25">
      <c r="E365" s="15">
        <v>40028</v>
      </c>
      <c r="F365" s="13">
        <v>1002.63</v>
      </c>
      <c r="G365" s="13">
        <v>452.21</v>
      </c>
      <c r="H365" s="17">
        <v>1.5124786315318727E-2</v>
      </c>
      <c r="I365" s="17">
        <v>2.0029012960587927E-2</v>
      </c>
      <c r="J365" s="13"/>
      <c r="K365" s="17"/>
      <c r="L365" s="17"/>
      <c r="M365" s="17"/>
      <c r="N365" s="17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</row>
    <row r="366" spans="5:25" ht="15" customHeight="1" x14ac:dyDescent="0.25">
      <c r="E366" s="15">
        <v>40029</v>
      </c>
      <c r="F366" s="13">
        <v>1005.65</v>
      </c>
      <c r="G366" s="13">
        <v>453.73</v>
      </c>
      <c r="H366" s="17">
        <v>2.7947816719347653E-3</v>
      </c>
      <c r="I366" s="17">
        <v>2.7154157704516175E-3</v>
      </c>
      <c r="J366" s="13"/>
      <c r="K366" s="17"/>
      <c r="L366" s="17"/>
      <c r="M366" s="17"/>
      <c r="N366" s="17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</row>
    <row r="367" spans="5:25" ht="15" customHeight="1" x14ac:dyDescent="0.25">
      <c r="E367" s="15">
        <v>40030</v>
      </c>
      <c r="F367" s="13">
        <v>1002.72</v>
      </c>
      <c r="G367" s="13">
        <v>451.14</v>
      </c>
      <c r="H367" s="17">
        <v>-3.1308350697421767E-3</v>
      </c>
      <c r="I367" s="17">
        <v>-6.3540950194754461E-3</v>
      </c>
      <c r="J367" s="13"/>
      <c r="K367" s="17"/>
      <c r="L367" s="17"/>
      <c r="M367" s="17"/>
      <c r="N367" s="17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</row>
    <row r="368" spans="5:25" ht="15" customHeight="1" x14ac:dyDescent="0.25">
      <c r="E368" s="15">
        <v>40031</v>
      </c>
      <c r="F368" s="13">
        <v>997.08</v>
      </c>
      <c r="G368" s="13">
        <v>450.36</v>
      </c>
      <c r="H368" s="17">
        <v>-5.8419973760956744E-3</v>
      </c>
      <c r="I368" s="17">
        <v>-2.3748077541288623E-3</v>
      </c>
      <c r="J368" s="13"/>
      <c r="K368" s="17"/>
      <c r="L368" s="17"/>
      <c r="M368" s="17"/>
      <c r="N368" s="17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</row>
    <row r="369" spans="5:25" ht="15" customHeight="1" x14ac:dyDescent="0.25">
      <c r="E369" s="15">
        <v>40032</v>
      </c>
      <c r="F369" s="13">
        <v>1010.48</v>
      </c>
      <c r="G369" s="13">
        <v>457.1</v>
      </c>
      <c r="H369" s="17">
        <v>1.3221946026048832E-2</v>
      </c>
      <c r="I369" s="17">
        <v>1.4319950697802387E-2</v>
      </c>
      <c r="J369" s="13"/>
      <c r="K369" s="17"/>
      <c r="L369" s="17"/>
      <c r="M369" s="17"/>
      <c r="N369" s="17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</row>
    <row r="370" spans="5:25" ht="15" customHeight="1" x14ac:dyDescent="0.25">
      <c r="E370" s="15">
        <v>40035</v>
      </c>
      <c r="F370" s="13">
        <v>1007.1</v>
      </c>
      <c r="G370" s="13">
        <v>456.61</v>
      </c>
      <c r="H370" s="17">
        <v>-3.562241538953936E-3</v>
      </c>
      <c r="I370" s="17">
        <v>-1.7178299335713647E-3</v>
      </c>
      <c r="J370" s="13"/>
      <c r="K370" s="17"/>
      <c r="L370" s="17"/>
      <c r="M370" s="17"/>
      <c r="N370" s="17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</row>
    <row r="371" spans="5:25" ht="15" customHeight="1" x14ac:dyDescent="0.25">
      <c r="E371" s="15">
        <v>40036</v>
      </c>
      <c r="F371" s="13">
        <v>994.35</v>
      </c>
      <c r="G371" s="13">
        <v>453.94</v>
      </c>
      <c r="H371" s="17">
        <v>-1.2877409758615399E-2</v>
      </c>
      <c r="I371" s="17">
        <v>-6.4932953591947075E-3</v>
      </c>
      <c r="J371" s="13"/>
      <c r="K371" s="17"/>
      <c r="L371" s="17"/>
      <c r="M371" s="17"/>
      <c r="N371" s="17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</row>
    <row r="372" spans="5:25" ht="15" customHeight="1" x14ac:dyDescent="0.25">
      <c r="E372" s="15">
        <v>40037</v>
      </c>
      <c r="F372" s="13">
        <v>1005.81</v>
      </c>
      <c r="G372" s="13">
        <v>458.58</v>
      </c>
      <c r="H372" s="17">
        <v>1.1307820348235404E-2</v>
      </c>
      <c r="I372" s="17">
        <v>9.5757607555665373E-3</v>
      </c>
      <c r="J372" s="13"/>
      <c r="K372" s="17"/>
      <c r="L372" s="17"/>
      <c r="M372" s="17"/>
      <c r="N372" s="17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</row>
    <row r="373" spans="5:25" ht="15" customHeight="1" x14ac:dyDescent="0.25">
      <c r="E373" s="15">
        <v>40038</v>
      </c>
      <c r="F373" s="13">
        <v>1012.73</v>
      </c>
      <c r="G373" s="13">
        <v>462.28</v>
      </c>
      <c r="H373" s="17">
        <v>6.6627304805716896E-3</v>
      </c>
      <c r="I373" s="17">
        <v>7.4225305787418636E-3</v>
      </c>
      <c r="J373" s="13"/>
      <c r="K373" s="17"/>
      <c r="L373" s="17"/>
      <c r="M373" s="17"/>
      <c r="N373" s="17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</row>
    <row r="374" spans="5:25" ht="15" customHeight="1" x14ac:dyDescent="0.25">
      <c r="E374" s="15">
        <v>40039</v>
      </c>
      <c r="F374" s="13">
        <v>1004.09</v>
      </c>
      <c r="G374" s="13">
        <v>460</v>
      </c>
      <c r="H374" s="17">
        <v>-8.7486918996646391E-3</v>
      </c>
      <c r="I374" s="17">
        <v>-5.577930234085985E-3</v>
      </c>
      <c r="J374" s="13"/>
      <c r="K374" s="17"/>
      <c r="L374" s="17"/>
      <c r="M374" s="17"/>
      <c r="N374" s="17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</row>
    <row r="375" spans="5:25" ht="15" customHeight="1" x14ac:dyDescent="0.25">
      <c r="E375" s="15">
        <v>40042</v>
      </c>
      <c r="F375" s="13">
        <v>979.73</v>
      </c>
      <c r="G375" s="13">
        <v>444.89</v>
      </c>
      <c r="H375" s="17">
        <v>-2.4478069998953297E-2</v>
      </c>
      <c r="I375" s="17">
        <v>-3.3493680522824976E-2</v>
      </c>
      <c r="J375" s="13"/>
      <c r="K375" s="17"/>
      <c r="L375" s="17"/>
      <c r="M375" s="17"/>
      <c r="N375" s="17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</row>
    <row r="376" spans="5:25" ht="15" customHeight="1" x14ac:dyDescent="0.25">
      <c r="E376" s="15">
        <v>40043</v>
      </c>
      <c r="F376" s="13">
        <v>989.67</v>
      </c>
      <c r="G376" s="13">
        <v>445.28</v>
      </c>
      <c r="H376" s="17">
        <v>9.9283558113039648E-3</v>
      </c>
      <c r="I376" s="17">
        <v>2.3076675139131709E-4</v>
      </c>
      <c r="J376" s="13"/>
      <c r="K376" s="17"/>
      <c r="L376" s="17"/>
      <c r="M376" s="17"/>
      <c r="N376" s="17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</row>
    <row r="377" spans="5:25" ht="15" customHeight="1" x14ac:dyDescent="0.25">
      <c r="E377" s="15">
        <v>40044</v>
      </c>
      <c r="F377" s="13">
        <v>996.46</v>
      </c>
      <c r="G377" s="13">
        <v>443.97</v>
      </c>
      <c r="H377" s="17">
        <v>6.6435762538820829E-3</v>
      </c>
      <c r="I377" s="17">
        <v>-3.5878235339640353E-3</v>
      </c>
      <c r="J377" s="13"/>
      <c r="K377" s="17"/>
      <c r="L377" s="17"/>
      <c r="M377" s="17"/>
      <c r="N377" s="17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</row>
    <row r="378" spans="5:25" ht="15" customHeight="1" x14ac:dyDescent="0.25">
      <c r="E378" s="15">
        <v>40045</v>
      </c>
      <c r="F378" s="13">
        <v>1007.37</v>
      </c>
      <c r="G378" s="13">
        <v>460.41</v>
      </c>
      <c r="H378" s="17">
        <v>1.0731462043154167E-2</v>
      </c>
      <c r="I378" s="17">
        <v>3.6383674586362776E-2</v>
      </c>
      <c r="J378" s="13"/>
      <c r="K378" s="17"/>
      <c r="L378" s="17"/>
      <c r="M378" s="17"/>
      <c r="N378" s="17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</row>
    <row r="379" spans="5:25" ht="15" customHeight="1" x14ac:dyDescent="0.25">
      <c r="E379" s="15">
        <v>40046</v>
      </c>
      <c r="F379" s="13">
        <v>1026.1300000000001</v>
      </c>
      <c r="G379" s="13">
        <v>465.24</v>
      </c>
      <c r="H379" s="17">
        <v>1.8405453767758231E-2</v>
      </c>
      <c r="I379" s="17">
        <v>9.8447952024973504E-3</v>
      </c>
      <c r="J379" s="13"/>
      <c r="K379" s="17"/>
      <c r="L379" s="17"/>
      <c r="M379" s="17"/>
      <c r="N379" s="17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</row>
    <row r="380" spans="5:25" ht="15" customHeight="1" x14ac:dyDescent="0.25">
      <c r="E380" s="15">
        <v>40049</v>
      </c>
      <c r="F380" s="13">
        <v>1025.57</v>
      </c>
      <c r="G380" s="13">
        <v>468.73</v>
      </c>
      <c r="H380" s="17">
        <v>-7.6303638085068338E-4</v>
      </c>
      <c r="I380" s="17">
        <v>6.8556501639080048E-3</v>
      </c>
      <c r="J380" s="13"/>
      <c r="K380" s="17"/>
      <c r="L380" s="17"/>
      <c r="M380" s="17"/>
      <c r="N380" s="17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</row>
    <row r="381" spans="5:25" ht="15" customHeight="1" x14ac:dyDescent="0.25">
      <c r="E381" s="15">
        <v>40050</v>
      </c>
      <c r="F381" s="13">
        <v>1028</v>
      </c>
      <c r="G381" s="13">
        <v>471.37</v>
      </c>
      <c r="H381" s="17">
        <v>2.1521175196160002E-3</v>
      </c>
      <c r="I381" s="17">
        <v>4.9863858730513928E-3</v>
      </c>
      <c r="J381" s="13"/>
      <c r="K381" s="17"/>
      <c r="L381" s="17"/>
      <c r="M381" s="17"/>
      <c r="N381" s="17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</row>
    <row r="382" spans="5:25" ht="15" customHeight="1" x14ac:dyDescent="0.25">
      <c r="E382" s="15">
        <v>40051</v>
      </c>
      <c r="F382" s="13">
        <v>1028.1199999999999</v>
      </c>
      <c r="G382" s="13">
        <v>468</v>
      </c>
      <c r="H382" s="17">
        <v>-1.0056504479944537E-4</v>
      </c>
      <c r="I382" s="17">
        <v>-7.7952275397995497E-3</v>
      </c>
      <c r="J382" s="13"/>
      <c r="K382" s="17"/>
      <c r="L382" s="17"/>
      <c r="M382" s="17"/>
      <c r="N382" s="17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</row>
    <row r="383" spans="5:25" ht="15" customHeight="1" x14ac:dyDescent="0.25">
      <c r="E383" s="15">
        <v>40052</v>
      </c>
      <c r="F383" s="13">
        <v>1030.98</v>
      </c>
      <c r="G383" s="13">
        <v>466.06</v>
      </c>
      <c r="H383" s="17">
        <v>2.5644798840200492E-3</v>
      </c>
      <c r="I383" s="17">
        <v>-4.7911535811676004E-3</v>
      </c>
      <c r="J383" s="13"/>
      <c r="K383" s="17"/>
      <c r="L383" s="17"/>
      <c r="M383" s="17"/>
      <c r="N383" s="17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</row>
    <row r="384" spans="5:25" ht="15" customHeight="1" x14ac:dyDescent="0.25">
      <c r="E384" s="15">
        <v>40053</v>
      </c>
      <c r="F384" s="13">
        <v>1028.93</v>
      </c>
      <c r="G384" s="13">
        <v>464.75</v>
      </c>
      <c r="H384" s="17">
        <v>-2.2056959493001911E-3</v>
      </c>
      <c r="I384" s="17">
        <v>-3.4566513289723474E-3</v>
      </c>
      <c r="J384" s="13"/>
      <c r="K384" s="17"/>
      <c r="L384" s="17"/>
      <c r="M384" s="17"/>
      <c r="N384" s="17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</row>
    <row r="385" spans="5:25" ht="15" customHeight="1" x14ac:dyDescent="0.25">
      <c r="E385" s="15">
        <v>40056</v>
      </c>
      <c r="F385" s="13">
        <v>1020.62</v>
      </c>
      <c r="G385" s="13">
        <v>461.67</v>
      </c>
      <c r="H385" s="17">
        <v>-8.2936477232239091E-3</v>
      </c>
      <c r="I385" s="17">
        <v>-7.2730733707796983E-3</v>
      </c>
      <c r="J385" s="13"/>
      <c r="K385" s="17"/>
      <c r="L385" s="17"/>
      <c r="M385" s="17"/>
      <c r="N385" s="17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</row>
    <row r="386" spans="5:25" ht="15" customHeight="1" x14ac:dyDescent="0.25">
      <c r="E386" s="15">
        <v>40057</v>
      </c>
      <c r="F386" s="13">
        <v>998.04</v>
      </c>
      <c r="G386" s="13">
        <v>455.76</v>
      </c>
      <c r="H386" s="17">
        <v>-2.2341103659955702E-2</v>
      </c>
      <c r="I386" s="17">
        <v>-1.3447206050658241E-2</v>
      </c>
      <c r="J386" s="13"/>
      <c r="K386" s="17"/>
      <c r="L386" s="17"/>
      <c r="M386" s="17"/>
      <c r="N386" s="17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</row>
    <row r="387" spans="5:25" ht="15" customHeight="1" x14ac:dyDescent="0.25">
      <c r="E387" s="15">
        <v>40058</v>
      </c>
      <c r="F387" s="13">
        <v>994.75</v>
      </c>
      <c r="G387" s="13">
        <v>453.01</v>
      </c>
      <c r="H387" s="17">
        <v>-3.5137576259939951E-3</v>
      </c>
      <c r="I387" s="17">
        <v>-6.6797319152435653E-3</v>
      </c>
      <c r="J387" s="13"/>
      <c r="K387" s="17"/>
      <c r="L387" s="17"/>
      <c r="M387" s="17"/>
      <c r="N387" s="17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</row>
    <row r="388" spans="5:25" ht="15" customHeight="1" x14ac:dyDescent="0.25">
      <c r="E388" s="15">
        <v>40059</v>
      </c>
      <c r="F388" s="13">
        <v>1003.24</v>
      </c>
      <c r="G388" s="13">
        <v>457.52</v>
      </c>
      <c r="H388" s="17">
        <v>8.3175111783291792E-3</v>
      </c>
      <c r="I388" s="17">
        <v>9.3097756826719738E-3</v>
      </c>
      <c r="J388" s="13"/>
      <c r="K388" s="17"/>
      <c r="L388" s="17"/>
      <c r="M388" s="17"/>
      <c r="N388" s="17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</row>
    <row r="389" spans="5:25" ht="15" customHeight="1" x14ac:dyDescent="0.25">
      <c r="E389" s="15">
        <v>40060</v>
      </c>
      <c r="F389" s="13">
        <v>1016.4</v>
      </c>
      <c r="G389" s="13">
        <v>461.3</v>
      </c>
      <c r="H389" s="17">
        <v>1.2900202739951502E-2</v>
      </c>
      <c r="I389" s="17">
        <v>7.6160794686603089E-3</v>
      </c>
      <c r="J389" s="13"/>
      <c r="K389" s="17"/>
      <c r="L389" s="17"/>
      <c r="M389" s="17"/>
      <c r="N389" s="17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</row>
    <row r="390" spans="5:25" ht="15" customHeight="1" x14ac:dyDescent="0.25">
      <c r="E390" s="15">
        <v>40064</v>
      </c>
      <c r="F390" s="13">
        <v>1025.3900000000001</v>
      </c>
      <c r="G390" s="13">
        <v>458.62</v>
      </c>
      <c r="H390" s="17">
        <v>8.6276463735428539E-3</v>
      </c>
      <c r="I390" s="17">
        <v>-6.4555227645049177E-3</v>
      </c>
      <c r="J390" s="13"/>
      <c r="K390" s="17"/>
      <c r="L390" s="17"/>
      <c r="M390" s="17"/>
      <c r="N390" s="17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</row>
    <row r="391" spans="5:25" ht="15" customHeight="1" x14ac:dyDescent="0.25">
      <c r="E391" s="15">
        <v>40065</v>
      </c>
      <c r="F391" s="13">
        <v>1033.3699999999999</v>
      </c>
      <c r="G391" s="13">
        <v>463.97</v>
      </c>
      <c r="H391" s="17">
        <v>7.565108181251814E-3</v>
      </c>
      <c r="I391" s="17">
        <v>1.101957663996775E-2</v>
      </c>
      <c r="J391" s="13"/>
      <c r="K391" s="17"/>
      <c r="L391" s="17"/>
      <c r="M391" s="17"/>
      <c r="N391" s="17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</row>
    <row r="392" spans="5:25" ht="15" customHeight="1" x14ac:dyDescent="0.25">
      <c r="E392" s="15">
        <v>40066</v>
      </c>
      <c r="F392" s="13">
        <v>1044.1400000000001</v>
      </c>
      <c r="G392" s="13">
        <v>470.94</v>
      </c>
      <c r="H392" s="17">
        <v>1.0204914262468013E-2</v>
      </c>
      <c r="I392" s="17">
        <v>1.4376668572084646E-2</v>
      </c>
      <c r="J392" s="13"/>
      <c r="K392" s="17"/>
      <c r="L392" s="17"/>
      <c r="M392" s="17"/>
      <c r="N392" s="17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</row>
    <row r="393" spans="5:25" ht="15" customHeight="1" x14ac:dyDescent="0.25">
      <c r="E393" s="15">
        <v>40067</v>
      </c>
      <c r="F393" s="13">
        <v>1042.73</v>
      </c>
      <c r="G393" s="13">
        <v>472.14</v>
      </c>
      <c r="H393" s="17">
        <v>-1.5676901876850804E-3</v>
      </c>
      <c r="I393" s="17">
        <v>1.9022408628957188E-3</v>
      </c>
      <c r="J393" s="13"/>
      <c r="K393" s="17"/>
      <c r="L393" s="17"/>
      <c r="M393" s="17"/>
      <c r="N393" s="17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</row>
    <row r="394" spans="5:25" ht="15" customHeight="1" x14ac:dyDescent="0.25">
      <c r="E394" s="15">
        <v>40070</v>
      </c>
      <c r="F394" s="13">
        <v>1049.3399999999999</v>
      </c>
      <c r="G394" s="13">
        <v>475.12</v>
      </c>
      <c r="H394" s="17">
        <v>6.1218324547901715E-3</v>
      </c>
      <c r="I394" s="17">
        <v>5.6658327755518866E-3</v>
      </c>
      <c r="J394" s="13"/>
      <c r="K394" s="17"/>
      <c r="L394" s="17"/>
      <c r="M394" s="17"/>
      <c r="N394" s="17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</row>
    <row r="395" spans="5:25" ht="15" customHeight="1" x14ac:dyDescent="0.25">
      <c r="E395" s="15">
        <v>40071</v>
      </c>
      <c r="F395" s="13">
        <v>1052.6300000000001</v>
      </c>
      <c r="G395" s="13">
        <v>477.54</v>
      </c>
      <c r="H395" s="17">
        <v>2.918007533598731E-3</v>
      </c>
      <c r="I395" s="17">
        <v>4.4475956399018766E-3</v>
      </c>
      <c r="J395" s="13"/>
      <c r="K395" s="17"/>
      <c r="L395" s="17"/>
      <c r="M395" s="17"/>
      <c r="N395" s="17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</row>
    <row r="396" spans="5:25" ht="15" customHeight="1" x14ac:dyDescent="0.25">
      <c r="E396" s="15">
        <v>40072</v>
      </c>
      <c r="F396" s="13">
        <v>1068.76</v>
      </c>
      <c r="G396" s="13">
        <v>488.29</v>
      </c>
      <c r="H396" s="17">
        <v>1.5106226422975304E-2</v>
      </c>
      <c r="I396" s="17">
        <v>2.1865348814121076E-2</v>
      </c>
      <c r="J396" s="13"/>
      <c r="K396" s="17"/>
      <c r="L396" s="17"/>
      <c r="M396" s="17"/>
      <c r="N396" s="17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</row>
    <row r="397" spans="5:25" ht="15" customHeight="1" x14ac:dyDescent="0.25">
      <c r="E397" s="15">
        <v>40073</v>
      </c>
      <c r="F397" s="13">
        <v>1065.49</v>
      </c>
      <c r="G397" s="13">
        <v>491.72</v>
      </c>
      <c r="H397" s="17">
        <v>-3.2769170570881695E-3</v>
      </c>
      <c r="I397" s="17">
        <v>6.3786596848385019E-3</v>
      </c>
      <c r="J397" s="13"/>
      <c r="K397" s="17"/>
      <c r="L397" s="17"/>
      <c r="M397" s="17"/>
      <c r="N397" s="17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</row>
    <row r="398" spans="5:25" ht="15" customHeight="1" x14ac:dyDescent="0.25">
      <c r="E398" s="15">
        <v>40074</v>
      </c>
      <c r="F398" s="13">
        <v>1068.3</v>
      </c>
      <c r="G398" s="13">
        <v>491.46</v>
      </c>
      <c r="H398" s="17">
        <v>2.4199876918837336E-3</v>
      </c>
      <c r="I398" s="17">
        <v>-1.1746106385854486E-3</v>
      </c>
      <c r="J398" s="13"/>
      <c r="K398" s="17"/>
      <c r="L398" s="17"/>
      <c r="M398" s="17"/>
      <c r="N398" s="17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</row>
    <row r="399" spans="5:25" ht="15" customHeight="1" x14ac:dyDescent="0.25">
      <c r="E399" s="15">
        <v>40077</v>
      </c>
      <c r="F399" s="13">
        <v>1064.6600000000001</v>
      </c>
      <c r="G399" s="13">
        <v>497</v>
      </c>
      <c r="H399" s="17">
        <v>-3.6245791608301874E-3</v>
      </c>
      <c r="I399" s="17">
        <v>1.0626680460155637E-2</v>
      </c>
      <c r="J399" s="13"/>
      <c r="K399" s="17"/>
      <c r="L399" s="17"/>
      <c r="M399" s="17"/>
      <c r="N399" s="17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</row>
    <row r="400" spans="5:25" ht="15" customHeight="1" x14ac:dyDescent="0.25">
      <c r="E400" s="15">
        <v>40078</v>
      </c>
      <c r="F400" s="13">
        <v>1071.6600000000001</v>
      </c>
      <c r="G400" s="13">
        <v>499.06</v>
      </c>
      <c r="H400" s="17">
        <v>6.3575724099448807E-3</v>
      </c>
      <c r="I400" s="17">
        <v>3.4990147794232958E-3</v>
      </c>
      <c r="J400" s="13"/>
      <c r="K400" s="17"/>
      <c r="L400" s="17"/>
      <c r="M400" s="17"/>
      <c r="N400" s="17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</row>
    <row r="401" spans="5:25" ht="15" customHeight="1" x14ac:dyDescent="0.25">
      <c r="E401" s="15">
        <v>40079</v>
      </c>
      <c r="F401" s="13">
        <v>1060.8699999999999</v>
      </c>
      <c r="G401" s="13">
        <v>498.46</v>
      </c>
      <c r="H401" s="17">
        <v>-1.0285788434731397E-2</v>
      </c>
      <c r="I401" s="17">
        <v>-1.8481146851370802E-3</v>
      </c>
      <c r="J401" s="13"/>
      <c r="K401" s="17"/>
      <c r="L401" s="17"/>
      <c r="M401" s="17"/>
      <c r="N401" s="17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</row>
    <row r="402" spans="5:25" ht="15" customHeight="1" x14ac:dyDescent="0.25">
      <c r="E402" s="15">
        <v>40080</v>
      </c>
      <c r="F402" s="13">
        <v>1050.78</v>
      </c>
      <c r="G402" s="13">
        <v>496.77</v>
      </c>
      <c r="H402" s="17">
        <v>-9.7283582381035676E-3</v>
      </c>
      <c r="I402" s="17">
        <v>-4.0362969989627857E-3</v>
      </c>
      <c r="J402" s="13"/>
      <c r="K402" s="17"/>
      <c r="L402" s="17"/>
      <c r="M402" s="17"/>
      <c r="N402" s="17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</row>
    <row r="403" spans="5:25" ht="15" customHeight="1" x14ac:dyDescent="0.25">
      <c r="E403" s="15">
        <v>40081</v>
      </c>
      <c r="F403" s="13">
        <v>1044.3800000000001</v>
      </c>
      <c r="G403" s="13">
        <v>492.48</v>
      </c>
      <c r="H403" s="17">
        <v>-6.3080101274702914E-3</v>
      </c>
      <c r="I403" s="17">
        <v>-9.2816416210849545E-3</v>
      </c>
      <c r="J403" s="13"/>
      <c r="K403" s="17"/>
      <c r="L403" s="17"/>
      <c r="M403" s="17"/>
      <c r="N403" s="17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</row>
    <row r="404" spans="5:25" ht="15" customHeight="1" x14ac:dyDescent="0.25">
      <c r="E404" s="15">
        <v>40084</v>
      </c>
      <c r="F404" s="13">
        <v>1062.98</v>
      </c>
      <c r="G404" s="13">
        <v>498.53</v>
      </c>
      <c r="H404" s="17">
        <v>1.7592312966789432E-2</v>
      </c>
      <c r="I404" s="17">
        <v>1.1638908397139993E-2</v>
      </c>
      <c r="J404" s="13"/>
      <c r="K404" s="17"/>
      <c r="L404" s="17"/>
      <c r="M404" s="17"/>
      <c r="N404" s="17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</row>
    <row r="405" spans="5:25" ht="15" customHeight="1" x14ac:dyDescent="0.25">
      <c r="E405" s="15">
        <v>40085</v>
      </c>
      <c r="F405" s="13">
        <v>1060.6099999999999</v>
      </c>
      <c r="G405" s="13">
        <v>498.53</v>
      </c>
      <c r="H405" s="17">
        <v>-2.4468775516034214E-3</v>
      </c>
      <c r="I405" s="17">
        <v>-6.45854435868455E-4</v>
      </c>
      <c r="J405" s="13"/>
      <c r="K405" s="17"/>
      <c r="L405" s="17"/>
      <c r="M405" s="17"/>
      <c r="N405" s="17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</row>
    <row r="406" spans="5:25" ht="15" customHeight="1" x14ac:dyDescent="0.25">
      <c r="E406" s="15">
        <v>40086</v>
      </c>
      <c r="F406" s="13">
        <v>1057.08</v>
      </c>
      <c r="G406" s="13">
        <v>495.85</v>
      </c>
      <c r="H406" s="17">
        <v>-3.5455699144367222E-3</v>
      </c>
      <c r="I406" s="17">
        <v>-6.0216593021753971E-3</v>
      </c>
      <c r="J406" s="13"/>
      <c r="K406" s="17"/>
      <c r="L406" s="17"/>
      <c r="M406" s="17"/>
      <c r="N406" s="17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</row>
    <row r="407" spans="5:25" ht="15" customHeight="1" x14ac:dyDescent="0.25">
      <c r="E407" s="15">
        <v>40087</v>
      </c>
      <c r="F407" s="13">
        <v>1029.8499999999999</v>
      </c>
      <c r="G407" s="13">
        <v>487.2</v>
      </c>
      <c r="H407" s="17">
        <v>-2.5976936324673423E-2</v>
      </c>
      <c r="I407" s="17">
        <v>-1.8090646207573606E-2</v>
      </c>
      <c r="J407" s="13"/>
      <c r="K407" s="17"/>
      <c r="L407" s="17"/>
      <c r="M407" s="17"/>
      <c r="N407" s="17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</row>
    <row r="408" spans="5:25" ht="15" customHeight="1" x14ac:dyDescent="0.25">
      <c r="E408" s="15">
        <v>40088</v>
      </c>
      <c r="F408" s="13">
        <v>1025.21</v>
      </c>
      <c r="G408" s="13">
        <v>484.58</v>
      </c>
      <c r="H408" s="17">
        <v>-4.722807073548674E-3</v>
      </c>
      <c r="I408" s="17">
        <v>-6.0235227445712466E-3</v>
      </c>
      <c r="J408" s="13"/>
      <c r="K408" s="17"/>
      <c r="L408" s="17"/>
      <c r="M408" s="17"/>
      <c r="N408" s="17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</row>
    <row r="409" spans="5:25" ht="15" customHeight="1" x14ac:dyDescent="0.25">
      <c r="E409" s="15">
        <v>40091</v>
      </c>
      <c r="F409" s="13">
        <v>1040.46</v>
      </c>
      <c r="G409" s="13">
        <v>488.52</v>
      </c>
      <c r="H409" s="17">
        <v>1.4657704656953223E-2</v>
      </c>
      <c r="I409" s="17">
        <v>7.48489796827534E-3</v>
      </c>
      <c r="J409" s="13"/>
      <c r="K409" s="17"/>
      <c r="L409" s="17"/>
      <c r="M409" s="17"/>
      <c r="N409" s="17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</row>
    <row r="410" spans="5:25" ht="15" customHeight="1" x14ac:dyDescent="0.25">
      <c r="E410" s="15">
        <v>40092</v>
      </c>
      <c r="F410" s="13">
        <v>1054.72</v>
      </c>
      <c r="G410" s="13">
        <v>498.74</v>
      </c>
      <c r="H410" s="17">
        <v>1.348817986158026E-2</v>
      </c>
      <c r="I410" s="17">
        <v>2.0274476359185997E-2</v>
      </c>
      <c r="J410" s="13"/>
      <c r="K410" s="17"/>
      <c r="L410" s="17"/>
      <c r="M410" s="17"/>
      <c r="N410" s="17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</row>
    <row r="411" spans="5:25" ht="15" customHeight="1" x14ac:dyDescent="0.25">
      <c r="E411" s="15">
        <v>40093</v>
      </c>
      <c r="F411" s="13">
        <v>1057.58</v>
      </c>
      <c r="G411" s="13">
        <v>517.54</v>
      </c>
      <c r="H411" s="17">
        <v>2.4943235833218948E-3</v>
      </c>
      <c r="I411" s="17">
        <v>3.7049136942404796E-2</v>
      </c>
      <c r="J411" s="13"/>
      <c r="K411" s="17"/>
      <c r="L411" s="17"/>
      <c r="M411" s="17"/>
      <c r="N411" s="17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</row>
    <row r="412" spans="5:25" ht="15" customHeight="1" x14ac:dyDescent="0.25">
      <c r="E412" s="15">
        <v>40094</v>
      </c>
      <c r="F412" s="13">
        <v>1065.48</v>
      </c>
      <c r="G412" s="13">
        <v>514.17999999999995</v>
      </c>
      <c r="H412" s="17">
        <v>7.2525875126544228E-3</v>
      </c>
      <c r="I412" s="17">
        <v>-7.1381062424920975E-3</v>
      </c>
      <c r="J412" s="13"/>
      <c r="K412" s="17"/>
      <c r="L412" s="17"/>
      <c r="M412" s="17"/>
      <c r="N412" s="17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</row>
    <row r="413" spans="5:25" ht="15" customHeight="1" x14ac:dyDescent="0.25">
      <c r="E413" s="15">
        <v>40095</v>
      </c>
      <c r="F413" s="13">
        <v>1071.49</v>
      </c>
      <c r="G413" s="13">
        <v>516.25</v>
      </c>
      <c r="H413" s="17">
        <v>5.4233536610643297E-3</v>
      </c>
      <c r="I413" s="17">
        <v>3.3799730953462952E-3</v>
      </c>
      <c r="J413" s="13"/>
      <c r="K413" s="17"/>
      <c r="L413" s="17"/>
      <c r="M413" s="17"/>
      <c r="N413" s="17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</row>
    <row r="414" spans="5:25" ht="15" customHeight="1" x14ac:dyDescent="0.25">
      <c r="E414" s="15">
        <v>40098</v>
      </c>
      <c r="F414" s="13">
        <v>1076.19</v>
      </c>
      <c r="G414" s="13">
        <v>524.04</v>
      </c>
      <c r="H414" s="17">
        <v>4.1691186165539063E-3</v>
      </c>
      <c r="I414" s="17">
        <v>1.4443733941855516E-2</v>
      </c>
      <c r="J414" s="13"/>
      <c r="K414" s="17"/>
      <c r="L414" s="17"/>
      <c r="M414" s="17"/>
      <c r="N414" s="17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</row>
    <row r="415" spans="5:25" ht="15" customHeight="1" x14ac:dyDescent="0.25">
      <c r="E415" s="15">
        <v>40099</v>
      </c>
      <c r="F415" s="13">
        <v>1073.19</v>
      </c>
      <c r="G415" s="13">
        <v>526.11</v>
      </c>
      <c r="H415" s="17">
        <v>-3.0049084152347716E-3</v>
      </c>
      <c r="I415" s="17">
        <v>3.3042257106852433E-3</v>
      </c>
      <c r="J415" s="13"/>
      <c r="K415" s="17"/>
      <c r="L415" s="17"/>
      <c r="M415" s="17"/>
      <c r="N415" s="17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</row>
    <row r="416" spans="5:25" ht="15" customHeight="1" x14ac:dyDescent="0.25">
      <c r="E416" s="15">
        <v>40100</v>
      </c>
      <c r="F416" s="13">
        <v>1092.02</v>
      </c>
      <c r="G416" s="13">
        <v>535.32000000000005</v>
      </c>
      <c r="H416" s="17">
        <v>1.7328524774080471E-2</v>
      </c>
      <c r="I416" s="17">
        <v>1.6859990349442602E-2</v>
      </c>
      <c r="J416" s="13"/>
      <c r="K416" s="17"/>
      <c r="L416" s="17"/>
      <c r="M416" s="17"/>
      <c r="N416" s="17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</row>
    <row r="417" spans="5:25" ht="15" customHeight="1" x14ac:dyDescent="0.25">
      <c r="E417" s="15">
        <v>40101</v>
      </c>
      <c r="F417" s="13">
        <v>1096.56</v>
      </c>
      <c r="G417" s="13">
        <v>529.91</v>
      </c>
      <c r="H417" s="17">
        <v>3.9401364517381889E-3</v>
      </c>
      <c r="I417" s="17">
        <v>-1.0751959195638313E-2</v>
      </c>
      <c r="J417" s="13"/>
      <c r="K417" s="17"/>
      <c r="L417" s="17"/>
      <c r="M417" s="17"/>
      <c r="N417" s="17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</row>
    <row r="418" spans="5:25" ht="15" customHeight="1" x14ac:dyDescent="0.25">
      <c r="E418" s="15">
        <v>40102</v>
      </c>
      <c r="F418" s="13">
        <v>1087.68</v>
      </c>
      <c r="G418" s="13">
        <v>549.85</v>
      </c>
      <c r="H418" s="17">
        <v>-8.3153486524820772E-3</v>
      </c>
      <c r="I418" s="17">
        <v>3.6983176909076911E-2</v>
      </c>
      <c r="J418" s="13"/>
      <c r="K418" s="17"/>
      <c r="L418" s="17"/>
      <c r="M418" s="17"/>
      <c r="N418" s="17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</row>
    <row r="419" spans="5:25" ht="15" customHeight="1" x14ac:dyDescent="0.25">
      <c r="E419" s="15">
        <v>40105</v>
      </c>
      <c r="F419" s="13">
        <v>1097.9100000000001</v>
      </c>
      <c r="G419" s="13">
        <v>552.09</v>
      </c>
      <c r="H419" s="17">
        <v>9.1880432435160701E-3</v>
      </c>
      <c r="I419" s="17">
        <v>3.4279838836732382E-3</v>
      </c>
      <c r="J419" s="13"/>
      <c r="K419" s="17"/>
      <c r="L419" s="17"/>
      <c r="M419" s="17"/>
      <c r="N419" s="17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</row>
    <row r="420" spans="5:25" ht="15" customHeight="1" x14ac:dyDescent="0.25">
      <c r="E420" s="15">
        <v>40106</v>
      </c>
      <c r="F420" s="13">
        <v>1091.06</v>
      </c>
      <c r="G420" s="13">
        <v>551.72</v>
      </c>
      <c r="H420" s="17">
        <v>-6.4564236310124369E-3</v>
      </c>
      <c r="I420" s="17">
        <v>-1.3160350223670333E-3</v>
      </c>
      <c r="J420" s="13"/>
      <c r="K420" s="17"/>
      <c r="L420" s="17"/>
      <c r="M420" s="17"/>
      <c r="N420" s="17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</row>
    <row r="421" spans="5:25" ht="15" customHeight="1" x14ac:dyDescent="0.25">
      <c r="E421" s="15">
        <v>40107</v>
      </c>
      <c r="F421" s="13">
        <v>1081.4000000000001</v>
      </c>
      <c r="G421" s="13">
        <v>551.1</v>
      </c>
      <c r="H421" s="17">
        <v>-9.0710717900693329E-3</v>
      </c>
      <c r="I421" s="17">
        <v>-1.7696128640566665E-3</v>
      </c>
      <c r="J421" s="13"/>
      <c r="K421" s="17"/>
      <c r="L421" s="17"/>
      <c r="M421" s="17"/>
      <c r="N421" s="17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</row>
    <row r="422" spans="5:25" ht="15" customHeight="1" x14ac:dyDescent="0.25">
      <c r="E422" s="15">
        <v>40108</v>
      </c>
      <c r="F422" s="13">
        <v>1092.9100000000001</v>
      </c>
      <c r="G422" s="13">
        <v>554.09</v>
      </c>
      <c r="H422" s="17">
        <v>1.0426313572701001E-2</v>
      </c>
      <c r="I422" s="17">
        <v>4.7796581752728986E-3</v>
      </c>
      <c r="J422" s="13"/>
      <c r="K422" s="17"/>
      <c r="L422" s="17"/>
      <c r="M422" s="17"/>
      <c r="N422" s="17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</row>
    <row r="423" spans="5:25" ht="15" customHeight="1" x14ac:dyDescent="0.25">
      <c r="E423" s="15">
        <v>40109</v>
      </c>
      <c r="F423" s="13">
        <v>1079.5999999999999</v>
      </c>
      <c r="G423" s="13">
        <v>553.69000000000005</v>
      </c>
      <c r="H423" s="17">
        <v>-1.2395792504335507E-2</v>
      </c>
      <c r="I423" s="17">
        <v>-1.3677588196328253E-3</v>
      </c>
      <c r="J423" s="13"/>
      <c r="K423" s="17"/>
      <c r="L423" s="17"/>
      <c r="M423" s="17"/>
      <c r="N423" s="17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</row>
    <row r="424" spans="5:25" ht="15" customHeight="1" x14ac:dyDescent="0.25">
      <c r="E424" s="15">
        <v>40112</v>
      </c>
      <c r="F424" s="13">
        <v>1066.95</v>
      </c>
      <c r="G424" s="13">
        <v>554.21</v>
      </c>
      <c r="H424" s="17">
        <v>-1.1934599267014619E-2</v>
      </c>
      <c r="I424" s="17">
        <v>2.9329924218243991E-4</v>
      </c>
      <c r="J424" s="13"/>
      <c r="K424" s="17"/>
      <c r="L424" s="17"/>
      <c r="M424" s="17"/>
      <c r="N424" s="17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</row>
    <row r="425" spans="5:25" ht="15" customHeight="1" x14ac:dyDescent="0.25">
      <c r="E425" s="15">
        <v>40113</v>
      </c>
      <c r="F425" s="13">
        <v>1063.4100000000001</v>
      </c>
      <c r="G425" s="13">
        <v>548.29</v>
      </c>
      <c r="H425" s="17">
        <v>-3.535165253438092E-3</v>
      </c>
      <c r="I425" s="17">
        <v>-1.1327725928623909E-2</v>
      </c>
      <c r="J425" s="13"/>
      <c r="K425" s="17"/>
      <c r="L425" s="17"/>
      <c r="M425" s="17"/>
      <c r="N425" s="17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</row>
    <row r="426" spans="5:25" ht="15" customHeight="1" x14ac:dyDescent="0.25">
      <c r="E426" s="15">
        <v>40114</v>
      </c>
      <c r="F426" s="13">
        <v>1042.6300000000001</v>
      </c>
      <c r="G426" s="13">
        <v>540.29999999999995</v>
      </c>
      <c r="H426" s="17">
        <v>-1.9758207405727989E-2</v>
      </c>
      <c r="I426" s="17">
        <v>-1.5218434639775147E-2</v>
      </c>
      <c r="J426" s="13"/>
      <c r="K426" s="17"/>
      <c r="L426" s="17"/>
      <c r="M426" s="17"/>
      <c r="N426" s="17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</row>
    <row r="427" spans="5:25" ht="15" customHeight="1" x14ac:dyDescent="0.25">
      <c r="E427" s="15">
        <v>40115</v>
      </c>
      <c r="F427" s="13">
        <v>1066.1099999999999</v>
      </c>
      <c r="G427" s="13">
        <v>551.04999999999995</v>
      </c>
      <c r="H427" s="17">
        <v>2.2302676966171688E-2</v>
      </c>
      <c r="I427" s="17">
        <v>1.9250499441607023E-2</v>
      </c>
      <c r="J427" s="13"/>
      <c r="K427" s="17"/>
      <c r="L427" s="17"/>
      <c r="M427" s="17"/>
      <c r="N427" s="17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</row>
    <row r="428" spans="5:25" ht="15" customHeight="1" x14ac:dyDescent="0.25">
      <c r="E428" s="15">
        <v>40116</v>
      </c>
      <c r="F428" s="13">
        <v>1036.19</v>
      </c>
      <c r="G428" s="13">
        <v>536.12</v>
      </c>
      <c r="H428" s="17">
        <v>-2.8281942799564242E-2</v>
      </c>
      <c r="I428" s="17">
        <v>-2.7739584587397354E-2</v>
      </c>
      <c r="J428" s="13"/>
      <c r="K428" s="17"/>
      <c r="L428" s="17"/>
      <c r="M428" s="17"/>
      <c r="N428" s="17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</row>
    <row r="429" spans="5:25" ht="15" customHeight="1" x14ac:dyDescent="0.25">
      <c r="E429" s="15">
        <v>40119</v>
      </c>
      <c r="F429" s="13">
        <v>1042.8800000000001</v>
      </c>
      <c r="G429" s="13">
        <v>533.99</v>
      </c>
      <c r="H429" s="17">
        <v>6.2390483165257905E-3</v>
      </c>
      <c r="I429" s="17">
        <v>-4.6188455572591883E-3</v>
      </c>
      <c r="J429" s="13"/>
      <c r="K429" s="17"/>
      <c r="L429" s="17"/>
      <c r="M429" s="17"/>
      <c r="N429" s="17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</row>
    <row r="430" spans="5:25" ht="15" customHeight="1" x14ac:dyDescent="0.25">
      <c r="E430" s="15">
        <v>40120</v>
      </c>
      <c r="F430" s="13">
        <v>1045.4100000000001</v>
      </c>
      <c r="G430" s="13">
        <v>537.29</v>
      </c>
      <c r="H430" s="17">
        <v>2.2086776629132881E-3</v>
      </c>
      <c r="I430" s="17">
        <v>5.534036573326474E-3</v>
      </c>
      <c r="J430" s="13"/>
      <c r="K430" s="17"/>
      <c r="L430" s="17"/>
      <c r="M430" s="17"/>
      <c r="N430" s="17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</row>
    <row r="431" spans="5:25" ht="15" customHeight="1" x14ac:dyDescent="0.25">
      <c r="E431" s="15">
        <v>40121</v>
      </c>
      <c r="F431" s="13">
        <v>1046.5</v>
      </c>
      <c r="G431" s="13">
        <v>540.33000000000004</v>
      </c>
      <c r="H431" s="17">
        <v>8.2535655943253596E-4</v>
      </c>
      <c r="I431" s="17">
        <v>5.0121700946457928E-3</v>
      </c>
      <c r="J431" s="13"/>
      <c r="K431" s="17"/>
      <c r="L431" s="17"/>
      <c r="M431" s="17"/>
      <c r="N431" s="17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</row>
    <row r="432" spans="5:25" ht="15" customHeight="1" x14ac:dyDescent="0.25">
      <c r="E432" s="15">
        <v>40122</v>
      </c>
      <c r="F432" s="13">
        <v>1066.6300000000001</v>
      </c>
      <c r="G432" s="13">
        <v>548.65</v>
      </c>
      <c r="H432" s="17">
        <v>1.9018250499324846E-2</v>
      </c>
      <c r="I432" s="17">
        <v>1.4752143084165599E-2</v>
      </c>
      <c r="J432" s="13"/>
      <c r="K432" s="17"/>
      <c r="L432" s="17"/>
      <c r="M432" s="17"/>
      <c r="N432" s="17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</row>
    <row r="433" spans="5:25" ht="15" customHeight="1" x14ac:dyDescent="0.25">
      <c r="E433" s="15">
        <v>40123</v>
      </c>
      <c r="F433" s="13">
        <v>1069.3</v>
      </c>
      <c r="G433" s="13">
        <v>551.1</v>
      </c>
      <c r="H433" s="17">
        <v>2.2859144855705981E-3</v>
      </c>
      <c r="I433" s="17">
        <v>3.8196518067270067E-3</v>
      </c>
      <c r="J433" s="13"/>
      <c r="K433" s="17"/>
      <c r="L433" s="17"/>
      <c r="M433" s="17"/>
      <c r="N433" s="17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</row>
    <row r="434" spans="5:25" ht="15" customHeight="1" x14ac:dyDescent="0.25">
      <c r="E434" s="15">
        <v>40126</v>
      </c>
      <c r="F434" s="13">
        <v>1093.08</v>
      </c>
      <c r="G434" s="13">
        <v>562.51</v>
      </c>
      <c r="H434" s="17">
        <v>2.2021551282075003E-2</v>
      </c>
      <c r="I434" s="17">
        <v>2.0058192016680992E-2</v>
      </c>
      <c r="J434" s="13"/>
      <c r="K434" s="17"/>
      <c r="L434" s="17"/>
      <c r="M434" s="17"/>
      <c r="N434" s="17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</row>
    <row r="435" spans="5:25" ht="15" customHeight="1" x14ac:dyDescent="0.25">
      <c r="E435" s="15">
        <v>40127</v>
      </c>
      <c r="F435" s="13">
        <v>1093.01</v>
      </c>
      <c r="G435" s="13">
        <v>566.76</v>
      </c>
      <c r="H435" s="17">
        <v>-2.8133579091092222E-4</v>
      </c>
      <c r="I435" s="17">
        <v>6.9095668010873326E-3</v>
      </c>
      <c r="J435" s="13"/>
      <c r="K435" s="17"/>
      <c r="L435" s="17"/>
      <c r="M435" s="17"/>
      <c r="N435" s="17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</row>
    <row r="436" spans="5:25" ht="15" customHeight="1" x14ac:dyDescent="0.25">
      <c r="E436" s="15">
        <v>40128</v>
      </c>
      <c r="F436" s="13">
        <v>1098.51</v>
      </c>
      <c r="G436" s="13">
        <v>570.55999999999995</v>
      </c>
      <c r="H436" s="17">
        <v>4.8146793573987899E-3</v>
      </c>
      <c r="I436" s="17">
        <v>6.0589236006902292E-3</v>
      </c>
      <c r="J436" s="13"/>
      <c r="K436" s="17"/>
      <c r="L436" s="17"/>
      <c r="M436" s="17"/>
      <c r="N436" s="17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</row>
    <row r="437" spans="5:25" ht="15" customHeight="1" x14ac:dyDescent="0.25">
      <c r="E437" s="15">
        <v>40129</v>
      </c>
      <c r="F437" s="13">
        <v>1087.24</v>
      </c>
      <c r="G437" s="13">
        <v>567.85</v>
      </c>
      <c r="H437" s="17">
        <v>-1.0476647865437958E-2</v>
      </c>
      <c r="I437" s="17">
        <v>-5.395574009620558E-3</v>
      </c>
      <c r="J437" s="13"/>
      <c r="K437" s="17"/>
      <c r="L437" s="17"/>
      <c r="M437" s="17"/>
      <c r="N437" s="17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</row>
    <row r="438" spans="5:25" ht="15" customHeight="1" x14ac:dyDescent="0.25">
      <c r="E438" s="15">
        <v>40130</v>
      </c>
      <c r="F438" s="13">
        <v>1093.48</v>
      </c>
      <c r="G438" s="13">
        <v>572.04999999999995</v>
      </c>
      <c r="H438" s="17">
        <v>5.5220066274189461E-3</v>
      </c>
      <c r="I438" s="17">
        <v>6.7504650146906721E-3</v>
      </c>
      <c r="J438" s="13"/>
      <c r="K438" s="17"/>
      <c r="L438" s="17"/>
      <c r="M438" s="17"/>
      <c r="N438" s="17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</row>
    <row r="439" spans="5:25" ht="15" customHeight="1" x14ac:dyDescent="0.25">
      <c r="E439" s="15">
        <v>40133</v>
      </c>
      <c r="F439" s="13">
        <v>1109.3</v>
      </c>
      <c r="G439" s="13">
        <v>576.28</v>
      </c>
      <c r="H439" s="17">
        <v>1.4250274861036477E-2</v>
      </c>
      <c r="I439" s="17">
        <v>6.7486040904841367E-3</v>
      </c>
      <c r="J439" s="13"/>
      <c r="K439" s="17"/>
      <c r="L439" s="17"/>
      <c r="M439" s="17"/>
      <c r="N439" s="17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</row>
    <row r="440" spans="5:25" ht="15" customHeight="1" x14ac:dyDescent="0.25">
      <c r="E440" s="15">
        <v>40134</v>
      </c>
      <c r="F440" s="13">
        <v>1110.32</v>
      </c>
      <c r="G440" s="13">
        <v>577.49</v>
      </c>
      <c r="H440" s="17">
        <v>7.0220222070714361E-4</v>
      </c>
      <c r="I440" s="17">
        <v>1.4538193338268321E-3</v>
      </c>
      <c r="J440" s="13"/>
      <c r="K440" s="17"/>
      <c r="L440" s="17"/>
      <c r="M440" s="17"/>
      <c r="N440" s="17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</row>
    <row r="441" spans="5:25" ht="15" customHeight="1" x14ac:dyDescent="0.25">
      <c r="E441" s="15">
        <v>40135</v>
      </c>
      <c r="F441" s="13">
        <v>1109.8</v>
      </c>
      <c r="G441" s="13">
        <v>576.65</v>
      </c>
      <c r="H441" s="17">
        <v>-6.8563001572800723E-4</v>
      </c>
      <c r="I441" s="17">
        <v>-2.1004250777843323E-3</v>
      </c>
      <c r="J441" s="13"/>
      <c r="K441" s="17"/>
      <c r="L441" s="17"/>
      <c r="M441" s="17"/>
      <c r="N441" s="17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</row>
    <row r="442" spans="5:25" ht="15" customHeight="1" x14ac:dyDescent="0.25">
      <c r="E442" s="15">
        <v>40136</v>
      </c>
      <c r="F442" s="13">
        <v>1094.9000000000001</v>
      </c>
      <c r="G442" s="13">
        <v>572.99</v>
      </c>
      <c r="H442" s="17">
        <v>-1.3643139056452262E-2</v>
      </c>
      <c r="I442" s="17">
        <v>-6.9928586845461622E-3</v>
      </c>
      <c r="J442" s="13"/>
      <c r="K442" s="17"/>
      <c r="L442" s="17"/>
      <c r="M442" s="17"/>
      <c r="N442" s="17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</row>
    <row r="443" spans="5:25" ht="15" customHeight="1" x14ac:dyDescent="0.25">
      <c r="E443" s="15">
        <v>40137</v>
      </c>
      <c r="F443" s="13">
        <v>1091.3800000000001</v>
      </c>
      <c r="G443" s="13">
        <v>569.96</v>
      </c>
      <c r="H443" s="17">
        <v>-3.4322020331284263E-3</v>
      </c>
      <c r="I443" s="17">
        <v>-5.9339048381442366E-3</v>
      </c>
      <c r="J443" s="13"/>
      <c r="K443" s="17"/>
      <c r="L443" s="17"/>
      <c r="M443" s="17"/>
      <c r="N443" s="17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</row>
    <row r="444" spans="5:25" ht="15" customHeight="1" x14ac:dyDescent="0.25">
      <c r="E444" s="15">
        <v>40140</v>
      </c>
      <c r="F444" s="13">
        <v>1106.24</v>
      </c>
      <c r="G444" s="13">
        <v>582.35</v>
      </c>
      <c r="H444" s="17">
        <v>1.3398492622026257E-2</v>
      </c>
      <c r="I444" s="17">
        <v>2.1092513168875737E-2</v>
      </c>
      <c r="J444" s="13"/>
      <c r="K444" s="17"/>
      <c r="L444" s="17"/>
      <c r="M444" s="17"/>
      <c r="N444" s="17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</row>
    <row r="445" spans="5:25" ht="15" customHeight="1" x14ac:dyDescent="0.25">
      <c r="E445" s="15">
        <v>40141</v>
      </c>
      <c r="F445" s="13">
        <v>1105.6500000000001</v>
      </c>
      <c r="G445" s="13">
        <v>583.09</v>
      </c>
      <c r="H445" s="17">
        <v>-7.5063471677836596E-4</v>
      </c>
      <c r="I445" s="17">
        <v>6.2485905258350695E-4</v>
      </c>
      <c r="J445" s="13"/>
      <c r="K445" s="17"/>
      <c r="L445" s="17"/>
      <c r="M445" s="17"/>
      <c r="N445" s="17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</row>
    <row r="446" spans="5:25" ht="15" customHeight="1" x14ac:dyDescent="0.25">
      <c r="E446" s="15">
        <v>40142</v>
      </c>
      <c r="F446" s="13">
        <v>1110.6300000000001</v>
      </c>
      <c r="G446" s="13">
        <v>585.74</v>
      </c>
      <c r="H446" s="17">
        <v>4.2868412751619978E-3</v>
      </c>
      <c r="I446" s="17">
        <v>3.8988985182209649E-3</v>
      </c>
      <c r="J446" s="13"/>
      <c r="K446" s="17"/>
      <c r="L446" s="17"/>
      <c r="M446" s="17"/>
      <c r="N446" s="17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</row>
    <row r="447" spans="5:25" ht="15" customHeight="1" x14ac:dyDescent="0.25">
      <c r="E447" s="15">
        <v>40144</v>
      </c>
      <c r="F447" s="13">
        <v>1091.49</v>
      </c>
      <c r="G447" s="13">
        <v>579.76</v>
      </c>
      <c r="H447" s="17">
        <v>-1.7450758651393748E-2</v>
      </c>
      <c r="I447" s="17">
        <v>-1.085516231991257E-2</v>
      </c>
      <c r="J447" s="13"/>
      <c r="K447" s="17"/>
      <c r="L447" s="17"/>
      <c r="M447" s="17"/>
      <c r="N447" s="17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</row>
    <row r="448" spans="5:25" ht="15" customHeight="1" x14ac:dyDescent="0.25">
      <c r="E448" s="15">
        <v>40147</v>
      </c>
      <c r="F448" s="13">
        <v>1095.6300000000001</v>
      </c>
      <c r="G448" s="13">
        <v>583</v>
      </c>
      <c r="H448" s="17">
        <v>3.5756836757140798E-3</v>
      </c>
      <c r="I448" s="17">
        <v>4.9426649514642349E-3</v>
      </c>
      <c r="J448" s="13"/>
      <c r="K448" s="17"/>
      <c r="L448" s="17"/>
      <c r="M448" s="17"/>
      <c r="N448" s="17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</row>
    <row r="449" spans="5:25" ht="15" customHeight="1" x14ac:dyDescent="0.25">
      <c r="E449" s="15">
        <v>40148</v>
      </c>
      <c r="F449" s="13">
        <v>1108.8599999999999</v>
      </c>
      <c r="G449" s="13">
        <v>589.87</v>
      </c>
      <c r="H449" s="17">
        <v>1.1857947817636612E-2</v>
      </c>
      <c r="I449" s="17">
        <v>1.1138022064989178E-2</v>
      </c>
      <c r="J449" s="13"/>
      <c r="K449" s="17"/>
      <c r="L449" s="17"/>
      <c r="M449" s="17"/>
      <c r="N449" s="17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</row>
    <row r="450" spans="5:25" ht="15" customHeight="1" x14ac:dyDescent="0.25">
      <c r="E450" s="15">
        <v>40149</v>
      </c>
      <c r="F450" s="13">
        <v>1109.24</v>
      </c>
      <c r="G450" s="13">
        <v>587.51</v>
      </c>
      <c r="H450" s="17">
        <v>1.2539773633988999E-4</v>
      </c>
      <c r="I450" s="17">
        <v>-4.6467359860405269E-3</v>
      </c>
      <c r="J450" s="13"/>
      <c r="K450" s="17"/>
      <c r="L450" s="17"/>
      <c r="M450" s="17"/>
      <c r="N450" s="17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</row>
    <row r="451" spans="5:25" ht="15" customHeight="1" x14ac:dyDescent="0.25">
      <c r="E451" s="15">
        <v>40150</v>
      </c>
      <c r="F451" s="13">
        <v>1099.92</v>
      </c>
      <c r="G451" s="13">
        <v>585.74</v>
      </c>
      <c r="H451" s="17">
        <v>-8.6194457815944505E-3</v>
      </c>
      <c r="I451" s="17">
        <v>-3.6585691130654394E-3</v>
      </c>
      <c r="J451" s="13"/>
      <c r="K451" s="17"/>
      <c r="L451" s="17"/>
      <c r="M451" s="17"/>
      <c r="N451" s="17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</row>
    <row r="452" spans="5:25" ht="15" customHeight="1" x14ac:dyDescent="0.25">
      <c r="E452" s="15">
        <v>40151</v>
      </c>
      <c r="F452" s="13">
        <v>1105.98</v>
      </c>
      <c r="G452" s="13">
        <v>585.01</v>
      </c>
      <c r="H452" s="17">
        <v>5.2921950370798734E-3</v>
      </c>
      <c r="I452" s="17">
        <v>-1.8921411842551111E-3</v>
      </c>
      <c r="J452" s="13"/>
      <c r="K452" s="17"/>
      <c r="L452" s="17"/>
      <c r="M452" s="17"/>
      <c r="N452" s="17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</row>
    <row r="453" spans="5:25" ht="15" customHeight="1" x14ac:dyDescent="0.25">
      <c r="E453" s="15">
        <v>40154</v>
      </c>
      <c r="F453" s="13">
        <v>1103.25</v>
      </c>
      <c r="G453" s="13">
        <v>586.25</v>
      </c>
      <c r="H453" s="17">
        <v>-2.6856956292000754E-3</v>
      </c>
      <c r="I453" s="17">
        <v>1.4737674509368987E-3</v>
      </c>
      <c r="J453" s="13"/>
      <c r="K453" s="17"/>
      <c r="L453" s="17"/>
      <c r="M453" s="17"/>
      <c r="N453" s="17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</row>
    <row r="454" spans="5:25" ht="15" customHeight="1" x14ac:dyDescent="0.25">
      <c r="E454" s="15">
        <v>40155</v>
      </c>
      <c r="F454" s="13">
        <v>1091.94</v>
      </c>
      <c r="G454" s="13">
        <v>587.04999999999995</v>
      </c>
      <c r="H454" s="17">
        <v>-1.046882613402909E-2</v>
      </c>
      <c r="I454" s="17">
        <v>7.1875110784156641E-4</v>
      </c>
      <c r="J454" s="13"/>
      <c r="K454" s="17"/>
      <c r="L454" s="17"/>
      <c r="M454" s="17"/>
      <c r="N454" s="17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</row>
    <row r="455" spans="5:25" ht="15" customHeight="1" x14ac:dyDescent="0.25">
      <c r="E455" s="15">
        <v>40156</v>
      </c>
      <c r="F455" s="13">
        <v>1095.95</v>
      </c>
      <c r="G455" s="13">
        <v>589.02</v>
      </c>
      <c r="H455" s="17">
        <v>3.4550663880360839E-3</v>
      </c>
      <c r="I455" s="17">
        <v>2.7099074242797438E-3</v>
      </c>
      <c r="J455" s="13"/>
      <c r="K455" s="17"/>
      <c r="L455" s="17"/>
      <c r="M455" s="17"/>
      <c r="N455" s="17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</row>
    <row r="456" spans="5:25" ht="15" customHeight="1" x14ac:dyDescent="0.25">
      <c r="E456" s="15">
        <v>40157</v>
      </c>
      <c r="F456" s="13">
        <v>1102.3499999999999</v>
      </c>
      <c r="G456" s="13">
        <v>591.5</v>
      </c>
      <c r="H456" s="17">
        <v>5.6223859049566692E-3</v>
      </c>
      <c r="I456" s="17">
        <v>3.5645289127444954E-3</v>
      </c>
      <c r="J456" s="13"/>
      <c r="K456" s="17"/>
      <c r="L456" s="17"/>
      <c r="M456" s="17"/>
      <c r="N456" s="17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</row>
    <row r="457" spans="5:25" ht="15" customHeight="1" x14ac:dyDescent="0.25">
      <c r="E457" s="15">
        <v>40158</v>
      </c>
      <c r="F457" s="13">
        <v>1106.4100000000001</v>
      </c>
      <c r="G457" s="13">
        <v>590.51</v>
      </c>
      <c r="H457" s="17">
        <v>3.4657442142137099E-3</v>
      </c>
      <c r="I457" s="17">
        <v>-2.31956534034859E-3</v>
      </c>
      <c r="J457" s="13"/>
      <c r="K457" s="17"/>
      <c r="L457" s="17"/>
      <c r="M457" s="17"/>
      <c r="N457" s="17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</row>
    <row r="458" spans="5:25" ht="15" customHeight="1" x14ac:dyDescent="0.25">
      <c r="E458" s="15">
        <v>40161</v>
      </c>
      <c r="F458" s="13">
        <v>1114.1099999999999</v>
      </c>
      <c r="G458" s="13">
        <v>595.73</v>
      </c>
      <c r="H458" s="17">
        <v>6.7421488512355351E-3</v>
      </c>
      <c r="I458" s="17">
        <v>8.1939619939972539E-3</v>
      </c>
      <c r="J458" s="13"/>
      <c r="K458" s="17"/>
      <c r="L458" s="17"/>
      <c r="M458" s="17"/>
      <c r="N458" s="17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</row>
    <row r="459" spans="5:25" ht="15" customHeight="1" x14ac:dyDescent="0.25">
      <c r="E459" s="15">
        <v>40162</v>
      </c>
      <c r="F459" s="13">
        <v>1107.93</v>
      </c>
      <c r="G459" s="13">
        <v>593.14</v>
      </c>
      <c r="H459" s="17">
        <v>-5.7643251321990397E-3</v>
      </c>
      <c r="I459" s="17">
        <v>-4.9934615733300564E-3</v>
      </c>
      <c r="J459" s="13"/>
      <c r="K459" s="17"/>
      <c r="L459" s="17"/>
      <c r="M459" s="17"/>
      <c r="N459" s="17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</row>
    <row r="460" spans="5:25" ht="15" customHeight="1" x14ac:dyDescent="0.25">
      <c r="E460" s="15">
        <v>40163</v>
      </c>
      <c r="F460" s="13">
        <v>1109.18</v>
      </c>
      <c r="G460" s="13">
        <v>597.76</v>
      </c>
      <c r="H460" s="17">
        <v>9.109335605325228E-4</v>
      </c>
      <c r="I460" s="17">
        <v>7.1432004247040911E-3</v>
      </c>
      <c r="J460" s="13"/>
      <c r="K460" s="17"/>
      <c r="L460" s="17"/>
      <c r="M460" s="17"/>
      <c r="N460" s="17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</row>
    <row r="461" spans="5:25" ht="15" customHeight="1" x14ac:dyDescent="0.25">
      <c r="E461" s="15">
        <v>40164</v>
      </c>
      <c r="F461" s="13">
        <v>1096.08</v>
      </c>
      <c r="G461" s="13">
        <v>593.94000000000005</v>
      </c>
      <c r="H461" s="17">
        <v>-1.2027823257705773E-2</v>
      </c>
      <c r="I461" s="17">
        <v>-7.0363790611361219E-3</v>
      </c>
      <c r="J461" s="13"/>
      <c r="K461" s="17"/>
      <c r="L461" s="17"/>
      <c r="M461" s="17"/>
      <c r="N461" s="17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</row>
    <row r="462" spans="5:25" ht="15" customHeight="1" x14ac:dyDescent="0.25">
      <c r="E462" s="15">
        <v>40165</v>
      </c>
      <c r="F462" s="13">
        <v>1102.47</v>
      </c>
      <c r="G462" s="13">
        <v>596.41999999999996</v>
      </c>
      <c r="H462" s="17">
        <v>5.6125698707978995E-3</v>
      </c>
      <c r="I462" s="17">
        <v>3.5296515074928272E-3</v>
      </c>
      <c r="J462" s="13"/>
      <c r="K462" s="17"/>
      <c r="L462" s="17"/>
      <c r="M462" s="17"/>
      <c r="N462" s="17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</row>
    <row r="463" spans="5:25" ht="15" customHeight="1" x14ac:dyDescent="0.25">
      <c r="E463" s="15">
        <v>40168</v>
      </c>
      <c r="F463" s="13">
        <v>1114.05</v>
      </c>
      <c r="G463" s="13">
        <v>598.67999999999995</v>
      </c>
      <c r="H463" s="17">
        <v>1.0286390612852057E-2</v>
      </c>
      <c r="I463" s="17">
        <v>3.1434215776790452E-3</v>
      </c>
      <c r="J463" s="13"/>
      <c r="K463" s="17"/>
      <c r="L463" s="17"/>
      <c r="M463" s="17"/>
      <c r="N463" s="17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</row>
    <row r="464" spans="5:25" ht="15" customHeight="1" x14ac:dyDescent="0.25">
      <c r="E464" s="15">
        <v>40169</v>
      </c>
      <c r="F464" s="13">
        <v>1118.02</v>
      </c>
      <c r="G464" s="13">
        <v>601.12</v>
      </c>
      <c r="H464" s="17">
        <v>3.34627778354604E-3</v>
      </c>
      <c r="I464" s="17">
        <v>3.4297786235288857E-3</v>
      </c>
      <c r="J464" s="13"/>
      <c r="K464" s="17"/>
      <c r="L464" s="17"/>
      <c r="M464" s="17"/>
      <c r="N464" s="17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</row>
    <row r="465" spans="5:25" ht="15" customHeight="1" x14ac:dyDescent="0.25">
      <c r="E465" s="15">
        <v>40170</v>
      </c>
      <c r="F465" s="13">
        <v>1120.5899999999999</v>
      </c>
      <c r="G465" s="13">
        <v>611.67999999999995</v>
      </c>
      <c r="H465" s="17">
        <v>2.0814100797902531E-3</v>
      </c>
      <c r="I465" s="17">
        <v>1.6921353442758112E-2</v>
      </c>
      <c r="J465" s="13"/>
      <c r="K465" s="17"/>
      <c r="L465" s="17"/>
      <c r="M465" s="17"/>
      <c r="N465" s="17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</row>
    <row r="466" spans="5:25" ht="15" customHeight="1" x14ac:dyDescent="0.25">
      <c r="E466" s="15">
        <v>40171</v>
      </c>
      <c r="F466" s="13">
        <v>1126.48</v>
      </c>
      <c r="G466" s="13">
        <v>618.48</v>
      </c>
      <c r="H466" s="17">
        <v>5.0388631392765991E-3</v>
      </c>
      <c r="I466" s="17">
        <v>1.0471069445899791E-2</v>
      </c>
      <c r="J466" s="13"/>
      <c r="K466" s="17"/>
      <c r="L466" s="17"/>
      <c r="M466" s="17"/>
      <c r="N466" s="17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</row>
    <row r="467" spans="5:25" ht="15" customHeight="1" x14ac:dyDescent="0.25">
      <c r="E467" s="15">
        <v>40175</v>
      </c>
      <c r="F467" s="13">
        <v>1127.78</v>
      </c>
      <c r="G467" s="13">
        <v>622.87</v>
      </c>
      <c r="H467" s="17">
        <v>9.3674079299229708E-4</v>
      </c>
      <c r="I467" s="17">
        <v>6.4521923886044471E-3</v>
      </c>
      <c r="J467" s="13"/>
      <c r="K467" s="17"/>
      <c r="L467" s="17"/>
      <c r="M467" s="17"/>
      <c r="N467" s="17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</row>
    <row r="468" spans="5:25" ht="15" customHeight="1" x14ac:dyDescent="0.25">
      <c r="E468" s="15">
        <v>40176</v>
      </c>
      <c r="F468" s="13">
        <v>1126.2</v>
      </c>
      <c r="G468" s="13">
        <v>619.4</v>
      </c>
      <c r="H468" s="17">
        <v>-1.6182790234274763E-3</v>
      </c>
      <c r="I468" s="17">
        <v>-6.2168403558838679E-3</v>
      </c>
      <c r="J468" s="13"/>
      <c r="K468" s="17"/>
      <c r="L468" s="17"/>
      <c r="M468" s="17"/>
      <c r="N468" s="17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</row>
    <row r="469" spans="5:25" ht="15" customHeight="1" x14ac:dyDescent="0.25">
      <c r="E469" s="15">
        <v>40177</v>
      </c>
      <c r="F469" s="13">
        <v>1126.42</v>
      </c>
      <c r="G469" s="13">
        <v>622.73</v>
      </c>
      <c r="H469" s="17">
        <v>-2.1949377084523738E-5</v>
      </c>
      <c r="I469" s="17">
        <v>4.7303160517001598E-3</v>
      </c>
      <c r="J469" s="13"/>
      <c r="K469" s="17"/>
      <c r="L469" s="17"/>
      <c r="M469" s="17"/>
      <c r="N469" s="17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</row>
    <row r="470" spans="5:25" ht="15" customHeight="1" x14ac:dyDescent="0.25">
      <c r="E470" s="15">
        <v>40178</v>
      </c>
      <c r="F470" s="13">
        <v>1115.0999999999999</v>
      </c>
      <c r="G470" s="13">
        <v>619.98</v>
      </c>
      <c r="H470" s="17">
        <v>-1.0266834035010297E-2</v>
      </c>
      <c r="I470" s="17">
        <v>-5.0618934897120153E-3</v>
      </c>
      <c r="J470" s="13"/>
      <c r="K470" s="17"/>
      <c r="L470" s="17"/>
      <c r="M470" s="17"/>
      <c r="N470" s="17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</row>
    <row r="471" spans="5:25" ht="15" customHeight="1" x14ac:dyDescent="0.25">
      <c r="E471" s="15">
        <v>40182</v>
      </c>
      <c r="F471" s="13">
        <v>1132.99</v>
      </c>
      <c r="G471" s="13">
        <v>626.75</v>
      </c>
      <c r="H471" s="17">
        <v>1.5826107616688224E-2</v>
      </c>
      <c r="I471" s="17">
        <v>1.0273852651456944E-2</v>
      </c>
      <c r="J471" s="13"/>
      <c r="K471" s="17"/>
      <c r="L471" s="17"/>
      <c r="M471" s="17"/>
      <c r="N471" s="17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</row>
    <row r="472" spans="5:25" ht="15" customHeight="1" x14ac:dyDescent="0.25">
      <c r="E472" s="15">
        <v>40183</v>
      </c>
      <c r="F472" s="13">
        <v>1136.52</v>
      </c>
      <c r="G472" s="13">
        <v>623.99</v>
      </c>
      <c r="H472" s="17">
        <v>2.8983531786417626E-3</v>
      </c>
      <c r="I472" s="17">
        <v>-5.0495241606390972E-3</v>
      </c>
      <c r="J472" s="13"/>
      <c r="K472" s="17"/>
      <c r="L472" s="17"/>
      <c r="M472" s="17"/>
      <c r="N472" s="17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</row>
    <row r="473" spans="5:25" ht="15" customHeight="1" x14ac:dyDescent="0.25">
      <c r="E473" s="15">
        <v>40184</v>
      </c>
      <c r="F473" s="13">
        <v>1137.1400000000001</v>
      </c>
      <c r="G473" s="13">
        <v>608.26</v>
      </c>
      <c r="H473" s="17">
        <v>3.2822837345966523E-4</v>
      </c>
      <c r="I473" s="17">
        <v>-2.5854591755376782E-2</v>
      </c>
      <c r="J473" s="13"/>
      <c r="K473" s="17"/>
      <c r="L473" s="17"/>
      <c r="M473" s="17"/>
      <c r="N473" s="17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</row>
    <row r="474" spans="5:25" ht="15" customHeight="1" x14ac:dyDescent="0.25">
      <c r="E474" s="15">
        <v>40185</v>
      </c>
      <c r="F474" s="13">
        <v>1141.69</v>
      </c>
      <c r="G474" s="13">
        <v>594.1</v>
      </c>
      <c r="H474" s="17">
        <v>3.7839697725308647E-3</v>
      </c>
      <c r="I474" s="17">
        <v>-2.3925373062771423E-2</v>
      </c>
      <c r="J474" s="13"/>
      <c r="K474" s="17"/>
      <c r="L474" s="17"/>
      <c r="M474" s="17"/>
      <c r="N474" s="17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</row>
    <row r="475" spans="5:25" ht="15" customHeight="1" x14ac:dyDescent="0.25">
      <c r="E475" s="15">
        <v>40186</v>
      </c>
      <c r="F475" s="13">
        <v>1144.98</v>
      </c>
      <c r="G475" s="13">
        <v>602.02</v>
      </c>
      <c r="H475" s="17">
        <v>2.6643963665944699E-3</v>
      </c>
      <c r="I475" s="17">
        <v>1.2685234606380325E-2</v>
      </c>
      <c r="J475" s="13"/>
      <c r="K475" s="17"/>
      <c r="L475" s="17"/>
      <c r="M475" s="17"/>
      <c r="N475" s="17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</row>
    <row r="476" spans="5:25" ht="15" customHeight="1" x14ac:dyDescent="0.25">
      <c r="E476" s="15">
        <v>40189</v>
      </c>
      <c r="F476" s="13">
        <v>1146.98</v>
      </c>
      <c r="G476" s="13">
        <v>601.11</v>
      </c>
      <c r="H476" s="17">
        <v>1.5294588395319071E-3</v>
      </c>
      <c r="I476" s="17">
        <v>-2.1574321243173437E-3</v>
      </c>
      <c r="J476" s="13"/>
      <c r="K476" s="17"/>
      <c r="L476" s="17"/>
      <c r="M476" s="17"/>
      <c r="N476" s="17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</row>
    <row r="477" spans="5:25" ht="15" customHeight="1" x14ac:dyDescent="0.25">
      <c r="E477" s="15">
        <v>40190</v>
      </c>
      <c r="F477" s="13">
        <v>1136.22</v>
      </c>
      <c r="G477" s="13">
        <v>590.48</v>
      </c>
      <c r="H477" s="17">
        <v>-9.5984540367202355E-3</v>
      </c>
      <c r="I477" s="17">
        <v>-1.8329805792525307E-2</v>
      </c>
      <c r="J477" s="13"/>
      <c r="K477" s="17"/>
      <c r="L477" s="17"/>
      <c r="M477" s="17"/>
      <c r="N477" s="17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</row>
    <row r="478" spans="5:25" ht="15" customHeight="1" x14ac:dyDescent="0.25">
      <c r="E478" s="15">
        <v>40191</v>
      </c>
      <c r="F478" s="13">
        <v>1145.68</v>
      </c>
      <c r="G478" s="13">
        <v>587.09</v>
      </c>
      <c r="H478" s="17">
        <v>8.1085558254326388E-3</v>
      </c>
      <c r="I478" s="17">
        <v>-6.3869464288233389E-3</v>
      </c>
      <c r="J478" s="13"/>
      <c r="K478" s="17"/>
      <c r="L478" s="17"/>
      <c r="M478" s="17"/>
      <c r="N478" s="17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</row>
    <row r="479" spans="5:25" ht="15" customHeight="1" x14ac:dyDescent="0.25">
      <c r="E479" s="15">
        <v>40192</v>
      </c>
      <c r="F479" s="13">
        <v>1148.46</v>
      </c>
      <c r="G479" s="13">
        <v>589.85</v>
      </c>
      <c r="H479" s="17">
        <v>2.2092099665645092E-3</v>
      </c>
      <c r="I479" s="17">
        <v>4.0552987093051985E-3</v>
      </c>
      <c r="J479" s="13"/>
      <c r="K479" s="17"/>
      <c r="L479" s="17"/>
      <c r="M479" s="17"/>
      <c r="N479" s="17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</row>
    <row r="480" spans="5:25" ht="15" customHeight="1" x14ac:dyDescent="0.25">
      <c r="E480" s="15">
        <v>40193</v>
      </c>
      <c r="F480" s="13">
        <v>1136.03</v>
      </c>
      <c r="G480" s="13">
        <v>580</v>
      </c>
      <c r="H480" s="17">
        <v>-1.1040485876695396E-2</v>
      </c>
      <c r="I480" s="17">
        <v>-1.7345015239462587E-2</v>
      </c>
      <c r="J480" s="13"/>
      <c r="K480" s="17"/>
      <c r="L480" s="17"/>
      <c r="M480" s="17"/>
      <c r="N480" s="17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</row>
    <row r="481" spans="5:25" ht="15" customHeight="1" x14ac:dyDescent="0.25">
      <c r="E481" s="15">
        <v>40197</v>
      </c>
      <c r="F481" s="13">
        <v>1150.23</v>
      </c>
      <c r="G481" s="13">
        <v>587.62</v>
      </c>
      <c r="H481" s="17">
        <v>1.2282373340774371E-2</v>
      </c>
      <c r="I481" s="17">
        <v>1.2492076598614305E-2</v>
      </c>
      <c r="J481" s="13"/>
      <c r="K481" s="17"/>
      <c r="L481" s="17"/>
      <c r="M481" s="17"/>
      <c r="N481" s="17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</row>
    <row r="482" spans="5:25" ht="15" customHeight="1" x14ac:dyDescent="0.25">
      <c r="E482" s="15">
        <v>40198</v>
      </c>
      <c r="F482" s="13">
        <v>1138.04</v>
      </c>
      <c r="G482" s="13">
        <v>580.41</v>
      </c>
      <c r="H482" s="17">
        <v>-1.0815176986224391E-2</v>
      </c>
      <c r="I482" s="17">
        <v>-1.2915688682490423E-2</v>
      </c>
      <c r="J482" s="13"/>
      <c r="K482" s="17"/>
      <c r="L482" s="17"/>
      <c r="M482" s="17"/>
      <c r="N482" s="17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</row>
    <row r="483" spans="5:25" ht="15" customHeight="1" x14ac:dyDescent="0.25">
      <c r="E483" s="15">
        <v>40199</v>
      </c>
      <c r="F483" s="13">
        <v>1116.48</v>
      </c>
      <c r="G483" s="13">
        <v>582.98</v>
      </c>
      <c r="H483" s="17">
        <v>-1.916214911582223E-2</v>
      </c>
      <c r="I483" s="17">
        <v>3.7820499765296774E-3</v>
      </c>
      <c r="J483" s="13"/>
      <c r="K483" s="17"/>
      <c r="L483" s="17"/>
      <c r="M483" s="17"/>
      <c r="N483" s="17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</row>
    <row r="484" spans="5:25" ht="15" customHeight="1" x14ac:dyDescent="0.25">
      <c r="E484" s="15">
        <v>40200</v>
      </c>
      <c r="F484" s="13">
        <v>1091.76</v>
      </c>
      <c r="G484" s="13">
        <v>550.01</v>
      </c>
      <c r="H484" s="17">
        <v>-2.2358311179678049E-2</v>
      </c>
      <c r="I484" s="17">
        <v>-5.7200110156476372E-2</v>
      </c>
      <c r="J484" s="13"/>
      <c r="K484" s="17"/>
      <c r="L484" s="17"/>
      <c r="M484" s="17"/>
      <c r="N484" s="17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</row>
    <row r="485" spans="5:25" ht="15" customHeight="1" x14ac:dyDescent="0.25">
      <c r="E485" s="15">
        <v>40203</v>
      </c>
      <c r="F485" s="13">
        <v>1096.78</v>
      </c>
      <c r="G485" s="13">
        <v>540</v>
      </c>
      <c r="H485" s="17">
        <v>4.3807836018294657E-3</v>
      </c>
      <c r="I485" s="17">
        <v>-1.8845523532793968E-2</v>
      </c>
      <c r="J485" s="13"/>
      <c r="K485" s="17"/>
      <c r="L485" s="17"/>
      <c r="M485" s="17"/>
      <c r="N485" s="17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</row>
    <row r="486" spans="5:25" ht="15" customHeight="1" x14ac:dyDescent="0.25">
      <c r="E486" s="15">
        <v>40204</v>
      </c>
      <c r="F486" s="13">
        <v>1092.17</v>
      </c>
      <c r="G486" s="13">
        <v>542.41999999999996</v>
      </c>
      <c r="H486" s="17">
        <v>-4.4205096041224808E-3</v>
      </c>
      <c r="I486" s="17">
        <v>3.8356270456130267E-3</v>
      </c>
      <c r="J486" s="13"/>
      <c r="K486" s="17"/>
      <c r="L486" s="17"/>
      <c r="M486" s="17"/>
      <c r="N486" s="17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</row>
    <row r="487" spans="5:25" ht="15" customHeight="1" x14ac:dyDescent="0.25">
      <c r="E487" s="15">
        <v>40205</v>
      </c>
      <c r="F487" s="13">
        <v>1097.5</v>
      </c>
      <c r="G487" s="13">
        <v>542.1</v>
      </c>
      <c r="H487" s="17">
        <v>4.6628960816931346E-3</v>
      </c>
      <c r="I487" s="17">
        <v>-1.2358031840709548E-3</v>
      </c>
      <c r="J487" s="13"/>
      <c r="K487" s="17"/>
      <c r="L487" s="17"/>
      <c r="M487" s="17"/>
      <c r="N487" s="17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</row>
    <row r="488" spans="5:25" ht="15" customHeight="1" x14ac:dyDescent="0.25">
      <c r="E488" s="15">
        <v>40206</v>
      </c>
      <c r="F488" s="13">
        <v>1084.53</v>
      </c>
      <c r="G488" s="13">
        <v>534.29</v>
      </c>
      <c r="H488" s="17">
        <v>-1.2035064216067716E-2</v>
      </c>
      <c r="I488" s="17">
        <v>-1.5052790425538259E-2</v>
      </c>
      <c r="J488" s="13"/>
      <c r="K488" s="17"/>
      <c r="L488" s="17"/>
      <c r="M488" s="17"/>
      <c r="N488" s="17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</row>
    <row r="489" spans="5:25" ht="15" customHeight="1" x14ac:dyDescent="0.25">
      <c r="E489" s="15">
        <v>40207</v>
      </c>
      <c r="F489" s="13">
        <v>1073.8699999999999</v>
      </c>
      <c r="G489" s="13">
        <v>529.94000000000005</v>
      </c>
      <c r="H489" s="17">
        <v>-1.0046439140200057E-2</v>
      </c>
      <c r="I489" s="17">
        <v>-8.7875003584947445E-3</v>
      </c>
      <c r="J489" s="13"/>
      <c r="K489" s="17"/>
      <c r="L489" s="17"/>
      <c r="M489" s="17"/>
      <c r="N489" s="17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</row>
    <row r="490" spans="5:25" ht="15" customHeight="1" x14ac:dyDescent="0.25">
      <c r="E490" s="15">
        <v>40210</v>
      </c>
      <c r="F490" s="13">
        <v>1089.19</v>
      </c>
      <c r="G490" s="13">
        <v>533.02</v>
      </c>
      <c r="H490" s="17">
        <v>1.4048862283733643E-2</v>
      </c>
      <c r="I490" s="17">
        <v>5.1661242787030062E-3</v>
      </c>
      <c r="J490" s="13"/>
      <c r="K490" s="17"/>
      <c r="L490" s="17"/>
      <c r="M490" s="17"/>
      <c r="N490" s="17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</row>
    <row r="491" spans="5:25" ht="15" customHeight="1" x14ac:dyDescent="0.25">
      <c r="E491" s="15">
        <v>40211</v>
      </c>
      <c r="F491" s="13">
        <v>1103.32</v>
      </c>
      <c r="G491" s="13">
        <v>531.12</v>
      </c>
      <c r="H491" s="17">
        <v>1.2755646634011028E-2</v>
      </c>
      <c r="I491" s="17">
        <v>-4.2104486349604222E-3</v>
      </c>
      <c r="J491" s="13"/>
      <c r="K491" s="17"/>
      <c r="L491" s="17"/>
      <c r="M491" s="17"/>
      <c r="N491" s="17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</row>
    <row r="492" spans="5:25" ht="15" customHeight="1" x14ac:dyDescent="0.25">
      <c r="E492" s="15">
        <v>40212</v>
      </c>
      <c r="F492" s="13">
        <v>1097.28</v>
      </c>
      <c r="G492" s="13">
        <v>540.82000000000005</v>
      </c>
      <c r="H492" s="17">
        <v>-5.6916829597278736E-3</v>
      </c>
      <c r="I492" s="17">
        <v>1.7617438228689462E-2</v>
      </c>
      <c r="J492" s="13"/>
      <c r="K492" s="17"/>
      <c r="L492" s="17"/>
      <c r="M492" s="17"/>
      <c r="N492" s="17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</row>
    <row r="493" spans="5:25" ht="15" customHeight="1" x14ac:dyDescent="0.25">
      <c r="E493" s="15">
        <v>40213</v>
      </c>
      <c r="F493" s="13">
        <v>1063.1099999999999</v>
      </c>
      <c r="G493" s="13">
        <v>526.78</v>
      </c>
      <c r="H493" s="17">
        <v>-3.1357935232475403E-2</v>
      </c>
      <c r="I493" s="17">
        <v>-2.6606432816845493E-2</v>
      </c>
      <c r="J493" s="13"/>
      <c r="K493" s="17"/>
      <c r="L493" s="17"/>
      <c r="M493" s="17"/>
      <c r="N493" s="17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</row>
    <row r="494" spans="5:25" ht="15" customHeight="1" x14ac:dyDescent="0.25">
      <c r="E494" s="15">
        <v>40214</v>
      </c>
      <c r="F494" s="13">
        <v>1066.19</v>
      </c>
      <c r="G494" s="13">
        <v>531.29</v>
      </c>
      <c r="H494" s="17">
        <v>2.6798636562947345E-3</v>
      </c>
      <c r="I494" s="17">
        <v>7.9155943662880431E-3</v>
      </c>
      <c r="J494" s="13"/>
      <c r="K494" s="17"/>
      <c r="L494" s="17"/>
      <c r="M494" s="17"/>
      <c r="N494" s="17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</row>
    <row r="495" spans="5:25" ht="15" customHeight="1" x14ac:dyDescent="0.25">
      <c r="E495" s="15">
        <v>40217</v>
      </c>
      <c r="F495" s="13">
        <v>1056.74</v>
      </c>
      <c r="G495" s="13">
        <v>533.47</v>
      </c>
      <c r="H495" s="17">
        <v>-9.0806323654962218E-3</v>
      </c>
      <c r="I495" s="17">
        <v>3.4573660275319476E-3</v>
      </c>
      <c r="J495" s="13"/>
      <c r="K495" s="17"/>
      <c r="L495" s="17"/>
      <c r="M495" s="17"/>
      <c r="N495" s="17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</row>
    <row r="496" spans="5:25" ht="15" customHeight="1" x14ac:dyDescent="0.25">
      <c r="E496" s="15">
        <v>40218</v>
      </c>
      <c r="F496" s="13">
        <v>1070.52</v>
      </c>
      <c r="G496" s="13">
        <v>536.44000000000005</v>
      </c>
      <c r="H496" s="17">
        <v>1.2822807909935655E-2</v>
      </c>
      <c r="I496" s="17">
        <v>4.9214689375171152E-3</v>
      </c>
      <c r="J496" s="13"/>
      <c r="K496" s="17"/>
      <c r="L496" s="17"/>
      <c r="M496" s="17"/>
      <c r="N496" s="17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</row>
    <row r="497" spans="5:25" ht="15" customHeight="1" x14ac:dyDescent="0.25">
      <c r="E497" s="15">
        <v>40219</v>
      </c>
      <c r="F497" s="13">
        <v>1068.1300000000001</v>
      </c>
      <c r="G497" s="13">
        <v>534.45000000000005</v>
      </c>
      <c r="H497" s="17">
        <v>-2.4498564397519109E-3</v>
      </c>
      <c r="I497" s="17">
        <v>-4.3554957750676204E-3</v>
      </c>
      <c r="J497" s="13"/>
      <c r="K497" s="17"/>
      <c r="L497" s="17"/>
      <c r="M497" s="17"/>
      <c r="N497" s="17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</row>
    <row r="498" spans="5:25" ht="15" customHeight="1" x14ac:dyDescent="0.25">
      <c r="E498" s="15">
        <v>40220</v>
      </c>
      <c r="F498" s="13">
        <v>1078.47</v>
      </c>
      <c r="G498" s="13">
        <v>536.4</v>
      </c>
      <c r="H498" s="17">
        <v>9.4631730434504256E-3</v>
      </c>
      <c r="I498" s="17">
        <v>3.0027562854338186E-3</v>
      </c>
      <c r="J498" s="13"/>
      <c r="K498" s="17"/>
      <c r="L498" s="17"/>
      <c r="M498" s="17"/>
      <c r="N498" s="17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</row>
    <row r="499" spans="5:25" ht="15" customHeight="1" x14ac:dyDescent="0.25">
      <c r="E499" s="15">
        <v>40221</v>
      </c>
      <c r="F499" s="13">
        <v>1075.51</v>
      </c>
      <c r="G499" s="13">
        <v>533.12</v>
      </c>
      <c r="H499" s="17">
        <v>-2.9619255274171501E-3</v>
      </c>
      <c r="I499" s="17">
        <v>-6.7606941077551072E-3</v>
      </c>
      <c r="J499" s="13"/>
      <c r="K499" s="17"/>
      <c r="L499" s="17"/>
      <c r="M499" s="17"/>
      <c r="N499" s="17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</row>
    <row r="500" spans="5:25" ht="15" customHeight="1" x14ac:dyDescent="0.25">
      <c r="E500" s="15">
        <v>40225</v>
      </c>
      <c r="F500" s="13">
        <v>1094.8699999999999</v>
      </c>
      <c r="G500" s="13">
        <v>541.29999999999995</v>
      </c>
      <c r="H500" s="17">
        <v>1.7783465866678009E-2</v>
      </c>
      <c r="I500" s="17">
        <v>1.469778301911354E-2</v>
      </c>
      <c r="J500" s="13"/>
      <c r="K500" s="17"/>
      <c r="L500" s="17"/>
      <c r="M500" s="17"/>
      <c r="N500" s="17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</row>
    <row r="501" spans="5:25" ht="15" customHeight="1" x14ac:dyDescent="0.25">
      <c r="E501" s="15">
        <v>40226</v>
      </c>
      <c r="F501" s="13">
        <v>1099.51</v>
      </c>
      <c r="G501" s="13">
        <v>538.21</v>
      </c>
      <c r="H501" s="17">
        <v>4.0206494952136386E-3</v>
      </c>
      <c r="I501" s="17">
        <v>-6.3543340220498703E-3</v>
      </c>
      <c r="J501" s="13"/>
      <c r="K501" s="17"/>
      <c r="L501" s="17"/>
      <c r="M501" s="17"/>
      <c r="N501" s="17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</row>
    <row r="502" spans="5:25" ht="15" customHeight="1" x14ac:dyDescent="0.25">
      <c r="E502" s="15">
        <v>40227</v>
      </c>
      <c r="F502" s="13">
        <v>1106.75</v>
      </c>
      <c r="G502" s="13">
        <v>543.22</v>
      </c>
      <c r="H502" s="17">
        <v>6.367454826946041E-3</v>
      </c>
      <c r="I502" s="17">
        <v>8.6627797403824505E-3</v>
      </c>
      <c r="J502" s="13"/>
      <c r="K502" s="17"/>
      <c r="L502" s="17"/>
      <c r="M502" s="17"/>
      <c r="N502" s="17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</row>
    <row r="503" spans="5:25" ht="15" customHeight="1" x14ac:dyDescent="0.25">
      <c r="E503" s="15">
        <v>40228</v>
      </c>
      <c r="F503" s="13">
        <v>1109.17</v>
      </c>
      <c r="G503" s="13">
        <v>540.76</v>
      </c>
      <c r="H503" s="17">
        <v>1.9692857733583221E-3</v>
      </c>
      <c r="I503" s="17">
        <v>-5.1744064037635993E-3</v>
      </c>
      <c r="J503" s="13"/>
      <c r="K503" s="17"/>
      <c r="L503" s="17"/>
      <c r="M503" s="17"/>
      <c r="N503" s="17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</row>
    <row r="504" spans="5:25" ht="15" customHeight="1" x14ac:dyDescent="0.25">
      <c r="E504" s="15">
        <v>40231</v>
      </c>
      <c r="F504" s="13">
        <v>1108.01</v>
      </c>
      <c r="G504" s="13">
        <v>542.79999999999995</v>
      </c>
      <c r="H504" s="17">
        <v>-1.2631236221827722E-3</v>
      </c>
      <c r="I504" s="17">
        <v>3.1266139419701428E-3</v>
      </c>
      <c r="J504" s="13"/>
      <c r="K504" s="17"/>
      <c r="L504" s="17"/>
      <c r="M504" s="17"/>
      <c r="N504" s="17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</row>
    <row r="505" spans="5:25" ht="15" customHeight="1" x14ac:dyDescent="0.25">
      <c r="E505" s="15">
        <v>40232</v>
      </c>
      <c r="F505" s="13">
        <v>1094.5999999999999</v>
      </c>
      <c r="G505" s="13">
        <v>535.07000000000005</v>
      </c>
      <c r="H505" s="17">
        <v>-1.2320075418095672E-2</v>
      </c>
      <c r="I505" s="17">
        <v>-1.4886827169840453E-2</v>
      </c>
      <c r="J505" s="13"/>
      <c r="K505" s="17"/>
      <c r="L505" s="17"/>
      <c r="M505" s="17"/>
      <c r="N505" s="17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</row>
    <row r="506" spans="5:25" ht="15" customHeight="1" x14ac:dyDescent="0.25">
      <c r="E506" s="15">
        <v>40233</v>
      </c>
      <c r="F506" s="13">
        <v>1105.24</v>
      </c>
      <c r="G506" s="13">
        <v>531.47</v>
      </c>
      <c r="H506" s="17">
        <v>9.5031492626497169E-3</v>
      </c>
      <c r="I506" s="17">
        <v>-7.3739460874280649E-3</v>
      </c>
      <c r="J506" s="13"/>
      <c r="K506" s="17"/>
      <c r="L506" s="17"/>
      <c r="M506" s="17"/>
      <c r="N506" s="17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</row>
    <row r="507" spans="5:25" ht="15" customHeight="1" x14ac:dyDescent="0.25">
      <c r="E507" s="15">
        <v>40234</v>
      </c>
      <c r="F507" s="13">
        <v>1102.94</v>
      </c>
      <c r="G507" s="13">
        <v>526.42999999999995</v>
      </c>
      <c r="H507" s="17">
        <v>-2.2982925450821456E-3</v>
      </c>
      <c r="I507" s="17">
        <v>-1.0128986127215097E-2</v>
      </c>
      <c r="J507" s="13"/>
      <c r="K507" s="17"/>
      <c r="L507" s="17"/>
      <c r="M507" s="17"/>
      <c r="N507" s="17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</row>
    <row r="508" spans="5:25" ht="15" customHeight="1" x14ac:dyDescent="0.25">
      <c r="E508" s="15">
        <v>40235</v>
      </c>
      <c r="F508" s="13">
        <v>1104.49</v>
      </c>
      <c r="G508" s="13">
        <v>526.79999999999995</v>
      </c>
      <c r="H508" s="17">
        <v>1.1880382700479816E-3</v>
      </c>
      <c r="I508" s="17">
        <v>5.6993046227930088E-5</v>
      </c>
      <c r="J508" s="13"/>
      <c r="K508" s="17"/>
      <c r="L508" s="17"/>
      <c r="M508" s="17"/>
      <c r="N508" s="17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</row>
    <row r="509" spans="5:25" ht="15" customHeight="1" x14ac:dyDescent="0.25">
      <c r="E509" s="15">
        <v>40238</v>
      </c>
      <c r="F509" s="13">
        <v>1115.71</v>
      </c>
      <c r="G509" s="13">
        <v>532.69000000000005</v>
      </c>
      <c r="H509" s="17">
        <v>9.9412381460177481E-3</v>
      </c>
      <c r="I509" s="17">
        <v>1.0534859307487657E-2</v>
      </c>
      <c r="J509" s="13"/>
      <c r="K509" s="17"/>
      <c r="L509" s="17"/>
      <c r="M509" s="17"/>
      <c r="N509" s="17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</row>
    <row r="510" spans="5:25" ht="15" customHeight="1" x14ac:dyDescent="0.25">
      <c r="E510" s="15">
        <v>40239</v>
      </c>
      <c r="F510" s="13">
        <v>1118.31</v>
      </c>
      <c r="G510" s="13">
        <v>541.05999999999995</v>
      </c>
      <c r="H510" s="17">
        <v>2.1130580997445864E-3</v>
      </c>
      <c r="I510" s="17">
        <v>1.5066849012666339E-2</v>
      </c>
      <c r="J510" s="13"/>
      <c r="K510" s="17"/>
      <c r="L510" s="17"/>
      <c r="M510" s="17"/>
      <c r="N510" s="17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</row>
    <row r="511" spans="5:25" ht="15" customHeight="1" x14ac:dyDescent="0.25">
      <c r="E511" s="15">
        <v>40240</v>
      </c>
      <c r="F511" s="13">
        <v>1118.79</v>
      </c>
      <c r="G511" s="13">
        <v>545.32000000000005</v>
      </c>
      <c r="H511" s="17">
        <v>2.1192252720983337E-4</v>
      </c>
      <c r="I511" s="17">
        <v>7.2275791944128448E-3</v>
      </c>
      <c r="J511" s="13"/>
      <c r="K511" s="17"/>
      <c r="L511" s="17"/>
      <c r="M511" s="17"/>
      <c r="N511" s="17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</row>
    <row r="512" spans="5:25" ht="15" customHeight="1" x14ac:dyDescent="0.25">
      <c r="E512" s="15">
        <v>40241</v>
      </c>
      <c r="F512" s="13">
        <v>1122.97</v>
      </c>
      <c r="G512" s="13">
        <v>554.59</v>
      </c>
      <c r="H512" s="17">
        <v>3.5188827027897284E-3</v>
      </c>
      <c r="I512" s="17">
        <v>1.6353338698438007E-2</v>
      </c>
      <c r="J512" s="13"/>
      <c r="K512" s="17"/>
      <c r="L512" s="17"/>
      <c r="M512" s="17"/>
      <c r="N512" s="17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</row>
    <row r="513" spans="5:25" ht="15" customHeight="1" x14ac:dyDescent="0.25">
      <c r="E513" s="15">
        <v>40242</v>
      </c>
      <c r="F513" s="13">
        <v>1138.7</v>
      </c>
      <c r="G513" s="13">
        <v>564.21</v>
      </c>
      <c r="H513" s="17">
        <v>1.3790201411813021E-2</v>
      </c>
      <c r="I513" s="17">
        <v>1.670029316866823E-2</v>
      </c>
      <c r="J513" s="13"/>
      <c r="K513" s="17"/>
      <c r="L513" s="17"/>
      <c r="M513" s="17"/>
      <c r="N513" s="17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</row>
    <row r="514" spans="5:25" ht="15" customHeight="1" x14ac:dyDescent="0.25">
      <c r="E514" s="15">
        <v>40245</v>
      </c>
      <c r="F514" s="13">
        <v>1138.5</v>
      </c>
      <c r="G514" s="13">
        <v>562.48</v>
      </c>
      <c r="H514" s="17">
        <v>-3.9293544875863292E-4</v>
      </c>
      <c r="I514" s="17">
        <v>-3.7120886394451376E-3</v>
      </c>
      <c r="J514" s="13"/>
      <c r="K514" s="17"/>
      <c r="L514" s="17"/>
      <c r="M514" s="17"/>
      <c r="N514" s="17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</row>
    <row r="515" spans="5:25" ht="15" customHeight="1" x14ac:dyDescent="0.25">
      <c r="E515" s="15">
        <v>40246</v>
      </c>
      <c r="F515" s="13">
        <v>1140.45</v>
      </c>
      <c r="G515" s="13">
        <v>560.19000000000005</v>
      </c>
      <c r="H515" s="17">
        <v>1.495483411340366E-3</v>
      </c>
      <c r="I515" s="17">
        <v>-4.7171103027437225E-3</v>
      </c>
      <c r="J515" s="13"/>
      <c r="K515" s="17"/>
      <c r="L515" s="17"/>
      <c r="M515" s="17"/>
      <c r="N515" s="17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</row>
    <row r="516" spans="5:25" ht="15" customHeight="1" x14ac:dyDescent="0.25">
      <c r="E516" s="15">
        <v>40247</v>
      </c>
      <c r="F516" s="13">
        <v>1145.6099999999999</v>
      </c>
      <c r="G516" s="13">
        <v>576.45000000000005</v>
      </c>
      <c r="H516" s="17">
        <v>4.3072332285628507E-3</v>
      </c>
      <c r="I516" s="17">
        <v>2.8380011788091273E-2</v>
      </c>
      <c r="J516" s="13"/>
      <c r="K516" s="17"/>
      <c r="L516" s="17"/>
      <c r="M516" s="17"/>
      <c r="N516" s="17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</row>
    <row r="517" spans="5:25" ht="15" customHeight="1" x14ac:dyDescent="0.25">
      <c r="E517" s="15">
        <v>40248</v>
      </c>
      <c r="F517" s="13">
        <v>1150.24</v>
      </c>
      <c r="G517" s="13">
        <v>581.14</v>
      </c>
      <c r="H517" s="17">
        <v>3.82421843843279E-3</v>
      </c>
      <c r="I517" s="17">
        <v>7.4901504214478776E-3</v>
      </c>
      <c r="J517" s="13"/>
      <c r="K517" s="17"/>
      <c r="L517" s="17"/>
      <c r="M517" s="17"/>
      <c r="N517" s="17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</row>
    <row r="518" spans="5:25" ht="15" customHeight="1" x14ac:dyDescent="0.25">
      <c r="E518" s="15">
        <v>40249</v>
      </c>
      <c r="F518" s="13">
        <v>1149.99</v>
      </c>
      <c r="G518" s="13">
        <v>579.54</v>
      </c>
      <c r="H518" s="17">
        <v>-4.3464250750321952E-4</v>
      </c>
      <c r="I518" s="17">
        <v>-3.3990636453532608E-3</v>
      </c>
      <c r="J518" s="13"/>
      <c r="K518" s="17"/>
      <c r="L518" s="17"/>
      <c r="M518" s="17"/>
      <c r="N518" s="17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</row>
    <row r="519" spans="5:25" ht="15" customHeight="1" x14ac:dyDescent="0.25">
      <c r="E519" s="15">
        <v>40252</v>
      </c>
      <c r="F519" s="13">
        <v>1150.51</v>
      </c>
      <c r="G519" s="13">
        <v>563.17999999999995</v>
      </c>
      <c r="H519" s="17">
        <v>2.3488128271556636E-4</v>
      </c>
      <c r="I519" s="17">
        <v>-2.8875139731102607E-2</v>
      </c>
      <c r="J519" s="13"/>
      <c r="K519" s="17"/>
      <c r="L519" s="17"/>
      <c r="M519" s="17"/>
      <c r="N519" s="17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</row>
    <row r="520" spans="5:25" ht="15" customHeight="1" x14ac:dyDescent="0.25">
      <c r="E520" s="15">
        <v>40253</v>
      </c>
      <c r="F520" s="13">
        <v>1159.46</v>
      </c>
      <c r="G520" s="13">
        <v>565.20000000000005</v>
      </c>
      <c r="H520" s="17">
        <v>7.5618622455238755E-3</v>
      </c>
      <c r="I520" s="17">
        <v>2.9409206626790788E-3</v>
      </c>
      <c r="J520" s="13"/>
      <c r="K520" s="17"/>
      <c r="L520" s="17"/>
      <c r="M520" s="17"/>
      <c r="N520" s="17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</row>
    <row r="521" spans="5:25" ht="15" customHeight="1" x14ac:dyDescent="0.25">
      <c r="E521" s="15">
        <v>40254</v>
      </c>
      <c r="F521" s="13">
        <v>1166.21</v>
      </c>
      <c r="G521" s="13">
        <v>565.55999999999995</v>
      </c>
      <c r="H521" s="17">
        <v>5.6043790453012667E-3</v>
      </c>
      <c r="I521" s="17">
        <v>-8.911760709219332E-6</v>
      </c>
      <c r="J521" s="13"/>
      <c r="K521" s="17"/>
      <c r="L521" s="17"/>
      <c r="M521" s="17"/>
      <c r="N521" s="17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</row>
    <row r="522" spans="5:25" ht="15" customHeight="1" x14ac:dyDescent="0.25">
      <c r="E522" s="15">
        <v>40255</v>
      </c>
      <c r="F522" s="13">
        <v>1165.83</v>
      </c>
      <c r="G522" s="13">
        <v>566.4</v>
      </c>
      <c r="H522" s="17">
        <v>-5.4313839182529788E-4</v>
      </c>
      <c r="I522" s="17">
        <v>8.3939911813112067E-4</v>
      </c>
      <c r="J522" s="13"/>
      <c r="K522" s="17"/>
      <c r="L522" s="17"/>
      <c r="M522" s="17"/>
      <c r="N522" s="17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</row>
    <row r="523" spans="5:25" ht="15" customHeight="1" x14ac:dyDescent="0.25">
      <c r="E523" s="15">
        <v>40256</v>
      </c>
      <c r="F523" s="13">
        <v>1159.9000000000001</v>
      </c>
      <c r="G523" s="13">
        <v>560</v>
      </c>
      <c r="H523" s="17">
        <v>-5.3038014558185187E-3</v>
      </c>
      <c r="I523" s="17">
        <v>-1.1945289464117043E-2</v>
      </c>
      <c r="J523" s="13"/>
      <c r="K523" s="17"/>
      <c r="L523" s="17"/>
      <c r="M523" s="17"/>
      <c r="N523" s="17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</row>
    <row r="524" spans="5:25" ht="15" customHeight="1" x14ac:dyDescent="0.25">
      <c r="E524" s="15">
        <v>40259</v>
      </c>
      <c r="F524" s="13">
        <v>1165.81</v>
      </c>
      <c r="G524" s="13">
        <v>557.5</v>
      </c>
      <c r="H524" s="17">
        <v>4.877970271038529E-3</v>
      </c>
      <c r="I524" s="17">
        <v>-5.1101401501541695E-3</v>
      </c>
      <c r="J524" s="13"/>
      <c r="K524" s="17"/>
      <c r="L524" s="17"/>
      <c r="M524" s="17"/>
      <c r="N524" s="17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</row>
    <row r="525" spans="5:25" ht="15" customHeight="1" x14ac:dyDescent="0.25">
      <c r="E525" s="15">
        <v>40260</v>
      </c>
      <c r="F525" s="13">
        <v>1174.17</v>
      </c>
      <c r="G525" s="13">
        <v>549</v>
      </c>
      <c r="H525" s="17">
        <v>6.9536832714544765E-3</v>
      </c>
      <c r="I525" s="17">
        <v>-1.5892491207168905E-2</v>
      </c>
      <c r="J525" s="13"/>
      <c r="K525" s="17"/>
      <c r="L525" s="17"/>
      <c r="M525" s="17"/>
      <c r="N525" s="17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</row>
    <row r="526" spans="5:25" ht="15" customHeight="1" x14ac:dyDescent="0.25">
      <c r="E526" s="15">
        <v>40261</v>
      </c>
      <c r="F526" s="13">
        <v>1167.72</v>
      </c>
      <c r="G526" s="13">
        <v>557.33000000000004</v>
      </c>
      <c r="H526" s="17">
        <v>-5.7105385971082225E-3</v>
      </c>
      <c r="I526" s="17">
        <v>1.4527187458484915E-2</v>
      </c>
      <c r="J526" s="13"/>
      <c r="K526" s="17"/>
      <c r="L526" s="17"/>
      <c r="M526" s="17"/>
      <c r="N526" s="17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</row>
    <row r="527" spans="5:25" ht="15" customHeight="1" x14ac:dyDescent="0.25">
      <c r="E527" s="15">
        <v>40262</v>
      </c>
      <c r="F527" s="13">
        <v>1165.73</v>
      </c>
      <c r="G527" s="13">
        <v>562.88</v>
      </c>
      <c r="H527" s="17">
        <v>-1.9214722208574552E-3</v>
      </c>
      <c r="I527" s="17">
        <v>9.3123390939971531E-3</v>
      </c>
      <c r="J527" s="13"/>
      <c r="K527" s="17"/>
      <c r="L527" s="17"/>
      <c r="M527" s="17"/>
      <c r="N527" s="17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</row>
    <row r="528" spans="5:25" ht="15" customHeight="1" x14ac:dyDescent="0.25">
      <c r="E528" s="15">
        <v>40263</v>
      </c>
      <c r="F528" s="13">
        <v>1166.5899999999999</v>
      </c>
      <c r="G528" s="13">
        <v>562.69000000000005</v>
      </c>
      <c r="H528" s="17">
        <v>5.2043859077087126E-4</v>
      </c>
      <c r="I528" s="17">
        <v>-9.834041800412805E-4</v>
      </c>
      <c r="J528" s="13"/>
      <c r="K528" s="17"/>
      <c r="L528" s="17"/>
      <c r="M528" s="17"/>
      <c r="N528" s="17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</row>
    <row r="529" spans="5:25" ht="15" customHeight="1" x14ac:dyDescent="0.25">
      <c r="E529" s="15">
        <v>40266</v>
      </c>
      <c r="F529" s="13">
        <v>1173.22</v>
      </c>
      <c r="G529" s="13">
        <v>562.45000000000005</v>
      </c>
      <c r="H529" s="17">
        <v>5.4659340499882067E-3</v>
      </c>
      <c r="I529" s="17">
        <v>-1.0723770326801986E-3</v>
      </c>
      <c r="J529" s="13"/>
      <c r="K529" s="17"/>
      <c r="L529" s="17"/>
      <c r="M529" s="17"/>
      <c r="N529" s="17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</row>
    <row r="530" spans="5:25" ht="15" customHeight="1" x14ac:dyDescent="0.25">
      <c r="E530" s="15">
        <v>40267</v>
      </c>
      <c r="F530" s="13">
        <v>1173.27</v>
      </c>
      <c r="G530" s="13">
        <v>566.71</v>
      </c>
      <c r="H530" s="17">
        <v>-1.7467880945804535E-4</v>
      </c>
      <c r="I530" s="17">
        <v>6.9281521424940668E-3</v>
      </c>
      <c r="J530" s="13"/>
      <c r="K530" s="17"/>
      <c r="L530" s="17"/>
      <c r="M530" s="17"/>
      <c r="N530" s="17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</row>
    <row r="531" spans="5:25" ht="15" customHeight="1" x14ac:dyDescent="0.25">
      <c r="E531" s="15">
        <v>40268</v>
      </c>
      <c r="F531" s="13">
        <v>1169.43</v>
      </c>
      <c r="G531" s="13">
        <v>567.12</v>
      </c>
      <c r="H531" s="17">
        <v>-3.490200497464764E-3</v>
      </c>
      <c r="I531" s="17">
        <v>7.7619651407223914E-5</v>
      </c>
      <c r="J531" s="13"/>
      <c r="K531" s="17"/>
      <c r="L531" s="17"/>
      <c r="M531" s="17"/>
      <c r="N531" s="17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</row>
    <row r="532" spans="5:25" ht="15" customHeight="1" x14ac:dyDescent="0.25">
      <c r="E532" s="15">
        <v>40269</v>
      </c>
      <c r="F532" s="13">
        <v>1178.0999999999999</v>
      </c>
      <c r="G532" s="13">
        <v>568.79999999999995</v>
      </c>
      <c r="H532" s="17">
        <v>7.1965717325011194E-3</v>
      </c>
      <c r="I532" s="17">
        <v>2.3164815776736524E-3</v>
      </c>
      <c r="J532" s="13"/>
      <c r="K532" s="17"/>
      <c r="L532" s="17"/>
      <c r="M532" s="17"/>
      <c r="N532" s="17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</row>
    <row r="533" spans="5:25" ht="15" customHeight="1" x14ac:dyDescent="0.25">
      <c r="E533" s="15">
        <v>40273</v>
      </c>
      <c r="F533" s="13">
        <v>1187.44</v>
      </c>
      <c r="G533" s="13">
        <v>571.01</v>
      </c>
      <c r="H533" s="17">
        <v>7.7107231304164026E-3</v>
      </c>
      <c r="I533" s="17">
        <v>3.2395182786181835E-3</v>
      </c>
      <c r="J533" s="13"/>
      <c r="K533" s="17"/>
      <c r="L533" s="17"/>
      <c r="M533" s="17"/>
      <c r="N533" s="17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</row>
    <row r="534" spans="5:25" ht="15" customHeight="1" x14ac:dyDescent="0.25">
      <c r="E534" s="15">
        <v>40274</v>
      </c>
      <c r="F534" s="13">
        <v>1189.44</v>
      </c>
      <c r="G534" s="13">
        <v>568.22</v>
      </c>
      <c r="H534" s="17">
        <v>1.4669990652593778E-3</v>
      </c>
      <c r="I534" s="17">
        <v>-5.5319334887747092E-3</v>
      </c>
      <c r="J534" s="13"/>
      <c r="K534" s="17"/>
      <c r="L534" s="17"/>
      <c r="M534" s="17"/>
      <c r="N534" s="17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</row>
    <row r="535" spans="5:25" ht="15" customHeight="1" x14ac:dyDescent="0.25">
      <c r="E535" s="15">
        <v>40275</v>
      </c>
      <c r="F535" s="13">
        <v>1182.45</v>
      </c>
      <c r="G535" s="13">
        <v>563.54</v>
      </c>
      <c r="H535" s="17">
        <v>-6.0940116551259612E-3</v>
      </c>
      <c r="I535" s="17">
        <v>-8.8821009601020278E-3</v>
      </c>
      <c r="J535" s="13"/>
      <c r="K535" s="17"/>
      <c r="L535" s="17"/>
      <c r="M535" s="17"/>
      <c r="N535" s="17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</row>
    <row r="536" spans="5:25" ht="15" customHeight="1" x14ac:dyDescent="0.25">
      <c r="E536" s="15">
        <v>40276</v>
      </c>
      <c r="F536" s="13">
        <v>1186.44</v>
      </c>
      <c r="G536" s="13">
        <v>567.49</v>
      </c>
      <c r="H536" s="17">
        <v>3.1570533044928063E-3</v>
      </c>
      <c r="I536" s="17">
        <v>6.3634084381067732E-3</v>
      </c>
      <c r="J536" s="13"/>
      <c r="K536" s="17"/>
      <c r="L536" s="17"/>
      <c r="M536" s="17"/>
      <c r="N536" s="17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</row>
    <row r="537" spans="5:25" ht="15" customHeight="1" x14ac:dyDescent="0.25">
      <c r="E537" s="15">
        <v>40277</v>
      </c>
      <c r="F537" s="13">
        <v>1194.3699999999999</v>
      </c>
      <c r="G537" s="13">
        <v>566.22</v>
      </c>
      <c r="H537" s="17">
        <v>6.4665643998970913E-3</v>
      </c>
      <c r="I537" s="17">
        <v>-2.8837793332234744E-3</v>
      </c>
      <c r="J537" s="13"/>
      <c r="K537" s="17"/>
      <c r="L537" s="17"/>
      <c r="M537" s="17"/>
      <c r="N537" s="17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</row>
    <row r="538" spans="5:25" ht="15" customHeight="1" x14ac:dyDescent="0.25">
      <c r="E538" s="15">
        <v>40280</v>
      </c>
      <c r="F538" s="13">
        <v>1196.48</v>
      </c>
      <c r="G538" s="13">
        <v>572.73</v>
      </c>
      <c r="H538" s="17">
        <v>1.5493251713244581E-3</v>
      </c>
      <c r="I538" s="17">
        <v>1.0851443434217378E-2</v>
      </c>
      <c r="J538" s="13"/>
      <c r="K538" s="17"/>
      <c r="L538" s="17"/>
      <c r="M538" s="17"/>
      <c r="N538" s="17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</row>
    <row r="539" spans="5:25" ht="15" customHeight="1" x14ac:dyDescent="0.25">
      <c r="E539" s="15">
        <v>40281</v>
      </c>
      <c r="F539" s="13">
        <v>1197.3</v>
      </c>
      <c r="G539" s="13">
        <v>586.77</v>
      </c>
      <c r="H539" s="17">
        <v>4.6804711247017979E-4</v>
      </c>
      <c r="I539" s="17">
        <v>2.3868314544279259E-2</v>
      </c>
      <c r="J539" s="13"/>
      <c r="K539" s="17"/>
      <c r="L539" s="17"/>
      <c r="M539" s="17"/>
      <c r="N539" s="17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</row>
    <row r="540" spans="5:25" ht="15" customHeight="1" x14ac:dyDescent="0.25">
      <c r="E540" s="15">
        <v>40282</v>
      </c>
      <c r="F540" s="13">
        <v>1210.6500000000001</v>
      </c>
      <c r="G540" s="13">
        <v>589</v>
      </c>
      <c r="H540" s="17">
        <v>1.0932791135009796E-2</v>
      </c>
      <c r="I540" s="17">
        <v>3.1546125273368896E-3</v>
      </c>
      <c r="J540" s="13"/>
      <c r="K540" s="17"/>
      <c r="L540" s="17"/>
      <c r="M540" s="17"/>
      <c r="N540" s="17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</row>
    <row r="541" spans="5:25" ht="15" customHeight="1" x14ac:dyDescent="0.25">
      <c r="E541" s="15">
        <v>40283</v>
      </c>
      <c r="F541" s="13">
        <v>1211.67</v>
      </c>
      <c r="G541" s="13">
        <v>595.29999999999995</v>
      </c>
      <c r="H541" s="17">
        <v>6.2522604951092357E-4</v>
      </c>
      <c r="I541" s="17">
        <v>1.0050240640532223E-2</v>
      </c>
      <c r="J541" s="13"/>
      <c r="K541" s="17"/>
      <c r="L541" s="17"/>
      <c r="M541" s="17"/>
      <c r="N541" s="17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</row>
    <row r="542" spans="5:25" ht="15" customHeight="1" x14ac:dyDescent="0.25">
      <c r="E542" s="15">
        <v>40284</v>
      </c>
      <c r="F542" s="13">
        <v>1192.1300000000001</v>
      </c>
      <c r="G542" s="13">
        <v>550.15</v>
      </c>
      <c r="H542" s="17">
        <v>-1.6343799653084714E-2</v>
      </c>
      <c r="I542" s="17">
        <v>-7.6489966648198376E-2</v>
      </c>
      <c r="J542" s="13"/>
      <c r="K542" s="17"/>
      <c r="L542" s="17"/>
      <c r="M542" s="17"/>
      <c r="N542" s="17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</row>
    <row r="543" spans="5:25" ht="15" customHeight="1" x14ac:dyDescent="0.25">
      <c r="E543" s="15">
        <v>40287</v>
      </c>
      <c r="F543" s="13">
        <v>1197.52</v>
      </c>
      <c r="G543" s="13">
        <v>550.1</v>
      </c>
      <c r="H543" s="17">
        <v>4.3040224213587155E-3</v>
      </c>
      <c r="I543" s="17">
        <v>-7.3673874014910576E-4</v>
      </c>
      <c r="J543" s="13"/>
      <c r="K543" s="17"/>
      <c r="L543" s="17"/>
      <c r="M543" s="17"/>
      <c r="N543" s="17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</row>
    <row r="544" spans="5:25" ht="15" customHeight="1" x14ac:dyDescent="0.25">
      <c r="E544" s="15">
        <v>40288</v>
      </c>
      <c r="F544" s="13">
        <v>1207.17</v>
      </c>
      <c r="G544" s="13">
        <v>555.04</v>
      </c>
      <c r="H544" s="17">
        <v>7.8410239667842871E-3</v>
      </c>
      <c r="I544" s="17">
        <v>8.3343309849641216E-3</v>
      </c>
      <c r="J544" s="13"/>
      <c r="K544" s="17"/>
      <c r="L544" s="17"/>
      <c r="M544" s="17"/>
      <c r="N544" s="17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</row>
    <row r="545" spans="5:25" ht="15" customHeight="1" x14ac:dyDescent="0.25">
      <c r="E545" s="15">
        <v>40289</v>
      </c>
      <c r="F545" s="13">
        <v>1205.94</v>
      </c>
      <c r="G545" s="13">
        <v>554.29999999999995</v>
      </c>
      <c r="H545" s="17">
        <v>-1.2362085631044215E-3</v>
      </c>
      <c r="I545" s="17">
        <v>-1.9790916800310381E-3</v>
      </c>
      <c r="J545" s="13"/>
      <c r="K545" s="17"/>
      <c r="L545" s="17"/>
      <c r="M545" s="17"/>
      <c r="N545" s="17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</row>
    <row r="546" spans="5:25" ht="15" customHeight="1" x14ac:dyDescent="0.25">
      <c r="E546" s="15">
        <v>40290</v>
      </c>
      <c r="F546" s="13">
        <v>1208.67</v>
      </c>
      <c r="G546" s="13">
        <v>547.05999999999995</v>
      </c>
      <c r="H546" s="17">
        <v>2.0464976563086689E-3</v>
      </c>
      <c r="I546" s="17">
        <v>-1.3707373468883068E-2</v>
      </c>
      <c r="J546" s="13"/>
      <c r="K546" s="17"/>
      <c r="L546" s="17"/>
      <c r="M546" s="17"/>
      <c r="N546" s="17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</row>
    <row r="547" spans="5:25" ht="15" customHeight="1" x14ac:dyDescent="0.25">
      <c r="E547" s="15">
        <v>40291</v>
      </c>
      <c r="F547" s="13">
        <v>1217.28</v>
      </c>
      <c r="G547" s="13">
        <v>544.99</v>
      </c>
      <c r="H547" s="17">
        <v>6.9062359155383788E-3</v>
      </c>
      <c r="I547" s="17">
        <v>-4.4297172662709702E-3</v>
      </c>
      <c r="J547" s="13"/>
      <c r="K547" s="17"/>
      <c r="L547" s="17"/>
      <c r="M547" s="17"/>
      <c r="N547" s="17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</row>
    <row r="548" spans="5:25" ht="15" customHeight="1" x14ac:dyDescent="0.25">
      <c r="E548" s="15">
        <v>40294</v>
      </c>
      <c r="F548" s="13">
        <v>1212.05</v>
      </c>
      <c r="G548" s="13">
        <v>531.64</v>
      </c>
      <c r="H548" s="17">
        <v>-4.5137608104690048E-3</v>
      </c>
      <c r="I548" s="17">
        <v>-2.514171674526863E-2</v>
      </c>
      <c r="J548" s="13"/>
      <c r="K548" s="17"/>
      <c r="L548" s="17"/>
      <c r="M548" s="17"/>
      <c r="N548" s="17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</row>
    <row r="549" spans="5:25" ht="15" customHeight="1" x14ac:dyDescent="0.25">
      <c r="E549" s="15">
        <v>40295</v>
      </c>
      <c r="F549" s="13">
        <v>1183.71</v>
      </c>
      <c r="G549" s="13">
        <v>529.05999999999995</v>
      </c>
      <c r="H549" s="17">
        <v>-2.3599170247388172E-2</v>
      </c>
      <c r="I549" s="17">
        <v>-5.4987624187139896E-3</v>
      </c>
      <c r="J549" s="13"/>
      <c r="K549" s="17"/>
      <c r="L549" s="17"/>
      <c r="M549" s="17"/>
      <c r="N549" s="17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</row>
    <row r="550" spans="5:25" ht="15" customHeight="1" x14ac:dyDescent="0.25">
      <c r="E550" s="15">
        <v>40296</v>
      </c>
      <c r="F550" s="13">
        <v>1191.3599999999999</v>
      </c>
      <c r="G550" s="13">
        <v>529.19000000000005</v>
      </c>
      <c r="H550" s="17">
        <v>6.2454350189058211E-3</v>
      </c>
      <c r="I550" s="17">
        <v>-4.0013561380668509E-4</v>
      </c>
      <c r="J550" s="13"/>
      <c r="K550" s="17"/>
      <c r="L550" s="17"/>
      <c r="M550" s="17"/>
      <c r="N550" s="17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</row>
    <row r="551" spans="5:25" ht="15" customHeight="1" x14ac:dyDescent="0.25">
      <c r="E551" s="15">
        <v>40297</v>
      </c>
      <c r="F551" s="13">
        <v>1206.78</v>
      </c>
      <c r="G551" s="13">
        <v>532</v>
      </c>
      <c r="H551" s="17">
        <v>1.2725894412710973E-2</v>
      </c>
      <c r="I551" s="17">
        <v>4.6641476427800458E-3</v>
      </c>
      <c r="J551" s="13"/>
      <c r="K551" s="17"/>
      <c r="L551" s="17"/>
      <c r="M551" s="17"/>
      <c r="N551" s="17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</row>
    <row r="552" spans="5:25" ht="15" customHeight="1" x14ac:dyDescent="0.25">
      <c r="E552" s="15">
        <v>40298</v>
      </c>
      <c r="F552" s="13">
        <v>1186.69</v>
      </c>
      <c r="G552" s="13">
        <v>525.70000000000005</v>
      </c>
      <c r="H552" s="17">
        <v>-1.686490424556544E-2</v>
      </c>
      <c r="I552" s="17">
        <v>-1.2487959699026351E-2</v>
      </c>
      <c r="J552" s="13"/>
      <c r="K552" s="17"/>
      <c r="L552" s="17"/>
      <c r="M552" s="17"/>
      <c r="N552" s="17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</row>
    <row r="553" spans="5:25" ht="15" customHeight="1" x14ac:dyDescent="0.25">
      <c r="E553" s="15">
        <v>40301</v>
      </c>
      <c r="F553" s="13">
        <v>1202.26</v>
      </c>
      <c r="G553" s="13">
        <v>530.6</v>
      </c>
      <c r="H553" s="17">
        <v>1.2903231966624249E-2</v>
      </c>
      <c r="I553" s="17">
        <v>8.6750510235190283E-3</v>
      </c>
      <c r="J553" s="13"/>
      <c r="K553" s="17"/>
      <c r="L553" s="17"/>
      <c r="M553" s="17"/>
      <c r="N553" s="17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</row>
    <row r="554" spans="5:25" ht="15" customHeight="1" x14ac:dyDescent="0.25">
      <c r="E554" s="15">
        <v>40302</v>
      </c>
      <c r="F554" s="13">
        <v>1173.5999999999999</v>
      </c>
      <c r="G554" s="13">
        <v>506.37</v>
      </c>
      <c r="H554" s="17">
        <v>-2.405573417147857E-2</v>
      </c>
      <c r="I554" s="17">
        <v>-4.6311139019358849E-2</v>
      </c>
      <c r="J554" s="13"/>
      <c r="K554" s="17"/>
      <c r="L554" s="17"/>
      <c r="M554" s="17"/>
      <c r="N554" s="17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</row>
    <row r="555" spans="5:25" ht="15" customHeight="1" x14ac:dyDescent="0.25">
      <c r="E555" s="15">
        <v>40303</v>
      </c>
      <c r="F555" s="13">
        <v>1165.8699999999999</v>
      </c>
      <c r="G555" s="13">
        <v>509.76</v>
      </c>
      <c r="H555" s="17">
        <v>-6.803867796119671E-3</v>
      </c>
      <c r="I555" s="17">
        <v>6.0488549663473166E-3</v>
      </c>
      <c r="J555" s="13"/>
      <c r="K555" s="17"/>
      <c r="L555" s="17"/>
      <c r="M555" s="17"/>
      <c r="N555" s="17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</row>
    <row r="556" spans="5:25" ht="15" customHeight="1" x14ac:dyDescent="0.25">
      <c r="E556" s="15">
        <v>40304</v>
      </c>
      <c r="F556" s="13">
        <v>1128.1500000000001</v>
      </c>
      <c r="G556" s="13">
        <v>498.67</v>
      </c>
      <c r="H556" s="17">
        <v>-3.2570817966925472E-2</v>
      </c>
      <c r="I556" s="17">
        <v>-2.240119028018735E-2</v>
      </c>
      <c r="J556" s="13"/>
      <c r="K556" s="17"/>
      <c r="L556" s="17"/>
      <c r="M556" s="17"/>
      <c r="N556" s="17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</row>
    <row r="557" spans="5:25" ht="15" customHeight="1" x14ac:dyDescent="0.25">
      <c r="E557" s="15">
        <v>40305</v>
      </c>
      <c r="F557" s="13">
        <v>1110.8800000000001</v>
      </c>
      <c r="G557" s="13">
        <v>493.14</v>
      </c>
      <c r="H557" s="17">
        <v>-1.5525544578973625E-2</v>
      </c>
      <c r="I557" s="17">
        <v>-1.1735352500720964E-2</v>
      </c>
      <c r="J557" s="13"/>
      <c r="K557" s="17"/>
      <c r="L557" s="17"/>
      <c r="M557" s="17"/>
      <c r="N557" s="17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</row>
    <row r="558" spans="5:25" ht="15" customHeight="1" x14ac:dyDescent="0.25">
      <c r="E558" s="15">
        <v>40308</v>
      </c>
      <c r="F558" s="13">
        <v>1159.73</v>
      </c>
      <c r="G558" s="13">
        <v>521.65</v>
      </c>
      <c r="H558" s="17">
        <v>4.3756850060188306E-2</v>
      </c>
      <c r="I558" s="17">
        <v>5.7167342627845709E-2</v>
      </c>
      <c r="J558" s="13"/>
      <c r="K558" s="17"/>
      <c r="L558" s="17"/>
      <c r="M558" s="17"/>
      <c r="N558" s="17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</row>
    <row r="559" spans="5:25" ht="15" customHeight="1" x14ac:dyDescent="0.25">
      <c r="E559" s="15">
        <v>40309</v>
      </c>
      <c r="F559" s="13">
        <v>1155.79</v>
      </c>
      <c r="G559" s="13">
        <v>509.05</v>
      </c>
      <c r="H559" s="17">
        <v>-3.6146390471978973E-3</v>
      </c>
      <c r="I559" s="17">
        <v>-2.4799980765783148E-2</v>
      </c>
      <c r="J559" s="13"/>
      <c r="K559" s="17"/>
      <c r="L559" s="17"/>
      <c r="M559" s="17"/>
      <c r="N559" s="17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</row>
    <row r="560" spans="5:25" ht="15" customHeight="1" x14ac:dyDescent="0.25">
      <c r="E560" s="15">
        <v>40310</v>
      </c>
      <c r="F560" s="13">
        <v>1171.67</v>
      </c>
      <c r="G560" s="13">
        <v>505.39</v>
      </c>
      <c r="H560" s="17">
        <v>1.3522223592736292E-2</v>
      </c>
      <c r="I560" s="17">
        <v>-7.8357179070402457E-3</v>
      </c>
      <c r="J560" s="13"/>
      <c r="K560" s="17"/>
      <c r="L560" s="17"/>
      <c r="M560" s="17"/>
      <c r="N560" s="17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</row>
    <row r="561" spans="5:25" ht="15" customHeight="1" x14ac:dyDescent="0.25">
      <c r="E561" s="15">
        <v>40311</v>
      </c>
      <c r="F561" s="13">
        <v>1157.44</v>
      </c>
      <c r="G561" s="13">
        <v>510.88</v>
      </c>
      <c r="H561" s="17">
        <v>-1.2362354471106018E-2</v>
      </c>
      <c r="I561" s="17">
        <v>1.0217043524122839E-2</v>
      </c>
      <c r="J561" s="13"/>
      <c r="K561" s="17"/>
      <c r="L561" s="17"/>
      <c r="M561" s="17"/>
      <c r="N561" s="17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</row>
    <row r="562" spans="5:25" ht="15" customHeight="1" x14ac:dyDescent="0.25">
      <c r="E562" s="15">
        <v>40312</v>
      </c>
      <c r="F562" s="13">
        <v>1135.68</v>
      </c>
      <c r="G562" s="13">
        <v>507.53</v>
      </c>
      <c r="H562" s="17">
        <v>-1.9017407151194991E-2</v>
      </c>
      <c r="I562" s="17">
        <v>-7.2031673077757527E-3</v>
      </c>
      <c r="J562" s="13"/>
      <c r="K562" s="17"/>
      <c r="L562" s="17"/>
      <c r="M562" s="17"/>
      <c r="N562" s="17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</row>
    <row r="563" spans="5:25" ht="15" customHeight="1" x14ac:dyDescent="0.25">
      <c r="E563" s="15">
        <v>40315</v>
      </c>
      <c r="F563" s="13">
        <v>1136.94</v>
      </c>
      <c r="G563" s="13">
        <v>507.97</v>
      </c>
      <c r="H563" s="17">
        <v>8.9217089331212866E-4</v>
      </c>
      <c r="I563" s="17">
        <v>2.2108939011227519E-4</v>
      </c>
      <c r="J563" s="13"/>
      <c r="K563" s="17"/>
      <c r="L563" s="17"/>
      <c r="M563" s="17"/>
      <c r="N563" s="17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</row>
    <row r="564" spans="5:25" ht="15" customHeight="1" x14ac:dyDescent="0.25">
      <c r="E564" s="15">
        <v>40316</v>
      </c>
      <c r="F564" s="13">
        <v>1120.8</v>
      </c>
      <c r="G564" s="13">
        <v>498.37</v>
      </c>
      <c r="H564" s="17">
        <v>-1.4413296351216241E-2</v>
      </c>
      <c r="I564" s="17">
        <v>-1.9544608299285584E-2</v>
      </c>
      <c r="J564" s="13"/>
      <c r="K564" s="17"/>
      <c r="L564" s="17"/>
      <c r="M564" s="17"/>
      <c r="N564" s="17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</row>
    <row r="565" spans="5:25" ht="15" customHeight="1" x14ac:dyDescent="0.25">
      <c r="E565" s="15">
        <v>40317</v>
      </c>
      <c r="F565" s="13">
        <v>1115.05</v>
      </c>
      <c r="G565" s="13">
        <v>494.43</v>
      </c>
      <c r="H565" s="17">
        <v>-5.347560659382692E-3</v>
      </c>
      <c r="I565" s="17">
        <v>-8.5516272552596702E-3</v>
      </c>
      <c r="J565" s="13"/>
      <c r="K565" s="17"/>
      <c r="L565" s="17"/>
      <c r="M565" s="17"/>
      <c r="N565" s="17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</row>
    <row r="566" spans="5:25" ht="15" customHeight="1" x14ac:dyDescent="0.25">
      <c r="E566" s="15">
        <v>40318</v>
      </c>
      <c r="F566" s="13">
        <v>1071.5899999999999</v>
      </c>
      <c r="G566" s="13">
        <v>475.01</v>
      </c>
      <c r="H566" s="17">
        <v>-3.9193127242547726E-2</v>
      </c>
      <c r="I566" s="17">
        <v>-3.9923406364351766E-2</v>
      </c>
      <c r="J566" s="13"/>
      <c r="K566" s="17"/>
      <c r="L566" s="17"/>
      <c r="M566" s="17"/>
      <c r="N566" s="17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</row>
    <row r="567" spans="5:25" ht="15" customHeight="1" x14ac:dyDescent="0.25">
      <c r="E567" s="15">
        <v>40319</v>
      </c>
      <c r="F567" s="13">
        <v>1087.69</v>
      </c>
      <c r="G567" s="13">
        <v>472.05</v>
      </c>
      <c r="H567" s="17">
        <v>1.4807106427640342E-2</v>
      </c>
      <c r="I567" s="17">
        <v>-6.8773021948630025E-3</v>
      </c>
      <c r="J567" s="13"/>
      <c r="K567" s="17"/>
      <c r="L567" s="17"/>
      <c r="M567" s="17"/>
      <c r="N567" s="17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</row>
    <row r="568" spans="5:25" ht="15" customHeight="1" x14ac:dyDescent="0.25">
      <c r="E568" s="15">
        <v>40322</v>
      </c>
      <c r="F568" s="13">
        <v>1073.6500000000001</v>
      </c>
      <c r="G568" s="13">
        <v>477.16</v>
      </c>
      <c r="H568" s="17">
        <v>-1.3125386183432839E-2</v>
      </c>
      <c r="I568" s="17">
        <v>1.0179270021286508E-2</v>
      </c>
      <c r="J568" s="13"/>
      <c r="K568" s="17"/>
      <c r="L568" s="17"/>
      <c r="M568" s="17"/>
      <c r="N568" s="17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</row>
    <row r="569" spans="5:25" ht="15" customHeight="1" x14ac:dyDescent="0.25">
      <c r="E569" s="15">
        <v>40323</v>
      </c>
      <c r="F569" s="13">
        <v>1074.03</v>
      </c>
      <c r="G569" s="13">
        <v>477.07</v>
      </c>
      <c r="H569" s="17">
        <v>1.3663628359032869E-4</v>
      </c>
      <c r="I569" s="17">
        <v>-8.3447041373751357E-4</v>
      </c>
      <c r="J569" s="13"/>
      <c r="K569" s="17"/>
      <c r="L569" s="17"/>
      <c r="M569" s="17"/>
      <c r="N569" s="17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</row>
    <row r="570" spans="5:25" ht="15" customHeight="1" x14ac:dyDescent="0.25">
      <c r="E570" s="15">
        <v>40324</v>
      </c>
      <c r="F570" s="13">
        <v>1067.95</v>
      </c>
      <c r="G570" s="13">
        <v>475.47</v>
      </c>
      <c r="H570" s="17">
        <v>-5.8782185104856669E-3</v>
      </c>
      <c r="I570" s="17">
        <v>-3.9996599570707942E-3</v>
      </c>
      <c r="J570" s="13"/>
      <c r="K570" s="17"/>
      <c r="L570" s="17"/>
      <c r="M570" s="17"/>
      <c r="N570" s="17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</row>
    <row r="571" spans="5:25" ht="15" customHeight="1" x14ac:dyDescent="0.25">
      <c r="E571" s="15">
        <v>40325</v>
      </c>
      <c r="F571" s="13">
        <v>1103.06</v>
      </c>
      <c r="G571" s="13">
        <v>490.46</v>
      </c>
      <c r="H571" s="17">
        <v>3.2658774414796504E-2</v>
      </c>
      <c r="I571" s="17">
        <v>3.0880845461075623E-2</v>
      </c>
      <c r="J571" s="13"/>
      <c r="K571" s="17"/>
      <c r="L571" s="17"/>
      <c r="M571" s="17"/>
      <c r="N571" s="17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</row>
    <row r="572" spans="5:25" ht="15" customHeight="1" x14ac:dyDescent="0.25">
      <c r="E572" s="15">
        <v>40326</v>
      </c>
      <c r="F572" s="13">
        <v>1089.4100000000001</v>
      </c>
      <c r="G572" s="13">
        <v>485.63</v>
      </c>
      <c r="H572" s="17">
        <v>-1.2591963398202052E-2</v>
      </c>
      <c r="I572" s="17">
        <v>-1.0493752327643524E-2</v>
      </c>
      <c r="J572" s="13"/>
      <c r="K572" s="17"/>
      <c r="L572" s="17"/>
      <c r="M572" s="17"/>
      <c r="N572" s="17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</row>
    <row r="573" spans="5:25" ht="15" customHeight="1" x14ac:dyDescent="0.25">
      <c r="E573" s="15">
        <v>40330</v>
      </c>
      <c r="F573" s="13">
        <v>1070.71</v>
      </c>
      <c r="G573" s="13">
        <v>482.37</v>
      </c>
      <c r="H573" s="17">
        <v>-1.7382551149654618E-2</v>
      </c>
      <c r="I573" s="17">
        <v>-7.3587840324749248E-3</v>
      </c>
      <c r="J573" s="13"/>
      <c r="K573" s="17"/>
      <c r="L573" s="17"/>
      <c r="M573" s="17"/>
      <c r="N573" s="17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</row>
    <row r="574" spans="5:25" ht="15" customHeight="1" x14ac:dyDescent="0.25">
      <c r="E574" s="15">
        <v>40331</v>
      </c>
      <c r="F574" s="13">
        <v>1098.3800000000001</v>
      </c>
      <c r="G574" s="13">
        <v>493.37</v>
      </c>
      <c r="H574" s="17">
        <v>2.5625368585116368E-2</v>
      </c>
      <c r="I574" s="17">
        <v>2.2158217127454305E-2</v>
      </c>
      <c r="J574" s="13"/>
      <c r="K574" s="17"/>
      <c r="L574" s="17"/>
      <c r="M574" s="17"/>
      <c r="N574" s="17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</row>
    <row r="575" spans="5:25" ht="15" customHeight="1" x14ac:dyDescent="0.25">
      <c r="E575" s="15">
        <v>40332</v>
      </c>
      <c r="F575" s="13">
        <v>1102.83</v>
      </c>
      <c r="G575" s="13">
        <v>505.6</v>
      </c>
      <c r="H575" s="17">
        <v>3.8341246216162445E-3</v>
      </c>
      <c r="I575" s="17">
        <v>2.4142843701432153E-2</v>
      </c>
      <c r="J575" s="13"/>
      <c r="K575" s="17"/>
      <c r="L575" s="17"/>
      <c r="M575" s="17"/>
      <c r="N575" s="17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</row>
    <row r="576" spans="5:25" ht="15" customHeight="1" x14ac:dyDescent="0.25">
      <c r="E576" s="15">
        <v>40333</v>
      </c>
      <c r="F576" s="13">
        <v>1064.8800000000001</v>
      </c>
      <c r="G576" s="13">
        <v>498.72</v>
      </c>
      <c r="H576" s="17">
        <v>-3.4628765238351719E-2</v>
      </c>
      <c r="I576" s="17">
        <v>-1.4253449372577318E-2</v>
      </c>
      <c r="J576" s="13"/>
      <c r="K576" s="17"/>
      <c r="L576" s="17"/>
      <c r="M576" s="17"/>
      <c r="N576" s="17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</row>
    <row r="577" spans="5:25" ht="15" customHeight="1" x14ac:dyDescent="0.25">
      <c r="E577" s="15">
        <v>40336</v>
      </c>
      <c r="F577" s="13">
        <v>1050.47</v>
      </c>
      <c r="G577" s="13">
        <v>485.52</v>
      </c>
      <c r="H577" s="17">
        <v>-1.3749337731267177E-2</v>
      </c>
      <c r="I577" s="17">
        <v>-2.7113611894963738E-2</v>
      </c>
      <c r="J577" s="13"/>
      <c r="K577" s="17"/>
      <c r="L577" s="17"/>
      <c r="M577" s="17"/>
      <c r="N577" s="17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</row>
    <row r="578" spans="5:25" ht="15" customHeight="1" x14ac:dyDescent="0.25">
      <c r="E578" s="15">
        <v>40337</v>
      </c>
      <c r="F578" s="13">
        <v>1062</v>
      </c>
      <c r="G578" s="13">
        <v>484.78</v>
      </c>
      <c r="H578" s="17">
        <v>1.0758742734386593E-2</v>
      </c>
      <c r="I578" s="17">
        <v>-2.1699935032601174E-3</v>
      </c>
      <c r="J578" s="13"/>
      <c r="K578" s="17"/>
      <c r="L578" s="17"/>
      <c r="M578" s="17"/>
      <c r="N578" s="17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</row>
    <row r="579" spans="5:25" ht="15" customHeight="1" x14ac:dyDescent="0.25">
      <c r="E579" s="15">
        <v>40338</v>
      </c>
      <c r="F579" s="13">
        <v>1055.69</v>
      </c>
      <c r="G579" s="13">
        <v>474.02</v>
      </c>
      <c r="H579" s="17">
        <v>-6.1589161479965555E-3</v>
      </c>
      <c r="I579" s="17">
        <v>-2.2841489569331058E-2</v>
      </c>
      <c r="J579" s="13"/>
      <c r="K579" s="17"/>
      <c r="L579" s="17"/>
      <c r="M579" s="17"/>
      <c r="N579" s="17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</row>
    <row r="580" spans="5:25" ht="15" customHeight="1" x14ac:dyDescent="0.25">
      <c r="E580" s="15">
        <v>40339</v>
      </c>
      <c r="F580" s="13">
        <v>1086.8399999999999</v>
      </c>
      <c r="G580" s="13">
        <v>487.01</v>
      </c>
      <c r="H580" s="17">
        <v>2.9289471523018907E-2</v>
      </c>
      <c r="I580" s="17">
        <v>2.6758052572274663E-2</v>
      </c>
      <c r="J580" s="13"/>
      <c r="K580" s="17"/>
      <c r="L580" s="17"/>
      <c r="M580" s="17"/>
      <c r="N580" s="17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</row>
    <row r="581" spans="5:25" ht="15" customHeight="1" x14ac:dyDescent="0.25">
      <c r="E581" s="15">
        <v>40340</v>
      </c>
      <c r="F581" s="13">
        <v>1091.5999999999999</v>
      </c>
      <c r="G581" s="13">
        <v>488.5</v>
      </c>
      <c r="H581" s="17">
        <v>4.1623729382612882E-3</v>
      </c>
      <c r="I581" s="17">
        <v>2.4136309956421919E-3</v>
      </c>
      <c r="J581" s="13"/>
      <c r="K581" s="17"/>
      <c r="L581" s="17"/>
      <c r="M581" s="17"/>
      <c r="N581" s="17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</row>
    <row r="582" spans="5:25" ht="15" customHeight="1" x14ac:dyDescent="0.25">
      <c r="E582" s="15">
        <v>40343</v>
      </c>
      <c r="F582" s="13">
        <v>1089.6300000000001</v>
      </c>
      <c r="G582" s="13">
        <v>483.19</v>
      </c>
      <c r="H582" s="17">
        <v>-2.0219869250794184E-3</v>
      </c>
      <c r="I582" s="17">
        <v>-1.1515864671282988E-2</v>
      </c>
      <c r="J582" s="13"/>
      <c r="K582" s="17"/>
      <c r="L582" s="17"/>
      <c r="M582" s="17"/>
      <c r="N582" s="17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</row>
    <row r="583" spans="5:25" ht="15" customHeight="1" x14ac:dyDescent="0.25">
      <c r="E583" s="15">
        <v>40344</v>
      </c>
      <c r="F583" s="13">
        <v>1115.23</v>
      </c>
      <c r="G583" s="13">
        <v>497.99</v>
      </c>
      <c r="H583" s="17">
        <v>2.3276917069841193E-2</v>
      </c>
      <c r="I583" s="17">
        <v>2.9983918531287325E-2</v>
      </c>
      <c r="J583" s="13"/>
      <c r="K583" s="17"/>
      <c r="L583" s="17"/>
      <c r="M583" s="17"/>
      <c r="N583" s="17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</row>
    <row r="584" spans="5:25" ht="15" customHeight="1" x14ac:dyDescent="0.25">
      <c r="E584" s="15">
        <v>40345</v>
      </c>
      <c r="F584" s="13">
        <v>1114.6099999999999</v>
      </c>
      <c r="G584" s="13">
        <v>501.27</v>
      </c>
      <c r="H584" s="17">
        <v>-7.7323569594080059E-4</v>
      </c>
      <c r="I584" s="17">
        <v>5.9406232042447998E-3</v>
      </c>
      <c r="J584" s="13"/>
      <c r="K584" s="17"/>
      <c r="L584" s="17"/>
      <c r="M584" s="17"/>
      <c r="N584" s="17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</row>
    <row r="585" spans="5:25" ht="15" customHeight="1" x14ac:dyDescent="0.25">
      <c r="E585" s="15">
        <v>40346</v>
      </c>
      <c r="F585" s="13">
        <v>1116.04</v>
      </c>
      <c r="G585" s="13">
        <v>500.08</v>
      </c>
      <c r="H585" s="17">
        <v>1.0656633967796563E-3</v>
      </c>
      <c r="I585" s="17">
        <v>-3.0198245517740548E-3</v>
      </c>
      <c r="J585" s="13"/>
      <c r="K585" s="17"/>
      <c r="L585" s="17"/>
      <c r="M585" s="17"/>
      <c r="N585" s="17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</row>
    <row r="586" spans="5:25" ht="15" customHeight="1" x14ac:dyDescent="0.25">
      <c r="E586" s="15">
        <v>40347</v>
      </c>
      <c r="F586" s="13">
        <v>1117.51</v>
      </c>
      <c r="G586" s="13">
        <v>500.03</v>
      </c>
      <c r="H586" s="17">
        <v>1.0998605288345135E-3</v>
      </c>
      <c r="I586" s="17">
        <v>-7.4583843842804557E-4</v>
      </c>
      <c r="J586" s="13"/>
      <c r="K586" s="17"/>
      <c r="L586" s="17"/>
      <c r="M586" s="17"/>
      <c r="N586" s="17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</row>
    <row r="587" spans="5:25" ht="15" customHeight="1" x14ac:dyDescent="0.25">
      <c r="E587" s="15">
        <v>40350</v>
      </c>
      <c r="F587" s="13">
        <v>1113.2</v>
      </c>
      <c r="G587" s="13">
        <v>488.56</v>
      </c>
      <c r="H587" s="17">
        <v>-4.0740853158773736E-3</v>
      </c>
      <c r="I587" s="17">
        <v>-2.3584478118447504E-2</v>
      </c>
      <c r="J587" s="13"/>
      <c r="K587" s="17"/>
      <c r="L587" s="17"/>
      <c r="M587" s="17"/>
      <c r="N587" s="17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</row>
    <row r="588" spans="5:25" ht="15" customHeight="1" x14ac:dyDescent="0.25">
      <c r="E588" s="15">
        <v>40351</v>
      </c>
      <c r="F588" s="13">
        <v>1095.31</v>
      </c>
      <c r="G588" s="13">
        <v>486.25</v>
      </c>
      <c r="H588" s="17">
        <v>-1.6288083482898466E-2</v>
      </c>
      <c r="I588" s="17">
        <v>-5.3740352120269621E-3</v>
      </c>
      <c r="J588" s="13"/>
      <c r="K588" s="17"/>
      <c r="L588" s="17"/>
      <c r="M588" s="17"/>
      <c r="N588" s="17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</row>
    <row r="589" spans="5:25" ht="15" customHeight="1" x14ac:dyDescent="0.25">
      <c r="E589" s="15">
        <v>40352</v>
      </c>
      <c r="F589" s="13">
        <v>1092.04</v>
      </c>
      <c r="G589" s="13">
        <v>482.05</v>
      </c>
      <c r="H589" s="17">
        <v>-3.2027527345343883E-3</v>
      </c>
      <c r="I589" s="17">
        <v>-9.2833865695445481E-3</v>
      </c>
      <c r="J589" s="13"/>
      <c r="K589" s="17"/>
      <c r="L589" s="17"/>
      <c r="M589" s="17"/>
      <c r="N589" s="17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</row>
    <row r="590" spans="5:25" ht="15" customHeight="1" x14ac:dyDescent="0.25">
      <c r="E590" s="15">
        <v>40353</v>
      </c>
      <c r="F590" s="13">
        <v>1073.69</v>
      </c>
      <c r="G590" s="13">
        <v>475.1</v>
      </c>
      <c r="H590" s="17">
        <v>-1.702071035667568E-2</v>
      </c>
      <c r="I590" s="17">
        <v>-1.5063445972016157E-2</v>
      </c>
      <c r="J590" s="13"/>
      <c r="K590" s="17"/>
      <c r="L590" s="17"/>
      <c r="M590" s="17"/>
      <c r="N590" s="17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</row>
    <row r="591" spans="5:25" ht="15" customHeight="1" x14ac:dyDescent="0.25">
      <c r="E591" s="15">
        <v>40354</v>
      </c>
      <c r="F591" s="13">
        <v>1076.76</v>
      </c>
      <c r="G591" s="13">
        <v>472.68</v>
      </c>
      <c r="H591" s="17">
        <v>2.6420017453960306E-3</v>
      </c>
      <c r="I591" s="17">
        <v>-5.739518927554416E-3</v>
      </c>
      <c r="J591" s="13"/>
      <c r="K591" s="17"/>
      <c r="L591" s="17"/>
      <c r="M591" s="17"/>
      <c r="N591" s="17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</row>
    <row r="592" spans="5:25" ht="15" customHeight="1" x14ac:dyDescent="0.25">
      <c r="E592" s="15">
        <v>40357</v>
      </c>
      <c r="F592" s="13">
        <v>1074.57</v>
      </c>
      <c r="G592" s="13">
        <v>472.08</v>
      </c>
      <c r="H592" s="17">
        <v>-2.2511759783350282E-3</v>
      </c>
      <c r="I592" s="17">
        <v>-1.9152121408697244E-3</v>
      </c>
      <c r="J592" s="13"/>
      <c r="K592" s="17"/>
      <c r="L592" s="17"/>
      <c r="M592" s="17"/>
      <c r="N592" s="17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</row>
    <row r="593" spans="5:25" ht="15" customHeight="1" x14ac:dyDescent="0.25">
      <c r="E593" s="15">
        <v>40358</v>
      </c>
      <c r="F593" s="13">
        <v>1041.24</v>
      </c>
      <c r="G593" s="13">
        <v>454.26</v>
      </c>
      <c r="H593" s="17">
        <v>-3.123435454829427E-2</v>
      </c>
      <c r="I593" s="17">
        <v>-3.8393693785131293E-2</v>
      </c>
      <c r="J593" s="13"/>
      <c r="K593" s="17"/>
      <c r="L593" s="17"/>
      <c r="M593" s="17"/>
      <c r="N593" s="17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</row>
    <row r="594" spans="5:25" ht="15" customHeight="1" x14ac:dyDescent="0.25">
      <c r="E594" s="15">
        <v>40359</v>
      </c>
      <c r="F594" s="13">
        <v>1030.71</v>
      </c>
      <c r="G594" s="13">
        <v>444.95</v>
      </c>
      <c r="H594" s="17">
        <v>-1.0330238823459341E-2</v>
      </c>
      <c r="I594" s="17">
        <v>-2.1140725214717573E-2</v>
      </c>
      <c r="J594" s="13"/>
      <c r="K594" s="17"/>
      <c r="L594" s="17"/>
      <c r="M594" s="17"/>
      <c r="N594" s="17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</row>
    <row r="595" spans="5:25" ht="15" customHeight="1" x14ac:dyDescent="0.25">
      <c r="E595" s="15">
        <v>40360</v>
      </c>
      <c r="F595" s="13">
        <v>1027.3699999999999</v>
      </c>
      <c r="G595" s="13">
        <v>439.49</v>
      </c>
      <c r="H595" s="17">
        <v>-3.45778127672933E-3</v>
      </c>
      <c r="I595" s="17">
        <v>-1.2916896125945992E-2</v>
      </c>
      <c r="J595" s="13"/>
      <c r="K595" s="17"/>
      <c r="L595" s="17"/>
      <c r="M595" s="17"/>
      <c r="N595" s="17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</row>
    <row r="596" spans="5:25" ht="15" customHeight="1" x14ac:dyDescent="0.25">
      <c r="E596" s="15">
        <v>40361</v>
      </c>
      <c r="F596" s="13">
        <v>1022.58</v>
      </c>
      <c r="G596" s="13">
        <v>436.55</v>
      </c>
      <c r="H596" s="17">
        <v>-4.8796869377338015E-3</v>
      </c>
      <c r="I596" s="17">
        <v>-7.3354264397820822E-3</v>
      </c>
      <c r="J596" s="13"/>
      <c r="K596" s="17"/>
      <c r="L596" s="17"/>
      <c r="M596" s="17"/>
      <c r="N596" s="17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</row>
    <row r="597" spans="5:25" ht="15" customHeight="1" x14ac:dyDescent="0.25">
      <c r="E597" s="15">
        <v>40365</v>
      </c>
      <c r="F597" s="13">
        <v>1028.06</v>
      </c>
      <c r="G597" s="13">
        <v>436.07</v>
      </c>
      <c r="H597" s="17">
        <v>5.141697355037147E-3</v>
      </c>
      <c r="I597" s="17">
        <v>-1.7453848447563259E-3</v>
      </c>
      <c r="J597" s="13"/>
      <c r="K597" s="17"/>
      <c r="L597" s="17"/>
      <c r="M597" s="17"/>
      <c r="N597" s="17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</row>
    <row r="598" spans="5:25" ht="15" customHeight="1" x14ac:dyDescent="0.25">
      <c r="E598" s="15">
        <v>40366</v>
      </c>
      <c r="F598" s="13">
        <v>1060.27</v>
      </c>
      <c r="G598" s="13">
        <v>450.2</v>
      </c>
      <c r="H598" s="17">
        <v>3.111355961340042E-2</v>
      </c>
      <c r="I598" s="17">
        <v>3.1757200119592821E-2</v>
      </c>
      <c r="J598" s="13"/>
      <c r="K598" s="17"/>
      <c r="L598" s="17"/>
      <c r="M598" s="17"/>
      <c r="N598" s="17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</row>
    <row r="599" spans="5:25" ht="15" customHeight="1" x14ac:dyDescent="0.25">
      <c r="E599" s="15">
        <v>40367</v>
      </c>
      <c r="F599" s="13">
        <v>1070.25</v>
      </c>
      <c r="G599" s="13">
        <v>456.56</v>
      </c>
      <c r="H599" s="17">
        <v>9.1954002036089433E-3</v>
      </c>
      <c r="I599" s="17">
        <v>1.3481200206512708E-2</v>
      </c>
      <c r="J599" s="13"/>
      <c r="K599" s="17"/>
      <c r="L599" s="17"/>
      <c r="M599" s="17"/>
      <c r="N599" s="17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</row>
    <row r="600" spans="5:25" ht="15" customHeight="1" x14ac:dyDescent="0.25">
      <c r="E600" s="15">
        <v>40368</v>
      </c>
      <c r="F600" s="13">
        <v>1077.96</v>
      </c>
      <c r="G600" s="13">
        <v>467.49</v>
      </c>
      <c r="H600" s="17">
        <v>6.9866277544392502E-3</v>
      </c>
      <c r="I600" s="17">
        <v>2.3294043934553837E-2</v>
      </c>
      <c r="J600" s="13"/>
      <c r="K600" s="17"/>
      <c r="L600" s="17"/>
      <c r="M600" s="17"/>
      <c r="N600" s="17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</row>
    <row r="601" spans="5:25" ht="15" customHeight="1" x14ac:dyDescent="0.25">
      <c r="E601" s="15">
        <v>40371</v>
      </c>
      <c r="F601" s="13">
        <v>1078.75</v>
      </c>
      <c r="G601" s="13">
        <v>475.83</v>
      </c>
      <c r="H601" s="17">
        <v>5.1556922120784068E-4</v>
      </c>
      <c r="I601" s="17">
        <v>1.7194099359934663E-2</v>
      </c>
      <c r="J601" s="13"/>
      <c r="K601" s="17"/>
      <c r="L601" s="17"/>
      <c r="M601" s="17"/>
      <c r="N601" s="17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</row>
    <row r="602" spans="5:25" ht="15" customHeight="1" x14ac:dyDescent="0.25">
      <c r="E602" s="15">
        <v>40372</v>
      </c>
      <c r="F602" s="13">
        <v>1095.3399999999999</v>
      </c>
      <c r="G602" s="13">
        <v>489.2</v>
      </c>
      <c r="H602" s="17">
        <v>1.5161614214052356E-2</v>
      </c>
      <c r="I602" s="17">
        <v>2.7452415954817296E-2</v>
      </c>
      <c r="J602" s="13"/>
      <c r="K602" s="17"/>
      <c r="L602" s="17"/>
      <c r="M602" s="17"/>
      <c r="N602" s="17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</row>
    <row r="603" spans="5:25" ht="15" customHeight="1" x14ac:dyDescent="0.25">
      <c r="E603" s="15">
        <v>40373</v>
      </c>
      <c r="F603" s="13">
        <v>1095.17</v>
      </c>
      <c r="G603" s="13">
        <v>491.34</v>
      </c>
      <c r="H603" s="17">
        <v>-3.7249951299115301E-4</v>
      </c>
      <c r="I603" s="17">
        <v>3.7286345257014552E-3</v>
      </c>
      <c r="J603" s="13"/>
      <c r="K603" s="17"/>
      <c r="L603" s="17"/>
      <c r="M603" s="17"/>
      <c r="N603" s="17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</row>
    <row r="604" spans="5:25" ht="15" customHeight="1" x14ac:dyDescent="0.25">
      <c r="E604" s="15">
        <v>40374</v>
      </c>
      <c r="F604" s="13">
        <v>1096.48</v>
      </c>
      <c r="G604" s="13">
        <v>494.02</v>
      </c>
      <c r="H604" s="17">
        <v>9.7886476424286916E-4</v>
      </c>
      <c r="I604" s="17">
        <v>4.8086170095664781E-3</v>
      </c>
      <c r="J604" s="13"/>
      <c r="K604" s="17"/>
      <c r="L604" s="17"/>
      <c r="M604" s="17"/>
      <c r="N604" s="17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</row>
    <row r="605" spans="5:25" ht="15" customHeight="1" x14ac:dyDescent="0.25">
      <c r="E605" s="15">
        <v>40375</v>
      </c>
      <c r="F605" s="13">
        <v>1064.8800000000001</v>
      </c>
      <c r="G605" s="13">
        <v>459.61</v>
      </c>
      <c r="H605" s="17">
        <v>-2.9036791673939119E-2</v>
      </c>
      <c r="I605" s="17">
        <v>-7.0298904919654542E-2</v>
      </c>
      <c r="J605" s="13"/>
      <c r="K605" s="17"/>
      <c r="L605" s="17"/>
      <c r="M605" s="17"/>
      <c r="N605" s="17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</row>
    <row r="606" spans="5:25" ht="15" customHeight="1" x14ac:dyDescent="0.25">
      <c r="E606" s="15">
        <v>40378</v>
      </c>
      <c r="F606" s="13">
        <v>1071.25</v>
      </c>
      <c r="G606" s="13">
        <v>466.18</v>
      </c>
      <c r="H606" s="17">
        <v>5.7645981112690705E-3</v>
      </c>
      <c r="I606" s="17">
        <v>1.3648873703205978E-2</v>
      </c>
      <c r="J606" s="13"/>
      <c r="K606" s="17"/>
      <c r="L606" s="17"/>
      <c r="M606" s="17"/>
      <c r="N606" s="17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</row>
    <row r="607" spans="5:25" ht="15" customHeight="1" x14ac:dyDescent="0.25">
      <c r="E607" s="15">
        <v>40379</v>
      </c>
      <c r="F607" s="13">
        <v>1083.48</v>
      </c>
      <c r="G607" s="13">
        <v>481.59</v>
      </c>
      <c r="H607" s="17">
        <v>1.1199272865928867E-2</v>
      </c>
      <c r="I607" s="17">
        <v>3.2410046718192212E-2</v>
      </c>
      <c r="J607" s="13"/>
      <c r="K607" s="17"/>
      <c r="L607" s="17"/>
      <c r="M607" s="17"/>
      <c r="N607" s="17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</row>
    <row r="608" spans="5:25" ht="15" customHeight="1" x14ac:dyDescent="0.25">
      <c r="E608" s="15">
        <v>40380</v>
      </c>
      <c r="F608" s="13">
        <v>1069.5899999999999</v>
      </c>
      <c r="G608" s="13">
        <v>477.5</v>
      </c>
      <c r="H608" s="17">
        <v>-1.3037099419768472E-2</v>
      </c>
      <c r="I608" s="17">
        <v>-9.1385556962766869E-3</v>
      </c>
      <c r="J608" s="13"/>
      <c r="K608" s="17"/>
      <c r="L608" s="17"/>
      <c r="M608" s="17"/>
      <c r="N608" s="17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</row>
    <row r="609" spans="5:25" ht="15" customHeight="1" x14ac:dyDescent="0.25">
      <c r="E609" s="15">
        <v>40381</v>
      </c>
      <c r="F609" s="13">
        <v>1093.67</v>
      </c>
      <c r="G609" s="13">
        <v>484.81</v>
      </c>
      <c r="H609" s="17">
        <v>2.2296002926279913E-2</v>
      </c>
      <c r="I609" s="17">
        <v>1.4663046087691754E-2</v>
      </c>
      <c r="J609" s="13"/>
      <c r="K609" s="17"/>
      <c r="L609" s="17"/>
      <c r="M609" s="17"/>
      <c r="N609" s="17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</row>
    <row r="610" spans="5:25" ht="15" customHeight="1" x14ac:dyDescent="0.25">
      <c r="E610" s="15">
        <v>40382</v>
      </c>
      <c r="F610" s="13">
        <v>1102.6600000000001</v>
      </c>
      <c r="G610" s="13">
        <v>490.06</v>
      </c>
      <c r="H610" s="17">
        <v>8.0027332455853487E-3</v>
      </c>
      <c r="I610" s="17">
        <v>1.0183130114780253E-2</v>
      </c>
      <c r="J610" s="13"/>
      <c r="K610" s="17"/>
      <c r="L610" s="17"/>
      <c r="M610" s="17"/>
      <c r="N610" s="17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</row>
    <row r="611" spans="5:25" ht="15" customHeight="1" x14ac:dyDescent="0.25">
      <c r="E611" s="15">
        <v>40385</v>
      </c>
      <c r="F611" s="13">
        <v>1115.01</v>
      </c>
      <c r="G611" s="13">
        <v>488.97</v>
      </c>
      <c r="H611" s="17">
        <v>1.0982892072446781E-2</v>
      </c>
      <c r="I611" s="17">
        <v>-2.870071878630566E-3</v>
      </c>
      <c r="J611" s="13"/>
      <c r="K611" s="17"/>
      <c r="L611" s="17"/>
      <c r="M611" s="17"/>
      <c r="N611" s="17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</row>
    <row r="612" spans="5:25" ht="15" customHeight="1" x14ac:dyDescent="0.25">
      <c r="E612" s="15">
        <v>40386</v>
      </c>
      <c r="F612" s="13">
        <v>1113.8399999999999</v>
      </c>
      <c r="G612" s="13">
        <v>492.63</v>
      </c>
      <c r="H612" s="17">
        <v>-1.2666145056460041E-3</v>
      </c>
      <c r="I612" s="17">
        <v>6.8392673507442206E-3</v>
      </c>
      <c r="J612" s="13"/>
      <c r="K612" s="17"/>
      <c r="L612" s="17"/>
      <c r="M612" s="17"/>
      <c r="N612" s="17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</row>
    <row r="613" spans="5:25" ht="15" customHeight="1" x14ac:dyDescent="0.25">
      <c r="E613" s="15">
        <v>40387</v>
      </c>
      <c r="F613" s="13">
        <v>1106.1300000000001</v>
      </c>
      <c r="G613" s="13">
        <v>484.35</v>
      </c>
      <c r="H613" s="17">
        <v>-7.139296131367566E-3</v>
      </c>
      <c r="I613" s="17">
        <v>-1.7453600614542104E-2</v>
      </c>
      <c r="J613" s="13"/>
      <c r="K613" s="17"/>
      <c r="L613" s="17"/>
      <c r="M613" s="17"/>
      <c r="N613" s="17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</row>
    <row r="614" spans="5:25" ht="15" customHeight="1" x14ac:dyDescent="0.25">
      <c r="E614" s="15">
        <v>40388</v>
      </c>
      <c r="F614" s="13">
        <v>1101.53</v>
      </c>
      <c r="G614" s="13">
        <v>484.99</v>
      </c>
      <c r="H614" s="17">
        <v>-4.3759397597633604E-3</v>
      </c>
      <c r="I614" s="17">
        <v>6.7550408586169888E-4</v>
      </c>
      <c r="J614" s="13"/>
      <c r="K614" s="17"/>
      <c r="L614" s="17"/>
      <c r="M614" s="17"/>
      <c r="N614" s="17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</row>
    <row r="615" spans="5:25" ht="15" customHeight="1" x14ac:dyDescent="0.25">
      <c r="E615" s="15">
        <v>40389</v>
      </c>
      <c r="F615" s="13">
        <v>1101.5999999999999</v>
      </c>
      <c r="G615" s="13">
        <v>484.85</v>
      </c>
      <c r="H615" s="17">
        <v>-1.5374858812780708E-4</v>
      </c>
      <c r="I615" s="17">
        <v>-9.3452018155393312E-4</v>
      </c>
      <c r="J615" s="13"/>
      <c r="K615" s="17"/>
      <c r="L615" s="17"/>
      <c r="M615" s="17"/>
      <c r="N615" s="17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</row>
    <row r="616" spans="5:25" ht="15" customHeight="1" x14ac:dyDescent="0.25">
      <c r="E616" s="15">
        <v>40392</v>
      </c>
      <c r="F616" s="13">
        <v>1125.8599999999999</v>
      </c>
      <c r="G616" s="13">
        <v>490.41</v>
      </c>
      <c r="H616" s="17">
        <v>2.1805216146478047E-2</v>
      </c>
      <c r="I616" s="17">
        <v>1.0821609728306033E-2</v>
      </c>
      <c r="J616" s="13"/>
      <c r="K616" s="17"/>
      <c r="L616" s="17"/>
      <c r="M616" s="17"/>
      <c r="N616" s="17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</row>
    <row r="617" spans="5:25" ht="15" customHeight="1" x14ac:dyDescent="0.25">
      <c r="E617" s="15">
        <v>40393</v>
      </c>
      <c r="F617" s="13">
        <v>1120.46</v>
      </c>
      <c r="G617" s="13">
        <v>489.83</v>
      </c>
      <c r="H617" s="17">
        <v>-5.013630031834691E-3</v>
      </c>
      <c r="I617" s="17">
        <v>-1.8285383126246386E-3</v>
      </c>
      <c r="J617" s="13"/>
      <c r="K617" s="17"/>
      <c r="L617" s="17"/>
      <c r="M617" s="17"/>
      <c r="N617" s="17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</row>
    <row r="618" spans="5:25" ht="15" customHeight="1" x14ac:dyDescent="0.25">
      <c r="E618" s="15">
        <v>40394</v>
      </c>
      <c r="F618" s="13">
        <v>1127.24</v>
      </c>
      <c r="G618" s="13">
        <v>506.32</v>
      </c>
      <c r="H618" s="17">
        <v>5.8337895987318278E-3</v>
      </c>
      <c r="I618" s="17">
        <v>3.3018886392582235E-2</v>
      </c>
      <c r="J618" s="13"/>
      <c r="K618" s="17"/>
      <c r="L618" s="17"/>
      <c r="M618" s="17"/>
      <c r="N618" s="17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</row>
    <row r="619" spans="5:25" ht="15" customHeight="1" x14ac:dyDescent="0.25">
      <c r="E619" s="15">
        <v>40395</v>
      </c>
      <c r="F619" s="13">
        <v>1125.81</v>
      </c>
      <c r="G619" s="13">
        <v>508.1</v>
      </c>
      <c r="H619" s="17">
        <v>-1.4858817792993437E-3</v>
      </c>
      <c r="I619" s="17">
        <v>2.8697088442705874E-3</v>
      </c>
      <c r="J619" s="13"/>
      <c r="K619" s="17"/>
      <c r="L619" s="17"/>
      <c r="M619" s="17"/>
      <c r="N619" s="17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</row>
    <row r="620" spans="5:25" ht="15" customHeight="1" x14ac:dyDescent="0.25">
      <c r="E620" s="15">
        <v>40396</v>
      </c>
      <c r="F620" s="13">
        <v>1121.6400000000001</v>
      </c>
      <c r="G620" s="13">
        <v>500.22</v>
      </c>
      <c r="H620" s="17">
        <v>-3.9212963491293291E-3</v>
      </c>
      <c r="I620" s="17">
        <v>-1.6154612554349069E-2</v>
      </c>
      <c r="J620" s="13"/>
      <c r="K620" s="17"/>
      <c r="L620" s="17"/>
      <c r="M620" s="17"/>
      <c r="N620" s="17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</row>
    <row r="621" spans="5:25" ht="15" customHeight="1" x14ac:dyDescent="0.25">
      <c r="E621" s="15">
        <v>40399</v>
      </c>
      <c r="F621" s="13">
        <v>1127.79</v>
      </c>
      <c r="G621" s="13">
        <v>505.35</v>
      </c>
      <c r="H621" s="17">
        <v>5.2657461251841408E-3</v>
      </c>
      <c r="I621" s="17">
        <v>9.6096331495939425E-3</v>
      </c>
      <c r="J621" s="13"/>
      <c r="K621" s="17"/>
      <c r="L621" s="17"/>
      <c r="M621" s="17"/>
      <c r="N621" s="17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</row>
    <row r="622" spans="5:25" ht="15" customHeight="1" x14ac:dyDescent="0.25">
      <c r="E622" s="15">
        <v>40400</v>
      </c>
      <c r="F622" s="13">
        <v>1121.06</v>
      </c>
      <c r="G622" s="13">
        <v>503.71</v>
      </c>
      <c r="H622" s="17">
        <v>-6.1847195754587839E-3</v>
      </c>
      <c r="I622" s="17">
        <v>-3.8911299874663575E-3</v>
      </c>
      <c r="J622" s="13"/>
      <c r="K622" s="17"/>
      <c r="L622" s="17"/>
      <c r="M622" s="17"/>
      <c r="N622" s="17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</row>
    <row r="623" spans="5:25" ht="15" customHeight="1" x14ac:dyDescent="0.25">
      <c r="E623" s="15">
        <v>40401</v>
      </c>
      <c r="F623" s="13">
        <v>1089.47</v>
      </c>
      <c r="G623" s="13">
        <v>491.74</v>
      </c>
      <c r="H623" s="17">
        <v>-2.8395984589711813E-2</v>
      </c>
      <c r="I623" s="17">
        <v>-2.4409527978184471E-2</v>
      </c>
      <c r="J623" s="13"/>
      <c r="K623" s="17"/>
      <c r="L623" s="17"/>
      <c r="M623" s="17"/>
      <c r="N623" s="17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</row>
    <row r="624" spans="5:25" ht="15" customHeight="1" x14ac:dyDescent="0.25">
      <c r="E624" s="15">
        <v>40402</v>
      </c>
      <c r="F624" s="13">
        <v>1083.6099999999999</v>
      </c>
      <c r="G624" s="13">
        <v>492.01</v>
      </c>
      <c r="H624" s="17">
        <v>-5.5960587127125809E-3</v>
      </c>
      <c r="I624" s="17">
        <v>-9.6783788778529429E-5</v>
      </c>
      <c r="J624" s="13"/>
      <c r="K624" s="17"/>
      <c r="L624" s="17"/>
      <c r="M624" s="17"/>
      <c r="N624" s="17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</row>
    <row r="625" spans="5:25" ht="15" customHeight="1" x14ac:dyDescent="0.25">
      <c r="E625" s="15">
        <v>40403</v>
      </c>
      <c r="F625" s="13">
        <v>1079.25</v>
      </c>
      <c r="G625" s="13">
        <v>486.35</v>
      </c>
      <c r="H625" s="17">
        <v>-4.2408843844961219E-3</v>
      </c>
      <c r="I625" s="17">
        <v>-1.2149685658811079E-2</v>
      </c>
      <c r="J625" s="13"/>
      <c r="K625" s="17"/>
      <c r="L625" s="17"/>
      <c r="M625" s="17"/>
      <c r="N625" s="17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</row>
    <row r="626" spans="5:25" ht="15" customHeight="1" x14ac:dyDescent="0.25">
      <c r="E626" s="15">
        <v>40406</v>
      </c>
      <c r="F626" s="13">
        <v>1079.3800000000001</v>
      </c>
      <c r="G626" s="13">
        <v>485.59</v>
      </c>
      <c r="H626" s="17">
        <v>-9.6842543314500776E-5</v>
      </c>
      <c r="I626" s="17">
        <v>-2.208515071213371E-3</v>
      </c>
      <c r="J626" s="13"/>
      <c r="K626" s="17"/>
      <c r="L626" s="17"/>
      <c r="M626" s="17"/>
      <c r="N626" s="17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</row>
    <row r="627" spans="5:25" ht="15" customHeight="1" x14ac:dyDescent="0.25">
      <c r="E627" s="15">
        <v>40407</v>
      </c>
      <c r="F627" s="13">
        <v>1092.54</v>
      </c>
      <c r="G627" s="13">
        <v>490.52</v>
      </c>
      <c r="H627" s="17">
        <v>1.197488783984762E-2</v>
      </c>
      <c r="I627" s="17">
        <v>9.5067434347631471E-3</v>
      </c>
      <c r="J627" s="13"/>
      <c r="K627" s="17"/>
      <c r="L627" s="17"/>
      <c r="M627" s="17"/>
      <c r="N627" s="17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</row>
    <row r="628" spans="5:25" ht="15" customHeight="1" x14ac:dyDescent="0.25">
      <c r="E628" s="15">
        <v>40408</v>
      </c>
      <c r="F628" s="13">
        <v>1094.1600000000001</v>
      </c>
      <c r="G628" s="13">
        <v>482.15</v>
      </c>
      <c r="H628" s="17">
        <v>1.2654866767484361E-3</v>
      </c>
      <c r="I628" s="17">
        <v>-1.77093788589297E-2</v>
      </c>
      <c r="J628" s="13"/>
      <c r="K628" s="17"/>
      <c r="L628" s="17"/>
      <c r="M628" s="17"/>
      <c r="N628" s="17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</row>
    <row r="629" spans="5:25" ht="15" customHeight="1" x14ac:dyDescent="0.25">
      <c r="E629" s="15">
        <v>40409</v>
      </c>
      <c r="F629" s="13">
        <v>1075.6300000000001</v>
      </c>
      <c r="G629" s="13">
        <v>467.97</v>
      </c>
      <c r="H629" s="17">
        <v>-1.7152662505132893E-2</v>
      </c>
      <c r="I629" s="17">
        <v>-3.0055789103503008E-2</v>
      </c>
      <c r="J629" s="13"/>
      <c r="K629" s="17"/>
      <c r="L629" s="17"/>
      <c r="M629" s="17"/>
      <c r="N629" s="17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</row>
    <row r="630" spans="5:25" ht="15" customHeight="1" x14ac:dyDescent="0.25">
      <c r="E630" s="15">
        <v>40410</v>
      </c>
      <c r="F630" s="13">
        <v>1071.69</v>
      </c>
      <c r="G630" s="13">
        <v>462.02</v>
      </c>
      <c r="H630" s="17">
        <v>-3.8802661708176754E-3</v>
      </c>
      <c r="I630" s="17">
        <v>-1.3360344680969638E-2</v>
      </c>
      <c r="J630" s="13"/>
      <c r="K630" s="17"/>
      <c r="L630" s="17"/>
      <c r="M630" s="17"/>
      <c r="N630" s="17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</row>
    <row r="631" spans="5:25" ht="15" customHeight="1" x14ac:dyDescent="0.25">
      <c r="E631" s="15">
        <v>40413</v>
      </c>
      <c r="F631" s="13">
        <v>1067.3599999999999</v>
      </c>
      <c r="G631" s="13">
        <v>464.07</v>
      </c>
      <c r="H631" s="17">
        <v>-4.2576440508553014E-3</v>
      </c>
      <c r="I631" s="17">
        <v>3.7911829218216886E-3</v>
      </c>
      <c r="J631" s="13"/>
      <c r="K631" s="17"/>
      <c r="L631" s="17"/>
      <c r="M631" s="17"/>
      <c r="N631" s="17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</row>
    <row r="632" spans="5:25" ht="15" customHeight="1" x14ac:dyDescent="0.25">
      <c r="E632" s="15">
        <v>40414</v>
      </c>
      <c r="F632" s="13">
        <v>1051.8699999999999</v>
      </c>
      <c r="G632" s="13">
        <v>451.39</v>
      </c>
      <c r="H632" s="17">
        <v>-1.472973847506588E-2</v>
      </c>
      <c r="I632" s="17">
        <v>-2.7969318568434664E-2</v>
      </c>
      <c r="J632" s="13"/>
      <c r="K632" s="17"/>
      <c r="L632" s="17"/>
      <c r="M632" s="17"/>
      <c r="N632" s="17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</row>
    <row r="633" spans="5:25" ht="15" customHeight="1" x14ac:dyDescent="0.25">
      <c r="E633" s="15">
        <v>40415</v>
      </c>
      <c r="F633" s="13">
        <v>1055.33</v>
      </c>
      <c r="G633" s="13">
        <v>454.62</v>
      </c>
      <c r="H633" s="17">
        <v>3.072083304024119E-3</v>
      </c>
      <c r="I633" s="17">
        <v>6.5098202578553763E-3</v>
      </c>
      <c r="J633" s="13"/>
      <c r="K633" s="17"/>
      <c r="L633" s="17"/>
      <c r="M633" s="17"/>
      <c r="N633" s="17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</row>
    <row r="634" spans="5:25" ht="15" customHeight="1" x14ac:dyDescent="0.25">
      <c r="E634" s="15">
        <v>40416</v>
      </c>
      <c r="F634" s="13">
        <v>1047.22</v>
      </c>
      <c r="G634" s="13">
        <v>450.98</v>
      </c>
      <c r="H634" s="17">
        <v>-7.9020965774703085E-3</v>
      </c>
      <c r="I634" s="17">
        <v>-8.6525413392163058E-3</v>
      </c>
      <c r="J634" s="13"/>
      <c r="K634" s="17"/>
      <c r="L634" s="17"/>
      <c r="M634" s="17"/>
      <c r="N634" s="17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</row>
    <row r="635" spans="5:25" ht="15" customHeight="1" x14ac:dyDescent="0.25">
      <c r="E635" s="15">
        <v>40417</v>
      </c>
      <c r="F635" s="13">
        <v>1064.5899999999999</v>
      </c>
      <c r="G635" s="13">
        <v>458.83</v>
      </c>
      <c r="H635" s="17">
        <v>1.6369476035616767E-2</v>
      </c>
      <c r="I635" s="17">
        <v>1.6760682439380999E-2</v>
      </c>
      <c r="J635" s="13"/>
      <c r="K635" s="17"/>
      <c r="L635" s="17"/>
      <c r="M635" s="17"/>
      <c r="N635" s="17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</row>
    <row r="636" spans="5:25" ht="15" customHeight="1" x14ac:dyDescent="0.25">
      <c r="E636" s="15">
        <v>40420</v>
      </c>
      <c r="F636" s="13">
        <v>1048.92</v>
      </c>
      <c r="G636" s="13">
        <v>452.69</v>
      </c>
      <c r="H636" s="17">
        <v>-1.4936578163676835E-2</v>
      </c>
      <c r="I636" s="17">
        <v>-1.4027716999345125E-2</v>
      </c>
      <c r="J636" s="13"/>
      <c r="K636" s="17"/>
      <c r="L636" s="17"/>
      <c r="M636" s="17"/>
      <c r="N636" s="17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</row>
    <row r="637" spans="5:25" ht="15" customHeight="1" x14ac:dyDescent="0.25">
      <c r="E637" s="15">
        <v>40421</v>
      </c>
      <c r="F637" s="13">
        <v>1049.33</v>
      </c>
      <c r="G637" s="13">
        <v>450.02</v>
      </c>
      <c r="H637" s="17">
        <v>1.7358167435329886E-4</v>
      </c>
      <c r="I637" s="17">
        <v>-6.5439303818800743E-3</v>
      </c>
      <c r="J637" s="13"/>
      <c r="K637" s="17"/>
      <c r="L637" s="17"/>
      <c r="M637" s="17"/>
      <c r="N637" s="17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</row>
    <row r="638" spans="5:25" ht="15" customHeight="1" x14ac:dyDescent="0.25">
      <c r="E638" s="15">
        <v>40422</v>
      </c>
      <c r="F638" s="13">
        <v>1080.29</v>
      </c>
      <c r="G638" s="13">
        <v>460.33</v>
      </c>
      <c r="H638" s="17">
        <v>2.9287244430514819E-2</v>
      </c>
      <c r="I638" s="17">
        <v>2.2264238448892224E-2</v>
      </c>
      <c r="J638" s="13"/>
      <c r="K638" s="17"/>
      <c r="L638" s="17"/>
      <c r="M638" s="17"/>
      <c r="N638" s="17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</row>
    <row r="639" spans="5:25" ht="15" customHeight="1" x14ac:dyDescent="0.25">
      <c r="E639" s="15">
        <v>40423</v>
      </c>
      <c r="F639" s="13">
        <v>1090.0999999999999</v>
      </c>
      <c r="G639" s="13">
        <v>463.18</v>
      </c>
      <c r="H639" s="17">
        <v>8.8635983825667407E-3</v>
      </c>
      <c r="I639" s="17">
        <v>5.5453562173585777E-3</v>
      </c>
      <c r="J639" s="13"/>
      <c r="K639" s="17"/>
      <c r="L639" s="17"/>
      <c r="M639" s="17"/>
      <c r="N639" s="17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</row>
    <row r="640" spans="5:25" ht="15" customHeight="1" x14ac:dyDescent="0.25">
      <c r="E640" s="15">
        <v>40424</v>
      </c>
      <c r="F640" s="13">
        <v>1104.51</v>
      </c>
      <c r="G640" s="13">
        <v>470.3</v>
      </c>
      <c r="H640" s="17">
        <v>1.3001674174320493E-2</v>
      </c>
      <c r="I640" s="17">
        <v>1.4726139173527461E-2</v>
      </c>
      <c r="J640" s="13"/>
      <c r="K640" s="17"/>
      <c r="L640" s="17"/>
      <c r="M640" s="17"/>
      <c r="N640" s="17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</row>
    <row r="641" spans="5:25" ht="15" customHeight="1" x14ac:dyDescent="0.25">
      <c r="E641" s="15">
        <v>40428</v>
      </c>
      <c r="F641" s="13">
        <v>1091.8399999999999</v>
      </c>
      <c r="G641" s="13">
        <v>464.4</v>
      </c>
      <c r="H641" s="17">
        <v>-1.1688446665069675E-2</v>
      </c>
      <c r="I641" s="17">
        <v>-1.3191038361022613E-2</v>
      </c>
      <c r="J641" s="13"/>
      <c r="K641" s="17"/>
      <c r="L641" s="17"/>
      <c r="M641" s="17"/>
      <c r="N641" s="17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</row>
    <row r="642" spans="5:25" ht="15" customHeight="1" x14ac:dyDescent="0.25">
      <c r="E642" s="15">
        <v>40429</v>
      </c>
      <c r="F642" s="13">
        <v>1098.8699999999999</v>
      </c>
      <c r="G642" s="13">
        <v>470.58</v>
      </c>
      <c r="H642" s="17">
        <v>6.221375770633383E-3</v>
      </c>
      <c r="I642" s="17">
        <v>1.2661639104183225E-2</v>
      </c>
      <c r="J642" s="13"/>
      <c r="K642" s="17"/>
      <c r="L642" s="17"/>
      <c r="M642" s="17"/>
      <c r="N642" s="17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</row>
    <row r="643" spans="5:25" ht="15" customHeight="1" x14ac:dyDescent="0.25">
      <c r="E643" s="15">
        <v>40430</v>
      </c>
      <c r="F643" s="13">
        <v>1104.18</v>
      </c>
      <c r="G643" s="13">
        <v>476.18</v>
      </c>
      <c r="H643" s="17">
        <v>4.6149401899909176E-3</v>
      </c>
      <c r="I643" s="17">
        <v>1.1254353817775984E-2</v>
      </c>
      <c r="J643" s="13"/>
      <c r="K643" s="17"/>
      <c r="L643" s="17"/>
      <c r="M643" s="17"/>
      <c r="N643" s="17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</row>
    <row r="644" spans="5:25" ht="15" customHeight="1" x14ac:dyDescent="0.25">
      <c r="E644" s="15">
        <v>40431</v>
      </c>
      <c r="F644" s="13">
        <v>1109.55</v>
      </c>
      <c r="G644" s="13">
        <v>476.14</v>
      </c>
      <c r="H644" s="17">
        <v>4.6460409370115896E-3</v>
      </c>
      <c r="I644" s="17">
        <v>-7.298562839091119E-4</v>
      </c>
      <c r="J644" s="13"/>
      <c r="K644" s="17"/>
      <c r="L644" s="17"/>
      <c r="M644" s="17"/>
      <c r="N644" s="17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</row>
    <row r="645" spans="5:25" ht="15" customHeight="1" x14ac:dyDescent="0.25">
      <c r="E645" s="15">
        <v>40434</v>
      </c>
      <c r="F645" s="13">
        <v>1121.9000000000001</v>
      </c>
      <c r="G645" s="13">
        <v>482.27</v>
      </c>
      <c r="H645" s="17">
        <v>1.0913341984849586E-2</v>
      </c>
      <c r="I645" s="17">
        <v>1.2228510246787908E-2</v>
      </c>
      <c r="J645" s="13"/>
      <c r="K645" s="17"/>
      <c r="L645" s="17"/>
      <c r="M645" s="17"/>
      <c r="N645" s="17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</row>
    <row r="646" spans="5:25" ht="15" customHeight="1" x14ac:dyDescent="0.25">
      <c r="E646" s="15">
        <v>40435</v>
      </c>
      <c r="F646" s="13">
        <v>1121.0999999999999</v>
      </c>
      <c r="G646" s="13">
        <v>480.43</v>
      </c>
      <c r="H646" s="17">
        <v>-9.3037259404105653E-4</v>
      </c>
      <c r="I646" s="17">
        <v>-4.4611446260109065E-3</v>
      </c>
      <c r="J646" s="13"/>
      <c r="K646" s="17"/>
      <c r="L646" s="17"/>
      <c r="M646" s="17"/>
      <c r="N646" s="17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</row>
    <row r="647" spans="5:25" ht="15" customHeight="1" x14ac:dyDescent="0.25">
      <c r="E647" s="15">
        <v>40436</v>
      </c>
      <c r="F647" s="13">
        <v>1125.07</v>
      </c>
      <c r="G647" s="13">
        <v>480.64</v>
      </c>
      <c r="H647" s="17">
        <v>3.3238683649943683E-3</v>
      </c>
      <c r="I647" s="17">
        <v>-2.0874601216468961E-4</v>
      </c>
      <c r="J647" s="13"/>
      <c r="K647" s="17"/>
      <c r="L647" s="17"/>
      <c r="M647" s="17"/>
      <c r="N647" s="17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</row>
    <row r="648" spans="5:25" ht="15" customHeight="1" x14ac:dyDescent="0.25">
      <c r="E648" s="15">
        <v>40437</v>
      </c>
      <c r="F648" s="13">
        <v>1124.6600000000001</v>
      </c>
      <c r="G648" s="13">
        <v>481.06</v>
      </c>
      <c r="H648" s="17">
        <v>-5.8171833162130469E-4</v>
      </c>
      <c r="I648" s="17">
        <v>2.2798045094912157E-4</v>
      </c>
      <c r="J648" s="13"/>
      <c r="K648" s="17"/>
      <c r="L648" s="17"/>
      <c r="M648" s="17"/>
      <c r="N648" s="17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</row>
    <row r="649" spans="5:25" ht="15" customHeight="1" x14ac:dyDescent="0.25">
      <c r="E649" s="15">
        <v>40438</v>
      </c>
      <c r="F649" s="13">
        <v>1125.5899999999999</v>
      </c>
      <c r="G649" s="13">
        <v>490.15</v>
      </c>
      <c r="H649" s="17">
        <v>6.0962001692366186E-4</v>
      </c>
      <c r="I649" s="17">
        <v>1.8249917401324412E-2</v>
      </c>
      <c r="J649" s="13"/>
      <c r="K649" s="17"/>
      <c r="L649" s="17"/>
      <c r="M649" s="17"/>
      <c r="N649" s="17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</row>
    <row r="650" spans="5:25" ht="15" customHeight="1" x14ac:dyDescent="0.25">
      <c r="E650" s="15">
        <v>40441</v>
      </c>
      <c r="F650" s="13">
        <v>1142.71</v>
      </c>
      <c r="G650" s="13">
        <v>508.28</v>
      </c>
      <c r="H650" s="17">
        <v>1.4992504519789993E-2</v>
      </c>
      <c r="I650" s="17">
        <v>3.6342822499763498E-2</v>
      </c>
      <c r="J650" s="13"/>
      <c r="K650" s="17"/>
      <c r="L650" s="17"/>
      <c r="M650" s="17"/>
      <c r="N650" s="17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</row>
    <row r="651" spans="5:25" ht="15" customHeight="1" x14ac:dyDescent="0.25">
      <c r="E651" s="15">
        <v>40442</v>
      </c>
      <c r="F651" s="13">
        <v>1139.78</v>
      </c>
      <c r="G651" s="13">
        <v>513.46</v>
      </c>
      <c r="H651" s="17">
        <v>-2.7813766876253077E-3</v>
      </c>
      <c r="I651" s="17">
        <v>9.5453787426945415E-3</v>
      </c>
      <c r="J651" s="13"/>
      <c r="K651" s="17"/>
      <c r="L651" s="17"/>
      <c r="M651" s="17"/>
      <c r="N651" s="17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</row>
    <row r="652" spans="5:25" ht="15" customHeight="1" x14ac:dyDescent="0.25">
      <c r="E652" s="15">
        <v>40443</v>
      </c>
      <c r="F652" s="13">
        <v>1134.28</v>
      </c>
      <c r="G652" s="13">
        <v>516</v>
      </c>
      <c r="H652" s="17">
        <v>-5.0427892012394927E-3</v>
      </c>
      <c r="I652" s="17">
        <v>4.300976865498741E-3</v>
      </c>
      <c r="J652" s="13"/>
      <c r="K652" s="17"/>
      <c r="L652" s="17"/>
      <c r="M652" s="17"/>
      <c r="N652" s="17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</row>
    <row r="653" spans="5:25" ht="15" customHeight="1" x14ac:dyDescent="0.25">
      <c r="E653" s="15">
        <v>40444</v>
      </c>
      <c r="F653" s="13">
        <v>1124.83</v>
      </c>
      <c r="G653" s="13">
        <v>513.48</v>
      </c>
      <c r="H653" s="17">
        <v>-8.5485727904010024E-3</v>
      </c>
      <c r="I653" s="17">
        <v>-5.5295753661010133E-3</v>
      </c>
      <c r="J653" s="13"/>
      <c r="K653" s="17"/>
      <c r="L653" s="17"/>
      <c r="M653" s="17"/>
      <c r="N653" s="17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</row>
    <row r="654" spans="5:25" ht="15" customHeight="1" x14ac:dyDescent="0.25">
      <c r="E654" s="15">
        <v>40445</v>
      </c>
      <c r="F654" s="13">
        <v>1148.67</v>
      </c>
      <c r="G654" s="13">
        <v>527.29</v>
      </c>
      <c r="H654" s="17">
        <v>2.0977017245110613E-2</v>
      </c>
      <c r="I654" s="17">
        <v>2.6249058705831319E-2</v>
      </c>
      <c r="J654" s="13"/>
      <c r="K654" s="17"/>
      <c r="L654" s="17"/>
      <c r="M654" s="17"/>
      <c r="N654" s="17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</row>
    <row r="655" spans="5:25" ht="15" customHeight="1" x14ac:dyDescent="0.25">
      <c r="E655" s="15">
        <v>40448</v>
      </c>
      <c r="F655" s="13">
        <v>1142.1600000000001</v>
      </c>
      <c r="G655" s="13">
        <v>530.41</v>
      </c>
      <c r="H655" s="17">
        <v>-5.88472062666186E-3</v>
      </c>
      <c r="I655" s="17">
        <v>5.2711931091257609E-3</v>
      </c>
      <c r="J655" s="13"/>
      <c r="K655" s="17"/>
      <c r="L655" s="17"/>
      <c r="M655" s="17"/>
      <c r="N655" s="17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</row>
    <row r="656" spans="5:25" ht="15" customHeight="1" x14ac:dyDescent="0.25">
      <c r="E656" s="15">
        <v>40449</v>
      </c>
      <c r="F656" s="13">
        <v>1147.7</v>
      </c>
      <c r="G656" s="13">
        <v>527.16999999999996</v>
      </c>
      <c r="H656" s="17">
        <v>4.6331622175465395E-3</v>
      </c>
      <c r="I656" s="17">
        <v>-6.7543365534755888E-3</v>
      </c>
      <c r="J656" s="13"/>
      <c r="K656" s="17"/>
      <c r="L656" s="17"/>
      <c r="M656" s="17"/>
      <c r="N656" s="17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</row>
    <row r="657" spans="5:25" ht="15" customHeight="1" x14ac:dyDescent="0.25">
      <c r="E657" s="15">
        <v>40450</v>
      </c>
      <c r="F657" s="13">
        <v>1144.73</v>
      </c>
      <c r="G657" s="13">
        <v>527.69000000000005</v>
      </c>
      <c r="H657" s="17">
        <v>-2.805080826489708E-3</v>
      </c>
      <c r="I657" s="17">
        <v>3.4054463843395221E-4</v>
      </c>
      <c r="J657" s="13"/>
      <c r="K657" s="17"/>
      <c r="L657" s="17"/>
      <c r="M657" s="17"/>
      <c r="N657" s="17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</row>
    <row r="658" spans="5:25" ht="15" customHeight="1" x14ac:dyDescent="0.25">
      <c r="E658" s="15">
        <v>40451</v>
      </c>
      <c r="F658" s="13">
        <v>1141.2</v>
      </c>
      <c r="G658" s="13">
        <v>525.79</v>
      </c>
      <c r="H658" s="17">
        <v>-3.3009931545186898E-3</v>
      </c>
      <c r="I658" s="17">
        <v>-4.2464532723065149E-3</v>
      </c>
      <c r="J658" s="13"/>
      <c r="K658" s="17"/>
      <c r="L658" s="17"/>
      <c r="M658" s="17"/>
      <c r="N658" s="17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</row>
    <row r="659" spans="5:25" ht="15" customHeight="1" x14ac:dyDescent="0.25">
      <c r="E659" s="15">
        <v>40452</v>
      </c>
      <c r="F659" s="13">
        <v>1146.24</v>
      </c>
      <c r="G659" s="13">
        <v>525.62</v>
      </c>
      <c r="H659" s="17">
        <v>4.1991072231797859E-3</v>
      </c>
      <c r="I659" s="17">
        <v>-9.6917743554513207E-4</v>
      </c>
      <c r="J659" s="13"/>
      <c r="K659" s="17"/>
      <c r="L659" s="17"/>
      <c r="M659" s="17"/>
      <c r="N659" s="17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</row>
    <row r="660" spans="5:25" ht="15" customHeight="1" x14ac:dyDescent="0.25">
      <c r="E660" s="15">
        <v>40455</v>
      </c>
      <c r="F660" s="13">
        <v>1137.03</v>
      </c>
      <c r="G660" s="13">
        <v>522.35</v>
      </c>
      <c r="H660" s="17">
        <v>-8.2522630614716534E-3</v>
      </c>
      <c r="I660" s="17">
        <v>-6.8670788946029017E-3</v>
      </c>
      <c r="J660" s="13"/>
      <c r="K660" s="17"/>
      <c r="L660" s="17"/>
      <c r="M660" s="17"/>
      <c r="N660" s="17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</row>
    <row r="661" spans="5:25" ht="15" customHeight="1" x14ac:dyDescent="0.25">
      <c r="E661" s="15">
        <v>40456</v>
      </c>
      <c r="F661" s="13">
        <v>1160.75</v>
      </c>
      <c r="G661" s="13">
        <v>538.23</v>
      </c>
      <c r="H661" s="17">
        <v>2.064407033214392E-2</v>
      </c>
      <c r="I661" s="17">
        <v>2.9755217642240091E-2</v>
      </c>
      <c r="J661" s="13"/>
      <c r="K661" s="17"/>
      <c r="L661" s="17"/>
      <c r="M661" s="17"/>
      <c r="N661" s="17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</row>
    <row r="662" spans="5:25" ht="15" customHeight="1" x14ac:dyDescent="0.25">
      <c r="E662" s="15">
        <v>40457</v>
      </c>
      <c r="F662" s="13">
        <v>1159.97</v>
      </c>
      <c r="G662" s="13">
        <v>534.35</v>
      </c>
      <c r="H662" s="17">
        <v>-8.8927588602228953E-4</v>
      </c>
      <c r="I662" s="17">
        <v>-7.8546685116353213E-3</v>
      </c>
      <c r="J662" s="13"/>
      <c r="K662" s="17"/>
      <c r="L662" s="17"/>
      <c r="M662" s="17"/>
      <c r="N662" s="17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</row>
    <row r="663" spans="5:25" ht="15" customHeight="1" x14ac:dyDescent="0.25">
      <c r="E663" s="15">
        <v>40458</v>
      </c>
      <c r="F663" s="13">
        <v>1158.06</v>
      </c>
      <c r="G663" s="13">
        <v>530.01</v>
      </c>
      <c r="H663" s="17">
        <v>-1.8638908707826682E-3</v>
      </c>
      <c r="I663" s="17">
        <v>-8.7678718401914633E-3</v>
      </c>
      <c r="J663" s="13"/>
      <c r="K663" s="17"/>
      <c r="L663" s="17"/>
      <c r="M663" s="17"/>
      <c r="N663" s="17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</row>
    <row r="664" spans="5:25" ht="15" customHeight="1" x14ac:dyDescent="0.25">
      <c r="E664" s="15">
        <v>40459</v>
      </c>
      <c r="F664" s="13">
        <v>1165.1500000000001</v>
      </c>
      <c r="G664" s="13">
        <v>536.35</v>
      </c>
      <c r="H664" s="17">
        <v>5.9050114355493144E-3</v>
      </c>
      <c r="I664" s="17">
        <v>1.1316184016236222E-2</v>
      </c>
      <c r="J664" s="13"/>
      <c r="K664" s="17"/>
      <c r="L664" s="17"/>
      <c r="M664" s="17"/>
      <c r="N664" s="17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</row>
    <row r="665" spans="5:25" ht="15" customHeight="1" x14ac:dyDescent="0.25">
      <c r="E665" s="15">
        <v>40462</v>
      </c>
      <c r="F665" s="13">
        <v>1165.32</v>
      </c>
      <c r="G665" s="13">
        <v>538.84</v>
      </c>
      <c r="H665" s="17">
        <v>-7.1392601445764866E-5</v>
      </c>
      <c r="I665" s="17">
        <v>3.9966364749174131E-3</v>
      </c>
      <c r="J665" s="13"/>
      <c r="K665" s="17"/>
      <c r="L665" s="17"/>
      <c r="M665" s="17"/>
      <c r="N665" s="17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</row>
    <row r="666" spans="5:25" ht="15" customHeight="1" x14ac:dyDescent="0.25">
      <c r="E666" s="15">
        <v>40463</v>
      </c>
      <c r="F666" s="13">
        <v>1169.77</v>
      </c>
      <c r="G666" s="13">
        <v>541.39</v>
      </c>
      <c r="H666" s="17">
        <v>3.6013970154205491E-3</v>
      </c>
      <c r="I666" s="17">
        <v>4.0865336570719349E-3</v>
      </c>
      <c r="J666" s="13"/>
      <c r="K666" s="17"/>
      <c r="L666" s="17"/>
      <c r="M666" s="17"/>
      <c r="N666" s="17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</row>
    <row r="667" spans="5:25" ht="15" customHeight="1" x14ac:dyDescent="0.25">
      <c r="E667" s="15">
        <v>40464</v>
      </c>
      <c r="F667" s="13">
        <v>1178.0999999999999</v>
      </c>
      <c r="G667" s="13">
        <v>543.29999999999995</v>
      </c>
      <c r="H667" s="17">
        <v>6.9037614234487114E-3</v>
      </c>
      <c r="I667" s="17">
        <v>2.8821013815644491E-3</v>
      </c>
      <c r="J667" s="13"/>
      <c r="K667" s="17"/>
      <c r="L667" s="17"/>
      <c r="M667" s="17"/>
      <c r="N667" s="17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</row>
    <row r="668" spans="5:25" ht="15" customHeight="1" x14ac:dyDescent="0.25">
      <c r="E668" s="15">
        <v>40465</v>
      </c>
      <c r="F668" s="13">
        <v>1173.81</v>
      </c>
      <c r="G668" s="13">
        <v>540.92999999999995</v>
      </c>
      <c r="H668" s="17">
        <v>-3.8587531449422261E-3</v>
      </c>
      <c r="I668" s="17">
        <v>-5.0080852475746949E-3</v>
      </c>
      <c r="J668" s="13"/>
      <c r="K668" s="17"/>
      <c r="L668" s="17"/>
      <c r="M668" s="17"/>
      <c r="N668" s="17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</row>
    <row r="669" spans="5:25" ht="15" customHeight="1" x14ac:dyDescent="0.25">
      <c r="E669" s="15">
        <v>40466</v>
      </c>
      <c r="F669" s="13">
        <v>1176.19</v>
      </c>
      <c r="G669" s="13">
        <v>601.45000000000005</v>
      </c>
      <c r="H669" s="17">
        <v>1.8102888220375272E-3</v>
      </c>
      <c r="I669" s="17">
        <v>0.11123553502302642</v>
      </c>
      <c r="J669" s="13"/>
      <c r="K669" s="17"/>
      <c r="L669" s="17"/>
      <c r="M669" s="17"/>
      <c r="N669" s="17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</row>
    <row r="670" spans="5:25" ht="15" customHeight="1" x14ac:dyDescent="0.25">
      <c r="E670" s="15">
        <v>40469</v>
      </c>
      <c r="F670" s="13">
        <v>1184.71</v>
      </c>
      <c r="G670" s="13">
        <v>617.71</v>
      </c>
      <c r="H670" s="17">
        <v>7.0264310667303527E-3</v>
      </c>
      <c r="I670" s="17">
        <v>2.6388811787425252E-2</v>
      </c>
      <c r="J670" s="13"/>
      <c r="K670" s="17"/>
      <c r="L670" s="17"/>
      <c r="M670" s="17"/>
      <c r="N670" s="17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</row>
    <row r="671" spans="5:25" ht="15" customHeight="1" x14ac:dyDescent="0.25">
      <c r="E671" s="15">
        <v>40470</v>
      </c>
      <c r="F671" s="13">
        <v>1165.9000000000001</v>
      </c>
      <c r="G671" s="13">
        <v>607.83000000000004</v>
      </c>
      <c r="H671" s="17">
        <v>-1.6094599868603541E-2</v>
      </c>
      <c r="I671" s="17">
        <v>-1.6640414990173873E-2</v>
      </c>
      <c r="J671" s="13"/>
      <c r="K671" s="17"/>
      <c r="L671" s="17"/>
      <c r="M671" s="17"/>
      <c r="N671" s="17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</row>
    <row r="672" spans="5:25" ht="15" customHeight="1" x14ac:dyDescent="0.25">
      <c r="E672" s="15">
        <v>40471</v>
      </c>
      <c r="F672" s="13">
        <v>1178.17</v>
      </c>
      <c r="G672" s="13">
        <v>607.98</v>
      </c>
      <c r="H672" s="17">
        <v>1.0306762104814939E-2</v>
      </c>
      <c r="I672" s="17">
        <v>-3.9907490869802906E-4</v>
      </c>
      <c r="J672" s="13"/>
      <c r="K672" s="17"/>
      <c r="L672" s="17"/>
      <c r="M672" s="17"/>
      <c r="N672" s="17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</row>
    <row r="673" spans="5:25" ht="15" customHeight="1" x14ac:dyDescent="0.25">
      <c r="E673" s="15">
        <v>40472</v>
      </c>
      <c r="F673" s="13">
        <v>1180.26</v>
      </c>
      <c r="G673" s="13">
        <v>611.99</v>
      </c>
      <c r="H673" s="17">
        <v>1.5566409849038778E-3</v>
      </c>
      <c r="I673" s="17">
        <v>5.9497572618847612E-3</v>
      </c>
      <c r="J673" s="13"/>
      <c r="K673" s="17"/>
      <c r="L673" s="17"/>
      <c r="M673" s="17"/>
      <c r="N673" s="17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</row>
    <row r="674" spans="5:25" ht="15" customHeight="1" x14ac:dyDescent="0.25">
      <c r="E674" s="15">
        <v>40473</v>
      </c>
      <c r="F674" s="13">
        <v>1183.08</v>
      </c>
      <c r="G674" s="13">
        <v>612.53</v>
      </c>
      <c r="H674" s="17">
        <v>2.1720074893404637E-3</v>
      </c>
      <c r="I674" s="17">
        <v>2.365129230753186E-4</v>
      </c>
      <c r="J674" s="13"/>
      <c r="K674" s="17"/>
      <c r="L674" s="17"/>
      <c r="M674" s="17"/>
      <c r="N674" s="17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</row>
    <row r="675" spans="5:25" ht="15" customHeight="1" x14ac:dyDescent="0.25">
      <c r="E675" s="15">
        <v>40476</v>
      </c>
      <c r="F675" s="13">
        <v>1185.6199999999999</v>
      </c>
      <c r="G675" s="13">
        <v>616.5</v>
      </c>
      <c r="H675" s="17">
        <v>1.9296419372005812E-3</v>
      </c>
      <c r="I675" s="17">
        <v>5.8354607650196646E-3</v>
      </c>
      <c r="J675" s="13"/>
      <c r="K675" s="17"/>
      <c r="L675" s="17"/>
      <c r="M675" s="17"/>
      <c r="N675" s="17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</row>
    <row r="676" spans="5:25" ht="15" customHeight="1" x14ac:dyDescent="0.25">
      <c r="E676" s="15">
        <v>40477</v>
      </c>
      <c r="F676" s="13">
        <v>1185.6400000000001</v>
      </c>
      <c r="G676" s="13">
        <v>618.6</v>
      </c>
      <c r="H676" s="17">
        <v>-2.0042775105430212E-4</v>
      </c>
      <c r="I676" s="17">
        <v>2.7604715981948053E-3</v>
      </c>
      <c r="J676" s="13"/>
      <c r="K676" s="17"/>
      <c r="L676" s="17"/>
      <c r="M676" s="17"/>
      <c r="N676" s="17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</row>
    <row r="677" spans="5:25" ht="15" customHeight="1" x14ac:dyDescent="0.25">
      <c r="E677" s="15">
        <v>40478</v>
      </c>
      <c r="F677" s="13">
        <v>1182.45</v>
      </c>
      <c r="G677" s="13">
        <v>616.47</v>
      </c>
      <c r="H677" s="17">
        <v>-2.9078265714181776E-3</v>
      </c>
      <c r="I677" s="17">
        <v>-4.089113407740424E-3</v>
      </c>
      <c r="J677" s="13"/>
      <c r="K677" s="17"/>
      <c r="L677" s="17"/>
      <c r="M677" s="17"/>
      <c r="N677" s="17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</row>
    <row r="678" spans="5:25" ht="15" customHeight="1" x14ac:dyDescent="0.25">
      <c r="E678" s="15">
        <v>40479</v>
      </c>
      <c r="F678" s="13">
        <v>1183.78</v>
      </c>
      <c r="G678" s="13">
        <v>618.58000000000004</v>
      </c>
      <c r="H678" s="17">
        <v>9.0748672662482009E-4</v>
      </c>
      <c r="I678" s="17">
        <v>2.7768587537433673E-3</v>
      </c>
      <c r="J678" s="13"/>
      <c r="K678" s="17"/>
      <c r="L678" s="17"/>
      <c r="M678" s="17"/>
      <c r="N678" s="17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</row>
    <row r="679" spans="5:25" ht="15" customHeight="1" x14ac:dyDescent="0.25">
      <c r="E679" s="15">
        <v>40480</v>
      </c>
      <c r="F679" s="13">
        <v>1183.26</v>
      </c>
      <c r="G679" s="13">
        <v>613.70000000000005</v>
      </c>
      <c r="H679" s="17">
        <v>-6.5656737276381834E-4</v>
      </c>
      <c r="I679" s="17">
        <v>-8.5348906155056897E-3</v>
      </c>
      <c r="J679" s="13"/>
      <c r="K679" s="17"/>
      <c r="L679" s="17"/>
      <c r="M679" s="17"/>
      <c r="N679" s="17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</row>
    <row r="680" spans="5:25" ht="15" customHeight="1" x14ac:dyDescent="0.25">
      <c r="E680" s="15">
        <v>40483</v>
      </c>
      <c r="F680" s="13">
        <v>1184.3800000000001</v>
      </c>
      <c r="G680" s="13">
        <v>615</v>
      </c>
      <c r="H680" s="17">
        <v>7.2924096959421257E-4</v>
      </c>
      <c r="I680" s="17">
        <v>1.4724444072144846E-3</v>
      </c>
      <c r="J680" s="13"/>
      <c r="K680" s="17"/>
      <c r="L680" s="17"/>
      <c r="M680" s="17"/>
      <c r="N680" s="17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</row>
    <row r="681" spans="5:25" ht="15" customHeight="1" x14ac:dyDescent="0.25">
      <c r="E681" s="15">
        <v>40484</v>
      </c>
      <c r="F681" s="13">
        <v>1193.57</v>
      </c>
      <c r="G681" s="13">
        <v>615.6</v>
      </c>
      <c r="H681" s="17">
        <v>7.5420374352254023E-3</v>
      </c>
      <c r="I681" s="17">
        <v>3.2975532022910597E-4</v>
      </c>
      <c r="J681" s="13"/>
      <c r="K681" s="17"/>
      <c r="L681" s="17"/>
      <c r="M681" s="17"/>
      <c r="N681" s="17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</row>
    <row r="682" spans="5:25" ht="15" customHeight="1" x14ac:dyDescent="0.25">
      <c r="E682" s="15">
        <v>40485</v>
      </c>
      <c r="F682" s="13">
        <v>1197.96</v>
      </c>
      <c r="G682" s="13">
        <v>620.17999999999995</v>
      </c>
      <c r="H682" s="17">
        <v>3.4607449434257229E-3</v>
      </c>
      <c r="I682" s="17">
        <v>6.794041600518809E-3</v>
      </c>
      <c r="J682" s="13"/>
      <c r="K682" s="17"/>
      <c r="L682" s="17"/>
      <c r="M682" s="17"/>
      <c r="N682" s="17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</row>
    <row r="683" spans="5:25" ht="15" customHeight="1" x14ac:dyDescent="0.25">
      <c r="E683" s="15">
        <v>40486</v>
      </c>
      <c r="F683" s="13">
        <v>1221.06</v>
      </c>
      <c r="G683" s="13">
        <v>624.27</v>
      </c>
      <c r="H683" s="17">
        <v>1.9065484164927128E-2</v>
      </c>
      <c r="I683" s="17">
        <v>5.9490051210343798E-3</v>
      </c>
      <c r="J683" s="13"/>
      <c r="K683" s="17"/>
      <c r="L683" s="17"/>
      <c r="M683" s="17"/>
      <c r="N683" s="17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</row>
    <row r="684" spans="5:25" ht="15" customHeight="1" x14ac:dyDescent="0.25">
      <c r="E684" s="15">
        <v>40487</v>
      </c>
      <c r="F684" s="13">
        <v>1225.8499999999999</v>
      </c>
      <c r="G684" s="13">
        <v>625.08000000000004</v>
      </c>
      <c r="H684" s="17">
        <v>3.7055245930804068E-3</v>
      </c>
      <c r="I684" s="17">
        <v>6.5166106223332786E-4</v>
      </c>
      <c r="J684" s="13"/>
      <c r="K684" s="17"/>
      <c r="L684" s="17"/>
      <c r="M684" s="17"/>
      <c r="N684" s="17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</row>
    <row r="685" spans="5:25" ht="15" customHeight="1" x14ac:dyDescent="0.25">
      <c r="E685" s="15">
        <v>40490</v>
      </c>
      <c r="F685" s="13">
        <v>1223.25</v>
      </c>
      <c r="G685" s="13">
        <v>626.77</v>
      </c>
      <c r="H685" s="17">
        <v>-2.338273843379451E-3</v>
      </c>
      <c r="I685" s="17">
        <v>2.0577994964282114E-3</v>
      </c>
      <c r="J685" s="13"/>
      <c r="K685" s="17"/>
      <c r="L685" s="17"/>
      <c r="M685" s="17"/>
      <c r="N685" s="17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</row>
    <row r="686" spans="5:25" ht="15" customHeight="1" x14ac:dyDescent="0.25">
      <c r="E686" s="15">
        <v>40491</v>
      </c>
      <c r="F686" s="13">
        <v>1213.4000000000001</v>
      </c>
      <c r="G686" s="13">
        <v>624.82000000000005</v>
      </c>
      <c r="H686" s="17">
        <v>-8.2696162026116467E-3</v>
      </c>
      <c r="I686" s="17">
        <v>-3.7570435483020434E-3</v>
      </c>
      <c r="J686" s="13"/>
      <c r="K686" s="17"/>
      <c r="L686" s="17"/>
      <c r="M686" s="17"/>
      <c r="N686" s="17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</row>
    <row r="687" spans="5:25" ht="15" customHeight="1" x14ac:dyDescent="0.25">
      <c r="E687" s="15">
        <v>40492</v>
      </c>
      <c r="F687" s="13">
        <v>1218.71</v>
      </c>
      <c r="G687" s="13">
        <v>622.88</v>
      </c>
      <c r="H687" s="17">
        <v>4.158836617186459E-3</v>
      </c>
      <c r="I687" s="17">
        <v>-3.7507486454008009E-3</v>
      </c>
      <c r="J687" s="13"/>
      <c r="K687" s="17"/>
      <c r="L687" s="17"/>
      <c r="M687" s="17"/>
      <c r="N687" s="17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</row>
    <row r="688" spans="5:25" ht="15" customHeight="1" x14ac:dyDescent="0.25">
      <c r="E688" s="15">
        <v>40493</v>
      </c>
      <c r="F688" s="13">
        <v>1213.54</v>
      </c>
      <c r="G688" s="13">
        <v>617.19000000000005</v>
      </c>
      <c r="H688" s="17">
        <v>-4.4594870752285715E-3</v>
      </c>
      <c r="I688" s="17">
        <v>-9.7808403079465457E-3</v>
      </c>
      <c r="J688" s="13"/>
      <c r="K688" s="17"/>
      <c r="L688" s="17"/>
      <c r="M688" s="17"/>
      <c r="N688" s="17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</row>
    <row r="689" spans="5:25" ht="15" customHeight="1" x14ac:dyDescent="0.25">
      <c r="E689" s="15">
        <v>40494</v>
      </c>
      <c r="F689" s="13">
        <v>1199.21</v>
      </c>
      <c r="G689" s="13">
        <v>603.29</v>
      </c>
      <c r="H689" s="17">
        <v>-1.2025724797060397E-2</v>
      </c>
      <c r="I689" s="17">
        <v>-2.3167282197173726E-2</v>
      </c>
      <c r="J689" s="13"/>
      <c r="K689" s="17"/>
      <c r="L689" s="17"/>
      <c r="M689" s="17"/>
      <c r="N689" s="17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</row>
    <row r="690" spans="5:25" ht="15" customHeight="1" x14ac:dyDescent="0.25">
      <c r="E690" s="15">
        <v>40497</v>
      </c>
      <c r="F690" s="13">
        <v>1197.75</v>
      </c>
      <c r="G690" s="13">
        <v>595.47</v>
      </c>
      <c r="H690" s="17">
        <v>-1.4347647288521471E-3</v>
      </c>
      <c r="I690" s="17">
        <v>-1.3608111393550499E-2</v>
      </c>
      <c r="J690" s="13"/>
      <c r="K690" s="17"/>
      <c r="L690" s="17"/>
      <c r="M690" s="17"/>
      <c r="N690" s="17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</row>
    <row r="691" spans="5:25" ht="15" customHeight="1" x14ac:dyDescent="0.25">
      <c r="E691" s="15">
        <v>40498</v>
      </c>
      <c r="F691" s="13">
        <v>1178.3399999999999</v>
      </c>
      <c r="G691" s="13">
        <v>583.72</v>
      </c>
      <c r="H691" s="17">
        <v>-1.6422681659366157E-2</v>
      </c>
      <c r="I691" s="17">
        <v>-2.0378166726999832E-2</v>
      </c>
      <c r="J691" s="13"/>
      <c r="K691" s="17"/>
      <c r="L691" s="17"/>
      <c r="M691" s="17"/>
      <c r="N691" s="17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</row>
    <row r="692" spans="5:25" ht="15" customHeight="1" x14ac:dyDescent="0.25">
      <c r="E692" s="15">
        <v>40499</v>
      </c>
      <c r="F692" s="13">
        <v>1178.5899999999999</v>
      </c>
      <c r="G692" s="13">
        <v>583.54999999999995</v>
      </c>
      <c r="H692" s="17">
        <v>-5.1336891146790508E-6</v>
      </c>
      <c r="I692" s="17">
        <v>-9.3708995974976794E-4</v>
      </c>
      <c r="J692" s="13"/>
      <c r="K692" s="17"/>
      <c r="L692" s="17"/>
      <c r="M692" s="17"/>
      <c r="N692" s="17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</row>
    <row r="693" spans="5:25" ht="15" customHeight="1" x14ac:dyDescent="0.25">
      <c r="E693" s="15">
        <v>40500</v>
      </c>
      <c r="F693" s="13">
        <v>1196.69</v>
      </c>
      <c r="G693" s="13">
        <v>596.55999999999995</v>
      </c>
      <c r="H693" s="17">
        <v>1.5140037200916376E-2</v>
      </c>
      <c r="I693" s="17">
        <v>2.164872186436289E-2</v>
      </c>
      <c r="J693" s="13"/>
      <c r="K693" s="17"/>
      <c r="L693" s="17"/>
      <c r="M693" s="17"/>
      <c r="N693" s="17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</row>
    <row r="694" spans="5:25" ht="15" customHeight="1" x14ac:dyDescent="0.25">
      <c r="E694" s="15">
        <v>40501</v>
      </c>
      <c r="F694" s="13">
        <v>1199.73</v>
      </c>
      <c r="G694" s="13">
        <v>590.83000000000004</v>
      </c>
      <c r="H694" s="17">
        <v>2.3230438767351913E-3</v>
      </c>
      <c r="I694" s="17">
        <v>-1.0250923498494177E-2</v>
      </c>
      <c r="J694" s="13"/>
      <c r="K694" s="17"/>
      <c r="L694" s="17"/>
      <c r="M694" s="17"/>
      <c r="N694" s="17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</row>
    <row r="695" spans="5:25" ht="15" customHeight="1" x14ac:dyDescent="0.25">
      <c r="E695" s="15">
        <v>40504</v>
      </c>
      <c r="F695" s="13">
        <v>1197.8399999999999</v>
      </c>
      <c r="G695" s="13">
        <v>591.22</v>
      </c>
      <c r="H695" s="17">
        <v>-1.7926510170614923E-3</v>
      </c>
      <c r="I695" s="17">
        <v>1.4233914418429552E-5</v>
      </c>
      <c r="J695" s="13"/>
      <c r="K695" s="17"/>
      <c r="L695" s="17"/>
      <c r="M695" s="17"/>
      <c r="N695" s="17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</row>
    <row r="696" spans="5:25" ht="15" customHeight="1" x14ac:dyDescent="0.25">
      <c r="E696" s="15">
        <v>40505</v>
      </c>
      <c r="F696" s="13">
        <v>1180.73</v>
      </c>
      <c r="G696" s="13">
        <v>583.01</v>
      </c>
      <c r="H696" s="17">
        <v>-1.4501341175947056E-2</v>
      </c>
      <c r="I696" s="17">
        <v>-1.4532394133442962E-2</v>
      </c>
      <c r="J696" s="13"/>
      <c r="K696" s="17"/>
      <c r="L696" s="17"/>
      <c r="M696" s="17"/>
      <c r="N696" s="17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</row>
    <row r="697" spans="5:25" ht="15" customHeight="1" x14ac:dyDescent="0.25">
      <c r="E697" s="15">
        <v>40506</v>
      </c>
      <c r="F697" s="13">
        <v>1198.3499999999999</v>
      </c>
      <c r="G697" s="13">
        <v>594.97</v>
      </c>
      <c r="H697" s="17">
        <v>1.4705674819801893E-2</v>
      </c>
      <c r="I697" s="17">
        <v>1.9868373450445675E-2</v>
      </c>
      <c r="J697" s="13"/>
      <c r="K697" s="17"/>
      <c r="L697" s="17"/>
      <c r="M697" s="17"/>
      <c r="N697" s="17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</row>
    <row r="698" spans="5:25" ht="15" customHeight="1" x14ac:dyDescent="0.25">
      <c r="E698" s="15">
        <v>40508</v>
      </c>
      <c r="F698" s="13">
        <v>1189.4000000000001</v>
      </c>
      <c r="G698" s="13">
        <v>590</v>
      </c>
      <c r="H698" s="17">
        <v>-7.6858992243027478E-3</v>
      </c>
      <c r="I698" s="17">
        <v>-8.9992167902728792E-3</v>
      </c>
      <c r="J698" s="13"/>
      <c r="K698" s="17"/>
      <c r="L698" s="17"/>
      <c r="M698" s="17"/>
      <c r="N698" s="17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</row>
    <row r="699" spans="5:25" ht="15" customHeight="1" x14ac:dyDescent="0.25">
      <c r="E699" s="15">
        <v>40511</v>
      </c>
      <c r="F699" s="13">
        <v>1187.76</v>
      </c>
      <c r="G699" s="13">
        <v>582.11</v>
      </c>
      <c r="H699" s="17">
        <v>-1.5961430395245758E-3</v>
      </c>
      <c r="I699" s="17">
        <v>-1.4018735791800659E-2</v>
      </c>
      <c r="J699" s="13"/>
      <c r="K699" s="17"/>
      <c r="L699" s="17"/>
      <c r="M699" s="17"/>
      <c r="N699" s="17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</row>
    <row r="700" spans="5:25" ht="15" customHeight="1" x14ac:dyDescent="0.25">
      <c r="E700" s="15">
        <v>40512</v>
      </c>
      <c r="F700" s="13">
        <v>1180.55</v>
      </c>
      <c r="G700" s="13">
        <v>555.71</v>
      </c>
      <c r="H700" s="17">
        <v>-6.287546444440243E-3</v>
      </c>
      <c r="I700" s="17">
        <v>-4.5998107446467824E-2</v>
      </c>
      <c r="J700" s="13"/>
      <c r="K700" s="17"/>
      <c r="L700" s="17"/>
      <c r="M700" s="17"/>
      <c r="N700" s="17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</row>
    <row r="701" spans="5:25" ht="15" customHeight="1" x14ac:dyDescent="0.25">
      <c r="E701" s="15">
        <v>40513</v>
      </c>
      <c r="F701" s="13">
        <v>1206.07</v>
      </c>
      <c r="G701" s="13">
        <v>564.35</v>
      </c>
      <c r="H701" s="17">
        <v>2.1399746341422141E-2</v>
      </c>
      <c r="I701" s="17">
        <v>1.4901823309718272E-2</v>
      </c>
      <c r="J701" s="13"/>
      <c r="K701" s="17"/>
      <c r="L701" s="17"/>
      <c r="M701" s="17"/>
      <c r="N701" s="17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</row>
    <row r="702" spans="5:25" ht="15" customHeight="1" x14ac:dyDescent="0.25">
      <c r="E702" s="15">
        <v>40514</v>
      </c>
      <c r="F702" s="13">
        <v>1221.53</v>
      </c>
      <c r="G702" s="13">
        <v>571.82000000000005</v>
      </c>
      <c r="H702" s="17">
        <v>1.2601196559980578E-2</v>
      </c>
      <c r="I702" s="17">
        <v>1.2590612295769714E-2</v>
      </c>
      <c r="J702" s="13"/>
      <c r="K702" s="17"/>
      <c r="L702" s="17"/>
      <c r="M702" s="17"/>
      <c r="N702" s="17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</row>
    <row r="703" spans="5:25" ht="15" customHeight="1" x14ac:dyDescent="0.25">
      <c r="E703" s="15">
        <v>40515</v>
      </c>
      <c r="F703" s="13">
        <v>1224.71</v>
      </c>
      <c r="G703" s="13">
        <v>573</v>
      </c>
      <c r="H703" s="17">
        <v>2.3859960297679763E-3</v>
      </c>
      <c r="I703" s="17">
        <v>1.4177320074178939E-3</v>
      </c>
      <c r="J703" s="13"/>
      <c r="K703" s="17"/>
      <c r="L703" s="17"/>
      <c r="M703" s="17"/>
      <c r="N703" s="17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</row>
    <row r="704" spans="5:25" ht="15" customHeight="1" x14ac:dyDescent="0.25">
      <c r="E704" s="15">
        <v>40518</v>
      </c>
      <c r="F704" s="13">
        <v>1223.1199999999999</v>
      </c>
      <c r="G704" s="13">
        <v>578.36</v>
      </c>
      <c r="H704" s="17">
        <v>-1.5155630907118154E-3</v>
      </c>
      <c r="I704" s="17">
        <v>8.7084213058418423E-3</v>
      </c>
      <c r="J704" s="13"/>
      <c r="K704" s="17"/>
      <c r="L704" s="17"/>
      <c r="M704" s="17"/>
      <c r="N704" s="17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</row>
    <row r="705" spans="5:25" ht="15" customHeight="1" x14ac:dyDescent="0.25">
      <c r="E705" s="15">
        <v>40519</v>
      </c>
      <c r="F705" s="13">
        <v>1223.75</v>
      </c>
      <c r="G705" s="13">
        <v>587.14</v>
      </c>
      <c r="H705" s="17">
        <v>2.9777963626496527E-4</v>
      </c>
      <c r="I705" s="17">
        <v>1.4535001778254238E-2</v>
      </c>
      <c r="J705" s="13"/>
      <c r="K705" s="17"/>
      <c r="L705" s="17"/>
      <c r="M705" s="17"/>
      <c r="N705" s="17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</row>
    <row r="706" spans="5:25" ht="15" customHeight="1" x14ac:dyDescent="0.25">
      <c r="E706" s="15">
        <v>40520</v>
      </c>
      <c r="F706" s="13">
        <v>1228.28</v>
      </c>
      <c r="G706" s="13">
        <v>590.54</v>
      </c>
      <c r="H706" s="17">
        <v>3.4844399034722369E-3</v>
      </c>
      <c r="I706" s="17">
        <v>5.1449280010290484E-3</v>
      </c>
      <c r="J706" s="13"/>
      <c r="K706" s="17"/>
      <c r="L706" s="17"/>
      <c r="M706" s="17"/>
      <c r="N706" s="17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</row>
    <row r="707" spans="5:25" ht="15" customHeight="1" x14ac:dyDescent="0.25">
      <c r="E707" s="15">
        <v>40521</v>
      </c>
      <c r="F707" s="13">
        <v>1233</v>
      </c>
      <c r="G707" s="13">
        <v>591.5</v>
      </c>
      <c r="H707" s="17">
        <v>3.6254754440737365E-3</v>
      </c>
      <c r="I707" s="17">
        <v>9.7977634274095337E-4</v>
      </c>
      <c r="J707" s="13"/>
      <c r="K707" s="17"/>
      <c r="L707" s="17"/>
      <c r="M707" s="17"/>
      <c r="N707" s="17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</row>
    <row r="708" spans="5:25" ht="15" customHeight="1" x14ac:dyDescent="0.25">
      <c r="E708" s="15">
        <v>40522</v>
      </c>
      <c r="F708" s="13">
        <v>1240.4000000000001</v>
      </c>
      <c r="G708" s="13">
        <v>592.21</v>
      </c>
      <c r="H708" s="17">
        <v>5.7843254977070482E-3</v>
      </c>
      <c r="I708" s="17">
        <v>5.5448368754659153E-4</v>
      </c>
      <c r="J708" s="13"/>
      <c r="K708" s="17"/>
      <c r="L708" s="17"/>
      <c r="M708" s="17"/>
      <c r="N708" s="17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</row>
    <row r="709" spans="5:25" ht="15" customHeight="1" x14ac:dyDescent="0.25">
      <c r="E709" s="15">
        <v>40525</v>
      </c>
      <c r="F709" s="13">
        <v>1240.46</v>
      </c>
      <c r="G709" s="13">
        <v>594.62</v>
      </c>
      <c r="H709" s="17">
        <v>-1.6892506924242036E-4</v>
      </c>
      <c r="I709" s="17">
        <v>3.4236479366007702E-3</v>
      </c>
      <c r="J709" s="13"/>
      <c r="K709" s="17"/>
      <c r="L709" s="17"/>
      <c r="M709" s="17"/>
      <c r="N709" s="17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</row>
    <row r="710" spans="5:25" ht="15" customHeight="1" x14ac:dyDescent="0.25">
      <c r="E710" s="15">
        <v>40526</v>
      </c>
      <c r="F710" s="13">
        <v>1241.5899999999999</v>
      </c>
      <c r="G710" s="13">
        <v>594.91</v>
      </c>
      <c r="H710" s="17">
        <v>6.9365582632085142E-4</v>
      </c>
      <c r="I710" s="17">
        <v>-1.581480015070141E-4</v>
      </c>
      <c r="J710" s="13"/>
      <c r="K710" s="17"/>
      <c r="L710" s="17"/>
      <c r="M710" s="17"/>
      <c r="N710" s="17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</row>
    <row r="711" spans="5:25" ht="15" customHeight="1" x14ac:dyDescent="0.25">
      <c r="E711" s="15">
        <v>40527</v>
      </c>
      <c r="F711" s="13">
        <v>1235.23</v>
      </c>
      <c r="G711" s="13">
        <v>590.29999999999995</v>
      </c>
      <c r="H711" s="17">
        <v>-5.3397604996798034E-3</v>
      </c>
      <c r="I711" s="17">
        <v>-8.3949257239624517E-3</v>
      </c>
      <c r="J711" s="13"/>
      <c r="K711" s="17"/>
      <c r="L711" s="17"/>
      <c r="M711" s="17"/>
      <c r="N711" s="17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</row>
    <row r="712" spans="5:25" ht="15" customHeight="1" x14ac:dyDescent="0.25">
      <c r="E712" s="15">
        <v>40528</v>
      </c>
      <c r="F712" s="13">
        <v>1242.8699999999999</v>
      </c>
      <c r="G712" s="13">
        <v>591.71</v>
      </c>
      <c r="H712" s="17">
        <v>5.9677863777100942E-3</v>
      </c>
      <c r="I712" s="17">
        <v>1.7427615221190091E-3</v>
      </c>
      <c r="J712" s="13"/>
      <c r="K712" s="17"/>
      <c r="L712" s="17"/>
      <c r="M712" s="17"/>
      <c r="N712" s="17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</row>
    <row r="713" spans="5:25" ht="15" customHeight="1" x14ac:dyDescent="0.25">
      <c r="E713" s="15">
        <v>40529</v>
      </c>
      <c r="F713" s="13">
        <v>1243.9100000000001</v>
      </c>
      <c r="G713" s="13">
        <v>590.79999999999995</v>
      </c>
      <c r="H713" s="17">
        <v>6.1947639061430261E-4</v>
      </c>
      <c r="I713" s="17">
        <v>-2.1837699688153378E-3</v>
      </c>
      <c r="J713" s="13"/>
      <c r="K713" s="17"/>
      <c r="L713" s="17"/>
      <c r="M713" s="17"/>
      <c r="N713" s="17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</row>
    <row r="714" spans="5:25" ht="15" customHeight="1" x14ac:dyDescent="0.25">
      <c r="E714" s="15">
        <v>40532</v>
      </c>
      <c r="F714" s="13">
        <v>1247.08</v>
      </c>
      <c r="G714" s="13">
        <v>595.05999999999995</v>
      </c>
      <c r="H714" s="17">
        <v>2.3311193198687985E-3</v>
      </c>
      <c r="I714" s="17">
        <v>6.5647075140299882E-3</v>
      </c>
      <c r="J714" s="13"/>
      <c r="K714" s="17"/>
      <c r="L714" s="17"/>
      <c r="M714" s="17"/>
      <c r="N714" s="17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</row>
    <row r="715" spans="5:25" ht="15" customHeight="1" x14ac:dyDescent="0.25">
      <c r="E715" s="15">
        <v>40533</v>
      </c>
      <c r="F715" s="13">
        <v>1254.5999999999999</v>
      </c>
      <c r="G715" s="13">
        <v>603.07000000000005</v>
      </c>
      <c r="H715" s="17">
        <v>5.8127897192445368E-3</v>
      </c>
      <c r="I715" s="17">
        <v>1.2814973043713436E-2</v>
      </c>
      <c r="J715" s="13"/>
      <c r="K715" s="17"/>
      <c r="L715" s="17"/>
      <c r="M715" s="17"/>
      <c r="N715" s="17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</row>
    <row r="716" spans="5:25" ht="15" customHeight="1" x14ac:dyDescent="0.25">
      <c r="E716" s="15">
        <v>40534</v>
      </c>
      <c r="F716" s="13">
        <v>1258.8399999999999</v>
      </c>
      <c r="G716" s="13">
        <v>605.49</v>
      </c>
      <c r="H716" s="17">
        <v>3.162266645087607E-3</v>
      </c>
      <c r="I716" s="17">
        <v>3.3669467314918844E-3</v>
      </c>
      <c r="J716" s="13"/>
      <c r="K716" s="17"/>
      <c r="L716" s="17"/>
      <c r="M716" s="17"/>
      <c r="N716" s="17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</row>
    <row r="717" spans="5:25" ht="15" customHeight="1" x14ac:dyDescent="0.25">
      <c r="E717" s="15">
        <v>40535</v>
      </c>
      <c r="F717" s="13">
        <v>1256.77</v>
      </c>
      <c r="G717" s="13">
        <v>604.23</v>
      </c>
      <c r="H717" s="17">
        <v>-1.861667570538972E-3</v>
      </c>
      <c r="I717" s="17">
        <v>-2.7268136589770117E-3</v>
      </c>
      <c r="J717" s="13"/>
      <c r="K717" s="17"/>
      <c r="L717" s="17"/>
      <c r="M717" s="17"/>
      <c r="N717" s="17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</row>
    <row r="718" spans="5:25" ht="15" customHeight="1" x14ac:dyDescent="0.25">
      <c r="E718" s="15">
        <v>40539</v>
      </c>
      <c r="F718" s="13">
        <v>1257.54</v>
      </c>
      <c r="G718" s="13">
        <v>602.38</v>
      </c>
      <c r="H718" s="17">
        <v>3.9538515351790753E-4</v>
      </c>
      <c r="I718" s="17">
        <v>-3.7076024457322488E-3</v>
      </c>
      <c r="J718" s="13"/>
      <c r="K718" s="17"/>
      <c r="L718" s="17"/>
      <c r="M718" s="17"/>
      <c r="N718" s="17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</row>
    <row r="719" spans="5:25" ht="15" customHeight="1" x14ac:dyDescent="0.25">
      <c r="E719" s="15">
        <v>40540</v>
      </c>
      <c r="F719" s="13">
        <v>1258.51</v>
      </c>
      <c r="G719" s="13">
        <v>598.91999999999996</v>
      </c>
      <c r="H719" s="17">
        <v>5.5405067117842983E-4</v>
      </c>
      <c r="I719" s="17">
        <v>-6.3897370348923272E-3</v>
      </c>
      <c r="J719" s="13"/>
      <c r="K719" s="17"/>
      <c r="L719" s="17"/>
      <c r="M719" s="17"/>
      <c r="N719" s="17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</row>
    <row r="720" spans="5:25" ht="15" customHeight="1" x14ac:dyDescent="0.25">
      <c r="E720" s="15">
        <v>40541</v>
      </c>
      <c r="F720" s="13">
        <v>1259.78</v>
      </c>
      <c r="G720" s="13">
        <v>601</v>
      </c>
      <c r="H720" s="17">
        <v>7.9183328171272599E-4</v>
      </c>
      <c r="I720" s="17">
        <v>2.8270634830522691E-3</v>
      </c>
      <c r="J720" s="13"/>
      <c r="K720" s="17"/>
      <c r="L720" s="17"/>
      <c r="M720" s="17"/>
      <c r="N720" s="17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</row>
    <row r="721" spans="5:25" ht="15" customHeight="1" x14ac:dyDescent="0.25">
      <c r="E721" s="15">
        <v>40542</v>
      </c>
      <c r="F721" s="13">
        <v>1257.8800000000001</v>
      </c>
      <c r="G721" s="13">
        <v>598.86</v>
      </c>
      <c r="H721" s="17">
        <v>-1.7254964067264524E-3</v>
      </c>
      <c r="I721" s="17">
        <v>-4.2065865490132142E-3</v>
      </c>
      <c r="J721" s="13"/>
      <c r="K721" s="17"/>
      <c r="L721" s="17"/>
      <c r="M721" s="17"/>
      <c r="N721" s="17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</row>
    <row r="722" spans="5:25" ht="15" customHeight="1" x14ac:dyDescent="0.25">
      <c r="E722" s="15">
        <v>40543</v>
      </c>
      <c r="F722" s="13">
        <v>1257.6400000000001</v>
      </c>
      <c r="G722" s="13">
        <v>593.97</v>
      </c>
      <c r="H722" s="17">
        <v>-4.0809377666984334E-4</v>
      </c>
      <c r="I722" s="17">
        <v>-8.8113689133757188E-3</v>
      </c>
      <c r="J722" s="13"/>
      <c r="K722" s="17"/>
      <c r="L722" s="17"/>
      <c r="M722" s="17"/>
      <c r="N722" s="17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</row>
    <row r="723" spans="5:25" ht="15" customHeight="1" x14ac:dyDescent="0.25">
      <c r="E723" s="15">
        <v>40546</v>
      </c>
      <c r="F723" s="13">
        <v>1271.8699999999999</v>
      </c>
      <c r="G723" s="13">
        <v>604.35</v>
      </c>
      <c r="H723" s="17">
        <v>1.1097547113146443E-2</v>
      </c>
      <c r="I723" s="17">
        <v>1.6829775646458937E-2</v>
      </c>
      <c r="J723" s="13"/>
      <c r="K723" s="17"/>
      <c r="L723" s="17"/>
      <c r="M723" s="17"/>
      <c r="N723" s="17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</row>
    <row r="724" spans="5:25" ht="15" customHeight="1" x14ac:dyDescent="0.25">
      <c r="E724" s="15">
        <v>40547</v>
      </c>
      <c r="F724" s="13">
        <v>1270.2</v>
      </c>
      <c r="G724" s="13">
        <v>602.12</v>
      </c>
      <c r="H724" s="17">
        <v>-1.5303238371092707E-3</v>
      </c>
      <c r="I724" s="17">
        <v>-4.335769220347647E-3</v>
      </c>
      <c r="J724" s="13"/>
      <c r="K724" s="17"/>
      <c r="L724" s="17"/>
      <c r="M724" s="17"/>
      <c r="N724" s="17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</row>
    <row r="725" spans="5:25" ht="15" customHeight="1" x14ac:dyDescent="0.25">
      <c r="E725" s="15">
        <v>40548</v>
      </c>
      <c r="F725" s="13">
        <v>1276.56</v>
      </c>
      <c r="G725" s="13">
        <v>609.07000000000005</v>
      </c>
      <c r="H725" s="17">
        <v>4.789788936037544E-3</v>
      </c>
      <c r="I725" s="17">
        <v>1.0896695222007051E-2</v>
      </c>
      <c r="J725" s="13"/>
      <c r="K725" s="17"/>
      <c r="L725" s="17"/>
      <c r="M725" s="17"/>
      <c r="N725" s="17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</row>
    <row r="726" spans="5:25" ht="15" customHeight="1" x14ac:dyDescent="0.25">
      <c r="E726" s="15">
        <v>40549</v>
      </c>
      <c r="F726" s="13">
        <v>1273.8499999999999</v>
      </c>
      <c r="G726" s="13">
        <v>613.5</v>
      </c>
      <c r="H726" s="17">
        <v>-2.3401893366401878E-3</v>
      </c>
      <c r="I726" s="17">
        <v>6.6275295758214982E-3</v>
      </c>
      <c r="J726" s="13"/>
      <c r="K726" s="17"/>
      <c r="L726" s="17"/>
      <c r="M726" s="17"/>
      <c r="N726" s="17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</row>
    <row r="727" spans="5:25" ht="15" customHeight="1" x14ac:dyDescent="0.25">
      <c r="E727" s="15">
        <v>40550</v>
      </c>
      <c r="F727" s="13">
        <v>1271.5</v>
      </c>
      <c r="G727" s="13">
        <v>616.44000000000005</v>
      </c>
      <c r="H727" s="17">
        <v>-2.0620977555422856E-3</v>
      </c>
      <c r="I727" s="17">
        <v>4.1463216032513496E-3</v>
      </c>
      <c r="J727" s="13"/>
      <c r="K727" s="17"/>
      <c r="L727" s="17"/>
      <c r="M727" s="17"/>
      <c r="N727" s="17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</row>
    <row r="728" spans="5:25" ht="15" customHeight="1" x14ac:dyDescent="0.25">
      <c r="E728" s="15">
        <v>40553</v>
      </c>
      <c r="F728" s="13">
        <v>1269.75</v>
      </c>
      <c r="G728" s="13">
        <v>614.21</v>
      </c>
      <c r="H728" s="17">
        <v>-1.5936237349399242E-3</v>
      </c>
      <c r="I728" s="17">
        <v>-4.263400344634921E-3</v>
      </c>
      <c r="J728" s="13"/>
      <c r="K728" s="17"/>
      <c r="L728" s="17"/>
      <c r="M728" s="17"/>
      <c r="N728" s="17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</row>
    <row r="729" spans="5:25" ht="15" customHeight="1" x14ac:dyDescent="0.25">
      <c r="E729" s="15">
        <v>40554</v>
      </c>
      <c r="F729" s="13">
        <v>1274.48</v>
      </c>
      <c r="G729" s="13">
        <v>616.01</v>
      </c>
      <c r="H729" s="17">
        <v>3.5078461823255976E-3</v>
      </c>
      <c r="I729" s="17">
        <v>2.2847393349916746E-3</v>
      </c>
      <c r="J729" s="13"/>
      <c r="K729" s="17"/>
      <c r="L729" s="17"/>
      <c r="M729" s="17"/>
      <c r="N729" s="17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</row>
    <row r="730" spans="5:25" ht="15" customHeight="1" x14ac:dyDescent="0.25">
      <c r="E730" s="15">
        <v>40555</v>
      </c>
      <c r="F730" s="13">
        <v>1285.96</v>
      </c>
      <c r="G730" s="13">
        <v>616.87</v>
      </c>
      <c r="H730" s="17">
        <v>8.7902986922260111E-3</v>
      </c>
      <c r="I730" s="17">
        <v>7.5022679657907017E-4</v>
      </c>
      <c r="J730" s="13"/>
      <c r="K730" s="17"/>
      <c r="L730" s="17"/>
      <c r="M730" s="17"/>
      <c r="N730" s="17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</row>
    <row r="731" spans="5:25" ht="15" customHeight="1" x14ac:dyDescent="0.25">
      <c r="E731" s="15">
        <v>40556</v>
      </c>
      <c r="F731" s="13">
        <v>1283.76</v>
      </c>
      <c r="G731" s="13">
        <v>616.69000000000005</v>
      </c>
      <c r="H731" s="17">
        <v>-1.9280807235583564E-3</v>
      </c>
      <c r="I731" s="17">
        <v>-9.3765011405024369E-4</v>
      </c>
      <c r="J731" s="13"/>
      <c r="K731" s="17"/>
      <c r="L731" s="17"/>
      <c r="M731" s="17"/>
      <c r="N731" s="17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</row>
    <row r="732" spans="5:25" ht="15" customHeight="1" x14ac:dyDescent="0.25">
      <c r="E732" s="15">
        <v>40557</v>
      </c>
      <c r="F732" s="13">
        <v>1293.24</v>
      </c>
      <c r="G732" s="13">
        <v>624.17999999999995</v>
      </c>
      <c r="H732" s="17">
        <v>7.1672612989733099E-3</v>
      </c>
      <c r="I732" s="17">
        <v>1.1499631951133118E-2</v>
      </c>
      <c r="J732" s="13"/>
      <c r="K732" s="17"/>
      <c r="L732" s="17"/>
      <c r="M732" s="17"/>
      <c r="N732" s="17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</row>
    <row r="733" spans="5:25" ht="15" customHeight="1" x14ac:dyDescent="0.25">
      <c r="E733" s="15">
        <v>40561</v>
      </c>
      <c r="F733" s="13">
        <v>1295.02</v>
      </c>
      <c r="G733" s="13">
        <v>639.63</v>
      </c>
      <c r="H733" s="17">
        <v>1.1590914244527582E-3</v>
      </c>
      <c r="I733" s="17">
        <v>2.41066208116563E-2</v>
      </c>
      <c r="J733" s="13"/>
      <c r="K733" s="17"/>
      <c r="L733" s="17"/>
      <c r="M733" s="17"/>
      <c r="N733" s="17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</row>
    <row r="734" spans="5:25" ht="15" customHeight="1" x14ac:dyDescent="0.25">
      <c r="E734" s="15">
        <v>40562</v>
      </c>
      <c r="F734" s="13">
        <v>1281.92</v>
      </c>
      <c r="G734" s="13">
        <v>631.75</v>
      </c>
      <c r="H734" s="17">
        <v>-1.0332970451515516E-2</v>
      </c>
      <c r="I734" s="17">
        <v>-1.2965476717500023E-2</v>
      </c>
      <c r="J734" s="13"/>
      <c r="K734" s="17"/>
      <c r="L734" s="17"/>
      <c r="M734" s="17"/>
      <c r="N734" s="17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</row>
    <row r="735" spans="5:25" ht="15" customHeight="1" x14ac:dyDescent="0.25">
      <c r="E735" s="15">
        <v>40563</v>
      </c>
      <c r="F735" s="13">
        <v>1280.26</v>
      </c>
      <c r="G735" s="13">
        <v>626.77</v>
      </c>
      <c r="H735" s="17">
        <v>-1.5122291634075255E-3</v>
      </c>
      <c r="I735" s="17">
        <v>-8.528719493248748E-3</v>
      </c>
      <c r="J735" s="13"/>
      <c r="K735" s="17"/>
      <c r="L735" s="17"/>
      <c r="M735" s="17"/>
      <c r="N735" s="17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</row>
    <row r="736" spans="5:25" ht="15" customHeight="1" x14ac:dyDescent="0.25">
      <c r="E736" s="15">
        <v>40564</v>
      </c>
      <c r="F736" s="13">
        <v>1283.3499999999999</v>
      </c>
      <c r="G736" s="13">
        <v>611.83000000000004</v>
      </c>
      <c r="H736" s="17">
        <v>2.1962756808289394E-3</v>
      </c>
      <c r="I736" s="17">
        <v>-2.4482349481898098E-2</v>
      </c>
      <c r="J736" s="13"/>
      <c r="K736" s="17"/>
      <c r="L736" s="17"/>
      <c r="M736" s="17"/>
      <c r="N736" s="17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</row>
    <row r="737" spans="5:25" ht="15" customHeight="1" x14ac:dyDescent="0.25">
      <c r="E737" s="15">
        <v>40567</v>
      </c>
      <c r="F737" s="13">
        <v>1290.8399999999999</v>
      </c>
      <c r="G737" s="13">
        <v>611.08000000000004</v>
      </c>
      <c r="H737" s="17">
        <v>5.6189912781084836E-3</v>
      </c>
      <c r="I737" s="17">
        <v>-1.8716851404759439E-3</v>
      </c>
      <c r="J737" s="13"/>
      <c r="K737" s="17"/>
      <c r="L737" s="17"/>
      <c r="M737" s="17"/>
      <c r="N737" s="17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</row>
    <row r="738" spans="5:25" ht="15" customHeight="1" x14ac:dyDescent="0.25">
      <c r="E738" s="15">
        <v>40568</v>
      </c>
      <c r="F738" s="13">
        <v>1291.18</v>
      </c>
      <c r="G738" s="13">
        <v>619.91</v>
      </c>
      <c r="H738" s="17">
        <v>4.6097816544906515E-5</v>
      </c>
      <c r="I738" s="17">
        <v>1.3803972100755228E-2</v>
      </c>
      <c r="J738" s="13"/>
      <c r="K738" s="17"/>
      <c r="L738" s="17"/>
      <c r="M738" s="17"/>
      <c r="N738" s="17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</row>
    <row r="739" spans="5:25" ht="15" customHeight="1" x14ac:dyDescent="0.25">
      <c r="E739" s="15">
        <v>40569</v>
      </c>
      <c r="F739" s="13">
        <v>1296.6300000000001</v>
      </c>
      <c r="G739" s="13">
        <v>616.5</v>
      </c>
      <c r="H739" s="17">
        <v>4.0036486196174366E-3</v>
      </c>
      <c r="I739" s="17">
        <v>-6.1466529388769561E-3</v>
      </c>
      <c r="J739" s="13"/>
      <c r="K739" s="17"/>
      <c r="L739" s="17"/>
      <c r="M739" s="17"/>
      <c r="N739" s="17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</row>
    <row r="740" spans="5:25" ht="15" customHeight="1" x14ac:dyDescent="0.25">
      <c r="E740" s="15">
        <v>40570</v>
      </c>
      <c r="F740" s="13">
        <v>1299.54</v>
      </c>
      <c r="G740" s="13">
        <v>616.79</v>
      </c>
      <c r="H740" s="17">
        <v>2.0269828389078278E-3</v>
      </c>
      <c r="I740" s="17">
        <v>-1.7545703116448095E-4</v>
      </c>
      <c r="J740" s="13"/>
      <c r="K740" s="17"/>
      <c r="L740" s="17"/>
      <c r="M740" s="17"/>
      <c r="N740" s="17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</row>
    <row r="741" spans="5:25" ht="15" customHeight="1" x14ac:dyDescent="0.25">
      <c r="E741" s="15">
        <v>40571</v>
      </c>
      <c r="F741" s="13">
        <v>1276.3399999999999</v>
      </c>
      <c r="G741" s="13">
        <v>600.99</v>
      </c>
      <c r="H741" s="17">
        <v>-1.8069767436618544E-2</v>
      </c>
      <c r="I741" s="17">
        <v>-2.6262352757825687E-2</v>
      </c>
      <c r="J741" s="13"/>
      <c r="K741" s="17"/>
      <c r="L741" s="17"/>
      <c r="M741" s="17"/>
      <c r="N741" s="17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</row>
    <row r="742" spans="5:25" ht="15" customHeight="1" x14ac:dyDescent="0.25">
      <c r="E742" s="15">
        <v>40574</v>
      </c>
      <c r="F742" s="13">
        <v>1286.1199999999999</v>
      </c>
      <c r="G742" s="13">
        <v>600.36</v>
      </c>
      <c r="H742" s="17">
        <v>7.4452384988814187E-3</v>
      </c>
      <c r="I742" s="17">
        <v>-1.6941247897844936E-3</v>
      </c>
      <c r="J742" s="13"/>
      <c r="K742" s="17"/>
      <c r="L742" s="17"/>
      <c r="M742" s="17"/>
      <c r="N742" s="17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</row>
    <row r="743" spans="5:25" ht="15" customHeight="1" x14ac:dyDescent="0.25">
      <c r="E743" s="15">
        <v>40575</v>
      </c>
      <c r="F743" s="13">
        <v>1307.5899999999999</v>
      </c>
      <c r="G743" s="13">
        <v>611.04</v>
      </c>
      <c r="H743" s="17">
        <v>1.6476324561691697E-2</v>
      </c>
      <c r="I743" s="17">
        <v>1.7143471968289054E-2</v>
      </c>
      <c r="J743" s="13"/>
      <c r="K743" s="17"/>
      <c r="L743" s="17"/>
      <c r="M743" s="17"/>
      <c r="N743" s="17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</row>
    <row r="744" spans="5:25" ht="15" customHeight="1" x14ac:dyDescent="0.25">
      <c r="E744" s="15">
        <v>40576</v>
      </c>
      <c r="F744" s="13">
        <v>1304.03</v>
      </c>
      <c r="G744" s="13">
        <v>612</v>
      </c>
      <c r="H744" s="17">
        <v>-2.9398625042328648E-3</v>
      </c>
      <c r="I744" s="17">
        <v>9.2523747300821428E-4</v>
      </c>
      <c r="J744" s="13"/>
      <c r="K744" s="17"/>
      <c r="L744" s="17"/>
      <c r="M744" s="17"/>
      <c r="N744" s="17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</row>
    <row r="745" spans="5:25" ht="15" customHeight="1" x14ac:dyDescent="0.25">
      <c r="E745" s="15">
        <v>40577</v>
      </c>
      <c r="F745" s="13">
        <v>1307.0999999999999</v>
      </c>
      <c r="G745" s="13">
        <v>610.15</v>
      </c>
      <c r="H745" s="17">
        <v>2.1369437542479615E-3</v>
      </c>
      <c r="I745" s="17">
        <v>-3.6687302528619192E-3</v>
      </c>
      <c r="J745" s="13"/>
      <c r="K745" s="17"/>
      <c r="L745" s="17"/>
      <c r="M745" s="17"/>
      <c r="N745" s="17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</row>
    <row r="746" spans="5:25" ht="15" customHeight="1" x14ac:dyDescent="0.25">
      <c r="E746" s="15">
        <v>40578</v>
      </c>
      <c r="F746" s="13">
        <v>1310.87</v>
      </c>
      <c r="G746" s="13">
        <v>610.98</v>
      </c>
      <c r="H746" s="17">
        <v>2.6669510086494378E-3</v>
      </c>
      <c r="I746" s="17">
        <v>7.1446679661536056E-4</v>
      </c>
      <c r="J746" s="13"/>
      <c r="K746" s="17"/>
      <c r="L746" s="17"/>
      <c r="M746" s="17"/>
      <c r="N746" s="17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</row>
    <row r="747" spans="5:25" ht="15" customHeight="1" x14ac:dyDescent="0.25">
      <c r="E747" s="15">
        <v>40581</v>
      </c>
      <c r="F747" s="13">
        <v>1319.05</v>
      </c>
      <c r="G747" s="13">
        <v>614.29</v>
      </c>
      <c r="H747" s="17">
        <v>6.0228340379791852E-3</v>
      </c>
      <c r="I747" s="17">
        <v>4.771671506060904E-3</v>
      </c>
      <c r="J747" s="13"/>
      <c r="K747" s="17"/>
      <c r="L747" s="17"/>
      <c r="M747" s="17"/>
      <c r="N747" s="17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</row>
    <row r="748" spans="5:25" ht="15" customHeight="1" x14ac:dyDescent="0.25">
      <c r="E748" s="15">
        <v>40582</v>
      </c>
      <c r="F748" s="13">
        <v>1324.57</v>
      </c>
      <c r="G748" s="13">
        <v>618.38</v>
      </c>
      <c r="H748" s="17">
        <v>3.967533428972431E-3</v>
      </c>
      <c r="I748" s="17">
        <v>6.012238647203059E-3</v>
      </c>
      <c r="J748" s="13"/>
      <c r="K748" s="17"/>
      <c r="L748" s="17"/>
      <c r="M748" s="17"/>
      <c r="N748" s="17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</row>
    <row r="749" spans="5:25" ht="15" customHeight="1" x14ac:dyDescent="0.25">
      <c r="E749" s="15">
        <v>40583</v>
      </c>
      <c r="F749" s="13">
        <v>1320.88</v>
      </c>
      <c r="G749" s="13">
        <v>616.5</v>
      </c>
      <c r="H749" s="17">
        <v>-3.0031062967890423E-3</v>
      </c>
      <c r="I749" s="17">
        <v>-3.686056253521031E-3</v>
      </c>
      <c r="J749" s="13"/>
      <c r="K749" s="17"/>
      <c r="L749" s="17"/>
      <c r="M749" s="17"/>
      <c r="N749" s="17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</row>
    <row r="750" spans="5:25" ht="15" customHeight="1" x14ac:dyDescent="0.25">
      <c r="E750" s="15">
        <v>40584</v>
      </c>
      <c r="F750" s="13">
        <v>1321.87</v>
      </c>
      <c r="G750" s="13">
        <v>616.44000000000005</v>
      </c>
      <c r="H750" s="17">
        <v>5.3220377080208619E-4</v>
      </c>
      <c r="I750" s="17">
        <v>-7.4317803684169099E-4</v>
      </c>
      <c r="J750" s="13"/>
      <c r="K750" s="17"/>
      <c r="L750" s="17"/>
      <c r="M750" s="17"/>
      <c r="N750" s="17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</row>
    <row r="751" spans="5:25" ht="15" customHeight="1" x14ac:dyDescent="0.25">
      <c r="E751" s="15">
        <v>40585</v>
      </c>
      <c r="F751" s="13">
        <v>1329.15</v>
      </c>
      <c r="G751" s="13">
        <v>624.5</v>
      </c>
      <c r="H751" s="17">
        <v>5.2900528744735664E-3</v>
      </c>
      <c r="I751" s="17">
        <v>1.2429221808372672E-2</v>
      </c>
      <c r="J751" s="13"/>
      <c r="K751" s="17"/>
      <c r="L751" s="17"/>
      <c r="M751" s="17"/>
      <c r="N751" s="17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</row>
    <row r="752" spans="5:25" ht="15" customHeight="1" x14ac:dyDescent="0.25">
      <c r="E752" s="15">
        <v>40588</v>
      </c>
      <c r="F752" s="13">
        <v>1332.32</v>
      </c>
      <c r="G752" s="13">
        <v>628.15</v>
      </c>
      <c r="H752" s="17">
        <v>2.167686321488743E-3</v>
      </c>
      <c r="I752" s="17">
        <v>5.1988213047240188E-3</v>
      </c>
      <c r="J752" s="13"/>
      <c r="K752" s="17"/>
      <c r="L752" s="17"/>
      <c r="M752" s="17"/>
      <c r="N752" s="17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</row>
    <row r="753" spans="5:25" ht="15" customHeight="1" x14ac:dyDescent="0.25">
      <c r="E753" s="15">
        <v>40589</v>
      </c>
      <c r="F753" s="13">
        <v>1328.01</v>
      </c>
      <c r="G753" s="13">
        <v>624.15</v>
      </c>
      <c r="H753" s="17">
        <v>-3.4522551308212423E-3</v>
      </c>
      <c r="I753" s="17">
        <v>-7.0137601908632809E-3</v>
      </c>
      <c r="J753" s="13"/>
      <c r="K753" s="17"/>
      <c r="L753" s="17"/>
      <c r="M753" s="17"/>
      <c r="N753" s="17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</row>
    <row r="754" spans="5:25" ht="15" customHeight="1" x14ac:dyDescent="0.25">
      <c r="E754" s="15">
        <v>40590</v>
      </c>
      <c r="F754" s="13">
        <v>1336.32</v>
      </c>
      <c r="G754" s="13">
        <v>624.22</v>
      </c>
      <c r="H754" s="17">
        <v>6.0401864385718441E-3</v>
      </c>
      <c r="I754" s="17">
        <v>-5.3370190843114024E-4</v>
      </c>
      <c r="J754" s="13"/>
      <c r="K754" s="17"/>
      <c r="L754" s="17"/>
      <c r="M754" s="17"/>
      <c r="N754" s="17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</row>
    <row r="755" spans="5:25" ht="15" customHeight="1" x14ac:dyDescent="0.25">
      <c r="E755" s="15">
        <v>40591</v>
      </c>
      <c r="F755" s="13">
        <v>1340.43</v>
      </c>
      <c r="G755" s="13">
        <v>625.26</v>
      </c>
      <c r="H755" s="17">
        <v>2.8583140698747356E-3</v>
      </c>
      <c r="I755" s="17">
        <v>1.0202248310566676E-3</v>
      </c>
      <c r="J755" s="13"/>
      <c r="K755" s="17"/>
      <c r="L755" s="17"/>
      <c r="M755" s="17"/>
      <c r="N755" s="17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</row>
    <row r="756" spans="5:25" ht="15" customHeight="1" x14ac:dyDescent="0.25">
      <c r="E756" s="15">
        <v>40592</v>
      </c>
      <c r="F756" s="13">
        <v>1343.01</v>
      </c>
      <c r="G756" s="13">
        <v>630.08000000000004</v>
      </c>
      <c r="H756" s="17">
        <v>1.7074589266011023E-3</v>
      </c>
      <c r="I756" s="17">
        <v>7.0629387061844516E-3</v>
      </c>
      <c r="J756" s="13"/>
      <c r="K756" s="17"/>
      <c r="L756" s="17"/>
      <c r="M756" s="17"/>
      <c r="N756" s="17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</row>
    <row r="757" spans="5:25" ht="15" customHeight="1" x14ac:dyDescent="0.25">
      <c r="E757" s="15">
        <v>40596</v>
      </c>
      <c r="F757" s="13">
        <v>1315.44</v>
      </c>
      <c r="G757" s="13">
        <v>610.21</v>
      </c>
      <c r="H757" s="17">
        <v>-2.074581086972312E-2</v>
      </c>
      <c r="I757" s="17">
        <v>-3.2181532445010153E-2</v>
      </c>
      <c r="J757" s="13"/>
      <c r="K757" s="17"/>
      <c r="L757" s="17"/>
      <c r="M757" s="17"/>
      <c r="N757" s="17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</row>
    <row r="758" spans="5:25" ht="15" customHeight="1" x14ac:dyDescent="0.25">
      <c r="E758" s="15">
        <v>40597</v>
      </c>
      <c r="F758" s="13">
        <v>1307.4000000000001</v>
      </c>
      <c r="G758" s="13">
        <v>611.32000000000005</v>
      </c>
      <c r="H758" s="17">
        <v>-6.329319915711837E-3</v>
      </c>
      <c r="I758" s="17">
        <v>1.1731914663619246E-3</v>
      </c>
      <c r="J758" s="13"/>
      <c r="K758" s="17"/>
      <c r="L758" s="17"/>
      <c r="M758" s="17"/>
      <c r="N758" s="17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</row>
    <row r="759" spans="5:25" ht="15" customHeight="1" x14ac:dyDescent="0.25">
      <c r="E759" s="15">
        <v>40598</v>
      </c>
      <c r="F759" s="13">
        <v>1306.0999999999999</v>
      </c>
      <c r="G759" s="13">
        <v>608.82000000000005</v>
      </c>
      <c r="H759" s="17">
        <v>-1.2116364735834579E-3</v>
      </c>
      <c r="I759" s="17">
        <v>-4.735365657487247E-3</v>
      </c>
      <c r="J759" s="13"/>
      <c r="K759" s="17"/>
      <c r="L759" s="17"/>
      <c r="M759" s="17"/>
      <c r="N759" s="17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</row>
    <row r="760" spans="5:25" ht="15" customHeight="1" x14ac:dyDescent="0.25">
      <c r="E760" s="15">
        <v>40599</v>
      </c>
      <c r="F760" s="13">
        <v>1319.88</v>
      </c>
      <c r="G760" s="13">
        <v>610.04</v>
      </c>
      <c r="H760" s="17">
        <v>1.0333197274303645E-2</v>
      </c>
      <c r="I760" s="17">
        <v>1.3580219151055604E-3</v>
      </c>
      <c r="J760" s="13"/>
      <c r="K760" s="17"/>
      <c r="L760" s="17"/>
      <c r="M760" s="17"/>
      <c r="N760" s="17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</row>
    <row r="761" spans="5:25" ht="15" customHeight="1" x14ac:dyDescent="0.25">
      <c r="E761" s="15">
        <v>40602</v>
      </c>
      <c r="F761" s="13">
        <v>1327.22</v>
      </c>
      <c r="G761" s="13">
        <v>613.4</v>
      </c>
      <c r="H761" s="17">
        <v>5.3438150538983615E-3</v>
      </c>
      <c r="I761" s="17">
        <v>4.8619811158986427E-3</v>
      </c>
      <c r="J761" s="13"/>
      <c r="K761" s="17"/>
      <c r="L761" s="17"/>
      <c r="M761" s="17"/>
      <c r="N761" s="17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</row>
    <row r="762" spans="5:25" ht="15" customHeight="1" x14ac:dyDescent="0.25">
      <c r="E762" s="15">
        <v>40603</v>
      </c>
      <c r="F762" s="13">
        <v>1306.33</v>
      </c>
      <c r="G762" s="13">
        <v>600.76</v>
      </c>
      <c r="H762" s="17">
        <v>-1.5956962932617034E-2</v>
      </c>
      <c r="I762" s="17">
        <v>-2.1252310255888019E-2</v>
      </c>
      <c r="J762" s="13"/>
      <c r="K762" s="17"/>
      <c r="L762" s="17"/>
      <c r="M762" s="17"/>
      <c r="N762" s="17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</row>
    <row r="763" spans="5:25" ht="15" customHeight="1" x14ac:dyDescent="0.25">
      <c r="E763" s="15">
        <v>40604</v>
      </c>
      <c r="F763" s="13">
        <v>1308.44</v>
      </c>
      <c r="G763" s="13">
        <v>600.79</v>
      </c>
      <c r="H763" s="17">
        <v>1.3979155203958096E-3</v>
      </c>
      <c r="I763" s="17">
        <v>-5.9591768908105237E-4</v>
      </c>
      <c r="J763" s="13"/>
      <c r="K763" s="17"/>
      <c r="L763" s="17"/>
      <c r="M763" s="17"/>
      <c r="N763" s="17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</row>
    <row r="764" spans="5:25" ht="15" customHeight="1" x14ac:dyDescent="0.25">
      <c r="E764" s="15">
        <v>40605</v>
      </c>
      <c r="F764" s="13">
        <v>1330.97</v>
      </c>
      <c r="G764" s="13">
        <v>609.55999999999995</v>
      </c>
      <c r="H764" s="17">
        <v>1.7001681763024811E-2</v>
      </c>
      <c r="I764" s="17">
        <v>1.3951592259316218E-2</v>
      </c>
      <c r="J764" s="13"/>
      <c r="K764" s="17"/>
      <c r="L764" s="17"/>
      <c r="M764" s="17"/>
      <c r="N764" s="17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</row>
    <row r="765" spans="5:25" ht="15" customHeight="1" x14ac:dyDescent="0.25">
      <c r="E765" s="15">
        <v>40606</v>
      </c>
      <c r="F765" s="13">
        <v>1321.15</v>
      </c>
      <c r="G765" s="13">
        <v>600.62</v>
      </c>
      <c r="H765" s="17">
        <v>-7.5953742049307202E-3</v>
      </c>
      <c r="I765" s="17">
        <v>-1.5312171123315139E-2</v>
      </c>
      <c r="J765" s="13"/>
      <c r="K765" s="17"/>
      <c r="L765" s="17"/>
      <c r="M765" s="17"/>
      <c r="N765" s="17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</row>
    <row r="766" spans="5:25" ht="15" customHeight="1" x14ac:dyDescent="0.25">
      <c r="E766" s="15">
        <v>40609</v>
      </c>
      <c r="F766" s="13">
        <v>1310.1300000000001</v>
      </c>
      <c r="G766" s="13">
        <v>591.66</v>
      </c>
      <c r="H766" s="17">
        <v>-8.5585144406727202E-3</v>
      </c>
      <c r="I766" s="17">
        <v>-1.5563772587112171E-2</v>
      </c>
      <c r="J766" s="13"/>
      <c r="K766" s="17"/>
      <c r="L766" s="17"/>
      <c r="M766" s="17"/>
      <c r="N766" s="17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</row>
    <row r="767" spans="5:25" ht="15" customHeight="1" x14ac:dyDescent="0.25">
      <c r="E767" s="15">
        <v>40610</v>
      </c>
      <c r="F767" s="13">
        <v>1321.82</v>
      </c>
      <c r="G767" s="13">
        <v>592.30999999999995</v>
      </c>
      <c r="H767" s="17">
        <v>8.7054820932440935E-3</v>
      </c>
      <c r="I767" s="17">
        <v>4.5274949206312734E-4</v>
      </c>
      <c r="J767" s="13"/>
      <c r="K767" s="17"/>
      <c r="L767" s="17"/>
      <c r="M767" s="17"/>
      <c r="N767" s="17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</row>
    <row r="768" spans="5:25" ht="15" customHeight="1" x14ac:dyDescent="0.25">
      <c r="E768" s="15">
        <v>40611</v>
      </c>
      <c r="F768" s="13">
        <v>1320.02</v>
      </c>
      <c r="G768" s="13">
        <v>591.77</v>
      </c>
      <c r="H768" s="17">
        <v>-1.5790553494360131E-3</v>
      </c>
      <c r="I768" s="17">
        <v>-1.5575391955382225E-3</v>
      </c>
      <c r="J768" s="13"/>
      <c r="K768" s="17"/>
      <c r="L768" s="17"/>
      <c r="M768" s="17"/>
      <c r="N768" s="17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</row>
    <row r="769" spans="5:25" ht="15" customHeight="1" x14ac:dyDescent="0.25">
      <c r="E769" s="15">
        <v>40612</v>
      </c>
      <c r="F769" s="13">
        <v>1295.1099999999999</v>
      </c>
      <c r="G769" s="13">
        <v>580.29999999999995</v>
      </c>
      <c r="H769" s="17">
        <v>-1.9088222760397081E-2</v>
      </c>
      <c r="I769" s="17">
        <v>-2.0028384810845221E-2</v>
      </c>
      <c r="J769" s="13"/>
      <c r="K769" s="17"/>
      <c r="L769" s="17"/>
      <c r="M769" s="17"/>
      <c r="N769" s="17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</row>
    <row r="770" spans="5:25" ht="15" customHeight="1" x14ac:dyDescent="0.25">
      <c r="E770" s="15">
        <v>40613</v>
      </c>
      <c r="F770" s="13">
        <v>1304.28</v>
      </c>
      <c r="G770" s="13">
        <v>576.71</v>
      </c>
      <c r="H770" s="17">
        <v>6.8631830880680157E-3</v>
      </c>
      <c r="I770" s="17">
        <v>-6.8323097176192739E-3</v>
      </c>
      <c r="J770" s="13"/>
      <c r="K770" s="17"/>
      <c r="L770" s="17"/>
      <c r="M770" s="17"/>
      <c r="N770" s="17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</row>
    <row r="771" spans="5:25" ht="15" customHeight="1" x14ac:dyDescent="0.25">
      <c r="E771" s="15">
        <v>40616</v>
      </c>
      <c r="F771" s="13">
        <v>1296.3900000000001</v>
      </c>
      <c r="G771" s="13">
        <v>569.99</v>
      </c>
      <c r="H771" s="17">
        <v>-6.2666111266665193E-3</v>
      </c>
      <c r="I771" s="17">
        <v>-1.2298158019992192E-2</v>
      </c>
      <c r="J771" s="13"/>
      <c r="K771" s="17"/>
      <c r="L771" s="17"/>
      <c r="M771" s="17"/>
      <c r="N771" s="17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</row>
    <row r="772" spans="5:25" ht="15" customHeight="1" x14ac:dyDescent="0.25">
      <c r="E772" s="15">
        <v>40617</v>
      </c>
      <c r="F772" s="13">
        <v>1281.8699999999999</v>
      </c>
      <c r="G772" s="13">
        <v>569.55999999999995</v>
      </c>
      <c r="H772" s="17">
        <v>-1.1417629795364041E-2</v>
      </c>
      <c r="I772" s="17">
        <v>-1.4002536358544196E-3</v>
      </c>
      <c r="J772" s="13"/>
      <c r="K772" s="17"/>
      <c r="L772" s="17"/>
      <c r="M772" s="17"/>
      <c r="N772" s="17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</row>
    <row r="773" spans="5:25" ht="15" customHeight="1" x14ac:dyDescent="0.25">
      <c r="E773" s="15">
        <v>40618</v>
      </c>
      <c r="F773" s="13">
        <v>1256.8800000000001</v>
      </c>
      <c r="G773" s="13">
        <v>557.1</v>
      </c>
      <c r="H773" s="17">
        <v>-1.9712253149170557E-2</v>
      </c>
      <c r="I773" s="17">
        <v>-2.2522390709483173E-2</v>
      </c>
      <c r="J773" s="13"/>
      <c r="K773" s="17"/>
      <c r="L773" s="17"/>
      <c r="M773" s="17"/>
      <c r="N773" s="17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</row>
    <row r="774" spans="5:25" ht="15" customHeight="1" x14ac:dyDescent="0.25">
      <c r="E774" s="15">
        <v>40619</v>
      </c>
      <c r="F774" s="13">
        <v>1273.72</v>
      </c>
      <c r="G774" s="13">
        <v>561.36</v>
      </c>
      <c r="H774" s="17">
        <v>1.3180959436672433E-2</v>
      </c>
      <c r="I774" s="17">
        <v>7.0008876212128597E-3</v>
      </c>
      <c r="J774" s="13"/>
      <c r="K774" s="17"/>
      <c r="L774" s="17"/>
      <c r="M774" s="17"/>
      <c r="N774" s="17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</row>
    <row r="775" spans="5:25" ht="15" customHeight="1" x14ac:dyDescent="0.25">
      <c r="E775" s="15">
        <v>40620</v>
      </c>
      <c r="F775" s="13">
        <v>1279.21</v>
      </c>
      <c r="G775" s="13">
        <v>561.05999999999995</v>
      </c>
      <c r="H775" s="17">
        <v>4.0929129028794082E-3</v>
      </c>
      <c r="I775" s="17">
        <v>-1.1802708531407937E-3</v>
      </c>
      <c r="J775" s="13"/>
      <c r="K775" s="17"/>
      <c r="L775" s="17"/>
      <c r="M775" s="17"/>
      <c r="N775" s="17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</row>
    <row r="776" spans="5:25" ht="15" customHeight="1" x14ac:dyDescent="0.25">
      <c r="E776" s="15">
        <v>40623</v>
      </c>
      <c r="F776" s="13">
        <v>1298.3800000000001</v>
      </c>
      <c r="G776" s="13">
        <v>576.5</v>
      </c>
      <c r="H776" s="17">
        <v>1.4768514993260281E-2</v>
      </c>
      <c r="I776" s="17">
        <v>2.6873483959312095E-2</v>
      </c>
      <c r="J776" s="13"/>
      <c r="K776" s="17"/>
      <c r="L776" s="17"/>
      <c r="M776" s="17"/>
      <c r="N776" s="17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</row>
    <row r="777" spans="5:25" ht="15" customHeight="1" x14ac:dyDescent="0.25">
      <c r="E777" s="15">
        <v>40624</v>
      </c>
      <c r="F777" s="13">
        <v>1293.77</v>
      </c>
      <c r="G777" s="13">
        <v>577.32000000000005</v>
      </c>
      <c r="H777" s="17">
        <v>-3.7678749754085738E-3</v>
      </c>
      <c r="I777" s="17">
        <v>7.76521973498414E-4</v>
      </c>
      <c r="J777" s="13"/>
      <c r="K777" s="17"/>
      <c r="L777" s="17"/>
      <c r="M777" s="17"/>
      <c r="N777" s="17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</row>
    <row r="778" spans="5:25" ht="15" customHeight="1" x14ac:dyDescent="0.25">
      <c r="E778" s="15">
        <v>40625</v>
      </c>
      <c r="F778" s="13">
        <v>1297.54</v>
      </c>
      <c r="G778" s="13">
        <v>582.16</v>
      </c>
      <c r="H778" s="17">
        <v>2.6966680527305948E-3</v>
      </c>
      <c r="I778" s="17">
        <v>7.7377110044419446E-3</v>
      </c>
      <c r="J778" s="13"/>
      <c r="K778" s="17"/>
      <c r="L778" s="17"/>
      <c r="M778" s="17"/>
      <c r="N778" s="17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</row>
    <row r="779" spans="5:25" ht="15" customHeight="1" x14ac:dyDescent="0.25">
      <c r="E779" s="15">
        <v>40626</v>
      </c>
      <c r="F779" s="13">
        <v>1309.6600000000001</v>
      </c>
      <c r="G779" s="13">
        <v>586.89</v>
      </c>
      <c r="H779" s="17">
        <v>9.1234559385771196E-3</v>
      </c>
      <c r="I779" s="17">
        <v>7.4790596770901822E-3</v>
      </c>
      <c r="J779" s="13"/>
      <c r="K779" s="17"/>
      <c r="L779" s="17"/>
      <c r="M779" s="17"/>
      <c r="N779" s="17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</row>
    <row r="780" spans="5:25" ht="15" customHeight="1" x14ac:dyDescent="0.25">
      <c r="E780" s="15">
        <v>40627</v>
      </c>
      <c r="F780" s="13">
        <v>1313.8</v>
      </c>
      <c r="G780" s="13">
        <v>579.74</v>
      </c>
      <c r="H780" s="17">
        <v>2.9438292260633818E-3</v>
      </c>
      <c r="I780" s="17">
        <v>-1.2828716641733268E-2</v>
      </c>
      <c r="J780" s="13"/>
      <c r="K780" s="17"/>
      <c r="L780" s="17"/>
      <c r="M780" s="17"/>
      <c r="N780" s="17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</row>
    <row r="781" spans="5:25" ht="15" customHeight="1" x14ac:dyDescent="0.25">
      <c r="E781" s="15">
        <v>40630</v>
      </c>
      <c r="F781" s="13">
        <v>1310.19</v>
      </c>
      <c r="G781" s="13">
        <v>575.36</v>
      </c>
      <c r="H781" s="17">
        <v>-2.9650511672718767E-3</v>
      </c>
      <c r="I781" s="17">
        <v>-8.2009653476564984E-3</v>
      </c>
      <c r="J781" s="13"/>
      <c r="K781" s="17"/>
      <c r="L781" s="17"/>
      <c r="M781" s="17"/>
      <c r="N781" s="17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</row>
    <row r="782" spans="5:25" ht="15" customHeight="1" x14ac:dyDescent="0.25">
      <c r="E782" s="15">
        <v>40631</v>
      </c>
      <c r="F782" s="13">
        <v>1319.44</v>
      </c>
      <c r="G782" s="13">
        <v>581.73</v>
      </c>
      <c r="H782" s="17">
        <v>6.8427481640282294E-3</v>
      </c>
      <c r="I782" s="17">
        <v>1.0425474818859021E-2</v>
      </c>
      <c r="J782" s="13"/>
      <c r="K782" s="17"/>
      <c r="L782" s="17"/>
      <c r="M782" s="17"/>
      <c r="N782" s="17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</row>
    <row r="783" spans="5:25" ht="15" customHeight="1" x14ac:dyDescent="0.25">
      <c r="E783" s="15">
        <v>40632</v>
      </c>
      <c r="F783" s="13">
        <v>1328.26</v>
      </c>
      <c r="G783" s="13">
        <v>581.84</v>
      </c>
      <c r="H783" s="17">
        <v>6.4673575333677813E-3</v>
      </c>
      <c r="I783" s="17">
        <v>-4.5676327673964954E-4</v>
      </c>
      <c r="J783" s="13"/>
      <c r="K783" s="17"/>
      <c r="L783" s="17"/>
      <c r="M783" s="17"/>
      <c r="N783" s="17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</row>
    <row r="784" spans="5:25" ht="15" customHeight="1" x14ac:dyDescent="0.25">
      <c r="E784" s="15">
        <v>40633</v>
      </c>
      <c r="F784" s="13">
        <v>1325.83</v>
      </c>
      <c r="G784" s="13">
        <v>586.76</v>
      </c>
      <c r="H784" s="17">
        <v>-2.0467576617927081E-3</v>
      </c>
      <c r="I784" s="17">
        <v>7.8100784666477003E-3</v>
      </c>
      <c r="J784" s="13"/>
      <c r="K784" s="17"/>
      <c r="L784" s="17"/>
      <c r="M784" s="17"/>
      <c r="N784" s="17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</row>
    <row r="785" spans="5:25" ht="15" customHeight="1" x14ac:dyDescent="0.25">
      <c r="E785" s="15">
        <v>40634</v>
      </c>
      <c r="F785" s="13">
        <v>1332.41</v>
      </c>
      <c r="G785" s="13">
        <v>591.79999999999995</v>
      </c>
      <c r="H785" s="17">
        <v>4.7456323199758866E-3</v>
      </c>
      <c r="I785" s="17">
        <v>7.9436881369040584E-3</v>
      </c>
      <c r="J785" s="13"/>
      <c r="K785" s="17"/>
      <c r="L785" s="17"/>
      <c r="M785" s="17"/>
      <c r="N785" s="17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</row>
    <row r="786" spans="5:25" ht="15" customHeight="1" x14ac:dyDescent="0.25">
      <c r="E786" s="15">
        <v>40637</v>
      </c>
      <c r="F786" s="13">
        <v>1332.87</v>
      </c>
      <c r="G786" s="13">
        <v>587.67999999999995</v>
      </c>
      <c r="H786" s="17">
        <v>1.2794251575238465E-4</v>
      </c>
      <c r="I786" s="17">
        <v>-7.6076658586464209E-3</v>
      </c>
      <c r="J786" s="13"/>
      <c r="K786" s="17"/>
      <c r="L786" s="17"/>
      <c r="M786" s="17"/>
      <c r="N786" s="17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</row>
    <row r="787" spans="5:25" ht="15" customHeight="1" x14ac:dyDescent="0.25">
      <c r="E787" s="15">
        <v>40638</v>
      </c>
      <c r="F787" s="13">
        <v>1332.63</v>
      </c>
      <c r="G787" s="13">
        <v>569.09</v>
      </c>
      <c r="H787" s="17">
        <v>-3.9735913405285396E-4</v>
      </c>
      <c r="I787" s="17">
        <v>-3.2278715857050048E-2</v>
      </c>
      <c r="J787" s="13"/>
      <c r="K787" s="17"/>
      <c r="L787" s="17"/>
      <c r="M787" s="17"/>
      <c r="N787" s="17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</row>
    <row r="788" spans="5:25" ht="15" customHeight="1" x14ac:dyDescent="0.25">
      <c r="E788" s="15">
        <v>40639</v>
      </c>
      <c r="F788" s="13">
        <v>1335.54</v>
      </c>
      <c r="G788" s="13">
        <v>574.17999999999995</v>
      </c>
      <c r="H788" s="17">
        <v>1.9663553140556096E-3</v>
      </c>
      <c r="I788" s="17">
        <v>8.2982493087062174E-3</v>
      </c>
      <c r="J788" s="13"/>
      <c r="K788" s="17"/>
      <c r="L788" s="17"/>
      <c r="M788" s="17"/>
      <c r="N788" s="17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</row>
    <row r="789" spans="5:25" ht="15" customHeight="1" x14ac:dyDescent="0.25">
      <c r="E789" s="15">
        <v>40640</v>
      </c>
      <c r="F789" s="13">
        <v>1333.51</v>
      </c>
      <c r="G789" s="13">
        <v>580</v>
      </c>
      <c r="H789" s="17">
        <v>-1.7372809880845149E-3</v>
      </c>
      <c r="I789" s="17">
        <v>9.4903397889390968E-3</v>
      </c>
      <c r="J789" s="13"/>
      <c r="K789" s="17"/>
      <c r="L789" s="17"/>
      <c r="M789" s="17"/>
      <c r="N789" s="17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</row>
    <row r="790" spans="5:25" ht="15" customHeight="1" x14ac:dyDescent="0.25">
      <c r="E790" s="15">
        <v>40641</v>
      </c>
      <c r="F790" s="13">
        <v>1328.17</v>
      </c>
      <c r="G790" s="13">
        <v>578.16</v>
      </c>
      <c r="H790" s="17">
        <v>-4.2217659701126392E-3</v>
      </c>
      <c r="I790" s="17">
        <v>-3.8182682289719032E-3</v>
      </c>
      <c r="J790" s="13"/>
      <c r="K790" s="17"/>
      <c r="L790" s="17"/>
      <c r="M790" s="17"/>
      <c r="N790" s="17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</row>
    <row r="791" spans="5:25" ht="15" customHeight="1" x14ac:dyDescent="0.25">
      <c r="E791" s="15">
        <v>40644</v>
      </c>
      <c r="F791" s="13">
        <v>1324.46</v>
      </c>
      <c r="G791" s="13">
        <v>577.37</v>
      </c>
      <c r="H791" s="17">
        <v>-3.0106136828585003E-3</v>
      </c>
      <c r="I791" s="17">
        <v>-2.0122581995324928E-3</v>
      </c>
      <c r="J791" s="13"/>
      <c r="K791" s="17"/>
      <c r="L791" s="17"/>
      <c r="M791" s="17"/>
      <c r="N791" s="17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</row>
    <row r="792" spans="5:25" ht="15" customHeight="1" x14ac:dyDescent="0.25">
      <c r="E792" s="15">
        <v>40645</v>
      </c>
      <c r="F792" s="13">
        <v>1314.16</v>
      </c>
      <c r="G792" s="13">
        <v>570.61</v>
      </c>
      <c r="H792" s="17">
        <v>-7.9940508621747786E-3</v>
      </c>
      <c r="I792" s="17">
        <v>-1.2354117767873929E-2</v>
      </c>
      <c r="J792" s="13"/>
      <c r="K792" s="17"/>
      <c r="L792" s="17"/>
      <c r="M792" s="17"/>
      <c r="N792" s="17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</row>
    <row r="793" spans="5:25" ht="15" customHeight="1" x14ac:dyDescent="0.25">
      <c r="E793" s="15">
        <v>40646</v>
      </c>
      <c r="F793" s="13">
        <v>1314.41</v>
      </c>
      <c r="G793" s="13">
        <v>576.28</v>
      </c>
      <c r="H793" s="17">
        <v>-2.7060974557301085E-5</v>
      </c>
      <c r="I793" s="17">
        <v>9.2908799361194182E-3</v>
      </c>
      <c r="J793" s="13"/>
      <c r="K793" s="17"/>
      <c r="L793" s="17"/>
      <c r="M793" s="17"/>
      <c r="N793" s="17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</row>
    <row r="794" spans="5:25" ht="15" customHeight="1" x14ac:dyDescent="0.25">
      <c r="E794" s="15">
        <v>40647</v>
      </c>
      <c r="F794" s="13">
        <v>1314.52</v>
      </c>
      <c r="G794" s="13">
        <v>578.51</v>
      </c>
      <c r="H794" s="17">
        <v>-1.3360882408441818E-4</v>
      </c>
      <c r="I794" s="17">
        <v>3.2237922636526111E-3</v>
      </c>
      <c r="J794" s="13"/>
      <c r="K794" s="17"/>
      <c r="L794" s="17"/>
      <c r="M794" s="17"/>
      <c r="N794" s="17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</row>
    <row r="795" spans="5:25" ht="15" customHeight="1" x14ac:dyDescent="0.25">
      <c r="E795" s="15">
        <v>40648</v>
      </c>
      <c r="F795" s="13">
        <v>1319.68</v>
      </c>
      <c r="G795" s="13">
        <v>530.70000000000005</v>
      </c>
      <c r="H795" s="17">
        <v>3.7080906512744925E-3</v>
      </c>
      <c r="I795" s="17">
        <v>-8.3289196815429747E-2</v>
      </c>
      <c r="J795" s="13"/>
      <c r="K795" s="17"/>
      <c r="L795" s="17"/>
      <c r="M795" s="17"/>
      <c r="N795" s="17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</row>
    <row r="796" spans="5:25" ht="15" customHeight="1" x14ac:dyDescent="0.25">
      <c r="E796" s="15">
        <v>40651</v>
      </c>
      <c r="F796" s="13">
        <v>1305.1400000000001</v>
      </c>
      <c r="G796" s="13">
        <v>526.84</v>
      </c>
      <c r="H796" s="17">
        <v>-1.1235119064734003E-2</v>
      </c>
      <c r="I796" s="17">
        <v>-7.9192669099592793E-3</v>
      </c>
      <c r="J796" s="13"/>
      <c r="K796" s="17"/>
      <c r="L796" s="17"/>
      <c r="M796" s="17"/>
      <c r="N796" s="17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</row>
    <row r="797" spans="5:25" ht="15" customHeight="1" x14ac:dyDescent="0.25">
      <c r="E797" s="15">
        <v>40652</v>
      </c>
      <c r="F797" s="13">
        <v>1312.62</v>
      </c>
      <c r="G797" s="13">
        <v>521.53</v>
      </c>
      <c r="H797" s="17">
        <v>5.5138893641048514E-3</v>
      </c>
      <c r="I797" s="17">
        <v>-1.0724815790359382E-2</v>
      </c>
      <c r="J797" s="13"/>
      <c r="K797" s="17"/>
      <c r="L797" s="17"/>
      <c r="M797" s="17"/>
      <c r="N797" s="17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</row>
    <row r="798" spans="5:25" ht="15" customHeight="1" x14ac:dyDescent="0.25">
      <c r="E798" s="15">
        <v>40653</v>
      </c>
      <c r="F798" s="13">
        <v>1330.36</v>
      </c>
      <c r="G798" s="13">
        <v>525.73</v>
      </c>
      <c r="H798" s="17">
        <v>1.32976582608689E-2</v>
      </c>
      <c r="I798" s="17">
        <v>7.4073735663557697E-3</v>
      </c>
      <c r="J798" s="13"/>
      <c r="K798" s="17"/>
      <c r="L798" s="17"/>
      <c r="M798" s="17"/>
      <c r="N798" s="17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</row>
    <row r="799" spans="5:25" ht="15" customHeight="1" x14ac:dyDescent="0.25">
      <c r="E799" s="15">
        <v>40654</v>
      </c>
      <c r="F799" s="13">
        <v>1337.38</v>
      </c>
      <c r="G799" s="13">
        <v>525.1</v>
      </c>
      <c r="H799" s="17">
        <v>5.0594706285263906E-3</v>
      </c>
      <c r="I799" s="17">
        <v>-1.8441881813271506E-3</v>
      </c>
      <c r="J799" s="13"/>
      <c r="K799" s="17"/>
      <c r="L799" s="17"/>
      <c r="M799" s="17"/>
      <c r="N799" s="17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</row>
    <row r="800" spans="5:25" ht="15" customHeight="1" x14ac:dyDescent="0.25">
      <c r="E800" s="15">
        <v>40658</v>
      </c>
      <c r="F800" s="13">
        <v>1335.25</v>
      </c>
      <c r="G800" s="13">
        <v>525.04999999999995</v>
      </c>
      <c r="H800" s="17">
        <v>-1.8099628202164245E-3</v>
      </c>
      <c r="I800" s="17">
        <v>-7.4107439397167352E-4</v>
      </c>
      <c r="J800" s="13"/>
      <c r="K800" s="17"/>
      <c r="L800" s="17"/>
      <c r="M800" s="17"/>
      <c r="N800" s="17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</row>
    <row r="801" spans="5:25" ht="15" customHeight="1" x14ac:dyDescent="0.25">
      <c r="E801" s="15">
        <v>40659</v>
      </c>
      <c r="F801" s="13">
        <v>1347.24</v>
      </c>
      <c r="G801" s="13">
        <v>532.82000000000005</v>
      </c>
      <c r="H801" s="17">
        <v>8.762295274425522E-3</v>
      </c>
      <c r="I801" s="17">
        <v>1.4152736174549601E-2</v>
      </c>
      <c r="J801" s="13"/>
      <c r="K801" s="17"/>
      <c r="L801" s="17"/>
      <c r="M801" s="17"/>
      <c r="N801" s="17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</row>
    <row r="802" spans="5:25" ht="15" customHeight="1" x14ac:dyDescent="0.25">
      <c r="E802" s="15">
        <v>40660</v>
      </c>
      <c r="F802" s="13">
        <v>1355.66</v>
      </c>
      <c r="G802" s="13">
        <v>537.76</v>
      </c>
      <c r="H802" s="17">
        <v>6.0325178731292055E-3</v>
      </c>
      <c r="I802" s="17">
        <v>8.6255693094864482E-3</v>
      </c>
      <c r="J802" s="13"/>
      <c r="K802" s="17"/>
      <c r="L802" s="17"/>
      <c r="M802" s="17"/>
      <c r="N802" s="17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</row>
    <row r="803" spans="5:25" ht="15" customHeight="1" x14ac:dyDescent="0.25">
      <c r="E803" s="15">
        <v>40661</v>
      </c>
      <c r="F803" s="13">
        <v>1360.48</v>
      </c>
      <c r="G803" s="13">
        <v>537.97</v>
      </c>
      <c r="H803" s="17">
        <v>3.3381671970405162E-3</v>
      </c>
      <c r="I803" s="17">
        <v>-2.553456587187972E-4</v>
      </c>
      <c r="J803" s="13"/>
      <c r="K803" s="17"/>
      <c r="L803" s="17"/>
      <c r="M803" s="17"/>
      <c r="N803" s="17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</row>
    <row r="804" spans="5:25" ht="15" customHeight="1" x14ac:dyDescent="0.25">
      <c r="E804" s="15">
        <v>40662</v>
      </c>
      <c r="F804" s="13">
        <v>1363.61</v>
      </c>
      <c r="G804" s="13">
        <v>544.1</v>
      </c>
      <c r="H804" s="17">
        <v>2.0833620287763264E-3</v>
      </c>
      <c r="I804" s="17">
        <v>1.074883300023393E-2</v>
      </c>
      <c r="J804" s="13"/>
      <c r="K804" s="17"/>
      <c r="L804" s="17"/>
      <c r="M804" s="17"/>
      <c r="N804" s="17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</row>
    <row r="805" spans="5:25" ht="15" customHeight="1" x14ac:dyDescent="0.25">
      <c r="E805" s="15">
        <v>40665</v>
      </c>
      <c r="F805" s="13">
        <v>1361.22</v>
      </c>
      <c r="G805" s="13">
        <v>538.55999999999995</v>
      </c>
      <c r="H805" s="17">
        <v>-1.9699971145198491E-3</v>
      </c>
      <c r="I805" s="17">
        <v>-1.0827806282955387E-2</v>
      </c>
      <c r="J805" s="13"/>
      <c r="K805" s="17"/>
      <c r="L805" s="17"/>
      <c r="M805" s="17"/>
      <c r="N805" s="17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</row>
    <row r="806" spans="5:25" ht="15" customHeight="1" x14ac:dyDescent="0.25">
      <c r="E806" s="15">
        <v>40666</v>
      </c>
      <c r="F806" s="13">
        <v>1356.62</v>
      </c>
      <c r="G806" s="13">
        <v>533.89</v>
      </c>
      <c r="H806" s="17">
        <v>-3.5966180533245858E-3</v>
      </c>
      <c r="I806" s="17">
        <v>-9.3171259747870522E-3</v>
      </c>
      <c r="J806" s="13"/>
      <c r="K806" s="17"/>
      <c r="L806" s="17"/>
      <c r="M806" s="17"/>
      <c r="N806" s="17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</row>
    <row r="807" spans="5:25" ht="15" customHeight="1" x14ac:dyDescent="0.25">
      <c r="E807" s="15">
        <v>40667</v>
      </c>
      <c r="F807" s="13">
        <v>1347.32</v>
      </c>
      <c r="G807" s="13">
        <v>535.79</v>
      </c>
      <c r="H807" s="17">
        <v>-7.0725692252508968E-3</v>
      </c>
      <c r="I807" s="17">
        <v>2.9129310817475333E-3</v>
      </c>
      <c r="J807" s="13"/>
      <c r="K807" s="17"/>
      <c r="L807" s="17"/>
      <c r="M807" s="17"/>
      <c r="N807" s="17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</row>
    <row r="808" spans="5:25" ht="15" customHeight="1" x14ac:dyDescent="0.25">
      <c r="E808" s="15">
        <v>40668</v>
      </c>
      <c r="F808" s="13">
        <v>1335.1</v>
      </c>
      <c r="G808" s="13">
        <v>534.27</v>
      </c>
      <c r="H808" s="17">
        <v>-9.2871537603022251E-3</v>
      </c>
      <c r="I808" s="17">
        <v>-3.4827868160920501E-3</v>
      </c>
      <c r="J808" s="13"/>
      <c r="K808" s="17"/>
      <c r="L808" s="17"/>
      <c r="M808" s="17"/>
      <c r="N808" s="17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</row>
    <row r="809" spans="5:25" ht="15" customHeight="1" x14ac:dyDescent="0.25">
      <c r="E809" s="15">
        <v>40669</v>
      </c>
      <c r="F809" s="13">
        <v>1340.2</v>
      </c>
      <c r="G809" s="13">
        <v>535.29999999999995</v>
      </c>
      <c r="H809" s="17">
        <v>3.6026420190704992E-3</v>
      </c>
      <c r="I809" s="17">
        <v>1.2820097526504589E-3</v>
      </c>
      <c r="J809" s="13"/>
      <c r="K809" s="17"/>
      <c r="L809" s="17"/>
      <c r="M809" s="17"/>
      <c r="N809" s="17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</row>
    <row r="810" spans="5:25" ht="15" customHeight="1" x14ac:dyDescent="0.25">
      <c r="E810" s="15">
        <v>40672</v>
      </c>
      <c r="F810" s="13">
        <v>1346.29</v>
      </c>
      <c r="G810" s="13">
        <v>537.67999999999995</v>
      </c>
      <c r="H810" s="17">
        <v>4.3268013335272699E-3</v>
      </c>
      <c r="I810" s="17">
        <v>3.8002505519888212E-3</v>
      </c>
      <c r="J810" s="13"/>
      <c r="K810" s="17"/>
      <c r="L810" s="17"/>
      <c r="M810" s="17"/>
      <c r="N810" s="17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</row>
    <row r="811" spans="5:25" ht="15" customHeight="1" x14ac:dyDescent="0.25">
      <c r="E811" s="15">
        <v>40673</v>
      </c>
      <c r="F811" s="13">
        <v>1357.16</v>
      </c>
      <c r="G811" s="13">
        <v>542.66</v>
      </c>
      <c r="H811" s="17">
        <v>7.8567439490219663E-3</v>
      </c>
      <c r="I811" s="17">
        <v>8.6161601452950636E-3</v>
      </c>
      <c r="J811" s="13"/>
      <c r="K811" s="17"/>
      <c r="L811" s="17"/>
      <c r="M811" s="17"/>
      <c r="N811" s="17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</row>
    <row r="812" spans="5:25" ht="15" customHeight="1" x14ac:dyDescent="0.25">
      <c r="E812" s="15">
        <v>40674</v>
      </c>
      <c r="F812" s="13">
        <v>1342.08</v>
      </c>
      <c r="G812" s="13">
        <v>535.45000000000005</v>
      </c>
      <c r="H812" s="17">
        <v>-1.1328735154663797E-2</v>
      </c>
      <c r="I812" s="17">
        <v>-1.3932258445745728E-2</v>
      </c>
      <c r="J812" s="13"/>
      <c r="K812" s="17"/>
      <c r="L812" s="17"/>
      <c r="M812" s="17"/>
      <c r="N812" s="17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</row>
    <row r="813" spans="5:25" ht="15" customHeight="1" x14ac:dyDescent="0.25">
      <c r="E813" s="15">
        <v>40675</v>
      </c>
      <c r="F813" s="13">
        <v>1348.65</v>
      </c>
      <c r="G813" s="13">
        <v>535.04999999999995</v>
      </c>
      <c r="H813" s="17">
        <v>4.6780897037852478E-3</v>
      </c>
      <c r="I813" s="17">
        <v>-1.3928896399024453E-3</v>
      </c>
      <c r="J813" s="13"/>
      <c r="K813" s="17"/>
      <c r="L813" s="17"/>
      <c r="M813" s="17"/>
      <c r="N813" s="17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</row>
    <row r="814" spans="5:25" ht="15" customHeight="1" x14ac:dyDescent="0.25">
      <c r="E814" s="15">
        <v>40676</v>
      </c>
      <c r="F814" s="13">
        <v>1337.77</v>
      </c>
      <c r="G814" s="13">
        <v>529.54999999999995</v>
      </c>
      <c r="H814" s="17">
        <v>-8.2846231481542767E-3</v>
      </c>
      <c r="I814" s="17">
        <v>-1.0925267574827431E-2</v>
      </c>
      <c r="J814" s="13"/>
      <c r="K814" s="17"/>
      <c r="L814" s="17"/>
      <c r="M814" s="17"/>
      <c r="N814" s="17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</row>
    <row r="815" spans="5:25" ht="15" customHeight="1" x14ac:dyDescent="0.25">
      <c r="E815" s="15">
        <v>40679</v>
      </c>
      <c r="F815" s="13">
        <v>1329.47</v>
      </c>
      <c r="G815" s="13">
        <v>518.41999999999996</v>
      </c>
      <c r="H815" s="17">
        <v>-6.4216515710176962E-3</v>
      </c>
      <c r="I815" s="17">
        <v>-2.16636997762518E-2</v>
      </c>
      <c r="J815" s="13"/>
      <c r="K815" s="17"/>
      <c r="L815" s="17"/>
      <c r="M815" s="17"/>
      <c r="N815" s="17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</row>
    <row r="816" spans="5:25" ht="15" customHeight="1" x14ac:dyDescent="0.25">
      <c r="E816" s="15">
        <v>40680</v>
      </c>
      <c r="F816" s="13">
        <v>1328.98</v>
      </c>
      <c r="G816" s="13">
        <v>530.46</v>
      </c>
      <c r="H816" s="17">
        <v>-5.8586448787349558E-4</v>
      </c>
      <c r="I816" s="17">
        <v>2.2578558202532843E-2</v>
      </c>
      <c r="J816" s="13"/>
      <c r="K816" s="17"/>
      <c r="L816" s="17"/>
      <c r="M816" s="17"/>
      <c r="N816" s="17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</row>
    <row r="817" spans="5:25" ht="15" customHeight="1" x14ac:dyDescent="0.25">
      <c r="E817" s="15">
        <v>40681</v>
      </c>
      <c r="F817" s="13">
        <v>1340.68</v>
      </c>
      <c r="G817" s="13">
        <v>529.80999999999995</v>
      </c>
      <c r="H817" s="17">
        <v>8.5864476625851071E-3</v>
      </c>
      <c r="I817" s="17">
        <v>-1.8712060175145734E-3</v>
      </c>
      <c r="J817" s="13"/>
      <c r="K817" s="17"/>
      <c r="L817" s="17"/>
      <c r="M817" s="17"/>
      <c r="N817" s="17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</row>
    <row r="818" spans="5:25" ht="15" customHeight="1" x14ac:dyDescent="0.25">
      <c r="E818" s="15">
        <v>40682</v>
      </c>
      <c r="F818" s="13">
        <v>1343.6</v>
      </c>
      <c r="G818" s="13">
        <v>531.25</v>
      </c>
      <c r="H818" s="17">
        <v>1.960702661965076E-3</v>
      </c>
      <c r="I818" s="17">
        <v>2.0721010576103395E-3</v>
      </c>
      <c r="J818" s="13"/>
      <c r="K818" s="17"/>
      <c r="L818" s="17"/>
      <c r="M818" s="17"/>
      <c r="N818" s="17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</row>
    <row r="819" spans="5:25" ht="15" customHeight="1" x14ac:dyDescent="0.25">
      <c r="E819" s="15">
        <v>40683</v>
      </c>
      <c r="F819" s="13">
        <v>1333.27</v>
      </c>
      <c r="G819" s="13">
        <v>524.03</v>
      </c>
      <c r="H819" s="17">
        <v>-7.9055966516214694E-3</v>
      </c>
      <c r="I819" s="17">
        <v>-1.4236442671162574E-2</v>
      </c>
      <c r="J819" s="13"/>
      <c r="K819" s="17"/>
      <c r="L819" s="17"/>
      <c r="M819" s="17"/>
      <c r="N819" s="17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</row>
    <row r="820" spans="5:25" ht="15" customHeight="1" x14ac:dyDescent="0.25">
      <c r="E820" s="15">
        <v>40686</v>
      </c>
      <c r="F820" s="13">
        <v>1317.37</v>
      </c>
      <c r="G820" s="13">
        <v>518.39</v>
      </c>
      <c r="H820" s="17">
        <v>-1.2142863026716234E-2</v>
      </c>
      <c r="I820" s="17">
        <v>-1.1408597026941487E-2</v>
      </c>
      <c r="J820" s="13"/>
      <c r="K820" s="17"/>
      <c r="L820" s="17"/>
      <c r="M820" s="17"/>
      <c r="N820" s="17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</row>
    <row r="821" spans="5:25" ht="15" customHeight="1" x14ac:dyDescent="0.25">
      <c r="E821" s="15">
        <v>40687</v>
      </c>
      <c r="F821" s="13">
        <v>1316.28</v>
      </c>
      <c r="G821" s="13">
        <v>518.26</v>
      </c>
      <c r="H821" s="17">
        <v>-1.0447026820781065E-3</v>
      </c>
      <c r="I821" s="17">
        <v>-8.9663087831526149E-4</v>
      </c>
      <c r="J821" s="13"/>
      <c r="K821" s="17"/>
      <c r="L821" s="17"/>
      <c r="M821" s="17"/>
      <c r="N821" s="17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</row>
    <row r="822" spans="5:25" ht="15" customHeight="1" x14ac:dyDescent="0.25">
      <c r="E822" s="15">
        <v>40688</v>
      </c>
      <c r="F822" s="13">
        <v>1320.47</v>
      </c>
      <c r="G822" s="13">
        <v>519.66999999999996</v>
      </c>
      <c r="H822" s="17">
        <v>2.965916735773302E-3</v>
      </c>
      <c r="I822" s="17">
        <v>2.0747877128599822E-3</v>
      </c>
      <c r="J822" s="13"/>
      <c r="K822" s="17"/>
      <c r="L822" s="17"/>
      <c r="M822" s="17"/>
      <c r="N822" s="17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</row>
    <row r="823" spans="5:25" ht="15" customHeight="1" x14ac:dyDescent="0.25">
      <c r="E823" s="15">
        <v>40689</v>
      </c>
      <c r="F823" s="13">
        <v>1325.69</v>
      </c>
      <c r="G823" s="13">
        <v>518.13</v>
      </c>
      <c r="H823" s="17">
        <v>3.7358413355605253E-3</v>
      </c>
      <c r="I823" s="17">
        <v>-3.6092735287543251E-3</v>
      </c>
      <c r="J823" s="13"/>
      <c r="K823" s="17"/>
      <c r="L823" s="17"/>
      <c r="M823" s="17"/>
      <c r="N823" s="17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</row>
    <row r="824" spans="5:25" ht="15" customHeight="1" x14ac:dyDescent="0.25">
      <c r="E824" s="15">
        <v>40690</v>
      </c>
      <c r="F824" s="13">
        <v>1331.1</v>
      </c>
      <c r="G824" s="13">
        <v>520.9</v>
      </c>
      <c r="H824" s="17">
        <v>3.8635971609594648E-3</v>
      </c>
      <c r="I824" s="17">
        <v>4.7002942140842597E-3</v>
      </c>
      <c r="J824" s="13"/>
      <c r="K824" s="17"/>
      <c r="L824" s="17"/>
      <c r="M824" s="17"/>
      <c r="N824" s="17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</row>
    <row r="825" spans="5:25" ht="15" customHeight="1" x14ac:dyDescent="0.25">
      <c r="E825" s="15">
        <v>40694</v>
      </c>
      <c r="F825" s="13">
        <v>1345.2</v>
      </c>
      <c r="G825" s="13">
        <v>529.02</v>
      </c>
      <c r="H825" s="17">
        <v>1.037544628195497E-2</v>
      </c>
      <c r="I825" s="17">
        <v>1.4942550248331968E-2</v>
      </c>
      <c r="J825" s="13"/>
      <c r="K825" s="17"/>
      <c r="L825" s="17"/>
      <c r="M825" s="17"/>
      <c r="N825" s="17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</row>
    <row r="826" spans="5:25" ht="15" customHeight="1" x14ac:dyDescent="0.25">
      <c r="E826" s="15">
        <v>40695</v>
      </c>
      <c r="F826" s="13">
        <v>1314.55</v>
      </c>
      <c r="G826" s="13">
        <v>525.6</v>
      </c>
      <c r="H826" s="17">
        <v>-2.30020125896657E-2</v>
      </c>
      <c r="I826" s="17">
        <v>-7.1106383759841404E-3</v>
      </c>
      <c r="J826" s="13"/>
      <c r="K826" s="17"/>
      <c r="L826" s="17"/>
      <c r="M826" s="17"/>
      <c r="N826" s="17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</row>
    <row r="827" spans="5:25" ht="15" customHeight="1" x14ac:dyDescent="0.25">
      <c r="E827" s="15">
        <v>40696</v>
      </c>
      <c r="F827" s="13">
        <v>1312.94</v>
      </c>
      <c r="G827" s="13">
        <v>528.05999999999995</v>
      </c>
      <c r="H827" s="17">
        <v>-1.4420502803115314E-3</v>
      </c>
      <c r="I827" s="17">
        <v>4.034510860935198E-3</v>
      </c>
      <c r="J827" s="13"/>
      <c r="K827" s="17"/>
      <c r="L827" s="17"/>
      <c r="M827" s="17"/>
      <c r="N827" s="17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</row>
    <row r="828" spans="5:25" ht="15" customHeight="1" x14ac:dyDescent="0.25">
      <c r="E828" s="15">
        <v>40697</v>
      </c>
      <c r="F828" s="13">
        <v>1300.1600000000001</v>
      </c>
      <c r="G828" s="13">
        <v>523.08000000000004</v>
      </c>
      <c r="H828" s="17">
        <v>-9.9511762521655271E-3</v>
      </c>
      <c r="I828" s="17">
        <v>-1.007660094194731E-2</v>
      </c>
      <c r="J828" s="13"/>
      <c r="K828" s="17"/>
      <c r="L828" s="17"/>
      <c r="M828" s="17"/>
      <c r="N828" s="17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</row>
    <row r="829" spans="5:25" ht="15" customHeight="1" x14ac:dyDescent="0.25">
      <c r="E829" s="15">
        <v>40700</v>
      </c>
      <c r="F829" s="13">
        <v>1286.17</v>
      </c>
      <c r="G829" s="13">
        <v>521.05999999999995</v>
      </c>
      <c r="H829" s="17">
        <v>-1.0977510689801174E-2</v>
      </c>
      <c r="I829" s="17">
        <v>-4.5075964256214565E-3</v>
      </c>
      <c r="J829" s="13"/>
      <c r="K829" s="17"/>
      <c r="L829" s="17"/>
      <c r="M829" s="17"/>
      <c r="N829" s="17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</row>
    <row r="830" spans="5:25" ht="15" customHeight="1" x14ac:dyDescent="0.25">
      <c r="E830" s="15">
        <v>40701</v>
      </c>
      <c r="F830" s="13">
        <v>1284.94</v>
      </c>
      <c r="G830" s="13">
        <v>519.03</v>
      </c>
      <c r="H830" s="17">
        <v>-1.1736242639349302E-3</v>
      </c>
      <c r="I830" s="17">
        <v>-4.5417589382290274E-3</v>
      </c>
      <c r="J830" s="13"/>
      <c r="K830" s="17"/>
      <c r="L830" s="17"/>
      <c r="M830" s="17"/>
      <c r="N830" s="17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</row>
    <row r="831" spans="5:25" ht="15" customHeight="1" x14ac:dyDescent="0.25">
      <c r="E831" s="15">
        <v>40702</v>
      </c>
      <c r="F831" s="13">
        <v>1279.56</v>
      </c>
      <c r="G831" s="13">
        <v>519.16999999999996</v>
      </c>
      <c r="H831" s="17">
        <v>-4.4042624906793695E-3</v>
      </c>
      <c r="I831" s="17">
        <v>-3.7612050912048288E-4</v>
      </c>
      <c r="J831" s="13"/>
      <c r="K831" s="17"/>
      <c r="L831" s="17"/>
      <c r="M831" s="17"/>
      <c r="N831" s="17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</row>
    <row r="832" spans="5:25" ht="15" customHeight="1" x14ac:dyDescent="0.25">
      <c r="E832" s="15">
        <v>40703</v>
      </c>
      <c r="F832" s="13">
        <v>1289</v>
      </c>
      <c r="G832" s="13">
        <v>516.73</v>
      </c>
      <c r="H832" s="17">
        <v>7.1602394657004553E-3</v>
      </c>
      <c r="I832" s="17">
        <v>-5.3456637468841149E-3</v>
      </c>
      <c r="J832" s="13"/>
      <c r="K832" s="17"/>
      <c r="L832" s="17"/>
      <c r="M832" s="17"/>
      <c r="N832" s="17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</row>
    <row r="833" spans="5:25" ht="15" customHeight="1" x14ac:dyDescent="0.25">
      <c r="E833" s="15">
        <v>40704</v>
      </c>
      <c r="F833" s="13">
        <v>1270.98</v>
      </c>
      <c r="G833" s="13">
        <v>509.51</v>
      </c>
      <c r="H833" s="17">
        <v>-1.4197125887367358E-2</v>
      </c>
      <c r="I833" s="17">
        <v>-1.4618335228545483E-2</v>
      </c>
      <c r="J833" s="13"/>
      <c r="K833" s="17"/>
      <c r="L833" s="17"/>
      <c r="M833" s="17"/>
      <c r="N833" s="17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</row>
    <row r="834" spans="5:25" ht="15" customHeight="1" x14ac:dyDescent="0.25">
      <c r="E834" s="15">
        <v>40707</v>
      </c>
      <c r="F834" s="13">
        <v>1271.83</v>
      </c>
      <c r="G834" s="13">
        <v>504.73</v>
      </c>
      <c r="H834" s="17">
        <v>4.5147871346227901E-4</v>
      </c>
      <c r="I834" s="17">
        <v>-1.0027417113735426E-2</v>
      </c>
      <c r="J834" s="13"/>
      <c r="K834" s="17"/>
      <c r="L834" s="17"/>
      <c r="M834" s="17"/>
      <c r="N834" s="17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</row>
    <row r="835" spans="5:25" ht="15" customHeight="1" x14ac:dyDescent="0.25">
      <c r="E835" s="15">
        <v>40708</v>
      </c>
      <c r="F835" s="13">
        <v>1287.8699999999999</v>
      </c>
      <c r="G835" s="13">
        <v>508.37</v>
      </c>
      <c r="H835" s="17">
        <v>1.2394451863187946E-2</v>
      </c>
      <c r="I835" s="17">
        <v>6.5659221575577334E-3</v>
      </c>
      <c r="J835" s="13"/>
      <c r="K835" s="17"/>
      <c r="L835" s="17"/>
      <c r="M835" s="17"/>
      <c r="N835" s="17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</row>
    <row r="836" spans="5:25" ht="15" customHeight="1" x14ac:dyDescent="0.25">
      <c r="E836" s="15">
        <v>40709</v>
      </c>
      <c r="F836" s="13">
        <v>1265.42</v>
      </c>
      <c r="G836" s="13">
        <v>502.95</v>
      </c>
      <c r="H836" s="17">
        <v>-1.7649180215162333E-2</v>
      </c>
      <c r="I836" s="17">
        <v>-1.1307380489726864E-2</v>
      </c>
      <c r="J836" s="13"/>
      <c r="K836" s="17"/>
      <c r="L836" s="17"/>
      <c r="M836" s="17"/>
      <c r="N836" s="17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</row>
    <row r="837" spans="5:25" ht="15" customHeight="1" x14ac:dyDescent="0.25">
      <c r="E837" s="15">
        <v>40710</v>
      </c>
      <c r="F837" s="13">
        <v>1267.6400000000001</v>
      </c>
      <c r="G837" s="13">
        <v>500.37</v>
      </c>
      <c r="H837" s="17">
        <v>1.537061674481774E-3</v>
      </c>
      <c r="I837" s="17">
        <v>-5.7755890019286996E-3</v>
      </c>
      <c r="J837" s="13"/>
      <c r="K837" s="17"/>
      <c r="L837" s="17"/>
      <c r="M837" s="17"/>
      <c r="N837" s="17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</row>
    <row r="838" spans="5:25" ht="15" customHeight="1" x14ac:dyDescent="0.25">
      <c r="E838" s="15">
        <v>40711</v>
      </c>
      <c r="F838" s="13">
        <v>1271.5</v>
      </c>
      <c r="G838" s="13">
        <v>485.02</v>
      </c>
      <c r="H838" s="17">
        <v>2.8277319946943928E-3</v>
      </c>
      <c r="I838" s="17">
        <v>-3.1323153234757276E-2</v>
      </c>
      <c r="J838" s="13"/>
      <c r="K838" s="17"/>
      <c r="L838" s="17"/>
      <c r="M838" s="17"/>
      <c r="N838" s="17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</row>
    <row r="839" spans="5:25" ht="15" customHeight="1" x14ac:dyDescent="0.25">
      <c r="E839" s="15">
        <v>40714</v>
      </c>
      <c r="F839" s="13">
        <v>1278.3599999999999</v>
      </c>
      <c r="G839" s="13">
        <v>484.58</v>
      </c>
      <c r="H839" s="17">
        <v>5.1779059544033714E-3</v>
      </c>
      <c r="I839" s="17">
        <v>-1.5530335212669954E-3</v>
      </c>
      <c r="J839" s="13"/>
      <c r="K839" s="17"/>
      <c r="L839" s="17"/>
      <c r="M839" s="17"/>
      <c r="N839" s="17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</row>
    <row r="840" spans="5:25" ht="15" customHeight="1" x14ac:dyDescent="0.25">
      <c r="E840" s="15">
        <v>40715</v>
      </c>
      <c r="F840" s="13">
        <v>1295.52</v>
      </c>
      <c r="G840" s="13">
        <v>493</v>
      </c>
      <c r="H840" s="17">
        <v>1.3206152231457843E-2</v>
      </c>
      <c r="I840" s="17">
        <v>1.6730017453190114E-2</v>
      </c>
      <c r="J840" s="13"/>
      <c r="K840" s="17"/>
      <c r="L840" s="17"/>
      <c r="M840" s="17"/>
      <c r="N840" s="17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</row>
    <row r="841" spans="5:25" ht="15" customHeight="1" x14ac:dyDescent="0.25">
      <c r="E841" s="15">
        <v>40716</v>
      </c>
      <c r="F841" s="13">
        <v>1287.1400000000001</v>
      </c>
      <c r="G841" s="13">
        <v>487.01</v>
      </c>
      <c r="H841" s="17">
        <v>-6.6857416654337873E-3</v>
      </c>
      <c r="I841" s="17">
        <v>-1.2795955855746752E-2</v>
      </c>
      <c r="J841" s="13"/>
      <c r="K841" s="17"/>
      <c r="L841" s="17"/>
      <c r="M841" s="17"/>
      <c r="N841" s="17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</row>
    <row r="842" spans="5:25" ht="15" customHeight="1" x14ac:dyDescent="0.25">
      <c r="E842" s="15">
        <v>40717</v>
      </c>
      <c r="F842" s="13">
        <v>1283.5</v>
      </c>
      <c r="G842" s="13">
        <v>480.22</v>
      </c>
      <c r="H842" s="17">
        <v>-3.0452717631420274E-3</v>
      </c>
      <c r="I842" s="17">
        <v>-1.4588073281477376E-2</v>
      </c>
      <c r="J842" s="13"/>
      <c r="K842" s="17"/>
      <c r="L842" s="17"/>
      <c r="M842" s="17"/>
      <c r="N842" s="17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</row>
    <row r="843" spans="5:25" ht="15" customHeight="1" x14ac:dyDescent="0.25">
      <c r="E843" s="15">
        <v>40718</v>
      </c>
      <c r="F843" s="13">
        <v>1268.45</v>
      </c>
      <c r="G843" s="13">
        <v>474.88</v>
      </c>
      <c r="H843" s="17">
        <v>-1.1943046464919225E-2</v>
      </c>
      <c r="I843" s="17">
        <v>-1.1765757813487047E-2</v>
      </c>
      <c r="J843" s="13"/>
      <c r="K843" s="17"/>
      <c r="L843" s="17"/>
      <c r="M843" s="17"/>
      <c r="N843" s="17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</row>
    <row r="844" spans="5:25" ht="15" customHeight="1" x14ac:dyDescent="0.25">
      <c r="E844" s="15">
        <v>40721</v>
      </c>
      <c r="F844" s="13">
        <v>1280.0999999999999</v>
      </c>
      <c r="G844" s="13">
        <v>482.8</v>
      </c>
      <c r="H844" s="17">
        <v>8.9671411372454005E-3</v>
      </c>
      <c r="I844" s="17">
        <v>1.6032043138255535E-2</v>
      </c>
      <c r="J844" s="13"/>
      <c r="K844" s="17"/>
      <c r="L844" s="17"/>
      <c r="M844" s="17"/>
      <c r="N844" s="17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</row>
    <row r="845" spans="5:25" ht="15" customHeight="1" x14ac:dyDescent="0.25">
      <c r="E845" s="15">
        <v>40722</v>
      </c>
      <c r="F845" s="13">
        <v>1296.67</v>
      </c>
      <c r="G845" s="13">
        <v>493.65</v>
      </c>
      <c r="H845" s="17">
        <v>1.2727004664157509E-2</v>
      </c>
      <c r="I845" s="17">
        <v>2.1827219300668416E-2</v>
      </c>
      <c r="J845" s="13"/>
      <c r="K845" s="17"/>
      <c r="L845" s="17"/>
      <c r="M845" s="17"/>
      <c r="N845" s="17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</row>
    <row r="846" spans="5:25" ht="15" customHeight="1" x14ac:dyDescent="0.25">
      <c r="E846" s="15">
        <v>40723</v>
      </c>
      <c r="F846" s="13">
        <v>1307.4100000000001</v>
      </c>
      <c r="G846" s="13">
        <v>497.57</v>
      </c>
      <c r="H846" s="17">
        <v>8.0654584948757699E-3</v>
      </c>
      <c r="I846" s="17">
        <v>7.2949943436311903E-3</v>
      </c>
      <c r="J846" s="13"/>
      <c r="K846" s="17"/>
      <c r="L846" s="17"/>
      <c r="M846" s="17"/>
      <c r="N846" s="17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</row>
    <row r="847" spans="5:25" ht="15" customHeight="1" x14ac:dyDescent="0.25">
      <c r="E847" s="15">
        <v>40724</v>
      </c>
      <c r="F847" s="13">
        <v>1320.64</v>
      </c>
      <c r="G847" s="13">
        <v>506.38</v>
      </c>
      <c r="H847" s="17">
        <v>9.9019468272931715E-3</v>
      </c>
      <c r="I847" s="17">
        <v>1.7060196973983428E-2</v>
      </c>
      <c r="J847" s="13"/>
      <c r="K847" s="17"/>
      <c r="L847" s="17"/>
      <c r="M847" s="17"/>
      <c r="N847" s="17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</row>
    <row r="848" spans="5:25" ht="15" customHeight="1" x14ac:dyDescent="0.25">
      <c r="E848" s="15">
        <v>40725</v>
      </c>
      <c r="F848" s="13">
        <v>1339.67</v>
      </c>
      <c r="G848" s="13">
        <v>521.03</v>
      </c>
      <c r="H848" s="17">
        <v>1.4192383592767154E-2</v>
      </c>
      <c r="I848" s="17">
        <v>2.8284988014465287E-2</v>
      </c>
      <c r="J848" s="13"/>
      <c r="K848" s="17"/>
      <c r="L848" s="17"/>
      <c r="M848" s="17"/>
      <c r="N848" s="17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</row>
    <row r="849" spans="5:25" ht="15" customHeight="1" x14ac:dyDescent="0.25">
      <c r="E849" s="15">
        <v>40729</v>
      </c>
      <c r="F849" s="13">
        <v>1337.88</v>
      </c>
      <c r="G849" s="13">
        <v>532.44000000000005</v>
      </c>
      <c r="H849" s="17">
        <v>-1.5534465096842729E-3</v>
      </c>
      <c r="I849" s="17">
        <v>2.1253076527799664E-2</v>
      </c>
      <c r="J849" s="13"/>
      <c r="K849" s="17"/>
      <c r="L849" s="17"/>
      <c r="M849" s="17"/>
      <c r="N849" s="17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</row>
    <row r="850" spans="5:25" ht="15" customHeight="1" x14ac:dyDescent="0.25">
      <c r="E850" s="15">
        <v>40730</v>
      </c>
      <c r="F850" s="13">
        <v>1339.22</v>
      </c>
      <c r="G850" s="13">
        <v>535.36</v>
      </c>
      <c r="H850" s="17">
        <v>7.8428803421667394E-4</v>
      </c>
      <c r="I850" s="17">
        <v>4.838331575700924E-3</v>
      </c>
      <c r="J850" s="13"/>
      <c r="K850" s="17"/>
      <c r="L850" s="17"/>
      <c r="M850" s="17"/>
      <c r="N850" s="17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</row>
    <row r="851" spans="5:25" ht="15" customHeight="1" x14ac:dyDescent="0.25">
      <c r="E851" s="15">
        <v>40731</v>
      </c>
      <c r="F851" s="13">
        <v>1353.22</v>
      </c>
      <c r="G851" s="13">
        <v>546.6</v>
      </c>
      <c r="H851" s="17">
        <v>1.0236549706414414E-2</v>
      </c>
      <c r="I851" s="17">
        <v>2.0349363735081935E-2</v>
      </c>
      <c r="J851" s="13"/>
      <c r="K851" s="17"/>
      <c r="L851" s="17"/>
      <c r="M851" s="17"/>
      <c r="N851" s="17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</row>
    <row r="852" spans="5:25" ht="15" customHeight="1" x14ac:dyDescent="0.25">
      <c r="E852" s="15">
        <v>40732</v>
      </c>
      <c r="F852" s="13">
        <v>1343.8</v>
      </c>
      <c r="G852" s="13">
        <v>531.99</v>
      </c>
      <c r="H852" s="17">
        <v>-7.1784706507796361E-3</v>
      </c>
      <c r="I852" s="17">
        <v>-2.7374723810182397E-2</v>
      </c>
      <c r="J852" s="13"/>
      <c r="K852" s="17"/>
      <c r="L852" s="17"/>
      <c r="M852" s="17"/>
      <c r="N852" s="17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</row>
    <row r="853" spans="5:25" ht="15" customHeight="1" x14ac:dyDescent="0.25">
      <c r="E853" s="15">
        <v>40735</v>
      </c>
      <c r="F853" s="13">
        <v>1319.49</v>
      </c>
      <c r="G853" s="13">
        <v>527.28</v>
      </c>
      <c r="H853" s="17">
        <v>-1.830778621850801E-2</v>
      </c>
      <c r="I853" s="17">
        <v>-9.4994043146255751E-3</v>
      </c>
      <c r="J853" s="13"/>
      <c r="K853" s="17"/>
      <c r="L853" s="17"/>
      <c r="M853" s="17"/>
      <c r="N853" s="17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</row>
    <row r="854" spans="5:25" ht="15" customHeight="1" x14ac:dyDescent="0.25">
      <c r="E854" s="15">
        <v>40736</v>
      </c>
      <c r="F854" s="13">
        <v>1313.64</v>
      </c>
      <c r="G854" s="13">
        <v>534.01</v>
      </c>
      <c r="H854" s="17">
        <v>-4.6508276993393891E-3</v>
      </c>
      <c r="I854" s="17">
        <v>1.2117762617689426E-2</v>
      </c>
      <c r="J854" s="13"/>
      <c r="K854" s="17"/>
      <c r="L854" s="17"/>
      <c r="M854" s="17"/>
      <c r="N854" s="17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</row>
    <row r="855" spans="5:25" ht="15" customHeight="1" x14ac:dyDescent="0.25">
      <c r="E855" s="15">
        <v>40737</v>
      </c>
      <c r="F855" s="13">
        <v>1317.72</v>
      </c>
      <c r="G855" s="13">
        <v>538.26</v>
      </c>
      <c r="H855" s="17">
        <v>2.8885771930575945E-3</v>
      </c>
      <c r="I855" s="17">
        <v>7.3127980238233119E-3</v>
      </c>
      <c r="J855" s="13"/>
      <c r="K855" s="17"/>
      <c r="L855" s="17"/>
      <c r="M855" s="17"/>
      <c r="N855" s="17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</row>
    <row r="856" spans="5:25" ht="15" customHeight="1" x14ac:dyDescent="0.25">
      <c r="E856" s="15">
        <v>40738</v>
      </c>
      <c r="F856" s="13">
        <v>1308.8699999999999</v>
      </c>
      <c r="G856" s="13">
        <v>528.94000000000005</v>
      </c>
      <c r="H856" s="17">
        <v>-6.9334426327945578E-3</v>
      </c>
      <c r="I856" s="17">
        <v>-1.7960906641122425E-2</v>
      </c>
      <c r="J856" s="13"/>
      <c r="K856" s="17"/>
      <c r="L856" s="17"/>
      <c r="M856" s="17"/>
      <c r="N856" s="17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</row>
    <row r="857" spans="5:25" ht="15" customHeight="1" x14ac:dyDescent="0.25">
      <c r="E857" s="15">
        <v>40739</v>
      </c>
      <c r="F857" s="13">
        <v>1316.14</v>
      </c>
      <c r="G857" s="13">
        <v>597.62</v>
      </c>
      <c r="H857" s="17">
        <v>5.33711296652104E-3</v>
      </c>
      <c r="I857" s="17">
        <v>0.12919874041420909</v>
      </c>
      <c r="J857" s="13"/>
      <c r="K857" s="17"/>
      <c r="L857" s="17"/>
      <c r="M857" s="17"/>
      <c r="N857" s="17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</row>
    <row r="858" spans="5:25" ht="15" customHeight="1" x14ac:dyDescent="0.25">
      <c r="E858" s="15">
        <v>40742</v>
      </c>
      <c r="F858" s="13">
        <v>1305.44</v>
      </c>
      <c r="G858" s="13">
        <v>594.94000000000005</v>
      </c>
      <c r="H858" s="17">
        <v>-8.347130774475053E-3</v>
      </c>
      <c r="I858" s="17">
        <v>-5.1303094407210374E-3</v>
      </c>
      <c r="J858" s="13"/>
      <c r="K858" s="17"/>
      <c r="L858" s="17"/>
      <c r="M858" s="17"/>
      <c r="N858" s="17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</row>
    <row r="859" spans="5:25" ht="15" customHeight="1" x14ac:dyDescent="0.25">
      <c r="E859" s="15">
        <v>40743</v>
      </c>
      <c r="F859" s="13">
        <v>1326.73</v>
      </c>
      <c r="G859" s="13">
        <v>602.54999999999995</v>
      </c>
      <c r="H859" s="17">
        <v>1.6091380971702349E-2</v>
      </c>
      <c r="I859" s="17">
        <v>1.2145351400014156E-2</v>
      </c>
      <c r="J859" s="13"/>
      <c r="K859" s="17"/>
      <c r="L859" s="17"/>
      <c r="M859" s="17"/>
      <c r="N859" s="17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</row>
    <row r="860" spans="5:25" ht="15" customHeight="1" x14ac:dyDescent="0.25">
      <c r="E860" s="15">
        <v>40744</v>
      </c>
      <c r="F860" s="13">
        <v>1325.84</v>
      </c>
      <c r="G860" s="13">
        <v>595.35</v>
      </c>
      <c r="H860" s="17">
        <v>-8.8811880948832785E-4</v>
      </c>
      <c r="I860" s="17">
        <v>-1.2595070268579433E-2</v>
      </c>
      <c r="J860" s="13"/>
      <c r="K860" s="17"/>
      <c r="L860" s="17"/>
      <c r="M860" s="17"/>
      <c r="N860" s="17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</row>
    <row r="861" spans="5:25" ht="15" customHeight="1" x14ac:dyDescent="0.25">
      <c r="E861" s="15">
        <v>40745</v>
      </c>
      <c r="F861" s="13">
        <v>1343.8</v>
      </c>
      <c r="G861" s="13">
        <v>606.99</v>
      </c>
      <c r="H861" s="17">
        <v>1.3328832684055396E-2</v>
      </c>
      <c r="I861" s="17">
        <v>1.8905669877560621E-2</v>
      </c>
      <c r="J861" s="13"/>
      <c r="K861" s="17"/>
      <c r="L861" s="17"/>
      <c r="M861" s="17"/>
      <c r="N861" s="17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</row>
    <row r="862" spans="5:25" ht="15" customHeight="1" x14ac:dyDescent="0.25">
      <c r="E862" s="15">
        <v>40746</v>
      </c>
      <c r="F862" s="13">
        <v>1345.02</v>
      </c>
      <c r="G862" s="13">
        <v>618.23</v>
      </c>
      <c r="H862" s="17">
        <v>6.9057663310681159E-4</v>
      </c>
      <c r="I862" s="17">
        <v>1.7871748819539377E-2</v>
      </c>
      <c r="J862" s="13"/>
      <c r="K862" s="17"/>
      <c r="L862" s="17"/>
      <c r="M862" s="17"/>
      <c r="N862" s="17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</row>
    <row r="863" spans="5:25" ht="15" customHeight="1" x14ac:dyDescent="0.25">
      <c r="E863" s="15">
        <v>40749</v>
      </c>
      <c r="F863" s="13">
        <v>1337.43</v>
      </c>
      <c r="G863" s="13">
        <v>618.98</v>
      </c>
      <c r="H863" s="17">
        <v>-5.860335327531995E-3</v>
      </c>
      <c r="I863" s="17">
        <v>5.6728630463265305E-4</v>
      </c>
      <c r="J863" s="13"/>
      <c r="K863" s="17"/>
      <c r="L863" s="17"/>
      <c r="M863" s="17"/>
      <c r="N863" s="17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</row>
    <row r="864" spans="5:25" ht="15" customHeight="1" x14ac:dyDescent="0.25">
      <c r="E864" s="15">
        <v>40750</v>
      </c>
      <c r="F864" s="13">
        <v>1331.94</v>
      </c>
      <c r="G864" s="13">
        <v>622.52</v>
      </c>
      <c r="H864" s="17">
        <v>-4.3221842947512449E-3</v>
      </c>
      <c r="I864" s="17">
        <v>5.0732318027822288E-3</v>
      </c>
      <c r="J864" s="13"/>
      <c r="K864" s="17"/>
      <c r="L864" s="17"/>
      <c r="M864" s="17"/>
      <c r="N864" s="17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</row>
    <row r="865" spans="5:25" ht="15" customHeight="1" x14ac:dyDescent="0.25">
      <c r="E865" s="15">
        <v>40751</v>
      </c>
      <c r="F865" s="13">
        <v>1304.8900000000001</v>
      </c>
      <c r="G865" s="13">
        <v>607.22</v>
      </c>
      <c r="H865" s="17">
        <v>-2.0526019177441988E-2</v>
      </c>
      <c r="I865" s="17">
        <v>-2.5223378049567615E-2</v>
      </c>
      <c r="J865" s="13"/>
      <c r="K865" s="17"/>
      <c r="L865" s="17"/>
      <c r="M865" s="17"/>
      <c r="N865" s="17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</row>
    <row r="866" spans="5:25" ht="15" customHeight="1" x14ac:dyDescent="0.25">
      <c r="E866" s="15">
        <v>40752</v>
      </c>
      <c r="F866" s="13">
        <v>1300.67</v>
      </c>
      <c r="G866" s="13">
        <v>610.94000000000005</v>
      </c>
      <c r="H866" s="17">
        <v>-3.4512856341849633E-3</v>
      </c>
      <c r="I866" s="17">
        <v>5.480425989677476E-3</v>
      </c>
      <c r="J866" s="13"/>
      <c r="K866" s="17"/>
      <c r="L866" s="17"/>
      <c r="M866" s="17"/>
      <c r="N866" s="17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</row>
    <row r="867" spans="5:25" ht="15" customHeight="1" x14ac:dyDescent="0.25">
      <c r="E867" s="15">
        <v>40753</v>
      </c>
      <c r="F867" s="13">
        <v>1292.28</v>
      </c>
      <c r="G867" s="13">
        <v>603.69000000000005</v>
      </c>
      <c r="H867" s="17">
        <v>-6.667818216533534E-3</v>
      </c>
      <c r="I867" s="17">
        <v>-1.2512813548056232E-2</v>
      </c>
      <c r="J867" s="13"/>
      <c r="K867" s="17"/>
      <c r="L867" s="17"/>
      <c r="M867" s="17"/>
      <c r="N867" s="17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</row>
    <row r="868" spans="5:25" ht="15" customHeight="1" x14ac:dyDescent="0.25">
      <c r="E868" s="15">
        <v>40756</v>
      </c>
      <c r="F868" s="13">
        <v>1286.94</v>
      </c>
      <c r="G868" s="13">
        <v>606.77</v>
      </c>
      <c r="H868" s="17">
        <v>-4.3495279672678506E-3</v>
      </c>
      <c r="I868" s="17">
        <v>4.4561018662071144E-3</v>
      </c>
      <c r="J868" s="13"/>
      <c r="K868" s="17"/>
      <c r="L868" s="17"/>
      <c r="M868" s="17"/>
      <c r="N868" s="17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</row>
    <row r="869" spans="5:25" ht="15" customHeight="1" x14ac:dyDescent="0.25">
      <c r="E869" s="15">
        <v>40757</v>
      </c>
      <c r="F869" s="13">
        <v>1254.05</v>
      </c>
      <c r="G869" s="13">
        <v>592.4</v>
      </c>
      <c r="H869" s="17">
        <v>-2.5774043574601897E-2</v>
      </c>
      <c r="I869" s="17">
        <v>-2.4328633742689822E-2</v>
      </c>
      <c r="J869" s="13"/>
      <c r="K869" s="17"/>
      <c r="L869" s="17"/>
      <c r="M869" s="17"/>
      <c r="N869" s="17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</row>
    <row r="870" spans="5:25" ht="15" customHeight="1" x14ac:dyDescent="0.25">
      <c r="E870" s="15">
        <v>40758</v>
      </c>
      <c r="F870" s="13">
        <v>1260.3399999999999</v>
      </c>
      <c r="G870" s="13">
        <v>601.16999999999996</v>
      </c>
      <c r="H870" s="17">
        <v>4.7984524110172497E-3</v>
      </c>
      <c r="I870" s="17">
        <v>1.415833192469873E-2</v>
      </c>
      <c r="J870" s="13"/>
      <c r="K870" s="17"/>
      <c r="L870" s="17"/>
      <c r="M870" s="17"/>
      <c r="N870" s="17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</row>
    <row r="871" spans="5:25" ht="15" customHeight="1" x14ac:dyDescent="0.25">
      <c r="E871" s="15">
        <v>40759</v>
      </c>
      <c r="F871" s="13">
        <v>1200.07</v>
      </c>
      <c r="G871" s="13">
        <v>577.52</v>
      </c>
      <c r="H871" s="17">
        <v>-4.803772597024672E-2</v>
      </c>
      <c r="I871" s="17">
        <v>-3.9985808192709284E-2</v>
      </c>
      <c r="J871" s="13"/>
      <c r="K871" s="17"/>
      <c r="L871" s="17"/>
      <c r="M871" s="17"/>
      <c r="N871" s="17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</row>
    <row r="872" spans="5:25" ht="15" customHeight="1" x14ac:dyDescent="0.25">
      <c r="E872" s="15">
        <v>40760</v>
      </c>
      <c r="F872" s="13">
        <v>1199.3800000000001</v>
      </c>
      <c r="G872" s="13">
        <v>579.04</v>
      </c>
      <c r="H872" s="17">
        <v>-7.9226302259898949E-4</v>
      </c>
      <c r="I872" s="17">
        <v>1.9860890466083425E-3</v>
      </c>
      <c r="J872" s="13"/>
      <c r="K872" s="17"/>
      <c r="L872" s="17"/>
      <c r="M872" s="17"/>
      <c r="N872" s="17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</row>
    <row r="873" spans="5:25" ht="15" customHeight="1" x14ac:dyDescent="0.25">
      <c r="E873" s="15">
        <v>40763</v>
      </c>
      <c r="F873" s="13">
        <v>1119.46</v>
      </c>
      <c r="G873" s="13">
        <v>546.02</v>
      </c>
      <c r="H873" s="17">
        <v>-6.6851724349999489E-2</v>
      </c>
      <c r="I873" s="17">
        <v>-5.7671275822991974E-2</v>
      </c>
      <c r="J873" s="13"/>
      <c r="K873" s="17"/>
      <c r="L873" s="17"/>
      <c r="M873" s="17"/>
      <c r="N873" s="17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</row>
    <row r="874" spans="5:25" ht="15" customHeight="1" x14ac:dyDescent="0.25">
      <c r="E874" s="15">
        <v>40764</v>
      </c>
      <c r="F874" s="13">
        <v>1172.53</v>
      </c>
      <c r="G874" s="13">
        <v>573.41</v>
      </c>
      <c r="H874" s="17">
        <v>4.7189488852087055E-2</v>
      </c>
      <c r="I874" s="17">
        <v>4.951714325652376E-2</v>
      </c>
      <c r="J874" s="13"/>
      <c r="K874" s="17"/>
      <c r="L874" s="17"/>
      <c r="M874" s="17"/>
      <c r="N874" s="17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</row>
    <row r="875" spans="5:25" ht="15" customHeight="1" x14ac:dyDescent="0.25">
      <c r="E875" s="15">
        <v>40765</v>
      </c>
      <c r="F875" s="13">
        <v>1120.76</v>
      </c>
      <c r="G875" s="13">
        <v>549.01</v>
      </c>
      <c r="H875" s="17">
        <v>-4.4369684987338807E-2</v>
      </c>
      <c r="I875" s="17">
        <v>-4.3198303817637174E-2</v>
      </c>
      <c r="J875" s="13"/>
      <c r="K875" s="17"/>
      <c r="L875" s="17"/>
      <c r="M875" s="17"/>
      <c r="N875" s="17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</row>
    <row r="876" spans="5:25" ht="15" customHeight="1" x14ac:dyDescent="0.25">
      <c r="E876" s="15">
        <v>40766</v>
      </c>
      <c r="F876" s="13">
        <v>1172.6400000000001</v>
      </c>
      <c r="G876" s="13">
        <v>562.13</v>
      </c>
      <c r="H876" s="17">
        <v>4.607272092582388E-2</v>
      </c>
      <c r="I876" s="17">
        <v>2.3251706628593032E-2</v>
      </c>
      <c r="J876" s="13"/>
      <c r="K876" s="17"/>
      <c r="L876" s="17"/>
      <c r="M876" s="17"/>
      <c r="N876" s="17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</row>
    <row r="877" spans="5:25" ht="15" customHeight="1" x14ac:dyDescent="0.25">
      <c r="E877" s="15">
        <v>40767</v>
      </c>
      <c r="F877" s="13">
        <v>1178.81</v>
      </c>
      <c r="G877" s="13">
        <v>563.77</v>
      </c>
      <c r="H877" s="17">
        <v>5.0443353110705517E-3</v>
      </c>
      <c r="I877" s="17">
        <v>2.2716201696498417E-3</v>
      </c>
      <c r="J877" s="13"/>
      <c r="K877" s="17"/>
      <c r="L877" s="17"/>
      <c r="M877" s="17"/>
      <c r="N877" s="17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</row>
    <row r="878" spans="5:25" ht="15" customHeight="1" x14ac:dyDescent="0.25">
      <c r="E878" s="15">
        <v>40770</v>
      </c>
      <c r="F878" s="13">
        <v>1204.49</v>
      </c>
      <c r="G878" s="13">
        <v>557.23</v>
      </c>
      <c r="H878" s="17">
        <v>2.1567384599201163E-2</v>
      </c>
      <c r="I878" s="17">
        <v>-1.2246329807030455E-2</v>
      </c>
      <c r="J878" s="13"/>
      <c r="K878" s="17"/>
      <c r="L878" s="17"/>
      <c r="M878" s="17"/>
      <c r="N878" s="17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</row>
    <row r="879" spans="5:25" ht="15" customHeight="1" x14ac:dyDescent="0.25">
      <c r="E879" s="15">
        <v>40771</v>
      </c>
      <c r="F879" s="13">
        <v>1192.76</v>
      </c>
      <c r="G879" s="13">
        <v>539</v>
      </c>
      <c r="H879" s="17">
        <v>-9.9558581111804795E-3</v>
      </c>
      <c r="I879" s="17">
        <v>-3.3361250232936096E-2</v>
      </c>
      <c r="J879" s="13"/>
      <c r="K879" s="17"/>
      <c r="L879" s="17"/>
      <c r="M879" s="17"/>
      <c r="N879" s="17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</row>
    <row r="880" spans="5:25" ht="15" customHeight="1" x14ac:dyDescent="0.25">
      <c r="E880" s="15">
        <v>40772</v>
      </c>
      <c r="F880" s="13">
        <v>1193.8900000000001</v>
      </c>
      <c r="G880" s="13">
        <v>533.15</v>
      </c>
      <c r="H880" s="17">
        <v>7.3008597902353433E-4</v>
      </c>
      <c r="I880" s="17">
        <v>-1.1499286717872167E-2</v>
      </c>
      <c r="J880" s="13"/>
      <c r="K880" s="17"/>
      <c r="L880" s="17"/>
      <c r="M880" s="17"/>
      <c r="N880" s="17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</row>
    <row r="881" spans="5:25" ht="15" customHeight="1" x14ac:dyDescent="0.25">
      <c r="E881" s="15">
        <v>40773</v>
      </c>
      <c r="F881" s="13">
        <v>1140.6500000000001</v>
      </c>
      <c r="G881" s="13">
        <v>504.88</v>
      </c>
      <c r="H881" s="17">
        <v>-4.4811019602120215E-2</v>
      </c>
      <c r="I881" s="17">
        <v>-5.3670331599893588E-2</v>
      </c>
      <c r="J881" s="13"/>
      <c r="K881" s="17"/>
      <c r="L881" s="17"/>
      <c r="M881" s="17"/>
      <c r="N881" s="17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</row>
    <row r="882" spans="5:25" ht="15" customHeight="1" x14ac:dyDescent="0.25">
      <c r="E882" s="15">
        <v>40774</v>
      </c>
      <c r="F882" s="13">
        <v>1123.53</v>
      </c>
      <c r="G882" s="13">
        <v>490.92</v>
      </c>
      <c r="H882" s="17">
        <v>-1.5226282666723323E-2</v>
      </c>
      <c r="I882" s="17">
        <v>-2.829598912133827E-2</v>
      </c>
      <c r="J882" s="13"/>
      <c r="K882" s="17"/>
      <c r="L882" s="17"/>
      <c r="M882" s="17"/>
      <c r="N882" s="17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</row>
    <row r="883" spans="5:25" ht="15" customHeight="1" x14ac:dyDescent="0.25">
      <c r="E883" s="15">
        <v>40777</v>
      </c>
      <c r="F883" s="13">
        <v>1123.82</v>
      </c>
      <c r="G883" s="13">
        <v>498.17</v>
      </c>
      <c r="H883" s="17">
        <v>4.0818485798131656E-5</v>
      </c>
      <c r="I883" s="17">
        <v>1.4122335900642586E-2</v>
      </c>
      <c r="J883" s="13"/>
      <c r="K883" s="17"/>
      <c r="L883" s="17"/>
      <c r="M883" s="17"/>
      <c r="N883" s="17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</row>
    <row r="884" spans="5:25" ht="15" customHeight="1" x14ac:dyDescent="0.25">
      <c r="E884" s="15">
        <v>40778</v>
      </c>
      <c r="F884" s="13">
        <v>1162.3499999999999</v>
      </c>
      <c r="G884" s="13">
        <v>518.82000000000005</v>
      </c>
      <c r="H884" s="17">
        <v>3.4067553324683406E-2</v>
      </c>
      <c r="I884" s="17">
        <v>4.0805858834701829E-2</v>
      </c>
      <c r="J884" s="13"/>
      <c r="K884" s="17"/>
      <c r="L884" s="17"/>
      <c r="M884" s="17"/>
      <c r="N884" s="17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</row>
    <row r="885" spans="5:25" ht="15" customHeight="1" x14ac:dyDescent="0.25">
      <c r="E885" s="15">
        <v>40779</v>
      </c>
      <c r="F885" s="13">
        <v>1177.5999999999999</v>
      </c>
      <c r="G885" s="13">
        <v>523.29</v>
      </c>
      <c r="H885" s="17">
        <v>1.2902675907256793E-2</v>
      </c>
      <c r="I885" s="17">
        <v>7.9698504328721501E-3</v>
      </c>
      <c r="J885" s="13"/>
      <c r="K885" s="17"/>
      <c r="L885" s="17"/>
      <c r="M885" s="17"/>
      <c r="N885" s="17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</row>
    <row r="886" spans="5:25" ht="15" customHeight="1" x14ac:dyDescent="0.25">
      <c r="E886" s="15">
        <v>40780</v>
      </c>
      <c r="F886" s="13">
        <v>1159.27</v>
      </c>
      <c r="G886" s="13">
        <v>520.04</v>
      </c>
      <c r="H886" s="17">
        <v>-1.5782853627526565E-2</v>
      </c>
      <c r="I886" s="17">
        <v>-6.856559780897024E-3</v>
      </c>
      <c r="J886" s="13"/>
      <c r="K886" s="17"/>
      <c r="L886" s="17"/>
      <c r="M886" s="17"/>
      <c r="N886" s="17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</row>
    <row r="887" spans="5:25" ht="15" customHeight="1" x14ac:dyDescent="0.25">
      <c r="E887" s="15">
        <v>40781</v>
      </c>
      <c r="F887" s="13">
        <v>1176.8</v>
      </c>
      <c r="G887" s="13">
        <v>526.86</v>
      </c>
      <c r="H887" s="17">
        <v>1.4904288573164013E-2</v>
      </c>
      <c r="I887" s="17">
        <v>1.2468521381376373E-2</v>
      </c>
      <c r="J887" s="13"/>
      <c r="K887" s="17"/>
      <c r="L887" s="17"/>
      <c r="M887" s="17"/>
      <c r="N887" s="17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</row>
    <row r="888" spans="5:25" ht="15" customHeight="1" x14ac:dyDescent="0.25">
      <c r="E888" s="15">
        <v>40784</v>
      </c>
      <c r="F888" s="13">
        <v>1210.08</v>
      </c>
      <c r="G888" s="13">
        <v>539.08000000000004</v>
      </c>
      <c r="H888" s="17">
        <v>2.8062785014849226E-2</v>
      </c>
      <c r="I888" s="17">
        <v>2.2548162950154396E-2</v>
      </c>
      <c r="J888" s="13"/>
      <c r="K888" s="17"/>
      <c r="L888" s="17"/>
      <c r="M888" s="17"/>
      <c r="N888" s="17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</row>
    <row r="889" spans="5:25" ht="15" customHeight="1" x14ac:dyDescent="0.25">
      <c r="E889" s="15">
        <v>40785</v>
      </c>
      <c r="F889" s="13">
        <v>1212.92</v>
      </c>
      <c r="G889" s="13">
        <v>540.70000000000005</v>
      </c>
      <c r="H889" s="17">
        <v>2.1296557053094968E-3</v>
      </c>
      <c r="I889" s="17">
        <v>2.3592653979224482E-3</v>
      </c>
      <c r="J889" s="13"/>
      <c r="K889" s="17"/>
      <c r="L889" s="17"/>
      <c r="M889" s="17"/>
      <c r="N889" s="17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</row>
    <row r="890" spans="5:25" ht="15" customHeight="1" x14ac:dyDescent="0.25">
      <c r="E890" s="15">
        <v>40786</v>
      </c>
      <c r="F890" s="13">
        <v>1218.8900000000001</v>
      </c>
      <c r="G890" s="13">
        <v>540.96</v>
      </c>
      <c r="H890" s="17">
        <v>4.7047098354746873E-3</v>
      </c>
      <c r="I890" s="17">
        <v>-1.6499628902177479E-4</v>
      </c>
      <c r="J890" s="13"/>
      <c r="K890" s="17"/>
      <c r="L890" s="17"/>
      <c r="M890" s="17"/>
      <c r="N890" s="17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</row>
    <row r="891" spans="5:25" ht="15" customHeight="1" x14ac:dyDescent="0.25">
      <c r="E891" s="15">
        <v>40787</v>
      </c>
      <c r="F891" s="13">
        <v>1204.42</v>
      </c>
      <c r="G891" s="13">
        <v>532.5</v>
      </c>
      <c r="H891" s="17">
        <v>-1.2088753379577342E-2</v>
      </c>
      <c r="I891" s="17">
        <v>-1.6284718677217168E-2</v>
      </c>
      <c r="J891" s="13"/>
      <c r="K891" s="17"/>
      <c r="L891" s="17"/>
      <c r="M891" s="17"/>
      <c r="N891" s="17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</row>
    <row r="892" spans="5:25" ht="15" customHeight="1" x14ac:dyDescent="0.25">
      <c r="E892" s="15">
        <v>40788</v>
      </c>
      <c r="F892" s="13">
        <v>1173.97</v>
      </c>
      <c r="G892" s="13">
        <v>524.84</v>
      </c>
      <c r="H892" s="17">
        <v>-2.5499174976815742E-2</v>
      </c>
      <c r="I892" s="17">
        <v>-1.5030830961690051E-2</v>
      </c>
      <c r="J892" s="13"/>
      <c r="K892" s="17"/>
      <c r="L892" s="17"/>
      <c r="M892" s="17"/>
      <c r="N892" s="17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</row>
    <row r="893" spans="5:25" ht="15" customHeight="1" x14ac:dyDescent="0.25">
      <c r="E893" s="15">
        <v>40792</v>
      </c>
      <c r="F893" s="13">
        <v>1165.24</v>
      </c>
      <c r="G893" s="13">
        <v>522.17999999999995</v>
      </c>
      <c r="H893" s="17">
        <v>-7.6536024304318688E-3</v>
      </c>
      <c r="I893" s="17">
        <v>-5.7140657002537915E-3</v>
      </c>
      <c r="J893" s="13"/>
      <c r="K893" s="17"/>
      <c r="L893" s="17"/>
      <c r="M893" s="17"/>
      <c r="N893" s="17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</row>
    <row r="894" spans="5:25" ht="15" customHeight="1" x14ac:dyDescent="0.25">
      <c r="E894" s="15">
        <v>40793</v>
      </c>
      <c r="F894" s="13">
        <v>1198.6199999999999</v>
      </c>
      <c r="G894" s="13">
        <v>534.03</v>
      </c>
      <c r="H894" s="17">
        <v>2.8429162536245632E-2</v>
      </c>
      <c r="I894" s="17">
        <v>2.2047469705232317E-2</v>
      </c>
      <c r="J894" s="13"/>
      <c r="K894" s="17"/>
      <c r="L894" s="17"/>
      <c r="M894" s="17"/>
      <c r="N894" s="17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</row>
    <row r="895" spans="5:25" ht="15" customHeight="1" x14ac:dyDescent="0.25">
      <c r="E895" s="15">
        <v>40794</v>
      </c>
      <c r="F895" s="13">
        <v>1185.9000000000001</v>
      </c>
      <c r="G895" s="13">
        <v>534.96</v>
      </c>
      <c r="H895" s="17">
        <v>-1.082950059694901E-2</v>
      </c>
      <c r="I895" s="17">
        <v>1.0956207621541281E-3</v>
      </c>
      <c r="J895" s="13"/>
      <c r="K895" s="17"/>
      <c r="L895" s="17"/>
      <c r="M895" s="17"/>
      <c r="N895" s="17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</row>
    <row r="896" spans="5:25" ht="15" customHeight="1" x14ac:dyDescent="0.25">
      <c r="E896" s="15">
        <v>40795</v>
      </c>
      <c r="F896" s="13">
        <v>1154.23</v>
      </c>
      <c r="G896" s="13">
        <v>524.85</v>
      </c>
      <c r="H896" s="17">
        <v>-2.6922752334296692E-2</v>
      </c>
      <c r="I896" s="17">
        <v>-1.954446367768093E-2</v>
      </c>
      <c r="J896" s="13"/>
      <c r="K896" s="17"/>
      <c r="L896" s="17"/>
      <c r="M896" s="17"/>
      <c r="N896" s="17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</row>
    <row r="897" spans="5:25" ht="15" customHeight="1" x14ac:dyDescent="0.25">
      <c r="E897" s="15">
        <v>40798</v>
      </c>
      <c r="F897" s="13">
        <v>1162.27</v>
      </c>
      <c r="G897" s="13">
        <v>530.12</v>
      </c>
      <c r="H897" s="17">
        <v>6.7483861872294805E-3</v>
      </c>
      <c r="I897" s="17">
        <v>9.3951096491082069E-3</v>
      </c>
      <c r="J897" s="13"/>
      <c r="K897" s="17"/>
      <c r="L897" s="17"/>
      <c r="M897" s="17"/>
      <c r="N897" s="17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</row>
    <row r="898" spans="5:25" ht="15" customHeight="1" x14ac:dyDescent="0.25">
      <c r="E898" s="15">
        <v>40799</v>
      </c>
      <c r="F898" s="13">
        <v>1172.8699999999999</v>
      </c>
      <c r="G898" s="13">
        <v>529.52</v>
      </c>
      <c r="H898" s="17">
        <v>8.9027874112942076E-3</v>
      </c>
      <c r="I898" s="17">
        <v>-1.7776736466131918E-3</v>
      </c>
      <c r="J898" s="13"/>
      <c r="K898" s="17"/>
      <c r="L898" s="17"/>
      <c r="M898" s="17"/>
      <c r="N898" s="17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</row>
    <row r="899" spans="5:25" ht="15" customHeight="1" x14ac:dyDescent="0.25">
      <c r="E899" s="15">
        <v>40800</v>
      </c>
      <c r="F899" s="13">
        <v>1188.68</v>
      </c>
      <c r="G899" s="13">
        <v>532.07000000000005</v>
      </c>
      <c r="H899" s="17">
        <v>1.3262458227224196E-2</v>
      </c>
      <c r="I899" s="17">
        <v>4.1698276913410938E-3</v>
      </c>
      <c r="J899" s="13"/>
      <c r="K899" s="17"/>
      <c r="L899" s="17"/>
      <c r="M899" s="17"/>
      <c r="N899" s="17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</row>
    <row r="900" spans="5:25" ht="15" customHeight="1" x14ac:dyDescent="0.25">
      <c r="E900" s="15">
        <v>40801</v>
      </c>
      <c r="F900" s="13">
        <v>1209.1099999999999</v>
      </c>
      <c r="G900" s="13">
        <v>542.55999999999995</v>
      </c>
      <c r="H900" s="17">
        <v>1.6969835382368955E-2</v>
      </c>
      <c r="I900" s="17">
        <v>1.906959653862738E-2</v>
      </c>
      <c r="J900" s="13"/>
      <c r="K900" s="17"/>
      <c r="L900" s="17"/>
      <c r="M900" s="17"/>
      <c r="N900" s="17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</row>
    <row r="901" spans="5:25" ht="15" customHeight="1" x14ac:dyDescent="0.25">
      <c r="E901" s="15">
        <v>40802</v>
      </c>
      <c r="F901" s="13">
        <v>1216.01</v>
      </c>
      <c r="G901" s="13">
        <v>546.67999999999995</v>
      </c>
      <c r="H901" s="17">
        <v>5.4893802495607153E-3</v>
      </c>
      <c r="I901" s="17">
        <v>6.9477757617133797E-3</v>
      </c>
      <c r="J901" s="13"/>
      <c r="K901" s="17"/>
      <c r="L901" s="17"/>
      <c r="M901" s="17"/>
      <c r="N901" s="17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</row>
    <row r="902" spans="5:25" ht="15" customHeight="1" x14ac:dyDescent="0.25">
      <c r="E902" s="15">
        <v>40805</v>
      </c>
      <c r="F902" s="13">
        <v>1204.0899999999999</v>
      </c>
      <c r="G902" s="13">
        <v>546.66999999999996</v>
      </c>
      <c r="H902" s="17">
        <v>-1.0019847528172941E-2</v>
      </c>
      <c r="I902" s="17">
        <v>-6.6414667264316784E-4</v>
      </c>
      <c r="J902" s="13"/>
      <c r="K902" s="17"/>
      <c r="L902" s="17"/>
      <c r="M902" s="17"/>
      <c r="N902" s="17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</row>
    <row r="903" spans="5:25" ht="15" customHeight="1" x14ac:dyDescent="0.25">
      <c r="E903" s="15">
        <v>40806</v>
      </c>
      <c r="F903" s="13">
        <v>1202.0899999999999</v>
      </c>
      <c r="G903" s="13">
        <v>546.63</v>
      </c>
      <c r="H903" s="17">
        <v>-1.8783019688817714E-3</v>
      </c>
      <c r="I903" s="17">
        <v>-7.1902472141549436E-4</v>
      </c>
      <c r="J903" s="13"/>
      <c r="K903" s="17"/>
      <c r="L903" s="17"/>
      <c r="M903" s="17"/>
      <c r="N903" s="17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</row>
    <row r="904" spans="5:25" ht="15" customHeight="1" x14ac:dyDescent="0.25">
      <c r="E904" s="15">
        <v>40807</v>
      </c>
      <c r="F904" s="13">
        <v>1166.76</v>
      </c>
      <c r="G904" s="13">
        <v>539.20000000000005</v>
      </c>
      <c r="H904" s="17">
        <v>-2.9607774812689763E-2</v>
      </c>
      <c r="I904" s="17">
        <v>-1.423822953419822E-2</v>
      </c>
      <c r="J904" s="13"/>
      <c r="K904" s="17"/>
      <c r="L904" s="17"/>
      <c r="M904" s="17"/>
      <c r="N904" s="17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</row>
    <row r="905" spans="5:25" ht="15" customHeight="1" x14ac:dyDescent="0.25">
      <c r="E905" s="15">
        <v>40808</v>
      </c>
      <c r="F905" s="13">
        <v>1129.56</v>
      </c>
      <c r="G905" s="13">
        <v>520.66</v>
      </c>
      <c r="H905" s="17">
        <v>-3.2100460194932852E-2</v>
      </c>
      <c r="I905" s="17">
        <v>-3.5030127432901098E-2</v>
      </c>
      <c r="J905" s="13"/>
      <c r="K905" s="17"/>
      <c r="L905" s="17"/>
      <c r="M905" s="17"/>
      <c r="N905" s="17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</row>
    <row r="906" spans="5:25" ht="15" customHeight="1" x14ac:dyDescent="0.25">
      <c r="E906" s="15">
        <v>40809</v>
      </c>
      <c r="F906" s="13">
        <v>1136.43</v>
      </c>
      <c r="G906" s="13">
        <v>525.51</v>
      </c>
      <c r="H906" s="17">
        <v>5.8647176733224006E-3</v>
      </c>
      <c r="I906" s="17">
        <v>8.6692456294332771E-3</v>
      </c>
      <c r="J906" s="13"/>
      <c r="K906" s="17"/>
      <c r="L906" s="17"/>
      <c r="M906" s="17"/>
      <c r="N906" s="17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</row>
    <row r="907" spans="5:25" ht="15" customHeight="1" x14ac:dyDescent="0.25">
      <c r="E907" s="15">
        <v>40812</v>
      </c>
      <c r="F907" s="13">
        <v>1162.95</v>
      </c>
      <c r="G907" s="13">
        <v>531.89</v>
      </c>
      <c r="H907" s="17">
        <v>2.3118940601440464E-2</v>
      </c>
      <c r="I907" s="17">
        <v>1.1494732803194551E-2</v>
      </c>
      <c r="J907" s="13"/>
      <c r="K907" s="17"/>
      <c r="L907" s="17"/>
      <c r="M907" s="17"/>
      <c r="N907" s="17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</row>
    <row r="908" spans="5:25" ht="15" customHeight="1" x14ac:dyDescent="0.25">
      <c r="E908" s="15">
        <v>40813</v>
      </c>
      <c r="F908" s="13">
        <v>1175.3800000000001</v>
      </c>
      <c r="G908" s="13">
        <v>539.34</v>
      </c>
      <c r="H908" s="17">
        <v>1.0471039135700201E-2</v>
      </c>
      <c r="I908" s="17">
        <v>1.3360801075609482E-2</v>
      </c>
      <c r="J908" s="13"/>
      <c r="K908" s="17"/>
      <c r="L908" s="17"/>
      <c r="M908" s="17"/>
      <c r="N908" s="17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</row>
    <row r="909" spans="5:25" ht="15" customHeight="1" x14ac:dyDescent="0.25">
      <c r="E909" s="15">
        <v>40814</v>
      </c>
      <c r="F909" s="13">
        <v>1151.06</v>
      </c>
      <c r="G909" s="13">
        <v>528.84</v>
      </c>
      <c r="H909" s="17">
        <v>-2.0908477286840817E-2</v>
      </c>
      <c r="I909" s="17">
        <v>-2.011409339459579E-2</v>
      </c>
      <c r="J909" s="13"/>
      <c r="K909" s="17"/>
      <c r="L909" s="17"/>
      <c r="M909" s="17"/>
      <c r="N909" s="17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</row>
    <row r="910" spans="5:25" ht="15" customHeight="1" x14ac:dyDescent="0.25">
      <c r="E910" s="15">
        <v>40815</v>
      </c>
      <c r="F910" s="13">
        <v>1160.4000000000001</v>
      </c>
      <c r="G910" s="13">
        <v>527.5</v>
      </c>
      <c r="H910" s="17">
        <v>7.8969633372616577E-3</v>
      </c>
      <c r="I910" s="17">
        <v>-3.179702102459484E-3</v>
      </c>
      <c r="J910" s="13"/>
      <c r="K910" s="17"/>
      <c r="L910" s="17"/>
      <c r="M910" s="17"/>
      <c r="N910" s="17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</row>
    <row r="911" spans="5:25" ht="15" customHeight="1" x14ac:dyDescent="0.25">
      <c r="E911" s="15">
        <v>40816</v>
      </c>
      <c r="F911" s="13">
        <v>1131.42</v>
      </c>
      <c r="G911" s="13">
        <v>515.04</v>
      </c>
      <c r="H911" s="17">
        <v>-2.5191443408224375E-2</v>
      </c>
      <c r="I911" s="17">
        <v>-2.4266707516437176E-2</v>
      </c>
      <c r="J911" s="13"/>
      <c r="K911" s="17"/>
      <c r="L911" s="17"/>
      <c r="M911" s="17"/>
      <c r="N911" s="17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</row>
    <row r="912" spans="5:25" ht="15" customHeight="1" x14ac:dyDescent="0.25">
      <c r="E912" s="15">
        <v>40819</v>
      </c>
      <c r="F912" s="13">
        <v>1099.23</v>
      </c>
      <c r="G912" s="13">
        <v>495.52</v>
      </c>
      <c r="H912" s="17">
        <v>-2.8668269675741851E-2</v>
      </c>
      <c r="I912" s="17">
        <v>-3.8545823370320156E-2</v>
      </c>
      <c r="J912" s="13"/>
      <c r="K912" s="17"/>
      <c r="L912" s="17"/>
      <c r="M912" s="17"/>
      <c r="N912" s="17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</row>
    <row r="913" spans="5:25" ht="15" customHeight="1" x14ac:dyDescent="0.25">
      <c r="E913" s="15">
        <v>40820</v>
      </c>
      <c r="F913" s="13">
        <v>1123.95</v>
      </c>
      <c r="G913" s="13">
        <v>501.9</v>
      </c>
      <c r="H913" s="17">
        <v>2.2271172638858919E-2</v>
      </c>
      <c r="I913" s="17">
        <v>1.222950881889422E-2</v>
      </c>
      <c r="J913" s="13"/>
      <c r="K913" s="17"/>
      <c r="L913" s="17"/>
      <c r="M913" s="17"/>
      <c r="N913" s="17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</row>
    <row r="914" spans="5:25" ht="15" customHeight="1" x14ac:dyDescent="0.25">
      <c r="E914" s="15">
        <v>40821</v>
      </c>
      <c r="F914" s="13">
        <v>1144.03</v>
      </c>
      <c r="G914" s="13">
        <v>504.7</v>
      </c>
      <c r="H914" s="17">
        <v>1.7648266852433474E-2</v>
      </c>
      <c r="I914" s="17">
        <v>4.932946122011601E-3</v>
      </c>
      <c r="J914" s="13"/>
      <c r="K914" s="17"/>
      <c r="L914" s="17"/>
      <c r="M914" s="17"/>
      <c r="N914" s="17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</row>
    <row r="915" spans="5:25" ht="15" customHeight="1" x14ac:dyDescent="0.25">
      <c r="E915" s="15">
        <v>40822</v>
      </c>
      <c r="F915" s="13">
        <v>1164.97</v>
      </c>
      <c r="G915" s="13">
        <v>514.71</v>
      </c>
      <c r="H915" s="17">
        <v>1.8086419249339125E-2</v>
      </c>
      <c r="I915" s="17">
        <v>1.9187710057890214E-2</v>
      </c>
      <c r="J915" s="13"/>
      <c r="K915" s="17"/>
      <c r="L915" s="17"/>
      <c r="M915" s="17"/>
      <c r="N915" s="17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</row>
    <row r="916" spans="5:25" ht="15" customHeight="1" x14ac:dyDescent="0.25">
      <c r="E916" s="15">
        <v>40823</v>
      </c>
      <c r="F916" s="13">
        <v>1155.46</v>
      </c>
      <c r="G916" s="13">
        <v>515.12</v>
      </c>
      <c r="H916" s="17">
        <v>-8.3805969048072644E-3</v>
      </c>
      <c r="I916" s="17">
        <v>1.5071062018252515E-4</v>
      </c>
      <c r="J916" s="13"/>
      <c r="K916" s="17"/>
      <c r="L916" s="17"/>
      <c r="M916" s="17"/>
      <c r="N916" s="17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</row>
    <row r="917" spans="5:25" ht="15" customHeight="1" x14ac:dyDescent="0.25">
      <c r="E917" s="15">
        <v>40826</v>
      </c>
      <c r="F917" s="13">
        <v>1194.8900000000001</v>
      </c>
      <c r="G917" s="13">
        <v>537.16999999999996</v>
      </c>
      <c r="H917" s="17">
        <v>3.3907640692117637E-2</v>
      </c>
      <c r="I917" s="17">
        <v>4.2159705433676503E-2</v>
      </c>
      <c r="J917" s="13"/>
      <c r="K917" s="17"/>
      <c r="L917" s="17"/>
      <c r="M917" s="17"/>
      <c r="N917" s="17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</row>
    <row r="918" spans="5:25" ht="15" customHeight="1" x14ac:dyDescent="0.25">
      <c r="E918" s="15">
        <v>40827</v>
      </c>
      <c r="F918" s="13">
        <v>1195.54</v>
      </c>
      <c r="G918" s="13">
        <v>543.17999999999995</v>
      </c>
      <c r="H918" s="17">
        <v>3.2668656584488302E-4</v>
      </c>
      <c r="I918" s="17">
        <v>1.0542409986939968E-2</v>
      </c>
      <c r="J918" s="13"/>
      <c r="K918" s="17"/>
      <c r="L918" s="17"/>
      <c r="M918" s="17"/>
      <c r="N918" s="17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</row>
    <row r="919" spans="5:25" ht="15" customHeight="1" x14ac:dyDescent="0.25">
      <c r="E919" s="15">
        <v>40828</v>
      </c>
      <c r="F919" s="13">
        <v>1207.25</v>
      </c>
      <c r="G919" s="13">
        <v>548.5</v>
      </c>
      <c r="H919" s="17">
        <v>9.5774405439357051E-3</v>
      </c>
      <c r="I919" s="17">
        <v>9.1483206073952883E-3</v>
      </c>
      <c r="J919" s="13"/>
      <c r="K919" s="17"/>
      <c r="L919" s="17"/>
      <c r="M919" s="17"/>
      <c r="N919" s="17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</row>
    <row r="920" spans="5:25" ht="15" customHeight="1" x14ac:dyDescent="0.25">
      <c r="E920" s="15">
        <v>40829</v>
      </c>
      <c r="F920" s="13">
        <v>1203.6600000000001</v>
      </c>
      <c r="G920" s="13">
        <v>558.99</v>
      </c>
      <c r="H920" s="17">
        <v>-3.1909971214311443E-3</v>
      </c>
      <c r="I920" s="17">
        <v>1.8479031617003011E-2</v>
      </c>
      <c r="J920" s="13"/>
      <c r="K920" s="17"/>
      <c r="L920" s="17"/>
      <c r="M920" s="17"/>
      <c r="N920" s="17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</row>
    <row r="921" spans="5:25" ht="15" customHeight="1" x14ac:dyDescent="0.25">
      <c r="E921" s="15">
        <v>40830</v>
      </c>
      <c r="F921" s="13">
        <v>1224.58</v>
      </c>
      <c r="G921" s="13">
        <v>591.67999999999995</v>
      </c>
      <c r="H921" s="17">
        <v>1.7163026784815433E-2</v>
      </c>
      <c r="I921" s="17">
        <v>5.783461927564696E-2</v>
      </c>
      <c r="J921" s="13"/>
      <c r="K921" s="17"/>
      <c r="L921" s="17"/>
      <c r="M921" s="17"/>
      <c r="N921" s="17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</row>
    <row r="922" spans="5:25" ht="15" customHeight="1" x14ac:dyDescent="0.25">
      <c r="E922" s="15">
        <v>40833</v>
      </c>
      <c r="F922" s="13">
        <v>1200.8599999999999</v>
      </c>
      <c r="G922" s="13">
        <v>582.41</v>
      </c>
      <c r="H922" s="17">
        <v>-1.9587202979203126E-2</v>
      </c>
      <c r="I922" s="17">
        <v>-1.6313107004824648E-2</v>
      </c>
      <c r="J922" s="13"/>
      <c r="K922" s="17"/>
      <c r="L922" s="17"/>
      <c r="M922" s="17"/>
      <c r="N922" s="17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</row>
    <row r="923" spans="5:25" ht="15" customHeight="1" x14ac:dyDescent="0.25">
      <c r="E923" s="15">
        <v>40834</v>
      </c>
      <c r="F923" s="13">
        <v>1225.3800000000001</v>
      </c>
      <c r="G923" s="13">
        <v>590.51</v>
      </c>
      <c r="H923" s="17">
        <v>2.0201403369406429E-2</v>
      </c>
      <c r="I923" s="17">
        <v>1.3261873796819857E-2</v>
      </c>
      <c r="J923" s="13"/>
      <c r="K923" s="17"/>
      <c r="L923" s="17"/>
      <c r="M923" s="17"/>
      <c r="N923" s="17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</row>
    <row r="924" spans="5:25" ht="15" customHeight="1" x14ac:dyDescent="0.25">
      <c r="E924" s="15">
        <v>40835</v>
      </c>
      <c r="F924" s="13">
        <v>1209.8800000000001</v>
      </c>
      <c r="G924" s="13">
        <v>580.70000000000005</v>
      </c>
      <c r="H924" s="17">
        <v>-1.2866433972745119E-2</v>
      </c>
      <c r="I924" s="17">
        <v>-1.7258612898891943E-2</v>
      </c>
      <c r="J924" s="13"/>
      <c r="K924" s="17"/>
      <c r="L924" s="17"/>
      <c r="M924" s="17"/>
      <c r="N924" s="17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</row>
    <row r="925" spans="5:25" ht="15" customHeight="1" x14ac:dyDescent="0.25">
      <c r="E925" s="15">
        <v>40836</v>
      </c>
      <c r="F925" s="13">
        <v>1215.3900000000001</v>
      </c>
      <c r="G925" s="13">
        <v>583.66999999999996</v>
      </c>
      <c r="H925" s="17">
        <v>4.3368740992440384E-3</v>
      </c>
      <c r="I925" s="17">
        <v>4.4686625264184401E-3</v>
      </c>
      <c r="J925" s="13"/>
      <c r="K925" s="17"/>
      <c r="L925" s="17"/>
      <c r="M925" s="17"/>
      <c r="N925" s="17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</row>
    <row r="926" spans="5:25" ht="15" customHeight="1" x14ac:dyDescent="0.25">
      <c r="E926" s="15">
        <v>40837</v>
      </c>
      <c r="F926" s="13">
        <v>1238.25</v>
      </c>
      <c r="G926" s="13">
        <v>590.49</v>
      </c>
      <c r="H926" s="17">
        <v>1.8591480867157915E-2</v>
      </c>
      <c r="I926" s="17">
        <v>1.1038830403167303E-2</v>
      </c>
      <c r="J926" s="13"/>
      <c r="K926" s="17"/>
      <c r="L926" s="17"/>
      <c r="M926" s="17"/>
      <c r="N926" s="17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</row>
    <row r="927" spans="5:25" ht="15" customHeight="1" x14ac:dyDescent="0.25">
      <c r="E927" s="15">
        <v>40840</v>
      </c>
      <c r="F927" s="13">
        <v>1254.19</v>
      </c>
      <c r="G927" s="13">
        <v>596.41999999999996</v>
      </c>
      <c r="H927" s="17">
        <v>1.2655709696523859E-2</v>
      </c>
      <c r="I927" s="17">
        <v>9.3966526345307059E-3</v>
      </c>
      <c r="J927" s="13"/>
      <c r="K927" s="17"/>
      <c r="L927" s="17"/>
      <c r="M927" s="17"/>
      <c r="N927" s="17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</row>
    <row r="928" spans="5:25" ht="15" customHeight="1" x14ac:dyDescent="0.25">
      <c r="E928" s="15">
        <v>40841</v>
      </c>
      <c r="F928" s="13">
        <v>1229.05</v>
      </c>
      <c r="G928" s="13">
        <v>583.16</v>
      </c>
      <c r="H928" s="17">
        <v>-2.0262106359867759E-2</v>
      </c>
      <c r="I928" s="17">
        <v>-2.2878509276417061E-2</v>
      </c>
      <c r="J928" s="13"/>
      <c r="K928" s="17"/>
      <c r="L928" s="17"/>
      <c r="M928" s="17"/>
      <c r="N928" s="17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</row>
    <row r="929" spans="5:25" ht="15" customHeight="1" x14ac:dyDescent="0.25">
      <c r="E929" s="15">
        <v>40842</v>
      </c>
      <c r="F929" s="13">
        <v>1242</v>
      </c>
      <c r="G929" s="13">
        <v>586.30999999999995</v>
      </c>
      <c r="H929" s="17">
        <v>1.0319296741462033E-2</v>
      </c>
      <c r="I929" s="17">
        <v>4.7557506124887719E-3</v>
      </c>
      <c r="J929" s="13"/>
      <c r="K929" s="17"/>
      <c r="L929" s="17"/>
      <c r="M929" s="17"/>
      <c r="N929" s="17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</row>
    <row r="930" spans="5:25" ht="15" customHeight="1" x14ac:dyDescent="0.25">
      <c r="E930" s="15">
        <v>40843</v>
      </c>
      <c r="F930" s="13">
        <v>1284.5899999999999</v>
      </c>
      <c r="G930" s="13">
        <v>598.66999999999996</v>
      </c>
      <c r="H930" s="17">
        <v>3.4074168816112728E-2</v>
      </c>
      <c r="I930" s="17">
        <v>2.0435143670935112E-2</v>
      </c>
      <c r="J930" s="13"/>
      <c r="K930" s="17"/>
      <c r="L930" s="17"/>
      <c r="M930" s="17"/>
      <c r="N930" s="17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</row>
    <row r="931" spans="5:25" ht="15" customHeight="1" x14ac:dyDescent="0.25">
      <c r="E931" s="15">
        <v>40844</v>
      </c>
      <c r="F931" s="13">
        <v>1285.0899999999999</v>
      </c>
      <c r="G931" s="13">
        <v>600.14</v>
      </c>
      <c r="H931" s="17">
        <v>1.7193268593345697E-4</v>
      </c>
      <c r="I931" s="17">
        <v>1.8095884625563869E-3</v>
      </c>
      <c r="J931" s="13"/>
      <c r="K931" s="17"/>
      <c r="L931" s="17"/>
      <c r="M931" s="17"/>
      <c r="N931" s="17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</row>
    <row r="932" spans="5:25" ht="15" customHeight="1" x14ac:dyDescent="0.25">
      <c r="E932" s="15">
        <v>40847</v>
      </c>
      <c r="F932" s="13">
        <v>1253.3</v>
      </c>
      <c r="G932" s="13">
        <v>592.64</v>
      </c>
      <c r="H932" s="17">
        <v>-2.4954863580961564E-2</v>
      </c>
      <c r="I932" s="17">
        <v>-1.3142938449598586E-2</v>
      </c>
      <c r="J932" s="13"/>
      <c r="K932" s="17"/>
      <c r="L932" s="17"/>
      <c r="M932" s="17"/>
      <c r="N932" s="17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</row>
    <row r="933" spans="5:25" ht="15" customHeight="1" x14ac:dyDescent="0.25">
      <c r="E933" s="15">
        <v>40848</v>
      </c>
      <c r="F933" s="13">
        <v>1218.28</v>
      </c>
      <c r="G933" s="13">
        <v>578.65</v>
      </c>
      <c r="H933" s="17">
        <v>-2.8159529068492849E-2</v>
      </c>
      <c r="I933" s="17">
        <v>-2.425209093694837E-2</v>
      </c>
      <c r="J933" s="13"/>
      <c r="K933" s="17"/>
      <c r="L933" s="17"/>
      <c r="M933" s="17"/>
      <c r="N933" s="17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</row>
    <row r="934" spans="5:25" ht="15" customHeight="1" x14ac:dyDescent="0.25">
      <c r="E934" s="15">
        <v>40849</v>
      </c>
      <c r="F934" s="13">
        <v>1237.9000000000001</v>
      </c>
      <c r="G934" s="13">
        <v>584.82000000000005</v>
      </c>
      <c r="H934" s="17">
        <v>1.5887375598442052E-2</v>
      </c>
      <c r="I934" s="17">
        <v>1.0016895067285437E-2</v>
      </c>
      <c r="J934" s="13"/>
      <c r="K934" s="17"/>
      <c r="L934" s="17"/>
      <c r="M934" s="17"/>
      <c r="N934" s="17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</row>
    <row r="935" spans="5:25" ht="15" customHeight="1" x14ac:dyDescent="0.25">
      <c r="E935" s="15">
        <v>40850</v>
      </c>
      <c r="F935" s="13">
        <v>1261.1500000000001</v>
      </c>
      <c r="G935" s="13">
        <v>597.5</v>
      </c>
      <c r="H935" s="17">
        <v>1.8564511338167441E-2</v>
      </c>
      <c r="I935" s="17">
        <v>2.1036030588583516E-2</v>
      </c>
      <c r="J935" s="13"/>
      <c r="K935" s="17"/>
      <c r="L935" s="17"/>
      <c r="M935" s="17"/>
      <c r="N935" s="17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</row>
    <row r="936" spans="5:25" ht="15" customHeight="1" x14ac:dyDescent="0.25">
      <c r="E936" s="15">
        <v>40851</v>
      </c>
      <c r="F936" s="13">
        <v>1253.23</v>
      </c>
      <c r="G936" s="13">
        <v>596.14</v>
      </c>
      <c r="H936" s="17">
        <v>-6.4972791179131852E-3</v>
      </c>
      <c r="I936" s="17">
        <v>-2.9220050634835176E-3</v>
      </c>
      <c r="J936" s="13"/>
      <c r="K936" s="17"/>
      <c r="L936" s="17"/>
      <c r="M936" s="17"/>
      <c r="N936" s="17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</row>
    <row r="937" spans="5:25" ht="15" customHeight="1" x14ac:dyDescent="0.25">
      <c r="E937" s="15">
        <v>40854</v>
      </c>
      <c r="F937" s="13">
        <v>1261.1199999999999</v>
      </c>
      <c r="G937" s="13">
        <v>608.33000000000004</v>
      </c>
      <c r="H937" s="17">
        <v>6.0784352666448105E-3</v>
      </c>
      <c r="I937" s="17">
        <v>1.9802362425942532E-2</v>
      </c>
      <c r="J937" s="13"/>
      <c r="K937" s="17"/>
      <c r="L937" s="17"/>
      <c r="M937" s="17"/>
      <c r="N937" s="17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</row>
    <row r="938" spans="5:25" ht="15" customHeight="1" x14ac:dyDescent="0.25">
      <c r="E938" s="15">
        <v>40855</v>
      </c>
      <c r="F938" s="13">
        <v>1275.92</v>
      </c>
      <c r="G938" s="13">
        <v>612.34</v>
      </c>
      <c r="H938" s="17">
        <v>1.151830353918791E-2</v>
      </c>
      <c r="I938" s="17">
        <v>5.9459625055942383E-3</v>
      </c>
      <c r="J938" s="13"/>
      <c r="K938" s="17"/>
      <c r="L938" s="17"/>
      <c r="M938" s="17"/>
      <c r="N938" s="17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</row>
    <row r="939" spans="5:25" ht="15" customHeight="1" x14ac:dyDescent="0.25">
      <c r="E939" s="15">
        <v>40856</v>
      </c>
      <c r="F939" s="13">
        <v>1229.0999999999999</v>
      </c>
      <c r="G939" s="13">
        <v>600.95000000000005</v>
      </c>
      <c r="H939" s="17">
        <v>-3.6912387163600791E-2</v>
      </c>
      <c r="I939" s="17">
        <v>-1.9246631781787392E-2</v>
      </c>
      <c r="J939" s="13"/>
      <c r="K939" s="17"/>
      <c r="L939" s="17"/>
      <c r="M939" s="17"/>
      <c r="N939" s="17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</row>
    <row r="940" spans="5:25" ht="15" customHeight="1" x14ac:dyDescent="0.25">
      <c r="E940" s="15">
        <v>40857</v>
      </c>
      <c r="F940" s="13">
        <v>1239.7</v>
      </c>
      <c r="G940" s="13">
        <v>595.08000000000004</v>
      </c>
      <c r="H940" s="17">
        <v>8.4069000042842693E-3</v>
      </c>
      <c r="I940" s="17">
        <v>-1.0413721978925282E-2</v>
      </c>
      <c r="J940" s="13"/>
      <c r="K940" s="17"/>
      <c r="L940" s="17"/>
      <c r="M940" s="17"/>
      <c r="N940" s="17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</row>
    <row r="941" spans="5:25" ht="15" customHeight="1" x14ac:dyDescent="0.25">
      <c r="E941" s="15">
        <v>40858</v>
      </c>
      <c r="F941" s="13">
        <v>1263.8499999999999</v>
      </c>
      <c r="G941" s="13">
        <v>608.35</v>
      </c>
      <c r="H941" s="17">
        <v>1.9263222918210306E-2</v>
      </c>
      <c r="I941" s="17">
        <v>2.1653668317374804E-2</v>
      </c>
      <c r="J941" s="13"/>
      <c r="K941" s="17"/>
      <c r="L941" s="17"/>
      <c r="M941" s="17"/>
      <c r="N941" s="17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</row>
    <row r="942" spans="5:25" ht="15" customHeight="1" x14ac:dyDescent="0.25">
      <c r="E942" s="15">
        <v>40861</v>
      </c>
      <c r="F942" s="13">
        <v>1251.78</v>
      </c>
      <c r="G942" s="13">
        <v>613</v>
      </c>
      <c r="H942" s="17">
        <v>-9.7674805240134891E-3</v>
      </c>
      <c r="I942" s="17">
        <v>6.9977717661534079E-3</v>
      </c>
      <c r="J942" s="13"/>
      <c r="K942" s="17"/>
      <c r="L942" s="17"/>
      <c r="M942" s="17"/>
      <c r="N942" s="17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</row>
    <row r="943" spans="5:25" ht="15" customHeight="1" x14ac:dyDescent="0.25">
      <c r="E943" s="15">
        <v>40862</v>
      </c>
      <c r="F943" s="13">
        <v>1257.81</v>
      </c>
      <c r="G943" s="13">
        <v>616.55999999999995</v>
      </c>
      <c r="H943" s="17">
        <v>4.5998438297725035E-3</v>
      </c>
      <c r="I943" s="17">
        <v>5.1616496424349706E-3</v>
      </c>
      <c r="J943" s="13"/>
      <c r="K943" s="17"/>
      <c r="L943" s="17"/>
      <c r="M943" s="17"/>
      <c r="N943" s="17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</row>
    <row r="944" spans="5:25" ht="15" customHeight="1" x14ac:dyDescent="0.25">
      <c r="E944" s="15">
        <v>40863</v>
      </c>
      <c r="F944" s="13">
        <v>1236.9100000000001</v>
      </c>
      <c r="G944" s="13">
        <v>611.47</v>
      </c>
      <c r="H944" s="17">
        <v>-1.6833478656584144E-2</v>
      </c>
      <c r="I944" s="17">
        <v>-8.9013364651924463E-3</v>
      </c>
      <c r="J944" s="13"/>
      <c r="K944" s="17"/>
      <c r="L944" s="17"/>
      <c r="M944" s="17"/>
      <c r="N944" s="17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</row>
    <row r="945" spans="5:25" ht="15" customHeight="1" x14ac:dyDescent="0.25">
      <c r="E945" s="15">
        <v>40864</v>
      </c>
      <c r="F945" s="13">
        <v>1216.1300000000001</v>
      </c>
      <c r="G945" s="13">
        <v>600.87</v>
      </c>
      <c r="H945" s="17">
        <v>-1.701722541727841E-2</v>
      </c>
      <c r="I945" s="17">
        <v>-1.7981128447676065E-2</v>
      </c>
      <c r="J945" s="13"/>
      <c r="K945" s="17"/>
      <c r="L945" s="17"/>
      <c r="M945" s="17"/>
      <c r="N945" s="17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</row>
    <row r="946" spans="5:25" ht="15" customHeight="1" x14ac:dyDescent="0.25">
      <c r="E946" s="15">
        <v>40865</v>
      </c>
      <c r="F946" s="13">
        <v>1215.6500000000001</v>
      </c>
      <c r="G946" s="13">
        <v>594.88</v>
      </c>
      <c r="H946" s="17">
        <v>-6.1199120844075434E-4</v>
      </c>
      <c r="I946" s="17">
        <v>-1.0614732895435417E-2</v>
      </c>
      <c r="J946" s="13"/>
      <c r="K946" s="17"/>
      <c r="L946" s="17"/>
      <c r="M946" s="17"/>
      <c r="N946" s="17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</row>
    <row r="947" spans="5:25" ht="15" customHeight="1" x14ac:dyDescent="0.25">
      <c r="E947" s="15">
        <v>40868</v>
      </c>
      <c r="F947" s="13">
        <v>1192.98</v>
      </c>
      <c r="G947" s="13">
        <v>580.94000000000005</v>
      </c>
      <c r="H947" s="17">
        <v>-1.8865756234089703E-2</v>
      </c>
      <c r="I947" s="17">
        <v>-2.4079151907627466E-2</v>
      </c>
      <c r="J947" s="13"/>
      <c r="K947" s="17"/>
      <c r="L947" s="17"/>
      <c r="M947" s="17"/>
      <c r="N947" s="17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</row>
    <row r="948" spans="5:25" ht="15" customHeight="1" x14ac:dyDescent="0.25">
      <c r="E948" s="15">
        <v>40869</v>
      </c>
      <c r="F948" s="13">
        <v>1188.04</v>
      </c>
      <c r="G948" s="13">
        <v>580</v>
      </c>
      <c r="H948" s="17">
        <v>-4.3581874406139224E-3</v>
      </c>
      <c r="I948" s="17">
        <v>-2.2639217061545432E-3</v>
      </c>
      <c r="J948" s="13"/>
      <c r="K948" s="17"/>
      <c r="L948" s="17"/>
      <c r="M948" s="17"/>
      <c r="N948" s="17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</row>
    <row r="949" spans="5:25" ht="15" customHeight="1" x14ac:dyDescent="0.25">
      <c r="E949" s="15">
        <v>40870</v>
      </c>
      <c r="F949" s="13">
        <v>1161.79</v>
      </c>
      <c r="G949" s="13">
        <v>570.11</v>
      </c>
      <c r="H949" s="17">
        <v>-2.231251221161391E-2</v>
      </c>
      <c r="I949" s="17">
        <v>-1.7697578573799489E-2</v>
      </c>
      <c r="J949" s="13"/>
      <c r="K949" s="17"/>
      <c r="L949" s="17"/>
      <c r="M949" s="17"/>
      <c r="N949" s="17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</row>
    <row r="950" spans="5:25" ht="15" customHeight="1" x14ac:dyDescent="0.25">
      <c r="E950" s="15">
        <v>40872</v>
      </c>
      <c r="F950" s="13">
        <v>1158.67</v>
      </c>
      <c r="G950" s="13">
        <v>563</v>
      </c>
      <c r="H950" s="17">
        <v>-2.9028077132056346E-3</v>
      </c>
      <c r="I950" s="17">
        <v>-1.3117131908636869E-2</v>
      </c>
      <c r="J950" s="13"/>
      <c r="K950" s="17"/>
      <c r="L950" s="17"/>
      <c r="M950" s="17"/>
      <c r="N950" s="17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</row>
    <row r="951" spans="5:25" ht="15" customHeight="1" x14ac:dyDescent="0.25">
      <c r="E951" s="15">
        <v>40875</v>
      </c>
      <c r="F951" s="13">
        <v>1192.55</v>
      </c>
      <c r="G951" s="13">
        <v>588.19000000000005</v>
      </c>
      <c r="H951" s="17">
        <v>2.9023125645912324E-2</v>
      </c>
      <c r="I951" s="17">
        <v>4.4096596718660855E-2</v>
      </c>
      <c r="J951" s="13"/>
      <c r="K951" s="17"/>
      <c r="L951" s="17"/>
      <c r="M951" s="17"/>
      <c r="N951" s="17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</row>
    <row r="952" spans="5:25" ht="15" customHeight="1" x14ac:dyDescent="0.25">
      <c r="E952" s="15">
        <v>40876</v>
      </c>
      <c r="F952" s="13">
        <v>1195.19</v>
      </c>
      <c r="G952" s="13">
        <v>582.92999999999995</v>
      </c>
      <c r="H952" s="17">
        <v>1.9964470962376387E-3</v>
      </c>
      <c r="I952" s="17">
        <v>-9.5885430228896552E-3</v>
      </c>
      <c r="J952" s="13"/>
      <c r="K952" s="17"/>
      <c r="L952" s="17"/>
      <c r="M952" s="17"/>
      <c r="N952" s="17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</row>
    <row r="953" spans="5:25" ht="15" customHeight="1" x14ac:dyDescent="0.25">
      <c r="E953" s="15">
        <v>40877</v>
      </c>
      <c r="F953" s="13">
        <v>1246.96</v>
      </c>
      <c r="G953" s="13">
        <v>599.39</v>
      </c>
      <c r="H953" s="17">
        <v>4.3097992220227498E-2</v>
      </c>
      <c r="I953" s="17">
        <v>2.7590812059251027E-2</v>
      </c>
      <c r="J953" s="13"/>
      <c r="K953" s="17"/>
      <c r="L953" s="17"/>
      <c r="M953" s="17"/>
      <c r="N953" s="17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</row>
    <row r="954" spans="5:25" ht="15" customHeight="1" x14ac:dyDescent="0.25">
      <c r="E954" s="15">
        <v>40878</v>
      </c>
      <c r="F954" s="13">
        <v>1244.58</v>
      </c>
      <c r="G954" s="13">
        <v>613.77</v>
      </c>
      <c r="H954" s="17">
        <v>-2.1259383792078708E-3</v>
      </c>
      <c r="I954" s="17">
        <v>2.3345203139332998E-2</v>
      </c>
      <c r="J954" s="13"/>
      <c r="K954" s="17"/>
      <c r="L954" s="17"/>
      <c r="M954" s="17"/>
      <c r="N954" s="17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</row>
    <row r="955" spans="5:25" ht="15" customHeight="1" x14ac:dyDescent="0.25">
      <c r="E955" s="15">
        <v>40879</v>
      </c>
      <c r="F955" s="13">
        <v>1244.28</v>
      </c>
      <c r="G955" s="13">
        <v>620.36</v>
      </c>
      <c r="H955" s="17">
        <v>-4.5834173417438055E-4</v>
      </c>
      <c r="I955" s="17">
        <v>1.009106656059602E-2</v>
      </c>
      <c r="J955" s="13"/>
      <c r="K955" s="17"/>
      <c r="L955" s="17"/>
      <c r="M955" s="17"/>
      <c r="N955" s="17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</row>
    <row r="956" spans="5:25" ht="15" customHeight="1" x14ac:dyDescent="0.25">
      <c r="E956" s="15">
        <v>40882</v>
      </c>
      <c r="F956" s="13">
        <v>1257.08</v>
      </c>
      <c r="G956" s="13">
        <v>625.65</v>
      </c>
      <c r="H956" s="17">
        <v>1.0069777086708732E-2</v>
      </c>
      <c r="I956" s="17">
        <v>7.88145228925889E-3</v>
      </c>
      <c r="J956" s="13"/>
      <c r="K956" s="17"/>
      <c r="L956" s="17"/>
      <c r="M956" s="17"/>
      <c r="N956" s="17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</row>
    <row r="957" spans="5:25" ht="15" customHeight="1" x14ac:dyDescent="0.25">
      <c r="E957" s="15">
        <v>40883</v>
      </c>
      <c r="F957" s="13">
        <v>1258.47</v>
      </c>
      <c r="G957" s="13">
        <v>623.77</v>
      </c>
      <c r="H957" s="17">
        <v>8.8844054272789702E-4</v>
      </c>
      <c r="I957" s="17">
        <v>-3.6507293659411794E-3</v>
      </c>
      <c r="J957" s="13"/>
      <c r="K957" s="17"/>
      <c r="L957" s="17"/>
      <c r="M957" s="17"/>
      <c r="N957" s="17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</row>
    <row r="958" spans="5:25" ht="15" customHeight="1" x14ac:dyDescent="0.25">
      <c r="E958" s="15">
        <v>40884</v>
      </c>
      <c r="F958" s="13">
        <v>1261.01</v>
      </c>
      <c r="G958" s="13">
        <v>623.39</v>
      </c>
      <c r="H958" s="17">
        <v>1.801027275366735E-3</v>
      </c>
      <c r="I958" s="17">
        <v>-1.2550533393104288E-3</v>
      </c>
      <c r="J958" s="13"/>
      <c r="K958" s="17"/>
      <c r="L958" s="17"/>
      <c r="M958" s="17"/>
      <c r="N958" s="17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</row>
    <row r="959" spans="5:25" ht="15" customHeight="1" x14ac:dyDescent="0.25">
      <c r="E959" s="15">
        <v>40885</v>
      </c>
      <c r="F959" s="13">
        <v>1234.3499999999999</v>
      </c>
      <c r="G959" s="13">
        <v>616.04999999999995</v>
      </c>
      <c r="H959" s="17">
        <v>-2.1359079736114301E-2</v>
      </c>
      <c r="I959" s="17">
        <v>-1.242018511168937E-2</v>
      </c>
      <c r="J959" s="13"/>
      <c r="K959" s="17"/>
      <c r="L959" s="17"/>
      <c r="M959" s="17"/>
      <c r="N959" s="17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</row>
    <row r="960" spans="5:25" ht="15" customHeight="1" x14ac:dyDescent="0.25">
      <c r="E960" s="15">
        <v>40886</v>
      </c>
      <c r="F960" s="13">
        <v>1255.19</v>
      </c>
      <c r="G960" s="13">
        <v>627.41999999999996</v>
      </c>
      <c r="H960" s="17">
        <v>1.6666083354246099E-2</v>
      </c>
      <c r="I960" s="17">
        <v>1.7810439696101354E-2</v>
      </c>
      <c r="J960" s="13"/>
      <c r="K960" s="17"/>
      <c r="L960" s="17"/>
      <c r="M960" s="17"/>
      <c r="N960" s="17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</row>
    <row r="961" spans="5:25" ht="15" customHeight="1" x14ac:dyDescent="0.25">
      <c r="E961" s="15">
        <v>40889</v>
      </c>
      <c r="F961" s="13">
        <v>1236.47</v>
      </c>
      <c r="G961" s="13">
        <v>625.39</v>
      </c>
      <c r="H961" s="17">
        <v>-1.5131373315629387E-2</v>
      </c>
      <c r="I961" s="17">
        <v>-3.8813266873108702E-3</v>
      </c>
      <c r="J961" s="13"/>
      <c r="K961" s="17"/>
      <c r="L961" s="17"/>
      <c r="M961" s="17"/>
      <c r="N961" s="17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</row>
    <row r="962" spans="5:25" ht="15" customHeight="1" x14ac:dyDescent="0.25">
      <c r="E962" s="15">
        <v>40890</v>
      </c>
      <c r="F962" s="13">
        <v>1225.73</v>
      </c>
      <c r="G962" s="13">
        <v>625.63</v>
      </c>
      <c r="H962" s="17">
        <v>-8.903314015219474E-3</v>
      </c>
      <c r="I962" s="17">
        <v>-2.6209390244131354E-4</v>
      </c>
      <c r="J962" s="13"/>
      <c r="K962" s="17"/>
      <c r="L962" s="17"/>
      <c r="M962" s="17"/>
      <c r="N962" s="17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</row>
    <row r="963" spans="5:25" ht="15" customHeight="1" x14ac:dyDescent="0.25">
      <c r="E963" s="15">
        <v>40891</v>
      </c>
      <c r="F963" s="13">
        <v>1211.82</v>
      </c>
      <c r="G963" s="13">
        <v>618.07000000000005</v>
      </c>
      <c r="H963" s="17">
        <v>-1.1565635919263805E-2</v>
      </c>
      <c r="I963" s="17">
        <v>-1.2729673945802442E-2</v>
      </c>
      <c r="J963" s="13"/>
      <c r="K963" s="17"/>
      <c r="L963" s="17"/>
      <c r="M963" s="17"/>
      <c r="N963" s="17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</row>
    <row r="964" spans="5:25" ht="15" customHeight="1" x14ac:dyDescent="0.25">
      <c r="E964" s="15">
        <v>40892</v>
      </c>
      <c r="F964" s="13">
        <v>1215.75</v>
      </c>
      <c r="G964" s="13">
        <v>619.54</v>
      </c>
      <c r="H964" s="17">
        <v>3.0257593370818254E-3</v>
      </c>
      <c r="I964" s="17">
        <v>1.7325169460138561E-3</v>
      </c>
      <c r="J964" s="13"/>
      <c r="K964" s="17"/>
      <c r="L964" s="17"/>
      <c r="M964" s="17"/>
      <c r="N964" s="17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</row>
    <row r="965" spans="5:25" ht="15" customHeight="1" x14ac:dyDescent="0.25">
      <c r="E965" s="15">
        <v>40893</v>
      </c>
      <c r="F965" s="13">
        <v>1219.6600000000001</v>
      </c>
      <c r="G965" s="13">
        <v>625.96</v>
      </c>
      <c r="H965" s="17">
        <v>2.9988251732450118E-3</v>
      </c>
      <c r="I965" s="17">
        <v>9.7166726003196854E-3</v>
      </c>
      <c r="J965" s="13"/>
      <c r="K965" s="17"/>
      <c r="L965" s="17"/>
      <c r="M965" s="17"/>
      <c r="N965" s="17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</row>
    <row r="966" spans="5:25" ht="15" customHeight="1" x14ac:dyDescent="0.25">
      <c r="E966" s="15">
        <v>40896</v>
      </c>
      <c r="F966" s="13">
        <v>1205.3499999999999</v>
      </c>
      <c r="G966" s="13">
        <v>621.83000000000004</v>
      </c>
      <c r="H966" s="17">
        <v>-1.1950074549617112E-2</v>
      </c>
      <c r="I966" s="17">
        <v>-7.243720114186559E-3</v>
      </c>
      <c r="J966" s="13"/>
      <c r="K966" s="17"/>
      <c r="L966" s="17"/>
      <c r="M966" s="17"/>
      <c r="N966" s="17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</row>
    <row r="967" spans="5:25" ht="15" customHeight="1" x14ac:dyDescent="0.25">
      <c r="E967" s="15">
        <v>40897</v>
      </c>
      <c r="F967" s="13">
        <v>1241.3</v>
      </c>
      <c r="G967" s="13">
        <v>630.37</v>
      </c>
      <c r="H967" s="17">
        <v>2.9608065365761514E-2</v>
      </c>
      <c r="I967" s="17">
        <v>1.3087802672987665E-2</v>
      </c>
      <c r="J967" s="13"/>
      <c r="K967" s="17"/>
      <c r="L967" s="17"/>
      <c r="M967" s="17"/>
      <c r="N967" s="17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</row>
    <row r="968" spans="5:25" ht="15" customHeight="1" x14ac:dyDescent="0.25">
      <c r="E968" s="15">
        <v>40898</v>
      </c>
      <c r="F968" s="13">
        <v>1243.72</v>
      </c>
      <c r="G968" s="13">
        <v>625.82000000000005</v>
      </c>
      <c r="H968" s="17">
        <v>1.732272437932509E-3</v>
      </c>
      <c r="I968" s="17">
        <v>-7.8638375251652171E-3</v>
      </c>
      <c r="J968" s="13"/>
      <c r="K968" s="17"/>
      <c r="L968" s="17"/>
      <c r="M968" s="17"/>
      <c r="N968" s="17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</row>
    <row r="969" spans="5:25" ht="15" customHeight="1" x14ac:dyDescent="0.25">
      <c r="E969" s="15">
        <v>40899</v>
      </c>
      <c r="F969" s="13">
        <v>1254</v>
      </c>
      <c r="G969" s="13">
        <v>629.70000000000005</v>
      </c>
      <c r="H969" s="17">
        <v>8.0482294403280766E-3</v>
      </c>
      <c r="I969" s="17">
        <v>5.5540113402332992E-3</v>
      </c>
      <c r="J969" s="13"/>
      <c r="K969" s="17"/>
      <c r="L969" s="17"/>
      <c r="M969" s="17"/>
      <c r="N969" s="17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</row>
    <row r="970" spans="5:25" ht="15" customHeight="1" x14ac:dyDescent="0.25">
      <c r="E970" s="15">
        <v>40900</v>
      </c>
      <c r="F970" s="13">
        <v>1265.33</v>
      </c>
      <c r="G970" s="13">
        <v>633.14</v>
      </c>
      <c r="H970" s="17">
        <v>8.817791156989073E-3</v>
      </c>
      <c r="I970" s="17">
        <v>4.8170644143776939E-3</v>
      </c>
      <c r="J970" s="13"/>
      <c r="K970" s="17"/>
      <c r="L970" s="17"/>
      <c r="M970" s="17"/>
      <c r="N970" s="17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</row>
    <row r="971" spans="5:25" ht="15" customHeight="1" x14ac:dyDescent="0.25">
      <c r="E971" s="15">
        <v>40904</v>
      </c>
      <c r="F971" s="13">
        <v>1265.43</v>
      </c>
      <c r="G971" s="13">
        <v>640.25</v>
      </c>
      <c r="H971" s="17">
        <v>-1.3826579563170548E-4</v>
      </c>
      <c r="I971" s="17">
        <v>1.0583889380665013E-2</v>
      </c>
      <c r="J971" s="13"/>
      <c r="K971" s="17"/>
      <c r="L971" s="17"/>
      <c r="M971" s="17"/>
      <c r="N971" s="17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</row>
    <row r="972" spans="5:25" ht="15" customHeight="1" x14ac:dyDescent="0.25">
      <c r="E972" s="15">
        <v>40905</v>
      </c>
      <c r="F972" s="13">
        <v>1249.6400000000001</v>
      </c>
      <c r="G972" s="13">
        <v>639.70000000000005</v>
      </c>
      <c r="H972" s="17">
        <v>-1.2695268476994301E-2</v>
      </c>
      <c r="I972" s="17">
        <v>-1.5048938735880957E-3</v>
      </c>
      <c r="J972" s="13"/>
      <c r="K972" s="17"/>
      <c r="L972" s="17"/>
      <c r="M972" s="17"/>
      <c r="N972" s="17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</row>
    <row r="973" spans="5:25" ht="15" customHeight="1" x14ac:dyDescent="0.25">
      <c r="E973" s="15">
        <v>40906</v>
      </c>
      <c r="F973" s="13">
        <v>1263.02</v>
      </c>
      <c r="G973" s="13">
        <v>642.4</v>
      </c>
      <c r="H973" s="17">
        <v>1.0489787077779172E-2</v>
      </c>
      <c r="I973" s="17">
        <v>3.5748740306002025E-3</v>
      </c>
      <c r="J973" s="13"/>
      <c r="K973" s="17"/>
      <c r="L973" s="17"/>
      <c r="M973" s="17"/>
      <c r="N973" s="17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</row>
    <row r="974" spans="5:25" ht="15" customHeight="1" x14ac:dyDescent="0.25">
      <c r="E974" s="15">
        <v>40907</v>
      </c>
      <c r="F974" s="13">
        <v>1257.5999999999999</v>
      </c>
      <c r="G974" s="13">
        <v>645.9</v>
      </c>
      <c r="H974" s="17">
        <v>-4.5085983627557212E-3</v>
      </c>
      <c r="I974" s="17">
        <v>4.8024643686147336E-3</v>
      </c>
      <c r="J974" s="13"/>
      <c r="K974" s="17"/>
      <c r="L974" s="17"/>
      <c r="M974" s="17"/>
      <c r="N974" s="17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</row>
    <row r="975" spans="5:25" ht="15" customHeight="1" x14ac:dyDescent="0.25">
      <c r="E975" s="15">
        <v>40911</v>
      </c>
      <c r="F975" s="13">
        <v>1277.06</v>
      </c>
      <c r="G975" s="13">
        <v>665.41</v>
      </c>
      <c r="H975" s="17">
        <v>1.5256622012754441E-2</v>
      </c>
      <c r="I975" s="17">
        <v>2.9560059792340249E-2</v>
      </c>
      <c r="J975" s="13"/>
      <c r="K975" s="17"/>
      <c r="L975" s="17"/>
      <c r="M975" s="17"/>
      <c r="N975" s="17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</row>
    <row r="976" spans="5:25" ht="15" customHeight="1" x14ac:dyDescent="0.25">
      <c r="E976" s="15">
        <v>40912</v>
      </c>
      <c r="F976" s="13">
        <v>1277.3</v>
      </c>
      <c r="G976" s="13">
        <v>668.28</v>
      </c>
      <c r="H976" s="17">
        <v>-2.9364906787897573E-5</v>
      </c>
      <c r="I976" s="17">
        <v>3.6672758146537796E-3</v>
      </c>
      <c r="J976" s="13"/>
      <c r="K976" s="17"/>
      <c r="L976" s="17"/>
      <c r="M976" s="17"/>
      <c r="N976" s="17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</row>
    <row r="977" spans="5:25" ht="15" customHeight="1" x14ac:dyDescent="0.25">
      <c r="E977" s="15">
        <v>40913</v>
      </c>
      <c r="F977" s="13">
        <v>1281.06</v>
      </c>
      <c r="G977" s="13">
        <v>659.01</v>
      </c>
      <c r="H977" s="17">
        <v>2.7264128246790053E-3</v>
      </c>
      <c r="I977" s="17">
        <v>-1.4517285572517764E-2</v>
      </c>
      <c r="J977" s="13"/>
      <c r="K977" s="17"/>
      <c r="L977" s="17"/>
      <c r="M977" s="17"/>
      <c r="N977" s="17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</row>
    <row r="978" spans="5:25" ht="15" customHeight="1" x14ac:dyDescent="0.25">
      <c r="E978" s="15">
        <v>40914</v>
      </c>
      <c r="F978" s="13">
        <v>1277.81</v>
      </c>
      <c r="G978" s="13">
        <v>650.02</v>
      </c>
      <c r="H978" s="17">
        <v>-2.7542581410018182E-3</v>
      </c>
      <c r="I978" s="17">
        <v>-1.428752906903032E-2</v>
      </c>
      <c r="J978" s="13"/>
      <c r="K978" s="17"/>
      <c r="L978" s="17"/>
      <c r="M978" s="17"/>
      <c r="N978" s="17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</row>
    <row r="979" spans="5:25" ht="15" customHeight="1" x14ac:dyDescent="0.25">
      <c r="E979" s="15">
        <v>40917</v>
      </c>
      <c r="F979" s="13">
        <v>1280.7</v>
      </c>
      <c r="G979" s="13">
        <v>622.46</v>
      </c>
      <c r="H979" s="17">
        <v>2.0443855344031711E-3</v>
      </c>
      <c r="I979" s="17">
        <v>-4.3044549860624615E-2</v>
      </c>
      <c r="J979" s="13"/>
      <c r="K979" s="17"/>
      <c r="L979" s="17"/>
      <c r="M979" s="17"/>
      <c r="N979" s="17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</row>
    <row r="980" spans="5:25" ht="15" customHeight="1" x14ac:dyDescent="0.25">
      <c r="E980" s="15">
        <v>40918</v>
      </c>
      <c r="F980" s="13">
        <v>1292.08</v>
      </c>
      <c r="G980" s="13">
        <v>623.14</v>
      </c>
      <c r="H980" s="17">
        <v>8.6684690346300018E-3</v>
      </c>
      <c r="I980" s="17">
        <v>4.4658523897008883E-4</v>
      </c>
      <c r="J980" s="13"/>
      <c r="K980" s="17"/>
      <c r="L980" s="17"/>
      <c r="M980" s="17"/>
      <c r="N980" s="17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</row>
    <row r="981" spans="5:25" ht="15" customHeight="1" x14ac:dyDescent="0.25">
      <c r="E981" s="15">
        <v>40919</v>
      </c>
      <c r="F981" s="13">
        <v>1292.48</v>
      </c>
      <c r="G981" s="13">
        <v>625.96</v>
      </c>
      <c r="H981" s="17">
        <v>9.2281791972295652E-5</v>
      </c>
      <c r="I981" s="17">
        <v>3.8796133562809818E-3</v>
      </c>
      <c r="J981" s="13"/>
      <c r="K981" s="17"/>
      <c r="L981" s="17"/>
      <c r="M981" s="17"/>
      <c r="N981" s="17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</row>
    <row r="982" spans="5:25" ht="15" customHeight="1" x14ac:dyDescent="0.25">
      <c r="E982" s="15">
        <v>40920</v>
      </c>
      <c r="F982" s="13">
        <v>1295.5</v>
      </c>
      <c r="G982" s="13">
        <v>629.64</v>
      </c>
      <c r="H982" s="17">
        <v>2.1192966538334367E-3</v>
      </c>
      <c r="I982" s="17">
        <v>5.2331154663617192E-3</v>
      </c>
      <c r="J982" s="13"/>
      <c r="K982" s="17"/>
      <c r="L982" s="17"/>
      <c r="M982" s="17"/>
      <c r="N982" s="17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</row>
    <row r="983" spans="5:25" ht="15" customHeight="1" x14ac:dyDescent="0.25">
      <c r="E983" s="15">
        <v>40921</v>
      </c>
      <c r="F983" s="13">
        <v>1289.0899999999999</v>
      </c>
      <c r="G983" s="13">
        <v>624.99</v>
      </c>
      <c r="H983" s="17">
        <v>-5.1651931273419792E-3</v>
      </c>
      <c r="I983" s="17">
        <v>-8.0310269153805579E-3</v>
      </c>
      <c r="J983" s="13"/>
      <c r="K983" s="17"/>
      <c r="L983" s="17"/>
      <c r="M983" s="17"/>
      <c r="N983" s="17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</row>
    <row r="984" spans="5:25" ht="15" customHeight="1" x14ac:dyDescent="0.25">
      <c r="E984" s="15">
        <v>40925</v>
      </c>
      <c r="F984" s="13">
        <v>1293.67</v>
      </c>
      <c r="G984" s="13">
        <v>628.58000000000004</v>
      </c>
      <c r="H984" s="17">
        <v>3.335597339590617E-3</v>
      </c>
      <c r="I984" s="17">
        <v>5.0982374696020329E-3</v>
      </c>
      <c r="J984" s="13"/>
      <c r="K984" s="17"/>
      <c r="L984" s="17"/>
      <c r="M984" s="17"/>
      <c r="N984" s="17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</row>
    <row r="985" spans="5:25" ht="15" customHeight="1" x14ac:dyDescent="0.25">
      <c r="E985" s="15">
        <v>40926</v>
      </c>
      <c r="F985" s="13">
        <v>1308.04</v>
      </c>
      <c r="G985" s="13">
        <v>632.91</v>
      </c>
      <c r="H985" s="17">
        <v>1.0890636681872111E-2</v>
      </c>
      <c r="I985" s="17">
        <v>6.2426879930984232E-3</v>
      </c>
      <c r="J985" s="13"/>
      <c r="K985" s="17"/>
      <c r="L985" s="17"/>
      <c r="M985" s="17"/>
      <c r="N985" s="17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</row>
    <row r="986" spans="5:25" ht="15" customHeight="1" x14ac:dyDescent="0.25">
      <c r="E986" s="15">
        <v>40927</v>
      </c>
      <c r="F986" s="13">
        <v>1314.5</v>
      </c>
      <c r="G986" s="13">
        <v>639.57000000000005</v>
      </c>
      <c r="H986" s="17">
        <v>4.7213903279999924E-3</v>
      </c>
      <c r="I986" s="17">
        <v>9.8769687143424757E-3</v>
      </c>
      <c r="J986" s="13"/>
      <c r="K986" s="17"/>
      <c r="L986" s="17"/>
      <c r="M986" s="17"/>
      <c r="N986" s="17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</row>
    <row r="987" spans="5:25" ht="15" customHeight="1" x14ac:dyDescent="0.25">
      <c r="E987" s="15">
        <v>40928</v>
      </c>
      <c r="F987" s="13">
        <v>1315.38</v>
      </c>
      <c r="G987" s="13">
        <v>585.99</v>
      </c>
      <c r="H987" s="17">
        <v>4.5215950463643371E-4</v>
      </c>
      <c r="I987" s="17">
        <v>-8.4420890788417829E-2</v>
      </c>
      <c r="J987" s="13"/>
      <c r="K987" s="17"/>
      <c r="L987" s="17"/>
      <c r="M987" s="17"/>
      <c r="N987" s="17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</row>
    <row r="988" spans="5:25" ht="15" customHeight="1" x14ac:dyDescent="0.25">
      <c r="E988" s="15">
        <v>40931</v>
      </c>
      <c r="F988" s="13">
        <v>1316</v>
      </c>
      <c r="G988" s="13">
        <v>585.52</v>
      </c>
      <c r="H988" s="17">
        <v>2.5405012077860388E-4</v>
      </c>
      <c r="I988" s="17">
        <v>-1.4479159044941995E-3</v>
      </c>
      <c r="J988" s="13"/>
      <c r="K988" s="17"/>
      <c r="L988" s="17"/>
      <c r="M988" s="17"/>
      <c r="N988" s="17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</row>
    <row r="989" spans="5:25" ht="15" customHeight="1" x14ac:dyDescent="0.25">
      <c r="E989" s="15">
        <v>40932</v>
      </c>
      <c r="F989" s="13">
        <v>1314.65</v>
      </c>
      <c r="G989" s="13">
        <v>580.92999999999995</v>
      </c>
      <c r="H989" s="17">
        <v>-1.2431324285705713E-3</v>
      </c>
      <c r="I989" s="17">
        <v>-8.485040116972431E-3</v>
      </c>
      <c r="J989" s="13"/>
      <c r="K989" s="17"/>
      <c r="L989" s="17"/>
      <c r="M989" s="17"/>
      <c r="N989" s="17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</row>
    <row r="990" spans="5:25" ht="15" customHeight="1" x14ac:dyDescent="0.25">
      <c r="E990" s="15">
        <v>40933</v>
      </c>
      <c r="F990" s="13">
        <v>1326.06</v>
      </c>
      <c r="G990" s="13">
        <v>569.49</v>
      </c>
      <c r="H990" s="17">
        <v>8.4618195522460325E-3</v>
      </c>
      <c r="I990" s="17">
        <v>-2.033841636243448E-2</v>
      </c>
      <c r="J990" s="13"/>
      <c r="K990" s="17"/>
      <c r="L990" s="17"/>
      <c r="M990" s="17"/>
      <c r="N990" s="17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</row>
    <row r="991" spans="5:25" ht="15" customHeight="1" x14ac:dyDescent="0.25">
      <c r="E991" s="15">
        <v>40934</v>
      </c>
      <c r="F991" s="13">
        <v>1318.43</v>
      </c>
      <c r="G991" s="13">
        <v>568.1</v>
      </c>
      <c r="H991" s="17">
        <v>-5.9711840183820511E-3</v>
      </c>
      <c r="I991" s="17">
        <v>-3.0866347831967661E-3</v>
      </c>
      <c r="J991" s="13"/>
      <c r="K991" s="17"/>
      <c r="L991" s="17"/>
      <c r="M991" s="17"/>
      <c r="N991" s="17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</row>
    <row r="992" spans="5:25" ht="15" customHeight="1" x14ac:dyDescent="0.25">
      <c r="E992" s="15">
        <v>40935</v>
      </c>
      <c r="F992" s="13">
        <v>1316.33</v>
      </c>
      <c r="G992" s="13">
        <v>579.98</v>
      </c>
      <c r="H992" s="17">
        <v>-1.8101001241213285E-3</v>
      </c>
      <c r="I992" s="17">
        <v>2.0265956864958867E-2</v>
      </c>
      <c r="J992" s="13"/>
      <c r="K992" s="17"/>
      <c r="L992" s="17"/>
      <c r="M992" s="17"/>
      <c r="N992" s="17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</row>
    <row r="993" spans="5:25" ht="15" customHeight="1" x14ac:dyDescent="0.25">
      <c r="E993" s="15">
        <v>40938</v>
      </c>
      <c r="F993" s="13">
        <v>1313.01</v>
      </c>
      <c r="G993" s="13">
        <v>577.69000000000005</v>
      </c>
      <c r="H993" s="17">
        <v>-2.7394604573810779E-3</v>
      </c>
      <c r="I993" s="17">
        <v>-4.5942664500758417E-3</v>
      </c>
      <c r="J993" s="13"/>
      <c r="K993" s="17"/>
      <c r="L993" s="17"/>
      <c r="M993" s="17"/>
      <c r="N993" s="17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</row>
    <row r="994" spans="5:25" ht="15" customHeight="1" x14ac:dyDescent="0.25">
      <c r="E994" s="15">
        <v>40939</v>
      </c>
      <c r="F994" s="13">
        <v>1312.41</v>
      </c>
      <c r="G994" s="13">
        <v>580.11</v>
      </c>
      <c r="H994" s="17">
        <v>-6.7426185579513279E-4</v>
      </c>
      <c r="I994" s="17">
        <v>3.5432435232445642E-3</v>
      </c>
      <c r="J994" s="13"/>
      <c r="K994" s="17"/>
      <c r="L994" s="17"/>
      <c r="M994" s="17"/>
      <c r="N994" s="17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</row>
    <row r="995" spans="5:25" ht="15" customHeight="1" x14ac:dyDescent="0.25">
      <c r="E995" s="15">
        <v>40940</v>
      </c>
      <c r="F995" s="13">
        <v>1324.09</v>
      </c>
      <c r="G995" s="13">
        <v>580.83000000000004</v>
      </c>
      <c r="H995" s="17">
        <v>8.6823613189931648E-3</v>
      </c>
      <c r="I995" s="17">
        <v>5.9528948511204877E-4</v>
      </c>
      <c r="J995" s="13"/>
      <c r="K995" s="17"/>
      <c r="L995" s="17"/>
      <c r="M995" s="17"/>
      <c r="N995" s="17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</row>
    <row r="996" spans="5:25" ht="15" customHeight="1" x14ac:dyDescent="0.25">
      <c r="E996" s="15">
        <v>40941</v>
      </c>
      <c r="F996" s="13">
        <v>1325.54</v>
      </c>
      <c r="G996" s="13">
        <v>585.11</v>
      </c>
      <c r="H996" s="17">
        <v>8.7779516106310535E-4</v>
      </c>
      <c r="I996" s="17">
        <v>6.7229109515943141E-3</v>
      </c>
      <c r="J996" s="13"/>
      <c r="K996" s="17"/>
      <c r="L996" s="17"/>
      <c r="M996" s="17"/>
      <c r="N996" s="17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</row>
    <row r="997" spans="5:25" ht="15" customHeight="1" x14ac:dyDescent="0.25">
      <c r="E997" s="15">
        <v>40942</v>
      </c>
      <c r="F997" s="13">
        <v>1344.9</v>
      </c>
      <c r="G997" s="13">
        <v>596.33000000000004</v>
      </c>
      <c r="H997" s="17">
        <v>1.4388071815861233E-2</v>
      </c>
      <c r="I997" s="17">
        <v>1.8530027022318894E-2</v>
      </c>
      <c r="J997" s="13"/>
      <c r="K997" s="17"/>
      <c r="L997" s="17"/>
      <c r="M997" s="17"/>
      <c r="N997" s="17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</row>
    <row r="998" spans="5:25" ht="15" customHeight="1" x14ac:dyDescent="0.25">
      <c r="E998" s="15">
        <v>40945</v>
      </c>
      <c r="F998" s="13">
        <v>1344.33</v>
      </c>
      <c r="G998" s="13">
        <v>609.09</v>
      </c>
      <c r="H998" s="17">
        <v>-6.4111989489895669E-4</v>
      </c>
      <c r="I998" s="17">
        <v>2.0751693901461546E-2</v>
      </c>
      <c r="J998" s="13"/>
      <c r="K998" s="17"/>
      <c r="L998" s="17"/>
      <c r="M998" s="17"/>
      <c r="N998" s="17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</row>
    <row r="999" spans="5:25" ht="15" customHeight="1" x14ac:dyDescent="0.25">
      <c r="E999" s="15">
        <v>40946</v>
      </c>
      <c r="F999" s="13">
        <v>1347.05</v>
      </c>
      <c r="G999" s="13">
        <v>606.77</v>
      </c>
      <c r="H999" s="17">
        <v>1.8060161659643908E-3</v>
      </c>
      <c r="I999" s="17">
        <v>-4.4548153447653343E-3</v>
      </c>
      <c r="J999" s="13"/>
      <c r="K999" s="17"/>
      <c r="L999" s="17"/>
      <c r="M999" s="17"/>
      <c r="N999" s="17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</row>
    <row r="1000" spans="5:25" ht="15" customHeight="1" x14ac:dyDescent="0.25">
      <c r="E1000" s="15">
        <v>40947</v>
      </c>
      <c r="F1000" s="13">
        <v>1349.96</v>
      </c>
      <c r="G1000" s="13">
        <v>609.85</v>
      </c>
      <c r="H1000" s="17">
        <v>1.9429795967049694E-3</v>
      </c>
      <c r="I1000" s="17">
        <v>4.4302040376882467E-3</v>
      </c>
      <c r="J1000" s="13"/>
      <c r="K1000" s="17"/>
      <c r="L1000" s="17"/>
      <c r="M1000" s="17"/>
      <c r="N1000" s="17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</row>
    <row r="1001" spans="5:25" ht="15" customHeight="1" x14ac:dyDescent="0.25">
      <c r="E1001" s="15">
        <v>40948</v>
      </c>
      <c r="F1001" s="13">
        <v>1351.95</v>
      </c>
      <c r="G1001" s="13">
        <v>611.46</v>
      </c>
      <c r="H1001" s="17">
        <v>1.2568211893279125E-3</v>
      </c>
      <c r="I1001" s="17">
        <v>1.9941390051416296E-3</v>
      </c>
      <c r="J1001" s="13"/>
      <c r="K1001" s="17"/>
      <c r="L1001" s="17"/>
      <c r="M1001" s="17"/>
      <c r="N1001" s="17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</row>
    <row r="1002" spans="5:25" ht="15" customHeight="1" x14ac:dyDescent="0.25">
      <c r="E1002" s="15">
        <v>40949</v>
      </c>
      <c r="F1002" s="13">
        <v>1342.64</v>
      </c>
      <c r="G1002" s="13">
        <v>605.91</v>
      </c>
      <c r="H1002" s="17">
        <v>-7.1036459095483468E-3</v>
      </c>
      <c r="I1002" s="17">
        <v>-9.7224906835379678E-3</v>
      </c>
      <c r="J1002" s="13"/>
      <c r="K1002" s="17"/>
      <c r="L1002" s="17"/>
      <c r="M1002" s="17"/>
      <c r="N1002" s="17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</row>
    <row r="1003" spans="5:25" ht="15" customHeight="1" x14ac:dyDescent="0.25">
      <c r="E1003" s="15">
        <v>40952</v>
      </c>
      <c r="F1003" s="13">
        <v>1351.77</v>
      </c>
      <c r="G1003" s="13">
        <v>612.20000000000005</v>
      </c>
      <c r="H1003" s="17">
        <v>6.5827391881526044E-3</v>
      </c>
      <c r="I1003" s="17">
        <v>9.7352252624365743E-3</v>
      </c>
      <c r="J1003" s="13"/>
      <c r="K1003" s="17"/>
      <c r="L1003" s="17"/>
      <c r="M1003" s="17"/>
      <c r="N1003" s="17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</row>
    <row r="1004" spans="5:25" ht="15" customHeight="1" x14ac:dyDescent="0.25">
      <c r="E1004" s="15">
        <v>40953</v>
      </c>
      <c r="F1004" s="13">
        <v>1350.5</v>
      </c>
      <c r="G1004" s="13">
        <v>609.76</v>
      </c>
      <c r="H1004" s="17">
        <v>-1.1568055024395207E-3</v>
      </c>
      <c r="I1004" s="17">
        <v>-4.6314800484133752E-3</v>
      </c>
      <c r="J1004" s="13"/>
      <c r="K1004" s="17"/>
      <c r="L1004" s="17"/>
      <c r="M1004" s="17"/>
      <c r="N1004" s="17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</row>
    <row r="1005" spans="5:25" ht="15" customHeight="1" x14ac:dyDescent="0.25">
      <c r="E1005" s="15">
        <v>40954</v>
      </c>
      <c r="F1005" s="13">
        <v>1343.23</v>
      </c>
      <c r="G1005" s="13">
        <v>605.55999999999995</v>
      </c>
      <c r="H1005" s="17">
        <v>-5.6004879728978442E-3</v>
      </c>
      <c r="I1005" s="17">
        <v>-7.5338103529505865E-3</v>
      </c>
      <c r="J1005" s="13"/>
      <c r="K1005" s="17"/>
      <c r="L1005" s="17"/>
      <c r="M1005" s="17"/>
      <c r="N1005" s="17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</row>
    <row r="1006" spans="5:25" ht="15" customHeight="1" x14ac:dyDescent="0.25">
      <c r="E1006" s="15">
        <v>40955</v>
      </c>
      <c r="F1006" s="13">
        <v>1358.04</v>
      </c>
      <c r="G1006" s="13">
        <v>606.52</v>
      </c>
      <c r="H1006" s="17">
        <v>1.0808365461320437E-2</v>
      </c>
      <c r="I1006" s="17">
        <v>9.3945502975014599E-4</v>
      </c>
      <c r="J1006" s="13"/>
      <c r="K1006" s="17"/>
      <c r="L1006" s="17"/>
      <c r="M1006" s="17"/>
      <c r="N1006" s="17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</row>
    <row r="1007" spans="5:25" ht="15" customHeight="1" x14ac:dyDescent="0.25">
      <c r="E1007" s="15">
        <v>40956</v>
      </c>
      <c r="F1007" s="13">
        <v>1361.23</v>
      </c>
      <c r="G1007" s="13">
        <v>604.64</v>
      </c>
      <c r="H1007" s="17">
        <v>2.1316769583529581E-3</v>
      </c>
      <c r="I1007" s="17">
        <v>-3.7455049008160248E-3</v>
      </c>
      <c r="J1007" s="13"/>
      <c r="K1007" s="17"/>
      <c r="L1007" s="17"/>
      <c r="M1007" s="17"/>
      <c r="N1007" s="17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</row>
    <row r="1008" spans="5:25" ht="15" customHeight="1" x14ac:dyDescent="0.25">
      <c r="E1008" s="15">
        <v>40960</v>
      </c>
      <c r="F1008" s="13">
        <v>1362.21</v>
      </c>
      <c r="G1008" s="13">
        <v>614</v>
      </c>
      <c r="H1008" s="17">
        <v>5.0264055338766008E-4</v>
      </c>
      <c r="I1008" s="17">
        <v>1.4834431354023051E-2</v>
      </c>
      <c r="J1008" s="13"/>
      <c r="K1008" s="17"/>
      <c r="L1008" s="17"/>
      <c r="M1008" s="17"/>
      <c r="N1008" s="17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</row>
    <row r="1009" spans="5:25" ht="15" customHeight="1" x14ac:dyDescent="0.25">
      <c r="E1009" s="15">
        <v>40961</v>
      </c>
      <c r="F1009" s="13">
        <v>1357.66</v>
      </c>
      <c r="G1009" s="13">
        <v>607.94000000000005</v>
      </c>
      <c r="H1009" s="17">
        <v>-3.5574570368321909E-3</v>
      </c>
      <c r="I1009" s="17">
        <v>-1.0515561276259335E-2</v>
      </c>
      <c r="J1009" s="13"/>
      <c r="K1009" s="17"/>
      <c r="L1009" s="17"/>
      <c r="M1009" s="17"/>
      <c r="N1009" s="17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</row>
    <row r="1010" spans="5:25" ht="15" customHeight="1" x14ac:dyDescent="0.25">
      <c r="E1010" s="15">
        <v>40962</v>
      </c>
      <c r="F1010" s="13">
        <v>1363.46</v>
      </c>
      <c r="G1010" s="13">
        <v>606.11</v>
      </c>
      <c r="H1010" s="17">
        <v>4.0547597699094979E-3</v>
      </c>
      <c r="I1010" s="17">
        <v>-3.6560199127247239E-3</v>
      </c>
      <c r="J1010" s="13"/>
      <c r="K1010" s="17"/>
      <c r="L1010" s="17"/>
      <c r="M1010" s="17"/>
      <c r="N1010" s="17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</row>
    <row r="1011" spans="5:25" ht="15" customHeight="1" x14ac:dyDescent="0.25">
      <c r="E1011" s="15">
        <v>40963</v>
      </c>
      <c r="F1011" s="13">
        <v>1365.74</v>
      </c>
      <c r="G1011" s="13">
        <v>609.9</v>
      </c>
      <c r="H1011" s="17">
        <v>1.4549197109955077E-3</v>
      </c>
      <c r="I1011" s="17">
        <v>5.6071359454154708E-3</v>
      </c>
      <c r="J1011" s="13"/>
      <c r="K1011" s="17"/>
      <c r="L1011" s="17"/>
      <c r="M1011" s="17"/>
      <c r="N1011" s="17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</row>
    <row r="1012" spans="5:25" ht="15" customHeight="1" x14ac:dyDescent="0.25">
      <c r="E1012" s="15">
        <v>40966</v>
      </c>
      <c r="F1012" s="13">
        <v>1367.59</v>
      </c>
      <c r="G1012" s="13">
        <v>609.30999999999995</v>
      </c>
      <c r="H1012" s="17">
        <v>1.1372804435631015E-3</v>
      </c>
      <c r="I1012" s="17">
        <v>-1.6132261361471892E-3</v>
      </c>
      <c r="J1012" s="13"/>
      <c r="K1012" s="17"/>
      <c r="L1012" s="17"/>
      <c r="M1012" s="17"/>
      <c r="N1012" s="17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</row>
    <row r="1013" spans="5:25" ht="15" customHeight="1" x14ac:dyDescent="0.25">
      <c r="E1013" s="15">
        <v>40967</v>
      </c>
      <c r="F1013" s="13">
        <v>1372.18</v>
      </c>
      <c r="G1013" s="13">
        <v>618.39</v>
      </c>
      <c r="H1013" s="17">
        <v>3.1389724949375166E-3</v>
      </c>
      <c r="I1013" s="17">
        <v>1.4256247942231364E-2</v>
      </c>
      <c r="J1013" s="13"/>
      <c r="K1013" s="17"/>
      <c r="L1013" s="17"/>
      <c r="M1013" s="17"/>
      <c r="N1013" s="17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</row>
    <row r="1014" spans="5:25" ht="15" customHeight="1" x14ac:dyDescent="0.25">
      <c r="E1014" s="15">
        <v>40968</v>
      </c>
      <c r="F1014" s="13">
        <v>1365.68</v>
      </c>
      <c r="G1014" s="13">
        <v>618.25</v>
      </c>
      <c r="H1014" s="17">
        <v>-4.954284421044907E-3</v>
      </c>
      <c r="I1014" s="17">
        <v>-8.7224878247819969E-4</v>
      </c>
      <c r="J1014" s="13"/>
      <c r="K1014" s="17"/>
      <c r="L1014" s="17"/>
      <c r="M1014" s="17"/>
      <c r="N1014" s="17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</row>
    <row r="1015" spans="5:25" ht="15" customHeight="1" x14ac:dyDescent="0.25">
      <c r="E1015" s="15">
        <v>40969</v>
      </c>
      <c r="F1015" s="13">
        <v>1374.09</v>
      </c>
      <c r="G1015" s="13">
        <v>622.4</v>
      </c>
      <c r="H1015" s="17">
        <v>5.9408078252486743E-3</v>
      </c>
      <c r="I1015" s="17">
        <v>6.0666405095419779E-3</v>
      </c>
      <c r="J1015" s="13"/>
      <c r="K1015" s="17"/>
      <c r="L1015" s="17"/>
      <c r="M1015" s="17"/>
      <c r="N1015" s="17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</row>
    <row r="1016" spans="5:25" ht="15" customHeight="1" x14ac:dyDescent="0.25">
      <c r="E1016" s="15">
        <v>40970</v>
      </c>
      <c r="F1016" s="13">
        <v>1369.63</v>
      </c>
      <c r="G1016" s="13">
        <v>621.25</v>
      </c>
      <c r="H1016" s="17">
        <v>-3.4630810451305315E-3</v>
      </c>
      <c r="I1016" s="17">
        <v>-2.4935408111897918E-3</v>
      </c>
      <c r="J1016" s="13"/>
      <c r="K1016" s="17"/>
      <c r="L1016" s="17"/>
      <c r="M1016" s="17"/>
      <c r="N1016" s="17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</row>
    <row r="1017" spans="5:25" ht="15" customHeight="1" x14ac:dyDescent="0.25">
      <c r="E1017" s="15">
        <v>40973</v>
      </c>
      <c r="F1017" s="13">
        <v>1364.33</v>
      </c>
      <c r="G1017" s="13">
        <v>614.25</v>
      </c>
      <c r="H1017" s="17">
        <v>-4.0869547911739036E-3</v>
      </c>
      <c r="I1017" s="17">
        <v>-1.1913460069671273E-2</v>
      </c>
      <c r="J1017" s="13"/>
      <c r="K1017" s="17"/>
      <c r="L1017" s="17"/>
      <c r="M1017" s="17"/>
      <c r="N1017" s="17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</row>
    <row r="1018" spans="5:25" ht="15" customHeight="1" x14ac:dyDescent="0.25">
      <c r="E1018" s="15">
        <v>40974</v>
      </c>
      <c r="F1018" s="13">
        <v>1343.36</v>
      </c>
      <c r="G1018" s="13">
        <v>604.96</v>
      </c>
      <c r="H1018" s="17">
        <v>-1.5587478263217313E-2</v>
      </c>
      <c r="I1018" s="17">
        <v>-1.576998956000358E-2</v>
      </c>
      <c r="J1018" s="13"/>
      <c r="K1018" s="17"/>
      <c r="L1018" s="17"/>
      <c r="M1018" s="17"/>
      <c r="N1018" s="17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</row>
    <row r="1019" spans="5:25" ht="15" customHeight="1" x14ac:dyDescent="0.25">
      <c r="E1019" s="15">
        <v>40975</v>
      </c>
      <c r="F1019" s="13">
        <v>1352.63</v>
      </c>
      <c r="G1019" s="13">
        <v>606.79999999999995</v>
      </c>
      <c r="H1019" s="17">
        <v>6.6833108698013564E-3</v>
      </c>
      <c r="I1019" s="17">
        <v>2.3956689706377604E-3</v>
      </c>
      <c r="J1019" s="13"/>
      <c r="K1019" s="17"/>
      <c r="L1019" s="17"/>
      <c r="M1019" s="17"/>
      <c r="N1019" s="17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</row>
    <row r="1020" spans="5:25" ht="15" customHeight="1" x14ac:dyDescent="0.25">
      <c r="E1020" s="15">
        <v>40976</v>
      </c>
      <c r="F1020" s="13">
        <v>1365.91</v>
      </c>
      <c r="G1020" s="13">
        <v>607.14</v>
      </c>
      <c r="H1020" s="17">
        <v>9.600613730971326E-3</v>
      </c>
      <c r="I1020" s="17">
        <v>-8.5538021893504431E-5</v>
      </c>
      <c r="J1020" s="13"/>
      <c r="K1020" s="17"/>
      <c r="L1020" s="17"/>
      <c r="M1020" s="17"/>
      <c r="N1020" s="17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</row>
    <row r="1021" spans="5:25" ht="15" customHeight="1" x14ac:dyDescent="0.25">
      <c r="E1021" s="15">
        <v>40977</v>
      </c>
      <c r="F1021" s="13">
        <v>1370.87</v>
      </c>
      <c r="G1021" s="13">
        <v>600.25</v>
      </c>
      <c r="H1021" s="17">
        <v>3.4139822188696749E-3</v>
      </c>
      <c r="I1021" s="17">
        <v>-1.1994143133697621E-2</v>
      </c>
      <c r="J1021" s="13"/>
      <c r="K1021" s="17"/>
      <c r="L1021" s="17"/>
      <c r="M1021" s="17"/>
      <c r="N1021" s="17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</row>
    <row r="1022" spans="5:25" ht="15" customHeight="1" x14ac:dyDescent="0.25">
      <c r="E1022" s="15">
        <v>40980</v>
      </c>
      <c r="F1022" s="13">
        <v>1371.09</v>
      </c>
      <c r="G1022" s="13">
        <v>605.15</v>
      </c>
      <c r="H1022" s="17">
        <v>-5.6814532649176063E-5</v>
      </c>
      <c r="I1022" s="17">
        <v>7.5174108702539943E-3</v>
      </c>
      <c r="J1022" s="13"/>
      <c r="K1022" s="17"/>
      <c r="L1022" s="17"/>
      <c r="M1022" s="17"/>
      <c r="N1022" s="17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</row>
    <row r="1023" spans="5:25" ht="15" customHeight="1" x14ac:dyDescent="0.25">
      <c r="E1023" s="15">
        <v>40981</v>
      </c>
      <c r="F1023" s="13">
        <v>1395.95</v>
      </c>
      <c r="G1023" s="13">
        <v>617.78</v>
      </c>
      <c r="H1023" s="17">
        <v>1.7914262999791056E-2</v>
      </c>
      <c r="I1023" s="17">
        <v>2.022500402897497E-2</v>
      </c>
      <c r="J1023" s="13"/>
      <c r="K1023" s="17"/>
      <c r="L1023" s="17"/>
      <c r="M1023" s="17"/>
      <c r="N1023" s="17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</row>
    <row r="1024" spans="5:25" ht="15" customHeight="1" x14ac:dyDescent="0.25">
      <c r="E1024" s="15">
        <v>40982</v>
      </c>
      <c r="F1024" s="13">
        <v>1394.28</v>
      </c>
      <c r="G1024" s="13">
        <v>615.99</v>
      </c>
      <c r="H1024" s="17">
        <v>-1.4136144820054372E-3</v>
      </c>
      <c r="I1024" s="17">
        <v>-3.5433260276972614E-3</v>
      </c>
      <c r="J1024" s="13"/>
      <c r="K1024" s="17"/>
      <c r="L1024" s="17"/>
      <c r="M1024" s="17"/>
      <c r="N1024" s="17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</row>
    <row r="1025" spans="5:25" ht="15" customHeight="1" x14ac:dyDescent="0.25">
      <c r="E1025" s="15">
        <v>40983</v>
      </c>
      <c r="F1025" s="13">
        <v>1402.6</v>
      </c>
      <c r="G1025" s="13">
        <v>621.13</v>
      </c>
      <c r="H1025" s="17">
        <v>5.749941008336608E-3</v>
      </c>
      <c r="I1025" s="17">
        <v>7.6984368675617962E-3</v>
      </c>
      <c r="J1025" s="13"/>
      <c r="K1025" s="17"/>
      <c r="L1025" s="17"/>
      <c r="M1025" s="17"/>
      <c r="N1025" s="17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</row>
    <row r="1026" spans="5:25" ht="15" customHeight="1" x14ac:dyDescent="0.25">
      <c r="E1026" s="15">
        <v>40984</v>
      </c>
      <c r="F1026" s="13">
        <v>1404.17</v>
      </c>
      <c r="G1026" s="13">
        <v>625.04</v>
      </c>
      <c r="H1026" s="17">
        <v>9.0205321667271784E-4</v>
      </c>
      <c r="I1026" s="17">
        <v>5.6491240710463617E-3</v>
      </c>
      <c r="J1026" s="13"/>
      <c r="K1026" s="17"/>
      <c r="L1026" s="17"/>
      <c r="M1026" s="17"/>
      <c r="N1026" s="17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</row>
    <row r="1027" spans="5:25" ht="15" customHeight="1" x14ac:dyDescent="0.25">
      <c r="E1027" s="15">
        <v>40987</v>
      </c>
      <c r="F1027" s="13">
        <v>1409.75</v>
      </c>
      <c r="G1027" s="13">
        <v>633.98</v>
      </c>
      <c r="H1027" s="17">
        <v>3.7565812445090902E-3</v>
      </c>
      <c r="I1027" s="17">
        <v>1.365723016671698E-2</v>
      </c>
      <c r="J1027" s="13"/>
      <c r="K1027" s="17"/>
      <c r="L1027" s="17"/>
      <c r="M1027" s="17"/>
      <c r="N1027" s="17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</row>
    <row r="1028" spans="5:25" ht="15" customHeight="1" x14ac:dyDescent="0.25">
      <c r="E1028" s="15">
        <v>40988</v>
      </c>
      <c r="F1028" s="13">
        <v>1405.52</v>
      </c>
      <c r="G1028" s="13">
        <v>633.49</v>
      </c>
      <c r="H1028" s="17">
        <v>-3.2178285715306664E-3</v>
      </c>
      <c r="I1028" s="17">
        <v>-1.4187494798761525E-3</v>
      </c>
      <c r="J1028" s="13"/>
      <c r="K1028" s="17"/>
      <c r="L1028" s="17"/>
      <c r="M1028" s="17"/>
      <c r="N1028" s="17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</row>
    <row r="1029" spans="5:25" ht="15" customHeight="1" x14ac:dyDescent="0.25">
      <c r="E1029" s="15">
        <v>40989</v>
      </c>
      <c r="F1029" s="13">
        <v>1402.89</v>
      </c>
      <c r="G1029" s="13">
        <v>639.98</v>
      </c>
      <c r="H1029" s="17">
        <v>-2.0884901419096057E-3</v>
      </c>
      <c r="I1029" s="17">
        <v>9.5989797367309563E-3</v>
      </c>
      <c r="J1029" s="13"/>
      <c r="K1029" s="17"/>
      <c r="L1029" s="17"/>
      <c r="M1029" s="17"/>
      <c r="N1029" s="17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</row>
    <row r="1030" spans="5:25" ht="15" customHeight="1" x14ac:dyDescent="0.25">
      <c r="E1030" s="15">
        <v>40990</v>
      </c>
      <c r="F1030" s="13">
        <v>1392.78</v>
      </c>
      <c r="G1030" s="13">
        <v>646.04999999999995</v>
      </c>
      <c r="H1030" s="17">
        <v>-7.4238487510053649E-3</v>
      </c>
      <c r="I1030" s="17">
        <v>8.8388169601126693E-3</v>
      </c>
      <c r="J1030" s="13"/>
      <c r="K1030" s="17"/>
      <c r="L1030" s="17"/>
      <c r="M1030" s="17"/>
      <c r="N1030" s="17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</row>
    <row r="1031" spans="5:25" ht="15" customHeight="1" x14ac:dyDescent="0.25">
      <c r="E1031" s="15">
        <v>40991</v>
      </c>
      <c r="F1031" s="13">
        <v>1397.11</v>
      </c>
      <c r="G1031" s="13">
        <v>642.59</v>
      </c>
      <c r="H1031" s="17">
        <v>2.8915935710930869E-3</v>
      </c>
      <c r="I1031" s="17">
        <v>-6.0014770656958687E-3</v>
      </c>
      <c r="J1031" s="13"/>
      <c r="K1031" s="17"/>
      <c r="L1031" s="17"/>
      <c r="M1031" s="17"/>
      <c r="N1031" s="17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</row>
    <row r="1032" spans="5:25" ht="15" customHeight="1" x14ac:dyDescent="0.25">
      <c r="E1032" s="15">
        <v>40994</v>
      </c>
      <c r="F1032" s="13">
        <v>1416.51</v>
      </c>
      <c r="G1032" s="13">
        <v>649.33000000000004</v>
      </c>
      <c r="H1032" s="17">
        <v>1.3668510568124365E-2</v>
      </c>
      <c r="I1032" s="17">
        <v>9.8429486889856505E-3</v>
      </c>
      <c r="J1032" s="13"/>
      <c r="K1032" s="17"/>
      <c r="L1032" s="17"/>
      <c r="M1032" s="17"/>
      <c r="N1032" s="17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</row>
    <row r="1033" spans="5:25" ht="15" customHeight="1" x14ac:dyDescent="0.25">
      <c r="E1033" s="15">
        <v>40995</v>
      </c>
      <c r="F1033" s="13">
        <v>1412.52</v>
      </c>
      <c r="G1033" s="13">
        <v>647.02</v>
      </c>
      <c r="H1033" s="17">
        <v>-3.034078653505141E-3</v>
      </c>
      <c r="I1033" s="17">
        <v>-4.2033675647859554E-3</v>
      </c>
      <c r="J1033" s="13"/>
      <c r="K1033" s="17"/>
      <c r="L1033" s="17"/>
      <c r="M1033" s="17"/>
      <c r="N1033" s="17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</row>
    <row r="1034" spans="5:25" ht="15" customHeight="1" x14ac:dyDescent="0.25">
      <c r="E1034" s="15">
        <v>40996</v>
      </c>
      <c r="F1034" s="13">
        <v>1405.54</v>
      </c>
      <c r="G1034" s="13">
        <v>655.76</v>
      </c>
      <c r="H1034" s="17">
        <v>-5.1588195141965805E-3</v>
      </c>
      <c r="I1034" s="17">
        <v>1.2862228776397007E-2</v>
      </c>
      <c r="J1034" s="13"/>
      <c r="K1034" s="17"/>
      <c r="L1034" s="17"/>
      <c r="M1034" s="17"/>
      <c r="N1034" s="17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</row>
    <row r="1035" spans="5:25" ht="15" customHeight="1" x14ac:dyDescent="0.25">
      <c r="E1035" s="15">
        <v>40997</v>
      </c>
      <c r="F1035" s="13">
        <v>1403.28</v>
      </c>
      <c r="G1035" s="13">
        <v>648.41</v>
      </c>
      <c r="H1035" s="17">
        <v>-1.8252194958436152E-3</v>
      </c>
      <c r="I1035" s="17">
        <v>-1.185422335132533E-2</v>
      </c>
      <c r="J1035" s="13"/>
      <c r="K1035" s="17"/>
      <c r="L1035" s="17"/>
      <c r="M1035" s="17"/>
      <c r="N1035" s="17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</row>
    <row r="1036" spans="5:25" ht="15" customHeight="1" x14ac:dyDescent="0.25">
      <c r="E1036" s="15">
        <v>40998</v>
      </c>
      <c r="F1036" s="13">
        <v>1408.47</v>
      </c>
      <c r="G1036" s="13">
        <v>641.24</v>
      </c>
      <c r="H1036" s="17">
        <v>3.4811812895806852E-3</v>
      </c>
      <c r="I1036" s="17">
        <v>-1.1703672791538479E-2</v>
      </c>
      <c r="J1036" s="13"/>
      <c r="K1036" s="17"/>
      <c r="L1036" s="17"/>
      <c r="M1036" s="17"/>
      <c r="N1036" s="17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</row>
    <row r="1037" spans="5:25" ht="15" customHeight="1" x14ac:dyDescent="0.25">
      <c r="E1037" s="15">
        <v>41001</v>
      </c>
      <c r="F1037" s="13">
        <v>1419.04</v>
      </c>
      <c r="G1037" s="13">
        <v>646.91999999999996</v>
      </c>
      <c r="H1037" s="17">
        <v>7.287300624709365E-3</v>
      </c>
      <c r="I1037" s="17">
        <v>8.2119835031247458E-3</v>
      </c>
      <c r="J1037" s="13"/>
      <c r="K1037" s="17"/>
      <c r="L1037" s="17"/>
      <c r="M1037" s="17"/>
      <c r="N1037" s="17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</row>
    <row r="1038" spans="5:25" ht="15" customHeight="1" x14ac:dyDescent="0.25">
      <c r="E1038" s="15">
        <v>41002</v>
      </c>
      <c r="F1038" s="13">
        <v>1413.38</v>
      </c>
      <c r="G1038" s="13">
        <v>642.62</v>
      </c>
      <c r="H1038" s="17">
        <v>-4.2059085817025658E-3</v>
      </c>
      <c r="I1038" s="17">
        <v>-7.2927350393433826E-3</v>
      </c>
      <c r="J1038" s="13"/>
      <c r="K1038" s="17"/>
      <c r="L1038" s="17"/>
      <c r="M1038" s="17"/>
      <c r="N1038" s="17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</row>
    <row r="1039" spans="5:25" ht="15" customHeight="1" x14ac:dyDescent="0.25">
      <c r="E1039" s="15">
        <v>41003</v>
      </c>
      <c r="F1039" s="13">
        <v>1398.96</v>
      </c>
      <c r="G1039" s="13">
        <v>635.15</v>
      </c>
      <c r="H1039" s="17">
        <v>-1.0419789876209186E-2</v>
      </c>
      <c r="I1039" s="17">
        <v>-1.2270142506578985E-2</v>
      </c>
      <c r="J1039" s="13"/>
      <c r="K1039" s="17"/>
      <c r="L1039" s="17"/>
      <c r="M1039" s="17"/>
      <c r="N1039" s="17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</row>
    <row r="1040" spans="5:25" ht="15" customHeight="1" x14ac:dyDescent="0.25">
      <c r="E1040" s="15">
        <v>41004</v>
      </c>
      <c r="F1040" s="13">
        <v>1398.08</v>
      </c>
      <c r="G1040" s="13">
        <v>632.32000000000005</v>
      </c>
      <c r="H1040" s="17">
        <v>-8.4633527678278195E-4</v>
      </c>
      <c r="I1040" s="17">
        <v>-5.1014948357739889E-3</v>
      </c>
      <c r="J1040" s="13"/>
      <c r="K1040" s="17"/>
      <c r="L1040" s="17"/>
      <c r="M1040" s="17"/>
      <c r="N1040" s="17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</row>
    <row r="1041" spans="5:25" ht="15" customHeight="1" x14ac:dyDescent="0.25">
      <c r="E1041" s="15">
        <v>41008</v>
      </c>
      <c r="F1041" s="13">
        <v>1382.2</v>
      </c>
      <c r="G1041" s="13">
        <v>630.84</v>
      </c>
      <c r="H1041" s="17">
        <v>-1.1575730986662572E-2</v>
      </c>
      <c r="I1041" s="17">
        <v>-2.9864414804028679E-3</v>
      </c>
      <c r="J1041" s="13"/>
      <c r="K1041" s="17"/>
      <c r="L1041" s="17"/>
      <c r="M1041" s="17"/>
      <c r="N1041" s="17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</row>
    <row r="1042" spans="5:25" ht="15" customHeight="1" x14ac:dyDescent="0.25">
      <c r="E1042" s="15">
        <v>41009</v>
      </c>
      <c r="F1042" s="13">
        <v>1358.59</v>
      </c>
      <c r="G1042" s="13">
        <v>626.86</v>
      </c>
      <c r="H1042" s="17">
        <v>-1.7298760894533163E-2</v>
      </c>
      <c r="I1042" s="17">
        <v>-6.9549026889912761E-3</v>
      </c>
      <c r="J1042" s="13"/>
      <c r="K1042" s="17"/>
      <c r="L1042" s="17"/>
      <c r="M1042" s="17"/>
      <c r="N1042" s="17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</row>
    <row r="1043" spans="5:25" ht="15" customHeight="1" x14ac:dyDescent="0.25">
      <c r="E1043" s="15">
        <v>41010</v>
      </c>
      <c r="F1043" s="13">
        <v>1368.71</v>
      </c>
      <c r="G1043" s="13">
        <v>635.96</v>
      </c>
      <c r="H1043" s="17">
        <v>7.2316026640946718E-3</v>
      </c>
      <c r="I1043" s="17">
        <v>1.387094357325639E-2</v>
      </c>
      <c r="J1043" s="13"/>
      <c r="K1043" s="17"/>
      <c r="L1043" s="17"/>
      <c r="M1043" s="17"/>
      <c r="N1043" s="17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</row>
    <row r="1044" spans="5:25" ht="15" customHeight="1" x14ac:dyDescent="0.25">
      <c r="E1044" s="15">
        <v>41011</v>
      </c>
      <c r="F1044" s="13">
        <v>1387.57</v>
      </c>
      <c r="G1044" s="13">
        <v>651.01</v>
      </c>
      <c r="H1044" s="17">
        <v>1.3562101557087924E-2</v>
      </c>
      <c r="I1044" s="17">
        <v>2.3019155942142742E-2</v>
      </c>
      <c r="J1044" s="13"/>
      <c r="K1044" s="17"/>
      <c r="L1044" s="17"/>
      <c r="M1044" s="17"/>
      <c r="N1044" s="17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</row>
    <row r="1045" spans="5:25" ht="15" customHeight="1" x14ac:dyDescent="0.25">
      <c r="E1045" s="15">
        <v>41012</v>
      </c>
      <c r="F1045" s="13">
        <v>1370.26</v>
      </c>
      <c r="G1045" s="13">
        <v>624.6</v>
      </c>
      <c r="H1045" s="17">
        <v>-1.2692342866279424E-2</v>
      </c>
      <c r="I1045" s="17">
        <v>-4.1213587650412012E-2</v>
      </c>
      <c r="J1045" s="13"/>
      <c r="K1045" s="17"/>
      <c r="L1045" s="17"/>
      <c r="M1045" s="17"/>
      <c r="N1045" s="17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</row>
    <row r="1046" spans="5:25" ht="15" customHeight="1" x14ac:dyDescent="0.25">
      <c r="E1046" s="15">
        <v>41015</v>
      </c>
      <c r="F1046" s="13">
        <v>1369.57</v>
      </c>
      <c r="G1046" s="13">
        <v>606.07000000000005</v>
      </c>
      <c r="H1046" s="17">
        <v>-7.2085063233967822E-4</v>
      </c>
      <c r="I1046" s="17">
        <v>-3.0312841307466282E-2</v>
      </c>
      <c r="J1046" s="13"/>
      <c r="K1046" s="17"/>
      <c r="L1046" s="17"/>
      <c r="M1046" s="17"/>
      <c r="N1046" s="17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</row>
    <row r="1047" spans="5:25" ht="15" customHeight="1" x14ac:dyDescent="0.25">
      <c r="E1047" s="15">
        <v>41016</v>
      </c>
      <c r="F1047" s="13">
        <v>1390.78</v>
      </c>
      <c r="G1047" s="13">
        <v>609.57000000000005</v>
      </c>
      <c r="H1047" s="17">
        <v>1.5269316024123066E-2</v>
      </c>
      <c r="I1047" s="17">
        <v>5.1290560530189676E-3</v>
      </c>
      <c r="J1047" s="13"/>
      <c r="K1047" s="17"/>
      <c r="L1047" s="17"/>
      <c r="M1047" s="17"/>
      <c r="N1047" s="17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</row>
    <row r="1048" spans="5:25" ht="15" customHeight="1" x14ac:dyDescent="0.25">
      <c r="E1048" s="15">
        <v>41017</v>
      </c>
      <c r="F1048" s="13">
        <v>1385.14</v>
      </c>
      <c r="G1048" s="13">
        <v>607.45000000000005</v>
      </c>
      <c r="H1048" s="17">
        <v>-4.2725748953309304E-3</v>
      </c>
      <c r="I1048" s="17">
        <v>-4.1237158791809538E-3</v>
      </c>
      <c r="J1048" s="13"/>
      <c r="K1048" s="17"/>
      <c r="L1048" s="17"/>
      <c r="M1048" s="17"/>
      <c r="N1048" s="17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</row>
    <row r="1049" spans="5:25" ht="15" customHeight="1" x14ac:dyDescent="0.25">
      <c r="E1049" s="15">
        <v>41018</v>
      </c>
      <c r="F1049" s="13">
        <v>1376.92</v>
      </c>
      <c r="G1049" s="13">
        <v>599.29999999999995</v>
      </c>
      <c r="H1049" s="17">
        <v>-6.1517147438648282E-3</v>
      </c>
      <c r="I1049" s="17">
        <v>-1.4062596554561352E-2</v>
      </c>
      <c r="J1049" s="13"/>
      <c r="K1049" s="17"/>
      <c r="L1049" s="17"/>
      <c r="M1049" s="17"/>
      <c r="N1049" s="17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</row>
    <row r="1050" spans="5:25" ht="15" customHeight="1" x14ac:dyDescent="0.25">
      <c r="E1050" s="15">
        <v>41019</v>
      </c>
      <c r="F1050" s="13">
        <v>1378.53</v>
      </c>
      <c r="G1050" s="13">
        <v>596.05999999999995</v>
      </c>
      <c r="H1050" s="17">
        <v>9.519797936156447E-4</v>
      </c>
      <c r="I1050" s="17">
        <v>-6.0521617944534712E-3</v>
      </c>
      <c r="J1050" s="13"/>
      <c r="K1050" s="17"/>
      <c r="L1050" s="17"/>
      <c r="M1050" s="17"/>
      <c r="N1050" s="17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</row>
    <row r="1051" spans="5:25" ht="15" customHeight="1" x14ac:dyDescent="0.25">
      <c r="E1051" s="15">
        <v>41022</v>
      </c>
      <c r="F1051" s="13">
        <v>1366.94</v>
      </c>
      <c r="G1051" s="13">
        <v>597.6</v>
      </c>
      <c r="H1051" s="17">
        <v>-8.6248031091380409E-3</v>
      </c>
      <c r="I1051" s="17">
        <v>1.9377780843476307E-3</v>
      </c>
      <c r="J1051" s="13"/>
      <c r="K1051" s="17"/>
      <c r="L1051" s="17"/>
      <c r="M1051" s="17"/>
      <c r="N1051" s="17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</row>
    <row r="1052" spans="5:25" ht="15" customHeight="1" x14ac:dyDescent="0.25">
      <c r="E1052" s="15">
        <v>41023</v>
      </c>
      <c r="F1052" s="13">
        <v>1371.97</v>
      </c>
      <c r="G1052" s="13">
        <v>601.27</v>
      </c>
      <c r="H1052" s="17">
        <v>3.4624552921979743E-3</v>
      </c>
      <c r="I1052" s="17">
        <v>5.4953771571703671E-3</v>
      </c>
      <c r="J1052" s="13"/>
      <c r="K1052" s="17"/>
      <c r="L1052" s="17"/>
      <c r="M1052" s="17"/>
      <c r="N1052" s="17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</row>
    <row r="1053" spans="5:25" ht="15" customHeight="1" x14ac:dyDescent="0.25">
      <c r="E1053" s="15">
        <v>41024</v>
      </c>
      <c r="F1053" s="13">
        <v>1390.69</v>
      </c>
      <c r="G1053" s="13">
        <v>609.72</v>
      </c>
      <c r="H1053" s="17">
        <v>1.3427316658096522E-2</v>
      </c>
      <c r="I1053" s="17">
        <v>1.3407732139214288E-2</v>
      </c>
      <c r="J1053" s="13"/>
      <c r="K1053" s="17"/>
      <c r="L1053" s="17"/>
      <c r="M1053" s="17"/>
      <c r="N1053" s="17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</row>
    <row r="1054" spans="5:25" ht="15" customHeight="1" x14ac:dyDescent="0.25">
      <c r="E1054" s="15">
        <v>41025</v>
      </c>
      <c r="F1054" s="13">
        <v>1399.98</v>
      </c>
      <c r="G1054" s="13">
        <v>615.47</v>
      </c>
      <c r="H1054" s="17">
        <v>6.462840635772355E-3</v>
      </c>
      <c r="I1054" s="17">
        <v>8.7847038531822571E-3</v>
      </c>
      <c r="J1054" s="13"/>
      <c r="K1054" s="17"/>
      <c r="L1054" s="17"/>
      <c r="M1054" s="17"/>
      <c r="N1054" s="17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</row>
    <row r="1055" spans="5:25" ht="15" customHeight="1" x14ac:dyDescent="0.25">
      <c r="E1055" s="15">
        <v>41026</v>
      </c>
      <c r="F1055" s="13">
        <v>1403.36</v>
      </c>
      <c r="G1055" s="13">
        <v>614.98</v>
      </c>
      <c r="H1055" s="17">
        <v>2.1970236422651779E-3</v>
      </c>
      <c r="I1055" s="17">
        <v>-1.4419939715078851E-3</v>
      </c>
      <c r="J1055" s="13"/>
      <c r="K1055" s="17"/>
      <c r="L1055" s="17"/>
      <c r="M1055" s="17"/>
      <c r="N1055" s="17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</row>
    <row r="1056" spans="5:25" ht="15" customHeight="1" x14ac:dyDescent="0.25">
      <c r="E1056" s="15">
        <v>41029</v>
      </c>
      <c r="F1056" s="13">
        <v>1397.91</v>
      </c>
      <c r="G1056" s="13">
        <v>604.85</v>
      </c>
      <c r="H1056" s="17">
        <v>-4.1008332171945903E-3</v>
      </c>
      <c r="I1056" s="17">
        <v>-1.7117934828726759E-2</v>
      </c>
      <c r="J1056" s="13"/>
      <c r="K1056" s="17"/>
      <c r="L1056" s="17"/>
      <c r="M1056" s="17"/>
      <c r="N1056" s="17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</row>
    <row r="1057" spans="5:25" ht="15" customHeight="1" x14ac:dyDescent="0.25">
      <c r="E1057" s="15">
        <v>41030</v>
      </c>
      <c r="F1057" s="13">
        <v>1405.82</v>
      </c>
      <c r="G1057" s="13">
        <v>604.42999999999995</v>
      </c>
      <c r="H1057" s="17">
        <v>5.4411506910905455E-3</v>
      </c>
      <c r="I1057" s="17">
        <v>-1.340241473977077E-3</v>
      </c>
      <c r="J1057" s="13"/>
      <c r="K1057" s="17"/>
      <c r="L1057" s="17"/>
      <c r="M1057" s="17"/>
      <c r="N1057" s="17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</row>
    <row r="1058" spans="5:25" ht="15" customHeight="1" x14ac:dyDescent="0.25">
      <c r="E1058" s="15">
        <v>41031</v>
      </c>
      <c r="F1058" s="13">
        <v>1402.31</v>
      </c>
      <c r="G1058" s="13">
        <v>607.26</v>
      </c>
      <c r="H1058" s="17">
        <v>-2.7140600170900129E-3</v>
      </c>
      <c r="I1058" s="17">
        <v>4.0362427466009796E-3</v>
      </c>
      <c r="J1058" s="13"/>
      <c r="K1058" s="17"/>
      <c r="L1058" s="17"/>
      <c r="M1058" s="17"/>
      <c r="N1058" s="17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</row>
    <row r="1059" spans="5:25" ht="15" customHeight="1" x14ac:dyDescent="0.25">
      <c r="E1059" s="15">
        <v>41032</v>
      </c>
      <c r="F1059" s="13">
        <v>1391.57</v>
      </c>
      <c r="G1059" s="13">
        <v>611.02</v>
      </c>
      <c r="H1059" s="17">
        <v>-7.8760881276549247E-3</v>
      </c>
      <c r="I1059" s="17">
        <v>5.5458920977415303E-3</v>
      </c>
      <c r="J1059" s="13"/>
      <c r="K1059" s="17"/>
      <c r="L1059" s="17"/>
      <c r="M1059" s="17"/>
      <c r="N1059" s="17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</row>
    <row r="1060" spans="5:25" ht="15" customHeight="1" x14ac:dyDescent="0.25">
      <c r="E1060" s="15">
        <v>41033</v>
      </c>
      <c r="F1060" s="13">
        <v>1369.1</v>
      </c>
      <c r="G1060" s="13">
        <v>596.97</v>
      </c>
      <c r="H1060" s="17">
        <v>-1.6364525950697827E-2</v>
      </c>
      <c r="I1060" s="17">
        <v>-2.3640191773435147E-2</v>
      </c>
      <c r="J1060" s="13"/>
      <c r="K1060" s="17"/>
      <c r="L1060" s="17"/>
      <c r="M1060" s="17"/>
      <c r="N1060" s="17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</row>
    <row r="1061" spans="5:25" ht="15" customHeight="1" x14ac:dyDescent="0.25">
      <c r="E1061" s="15">
        <v>41036</v>
      </c>
      <c r="F1061" s="13">
        <v>1369.58</v>
      </c>
      <c r="G1061" s="13">
        <v>607.54999999999995</v>
      </c>
      <c r="H1061" s="17">
        <v>1.3329871926266251E-4</v>
      </c>
      <c r="I1061" s="17">
        <v>1.7076979207363199E-2</v>
      </c>
      <c r="J1061" s="13"/>
      <c r="K1061" s="17"/>
      <c r="L1061" s="17"/>
      <c r="M1061" s="17"/>
      <c r="N1061" s="17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</row>
    <row r="1062" spans="5:25" ht="15" customHeight="1" x14ac:dyDescent="0.25">
      <c r="E1062" s="15">
        <v>41037</v>
      </c>
      <c r="F1062" s="13">
        <v>1363.72</v>
      </c>
      <c r="G1062" s="13">
        <v>612.79</v>
      </c>
      <c r="H1062" s="17">
        <v>-4.495980538418637E-3</v>
      </c>
      <c r="I1062" s="17">
        <v>7.9789501069675254E-3</v>
      </c>
      <c r="J1062" s="13"/>
      <c r="K1062" s="17"/>
      <c r="L1062" s="17"/>
      <c r="M1062" s="17"/>
      <c r="N1062" s="17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</row>
    <row r="1063" spans="5:25" ht="15" customHeight="1" x14ac:dyDescent="0.25">
      <c r="E1063" s="15">
        <v>41038</v>
      </c>
      <c r="F1063" s="13">
        <v>1354.58</v>
      </c>
      <c r="G1063" s="13">
        <v>609.15</v>
      </c>
      <c r="H1063" s="17">
        <v>-6.919552157299347E-3</v>
      </c>
      <c r="I1063" s="17">
        <v>-6.5858991493918479E-3</v>
      </c>
      <c r="J1063" s="13"/>
      <c r="K1063" s="17"/>
      <c r="L1063" s="17"/>
      <c r="M1063" s="17"/>
      <c r="N1063" s="17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</row>
    <row r="1064" spans="5:25" ht="15" customHeight="1" x14ac:dyDescent="0.25">
      <c r="E1064" s="15">
        <v>41039</v>
      </c>
      <c r="F1064" s="13">
        <v>1357.99</v>
      </c>
      <c r="G1064" s="13">
        <v>613.66</v>
      </c>
      <c r="H1064" s="17">
        <v>2.3000889003434574E-3</v>
      </c>
      <c r="I1064" s="17">
        <v>6.7579049009123052E-3</v>
      </c>
      <c r="J1064" s="13"/>
      <c r="K1064" s="17"/>
      <c r="L1064" s="17"/>
      <c r="M1064" s="17"/>
      <c r="N1064" s="17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</row>
    <row r="1065" spans="5:25" ht="15" customHeight="1" x14ac:dyDescent="0.25">
      <c r="E1065" s="15">
        <v>41040</v>
      </c>
      <c r="F1065" s="13">
        <v>1353.39</v>
      </c>
      <c r="G1065" s="13">
        <v>605.23</v>
      </c>
      <c r="H1065" s="17">
        <v>-3.6046558212138782E-3</v>
      </c>
      <c r="I1065" s="17">
        <v>-1.4383103075180127E-2</v>
      </c>
      <c r="J1065" s="13"/>
      <c r="K1065" s="17"/>
      <c r="L1065" s="17"/>
      <c r="M1065" s="17"/>
      <c r="N1065" s="17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</row>
    <row r="1066" spans="5:25" ht="15" customHeight="1" x14ac:dyDescent="0.25">
      <c r="E1066" s="15">
        <v>41043</v>
      </c>
      <c r="F1066" s="13">
        <v>1338.35</v>
      </c>
      <c r="G1066" s="13">
        <v>604</v>
      </c>
      <c r="H1066" s="17">
        <v>-1.1330131739161375E-2</v>
      </c>
      <c r="I1066" s="17">
        <v>-2.6781396827993739E-3</v>
      </c>
      <c r="J1066" s="13"/>
      <c r="K1066" s="17"/>
      <c r="L1066" s="17"/>
      <c r="M1066" s="17"/>
      <c r="N1066" s="17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</row>
    <row r="1067" spans="5:25" ht="15" customHeight="1" x14ac:dyDescent="0.25">
      <c r="E1067" s="15">
        <v>41044</v>
      </c>
      <c r="F1067" s="13">
        <v>1330.66</v>
      </c>
      <c r="G1067" s="13">
        <v>611.11</v>
      </c>
      <c r="H1067" s="17">
        <v>-5.9631776845866045E-3</v>
      </c>
      <c r="I1067" s="17">
        <v>1.1125668742939491E-2</v>
      </c>
      <c r="J1067" s="13"/>
      <c r="K1067" s="17"/>
      <c r="L1067" s="17"/>
      <c r="M1067" s="17"/>
      <c r="N1067" s="17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</row>
    <row r="1068" spans="5:25" ht="15" customHeight="1" x14ac:dyDescent="0.25">
      <c r="E1068" s="15">
        <v>41045</v>
      </c>
      <c r="F1068" s="13">
        <v>1324.8</v>
      </c>
      <c r="G1068" s="13">
        <v>628.92999999999995</v>
      </c>
      <c r="H1068" s="17">
        <v>-4.6211262408145763E-3</v>
      </c>
      <c r="I1068" s="17">
        <v>2.8514198582409764E-2</v>
      </c>
      <c r="J1068" s="13"/>
      <c r="K1068" s="17"/>
      <c r="L1068" s="17"/>
      <c r="M1068" s="17"/>
      <c r="N1068" s="17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</row>
    <row r="1069" spans="5:25" ht="15" customHeight="1" x14ac:dyDescent="0.25">
      <c r="E1069" s="15">
        <v>41046</v>
      </c>
      <c r="F1069" s="13">
        <v>1304.8599999999999</v>
      </c>
      <c r="G1069" s="13">
        <v>623.04999999999995</v>
      </c>
      <c r="H1069" s="17">
        <v>-1.5268625064724633E-2</v>
      </c>
      <c r="I1069" s="17">
        <v>-9.9950665898442554E-3</v>
      </c>
      <c r="J1069" s="13"/>
      <c r="K1069" s="17"/>
      <c r="L1069" s="17"/>
      <c r="M1069" s="17"/>
      <c r="N1069" s="17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</row>
    <row r="1070" spans="5:25" ht="15" customHeight="1" x14ac:dyDescent="0.25">
      <c r="E1070" s="15">
        <v>41047</v>
      </c>
      <c r="F1070" s="13">
        <v>1295.22</v>
      </c>
      <c r="G1070" s="13">
        <v>600.4</v>
      </c>
      <c r="H1070" s="17">
        <v>-7.6050622996296519E-3</v>
      </c>
      <c r="I1070" s="17">
        <v>-3.6999277114626181E-2</v>
      </c>
      <c r="J1070" s="13"/>
      <c r="K1070" s="17"/>
      <c r="L1070" s="17"/>
      <c r="M1070" s="17"/>
      <c r="N1070" s="17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</row>
    <row r="1071" spans="5:25" ht="15" customHeight="1" x14ac:dyDescent="0.25">
      <c r="E1071" s="15">
        <v>41050</v>
      </c>
      <c r="F1071" s="13">
        <v>1315.99</v>
      </c>
      <c r="G1071" s="13">
        <v>614.11</v>
      </c>
      <c r="H1071" s="17">
        <v>1.5818589233154146E-2</v>
      </c>
      <c r="I1071" s="17">
        <v>2.2188922379587906E-2</v>
      </c>
      <c r="J1071" s="13"/>
      <c r="K1071" s="17"/>
      <c r="L1071" s="17"/>
      <c r="M1071" s="17"/>
      <c r="N1071" s="17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</row>
    <row r="1072" spans="5:25" ht="15" customHeight="1" x14ac:dyDescent="0.25">
      <c r="E1072" s="15">
        <v>41051</v>
      </c>
      <c r="F1072" s="13">
        <v>1316.63</v>
      </c>
      <c r="G1072" s="13">
        <v>600.79999999999995</v>
      </c>
      <c r="H1072" s="17">
        <v>2.6902932162611528E-4</v>
      </c>
      <c r="I1072" s="17">
        <v>-2.2319495965887507E-2</v>
      </c>
      <c r="J1072" s="13"/>
      <c r="K1072" s="17"/>
      <c r="L1072" s="17"/>
      <c r="M1072" s="17"/>
      <c r="N1072" s="17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</row>
    <row r="1073" spans="5:25" ht="15" customHeight="1" x14ac:dyDescent="0.25">
      <c r="E1073" s="15">
        <v>41052</v>
      </c>
      <c r="F1073" s="13">
        <v>1318.86</v>
      </c>
      <c r="G1073" s="13">
        <v>609.46</v>
      </c>
      <c r="H1073" s="17">
        <v>1.4764214905986295E-3</v>
      </c>
      <c r="I1073" s="17">
        <v>1.3768260078112902E-2</v>
      </c>
      <c r="J1073" s="13"/>
      <c r="K1073" s="17"/>
      <c r="L1073" s="17"/>
      <c r="M1073" s="17"/>
      <c r="N1073" s="17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</row>
    <row r="1074" spans="5:25" ht="15" customHeight="1" x14ac:dyDescent="0.25">
      <c r="E1074" s="15">
        <v>41053</v>
      </c>
      <c r="F1074" s="13">
        <v>1320.68</v>
      </c>
      <c r="G1074" s="13">
        <v>603.66</v>
      </c>
      <c r="H1074" s="17">
        <v>1.1626831171109324E-3</v>
      </c>
      <c r="I1074" s="17">
        <v>-1.0162475707157793E-2</v>
      </c>
      <c r="J1074" s="13"/>
      <c r="K1074" s="17"/>
      <c r="L1074" s="17"/>
      <c r="M1074" s="17"/>
      <c r="N1074" s="17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</row>
    <row r="1075" spans="5:25" ht="15" customHeight="1" x14ac:dyDescent="0.25">
      <c r="E1075" s="15">
        <v>41054</v>
      </c>
      <c r="F1075" s="13">
        <v>1317.82</v>
      </c>
      <c r="G1075" s="13">
        <v>591.53</v>
      </c>
      <c r="H1075" s="17">
        <v>-2.38284764205597E-3</v>
      </c>
      <c r="I1075" s="17">
        <v>-2.0739947137057867E-2</v>
      </c>
      <c r="J1075" s="13"/>
      <c r="K1075" s="17"/>
      <c r="L1075" s="17"/>
      <c r="M1075" s="17"/>
      <c r="N1075" s="17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</row>
    <row r="1076" spans="5:25" ht="15" customHeight="1" x14ac:dyDescent="0.25">
      <c r="E1076" s="15">
        <v>41058</v>
      </c>
      <c r="F1076" s="13">
        <v>1332.42</v>
      </c>
      <c r="G1076" s="13">
        <v>594.34</v>
      </c>
      <c r="H1076" s="17">
        <v>1.0861606474524386E-2</v>
      </c>
      <c r="I1076" s="17">
        <v>4.1045386126666999E-3</v>
      </c>
      <c r="J1076" s="13"/>
      <c r="K1076" s="17"/>
      <c r="L1076" s="17"/>
      <c r="M1076" s="17"/>
      <c r="N1076" s="17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</row>
    <row r="1077" spans="5:25" ht="15" customHeight="1" x14ac:dyDescent="0.25">
      <c r="E1077" s="15">
        <v>41059</v>
      </c>
      <c r="F1077" s="13">
        <v>1313.32</v>
      </c>
      <c r="G1077" s="13">
        <v>588.23</v>
      </c>
      <c r="H1077" s="17">
        <v>-1.4552115913564784E-2</v>
      </c>
      <c r="I1077" s="17">
        <v>-1.0926165369004372E-2</v>
      </c>
      <c r="J1077" s="13"/>
      <c r="K1077" s="17"/>
      <c r="L1077" s="17"/>
      <c r="M1077" s="17"/>
      <c r="N1077" s="17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</row>
    <row r="1078" spans="5:25" ht="15" customHeight="1" x14ac:dyDescent="0.25">
      <c r="E1078" s="15">
        <v>41060</v>
      </c>
      <c r="F1078" s="13">
        <v>1310.33</v>
      </c>
      <c r="G1078" s="13">
        <v>580.86</v>
      </c>
      <c r="H1078" s="17">
        <v>-2.4939694219321133E-3</v>
      </c>
      <c r="I1078" s="17">
        <v>-1.3174967197883313E-2</v>
      </c>
      <c r="J1078" s="13"/>
      <c r="K1078" s="17"/>
      <c r="L1078" s="17"/>
      <c r="M1078" s="17"/>
      <c r="N1078" s="17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</row>
    <row r="1079" spans="5:25" ht="15" customHeight="1" x14ac:dyDescent="0.25">
      <c r="E1079" s="15">
        <v>41061</v>
      </c>
      <c r="F1079" s="13">
        <v>1278.04</v>
      </c>
      <c r="G1079" s="13">
        <v>570.98</v>
      </c>
      <c r="H1079" s="17">
        <v>-2.4859943834370412E-2</v>
      </c>
      <c r="I1079" s="17">
        <v>-1.7655116564436441E-2</v>
      </c>
      <c r="J1079" s="13"/>
      <c r="K1079" s="17"/>
      <c r="L1079" s="17"/>
      <c r="M1079" s="17"/>
      <c r="N1079" s="17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</row>
    <row r="1080" spans="5:25" ht="15" customHeight="1" x14ac:dyDescent="0.25">
      <c r="E1080" s="15">
        <v>41064</v>
      </c>
      <c r="F1080" s="13">
        <v>1278.18</v>
      </c>
      <c r="G1080" s="13">
        <v>578.59</v>
      </c>
      <c r="H1080" s="17">
        <v>-1.0775382499265708E-4</v>
      </c>
      <c r="I1080" s="17">
        <v>1.2682108014655207E-2</v>
      </c>
      <c r="J1080" s="13"/>
      <c r="K1080" s="17"/>
      <c r="L1080" s="17"/>
      <c r="M1080" s="17"/>
      <c r="N1080" s="17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</row>
    <row r="1081" spans="5:25" ht="15" customHeight="1" x14ac:dyDescent="0.25">
      <c r="E1081" s="15">
        <v>41065</v>
      </c>
      <c r="F1081" s="13">
        <v>1285.5</v>
      </c>
      <c r="G1081" s="13">
        <v>570.41</v>
      </c>
      <c r="H1081" s="17">
        <v>5.5095963635698108E-3</v>
      </c>
      <c r="I1081" s="17">
        <v>-1.4783672234309493E-2</v>
      </c>
      <c r="J1081" s="13"/>
      <c r="K1081" s="17"/>
      <c r="L1081" s="17"/>
      <c r="M1081" s="17"/>
      <c r="N1081" s="17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</row>
    <row r="1082" spans="5:25" ht="15" customHeight="1" x14ac:dyDescent="0.25">
      <c r="E1082" s="15">
        <v>41066</v>
      </c>
      <c r="F1082" s="13">
        <v>1315.13</v>
      </c>
      <c r="G1082" s="13">
        <v>580.57000000000005</v>
      </c>
      <c r="H1082" s="17">
        <v>2.2832100559433341E-2</v>
      </c>
      <c r="I1082" s="17">
        <v>1.7165895007514375E-2</v>
      </c>
      <c r="J1082" s="13"/>
      <c r="K1082" s="17"/>
      <c r="L1082" s="17"/>
      <c r="M1082" s="17"/>
      <c r="N1082" s="17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</row>
    <row r="1083" spans="5:25" ht="15" customHeight="1" x14ac:dyDescent="0.25">
      <c r="E1083" s="15">
        <v>41067</v>
      </c>
      <c r="F1083" s="13">
        <v>1314.99</v>
      </c>
      <c r="G1083" s="13">
        <v>578.23</v>
      </c>
      <c r="H1083" s="17">
        <v>-3.2374991673040889E-4</v>
      </c>
      <c r="I1083" s="17">
        <v>-4.6763761645144414E-3</v>
      </c>
      <c r="J1083" s="13"/>
      <c r="K1083" s="17"/>
      <c r="L1083" s="17"/>
      <c r="M1083" s="17"/>
      <c r="N1083" s="17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</row>
    <row r="1084" spans="5:25" ht="15" customHeight="1" x14ac:dyDescent="0.25">
      <c r="E1084" s="15">
        <v>41068</v>
      </c>
      <c r="F1084" s="13">
        <v>1325.66</v>
      </c>
      <c r="G1084" s="13">
        <v>580.45000000000005</v>
      </c>
      <c r="H1084" s="17">
        <v>7.89683358316722E-3</v>
      </c>
      <c r="I1084" s="17">
        <v>3.1934482637493442E-3</v>
      </c>
      <c r="J1084" s="13"/>
      <c r="K1084" s="17"/>
      <c r="L1084" s="17"/>
      <c r="M1084" s="17"/>
      <c r="N1084" s="17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</row>
    <row r="1085" spans="5:25" ht="15" customHeight="1" x14ac:dyDescent="0.25">
      <c r="E1085" s="15">
        <v>41071</v>
      </c>
      <c r="F1085" s="13">
        <v>1308.93</v>
      </c>
      <c r="G1085" s="13">
        <v>568.5</v>
      </c>
      <c r="H1085" s="17">
        <v>-1.2837425403791907E-2</v>
      </c>
      <c r="I1085" s="17">
        <v>-2.123332967060013E-2</v>
      </c>
      <c r="J1085" s="13"/>
      <c r="K1085" s="17"/>
      <c r="L1085" s="17"/>
      <c r="M1085" s="17"/>
      <c r="N1085" s="17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</row>
    <row r="1086" spans="5:25" ht="15" customHeight="1" x14ac:dyDescent="0.25">
      <c r="E1086" s="15">
        <v>41072</v>
      </c>
      <c r="F1086" s="13">
        <v>1324.18</v>
      </c>
      <c r="G1086" s="13">
        <v>565.1</v>
      </c>
      <c r="H1086" s="17">
        <v>1.1433441063079502E-2</v>
      </c>
      <c r="I1086" s="17">
        <v>-6.6265052714005578E-3</v>
      </c>
      <c r="J1086" s="13"/>
      <c r="K1086" s="17"/>
      <c r="L1086" s="17"/>
      <c r="M1086" s="17"/>
      <c r="N1086" s="17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</row>
    <row r="1087" spans="5:25" ht="15" customHeight="1" x14ac:dyDescent="0.25">
      <c r="E1087" s="15">
        <v>41073</v>
      </c>
      <c r="F1087" s="13">
        <v>1314.88</v>
      </c>
      <c r="G1087" s="13">
        <v>561.09</v>
      </c>
      <c r="H1087" s="17">
        <v>-7.2405109289360664E-3</v>
      </c>
      <c r="I1087" s="17">
        <v>-7.7419436236228351E-3</v>
      </c>
      <c r="J1087" s="13"/>
      <c r="K1087" s="17"/>
      <c r="L1087" s="17"/>
      <c r="M1087" s="17"/>
      <c r="N1087" s="17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</row>
    <row r="1088" spans="5:25" ht="15" customHeight="1" x14ac:dyDescent="0.25">
      <c r="E1088" s="15">
        <v>41074</v>
      </c>
      <c r="F1088" s="13">
        <v>1329.1</v>
      </c>
      <c r="G1088" s="13">
        <v>559.04999999999995</v>
      </c>
      <c r="H1088" s="17">
        <v>1.059737854112232E-2</v>
      </c>
      <c r="I1088" s="17">
        <v>-4.2816347919610604E-3</v>
      </c>
      <c r="J1088" s="13"/>
      <c r="K1088" s="17"/>
      <c r="L1088" s="17"/>
      <c r="M1088" s="17"/>
      <c r="N1088" s="17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</row>
    <row r="1089" spans="5:25" ht="15" customHeight="1" x14ac:dyDescent="0.25">
      <c r="E1089" s="15">
        <v>41075</v>
      </c>
      <c r="F1089" s="13">
        <v>1342.84</v>
      </c>
      <c r="G1089" s="13">
        <v>564.51</v>
      </c>
      <c r="H1089" s="17">
        <v>1.0120526024403642E-2</v>
      </c>
      <c r="I1089" s="17">
        <v>9.1207138496158489E-3</v>
      </c>
      <c r="J1089" s="13"/>
      <c r="K1089" s="17"/>
      <c r="L1089" s="17"/>
      <c r="M1089" s="17"/>
      <c r="N1089" s="17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</row>
    <row r="1090" spans="5:25" ht="15" customHeight="1" x14ac:dyDescent="0.25">
      <c r="E1090" s="15">
        <v>41078</v>
      </c>
      <c r="F1090" s="13">
        <v>1344.78</v>
      </c>
      <c r="G1090" s="13">
        <v>570.85</v>
      </c>
      <c r="H1090" s="17">
        <v>1.227402731724368E-3</v>
      </c>
      <c r="I1090" s="17">
        <v>1.0585124643332977E-2</v>
      </c>
      <c r="J1090" s="13"/>
      <c r="K1090" s="17"/>
      <c r="L1090" s="17"/>
      <c r="M1090" s="17"/>
      <c r="N1090" s="17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</row>
    <row r="1091" spans="5:25" ht="15" customHeight="1" x14ac:dyDescent="0.25">
      <c r="E1091" s="15">
        <v>41079</v>
      </c>
      <c r="F1091" s="13">
        <v>1357.98</v>
      </c>
      <c r="G1091" s="13">
        <v>581.53</v>
      </c>
      <c r="H1091" s="17">
        <v>9.5984353789749042E-3</v>
      </c>
      <c r="I1091" s="17">
        <v>1.806308836872119E-2</v>
      </c>
      <c r="J1091" s="13"/>
      <c r="K1091" s="17"/>
      <c r="L1091" s="17"/>
      <c r="M1091" s="17"/>
      <c r="N1091" s="17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</row>
    <row r="1092" spans="5:25" ht="15" customHeight="1" x14ac:dyDescent="0.25">
      <c r="E1092" s="15">
        <v>41080</v>
      </c>
      <c r="F1092" s="13">
        <v>1355.69</v>
      </c>
      <c r="G1092" s="13">
        <v>577.51</v>
      </c>
      <c r="H1092" s="17">
        <v>-1.903624785110687E-3</v>
      </c>
      <c r="I1092" s="17">
        <v>-7.5586534316210395E-3</v>
      </c>
      <c r="J1092" s="13"/>
      <c r="K1092" s="17"/>
      <c r="L1092" s="17"/>
      <c r="M1092" s="17"/>
      <c r="N1092" s="17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</row>
    <row r="1093" spans="5:25" ht="15" customHeight="1" x14ac:dyDescent="0.25">
      <c r="E1093" s="15">
        <v>41081</v>
      </c>
      <c r="F1093" s="13">
        <v>1325.51</v>
      </c>
      <c r="G1093" s="13">
        <v>565.21</v>
      </c>
      <c r="H1093" s="17">
        <v>-2.2479023063205397E-2</v>
      </c>
      <c r="I1093" s="17">
        <v>-2.1944186932275445E-2</v>
      </c>
      <c r="J1093" s="13"/>
      <c r="K1093" s="17"/>
      <c r="L1093" s="17"/>
      <c r="M1093" s="17"/>
      <c r="N1093" s="17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</row>
    <row r="1094" spans="5:25" ht="15" customHeight="1" x14ac:dyDescent="0.25">
      <c r="E1094" s="15">
        <v>41082</v>
      </c>
      <c r="F1094" s="13">
        <v>1335.02</v>
      </c>
      <c r="G1094" s="13">
        <v>571.48</v>
      </c>
      <c r="H1094" s="17">
        <v>6.9573003852808112E-3</v>
      </c>
      <c r="I1094" s="17">
        <v>1.0447367552419085E-2</v>
      </c>
      <c r="J1094" s="13"/>
      <c r="K1094" s="17"/>
      <c r="L1094" s="17"/>
      <c r="M1094" s="17"/>
      <c r="N1094" s="17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</row>
    <row r="1095" spans="5:25" ht="15" customHeight="1" x14ac:dyDescent="0.25">
      <c r="E1095" s="15">
        <v>41085</v>
      </c>
      <c r="F1095" s="13">
        <v>1313.72</v>
      </c>
      <c r="G1095" s="13">
        <v>560.70000000000005</v>
      </c>
      <c r="H1095" s="17">
        <v>-1.6172113718606461E-2</v>
      </c>
      <c r="I1095" s="17">
        <v>-1.9509156738661205E-2</v>
      </c>
      <c r="J1095" s="13"/>
      <c r="K1095" s="17"/>
      <c r="L1095" s="17"/>
      <c r="M1095" s="17"/>
      <c r="N1095" s="17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</row>
    <row r="1096" spans="5:25" ht="15" customHeight="1" x14ac:dyDescent="0.25">
      <c r="E1096" s="15">
        <v>41086</v>
      </c>
      <c r="F1096" s="13">
        <v>1319.99</v>
      </c>
      <c r="G1096" s="13">
        <v>564.67999999999995</v>
      </c>
      <c r="H1096" s="17">
        <v>4.5554099504941641E-3</v>
      </c>
      <c r="I1096" s="17">
        <v>6.4524155837498796E-3</v>
      </c>
      <c r="J1096" s="13"/>
      <c r="K1096" s="17"/>
      <c r="L1096" s="17"/>
      <c r="M1096" s="17"/>
      <c r="N1096" s="17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</row>
    <row r="1097" spans="5:25" ht="15" customHeight="1" x14ac:dyDescent="0.25">
      <c r="E1097" s="15">
        <v>41087</v>
      </c>
      <c r="F1097" s="13">
        <v>1331.85</v>
      </c>
      <c r="G1097" s="13">
        <v>569.29999999999995</v>
      </c>
      <c r="H1097" s="17">
        <v>8.7676199900889509E-3</v>
      </c>
      <c r="I1097" s="17">
        <v>7.5357705552769726E-3</v>
      </c>
      <c r="J1097" s="13"/>
      <c r="K1097" s="17"/>
      <c r="L1097" s="17"/>
      <c r="M1097" s="17"/>
      <c r="N1097" s="17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</row>
    <row r="1098" spans="5:25" ht="15" customHeight="1" x14ac:dyDescent="0.25">
      <c r="E1098" s="15">
        <v>41088</v>
      </c>
      <c r="F1098" s="13">
        <v>1329.04</v>
      </c>
      <c r="G1098" s="13">
        <v>564.30999999999995</v>
      </c>
      <c r="H1098" s="17">
        <v>-2.3271437673247526E-3</v>
      </c>
      <c r="I1098" s="17">
        <v>-9.4110046203054829E-3</v>
      </c>
      <c r="J1098" s="13"/>
      <c r="K1098" s="17"/>
      <c r="L1098" s="17"/>
      <c r="M1098" s="17"/>
      <c r="N1098" s="17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</row>
    <row r="1099" spans="5:25" ht="15" customHeight="1" x14ac:dyDescent="0.25">
      <c r="E1099" s="15">
        <v>41089</v>
      </c>
      <c r="F1099" s="13">
        <v>1362.16</v>
      </c>
      <c r="G1099" s="13">
        <v>580.07000000000005</v>
      </c>
      <c r="H1099" s="17">
        <v>2.4702946620740247E-2</v>
      </c>
      <c r="I1099" s="17">
        <v>2.7282057527414139E-2</v>
      </c>
      <c r="J1099" s="13"/>
      <c r="K1099" s="17"/>
      <c r="L1099" s="17"/>
      <c r="M1099" s="17"/>
      <c r="N1099" s="17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</row>
    <row r="1100" spans="5:25" ht="15" customHeight="1" x14ac:dyDescent="0.25">
      <c r="E1100" s="15">
        <v>41092</v>
      </c>
      <c r="F1100" s="13">
        <v>1365.51</v>
      </c>
      <c r="G1100" s="13">
        <v>580.47</v>
      </c>
      <c r="H1100" s="17">
        <v>2.2420327382135265E-3</v>
      </c>
      <c r="I1100" s="17">
        <v>4.3717512344691692E-5</v>
      </c>
      <c r="J1100" s="13"/>
      <c r="K1100" s="17"/>
      <c r="L1100" s="17"/>
      <c r="M1100" s="17"/>
      <c r="N1100" s="17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</row>
    <row r="1101" spans="5:25" ht="15" customHeight="1" x14ac:dyDescent="0.25">
      <c r="E1101" s="15">
        <v>41093</v>
      </c>
      <c r="F1101" s="13">
        <v>1374.02</v>
      </c>
      <c r="G1101" s="13">
        <v>587.83000000000004</v>
      </c>
      <c r="H1101" s="17">
        <v>6.0148071937966051E-3</v>
      </c>
      <c r="I1101" s="17">
        <v>1.203352606613854E-2</v>
      </c>
      <c r="J1101" s="13"/>
      <c r="K1101" s="17"/>
      <c r="L1101" s="17"/>
      <c r="M1101" s="17"/>
      <c r="N1101" s="17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</row>
    <row r="1102" spans="5:25" ht="15" customHeight="1" x14ac:dyDescent="0.25">
      <c r="E1102" s="15">
        <v>41095</v>
      </c>
      <c r="F1102" s="13">
        <v>1367.58</v>
      </c>
      <c r="G1102" s="13">
        <v>595.91999999999996</v>
      </c>
      <c r="H1102" s="17">
        <v>-4.9042734622087372E-3</v>
      </c>
      <c r="I1102" s="17">
        <v>1.311662791447093E-2</v>
      </c>
      <c r="J1102" s="13"/>
      <c r="K1102" s="17"/>
      <c r="L1102" s="17"/>
      <c r="M1102" s="17"/>
      <c r="N1102" s="17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</row>
    <row r="1103" spans="5:25" ht="15" customHeight="1" x14ac:dyDescent="0.25">
      <c r="E1103" s="15">
        <v>41096</v>
      </c>
      <c r="F1103" s="13">
        <v>1354.68</v>
      </c>
      <c r="G1103" s="13">
        <v>585.98</v>
      </c>
      <c r="H1103" s="17">
        <v>-9.6500171344146447E-3</v>
      </c>
      <c r="I1103" s="17">
        <v>-1.7325945723289587E-2</v>
      </c>
      <c r="J1103" s="13"/>
      <c r="K1103" s="17"/>
      <c r="L1103" s="17"/>
      <c r="M1103" s="17"/>
      <c r="N1103" s="17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</row>
    <row r="1104" spans="5:25" ht="15" customHeight="1" x14ac:dyDescent="0.25">
      <c r="E1104" s="15">
        <v>41099</v>
      </c>
      <c r="F1104" s="13">
        <v>1352.46</v>
      </c>
      <c r="G1104" s="13">
        <v>586.01</v>
      </c>
      <c r="H1104" s="17">
        <v>-1.8560599603072243E-3</v>
      </c>
      <c r="I1104" s="17">
        <v>-5.9465814930577377E-4</v>
      </c>
      <c r="J1104" s="13"/>
      <c r="K1104" s="17"/>
      <c r="L1104" s="17"/>
      <c r="M1104" s="17"/>
      <c r="N1104" s="17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</row>
    <row r="1105" spans="5:25" ht="15" customHeight="1" x14ac:dyDescent="0.25">
      <c r="E1105" s="15">
        <v>41100</v>
      </c>
      <c r="F1105" s="13">
        <v>1341.47</v>
      </c>
      <c r="G1105" s="13">
        <v>581.70000000000005</v>
      </c>
      <c r="H1105" s="17">
        <v>-8.3432300464787602E-3</v>
      </c>
      <c r="I1105" s="17">
        <v>-8.0006777323992327E-3</v>
      </c>
      <c r="J1105" s="13"/>
      <c r="K1105" s="17"/>
      <c r="L1105" s="17"/>
      <c r="M1105" s="17"/>
      <c r="N1105" s="17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</row>
    <row r="1106" spans="5:25" ht="15" customHeight="1" x14ac:dyDescent="0.25">
      <c r="E1106" s="15">
        <v>41101</v>
      </c>
      <c r="F1106" s="13">
        <v>1341.45</v>
      </c>
      <c r="G1106" s="13">
        <v>571.19000000000005</v>
      </c>
      <c r="H1106" s="17">
        <v>-2.3220558002854056E-4</v>
      </c>
      <c r="I1106" s="17">
        <v>-1.8713586944034178E-2</v>
      </c>
      <c r="J1106" s="13"/>
      <c r="K1106" s="17"/>
      <c r="L1106" s="17"/>
      <c r="M1106" s="17"/>
      <c r="N1106" s="17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</row>
    <row r="1107" spans="5:25" ht="15" customHeight="1" x14ac:dyDescent="0.25">
      <c r="E1107" s="15">
        <v>41102</v>
      </c>
      <c r="F1107" s="13">
        <v>1334.76</v>
      </c>
      <c r="G1107" s="13">
        <v>570.48</v>
      </c>
      <c r="H1107" s="17">
        <v>-5.2044373428078872E-3</v>
      </c>
      <c r="I1107" s="17">
        <v>-1.8888733962844288E-3</v>
      </c>
      <c r="J1107" s="13"/>
      <c r="K1107" s="17"/>
      <c r="L1107" s="17"/>
      <c r="M1107" s="17"/>
      <c r="N1107" s="17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</row>
    <row r="1108" spans="5:25" ht="15" customHeight="1" x14ac:dyDescent="0.25">
      <c r="E1108" s="15">
        <v>41103</v>
      </c>
      <c r="F1108" s="13">
        <v>1356.78</v>
      </c>
      <c r="G1108" s="13">
        <v>576.52</v>
      </c>
      <c r="H1108" s="17">
        <v>1.628005127550437E-2</v>
      </c>
      <c r="I1108" s="17">
        <v>9.9417209392542484E-3</v>
      </c>
      <c r="J1108" s="13"/>
      <c r="K1108" s="17"/>
      <c r="L1108" s="17"/>
      <c r="M1108" s="17"/>
      <c r="N1108" s="17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</row>
    <row r="1109" spans="5:25" ht="15" customHeight="1" x14ac:dyDescent="0.25">
      <c r="E1109" s="15">
        <v>41106</v>
      </c>
      <c r="F1109" s="13">
        <v>1353.64</v>
      </c>
      <c r="G1109" s="13">
        <v>574.91999999999996</v>
      </c>
      <c r="H1109" s="17">
        <v>-2.5315995443696399E-3</v>
      </c>
      <c r="I1109" s="17">
        <v>-3.4211267594652082E-3</v>
      </c>
      <c r="J1109" s="13"/>
      <c r="K1109" s="17"/>
      <c r="L1109" s="17"/>
      <c r="M1109" s="17"/>
      <c r="N1109" s="17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</row>
    <row r="1110" spans="5:25" ht="15" customHeight="1" x14ac:dyDescent="0.25">
      <c r="E1110" s="15">
        <v>41107</v>
      </c>
      <c r="F1110" s="13">
        <v>1363.67</v>
      </c>
      <c r="G1110" s="13">
        <v>576.73</v>
      </c>
      <c r="H1110" s="17">
        <v>7.1923544527317538E-3</v>
      </c>
      <c r="I1110" s="17">
        <v>2.5024096704419885E-3</v>
      </c>
      <c r="J1110" s="13"/>
      <c r="K1110" s="17"/>
      <c r="L1110" s="17"/>
      <c r="M1110" s="17"/>
      <c r="N1110" s="17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</row>
    <row r="1111" spans="5:25" ht="15" customHeight="1" x14ac:dyDescent="0.25">
      <c r="E1111" s="15">
        <v>41108</v>
      </c>
      <c r="F1111" s="13">
        <v>1372.78</v>
      </c>
      <c r="G1111" s="13">
        <v>580.76</v>
      </c>
      <c r="H1111" s="17">
        <v>6.4632053186444299E-3</v>
      </c>
      <c r="I1111" s="17">
        <v>6.3418174383187732E-3</v>
      </c>
      <c r="J1111" s="13"/>
      <c r="K1111" s="17"/>
      <c r="L1111" s="17"/>
      <c r="M1111" s="17"/>
      <c r="N1111" s="17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</row>
    <row r="1112" spans="5:25" ht="15" customHeight="1" x14ac:dyDescent="0.25">
      <c r="E1112" s="15">
        <v>41109</v>
      </c>
      <c r="F1112" s="13">
        <v>1376.51</v>
      </c>
      <c r="G1112" s="13">
        <v>593.05999999999995</v>
      </c>
      <c r="H1112" s="17">
        <v>2.4998176147621714E-3</v>
      </c>
      <c r="I1112" s="17">
        <v>2.0533290133316753E-2</v>
      </c>
      <c r="J1112" s="13"/>
      <c r="K1112" s="17"/>
      <c r="L1112" s="17"/>
      <c r="M1112" s="17"/>
      <c r="N1112" s="17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</row>
    <row r="1113" spans="5:25" ht="15" customHeight="1" x14ac:dyDescent="0.25">
      <c r="E1113" s="15">
        <v>41110</v>
      </c>
      <c r="F1113" s="13">
        <v>1362.66</v>
      </c>
      <c r="G1113" s="13">
        <v>610.82000000000005</v>
      </c>
      <c r="H1113" s="17">
        <v>-1.0278974283502627E-2</v>
      </c>
      <c r="I1113" s="17">
        <v>2.9300525357069864E-2</v>
      </c>
      <c r="J1113" s="13"/>
      <c r="K1113" s="17"/>
      <c r="L1113" s="17"/>
      <c r="M1113" s="17"/>
      <c r="N1113" s="17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</row>
    <row r="1114" spans="5:25" ht="15" customHeight="1" x14ac:dyDescent="0.25">
      <c r="E1114" s="15">
        <v>41113</v>
      </c>
      <c r="F1114" s="13">
        <v>1350.52</v>
      </c>
      <c r="G1114" s="13">
        <v>615.51</v>
      </c>
      <c r="H1114" s="17">
        <v>-9.1263421055848264E-3</v>
      </c>
      <c r="I1114" s="17">
        <v>7.0323486354127735E-3</v>
      </c>
      <c r="J1114" s="13"/>
      <c r="K1114" s="17"/>
      <c r="L1114" s="17"/>
      <c r="M1114" s="17"/>
      <c r="N1114" s="17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</row>
    <row r="1115" spans="5:25" ht="15" customHeight="1" x14ac:dyDescent="0.25">
      <c r="E1115" s="15">
        <v>41114</v>
      </c>
      <c r="F1115" s="13">
        <v>1338.31</v>
      </c>
      <c r="G1115" s="13">
        <v>607.57000000000005</v>
      </c>
      <c r="H1115" s="17">
        <v>-9.2582585621314648E-3</v>
      </c>
      <c r="I1115" s="17">
        <v>-1.3545726087019533E-2</v>
      </c>
      <c r="J1115" s="13"/>
      <c r="K1115" s="17"/>
      <c r="L1115" s="17"/>
      <c r="M1115" s="17"/>
      <c r="N1115" s="17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</row>
    <row r="1116" spans="5:25" ht="15" customHeight="1" x14ac:dyDescent="0.25">
      <c r="E1116" s="15">
        <v>41115</v>
      </c>
      <c r="F1116" s="13">
        <v>1337.89</v>
      </c>
      <c r="G1116" s="13">
        <v>607.99</v>
      </c>
      <c r="H1116" s="17">
        <v>-5.3112519693044907E-4</v>
      </c>
      <c r="I1116" s="17">
        <v>4.5423935348030347E-5</v>
      </c>
      <c r="J1116" s="13"/>
      <c r="K1116" s="17"/>
      <c r="L1116" s="17"/>
      <c r="M1116" s="17"/>
      <c r="N1116" s="17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</row>
    <row r="1117" spans="5:25" ht="15" customHeight="1" x14ac:dyDescent="0.25">
      <c r="E1117" s="15">
        <v>41116</v>
      </c>
      <c r="F1117" s="13">
        <v>1360.02</v>
      </c>
      <c r="G1117" s="13">
        <v>613.36</v>
      </c>
      <c r="H1117" s="17">
        <v>1.6323674668509508E-2</v>
      </c>
      <c r="I1117" s="17">
        <v>8.1865276756794333E-3</v>
      </c>
      <c r="J1117" s="13"/>
      <c r="K1117" s="17"/>
      <c r="L1117" s="17"/>
      <c r="M1117" s="17"/>
      <c r="N1117" s="17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</row>
    <row r="1118" spans="5:25" ht="15" customHeight="1" x14ac:dyDescent="0.25">
      <c r="E1118" s="15">
        <v>41117</v>
      </c>
      <c r="F1118" s="13">
        <v>1385.97</v>
      </c>
      <c r="G1118" s="13">
        <v>634.96</v>
      </c>
      <c r="H1118" s="17">
        <v>1.8863305193547359E-2</v>
      </c>
      <c r="I1118" s="17">
        <v>3.4570005744123722E-2</v>
      </c>
      <c r="J1118" s="13"/>
      <c r="K1118" s="17"/>
      <c r="L1118" s="17"/>
      <c r="M1118" s="17"/>
      <c r="N1118" s="17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</row>
    <row r="1119" spans="5:25" ht="15" customHeight="1" x14ac:dyDescent="0.25">
      <c r="E1119" s="15">
        <v>41120</v>
      </c>
      <c r="F1119" s="13">
        <v>1385.3</v>
      </c>
      <c r="G1119" s="13">
        <v>632.29999999999995</v>
      </c>
      <c r="H1119" s="17">
        <v>-7.0071250926329173E-4</v>
      </c>
      <c r="I1119" s="17">
        <v>-4.835094702971895E-3</v>
      </c>
      <c r="J1119" s="13"/>
      <c r="K1119" s="17"/>
      <c r="L1119" s="17"/>
      <c r="M1119" s="17"/>
      <c r="N1119" s="17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</row>
    <row r="1120" spans="5:25" ht="15" customHeight="1" x14ac:dyDescent="0.25">
      <c r="E1120" s="15">
        <v>41121</v>
      </c>
      <c r="F1120" s="13">
        <v>1379.32</v>
      </c>
      <c r="G1120" s="13">
        <v>632.97</v>
      </c>
      <c r="H1120" s="17">
        <v>-4.5340510559206647E-3</v>
      </c>
      <c r="I1120" s="17">
        <v>4.1376916052566175E-4</v>
      </c>
      <c r="J1120" s="13"/>
      <c r="K1120" s="17"/>
      <c r="L1120" s="17"/>
      <c r="M1120" s="17"/>
      <c r="N1120" s="17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</row>
    <row r="1121" spans="5:25" ht="15" customHeight="1" x14ac:dyDescent="0.25">
      <c r="E1121" s="15">
        <v>41122</v>
      </c>
      <c r="F1121" s="13">
        <v>1375.32</v>
      </c>
      <c r="G1121" s="13">
        <v>632.67999999999995</v>
      </c>
      <c r="H1121" s="17">
        <v>-3.1172762624512721E-3</v>
      </c>
      <c r="I1121" s="17">
        <v>-1.1040120104770464E-3</v>
      </c>
      <c r="J1121" s="13"/>
      <c r="K1121" s="17"/>
      <c r="L1121" s="17"/>
      <c r="M1121" s="17"/>
      <c r="N1121" s="17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</row>
    <row r="1122" spans="5:25" ht="15" customHeight="1" x14ac:dyDescent="0.25">
      <c r="E1122" s="15">
        <v>41123</v>
      </c>
      <c r="F1122" s="13">
        <v>1365</v>
      </c>
      <c r="G1122" s="13">
        <v>628.75</v>
      </c>
      <c r="H1122" s="17">
        <v>-7.7210047902124979E-3</v>
      </c>
      <c r="I1122" s="17">
        <v>-6.8575254227812707E-3</v>
      </c>
      <c r="J1122" s="13"/>
      <c r="K1122" s="17"/>
      <c r="L1122" s="17"/>
      <c r="M1122" s="17"/>
      <c r="N1122" s="17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</row>
    <row r="1123" spans="5:25" ht="15" customHeight="1" x14ac:dyDescent="0.25">
      <c r="E1123" s="15">
        <v>41124</v>
      </c>
      <c r="F1123" s="13">
        <v>1390.99</v>
      </c>
      <c r="G1123" s="13">
        <v>641.33000000000004</v>
      </c>
      <c r="H1123" s="17">
        <v>1.8822996477983866E-2</v>
      </c>
      <c r="I1123" s="17">
        <v>1.9362097850413852E-2</v>
      </c>
      <c r="J1123" s="13"/>
      <c r="K1123" s="17"/>
      <c r="L1123" s="17"/>
      <c r="M1123" s="17"/>
      <c r="N1123" s="17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</row>
    <row r="1124" spans="5:25" ht="15" customHeight="1" x14ac:dyDescent="0.25">
      <c r="E1124" s="15">
        <v>41127</v>
      </c>
      <c r="F1124" s="13">
        <v>1394.23</v>
      </c>
      <c r="G1124" s="13">
        <v>642.82000000000005</v>
      </c>
      <c r="H1124" s="17">
        <v>2.1119797085482738E-3</v>
      </c>
      <c r="I1124" s="17">
        <v>1.6774424627640744E-3</v>
      </c>
      <c r="J1124" s="13"/>
      <c r="K1124" s="17"/>
      <c r="L1124" s="17"/>
      <c r="M1124" s="17"/>
      <c r="N1124" s="17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</row>
    <row r="1125" spans="5:25" ht="15" customHeight="1" x14ac:dyDescent="0.25">
      <c r="E1125" s="15">
        <v>41128</v>
      </c>
      <c r="F1125" s="13">
        <v>1401.35</v>
      </c>
      <c r="G1125" s="13">
        <v>640.54</v>
      </c>
      <c r="H1125" s="17">
        <v>4.8894648759040338E-3</v>
      </c>
      <c r="I1125" s="17">
        <v>-4.1927260328940615E-3</v>
      </c>
      <c r="J1125" s="13"/>
      <c r="K1125" s="17"/>
      <c r="L1125" s="17"/>
      <c r="M1125" s="17"/>
      <c r="N1125" s="17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</row>
    <row r="1126" spans="5:25" ht="15" customHeight="1" x14ac:dyDescent="0.25">
      <c r="E1126" s="15">
        <v>41129</v>
      </c>
      <c r="F1126" s="13">
        <v>1402.22</v>
      </c>
      <c r="G1126" s="13">
        <v>642.23</v>
      </c>
      <c r="H1126" s="17">
        <v>4.0353335170231595E-4</v>
      </c>
      <c r="I1126" s="17">
        <v>1.9925444151010397E-3</v>
      </c>
      <c r="J1126" s="13"/>
      <c r="K1126" s="17"/>
      <c r="L1126" s="17"/>
      <c r="M1126" s="17"/>
      <c r="N1126" s="17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</row>
    <row r="1127" spans="5:25" ht="15" customHeight="1" x14ac:dyDescent="0.25">
      <c r="E1127" s="15">
        <v>41130</v>
      </c>
      <c r="F1127" s="13">
        <v>1402.8</v>
      </c>
      <c r="G1127" s="13">
        <v>642.35</v>
      </c>
      <c r="H1127" s="17">
        <v>1.9633325326898167E-4</v>
      </c>
      <c r="I1127" s="17">
        <v>-4.5900548767232593E-4</v>
      </c>
      <c r="J1127" s="13"/>
      <c r="K1127" s="17"/>
      <c r="L1127" s="17"/>
      <c r="M1127" s="17"/>
      <c r="N1127" s="17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</row>
    <row r="1128" spans="5:25" ht="15" customHeight="1" x14ac:dyDescent="0.25">
      <c r="E1128" s="15">
        <v>41131</v>
      </c>
      <c r="F1128" s="13">
        <v>1405.87</v>
      </c>
      <c r="G1128" s="13">
        <v>642</v>
      </c>
      <c r="H1128" s="17">
        <v>1.9711836201829857E-3</v>
      </c>
      <c r="I1128" s="17">
        <v>-1.1907287255858987E-3</v>
      </c>
      <c r="J1128" s="13"/>
      <c r="K1128" s="17"/>
      <c r="L1128" s="17"/>
      <c r="M1128" s="17"/>
      <c r="N1128" s="17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</row>
    <row r="1129" spans="5:25" ht="15" customHeight="1" x14ac:dyDescent="0.25">
      <c r="E1129" s="15">
        <v>41134</v>
      </c>
      <c r="F1129" s="13">
        <v>1404.11</v>
      </c>
      <c r="G1129" s="13">
        <v>660.01</v>
      </c>
      <c r="H1129" s="17">
        <v>-1.4691904074015357E-3</v>
      </c>
      <c r="I1129" s="17">
        <v>2.7407105065689181E-2</v>
      </c>
      <c r="J1129" s="13"/>
      <c r="K1129" s="17"/>
      <c r="L1129" s="17"/>
      <c r="M1129" s="17"/>
      <c r="N1129" s="17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</row>
    <row r="1130" spans="5:25" ht="15" customHeight="1" x14ac:dyDescent="0.25">
      <c r="E1130" s="15">
        <v>41135</v>
      </c>
      <c r="F1130" s="13">
        <v>1403.93</v>
      </c>
      <c r="G1130" s="13">
        <v>668.66</v>
      </c>
      <c r="H1130" s="17">
        <v>-3.4549164673988004E-4</v>
      </c>
      <c r="I1130" s="17">
        <v>1.2460007596524993E-2</v>
      </c>
      <c r="J1130" s="13"/>
      <c r="K1130" s="17"/>
      <c r="L1130" s="17"/>
      <c r="M1130" s="17"/>
      <c r="N1130" s="17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</row>
    <row r="1131" spans="5:25" ht="15" customHeight="1" x14ac:dyDescent="0.25">
      <c r="E1131" s="15">
        <v>41136</v>
      </c>
      <c r="F1131" s="13">
        <v>1405.53</v>
      </c>
      <c r="G1131" s="13">
        <v>667.54</v>
      </c>
      <c r="H1131" s="17">
        <v>9.2236139784553561E-4</v>
      </c>
      <c r="I1131" s="17">
        <v>-2.3208462104624189E-3</v>
      </c>
      <c r="J1131" s="13"/>
      <c r="K1131" s="17"/>
      <c r="L1131" s="17"/>
      <c r="M1131" s="17"/>
      <c r="N1131" s="17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</row>
    <row r="1132" spans="5:25" ht="15" customHeight="1" x14ac:dyDescent="0.25">
      <c r="E1132" s="15">
        <v>41137</v>
      </c>
      <c r="F1132" s="13">
        <v>1415.51</v>
      </c>
      <c r="G1132" s="13">
        <v>672.87</v>
      </c>
      <c r="H1132" s="17">
        <v>6.8832277950506837E-3</v>
      </c>
      <c r="I1132" s="17">
        <v>7.3386858164010719E-3</v>
      </c>
      <c r="J1132" s="13"/>
      <c r="K1132" s="17"/>
      <c r="L1132" s="17"/>
      <c r="M1132" s="17"/>
      <c r="N1132" s="17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</row>
    <row r="1133" spans="5:25" ht="15" customHeight="1" x14ac:dyDescent="0.25">
      <c r="E1133" s="15">
        <v>41138</v>
      </c>
      <c r="F1133" s="13">
        <v>1418.16</v>
      </c>
      <c r="G1133" s="13">
        <v>677.14</v>
      </c>
      <c r="H1133" s="17">
        <v>1.6548202012601411E-3</v>
      </c>
      <c r="I1133" s="17">
        <v>5.7000964907592735E-3</v>
      </c>
      <c r="J1133" s="13"/>
      <c r="K1133" s="17"/>
      <c r="L1133" s="17"/>
      <c r="M1133" s="17"/>
      <c r="N1133" s="17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</row>
    <row r="1134" spans="5:25" ht="15" customHeight="1" x14ac:dyDescent="0.25">
      <c r="E1134" s="15">
        <v>41141</v>
      </c>
      <c r="F1134" s="13">
        <v>1418.13</v>
      </c>
      <c r="G1134" s="13">
        <v>675.54</v>
      </c>
      <c r="H1134" s="17">
        <v>-2.3845073391181307E-4</v>
      </c>
      <c r="I1134" s="17">
        <v>-3.0087336041349881E-3</v>
      </c>
      <c r="J1134" s="13"/>
      <c r="K1134" s="17"/>
      <c r="L1134" s="17"/>
      <c r="M1134" s="17"/>
      <c r="N1134" s="17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</row>
    <row r="1135" spans="5:25" ht="15" customHeight="1" x14ac:dyDescent="0.25">
      <c r="E1135" s="15">
        <v>41142</v>
      </c>
      <c r="F1135" s="13">
        <v>1413.17</v>
      </c>
      <c r="G1135" s="13">
        <v>669.51</v>
      </c>
      <c r="H1135" s="17">
        <v>-3.7148602553415469E-3</v>
      </c>
      <c r="I1135" s="17">
        <v>-9.5720468152982446E-3</v>
      </c>
      <c r="J1135" s="13"/>
      <c r="K1135" s="17"/>
      <c r="L1135" s="17"/>
      <c r="M1135" s="17"/>
      <c r="N1135" s="17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</row>
    <row r="1136" spans="5:25" ht="15" customHeight="1" x14ac:dyDescent="0.25">
      <c r="E1136" s="15">
        <v>41143</v>
      </c>
      <c r="F1136" s="13">
        <v>1413.49</v>
      </c>
      <c r="G1136" s="13">
        <v>677.18</v>
      </c>
      <c r="H1136" s="17">
        <v>9.1447009500244074E-6</v>
      </c>
      <c r="I1136" s="17">
        <v>1.081028512888786E-2</v>
      </c>
      <c r="J1136" s="13"/>
      <c r="K1136" s="17"/>
      <c r="L1136" s="17"/>
      <c r="M1136" s="17"/>
      <c r="N1136" s="17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</row>
    <row r="1137" spans="5:25" ht="15" customHeight="1" x14ac:dyDescent="0.25">
      <c r="E1137" s="15">
        <v>41144</v>
      </c>
      <c r="F1137" s="13">
        <v>1402.08</v>
      </c>
      <c r="G1137" s="13">
        <v>676.8</v>
      </c>
      <c r="H1137" s="17">
        <v>-8.2895149720609226E-3</v>
      </c>
      <c r="I1137" s="17">
        <v>-1.2070050900519808E-3</v>
      </c>
      <c r="J1137" s="13"/>
      <c r="K1137" s="17"/>
      <c r="L1137" s="17"/>
      <c r="M1137" s="17"/>
      <c r="N1137" s="17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</row>
    <row r="1138" spans="5:25" ht="15" customHeight="1" x14ac:dyDescent="0.25">
      <c r="E1138" s="15">
        <v>41145</v>
      </c>
      <c r="F1138" s="13">
        <v>1411.13</v>
      </c>
      <c r="G1138" s="13">
        <v>678.63</v>
      </c>
      <c r="H1138" s="17">
        <v>6.237399318097081E-3</v>
      </c>
      <c r="I1138" s="17">
        <v>2.0580462733514032E-3</v>
      </c>
      <c r="J1138" s="13"/>
      <c r="K1138" s="17"/>
      <c r="L1138" s="17"/>
      <c r="M1138" s="17"/>
      <c r="N1138" s="17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</row>
    <row r="1139" spans="5:25" ht="15" customHeight="1" x14ac:dyDescent="0.25">
      <c r="E1139" s="15">
        <v>41148</v>
      </c>
      <c r="F1139" s="13">
        <v>1410.44</v>
      </c>
      <c r="G1139" s="13">
        <v>669.22</v>
      </c>
      <c r="H1139" s="17">
        <v>-7.0626639499645188E-4</v>
      </c>
      <c r="I1139" s="17">
        <v>-1.451202598737664E-2</v>
      </c>
      <c r="J1139" s="13"/>
      <c r="K1139" s="17"/>
      <c r="L1139" s="17"/>
      <c r="M1139" s="17"/>
      <c r="N1139" s="17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</row>
    <row r="1140" spans="5:25" ht="15" customHeight="1" x14ac:dyDescent="0.25">
      <c r="E1140" s="15">
        <v>41149</v>
      </c>
      <c r="F1140" s="13">
        <v>1409.3</v>
      </c>
      <c r="G1140" s="13">
        <v>677.25</v>
      </c>
      <c r="H1140" s="17">
        <v>-1.025554978122678E-3</v>
      </c>
      <c r="I1140" s="17">
        <v>1.1353189226903131E-2</v>
      </c>
      <c r="J1140" s="13"/>
      <c r="K1140" s="17"/>
      <c r="L1140" s="17"/>
      <c r="M1140" s="17"/>
      <c r="N1140" s="17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</row>
    <row r="1141" spans="5:25" ht="15" customHeight="1" x14ac:dyDescent="0.25">
      <c r="E1141" s="15">
        <v>41150</v>
      </c>
      <c r="F1141" s="13">
        <v>1410.49</v>
      </c>
      <c r="G1141" s="13">
        <v>688.01</v>
      </c>
      <c r="H1141" s="17">
        <v>6.2709427001893313E-4</v>
      </c>
      <c r="I1141" s="17">
        <v>1.5241927033308364E-2</v>
      </c>
      <c r="J1141" s="13"/>
      <c r="K1141" s="17"/>
      <c r="L1141" s="17"/>
      <c r="M1141" s="17"/>
      <c r="N1141" s="17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</row>
    <row r="1142" spans="5:25" ht="15" customHeight="1" x14ac:dyDescent="0.25">
      <c r="E1142" s="15">
        <v>41151</v>
      </c>
      <c r="F1142" s="13">
        <v>1399.48</v>
      </c>
      <c r="G1142" s="13">
        <v>681.68</v>
      </c>
      <c r="H1142" s="17">
        <v>-8.0230945474065504E-3</v>
      </c>
      <c r="I1142" s="17">
        <v>-9.8463021037802599E-3</v>
      </c>
      <c r="J1142" s="13"/>
      <c r="K1142" s="17"/>
      <c r="L1142" s="17"/>
      <c r="M1142" s="17"/>
      <c r="N1142" s="17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</row>
    <row r="1143" spans="5:25" ht="15" customHeight="1" x14ac:dyDescent="0.25">
      <c r="E1143" s="15">
        <v>41152</v>
      </c>
      <c r="F1143" s="13">
        <v>1406.58</v>
      </c>
      <c r="G1143" s="13">
        <v>685.09</v>
      </c>
      <c r="H1143" s="17">
        <v>4.8560163824988992E-3</v>
      </c>
      <c r="I1143" s="17">
        <v>4.3564927064857293E-3</v>
      </c>
      <c r="J1143" s="13"/>
      <c r="K1143" s="17"/>
      <c r="L1143" s="17"/>
      <c r="M1143" s="17"/>
      <c r="N1143" s="17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</row>
    <row r="1144" spans="5:25" ht="15" customHeight="1" x14ac:dyDescent="0.25">
      <c r="E1144" s="15">
        <v>41156</v>
      </c>
      <c r="F1144" s="13">
        <v>1404.94</v>
      </c>
      <c r="G1144" s="13">
        <v>681.04</v>
      </c>
      <c r="H1144" s="17">
        <v>-1.3832451752568903E-3</v>
      </c>
      <c r="I1144" s="17">
        <v>-6.5574864842124683E-3</v>
      </c>
      <c r="J1144" s="13"/>
      <c r="K1144" s="17"/>
      <c r="L1144" s="17"/>
      <c r="M1144" s="17"/>
      <c r="N1144" s="17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</row>
    <row r="1145" spans="5:25" ht="15" customHeight="1" x14ac:dyDescent="0.25">
      <c r="E1145" s="15">
        <v>41157</v>
      </c>
      <c r="F1145" s="13">
        <v>1403.44</v>
      </c>
      <c r="G1145" s="13">
        <v>680.72</v>
      </c>
      <c r="H1145" s="17">
        <v>-1.2849578147469995E-3</v>
      </c>
      <c r="I1145" s="17">
        <v>-1.1157240470513518E-3</v>
      </c>
      <c r="J1145" s="13"/>
      <c r="K1145" s="17"/>
      <c r="L1145" s="17"/>
      <c r="M1145" s="17"/>
      <c r="N1145" s="17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</row>
    <row r="1146" spans="5:25" ht="15" customHeight="1" x14ac:dyDescent="0.25">
      <c r="E1146" s="15">
        <v>41158</v>
      </c>
      <c r="F1146" s="13">
        <v>1432.12</v>
      </c>
      <c r="G1146" s="13">
        <v>699.4</v>
      </c>
      <c r="H1146" s="17">
        <v>2.0218204777256468E-2</v>
      </c>
      <c r="I1146" s="17">
        <v>2.6795678059136834E-2</v>
      </c>
      <c r="J1146" s="13"/>
      <c r="K1146" s="17"/>
      <c r="L1146" s="17"/>
      <c r="M1146" s="17"/>
      <c r="N1146" s="17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</row>
    <row r="1147" spans="5:25" ht="15" customHeight="1" x14ac:dyDescent="0.25">
      <c r="E1147" s="15">
        <v>41159</v>
      </c>
      <c r="F1147" s="13">
        <v>1437.92</v>
      </c>
      <c r="G1147" s="13">
        <v>706.15</v>
      </c>
      <c r="H1147" s="17">
        <v>3.8326433868570982E-3</v>
      </c>
      <c r="I1147" s="17">
        <v>9.0052751037369202E-3</v>
      </c>
      <c r="J1147" s="13"/>
      <c r="K1147" s="17"/>
      <c r="L1147" s="17"/>
      <c r="M1147" s="17"/>
      <c r="N1147" s="17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</row>
    <row r="1148" spans="5:25" ht="15" customHeight="1" x14ac:dyDescent="0.25">
      <c r="E1148" s="15">
        <v>41162</v>
      </c>
      <c r="F1148" s="13">
        <v>1429.08</v>
      </c>
      <c r="G1148" s="13">
        <v>700.77</v>
      </c>
      <c r="H1148" s="17">
        <v>-6.3650655619753574E-3</v>
      </c>
      <c r="I1148" s="17">
        <v>-8.2646323159222684E-3</v>
      </c>
      <c r="J1148" s="13"/>
      <c r="K1148" s="17"/>
      <c r="L1148" s="17"/>
      <c r="M1148" s="17"/>
      <c r="N1148" s="17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</row>
    <row r="1149" spans="5:25" ht="15" customHeight="1" x14ac:dyDescent="0.25">
      <c r="E1149" s="15">
        <v>41163</v>
      </c>
      <c r="F1149" s="13">
        <v>1433.56</v>
      </c>
      <c r="G1149" s="13">
        <v>692.19</v>
      </c>
      <c r="H1149" s="17">
        <v>2.9175874189934833E-3</v>
      </c>
      <c r="I1149" s="17">
        <v>-1.288952925071498E-2</v>
      </c>
      <c r="J1149" s="13"/>
      <c r="K1149" s="17"/>
      <c r="L1149" s="17"/>
      <c r="M1149" s="17"/>
      <c r="N1149" s="17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</row>
    <row r="1150" spans="5:25" ht="15" customHeight="1" x14ac:dyDescent="0.25">
      <c r="E1150" s="15">
        <v>41164</v>
      </c>
      <c r="F1150" s="13">
        <v>1436.56</v>
      </c>
      <c r="G1150" s="13">
        <v>690.88</v>
      </c>
      <c r="H1150" s="17">
        <v>1.8753957561148903E-3</v>
      </c>
      <c r="I1150" s="17">
        <v>-2.5383983905629755E-3</v>
      </c>
      <c r="J1150" s="13"/>
      <c r="K1150" s="17"/>
      <c r="L1150" s="17"/>
      <c r="M1150" s="17"/>
      <c r="N1150" s="17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</row>
    <row r="1151" spans="5:25" ht="15" customHeight="1" x14ac:dyDescent="0.25">
      <c r="E1151" s="15">
        <v>41165</v>
      </c>
      <c r="F1151" s="13">
        <v>1459.99</v>
      </c>
      <c r="G1151" s="13">
        <v>706.04</v>
      </c>
      <c r="H1151" s="17">
        <v>1.60924990605677E-2</v>
      </c>
      <c r="I1151" s="17">
        <v>2.1297174744307555E-2</v>
      </c>
      <c r="J1151" s="13"/>
      <c r="K1151" s="17"/>
      <c r="L1151" s="17"/>
      <c r="M1151" s="17"/>
      <c r="N1151" s="17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</row>
    <row r="1152" spans="5:25" ht="15" customHeight="1" x14ac:dyDescent="0.25">
      <c r="E1152" s="15">
        <v>41166</v>
      </c>
      <c r="F1152" s="13">
        <v>1465.77</v>
      </c>
      <c r="G1152" s="13">
        <v>709.68</v>
      </c>
      <c r="H1152" s="17">
        <v>3.7416346632471666E-3</v>
      </c>
      <c r="I1152" s="17">
        <v>4.5096608323883011E-3</v>
      </c>
      <c r="J1152" s="13"/>
      <c r="K1152" s="17"/>
      <c r="L1152" s="17"/>
      <c r="M1152" s="17"/>
      <c r="N1152" s="17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</row>
    <row r="1153" spans="5:25" ht="15" customHeight="1" x14ac:dyDescent="0.25">
      <c r="E1153" s="15">
        <v>41169</v>
      </c>
      <c r="F1153" s="13">
        <v>1461.19</v>
      </c>
      <c r="G1153" s="13">
        <v>709.98</v>
      </c>
      <c r="H1153" s="17">
        <v>-3.3419341248189802E-3</v>
      </c>
      <c r="I1153" s="17">
        <v>-2.2312870032567517E-4</v>
      </c>
      <c r="J1153" s="13"/>
      <c r="K1153" s="17"/>
      <c r="L1153" s="17"/>
      <c r="M1153" s="17"/>
      <c r="N1153" s="17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</row>
    <row r="1154" spans="5:25" ht="15" customHeight="1" x14ac:dyDescent="0.25">
      <c r="E1154" s="15">
        <v>41170</v>
      </c>
      <c r="F1154" s="13">
        <v>1459.32</v>
      </c>
      <c r="G1154" s="13">
        <v>718.28</v>
      </c>
      <c r="H1154" s="17">
        <v>-1.4970753727308157E-3</v>
      </c>
      <c r="I1154" s="17">
        <v>1.1044615718220394E-2</v>
      </c>
      <c r="J1154" s="13"/>
      <c r="K1154" s="17"/>
      <c r="L1154" s="17"/>
      <c r="M1154" s="17"/>
      <c r="N1154" s="17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</row>
    <row r="1155" spans="5:25" ht="15" customHeight="1" x14ac:dyDescent="0.25">
      <c r="E1155" s="15">
        <v>41171</v>
      </c>
      <c r="F1155" s="13">
        <v>1461.05</v>
      </c>
      <c r="G1155" s="13">
        <v>727.5</v>
      </c>
      <c r="H1155" s="17">
        <v>9.6818708760996759E-4</v>
      </c>
      <c r="I1155" s="17">
        <v>1.2190365422682529E-2</v>
      </c>
      <c r="J1155" s="13"/>
      <c r="K1155" s="17"/>
      <c r="L1155" s="17"/>
      <c r="M1155" s="17"/>
      <c r="N1155" s="17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</row>
    <row r="1156" spans="5:25" ht="15" customHeight="1" x14ac:dyDescent="0.25">
      <c r="E1156" s="15">
        <v>41172</v>
      </c>
      <c r="F1156" s="13">
        <v>1460.26</v>
      </c>
      <c r="G1156" s="13">
        <v>728.12</v>
      </c>
      <c r="H1156" s="17">
        <v>-7.5800358807831167E-4</v>
      </c>
      <c r="I1156" s="17">
        <v>2.0637924110749004E-4</v>
      </c>
      <c r="J1156" s="13"/>
      <c r="K1156" s="17"/>
      <c r="L1156" s="17"/>
      <c r="M1156" s="17"/>
      <c r="N1156" s="17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</row>
    <row r="1157" spans="5:25" ht="15" customHeight="1" x14ac:dyDescent="0.25">
      <c r="E1157" s="15">
        <v>41173</v>
      </c>
      <c r="F1157" s="13">
        <v>1460.15</v>
      </c>
      <c r="G1157" s="13">
        <v>733.99</v>
      </c>
      <c r="H1157" s="17">
        <v>-2.9262561330009243E-4</v>
      </c>
      <c r="I1157" s="17">
        <v>7.4160034996366819E-3</v>
      </c>
      <c r="J1157" s="13"/>
      <c r="K1157" s="17"/>
      <c r="L1157" s="17"/>
      <c r="M1157" s="17"/>
      <c r="N1157" s="17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</row>
    <row r="1158" spans="5:25" ht="15" customHeight="1" x14ac:dyDescent="0.25">
      <c r="E1158" s="15">
        <v>41176</v>
      </c>
      <c r="F1158" s="13">
        <v>1456.89</v>
      </c>
      <c r="G1158" s="13">
        <v>749.38</v>
      </c>
      <c r="H1158" s="17">
        <v>-2.4499438930628628E-3</v>
      </c>
      <c r="I1158" s="17">
        <v>2.032173367841103E-2</v>
      </c>
      <c r="J1158" s="13"/>
      <c r="K1158" s="17"/>
      <c r="L1158" s="17"/>
      <c r="M1158" s="17"/>
      <c r="N1158" s="17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</row>
    <row r="1159" spans="5:25" ht="15" customHeight="1" x14ac:dyDescent="0.25">
      <c r="E1159" s="15">
        <v>41177</v>
      </c>
      <c r="F1159" s="13">
        <v>1441.59</v>
      </c>
      <c r="G1159" s="13">
        <v>749.16</v>
      </c>
      <c r="H1159" s="17">
        <v>-1.0719118937368375E-2</v>
      </c>
      <c r="I1159" s="17">
        <v>-9.3943045871400742E-4</v>
      </c>
      <c r="J1159" s="13"/>
      <c r="K1159" s="17"/>
      <c r="L1159" s="17"/>
      <c r="M1159" s="17"/>
      <c r="N1159" s="17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</row>
    <row r="1160" spans="5:25" ht="15" customHeight="1" x14ac:dyDescent="0.25">
      <c r="E1160" s="15">
        <v>41178</v>
      </c>
      <c r="F1160" s="13">
        <v>1433.32</v>
      </c>
      <c r="G1160" s="13">
        <v>753.46</v>
      </c>
      <c r="H1160" s="17">
        <v>-5.9540178214744005E-3</v>
      </c>
      <c r="I1160" s="17">
        <v>5.0939074307554972E-3</v>
      </c>
      <c r="J1160" s="13"/>
      <c r="K1160" s="17"/>
      <c r="L1160" s="17"/>
      <c r="M1160" s="17"/>
      <c r="N1160" s="17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</row>
    <row r="1161" spans="5:25" ht="15" customHeight="1" x14ac:dyDescent="0.25">
      <c r="E1161" s="15">
        <v>41179</v>
      </c>
      <c r="F1161" s="13">
        <v>1447.15</v>
      </c>
      <c r="G1161" s="13">
        <v>756.5</v>
      </c>
      <c r="H1161" s="17">
        <v>9.4316304044533075E-3</v>
      </c>
      <c r="I1161" s="17">
        <v>3.3888653900015315E-3</v>
      </c>
      <c r="J1161" s="13"/>
      <c r="K1161" s="17"/>
      <c r="L1161" s="17"/>
      <c r="M1161" s="17"/>
      <c r="N1161" s="17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</row>
    <row r="1162" spans="5:25" ht="15" customHeight="1" x14ac:dyDescent="0.25">
      <c r="E1162" s="15">
        <v>41180</v>
      </c>
      <c r="F1162" s="13">
        <v>1440.67</v>
      </c>
      <c r="G1162" s="13">
        <v>754.5</v>
      </c>
      <c r="H1162" s="17">
        <v>-4.6950632070937503E-3</v>
      </c>
      <c r="I1162" s="17">
        <v>-3.2896085667342848E-3</v>
      </c>
      <c r="J1162" s="13"/>
      <c r="K1162" s="17"/>
      <c r="L1162" s="17"/>
      <c r="M1162" s="17"/>
      <c r="N1162" s="17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</row>
    <row r="1163" spans="5:25" ht="15" customHeight="1" x14ac:dyDescent="0.25">
      <c r="E1163" s="15">
        <v>41183</v>
      </c>
      <c r="F1163" s="13">
        <v>1444.49</v>
      </c>
      <c r="G1163" s="13">
        <v>761.78</v>
      </c>
      <c r="H1163" s="17">
        <v>2.4342475109345265E-3</v>
      </c>
      <c r="I1163" s="17">
        <v>9.0029195866630236E-3</v>
      </c>
      <c r="J1163" s="13"/>
      <c r="K1163" s="17"/>
      <c r="L1163" s="17"/>
      <c r="M1163" s="17"/>
      <c r="N1163" s="17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</row>
    <row r="1164" spans="5:25" ht="15" customHeight="1" x14ac:dyDescent="0.25">
      <c r="E1164" s="15">
        <v>41184</v>
      </c>
      <c r="F1164" s="13">
        <v>1445.75</v>
      </c>
      <c r="G1164" s="13">
        <v>756.99</v>
      </c>
      <c r="H1164" s="17">
        <v>6.5498361962355064E-4</v>
      </c>
      <c r="I1164" s="17">
        <v>-6.933759080253973E-3</v>
      </c>
      <c r="J1164" s="13"/>
      <c r="K1164" s="17"/>
      <c r="L1164" s="17"/>
      <c r="M1164" s="17"/>
      <c r="N1164" s="17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</row>
    <row r="1165" spans="5:25" ht="15" customHeight="1" x14ac:dyDescent="0.25">
      <c r="E1165" s="15">
        <v>41185</v>
      </c>
      <c r="F1165" s="13">
        <v>1450.99</v>
      </c>
      <c r="G1165" s="13">
        <v>762.5</v>
      </c>
      <c r="H1165" s="17">
        <v>3.4071198305664972E-3</v>
      </c>
      <c r="I1165" s="17">
        <v>6.6329735539332598E-3</v>
      </c>
      <c r="J1165" s="13"/>
      <c r="K1165" s="17"/>
      <c r="L1165" s="17"/>
      <c r="M1165" s="17"/>
      <c r="N1165" s="17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</row>
    <row r="1166" spans="5:25" ht="15" customHeight="1" x14ac:dyDescent="0.25">
      <c r="E1166" s="15">
        <v>41186</v>
      </c>
      <c r="F1166" s="13">
        <v>1461.4</v>
      </c>
      <c r="G1166" s="13">
        <v>768.05</v>
      </c>
      <c r="H1166" s="17">
        <v>6.9571153909089752E-3</v>
      </c>
      <c r="I1166" s="17">
        <v>6.6328340887217094E-3</v>
      </c>
      <c r="J1166" s="13"/>
      <c r="K1166" s="17"/>
      <c r="L1166" s="17"/>
      <c r="M1166" s="17"/>
      <c r="N1166" s="17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</row>
    <row r="1167" spans="5:25" ht="15" customHeight="1" x14ac:dyDescent="0.25">
      <c r="E1167" s="15">
        <v>41187</v>
      </c>
      <c r="F1167" s="13">
        <v>1460.93</v>
      </c>
      <c r="G1167" s="13">
        <v>767.65</v>
      </c>
      <c r="H1167" s="17">
        <v>-5.3890597793802212E-4</v>
      </c>
      <c r="I1167" s="17">
        <v>-1.1666538629890851E-3</v>
      </c>
      <c r="J1167" s="13"/>
      <c r="K1167" s="17"/>
      <c r="L1167" s="17"/>
      <c r="M1167" s="17"/>
      <c r="N1167" s="17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</row>
    <row r="1168" spans="5:25" ht="15" customHeight="1" x14ac:dyDescent="0.25">
      <c r="E1168" s="15">
        <v>41190</v>
      </c>
      <c r="F1168" s="13">
        <v>1455.88</v>
      </c>
      <c r="G1168" s="13">
        <v>757.84</v>
      </c>
      <c r="H1168" s="17">
        <v>-3.6739987999249387E-3</v>
      </c>
      <c r="I1168" s="17">
        <v>-1.3425115818008754E-2</v>
      </c>
      <c r="J1168" s="13"/>
      <c r="K1168" s="17"/>
      <c r="L1168" s="17"/>
      <c r="M1168" s="17"/>
      <c r="N1168" s="17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</row>
    <row r="1169" spans="5:25" ht="15" customHeight="1" x14ac:dyDescent="0.25">
      <c r="E1169" s="15">
        <v>41191</v>
      </c>
      <c r="F1169" s="13">
        <v>1441.48</v>
      </c>
      <c r="G1169" s="13">
        <v>744.09</v>
      </c>
      <c r="H1169" s="17">
        <v>-1.0108221638551719E-2</v>
      </c>
      <c r="I1169" s="17">
        <v>-1.8789525923253655E-2</v>
      </c>
      <c r="J1169" s="13"/>
      <c r="K1169" s="17"/>
      <c r="L1169" s="17"/>
      <c r="M1169" s="17"/>
      <c r="N1169" s="17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</row>
    <row r="1170" spans="5:25" ht="15" customHeight="1" x14ac:dyDescent="0.25">
      <c r="E1170" s="15">
        <v>41192</v>
      </c>
      <c r="F1170" s="13">
        <v>1432.56</v>
      </c>
      <c r="G1170" s="13">
        <v>744.56</v>
      </c>
      <c r="H1170" s="17">
        <v>-6.4053810310496341E-3</v>
      </c>
      <c r="I1170" s="17">
        <v>-1.4210414311922861E-5</v>
      </c>
      <c r="J1170" s="13"/>
      <c r="K1170" s="17"/>
      <c r="L1170" s="17"/>
      <c r="M1170" s="17"/>
      <c r="N1170" s="17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</row>
    <row r="1171" spans="5:25" ht="15" customHeight="1" x14ac:dyDescent="0.25">
      <c r="E1171" s="15">
        <v>41193</v>
      </c>
      <c r="F1171" s="13">
        <v>1432.84</v>
      </c>
      <c r="G1171" s="13">
        <v>751.48</v>
      </c>
      <c r="H1171" s="17">
        <v>-2.1842270691369905E-5</v>
      </c>
      <c r="I1171" s="17">
        <v>8.6482252890697636E-3</v>
      </c>
      <c r="J1171" s="13"/>
      <c r="K1171" s="17"/>
      <c r="L1171" s="17"/>
      <c r="M1171" s="17"/>
      <c r="N1171" s="17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</row>
    <row r="1172" spans="5:25" ht="15" customHeight="1" x14ac:dyDescent="0.25">
      <c r="E1172" s="15">
        <v>41194</v>
      </c>
      <c r="F1172" s="13">
        <v>1428.59</v>
      </c>
      <c r="G1172" s="13">
        <v>744.75</v>
      </c>
      <c r="H1172" s="17">
        <v>-3.1834337444090585E-3</v>
      </c>
      <c r="I1172" s="17">
        <v>-9.6015152651653096E-3</v>
      </c>
      <c r="J1172" s="13"/>
      <c r="K1172" s="17"/>
      <c r="L1172" s="17"/>
      <c r="M1172" s="17"/>
      <c r="N1172" s="17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</row>
    <row r="1173" spans="5:25" ht="15" customHeight="1" x14ac:dyDescent="0.25">
      <c r="E1173" s="15">
        <v>41197</v>
      </c>
      <c r="F1173" s="13">
        <v>1440.13</v>
      </c>
      <c r="G1173" s="13">
        <v>740.98</v>
      </c>
      <c r="H1173" s="17">
        <v>7.860598425055992E-3</v>
      </c>
      <c r="I1173" s="17">
        <v>-5.7079558121692275E-3</v>
      </c>
      <c r="J1173" s="13"/>
      <c r="K1173" s="17"/>
      <c r="L1173" s="17"/>
      <c r="M1173" s="17"/>
      <c r="N1173" s="17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</row>
    <row r="1174" spans="5:25" ht="15" customHeight="1" x14ac:dyDescent="0.25">
      <c r="E1174" s="15">
        <v>41198</v>
      </c>
      <c r="F1174" s="13">
        <v>1454.92</v>
      </c>
      <c r="G1174" s="13">
        <v>744.7</v>
      </c>
      <c r="H1174" s="17">
        <v>1.005260962671543E-2</v>
      </c>
      <c r="I1174" s="17">
        <v>4.3745239819026052E-3</v>
      </c>
      <c r="J1174" s="13"/>
      <c r="K1174" s="17"/>
      <c r="L1174" s="17"/>
      <c r="M1174" s="17"/>
      <c r="N1174" s="17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</row>
    <row r="1175" spans="5:25" ht="15" customHeight="1" x14ac:dyDescent="0.25">
      <c r="E1175" s="15">
        <v>41199</v>
      </c>
      <c r="F1175" s="13">
        <v>1460.91</v>
      </c>
      <c r="G1175" s="13">
        <v>755.49</v>
      </c>
      <c r="H1175" s="17">
        <v>3.8997682934904586E-3</v>
      </c>
      <c r="I1175" s="17">
        <v>1.3843201559834513E-2</v>
      </c>
      <c r="J1175" s="13"/>
      <c r="K1175" s="17"/>
      <c r="L1175" s="17"/>
      <c r="M1175" s="17"/>
      <c r="N1175" s="17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</row>
    <row r="1176" spans="5:25" ht="15" customHeight="1" x14ac:dyDescent="0.25">
      <c r="E1176" s="15">
        <v>41200</v>
      </c>
      <c r="F1176" s="13">
        <v>1457.34</v>
      </c>
      <c r="G1176" s="13">
        <v>695</v>
      </c>
      <c r="H1176" s="17">
        <v>-2.6609789246723574E-3</v>
      </c>
      <c r="I1176" s="17">
        <v>-8.0713095564142828E-2</v>
      </c>
      <c r="J1176" s="13"/>
      <c r="K1176" s="17"/>
      <c r="L1176" s="17"/>
      <c r="M1176" s="17"/>
      <c r="N1176" s="17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</row>
    <row r="1177" spans="5:25" ht="15" customHeight="1" x14ac:dyDescent="0.25">
      <c r="E1177" s="15">
        <v>41201</v>
      </c>
      <c r="F1177" s="13">
        <v>1433.19</v>
      </c>
      <c r="G1177" s="13">
        <v>681.79</v>
      </c>
      <c r="H1177" s="17">
        <v>-1.6788583976364919E-2</v>
      </c>
      <c r="I1177" s="17">
        <v>-1.9653048680472775E-2</v>
      </c>
      <c r="J1177" s="13"/>
      <c r="K1177" s="17"/>
      <c r="L1177" s="17"/>
      <c r="M1177" s="17"/>
      <c r="N1177" s="17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</row>
    <row r="1178" spans="5:25" ht="15" customHeight="1" x14ac:dyDescent="0.25">
      <c r="E1178" s="15">
        <v>41204</v>
      </c>
      <c r="F1178" s="13">
        <v>1433.82</v>
      </c>
      <c r="G1178" s="13">
        <v>678.67</v>
      </c>
      <c r="H1178" s="17">
        <v>2.2228227929591774E-4</v>
      </c>
      <c r="I1178" s="17">
        <v>-5.2220435850199535E-3</v>
      </c>
      <c r="J1178" s="13"/>
      <c r="K1178" s="17"/>
      <c r="L1178" s="17"/>
      <c r="M1178" s="17"/>
      <c r="N1178" s="17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</row>
    <row r="1179" spans="5:25" ht="15" customHeight="1" x14ac:dyDescent="0.25">
      <c r="E1179" s="15">
        <v>41205</v>
      </c>
      <c r="F1179" s="13">
        <v>1413.11</v>
      </c>
      <c r="G1179" s="13">
        <v>680.35</v>
      </c>
      <c r="H1179" s="17">
        <v>-1.4661229552503201E-2</v>
      </c>
      <c r="I1179" s="17">
        <v>1.829575449053525E-3</v>
      </c>
      <c r="J1179" s="13"/>
      <c r="K1179" s="17"/>
      <c r="L1179" s="17"/>
      <c r="M1179" s="17"/>
      <c r="N1179" s="17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</row>
    <row r="1180" spans="5:25" ht="15" customHeight="1" x14ac:dyDescent="0.25">
      <c r="E1180" s="15">
        <v>41206</v>
      </c>
      <c r="F1180" s="13">
        <v>1408.75</v>
      </c>
      <c r="G1180" s="13">
        <v>677.3</v>
      </c>
      <c r="H1180" s="17">
        <v>-3.3026897730287917E-3</v>
      </c>
      <c r="I1180" s="17">
        <v>-5.1288411338915318E-3</v>
      </c>
      <c r="J1180" s="13"/>
      <c r="K1180" s="17"/>
      <c r="L1180" s="17"/>
      <c r="M1180" s="17"/>
      <c r="N1180" s="17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</row>
    <row r="1181" spans="5:25" ht="15" customHeight="1" x14ac:dyDescent="0.25">
      <c r="E1181" s="15">
        <v>41207</v>
      </c>
      <c r="F1181" s="13">
        <v>1412.97</v>
      </c>
      <c r="G1181" s="13">
        <v>677.76</v>
      </c>
      <c r="H1181" s="17">
        <v>2.7782668804592387E-3</v>
      </c>
      <c r="I1181" s="17">
        <v>3.3312845985966971E-5</v>
      </c>
      <c r="J1181" s="13"/>
      <c r="K1181" s="17"/>
      <c r="L1181" s="17"/>
      <c r="M1181" s="17"/>
      <c r="N1181" s="17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</row>
    <row r="1182" spans="5:25" ht="15" customHeight="1" x14ac:dyDescent="0.25">
      <c r="E1182" s="15">
        <v>41208</v>
      </c>
      <c r="F1182" s="13">
        <v>1411.94</v>
      </c>
      <c r="G1182" s="13">
        <v>675.15</v>
      </c>
      <c r="H1182" s="17">
        <v>-9.4625754520336048E-4</v>
      </c>
      <c r="I1182" s="17">
        <v>-4.4967751157551404E-3</v>
      </c>
      <c r="J1182" s="13"/>
      <c r="K1182" s="17"/>
      <c r="L1182" s="17"/>
      <c r="M1182" s="17"/>
      <c r="N1182" s="17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</row>
    <row r="1183" spans="5:25" ht="15" customHeight="1" x14ac:dyDescent="0.25">
      <c r="E1183" s="15">
        <v>41213</v>
      </c>
      <c r="F1183" s="13">
        <v>1412.16</v>
      </c>
      <c r="G1183" s="13">
        <v>680.3</v>
      </c>
      <c r="H1183" s="17">
        <v>-6.1482575879154739E-5</v>
      </c>
      <c r="I1183" s="17">
        <v>6.982080097198271E-3</v>
      </c>
      <c r="J1183" s="13"/>
      <c r="K1183" s="17"/>
      <c r="L1183" s="17"/>
      <c r="M1183" s="17"/>
      <c r="N1183" s="17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</row>
    <row r="1184" spans="5:25" ht="15" customHeight="1" x14ac:dyDescent="0.25">
      <c r="E1184" s="15">
        <v>41214</v>
      </c>
      <c r="F1184" s="13">
        <v>1427.59</v>
      </c>
      <c r="G1184" s="13">
        <v>687.59</v>
      </c>
      <c r="H1184" s="17">
        <v>1.07092273443303E-2</v>
      </c>
      <c r="I1184" s="17">
        <v>1.0070006213844906E-2</v>
      </c>
      <c r="J1184" s="13"/>
      <c r="K1184" s="17"/>
      <c r="L1184" s="17"/>
      <c r="M1184" s="17"/>
      <c r="N1184" s="17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</row>
    <row r="1185" spans="5:25" ht="15" customHeight="1" x14ac:dyDescent="0.25">
      <c r="E1185" s="15">
        <v>41215</v>
      </c>
      <c r="F1185" s="13">
        <v>1414.2</v>
      </c>
      <c r="G1185" s="13">
        <v>687.92</v>
      </c>
      <c r="H1185" s="17">
        <v>-9.596740240115826E-3</v>
      </c>
      <c r="I1185" s="17">
        <v>-1.6591726400731684E-4</v>
      </c>
      <c r="J1185" s="13"/>
      <c r="K1185" s="17"/>
      <c r="L1185" s="17"/>
      <c r="M1185" s="17"/>
      <c r="N1185" s="17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</row>
    <row r="1186" spans="5:25" ht="15" customHeight="1" x14ac:dyDescent="0.25">
      <c r="E1186" s="15">
        <v>41218</v>
      </c>
      <c r="F1186" s="13">
        <v>1417.26</v>
      </c>
      <c r="G1186" s="13">
        <v>682.96</v>
      </c>
      <c r="H1186" s="17">
        <v>1.9464709387514976E-3</v>
      </c>
      <c r="I1186" s="17">
        <v>-7.8559951499049714E-3</v>
      </c>
      <c r="J1186" s="13"/>
      <c r="K1186" s="17"/>
      <c r="L1186" s="17"/>
      <c r="M1186" s="17"/>
      <c r="N1186" s="17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</row>
    <row r="1187" spans="5:25" ht="15" customHeight="1" x14ac:dyDescent="0.25">
      <c r="E1187" s="15">
        <v>41219</v>
      </c>
      <c r="F1187" s="13">
        <v>1428.39</v>
      </c>
      <c r="G1187" s="13">
        <v>681.72</v>
      </c>
      <c r="H1187" s="17">
        <v>7.6358849287369293E-3</v>
      </c>
      <c r="I1187" s="17">
        <v>-2.4614805340294017E-3</v>
      </c>
      <c r="J1187" s="13"/>
      <c r="K1187" s="17"/>
      <c r="L1187" s="17"/>
      <c r="M1187" s="17"/>
      <c r="N1187" s="17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</row>
    <row r="1188" spans="5:25" ht="15" customHeight="1" x14ac:dyDescent="0.25">
      <c r="E1188" s="15">
        <v>41220</v>
      </c>
      <c r="F1188" s="13">
        <v>1394.53</v>
      </c>
      <c r="G1188" s="13">
        <v>667.12</v>
      </c>
      <c r="H1188" s="17">
        <v>-2.3922307098647289E-2</v>
      </c>
      <c r="I1188" s="17">
        <v>-2.2062271733292619E-2</v>
      </c>
      <c r="J1188" s="13"/>
      <c r="K1188" s="17"/>
      <c r="L1188" s="17"/>
      <c r="M1188" s="17"/>
      <c r="N1188" s="17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</row>
    <row r="1189" spans="5:25" ht="15" customHeight="1" x14ac:dyDescent="0.25">
      <c r="E1189" s="15">
        <v>41221</v>
      </c>
      <c r="F1189" s="13">
        <v>1377.51</v>
      </c>
      <c r="G1189" s="13">
        <v>652.29</v>
      </c>
      <c r="H1189" s="17">
        <v>-1.2422125429382667E-2</v>
      </c>
      <c r="I1189" s="17">
        <v>-2.2875738114966671E-2</v>
      </c>
      <c r="J1189" s="13"/>
      <c r="K1189" s="17"/>
      <c r="L1189" s="17"/>
      <c r="M1189" s="17"/>
      <c r="N1189" s="17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</row>
    <row r="1190" spans="5:25" ht="15" customHeight="1" x14ac:dyDescent="0.25">
      <c r="E1190" s="15">
        <v>41222</v>
      </c>
      <c r="F1190" s="13">
        <v>1379.85</v>
      </c>
      <c r="G1190" s="13">
        <v>663.03</v>
      </c>
      <c r="H1190" s="17">
        <v>1.4814206883822921E-3</v>
      </c>
      <c r="I1190" s="17">
        <v>1.5819214781810798E-2</v>
      </c>
      <c r="J1190" s="13"/>
      <c r="K1190" s="17"/>
      <c r="L1190" s="17"/>
      <c r="M1190" s="17"/>
      <c r="N1190" s="17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</row>
    <row r="1191" spans="5:25" ht="15" customHeight="1" x14ac:dyDescent="0.25">
      <c r="E1191" s="15">
        <v>41225</v>
      </c>
      <c r="F1191" s="13">
        <v>1380.03</v>
      </c>
      <c r="G1191" s="13">
        <v>665.9</v>
      </c>
      <c r="H1191" s="17">
        <v>-8.6847600465494334E-5</v>
      </c>
      <c r="I1191" s="17">
        <v>3.6827581457643519E-3</v>
      </c>
      <c r="J1191" s="13"/>
      <c r="K1191" s="17"/>
      <c r="L1191" s="17"/>
      <c r="M1191" s="17"/>
      <c r="N1191" s="17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</row>
    <row r="1192" spans="5:25" ht="15" customHeight="1" x14ac:dyDescent="0.25">
      <c r="E1192" s="15">
        <v>41226</v>
      </c>
      <c r="F1192" s="13">
        <v>1374.53</v>
      </c>
      <c r="G1192" s="13">
        <v>659.05</v>
      </c>
      <c r="H1192" s="17">
        <v>-4.2027171691075759E-3</v>
      </c>
      <c r="I1192" s="17">
        <v>-1.0932684290200938E-2</v>
      </c>
      <c r="J1192" s="13"/>
      <c r="K1192" s="17"/>
      <c r="L1192" s="17"/>
      <c r="M1192" s="17"/>
      <c r="N1192" s="17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</row>
    <row r="1193" spans="5:25" ht="15" customHeight="1" x14ac:dyDescent="0.25">
      <c r="E1193" s="15">
        <v>41227</v>
      </c>
      <c r="F1193" s="13">
        <v>1355.49</v>
      </c>
      <c r="G1193" s="13">
        <v>652.54999999999995</v>
      </c>
      <c r="H1193" s="17">
        <v>-1.4069304157632667E-2</v>
      </c>
      <c r="I1193" s="17">
        <v>-1.0508535567800781E-2</v>
      </c>
      <c r="J1193" s="13"/>
      <c r="K1193" s="17"/>
      <c r="L1193" s="17"/>
      <c r="M1193" s="17"/>
      <c r="N1193" s="17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</row>
    <row r="1194" spans="5:25" ht="15" customHeight="1" x14ac:dyDescent="0.25">
      <c r="E1194" s="15">
        <v>41228</v>
      </c>
      <c r="F1194" s="13">
        <v>1353.33</v>
      </c>
      <c r="G1194" s="13">
        <v>647.26</v>
      </c>
      <c r="H1194" s="17">
        <v>-1.810816248916968E-3</v>
      </c>
      <c r="I1194" s="17">
        <v>-8.7525129294704768E-3</v>
      </c>
      <c r="J1194" s="13"/>
      <c r="K1194" s="17"/>
      <c r="L1194" s="17"/>
      <c r="M1194" s="17"/>
      <c r="N1194" s="17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</row>
    <row r="1195" spans="5:25" ht="15" customHeight="1" x14ac:dyDescent="0.25">
      <c r="E1195" s="15">
        <v>41229</v>
      </c>
      <c r="F1195" s="13">
        <v>1359.88</v>
      </c>
      <c r="G1195" s="13">
        <v>647.17999999999995</v>
      </c>
      <c r="H1195" s="17">
        <v>4.622616836492302E-3</v>
      </c>
      <c r="I1195" s="17">
        <v>-7.6945237178292531E-4</v>
      </c>
      <c r="J1195" s="13"/>
      <c r="K1195" s="17"/>
      <c r="L1195" s="17"/>
      <c r="M1195" s="17"/>
      <c r="N1195" s="17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</row>
    <row r="1196" spans="5:25" ht="15" customHeight="1" x14ac:dyDescent="0.25">
      <c r="E1196" s="15">
        <v>41232</v>
      </c>
      <c r="F1196" s="13">
        <v>1386.89</v>
      </c>
      <c r="G1196" s="13">
        <v>668.21</v>
      </c>
      <c r="H1196" s="17">
        <v>1.9644750088865931E-2</v>
      </c>
      <c r="I1196" s="17">
        <v>3.1848969260784718E-2</v>
      </c>
      <c r="J1196" s="13"/>
      <c r="K1196" s="17"/>
      <c r="L1196" s="17"/>
      <c r="M1196" s="17"/>
      <c r="N1196" s="17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</row>
    <row r="1197" spans="5:25" ht="15" customHeight="1" x14ac:dyDescent="0.25">
      <c r="E1197" s="15">
        <v>41233</v>
      </c>
      <c r="F1197" s="13">
        <v>1387.81</v>
      </c>
      <c r="G1197" s="13">
        <v>669.97</v>
      </c>
      <c r="H1197" s="17">
        <v>4.4605813777518844E-4</v>
      </c>
      <c r="I1197" s="17">
        <v>1.9880480798077547E-3</v>
      </c>
      <c r="J1197" s="13"/>
      <c r="K1197" s="17"/>
      <c r="L1197" s="17"/>
      <c r="M1197" s="17"/>
      <c r="N1197" s="17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</row>
    <row r="1198" spans="5:25" ht="15" customHeight="1" x14ac:dyDescent="0.25">
      <c r="E1198" s="15">
        <v>41234</v>
      </c>
      <c r="F1198" s="13">
        <v>1391.03</v>
      </c>
      <c r="G1198" s="13">
        <v>665.87</v>
      </c>
      <c r="H1198" s="17">
        <v>2.1029057708632356E-3</v>
      </c>
      <c r="I1198" s="17">
        <v>-6.7655314363311621E-3</v>
      </c>
      <c r="J1198" s="13"/>
      <c r="K1198" s="17"/>
      <c r="L1198" s="17"/>
      <c r="M1198" s="17"/>
      <c r="N1198" s="17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</row>
    <row r="1199" spans="5:25" ht="15" customHeight="1" x14ac:dyDescent="0.25">
      <c r="E1199" s="15">
        <v>41236</v>
      </c>
      <c r="F1199" s="13">
        <v>1409.15</v>
      </c>
      <c r="G1199" s="13">
        <v>667.97</v>
      </c>
      <c r="H1199" s="17">
        <v>1.2809022064895131E-2</v>
      </c>
      <c r="I1199" s="17">
        <v>2.5079143177921697E-3</v>
      </c>
      <c r="J1199" s="13"/>
      <c r="K1199" s="17"/>
      <c r="L1199" s="17"/>
      <c r="M1199" s="17"/>
      <c r="N1199" s="17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</row>
    <row r="1200" spans="5:25" ht="15" customHeight="1" x14ac:dyDescent="0.25">
      <c r="E1200" s="15">
        <v>41239</v>
      </c>
      <c r="F1200" s="13">
        <v>1406.29</v>
      </c>
      <c r="G1200" s="13">
        <v>661.15</v>
      </c>
      <c r="H1200" s="17">
        <v>-2.2468888697285395E-3</v>
      </c>
      <c r="I1200" s="17">
        <v>-1.085589380889419E-2</v>
      </c>
      <c r="J1200" s="13"/>
      <c r="K1200" s="17"/>
      <c r="L1200" s="17"/>
      <c r="M1200" s="17"/>
      <c r="N1200" s="17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</row>
    <row r="1201" spans="5:25" ht="15" customHeight="1" x14ac:dyDescent="0.25">
      <c r="E1201" s="15">
        <v>41240</v>
      </c>
      <c r="F1201" s="13">
        <v>1398.94</v>
      </c>
      <c r="G1201" s="13">
        <v>670.71</v>
      </c>
      <c r="H1201" s="17">
        <v>-5.443814563574915E-3</v>
      </c>
      <c r="I1201" s="17">
        <v>1.3813799197951405E-2</v>
      </c>
      <c r="J1201" s="13"/>
      <c r="K1201" s="17"/>
      <c r="L1201" s="17"/>
      <c r="M1201" s="17"/>
      <c r="N1201" s="17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</row>
    <row r="1202" spans="5:25" ht="15" customHeight="1" x14ac:dyDescent="0.25">
      <c r="E1202" s="15">
        <v>41241</v>
      </c>
      <c r="F1202" s="13">
        <v>1409.93</v>
      </c>
      <c r="G1202" s="13">
        <v>683.67</v>
      </c>
      <c r="H1202" s="17">
        <v>7.6386515126618771E-3</v>
      </c>
      <c r="I1202" s="17">
        <v>1.8676952738618285E-2</v>
      </c>
      <c r="J1202" s="13"/>
      <c r="K1202" s="17"/>
      <c r="L1202" s="17"/>
      <c r="M1202" s="17"/>
      <c r="N1202" s="17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</row>
    <row r="1203" spans="5:25" ht="15" customHeight="1" x14ac:dyDescent="0.25">
      <c r="E1203" s="15">
        <v>41242</v>
      </c>
      <c r="F1203" s="13">
        <v>1415.95</v>
      </c>
      <c r="G1203" s="13">
        <v>691.89</v>
      </c>
      <c r="H1203" s="17">
        <v>4.0524189554824903E-3</v>
      </c>
      <c r="I1203" s="17">
        <v>1.13774901602086E-2</v>
      </c>
      <c r="J1203" s="13"/>
      <c r="K1203" s="17"/>
      <c r="L1203" s="17"/>
      <c r="M1203" s="17"/>
      <c r="N1203" s="17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</row>
    <row r="1204" spans="5:25" ht="15" customHeight="1" x14ac:dyDescent="0.25">
      <c r="E1204" s="15">
        <v>41243</v>
      </c>
      <c r="F1204" s="13">
        <v>1416.18</v>
      </c>
      <c r="G1204" s="13">
        <v>698.37</v>
      </c>
      <c r="H1204" s="17">
        <v>-5.4861448074913316E-5</v>
      </c>
      <c r="I1204" s="17">
        <v>8.7197961733324302E-3</v>
      </c>
      <c r="J1204" s="13"/>
      <c r="K1204" s="17"/>
      <c r="L1204" s="17"/>
      <c r="M1204" s="17"/>
      <c r="N1204" s="17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</row>
    <row r="1205" spans="5:25" ht="15" customHeight="1" x14ac:dyDescent="0.25">
      <c r="E1205" s="15">
        <v>41246</v>
      </c>
      <c r="F1205" s="13">
        <v>1409.46</v>
      </c>
      <c r="G1205" s="13">
        <v>695.25</v>
      </c>
      <c r="H1205" s="17">
        <v>-4.9624560759303233E-3</v>
      </c>
      <c r="I1205" s="17">
        <v>-5.1134002926492448E-3</v>
      </c>
      <c r="J1205" s="13"/>
      <c r="K1205" s="17"/>
      <c r="L1205" s="17"/>
      <c r="M1205" s="17"/>
      <c r="N1205" s="17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</row>
    <row r="1206" spans="5:25" ht="15" customHeight="1" x14ac:dyDescent="0.25">
      <c r="E1206" s="15">
        <v>41247</v>
      </c>
      <c r="F1206" s="13">
        <v>1407.05</v>
      </c>
      <c r="G1206" s="13">
        <v>691.03</v>
      </c>
      <c r="H1206" s="17">
        <v>-1.927171266096439E-3</v>
      </c>
      <c r="I1206" s="17">
        <v>-6.7156135153362724E-3</v>
      </c>
      <c r="J1206" s="13"/>
      <c r="K1206" s="17"/>
      <c r="L1206" s="17"/>
      <c r="M1206" s="17"/>
      <c r="N1206" s="17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</row>
    <row r="1207" spans="5:25" ht="15" customHeight="1" x14ac:dyDescent="0.25">
      <c r="E1207" s="15">
        <v>41248</v>
      </c>
      <c r="F1207" s="13">
        <v>1409.28</v>
      </c>
      <c r="G1207" s="13">
        <v>687.82</v>
      </c>
      <c r="H1207" s="17">
        <v>1.367579597031291E-3</v>
      </c>
      <c r="I1207" s="17">
        <v>-5.2910941504973425E-3</v>
      </c>
      <c r="J1207" s="13"/>
      <c r="K1207" s="17"/>
      <c r="L1207" s="17"/>
      <c r="M1207" s="17"/>
      <c r="N1207" s="17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</row>
    <row r="1208" spans="5:25" ht="15" customHeight="1" x14ac:dyDescent="0.25">
      <c r="E1208" s="15">
        <v>41249</v>
      </c>
      <c r="F1208" s="13">
        <v>1413.94</v>
      </c>
      <c r="G1208" s="13">
        <v>691.13</v>
      </c>
      <c r="H1208" s="17">
        <v>3.089356480379292E-3</v>
      </c>
      <c r="I1208" s="17">
        <v>4.1664511091869371E-3</v>
      </c>
      <c r="J1208" s="13"/>
      <c r="K1208" s="17"/>
      <c r="L1208" s="17"/>
      <c r="M1208" s="17"/>
      <c r="N1208" s="17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</row>
    <row r="1209" spans="5:25" ht="15" customHeight="1" x14ac:dyDescent="0.25">
      <c r="E1209" s="15">
        <v>41250</v>
      </c>
      <c r="F1209" s="13">
        <v>1418.07</v>
      </c>
      <c r="G1209" s="13">
        <v>684.21</v>
      </c>
      <c r="H1209" s="17">
        <v>2.7036194595870889E-3</v>
      </c>
      <c r="I1209" s="17">
        <v>-1.0658442516258542E-2</v>
      </c>
      <c r="J1209" s="13"/>
      <c r="K1209" s="17"/>
      <c r="L1209" s="17"/>
      <c r="M1209" s="17"/>
      <c r="N1209" s="17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</row>
    <row r="1210" spans="5:25" ht="15" customHeight="1" x14ac:dyDescent="0.25">
      <c r="E1210" s="15">
        <v>41253</v>
      </c>
      <c r="F1210" s="13">
        <v>1418.55</v>
      </c>
      <c r="G1210" s="13">
        <v>685.42</v>
      </c>
      <c r="H1210" s="17">
        <v>1.2119166464718318E-4</v>
      </c>
      <c r="I1210" s="17">
        <v>1.1226084629491595E-3</v>
      </c>
      <c r="J1210" s="13"/>
      <c r="K1210" s="17"/>
      <c r="L1210" s="17"/>
      <c r="M1210" s="17"/>
      <c r="N1210" s="17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</row>
    <row r="1211" spans="5:25" ht="15" customHeight="1" x14ac:dyDescent="0.25">
      <c r="E1211" s="15">
        <v>41254</v>
      </c>
      <c r="F1211" s="13">
        <v>1427.84</v>
      </c>
      <c r="G1211" s="13">
        <v>696.88</v>
      </c>
      <c r="H1211" s="17">
        <v>6.331644257542084E-3</v>
      </c>
      <c r="I1211" s="17">
        <v>1.6073821091545395E-2</v>
      </c>
      <c r="J1211" s="13"/>
      <c r="K1211" s="17"/>
      <c r="L1211" s="17"/>
      <c r="M1211" s="17"/>
      <c r="N1211" s="17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</row>
    <row r="1212" spans="5:25" ht="15" customHeight="1" x14ac:dyDescent="0.25">
      <c r="E1212" s="15">
        <v>41255</v>
      </c>
      <c r="F1212" s="13">
        <v>1428.48</v>
      </c>
      <c r="G1212" s="13">
        <v>697.56</v>
      </c>
      <c r="H1212" s="17">
        <v>2.3093293119149933E-4</v>
      </c>
      <c r="I1212" s="17">
        <v>3.2992331639879332E-4</v>
      </c>
      <c r="J1212" s="13"/>
      <c r="K1212" s="17"/>
      <c r="L1212" s="17"/>
      <c r="M1212" s="17"/>
      <c r="N1212" s="17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</row>
    <row r="1213" spans="5:25" ht="15" customHeight="1" x14ac:dyDescent="0.25">
      <c r="E1213" s="15">
        <v>41256</v>
      </c>
      <c r="F1213" s="13">
        <v>1419.45</v>
      </c>
      <c r="G1213" s="13">
        <v>702.7</v>
      </c>
      <c r="H1213" s="17">
        <v>-6.5387011322016464E-3</v>
      </c>
      <c r="I1213" s="17">
        <v>6.7226873383158456E-3</v>
      </c>
      <c r="J1213" s="13"/>
      <c r="K1213" s="17"/>
      <c r="L1213" s="17"/>
      <c r="M1213" s="17"/>
      <c r="N1213" s="17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</row>
    <row r="1214" spans="5:25" ht="15" customHeight="1" x14ac:dyDescent="0.25">
      <c r="E1214" s="15">
        <v>41257</v>
      </c>
      <c r="F1214" s="13">
        <v>1413.58</v>
      </c>
      <c r="G1214" s="13">
        <v>701.96</v>
      </c>
      <c r="H1214" s="17">
        <v>-4.3527011204126638E-3</v>
      </c>
      <c r="I1214" s="17">
        <v>-1.6989354092568141E-3</v>
      </c>
      <c r="J1214" s="13"/>
      <c r="K1214" s="17"/>
      <c r="L1214" s="17"/>
      <c r="M1214" s="17"/>
      <c r="N1214" s="17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</row>
    <row r="1215" spans="5:25" ht="15" customHeight="1" x14ac:dyDescent="0.25">
      <c r="E1215" s="15">
        <v>41260</v>
      </c>
      <c r="F1215" s="13">
        <v>1430.36</v>
      </c>
      <c r="G1215" s="13">
        <v>720.78</v>
      </c>
      <c r="H1215" s="17">
        <v>1.1653273196742314E-2</v>
      </c>
      <c r="I1215" s="17">
        <v>2.6164790045298564E-2</v>
      </c>
      <c r="J1215" s="13"/>
      <c r="K1215" s="17"/>
      <c r="L1215" s="17"/>
      <c r="M1215" s="17"/>
      <c r="N1215" s="17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</row>
    <row r="1216" spans="5:25" ht="15" customHeight="1" x14ac:dyDescent="0.25">
      <c r="E1216" s="15">
        <v>41261</v>
      </c>
      <c r="F1216" s="13">
        <v>1446.79</v>
      </c>
      <c r="G1216" s="13">
        <v>721.07</v>
      </c>
      <c r="H1216" s="17">
        <v>1.126932219101167E-2</v>
      </c>
      <c r="I1216" s="17">
        <v>-2.4351252849033687E-4</v>
      </c>
      <c r="J1216" s="13"/>
      <c r="K1216" s="17"/>
      <c r="L1216" s="17"/>
      <c r="M1216" s="17"/>
      <c r="N1216" s="17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</row>
    <row r="1217" spans="5:25" ht="15" customHeight="1" x14ac:dyDescent="0.25">
      <c r="E1217" s="15">
        <v>41262</v>
      </c>
      <c r="F1217" s="13">
        <v>1435.81</v>
      </c>
      <c r="G1217" s="13">
        <v>720.11</v>
      </c>
      <c r="H1217" s="17">
        <v>-7.8065113066742844E-3</v>
      </c>
      <c r="I1217" s="17">
        <v>-1.9772092280522934E-3</v>
      </c>
      <c r="J1217" s="13"/>
      <c r="K1217" s="17"/>
      <c r="L1217" s="17"/>
      <c r="M1217" s="17"/>
      <c r="N1217" s="17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</row>
    <row r="1218" spans="5:25" ht="15" customHeight="1" x14ac:dyDescent="0.25">
      <c r="E1218" s="15">
        <v>41263</v>
      </c>
      <c r="F1218" s="13">
        <v>1443.69</v>
      </c>
      <c r="G1218" s="13">
        <v>722.36</v>
      </c>
      <c r="H1218" s="17">
        <v>5.2708947721988751E-3</v>
      </c>
      <c r="I1218" s="17">
        <v>2.4786682065056267E-3</v>
      </c>
      <c r="J1218" s="13"/>
      <c r="K1218" s="17"/>
      <c r="L1218" s="17"/>
      <c r="M1218" s="17"/>
      <c r="N1218" s="17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</row>
    <row r="1219" spans="5:25" ht="15" customHeight="1" x14ac:dyDescent="0.25">
      <c r="E1219" s="15">
        <v>41264</v>
      </c>
      <c r="F1219" s="13">
        <v>1430.15</v>
      </c>
      <c r="G1219" s="13">
        <v>715.63</v>
      </c>
      <c r="H1219" s="17">
        <v>-9.5960413066795008E-3</v>
      </c>
      <c r="I1219" s="17">
        <v>-9.9625386376514993E-3</v>
      </c>
      <c r="J1219" s="13"/>
      <c r="K1219" s="17"/>
      <c r="L1219" s="17"/>
      <c r="M1219" s="17"/>
      <c r="N1219" s="17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</row>
    <row r="1220" spans="5:25" ht="15" customHeight="1" x14ac:dyDescent="0.25">
      <c r="E1220" s="15">
        <v>41267</v>
      </c>
      <c r="F1220" s="13">
        <v>1426.66</v>
      </c>
      <c r="G1220" s="13">
        <v>709.5</v>
      </c>
      <c r="H1220" s="17">
        <v>-2.657600026980711E-3</v>
      </c>
      <c r="I1220" s="17">
        <v>-9.2117334515609221E-3</v>
      </c>
      <c r="J1220" s="13"/>
      <c r="K1220" s="17"/>
      <c r="L1220" s="17"/>
      <c r="M1220" s="17"/>
      <c r="N1220" s="17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</row>
    <row r="1221" spans="5:25" ht="15" customHeight="1" x14ac:dyDescent="0.25">
      <c r="E1221" s="15">
        <v>41269</v>
      </c>
      <c r="F1221" s="13">
        <v>1419.83</v>
      </c>
      <c r="G1221" s="13">
        <v>708.87</v>
      </c>
      <c r="H1221" s="17">
        <v>-5.004702110933232E-3</v>
      </c>
      <c r="I1221" s="17">
        <v>-1.5338036959107384E-3</v>
      </c>
      <c r="J1221" s="13"/>
      <c r="K1221" s="17"/>
      <c r="L1221" s="17"/>
      <c r="M1221" s="17"/>
      <c r="N1221" s="17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</row>
    <row r="1222" spans="5:25" ht="15" customHeight="1" x14ac:dyDescent="0.25">
      <c r="E1222" s="15">
        <v>41270</v>
      </c>
      <c r="F1222" s="13">
        <v>1418.1</v>
      </c>
      <c r="G1222" s="13">
        <v>706.29</v>
      </c>
      <c r="H1222" s="17">
        <v>-1.4357522929248101E-3</v>
      </c>
      <c r="I1222" s="17">
        <v>-4.2854498482854005E-3</v>
      </c>
      <c r="J1222" s="13"/>
      <c r="K1222" s="17"/>
      <c r="L1222" s="17"/>
      <c r="M1222" s="17"/>
      <c r="N1222" s="17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</row>
    <row r="1223" spans="5:25" ht="15" customHeight="1" x14ac:dyDescent="0.25">
      <c r="E1223" s="15">
        <v>41271</v>
      </c>
      <c r="F1223" s="13">
        <v>1402.43</v>
      </c>
      <c r="G1223" s="13">
        <v>700.01</v>
      </c>
      <c r="H1223" s="17">
        <v>-1.1267293036464735E-2</v>
      </c>
      <c r="I1223" s="17">
        <v>-9.5373862429165516E-3</v>
      </c>
      <c r="J1223" s="13"/>
      <c r="K1223" s="17"/>
      <c r="L1223" s="17"/>
      <c r="M1223" s="17"/>
      <c r="N1223" s="17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</row>
    <row r="1224" spans="5:25" ht="15" customHeight="1" x14ac:dyDescent="0.25">
      <c r="E1224" s="15">
        <v>41274</v>
      </c>
      <c r="F1224" s="13">
        <v>1426.19</v>
      </c>
      <c r="G1224" s="13">
        <v>707.38</v>
      </c>
      <c r="H1224" s="17">
        <v>1.6724725499398005E-2</v>
      </c>
      <c r="I1224" s="17">
        <v>9.8825665866883669E-3</v>
      </c>
      <c r="J1224" s="13"/>
      <c r="K1224" s="17"/>
      <c r="L1224" s="17"/>
      <c r="M1224" s="17"/>
      <c r="N1224" s="17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</row>
    <row r="1225" spans="5:25" ht="15" customHeight="1" x14ac:dyDescent="0.25">
      <c r="E1225" s="15">
        <v>41276</v>
      </c>
      <c r="F1225" s="13">
        <v>1462.42</v>
      </c>
      <c r="G1225" s="13">
        <v>723.25</v>
      </c>
      <c r="H1225" s="17">
        <v>2.5186050817773427E-2</v>
      </c>
      <c r="I1225" s="17">
        <v>2.1789046183317839E-2</v>
      </c>
      <c r="J1225" s="13"/>
      <c r="K1225" s="17"/>
      <c r="L1225" s="17"/>
      <c r="M1225" s="17"/>
      <c r="N1225" s="17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</row>
    <row r="1226" spans="5:25" ht="15" customHeight="1" x14ac:dyDescent="0.25">
      <c r="E1226" s="15">
        <v>41277</v>
      </c>
      <c r="F1226" s="13">
        <v>1459.37</v>
      </c>
      <c r="G1226" s="13">
        <v>723.67</v>
      </c>
      <c r="H1226" s="17">
        <v>-2.3028807310158375E-3</v>
      </c>
      <c r="I1226" s="17">
        <v>-6.5142372266657558E-5</v>
      </c>
      <c r="J1226" s="13"/>
      <c r="K1226" s="17"/>
      <c r="L1226" s="17"/>
      <c r="M1226" s="17"/>
      <c r="N1226" s="17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</row>
    <row r="1227" spans="5:25" ht="15" customHeight="1" x14ac:dyDescent="0.25">
      <c r="E1227" s="15">
        <v>41278</v>
      </c>
      <c r="F1227" s="13">
        <v>1466.47</v>
      </c>
      <c r="G1227" s="13">
        <v>737.97</v>
      </c>
      <c r="H1227" s="17">
        <v>4.6478164659153349E-3</v>
      </c>
      <c r="I1227" s="17">
        <v>1.9114533586296344E-2</v>
      </c>
      <c r="J1227" s="13"/>
      <c r="K1227" s="17"/>
      <c r="L1227" s="17"/>
      <c r="M1227" s="17"/>
      <c r="N1227" s="17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</row>
    <row r="1228" spans="5:25" ht="15" customHeight="1" x14ac:dyDescent="0.25">
      <c r="E1228" s="15">
        <v>41281</v>
      </c>
      <c r="F1228" s="13">
        <v>1461.89</v>
      </c>
      <c r="G1228" s="13">
        <v>734.75</v>
      </c>
      <c r="H1228" s="17">
        <v>-3.3404426205306164E-3</v>
      </c>
      <c r="I1228" s="17">
        <v>-5.0091754380772171E-3</v>
      </c>
      <c r="J1228" s="13"/>
      <c r="K1228" s="17"/>
      <c r="L1228" s="17"/>
      <c r="M1228" s="17"/>
      <c r="N1228" s="17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</row>
    <row r="1229" spans="5:25" ht="15" customHeight="1" x14ac:dyDescent="0.25">
      <c r="E1229" s="15">
        <v>41282</v>
      </c>
      <c r="F1229" s="13">
        <v>1457.15</v>
      </c>
      <c r="G1229" s="13">
        <v>733.3</v>
      </c>
      <c r="H1229" s="17">
        <v>-3.4596745798070698E-3</v>
      </c>
      <c r="I1229" s="17">
        <v>-2.6193147965353487E-3</v>
      </c>
      <c r="J1229" s="13"/>
      <c r="K1229" s="17"/>
      <c r="L1229" s="17"/>
      <c r="M1229" s="17"/>
      <c r="N1229" s="17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</row>
    <row r="1230" spans="5:25" ht="15" customHeight="1" x14ac:dyDescent="0.25">
      <c r="E1230" s="15">
        <v>41283</v>
      </c>
      <c r="F1230" s="13">
        <v>1461.02</v>
      </c>
      <c r="G1230" s="13">
        <v>738.12</v>
      </c>
      <c r="H1230" s="17">
        <v>2.43857277166468E-3</v>
      </c>
      <c r="I1230" s="17">
        <v>5.9271716107700285E-3</v>
      </c>
      <c r="J1230" s="13"/>
      <c r="K1230" s="17"/>
      <c r="L1230" s="17"/>
      <c r="M1230" s="17"/>
      <c r="N1230" s="17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</row>
    <row r="1231" spans="5:25" ht="15" customHeight="1" x14ac:dyDescent="0.25">
      <c r="E1231" s="15">
        <v>41284</v>
      </c>
      <c r="F1231" s="13">
        <v>1472.12</v>
      </c>
      <c r="G1231" s="13">
        <v>741.48</v>
      </c>
      <c r="H1231" s="17">
        <v>7.380135368807445E-3</v>
      </c>
      <c r="I1231" s="17">
        <v>3.9062509128553295E-3</v>
      </c>
      <c r="J1231" s="13"/>
      <c r="K1231" s="17"/>
      <c r="L1231" s="17"/>
      <c r="M1231" s="17"/>
      <c r="N1231" s="17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</row>
    <row r="1232" spans="5:25" ht="15" customHeight="1" x14ac:dyDescent="0.25">
      <c r="E1232" s="15">
        <v>41285</v>
      </c>
      <c r="F1232" s="13">
        <v>1472.05</v>
      </c>
      <c r="G1232" s="13">
        <v>739.99</v>
      </c>
      <c r="H1232" s="17">
        <v>-2.6484703373813259E-4</v>
      </c>
      <c r="I1232" s="17">
        <v>-2.6553489603330397E-3</v>
      </c>
      <c r="J1232" s="13"/>
      <c r="K1232" s="17"/>
      <c r="L1232" s="17"/>
      <c r="M1232" s="17"/>
      <c r="N1232" s="17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</row>
    <row r="1233" spans="5:25" ht="15" customHeight="1" x14ac:dyDescent="0.25">
      <c r="E1233" s="15">
        <v>41288</v>
      </c>
      <c r="F1233" s="13">
        <v>1470.68</v>
      </c>
      <c r="G1233" s="13">
        <v>723.25</v>
      </c>
      <c r="H1233" s="17">
        <v>-1.1479714714494875E-3</v>
      </c>
      <c r="I1233" s="17">
        <v>-2.3267781759210664E-2</v>
      </c>
      <c r="J1233" s="13"/>
      <c r="K1233" s="17"/>
      <c r="L1233" s="17"/>
      <c r="M1233" s="17"/>
      <c r="N1233" s="17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</row>
    <row r="1234" spans="5:25" ht="15" customHeight="1" x14ac:dyDescent="0.25">
      <c r="E1234" s="15">
        <v>41289</v>
      </c>
      <c r="F1234" s="13">
        <v>1472.34</v>
      </c>
      <c r="G1234" s="13">
        <v>724.93</v>
      </c>
      <c r="H1234" s="17">
        <v>9.1143300496582908E-4</v>
      </c>
      <c r="I1234" s="17">
        <v>1.6769938185387347E-3</v>
      </c>
      <c r="J1234" s="13"/>
      <c r="K1234" s="17"/>
      <c r="L1234" s="17"/>
      <c r="M1234" s="17"/>
      <c r="N1234" s="17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</row>
    <row r="1235" spans="5:25" ht="15" customHeight="1" x14ac:dyDescent="0.25">
      <c r="E1235" s="15">
        <v>41290</v>
      </c>
      <c r="F1235" s="13">
        <v>1472.63</v>
      </c>
      <c r="G1235" s="13">
        <v>715.19</v>
      </c>
      <c r="H1235" s="17">
        <v>-2.0331187463688943E-5</v>
      </c>
      <c r="I1235" s="17">
        <v>-1.4081634442213897E-2</v>
      </c>
      <c r="J1235" s="13"/>
      <c r="K1235" s="17"/>
      <c r="L1235" s="17"/>
      <c r="M1235" s="17"/>
      <c r="N1235" s="17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</row>
    <row r="1236" spans="5:25" ht="15" customHeight="1" x14ac:dyDescent="0.25">
      <c r="E1236" s="15">
        <v>41291</v>
      </c>
      <c r="F1236" s="13">
        <v>1480.94</v>
      </c>
      <c r="G1236" s="13">
        <v>711.32</v>
      </c>
      <c r="H1236" s="17">
        <v>5.4256687446586323E-3</v>
      </c>
      <c r="I1236" s="17">
        <v>-6.0570039206207585E-3</v>
      </c>
      <c r="J1236" s="13"/>
      <c r="K1236" s="17"/>
      <c r="L1236" s="17"/>
      <c r="M1236" s="17"/>
      <c r="N1236" s="17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</row>
    <row r="1237" spans="5:25" ht="15" customHeight="1" x14ac:dyDescent="0.25">
      <c r="E1237" s="15">
        <v>41292</v>
      </c>
      <c r="F1237" s="13">
        <v>1485.98</v>
      </c>
      <c r="G1237" s="13">
        <v>704.51</v>
      </c>
      <c r="H1237" s="17">
        <v>3.1859473233310288E-3</v>
      </c>
      <c r="I1237" s="17">
        <v>-1.0219604646744011E-2</v>
      </c>
      <c r="J1237" s="13"/>
      <c r="K1237" s="17"/>
      <c r="L1237" s="17"/>
      <c r="M1237" s="17"/>
      <c r="N1237" s="17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</row>
    <row r="1238" spans="5:25" ht="15" customHeight="1" x14ac:dyDescent="0.25">
      <c r="E1238" s="15">
        <v>41296</v>
      </c>
      <c r="F1238" s="13">
        <v>1492.56</v>
      </c>
      <c r="G1238" s="13">
        <v>702.87</v>
      </c>
      <c r="H1238" s="17">
        <v>4.2107576510718959E-3</v>
      </c>
      <c r="I1238" s="17">
        <v>-2.9737135152285779E-3</v>
      </c>
      <c r="J1238" s="13"/>
      <c r="K1238" s="17"/>
      <c r="L1238" s="17"/>
      <c r="M1238" s="17"/>
      <c r="N1238" s="17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</row>
    <row r="1239" spans="5:25" ht="15" customHeight="1" x14ac:dyDescent="0.25">
      <c r="E1239" s="15">
        <v>41297</v>
      </c>
      <c r="F1239" s="13">
        <v>1494.81</v>
      </c>
      <c r="G1239" s="13">
        <v>741.5</v>
      </c>
      <c r="H1239" s="17">
        <v>1.2901805240391145E-3</v>
      </c>
      <c r="I1239" s="17">
        <v>5.4314522305207419E-2</v>
      </c>
      <c r="J1239" s="13"/>
      <c r="K1239" s="17"/>
      <c r="L1239" s="17"/>
      <c r="M1239" s="17"/>
      <c r="N1239" s="17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</row>
    <row r="1240" spans="5:25" ht="15" customHeight="1" x14ac:dyDescent="0.25">
      <c r="E1240" s="15">
        <v>41298</v>
      </c>
      <c r="F1240" s="13">
        <v>1494.82</v>
      </c>
      <c r="G1240" s="13">
        <v>754.21</v>
      </c>
      <c r="H1240" s="17">
        <v>-2.1060674888806932E-4</v>
      </c>
      <c r="I1240" s="17">
        <v>1.6495076110321701E-2</v>
      </c>
      <c r="J1240" s="13"/>
      <c r="K1240" s="17"/>
      <c r="L1240" s="17"/>
      <c r="M1240" s="17"/>
      <c r="N1240" s="17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</row>
    <row r="1241" spans="5:25" ht="15" customHeight="1" x14ac:dyDescent="0.25">
      <c r="E1241" s="15">
        <v>41299</v>
      </c>
      <c r="F1241" s="13">
        <v>1502.96</v>
      </c>
      <c r="G1241" s="13">
        <v>753.67</v>
      </c>
      <c r="H1241" s="17">
        <v>5.2281751332795938E-3</v>
      </c>
      <c r="I1241" s="17">
        <v>-1.361835396078476E-3</v>
      </c>
      <c r="J1241" s="13"/>
      <c r="K1241" s="17"/>
      <c r="L1241" s="17"/>
      <c r="M1241" s="17"/>
      <c r="N1241" s="17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</row>
    <row r="1242" spans="5:25" ht="15" customHeight="1" x14ac:dyDescent="0.25">
      <c r="E1242" s="15">
        <v>41302</v>
      </c>
      <c r="F1242" s="13">
        <v>1500.18</v>
      </c>
      <c r="G1242" s="13">
        <v>750.73</v>
      </c>
      <c r="H1242" s="17">
        <v>-2.0669798539470078E-3</v>
      </c>
      <c r="I1242" s="17">
        <v>-4.546765975401673E-3</v>
      </c>
      <c r="J1242" s="13"/>
      <c r="K1242" s="17"/>
      <c r="L1242" s="17"/>
      <c r="M1242" s="17"/>
      <c r="N1242" s="17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</row>
    <row r="1243" spans="5:25" ht="15" customHeight="1" x14ac:dyDescent="0.25">
      <c r="E1243" s="15">
        <v>41303</v>
      </c>
      <c r="F1243" s="13">
        <v>1507.84</v>
      </c>
      <c r="G1243" s="13">
        <v>753.68</v>
      </c>
      <c r="H1243" s="17">
        <v>4.8887573778846711E-3</v>
      </c>
      <c r="I1243" s="17">
        <v>3.2836541757495698E-3</v>
      </c>
      <c r="J1243" s="13"/>
      <c r="K1243" s="17"/>
      <c r="L1243" s="17"/>
      <c r="M1243" s="17"/>
      <c r="N1243" s="17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</row>
    <row r="1244" spans="5:25" ht="15" customHeight="1" x14ac:dyDescent="0.25">
      <c r="E1244" s="15">
        <v>41304</v>
      </c>
      <c r="F1244" s="13">
        <v>1501.96</v>
      </c>
      <c r="G1244" s="13">
        <v>753.83</v>
      </c>
      <c r="H1244" s="17">
        <v>-4.1169145589135866E-3</v>
      </c>
      <c r="I1244" s="17">
        <v>-4.4683097763684475E-4</v>
      </c>
      <c r="J1244" s="13"/>
      <c r="K1244" s="17"/>
      <c r="L1244" s="17"/>
      <c r="M1244" s="17"/>
      <c r="N1244" s="17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</row>
    <row r="1245" spans="5:25" ht="15" customHeight="1" x14ac:dyDescent="0.25">
      <c r="E1245" s="15">
        <v>41305</v>
      </c>
      <c r="F1245" s="13">
        <v>1498.11</v>
      </c>
      <c r="G1245" s="13">
        <v>755.69</v>
      </c>
      <c r="H1245" s="17">
        <v>-2.7806138277489982E-3</v>
      </c>
      <c r="I1245" s="17">
        <v>1.8215453757601614E-3</v>
      </c>
      <c r="J1245" s="13"/>
      <c r="K1245" s="17"/>
      <c r="L1245" s="17"/>
      <c r="M1245" s="17"/>
      <c r="N1245" s="17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</row>
    <row r="1246" spans="5:25" ht="15" customHeight="1" x14ac:dyDescent="0.25">
      <c r="E1246" s="15">
        <v>41306</v>
      </c>
      <c r="F1246" s="13">
        <v>1513.17</v>
      </c>
      <c r="G1246" s="13">
        <v>775.6</v>
      </c>
      <c r="H1246" s="17">
        <v>9.8353697973039399E-3</v>
      </c>
      <c r="I1246" s="17">
        <v>2.5700927974908451E-2</v>
      </c>
      <c r="J1246" s="13"/>
      <c r="K1246" s="17"/>
      <c r="L1246" s="17"/>
      <c r="M1246" s="17"/>
      <c r="N1246" s="17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</row>
    <row r="1247" spans="5:25" ht="15" customHeight="1" x14ac:dyDescent="0.25">
      <c r="E1247" s="15">
        <v>41309</v>
      </c>
      <c r="F1247" s="13">
        <v>1495.71</v>
      </c>
      <c r="G1247" s="13">
        <v>759.02</v>
      </c>
      <c r="H1247" s="17">
        <v>-1.1755986861482432E-2</v>
      </c>
      <c r="I1247" s="17">
        <v>-2.2022852888679181E-2</v>
      </c>
      <c r="J1247" s="13"/>
      <c r="K1247" s="17"/>
      <c r="L1247" s="17"/>
      <c r="M1247" s="17"/>
      <c r="N1247" s="17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</row>
    <row r="1248" spans="5:25" ht="15" customHeight="1" x14ac:dyDescent="0.25">
      <c r="E1248" s="15">
        <v>41310</v>
      </c>
      <c r="F1248" s="13">
        <v>1511.29</v>
      </c>
      <c r="G1248" s="13">
        <v>765.74</v>
      </c>
      <c r="H1248" s="17">
        <v>1.0199161173481856E-2</v>
      </c>
      <c r="I1248" s="17">
        <v>8.2076672104649754E-3</v>
      </c>
      <c r="J1248" s="13"/>
      <c r="K1248" s="17"/>
      <c r="L1248" s="17"/>
      <c r="M1248" s="17"/>
      <c r="N1248" s="17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</row>
    <row r="1249" spans="5:25" ht="15" customHeight="1" x14ac:dyDescent="0.25">
      <c r="E1249" s="15">
        <v>41311</v>
      </c>
      <c r="F1249" s="13">
        <v>1512.12</v>
      </c>
      <c r="G1249" s="13">
        <v>770.17</v>
      </c>
      <c r="H1249" s="17">
        <v>3.3190312802160399E-4</v>
      </c>
      <c r="I1249" s="17">
        <v>5.1393990444251175E-3</v>
      </c>
      <c r="J1249" s="13"/>
      <c r="K1249" s="17"/>
      <c r="L1249" s="17"/>
      <c r="M1249" s="17"/>
      <c r="N1249" s="17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</row>
    <row r="1250" spans="5:25" ht="15" customHeight="1" x14ac:dyDescent="0.25">
      <c r="E1250" s="15">
        <v>41312</v>
      </c>
      <c r="F1250" s="13">
        <v>1509.39</v>
      </c>
      <c r="G1250" s="13">
        <v>773.95</v>
      </c>
      <c r="H1250" s="17">
        <v>-2.0227088311767232E-3</v>
      </c>
      <c r="I1250" s="17">
        <v>4.2621528871900904E-3</v>
      </c>
      <c r="J1250" s="13"/>
      <c r="K1250" s="17"/>
      <c r="L1250" s="17"/>
      <c r="M1250" s="17"/>
      <c r="N1250" s="17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</row>
    <row r="1251" spans="5:25" ht="15" customHeight="1" x14ac:dyDescent="0.25">
      <c r="E1251" s="15">
        <v>41313</v>
      </c>
      <c r="F1251" s="13">
        <v>1517.93</v>
      </c>
      <c r="G1251" s="13">
        <v>785.37</v>
      </c>
      <c r="H1251" s="17">
        <v>5.4406182244589917E-3</v>
      </c>
      <c r="I1251" s="17">
        <v>1.4109620724025594E-2</v>
      </c>
      <c r="J1251" s="13"/>
      <c r="K1251" s="17"/>
      <c r="L1251" s="17"/>
      <c r="M1251" s="17"/>
      <c r="N1251" s="17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</row>
    <row r="1252" spans="5:25" ht="15" customHeight="1" x14ac:dyDescent="0.25">
      <c r="E1252" s="15">
        <v>41316</v>
      </c>
      <c r="F1252" s="13">
        <v>1517.01</v>
      </c>
      <c r="G1252" s="13">
        <v>782.42</v>
      </c>
      <c r="H1252" s="17">
        <v>-8.2338511711736576E-4</v>
      </c>
      <c r="I1252" s="17">
        <v>-4.4020457851687844E-3</v>
      </c>
      <c r="J1252" s="13"/>
      <c r="K1252" s="17"/>
      <c r="L1252" s="17"/>
      <c r="M1252" s="17"/>
      <c r="N1252" s="17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</row>
    <row r="1253" spans="5:25" ht="15" customHeight="1" x14ac:dyDescent="0.25">
      <c r="E1253" s="15">
        <v>41317</v>
      </c>
      <c r="F1253" s="13">
        <v>1519.43</v>
      </c>
      <c r="G1253" s="13">
        <v>780.7</v>
      </c>
      <c r="H1253" s="17">
        <v>1.3779467122902033E-3</v>
      </c>
      <c r="I1253" s="17">
        <v>-2.8441622500858833E-3</v>
      </c>
      <c r="J1253" s="13"/>
      <c r="K1253" s="17"/>
      <c r="L1253" s="17"/>
      <c r="M1253" s="17"/>
      <c r="N1253" s="17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</row>
    <row r="1254" spans="5:25" ht="15" customHeight="1" x14ac:dyDescent="0.25">
      <c r="E1254" s="15">
        <v>41318</v>
      </c>
      <c r="F1254" s="13">
        <v>1520.33</v>
      </c>
      <c r="G1254" s="13">
        <v>782.86</v>
      </c>
      <c r="H1254" s="17">
        <v>3.7503082361844465E-4</v>
      </c>
      <c r="I1254" s="17">
        <v>2.1208933545760178E-3</v>
      </c>
      <c r="J1254" s="13"/>
      <c r="K1254" s="17"/>
      <c r="L1254" s="17"/>
      <c r="M1254" s="17"/>
      <c r="N1254" s="17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</row>
    <row r="1255" spans="5:25" ht="15" customHeight="1" x14ac:dyDescent="0.25">
      <c r="E1255" s="15">
        <v>41319</v>
      </c>
      <c r="F1255" s="13">
        <v>1521.38</v>
      </c>
      <c r="G1255" s="13">
        <v>787.82</v>
      </c>
      <c r="H1255" s="17">
        <v>4.7334296989765055E-4</v>
      </c>
      <c r="I1255" s="17">
        <v>5.689888864338479E-3</v>
      </c>
      <c r="J1255" s="13"/>
      <c r="K1255" s="17"/>
      <c r="L1255" s="17"/>
      <c r="M1255" s="17"/>
      <c r="N1255" s="17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</row>
    <row r="1256" spans="5:25" ht="15" customHeight="1" x14ac:dyDescent="0.25">
      <c r="E1256" s="15">
        <v>41320</v>
      </c>
      <c r="F1256" s="13">
        <v>1519.79</v>
      </c>
      <c r="G1256" s="13">
        <v>792.89</v>
      </c>
      <c r="H1256" s="17">
        <v>-1.2624003496601306E-3</v>
      </c>
      <c r="I1256" s="17">
        <v>5.7896257499607954E-3</v>
      </c>
      <c r="J1256" s="13"/>
      <c r="K1256" s="17"/>
      <c r="L1256" s="17"/>
      <c r="M1256" s="17"/>
      <c r="N1256" s="17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</row>
    <row r="1257" spans="5:25" ht="15" customHeight="1" x14ac:dyDescent="0.25">
      <c r="E1257" s="15">
        <v>41324</v>
      </c>
      <c r="F1257" s="13">
        <v>1530.94</v>
      </c>
      <c r="G1257" s="13">
        <v>806.85</v>
      </c>
      <c r="H1257" s="17">
        <v>7.1192433543898447E-3</v>
      </c>
      <c r="I1257" s="17">
        <v>1.696062313352957E-2</v>
      </c>
      <c r="J1257" s="13"/>
      <c r="K1257" s="17"/>
      <c r="L1257" s="17"/>
      <c r="M1257" s="17"/>
      <c r="N1257" s="17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</row>
    <row r="1258" spans="5:25" ht="15" customHeight="1" x14ac:dyDescent="0.25">
      <c r="E1258" s="15">
        <v>41325</v>
      </c>
      <c r="F1258" s="13">
        <v>1511.95</v>
      </c>
      <c r="G1258" s="13">
        <v>792.46</v>
      </c>
      <c r="H1258" s="17">
        <v>-1.2621440421637429E-2</v>
      </c>
      <c r="I1258" s="17">
        <v>-1.8480644049799176E-2</v>
      </c>
      <c r="J1258" s="13"/>
      <c r="K1258" s="17"/>
      <c r="L1258" s="17"/>
      <c r="M1258" s="17"/>
      <c r="N1258" s="17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</row>
    <row r="1259" spans="5:25" ht="15" customHeight="1" x14ac:dyDescent="0.25">
      <c r="E1259" s="15">
        <v>41326</v>
      </c>
      <c r="F1259" s="13">
        <v>1502.42</v>
      </c>
      <c r="G1259" s="13">
        <v>795.53</v>
      </c>
      <c r="H1259" s="17">
        <v>-6.5204150516772075E-3</v>
      </c>
      <c r="I1259" s="17">
        <v>3.2281581325892591E-3</v>
      </c>
      <c r="J1259" s="13"/>
      <c r="K1259" s="17"/>
      <c r="L1259" s="17"/>
      <c r="M1259" s="17"/>
      <c r="N1259" s="17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</row>
    <row r="1260" spans="5:25" ht="15" customHeight="1" x14ac:dyDescent="0.25">
      <c r="E1260" s="15">
        <v>41327</v>
      </c>
      <c r="F1260" s="13">
        <v>1515.6</v>
      </c>
      <c r="G1260" s="13">
        <v>799.71</v>
      </c>
      <c r="H1260" s="17">
        <v>8.5552171156237627E-3</v>
      </c>
      <c r="I1260" s="17">
        <v>4.6085042935320704E-3</v>
      </c>
      <c r="J1260" s="13"/>
      <c r="K1260" s="17"/>
      <c r="L1260" s="17"/>
      <c r="M1260" s="17"/>
      <c r="N1260" s="17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</row>
    <row r="1261" spans="5:25" ht="15" customHeight="1" x14ac:dyDescent="0.25">
      <c r="E1261" s="15">
        <v>41330</v>
      </c>
      <c r="F1261" s="13">
        <v>1487.85</v>
      </c>
      <c r="G1261" s="13">
        <v>790.77</v>
      </c>
      <c r="H1261" s="17">
        <v>-1.8526876926521364E-2</v>
      </c>
      <c r="I1261" s="17">
        <v>-1.182490684236581E-2</v>
      </c>
      <c r="J1261" s="13"/>
      <c r="K1261" s="17"/>
      <c r="L1261" s="17"/>
      <c r="M1261" s="17"/>
      <c r="N1261" s="17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</row>
    <row r="1262" spans="5:25" ht="15" customHeight="1" x14ac:dyDescent="0.25">
      <c r="E1262" s="15">
        <v>41331</v>
      </c>
      <c r="F1262" s="13">
        <v>1496.94</v>
      </c>
      <c r="G1262" s="13">
        <v>790.13</v>
      </c>
      <c r="H1262" s="17">
        <v>5.8921902811226255E-3</v>
      </c>
      <c r="I1262" s="17">
        <v>-1.4551921699757174E-3</v>
      </c>
      <c r="J1262" s="13"/>
      <c r="K1262" s="17"/>
      <c r="L1262" s="17"/>
      <c r="M1262" s="17"/>
      <c r="N1262" s="17"/>
    </row>
    <row r="1263" spans="5:25" ht="15" customHeight="1" x14ac:dyDescent="0.25">
      <c r="E1263" s="15">
        <v>41332</v>
      </c>
      <c r="F1263" s="13">
        <v>1515.99</v>
      </c>
      <c r="G1263" s="13">
        <v>799.78</v>
      </c>
      <c r="H1263" s="17">
        <v>1.2508664398049959E-2</v>
      </c>
      <c r="I1263" s="17">
        <v>1.1567325673733763E-2</v>
      </c>
      <c r="J1263" s="13"/>
      <c r="K1263" s="17"/>
      <c r="L1263" s="17"/>
      <c r="M1263" s="17"/>
      <c r="N1263" s="17"/>
    </row>
    <row r="1264" spans="5:25" ht="15" customHeight="1" x14ac:dyDescent="0.2">
      <c r="E1264"/>
      <c r="F1264"/>
      <c r="G1264"/>
      <c r="H1264"/>
      <c r="I1264"/>
      <c r="J1264"/>
      <c r="K1264"/>
      <c r="L1264"/>
      <c r="M1264"/>
      <c r="N1264"/>
    </row>
    <row r="1265" spans="5:14" ht="15" customHeight="1" x14ac:dyDescent="0.2">
      <c r="E1265"/>
      <c r="F1265"/>
      <c r="G1265"/>
      <c r="H1265"/>
      <c r="I1265"/>
      <c r="J1265"/>
      <c r="K1265"/>
      <c r="L1265"/>
      <c r="M1265"/>
      <c r="N1265"/>
    </row>
  </sheetData>
  <dataValidations count="1">
    <dataValidation type="list" allowBlank="1" showInputMessage="1" showErrorMessage="1" sqref="C16">
      <formula1>"TRUE, FALSE"</formula1>
    </dataValidation>
  </dataValidations>
  <pageMargins left="0.7" right="0.7" top="0.75" bottom="0.75" header="0.3" footer="0.3"/>
  <pageSetup orientation="portrait" r:id="rId1"/>
  <ignoredErrors>
    <ignoredError sqref="C8" numberStoredAsText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MODEL</vt:lpstr>
      <vt:lpstr>PRICES_CHART</vt:lpstr>
      <vt:lpstr>ELLIPSE_CHART</vt:lpstr>
      <vt:lpstr>ASSET_PRICES_RNG</vt:lpstr>
      <vt:lpstr>ASSET_RETURNS_RNG</vt:lpstr>
      <vt:lpstr>DATES_RNG</vt:lpstr>
      <vt:lpstr>INDEX_PRICES_RNG</vt:lpstr>
      <vt:lpstr>INDEX_RETURNS_RNG</vt:lpstr>
      <vt:lpstr>INPUTS</vt:lpstr>
      <vt:lpstr>POSITION</vt:lpstr>
      <vt:lpstr>U_RNG</vt:lpstr>
      <vt:lpstr>Ur_RNG</vt:lpstr>
      <vt:lpstr>V_RNG</vt:lpstr>
      <vt:lpstr>Vr_RNG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Windows User</cp:lastModifiedBy>
  <dcterms:created xsi:type="dcterms:W3CDTF">2009-08-30T23:07:17Z</dcterms:created>
  <dcterms:modified xsi:type="dcterms:W3CDTF">2013-02-28T04:29:04Z</dcterms:modified>
</cp:coreProperties>
</file>