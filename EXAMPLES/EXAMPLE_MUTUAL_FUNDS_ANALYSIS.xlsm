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codeName="ThisWorkbook" defaultThemeVersion="124226"/>
  <bookViews>
    <workbookView xWindow="960" yWindow="600" windowWidth="14085" windowHeight="6915" tabRatio="754"/>
  </bookViews>
  <sheets>
    <sheet name="ETF_PROFILE" sheetId="1" r:id="rId1"/>
    <sheet name="MUTUAL_FUND_PROFILE" sheetId="2" r:id="rId2"/>
    <sheet name="MORNINGSTAR_ATTRIBUTES" sheetId="3" r:id="rId3"/>
    <sheet name="MUTUAL_FUND_RANKING" sheetId="5" r:id="rId4"/>
    <sheet name="MORNINGSTAR TOTAL RETURN" sheetId="4" r:id="rId5"/>
    <sheet name="MF_FRAME" sheetId="6" r:id="rId6"/>
  </sheets>
  <externalReferences>
    <externalReference r:id="rId7"/>
    <externalReference r:id="rId8"/>
  </externalReferences>
  <definedNames>
    <definedName name="POSITION">MF_FRAME!$C$3</definedName>
  </definedNames>
  <calcPr calcId="145621"/>
</workbook>
</file>

<file path=xl/calcChain.xml><?xml version="1.0" encoding="utf-8"?>
<calcChain xmlns="http://schemas.openxmlformats.org/spreadsheetml/2006/main">
  <c r="AI64" i="4" l="1"/>
  <c r="AH64" i="4"/>
  <c r="AG64" i="4"/>
  <c r="AF64" i="4"/>
  <c r="AE64" i="4"/>
  <c r="AB64" i="4"/>
  <c r="AA64" i="4"/>
  <c r="Z64" i="4"/>
  <c r="Y64" i="4"/>
  <c r="X64" i="4"/>
  <c r="U64" i="4"/>
  <c r="T64" i="4"/>
  <c r="S64" i="4"/>
  <c r="R64" i="4"/>
  <c r="Q64" i="4"/>
  <c r="N64" i="4"/>
  <c r="M64" i="4"/>
  <c r="L64" i="4"/>
  <c r="K64" i="4"/>
  <c r="J64" i="4"/>
  <c r="G64" i="4"/>
  <c r="F64" i="4"/>
  <c r="E64" i="4"/>
  <c r="D64" i="4"/>
  <c r="C64" i="4"/>
  <c r="AI63" i="4"/>
  <c r="AH63" i="4"/>
  <c r="AG63" i="4"/>
  <c r="AF63" i="4"/>
  <c r="AE63" i="4"/>
  <c r="AB63" i="4"/>
  <c r="AA63" i="4"/>
  <c r="Z63" i="4"/>
  <c r="Y63" i="4"/>
  <c r="X63" i="4"/>
  <c r="U63" i="4"/>
  <c r="T63" i="4"/>
  <c r="S63" i="4"/>
  <c r="R63" i="4"/>
  <c r="Q63" i="4"/>
  <c r="N63" i="4"/>
  <c r="M63" i="4"/>
  <c r="L63" i="4"/>
  <c r="K63" i="4"/>
  <c r="J63" i="4"/>
  <c r="G63" i="4"/>
  <c r="F63" i="4"/>
  <c r="E63" i="4"/>
  <c r="D63" i="4"/>
  <c r="C63" i="4"/>
  <c r="AI62" i="4"/>
  <c r="AH62" i="4"/>
  <c r="AG62" i="4"/>
  <c r="AF62" i="4"/>
  <c r="AE62" i="4"/>
  <c r="AB62" i="4"/>
  <c r="AA62" i="4"/>
  <c r="Z62" i="4"/>
  <c r="Y62" i="4"/>
  <c r="X62" i="4"/>
  <c r="U62" i="4"/>
  <c r="T62" i="4"/>
  <c r="S62" i="4"/>
  <c r="R62" i="4"/>
  <c r="Q62" i="4"/>
  <c r="N62" i="4"/>
  <c r="M62" i="4"/>
  <c r="L62" i="4"/>
  <c r="K62" i="4"/>
  <c r="J62" i="4"/>
  <c r="G62" i="4"/>
  <c r="F62" i="4"/>
  <c r="E62" i="4"/>
  <c r="D62" i="4"/>
  <c r="C62" i="4"/>
  <c r="AI61" i="4"/>
  <c r="AH61" i="4"/>
  <c r="AG61" i="4"/>
  <c r="AF61" i="4"/>
  <c r="AE61" i="4"/>
  <c r="AB61" i="4"/>
  <c r="AA61" i="4"/>
  <c r="Z61" i="4"/>
  <c r="Y61" i="4"/>
  <c r="X61" i="4"/>
  <c r="U61" i="4"/>
  <c r="T61" i="4"/>
  <c r="S61" i="4"/>
  <c r="R61" i="4"/>
  <c r="Q61" i="4"/>
  <c r="N61" i="4"/>
  <c r="M61" i="4"/>
  <c r="L61" i="4"/>
  <c r="K61" i="4"/>
  <c r="J61" i="4"/>
  <c r="G61" i="4"/>
  <c r="F61" i="4"/>
  <c r="E61" i="4"/>
  <c r="D61" i="4"/>
  <c r="C61" i="4"/>
  <c r="AI60" i="4"/>
  <c r="AH60" i="4"/>
  <c r="AG60" i="4"/>
  <c r="AF60" i="4"/>
  <c r="AE60" i="4"/>
  <c r="AB60" i="4"/>
  <c r="AA60" i="4"/>
  <c r="Z60" i="4"/>
  <c r="Y60" i="4"/>
  <c r="X60" i="4"/>
  <c r="U60" i="4"/>
  <c r="T60" i="4"/>
  <c r="S60" i="4"/>
  <c r="R60" i="4"/>
  <c r="Q60" i="4"/>
  <c r="N60" i="4"/>
  <c r="M60" i="4"/>
  <c r="L60" i="4"/>
  <c r="K60" i="4"/>
  <c r="J60" i="4"/>
  <c r="G60" i="4"/>
  <c r="F60" i="4"/>
  <c r="E60" i="4"/>
  <c r="D60" i="4"/>
  <c r="C60" i="4"/>
  <c r="AI59" i="4"/>
  <c r="AH59" i="4"/>
  <c r="AG59" i="4"/>
  <c r="AF59" i="4"/>
  <c r="AE59" i="4"/>
  <c r="AB59" i="4"/>
  <c r="AA59" i="4"/>
  <c r="Z59" i="4"/>
  <c r="Y59" i="4"/>
  <c r="X59" i="4"/>
  <c r="U59" i="4"/>
  <c r="T59" i="4"/>
  <c r="S59" i="4"/>
  <c r="R59" i="4"/>
  <c r="Q59" i="4"/>
  <c r="N59" i="4"/>
  <c r="M59" i="4"/>
  <c r="L59" i="4"/>
  <c r="K59" i="4"/>
  <c r="J59" i="4"/>
  <c r="G59" i="4"/>
  <c r="F59" i="4"/>
  <c r="E59" i="4"/>
  <c r="D59" i="4"/>
  <c r="C59" i="4"/>
  <c r="AI58" i="4"/>
  <c r="AH58" i="4"/>
  <c r="AG58" i="4"/>
  <c r="AF58" i="4"/>
  <c r="AE58" i="4"/>
  <c r="AB58" i="4"/>
  <c r="AA58" i="4"/>
  <c r="Z58" i="4"/>
  <c r="Y58" i="4"/>
  <c r="X58" i="4"/>
  <c r="U58" i="4"/>
  <c r="T58" i="4"/>
  <c r="S58" i="4"/>
  <c r="R58" i="4"/>
  <c r="Q58" i="4"/>
  <c r="N58" i="4"/>
  <c r="M58" i="4"/>
  <c r="L58" i="4"/>
  <c r="K58" i="4"/>
  <c r="J58" i="4"/>
  <c r="G58" i="4"/>
  <c r="F58" i="4"/>
  <c r="E58" i="4"/>
  <c r="D58" i="4"/>
  <c r="C58" i="4"/>
  <c r="AI56" i="4"/>
  <c r="AH56" i="4"/>
  <c r="AG56" i="4"/>
  <c r="AF56" i="4"/>
  <c r="AB56" i="4"/>
  <c r="AA56" i="4"/>
  <c r="Z56" i="4"/>
  <c r="Y56" i="4"/>
  <c r="U56" i="4"/>
  <c r="T56" i="4"/>
  <c r="S56" i="4"/>
  <c r="R56" i="4"/>
  <c r="N56" i="4"/>
  <c r="M56" i="4"/>
  <c r="L56" i="4"/>
  <c r="K56" i="4"/>
  <c r="G56" i="4"/>
  <c r="F56" i="4"/>
  <c r="E56" i="4"/>
  <c r="D56" i="4"/>
  <c r="AI55" i="4"/>
  <c r="AH55" i="4"/>
  <c r="AG55" i="4"/>
  <c r="AF55" i="4"/>
  <c r="AB55" i="4"/>
  <c r="AA55" i="4"/>
  <c r="Z55" i="4"/>
  <c r="Y55" i="4"/>
  <c r="U55" i="4"/>
  <c r="T55" i="4"/>
  <c r="S55" i="4"/>
  <c r="R55" i="4"/>
  <c r="N55" i="4"/>
  <c r="M55" i="4"/>
  <c r="L55" i="4"/>
  <c r="K55" i="4"/>
  <c r="G55" i="4"/>
  <c r="F55" i="4"/>
  <c r="E55" i="4"/>
  <c r="D55" i="4"/>
  <c r="AI54" i="4"/>
  <c r="AH54" i="4"/>
  <c r="AG54" i="4"/>
  <c r="AF54" i="4"/>
  <c r="AB54" i="4"/>
  <c r="AA54" i="4"/>
  <c r="Z54" i="4"/>
  <c r="Y54" i="4"/>
  <c r="U54" i="4"/>
  <c r="T54" i="4"/>
  <c r="S54" i="4"/>
  <c r="R54" i="4"/>
  <c r="N54" i="4"/>
  <c r="M54" i="4"/>
  <c r="L54" i="4"/>
  <c r="K54" i="4"/>
  <c r="G54" i="4"/>
  <c r="F54" i="4"/>
  <c r="E54" i="4"/>
  <c r="D54" i="4"/>
  <c r="AI53" i="4"/>
  <c r="AH53" i="4"/>
  <c r="AG53" i="4"/>
  <c r="AF53" i="4"/>
  <c r="AB53" i="4"/>
  <c r="AA53" i="4"/>
  <c r="Z53" i="4"/>
  <c r="Y53" i="4"/>
  <c r="U53" i="4"/>
  <c r="T53" i="4"/>
  <c r="S53" i="4"/>
  <c r="R53" i="4"/>
  <c r="N53" i="4"/>
  <c r="M53" i="4"/>
  <c r="L53" i="4"/>
  <c r="K53" i="4"/>
  <c r="G53" i="4"/>
  <c r="F53" i="4"/>
  <c r="E53" i="4"/>
  <c r="D53" i="4"/>
  <c r="AI52" i="4"/>
  <c r="AH52" i="4"/>
  <c r="AG52" i="4"/>
  <c r="AF52" i="4"/>
  <c r="AB52" i="4"/>
  <c r="AA52" i="4"/>
  <c r="Z52" i="4"/>
  <c r="Y52" i="4"/>
  <c r="U52" i="4"/>
  <c r="T52" i="4"/>
  <c r="S52" i="4"/>
  <c r="R52" i="4"/>
  <c r="N52" i="4"/>
  <c r="M52" i="4"/>
  <c r="L52" i="4"/>
  <c r="K52" i="4"/>
  <c r="G52" i="4"/>
  <c r="F52" i="4"/>
  <c r="E52" i="4"/>
  <c r="D52" i="4"/>
  <c r="AI51" i="4"/>
  <c r="AH51" i="4"/>
  <c r="AG51" i="4"/>
  <c r="AF51" i="4"/>
  <c r="AB51" i="4"/>
  <c r="AA51" i="4"/>
  <c r="Z51" i="4"/>
  <c r="Y51" i="4"/>
  <c r="U51" i="4"/>
  <c r="T51" i="4"/>
  <c r="S51" i="4"/>
  <c r="R51" i="4"/>
  <c r="N51" i="4"/>
  <c r="M51" i="4"/>
  <c r="L51" i="4"/>
  <c r="K51" i="4"/>
  <c r="G51" i="4"/>
  <c r="F51" i="4"/>
  <c r="E51" i="4"/>
  <c r="D51" i="4"/>
  <c r="AI50" i="4"/>
  <c r="AH50" i="4"/>
  <c r="AG50" i="4"/>
  <c r="AF50" i="4"/>
  <c r="AB50" i="4"/>
  <c r="AA50" i="4"/>
  <c r="Z50" i="4"/>
  <c r="Y50" i="4"/>
  <c r="U50" i="4"/>
  <c r="T50" i="4"/>
  <c r="S50" i="4"/>
  <c r="R50" i="4"/>
  <c r="N50" i="4"/>
  <c r="M50" i="4"/>
  <c r="L50" i="4"/>
  <c r="K50" i="4"/>
  <c r="G50" i="4"/>
  <c r="F50" i="4"/>
  <c r="E50" i="4"/>
  <c r="D50" i="4"/>
  <c r="AI49" i="4"/>
  <c r="AH49" i="4"/>
  <c r="AG49" i="4"/>
  <c r="AF49" i="4"/>
  <c r="AB49" i="4"/>
  <c r="AA49" i="4"/>
  <c r="Z49" i="4"/>
  <c r="Y49" i="4"/>
  <c r="U49" i="4"/>
  <c r="T49" i="4"/>
  <c r="S49" i="4"/>
  <c r="R49" i="4"/>
  <c r="N49" i="4"/>
  <c r="M49" i="4"/>
  <c r="L49" i="4"/>
  <c r="K49" i="4"/>
  <c r="G49" i="4"/>
  <c r="F49" i="4"/>
  <c r="E49" i="4"/>
  <c r="D49" i="4"/>
  <c r="AI48" i="4"/>
  <c r="AH48" i="4"/>
  <c r="AG48" i="4"/>
  <c r="AF48" i="4"/>
  <c r="AD48" i="4"/>
  <c r="AB48" i="4"/>
  <c r="AA48" i="4"/>
  <c r="Z48" i="4"/>
  <c r="Y48" i="4"/>
  <c r="W48" i="4"/>
  <c r="U48" i="4"/>
  <c r="T48" i="4"/>
  <c r="S48" i="4"/>
  <c r="R48" i="4"/>
  <c r="P48" i="4"/>
  <c r="N48" i="4"/>
  <c r="M48" i="4"/>
  <c r="L48" i="4"/>
  <c r="K48" i="4"/>
  <c r="I48" i="4"/>
  <c r="G48" i="4"/>
  <c r="F48" i="4"/>
  <c r="E48" i="4"/>
  <c r="D48" i="4"/>
  <c r="B48" i="4"/>
  <c r="AI47" i="4"/>
  <c r="AH47" i="4"/>
  <c r="AG47" i="4"/>
  <c r="AF47" i="4"/>
  <c r="AE47" i="4"/>
  <c r="AB47" i="4"/>
  <c r="AA47" i="4"/>
  <c r="Z47" i="4"/>
  <c r="Y47" i="4"/>
  <c r="X47" i="4"/>
  <c r="U47" i="4"/>
  <c r="T47" i="4"/>
  <c r="S47" i="4"/>
  <c r="R47" i="4"/>
  <c r="Q47" i="4"/>
  <c r="N47" i="4"/>
  <c r="M47" i="4"/>
  <c r="L47" i="4"/>
  <c r="K47" i="4"/>
  <c r="J47" i="4"/>
  <c r="G47" i="4"/>
  <c r="F47" i="4"/>
  <c r="E47" i="4"/>
  <c r="D47" i="4"/>
  <c r="C47" i="4"/>
  <c r="AI46" i="4"/>
  <c r="AH46" i="4"/>
  <c r="AG46" i="4"/>
  <c r="AF46" i="4"/>
  <c r="AE46" i="4"/>
  <c r="AB46" i="4"/>
  <c r="AA46" i="4"/>
  <c r="Z46" i="4"/>
  <c r="Y46" i="4"/>
  <c r="X46" i="4"/>
  <c r="U46" i="4"/>
  <c r="T46" i="4"/>
  <c r="S46" i="4"/>
  <c r="R46" i="4"/>
  <c r="Q46" i="4"/>
  <c r="N46" i="4"/>
  <c r="M46" i="4"/>
  <c r="L46" i="4"/>
  <c r="K46" i="4"/>
  <c r="J46" i="4"/>
  <c r="G46" i="4"/>
  <c r="F46" i="4"/>
  <c r="E46" i="4"/>
  <c r="D46" i="4"/>
  <c r="C46" i="4"/>
  <c r="AI45" i="4"/>
  <c r="AH45" i="4"/>
  <c r="AG45" i="4"/>
  <c r="AF45" i="4"/>
  <c r="AE45" i="4"/>
  <c r="AB45" i="4"/>
  <c r="AA45" i="4"/>
  <c r="Z45" i="4"/>
  <c r="Y45" i="4"/>
  <c r="X45" i="4"/>
  <c r="U45" i="4"/>
  <c r="T45" i="4"/>
  <c r="S45" i="4"/>
  <c r="R45" i="4"/>
  <c r="Q45" i="4"/>
  <c r="N45" i="4"/>
  <c r="M45" i="4"/>
  <c r="L45" i="4"/>
  <c r="K45" i="4"/>
  <c r="J45" i="4"/>
  <c r="G45" i="4"/>
  <c r="F45" i="4"/>
  <c r="E45" i="4"/>
  <c r="D45" i="4"/>
  <c r="C45" i="4"/>
  <c r="AI44" i="4"/>
  <c r="AH44" i="4"/>
  <c r="AG44" i="4"/>
  <c r="AF44" i="4"/>
  <c r="AE44" i="4"/>
  <c r="AB44" i="4"/>
  <c r="AA44" i="4"/>
  <c r="Z44" i="4"/>
  <c r="Y44" i="4"/>
  <c r="X44" i="4"/>
  <c r="U44" i="4"/>
  <c r="T44" i="4"/>
  <c r="S44" i="4"/>
  <c r="R44" i="4"/>
  <c r="Q44" i="4"/>
  <c r="N44" i="4"/>
  <c r="M44" i="4"/>
  <c r="L44" i="4"/>
  <c r="K44" i="4"/>
  <c r="J44" i="4"/>
  <c r="G44" i="4"/>
  <c r="F44" i="4"/>
  <c r="E44" i="4"/>
  <c r="D44" i="4"/>
  <c r="C44" i="4"/>
  <c r="AI43" i="4"/>
  <c r="AH43" i="4"/>
  <c r="AG43" i="4"/>
  <c r="AF43" i="4"/>
  <c r="AE43" i="4"/>
  <c r="AB43" i="4"/>
  <c r="AA43" i="4"/>
  <c r="Z43" i="4"/>
  <c r="Y43" i="4"/>
  <c r="X43" i="4"/>
  <c r="U43" i="4"/>
  <c r="T43" i="4"/>
  <c r="S43" i="4"/>
  <c r="R43" i="4"/>
  <c r="Q43" i="4"/>
  <c r="N43" i="4"/>
  <c r="M43" i="4"/>
  <c r="L43" i="4"/>
  <c r="K43" i="4"/>
  <c r="J43" i="4"/>
  <c r="G43" i="4"/>
  <c r="F43" i="4"/>
  <c r="E43" i="4"/>
  <c r="D43" i="4"/>
  <c r="C43" i="4"/>
  <c r="AI42" i="4"/>
  <c r="AH42" i="4"/>
  <c r="AG42" i="4"/>
  <c r="AF42" i="4"/>
  <c r="AE42" i="4"/>
  <c r="AB42" i="4"/>
  <c r="AA42" i="4"/>
  <c r="Z42" i="4"/>
  <c r="Y42" i="4"/>
  <c r="X42" i="4"/>
  <c r="U42" i="4"/>
  <c r="T42" i="4"/>
  <c r="S42" i="4"/>
  <c r="R42" i="4"/>
  <c r="Q42" i="4"/>
  <c r="N42" i="4"/>
  <c r="M42" i="4"/>
  <c r="L42" i="4"/>
  <c r="K42" i="4"/>
  <c r="J42" i="4"/>
  <c r="G42" i="4"/>
  <c r="F42" i="4"/>
  <c r="E42" i="4"/>
  <c r="D42" i="4"/>
  <c r="C42" i="4"/>
  <c r="AI41" i="4"/>
  <c r="AH41" i="4"/>
  <c r="AG41" i="4"/>
  <c r="AF41" i="4"/>
  <c r="AE41" i="4"/>
  <c r="AB41" i="4"/>
  <c r="AA41" i="4"/>
  <c r="Z41" i="4"/>
  <c r="Y41" i="4"/>
  <c r="X41" i="4"/>
  <c r="U41" i="4"/>
  <c r="T41" i="4"/>
  <c r="S41" i="4"/>
  <c r="R41" i="4"/>
  <c r="Q41" i="4"/>
  <c r="N41" i="4"/>
  <c r="M41" i="4"/>
  <c r="L41" i="4"/>
  <c r="K41" i="4"/>
  <c r="J41" i="4"/>
  <c r="G41" i="4"/>
  <c r="F41" i="4"/>
  <c r="E41" i="4"/>
  <c r="D41" i="4"/>
  <c r="C41" i="4"/>
  <c r="AI40" i="4"/>
  <c r="AH40" i="4"/>
  <c r="AG40" i="4"/>
  <c r="AF40" i="4"/>
  <c r="AE40" i="4"/>
  <c r="AD40" i="4"/>
  <c r="AB40" i="4"/>
  <c r="AA40" i="4"/>
  <c r="Z40" i="4"/>
  <c r="Y40" i="4"/>
  <c r="X40" i="4"/>
  <c r="W40" i="4"/>
  <c r="U40" i="4"/>
  <c r="T40" i="4"/>
  <c r="S40" i="4"/>
  <c r="R40" i="4"/>
  <c r="Q40" i="4"/>
  <c r="P40" i="4"/>
  <c r="N40" i="4"/>
  <c r="M40" i="4"/>
  <c r="L40" i="4"/>
  <c r="K40" i="4"/>
  <c r="J40" i="4"/>
  <c r="I40" i="4"/>
  <c r="G40" i="4"/>
  <c r="F40" i="4"/>
  <c r="E40" i="4"/>
  <c r="D40" i="4"/>
  <c r="C40" i="4"/>
  <c r="B40" i="4"/>
  <c r="AD38" i="4"/>
  <c r="W38" i="4"/>
  <c r="P38" i="4"/>
  <c r="I38" i="4"/>
  <c r="B38" i="4"/>
  <c r="AD37" i="4"/>
  <c r="W37" i="4"/>
  <c r="P37" i="4"/>
  <c r="I37" i="4"/>
  <c r="B37" i="4"/>
  <c r="AD36" i="4"/>
  <c r="W36" i="4"/>
  <c r="P36" i="4"/>
  <c r="I36" i="4"/>
  <c r="B36" i="4"/>
  <c r="AI31" i="4"/>
  <c r="AH31" i="4"/>
  <c r="AG31" i="4"/>
  <c r="AF31" i="4"/>
  <c r="AE31" i="4"/>
  <c r="AB31" i="4"/>
  <c r="AA31" i="4"/>
  <c r="Z31" i="4"/>
  <c r="Y31" i="4"/>
  <c r="X31" i="4"/>
  <c r="U31" i="4"/>
  <c r="T31" i="4"/>
  <c r="S31" i="4"/>
  <c r="R31" i="4"/>
  <c r="Q31" i="4"/>
  <c r="N31" i="4"/>
  <c r="M31" i="4"/>
  <c r="L31" i="4"/>
  <c r="K31" i="4"/>
  <c r="J31" i="4"/>
  <c r="AI30" i="4"/>
  <c r="AH30" i="4"/>
  <c r="AG30" i="4"/>
  <c r="AF30" i="4"/>
  <c r="AE30" i="4"/>
  <c r="AB30" i="4"/>
  <c r="AA30" i="4"/>
  <c r="Z30" i="4"/>
  <c r="Y30" i="4"/>
  <c r="X30" i="4"/>
  <c r="U30" i="4"/>
  <c r="T30" i="4"/>
  <c r="S30" i="4"/>
  <c r="R30" i="4"/>
  <c r="Q30" i="4"/>
  <c r="N30" i="4"/>
  <c r="M30" i="4"/>
  <c r="L30" i="4"/>
  <c r="K30" i="4"/>
  <c r="J30" i="4"/>
  <c r="AI29" i="4"/>
  <c r="AH29" i="4"/>
  <c r="AG29" i="4"/>
  <c r="AF29" i="4"/>
  <c r="AE29" i="4"/>
  <c r="AB29" i="4"/>
  <c r="AA29" i="4"/>
  <c r="Z29" i="4"/>
  <c r="Y29" i="4"/>
  <c r="X29" i="4"/>
  <c r="U29" i="4"/>
  <c r="T29" i="4"/>
  <c r="S29" i="4"/>
  <c r="R29" i="4"/>
  <c r="Q29" i="4"/>
  <c r="N29" i="4"/>
  <c r="M29" i="4"/>
  <c r="L29" i="4"/>
  <c r="K29" i="4"/>
  <c r="J29" i="4"/>
  <c r="AI28" i="4"/>
  <c r="AH28" i="4"/>
  <c r="AG28" i="4"/>
  <c r="AF28" i="4"/>
  <c r="AE28" i="4"/>
  <c r="AB28" i="4"/>
  <c r="AA28" i="4"/>
  <c r="Z28" i="4"/>
  <c r="Y28" i="4"/>
  <c r="X28" i="4"/>
  <c r="U28" i="4"/>
  <c r="T28" i="4"/>
  <c r="S28" i="4"/>
  <c r="R28" i="4"/>
  <c r="Q28" i="4"/>
  <c r="N28" i="4"/>
  <c r="M28" i="4"/>
  <c r="L28" i="4"/>
  <c r="K28" i="4"/>
  <c r="J28" i="4"/>
  <c r="AI27" i="4"/>
  <c r="AH27" i="4"/>
  <c r="AG27" i="4"/>
  <c r="AF27" i="4"/>
  <c r="AE27" i="4"/>
  <c r="AB27" i="4"/>
  <c r="AA27" i="4"/>
  <c r="Z27" i="4"/>
  <c r="Y27" i="4"/>
  <c r="X27" i="4"/>
  <c r="U27" i="4"/>
  <c r="T27" i="4"/>
  <c r="S27" i="4"/>
  <c r="R27" i="4"/>
  <c r="Q27" i="4"/>
  <c r="N27" i="4"/>
  <c r="M27" i="4"/>
  <c r="L27" i="4"/>
  <c r="K27" i="4"/>
  <c r="J27" i="4"/>
  <c r="AI26" i="4"/>
  <c r="AH26" i="4"/>
  <c r="AG26" i="4"/>
  <c r="AF26" i="4"/>
  <c r="AE26" i="4"/>
  <c r="AB26" i="4"/>
  <c r="AA26" i="4"/>
  <c r="Z26" i="4"/>
  <c r="Y26" i="4"/>
  <c r="X26" i="4"/>
  <c r="U26" i="4"/>
  <c r="T26" i="4"/>
  <c r="S26" i="4"/>
  <c r="R26" i="4"/>
  <c r="Q26" i="4"/>
  <c r="N26" i="4"/>
  <c r="M26" i="4"/>
  <c r="L26" i="4"/>
  <c r="K26" i="4"/>
  <c r="J26" i="4"/>
  <c r="AI25" i="4"/>
  <c r="AH25" i="4"/>
  <c r="AG25" i="4"/>
  <c r="AF25" i="4"/>
  <c r="AE25" i="4"/>
  <c r="AB25" i="4"/>
  <c r="AA25" i="4"/>
  <c r="Z25" i="4"/>
  <c r="Y25" i="4"/>
  <c r="X25" i="4"/>
  <c r="U25" i="4"/>
  <c r="T25" i="4"/>
  <c r="S25" i="4"/>
  <c r="R25" i="4"/>
  <c r="Q25" i="4"/>
  <c r="N25" i="4"/>
  <c r="M25" i="4"/>
  <c r="L25" i="4"/>
  <c r="K25" i="4"/>
  <c r="J25" i="4"/>
  <c r="AI23" i="4"/>
  <c r="AH23" i="4"/>
  <c r="AG23" i="4"/>
  <c r="AF23" i="4"/>
  <c r="AB23" i="4"/>
  <c r="AA23" i="4"/>
  <c r="Z23" i="4"/>
  <c r="Y23" i="4"/>
  <c r="U23" i="4"/>
  <c r="T23" i="4"/>
  <c r="S23" i="4"/>
  <c r="R23" i="4"/>
  <c r="N23" i="4"/>
  <c r="M23" i="4"/>
  <c r="L23" i="4"/>
  <c r="K23" i="4"/>
  <c r="AI22" i="4"/>
  <c r="AH22" i="4"/>
  <c r="AG22" i="4"/>
  <c r="AF22" i="4"/>
  <c r="AB22" i="4"/>
  <c r="AA22" i="4"/>
  <c r="Z22" i="4"/>
  <c r="Y22" i="4"/>
  <c r="U22" i="4"/>
  <c r="T22" i="4"/>
  <c r="S22" i="4"/>
  <c r="R22" i="4"/>
  <c r="N22" i="4"/>
  <c r="M22" i="4"/>
  <c r="L22" i="4"/>
  <c r="K22" i="4"/>
  <c r="AI21" i="4"/>
  <c r="AH21" i="4"/>
  <c r="AG21" i="4"/>
  <c r="AF21" i="4"/>
  <c r="AB21" i="4"/>
  <c r="AA21" i="4"/>
  <c r="Z21" i="4"/>
  <c r="Y21" i="4"/>
  <c r="U21" i="4"/>
  <c r="T21" i="4"/>
  <c r="S21" i="4"/>
  <c r="R21" i="4"/>
  <c r="N21" i="4"/>
  <c r="M21" i="4"/>
  <c r="L21" i="4"/>
  <c r="K21" i="4"/>
  <c r="AI20" i="4"/>
  <c r="AH20" i="4"/>
  <c r="AG20" i="4"/>
  <c r="AF20" i="4"/>
  <c r="AB20" i="4"/>
  <c r="AA20" i="4"/>
  <c r="Z20" i="4"/>
  <c r="Y20" i="4"/>
  <c r="U20" i="4"/>
  <c r="T20" i="4"/>
  <c r="S20" i="4"/>
  <c r="R20" i="4"/>
  <c r="N20" i="4"/>
  <c r="M20" i="4"/>
  <c r="L20" i="4"/>
  <c r="K20" i="4"/>
  <c r="AI19" i="4"/>
  <c r="AH19" i="4"/>
  <c r="AG19" i="4"/>
  <c r="AF19" i="4"/>
  <c r="AB19" i="4"/>
  <c r="AA19" i="4"/>
  <c r="Z19" i="4"/>
  <c r="Y19" i="4"/>
  <c r="U19" i="4"/>
  <c r="T19" i="4"/>
  <c r="S19" i="4"/>
  <c r="R19" i="4"/>
  <c r="N19" i="4"/>
  <c r="M19" i="4"/>
  <c r="L19" i="4"/>
  <c r="K19" i="4"/>
  <c r="AI18" i="4"/>
  <c r="AH18" i="4"/>
  <c r="AG18" i="4"/>
  <c r="AF18" i="4"/>
  <c r="AB18" i="4"/>
  <c r="AA18" i="4"/>
  <c r="Z18" i="4"/>
  <c r="Y18" i="4"/>
  <c r="U18" i="4"/>
  <c r="T18" i="4"/>
  <c r="S18" i="4"/>
  <c r="R18" i="4"/>
  <c r="N18" i="4"/>
  <c r="M18" i="4"/>
  <c r="L18" i="4"/>
  <c r="K18" i="4"/>
  <c r="AI17" i="4"/>
  <c r="AH17" i="4"/>
  <c r="AG17" i="4"/>
  <c r="AF17" i="4"/>
  <c r="AB17" i="4"/>
  <c r="AA17" i="4"/>
  <c r="Z17" i="4"/>
  <c r="Y17" i="4"/>
  <c r="U17" i="4"/>
  <c r="T17" i="4"/>
  <c r="S17" i="4"/>
  <c r="R17" i="4"/>
  <c r="N17" i="4"/>
  <c r="M17" i="4"/>
  <c r="L17" i="4"/>
  <c r="K17" i="4"/>
  <c r="AI16" i="4"/>
  <c r="AH16" i="4"/>
  <c r="AG16" i="4"/>
  <c r="AF16" i="4"/>
  <c r="AB16" i="4"/>
  <c r="AA16" i="4"/>
  <c r="Z16" i="4"/>
  <c r="Y16" i="4"/>
  <c r="U16" i="4"/>
  <c r="T16" i="4"/>
  <c r="S16" i="4"/>
  <c r="R16" i="4"/>
  <c r="N16" i="4"/>
  <c r="M16" i="4"/>
  <c r="L16" i="4"/>
  <c r="K16" i="4"/>
  <c r="AI15" i="4"/>
  <c r="AH15" i="4"/>
  <c r="AG15" i="4"/>
  <c r="AF15" i="4"/>
  <c r="AD15" i="4"/>
  <c r="AB15" i="4"/>
  <c r="AA15" i="4"/>
  <c r="Z15" i="4"/>
  <c r="Y15" i="4"/>
  <c r="W15" i="4"/>
  <c r="U15" i="4"/>
  <c r="T15" i="4"/>
  <c r="S15" i="4"/>
  <c r="R15" i="4"/>
  <c r="P15" i="4"/>
  <c r="N15" i="4"/>
  <c r="M15" i="4"/>
  <c r="L15" i="4"/>
  <c r="K15" i="4"/>
  <c r="I15" i="4"/>
  <c r="AI14" i="4"/>
  <c r="AH14" i="4"/>
  <c r="AG14" i="4"/>
  <c r="AF14" i="4"/>
  <c r="AE14" i="4"/>
  <c r="AB14" i="4"/>
  <c r="AA14" i="4"/>
  <c r="Z14" i="4"/>
  <c r="Y14" i="4"/>
  <c r="X14" i="4"/>
  <c r="U14" i="4"/>
  <c r="T14" i="4"/>
  <c r="S14" i="4"/>
  <c r="R14" i="4"/>
  <c r="Q14" i="4"/>
  <c r="N14" i="4"/>
  <c r="M14" i="4"/>
  <c r="L14" i="4"/>
  <c r="K14" i="4"/>
  <c r="J14" i="4"/>
  <c r="AI13" i="4"/>
  <c r="AH13" i="4"/>
  <c r="AG13" i="4"/>
  <c r="AF13" i="4"/>
  <c r="AE13" i="4"/>
  <c r="AB13" i="4"/>
  <c r="AA13" i="4"/>
  <c r="Z13" i="4"/>
  <c r="Y13" i="4"/>
  <c r="X13" i="4"/>
  <c r="U13" i="4"/>
  <c r="T13" i="4"/>
  <c r="S13" i="4"/>
  <c r="R13" i="4"/>
  <c r="Q13" i="4"/>
  <c r="N13" i="4"/>
  <c r="M13" i="4"/>
  <c r="L13" i="4"/>
  <c r="K13" i="4"/>
  <c r="J13" i="4"/>
  <c r="AI12" i="4"/>
  <c r="AH12" i="4"/>
  <c r="AG12" i="4"/>
  <c r="AF12" i="4"/>
  <c r="AE12" i="4"/>
  <c r="AB12" i="4"/>
  <c r="AA12" i="4"/>
  <c r="Z12" i="4"/>
  <c r="Y12" i="4"/>
  <c r="X12" i="4"/>
  <c r="U12" i="4"/>
  <c r="T12" i="4"/>
  <c r="S12" i="4"/>
  <c r="R12" i="4"/>
  <c r="Q12" i="4"/>
  <c r="N12" i="4"/>
  <c r="M12" i="4"/>
  <c r="L12" i="4"/>
  <c r="K12" i="4"/>
  <c r="J12" i="4"/>
  <c r="AI11" i="4"/>
  <c r="AH11" i="4"/>
  <c r="AG11" i="4"/>
  <c r="AF11" i="4"/>
  <c r="AE11" i="4"/>
  <c r="AB11" i="4"/>
  <c r="AA11" i="4"/>
  <c r="Z11" i="4"/>
  <c r="Y11" i="4"/>
  <c r="X11" i="4"/>
  <c r="U11" i="4"/>
  <c r="T11" i="4"/>
  <c r="S11" i="4"/>
  <c r="R11" i="4"/>
  <c r="Q11" i="4"/>
  <c r="N11" i="4"/>
  <c r="M11" i="4"/>
  <c r="L11" i="4"/>
  <c r="K11" i="4"/>
  <c r="J11" i="4"/>
  <c r="AI10" i="4"/>
  <c r="AH10" i="4"/>
  <c r="AG10" i="4"/>
  <c r="AF10" i="4"/>
  <c r="AE10" i="4"/>
  <c r="AB10" i="4"/>
  <c r="AA10" i="4"/>
  <c r="Z10" i="4"/>
  <c r="Y10" i="4"/>
  <c r="X10" i="4"/>
  <c r="U10" i="4"/>
  <c r="T10" i="4"/>
  <c r="S10" i="4"/>
  <c r="R10" i="4"/>
  <c r="Q10" i="4"/>
  <c r="N10" i="4"/>
  <c r="M10" i="4"/>
  <c r="L10" i="4"/>
  <c r="K10" i="4"/>
  <c r="J10" i="4"/>
  <c r="AI9" i="4"/>
  <c r="AH9" i="4"/>
  <c r="AG9" i="4"/>
  <c r="AF9" i="4"/>
  <c r="AE9" i="4"/>
  <c r="AB9" i="4"/>
  <c r="AA9" i="4"/>
  <c r="Z9" i="4"/>
  <c r="Y9" i="4"/>
  <c r="X9" i="4"/>
  <c r="U9" i="4"/>
  <c r="T9" i="4"/>
  <c r="S9" i="4"/>
  <c r="R9" i="4"/>
  <c r="Q9" i="4"/>
  <c r="N9" i="4"/>
  <c r="M9" i="4"/>
  <c r="L9" i="4"/>
  <c r="K9" i="4"/>
  <c r="J9" i="4"/>
  <c r="AI8" i="4"/>
  <c r="AH8" i="4"/>
  <c r="AG8" i="4"/>
  <c r="AF8" i="4"/>
  <c r="AE8" i="4"/>
  <c r="AB8" i="4"/>
  <c r="AA8" i="4"/>
  <c r="Z8" i="4"/>
  <c r="Y8" i="4"/>
  <c r="X8" i="4"/>
  <c r="U8" i="4"/>
  <c r="T8" i="4"/>
  <c r="S8" i="4"/>
  <c r="R8" i="4"/>
  <c r="Q8" i="4"/>
  <c r="N8" i="4"/>
  <c r="M8" i="4"/>
  <c r="L8" i="4"/>
  <c r="K8" i="4"/>
  <c r="J8" i="4"/>
  <c r="AI7" i="4"/>
  <c r="AH7" i="4"/>
  <c r="AG7" i="4"/>
  <c r="AF7" i="4"/>
  <c r="AE7" i="4"/>
  <c r="AD7" i="4"/>
  <c r="AB7" i="4"/>
  <c r="AA7" i="4"/>
  <c r="Z7" i="4"/>
  <c r="Y7" i="4"/>
  <c r="X7" i="4"/>
  <c r="W7" i="4"/>
  <c r="U7" i="4"/>
  <c r="T7" i="4"/>
  <c r="S7" i="4"/>
  <c r="R7" i="4"/>
  <c r="Q7" i="4"/>
  <c r="P7" i="4"/>
  <c r="N7" i="4"/>
  <c r="M7" i="4"/>
  <c r="L7" i="4"/>
  <c r="K7" i="4"/>
  <c r="J7" i="4"/>
  <c r="I7" i="4"/>
  <c r="AD5" i="4"/>
  <c r="W5" i="4"/>
  <c r="P5" i="4"/>
  <c r="I5" i="4"/>
  <c r="AD4" i="4"/>
  <c r="W4" i="4"/>
  <c r="P4" i="4"/>
  <c r="I4" i="4"/>
  <c r="AD3" i="4"/>
  <c r="W3" i="4"/>
  <c r="P3" i="4"/>
  <c r="I3" i="4"/>
  <c r="G31" i="4"/>
  <c r="F31" i="4"/>
  <c r="E31" i="4"/>
  <c r="D31" i="4"/>
  <c r="C31" i="4"/>
  <c r="G30" i="4"/>
  <c r="F30" i="4"/>
  <c r="E30" i="4"/>
  <c r="D30" i="4"/>
  <c r="C30" i="4"/>
  <c r="G29" i="4"/>
  <c r="F29" i="4"/>
  <c r="E29" i="4"/>
  <c r="D29" i="4"/>
  <c r="C29" i="4"/>
  <c r="G28" i="4"/>
  <c r="F28" i="4"/>
  <c r="E28" i="4"/>
  <c r="D28" i="4"/>
  <c r="C28" i="4"/>
  <c r="G27" i="4"/>
  <c r="F27" i="4"/>
  <c r="E27" i="4"/>
  <c r="D27" i="4"/>
  <c r="C27" i="4"/>
  <c r="G26" i="4"/>
  <c r="F26" i="4"/>
  <c r="E26" i="4"/>
  <c r="D26" i="4"/>
  <c r="C26" i="4"/>
  <c r="G25" i="4"/>
  <c r="F25" i="4"/>
  <c r="E25" i="4"/>
  <c r="D25" i="4"/>
  <c r="C25" i="4"/>
  <c r="G23" i="4"/>
  <c r="F23" i="4"/>
  <c r="E23" i="4"/>
  <c r="D23" i="4"/>
  <c r="G22" i="4"/>
  <c r="F22" i="4"/>
  <c r="E22" i="4"/>
  <c r="D22" i="4"/>
  <c r="G21" i="4"/>
  <c r="F21" i="4"/>
  <c r="E21" i="4"/>
  <c r="D21" i="4"/>
  <c r="G20" i="4"/>
  <c r="F20" i="4"/>
  <c r="E20" i="4"/>
  <c r="D20" i="4"/>
  <c r="G19" i="4"/>
  <c r="F19" i="4"/>
  <c r="E19" i="4"/>
  <c r="D19" i="4"/>
  <c r="G18" i="4"/>
  <c r="F18" i="4"/>
  <c r="E18" i="4"/>
  <c r="D18" i="4"/>
  <c r="G17" i="4"/>
  <c r="F17" i="4"/>
  <c r="E17" i="4"/>
  <c r="D17" i="4"/>
  <c r="G16" i="4"/>
  <c r="F16" i="4"/>
  <c r="E16" i="4"/>
  <c r="D16" i="4"/>
  <c r="G15" i="4"/>
  <c r="F15" i="4"/>
  <c r="E15" i="4"/>
  <c r="D15" i="4"/>
  <c r="B15" i="4"/>
  <c r="G14" i="4"/>
  <c r="F14" i="4"/>
  <c r="E14" i="4"/>
  <c r="D14" i="4"/>
  <c r="C14" i="4"/>
  <c r="G13" i="4"/>
  <c r="F13" i="4"/>
  <c r="E13" i="4"/>
  <c r="D13" i="4"/>
  <c r="C13" i="4"/>
  <c r="G12" i="4"/>
  <c r="F12" i="4"/>
  <c r="E12" i="4"/>
  <c r="D12" i="4"/>
  <c r="C12" i="4"/>
  <c r="G11" i="4"/>
  <c r="F11" i="4"/>
  <c r="E11" i="4"/>
  <c r="D11" i="4"/>
  <c r="C11" i="4"/>
  <c r="G10" i="4"/>
  <c r="F10" i="4"/>
  <c r="E10" i="4"/>
  <c r="D10" i="4"/>
  <c r="C10" i="4"/>
  <c r="G9" i="4"/>
  <c r="F9" i="4"/>
  <c r="E9" i="4"/>
  <c r="D9" i="4"/>
  <c r="C9" i="4"/>
  <c r="G8" i="4"/>
  <c r="F8" i="4"/>
  <c r="E8" i="4"/>
  <c r="D8" i="4"/>
  <c r="C8" i="4"/>
  <c r="G7" i="4"/>
  <c r="F7" i="4"/>
  <c r="E7" i="4"/>
  <c r="D7" i="4"/>
  <c r="C7" i="4"/>
  <c r="B7" i="4"/>
  <c r="B5" i="4"/>
  <c r="B4" i="4"/>
  <c r="B3" i="4"/>
  <c r="AD57" i="4" l="1"/>
  <c r="AE56" i="4"/>
  <c r="AE55" i="4"/>
  <c r="AE54" i="4"/>
  <c r="AE53" i="4"/>
  <c r="AE52" i="4"/>
  <c r="AE51" i="4"/>
  <c r="AE50" i="4"/>
  <c r="AE49" i="4"/>
  <c r="AE48" i="4"/>
  <c r="AD24" i="4"/>
  <c r="AE23" i="4"/>
  <c r="AE22" i="4"/>
  <c r="AE21" i="4"/>
  <c r="AE20" i="4"/>
  <c r="AE19" i="4"/>
  <c r="AE18" i="4"/>
  <c r="AE17" i="4"/>
  <c r="AE16" i="4"/>
  <c r="AE15" i="4"/>
  <c r="W57" i="4"/>
  <c r="X56" i="4"/>
  <c r="X55" i="4"/>
  <c r="X54" i="4"/>
  <c r="X53" i="4"/>
  <c r="X52" i="4"/>
  <c r="X51" i="4"/>
  <c r="X50" i="4"/>
  <c r="X49" i="4"/>
  <c r="X48" i="4"/>
  <c r="W24" i="4"/>
  <c r="X23" i="4"/>
  <c r="X22" i="4"/>
  <c r="X21" i="4"/>
  <c r="X20" i="4"/>
  <c r="X19" i="4"/>
  <c r="X18" i="4"/>
  <c r="X17" i="4"/>
  <c r="X16" i="4"/>
  <c r="X15" i="4"/>
  <c r="P57" i="4"/>
  <c r="Q56" i="4"/>
  <c r="Q55" i="4"/>
  <c r="Q54" i="4"/>
  <c r="Q53" i="4"/>
  <c r="Q52" i="4"/>
  <c r="Q51" i="4"/>
  <c r="Q50" i="4"/>
  <c r="Q49" i="4"/>
  <c r="Q48" i="4"/>
  <c r="P24" i="4"/>
  <c r="Q23" i="4"/>
  <c r="Q22" i="4"/>
  <c r="Q21" i="4"/>
  <c r="Q20" i="4"/>
  <c r="Q19" i="4"/>
  <c r="Q18" i="4"/>
  <c r="Q17" i="4"/>
  <c r="Q16" i="4"/>
  <c r="Q15" i="4"/>
  <c r="I57" i="4"/>
  <c r="J56" i="4"/>
  <c r="J55" i="4"/>
  <c r="J54" i="4"/>
  <c r="J53" i="4"/>
  <c r="J52" i="4"/>
  <c r="J51" i="4"/>
  <c r="J50" i="4"/>
  <c r="J49" i="4"/>
  <c r="J48" i="4"/>
  <c r="I24" i="4"/>
  <c r="J23" i="4"/>
  <c r="J22" i="4"/>
  <c r="J21" i="4"/>
  <c r="J20" i="4"/>
  <c r="J19" i="4"/>
  <c r="J18" i="4"/>
  <c r="J17" i="4"/>
  <c r="J16" i="4"/>
  <c r="J15" i="4"/>
  <c r="C56" i="4"/>
  <c r="C55" i="4"/>
  <c r="C54" i="4"/>
  <c r="C53" i="4"/>
  <c r="C52" i="4"/>
  <c r="C51" i="4"/>
  <c r="C50" i="4"/>
  <c r="C49" i="4"/>
  <c r="C48" i="4"/>
  <c r="C23" i="4"/>
  <c r="C22" i="4"/>
  <c r="C21" i="4"/>
  <c r="C20" i="4"/>
  <c r="C19" i="4"/>
  <c r="C18" i="4"/>
  <c r="C17" i="4"/>
  <c r="C16" i="4"/>
  <c r="C15" i="4"/>
  <c r="C52" i="5"/>
  <c r="C51" i="5"/>
  <c r="C50" i="5"/>
  <c r="C49" i="5"/>
  <c r="C48" i="5"/>
  <c r="C47" i="5"/>
  <c r="F46" i="5"/>
  <c r="C46" i="5"/>
  <c r="F45" i="5"/>
  <c r="C45" i="5"/>
  <c r="F44" i="5"/>
  <c r="C44" i="5"/>
  <c r="F43" i="5"/>
  <c r="C43" i="5"/>
  <c r="J42" i="5"/>
  <c r="H42" i="5"/>
  <c r="F42" i="5"/>
  <c r="J41" i="5"/>
  <c r="H41" i="5"/>
  <c r="J40" i="5"/>
  <c r="H40" i="5"/>
  <c r="C40" i="5"/>
  <c r="J39" i="5"/>
  <c r="H39" i="5"/>
  <c r="C39" i="5"/>
  <c r="J38" i="5"/>
  <c r="H38" i="5"/>
  <c r="F38" i="5"/>
  <c r="E38" i="5"/>
  <c r="C38" i="5"/>
  <c r="J37" i="5"/>
  <c r="H37" i="5"/>
  <c r="F37" i="5"/>
  <c r="E37" i="5"/>
  <c r="C37" i="5"/>
  <c r="J36" i="5"/>
  <c r="H36" i="5"/>
  <c r="F36" i="5"/>
  <c r="E36" i="5"/>
  <c r="C36" i="5"/>
  <c r="J35" i="5"/>
  <c r="H35" i="5"/>
  <c r="F35" i="5"/>
  <c r="E35" i="5"/>
  <c r="C35" i="5"/>
  <c r="Q34" i="5"/>
  <c r="P34" i="5"/>
  <c r="O34" i="5"/>
  <c r="N34" i="5"/>
  <c r="M34" i="5"/>
  <c r="J34" i="5"/>
  <c r="H34" i="5"/>
  <c r="F34" i="5"/>
  <c r="E34" i="5"/>
  <c r="C34" i="5"/>
  <c r="Q33" i="5"/>
  <c r="P33" i="5"/>
  <c r="O33" i="5"/>
  <c r="N33" i="5"/>
  <c r="M33" i="5"/>
  <c r="J33" i="5"/>
  <c r="H33" i="5"/>
  <c r="F33" i="5"/>
  <c r="E33" i="5"/>
  <c r="C33" i="5"/>
  <c r="Q32" i="5"/>
  <c r="P32" i="5"/>
  <c r="O32" i="5"/>
  <c r="N32" i="5"/>
  <c r="M32" i="5"/>
  <c r="F32" i="5"/>
  <c r="E32" i="5"/>
  <c r="C32" i="5"/>
  <c r="Q31" i="5"/>
  <c r="P31" i="5"/>
  <c r="O31" i="5"/>
  <c r="N31" i="5"/>
  <c r="M31" i="5"/>
  <c r="C31" i="5"/>
  <c r="Q30" i="5"/>
  <c r="P30" i="5"/>
  <c r="O30" i="5"/>
  <c r="N30" i="5"/>
  <c r="M30" i="5"/>
  <c r="C30" i="5"/>
  <c r="Q29" i="5"/>
  <c r="P29" i="5"/>
  <c r="O29" i="5"/>
  <c r="N29" i="5"/>
  <c r="M29" i="5"/>
  <c r="C29" i="5"/>
  <c r="Q28" i="5"/>
  <c r="P28" i="5"/>
  <c r="O28" i="5"/>
  <c r="N28" i="5"/>
  <c r="M28" i="5"/>
  <c r="J28" i="5"/>
  <c r="F28" i="5"/>
  <c r="C28" i="5"/>
  <c r="Q27" i="5"/>
  <c r="P27" i="5"/>
  <c r="O27" i="5"/>
  <c r="N27" i="5"/>
  <c r="M27" i="5"/>
  <c r="J27" i="5"/>
  <c r="F27" i="5"/>
  <c r="J26" i="5"/>
  <c r="F26" i="5"/>
  <c r="J25" i="5"/>
  <c r="F25" i="5"/>
  <c r="C25" i="5"/>
  <c r="J24" i="5"/>
  <c r="F24" i="5"/>
  <c r="C24" i="5"/>
  <c r="J23" i="5"/>
  <c r="C23" i="5"/>
  <c r="Q22" i="5"/>
  <c r="P22" i="5"/>
  <c r="O22" i="5"/>
  <c r="N22" i="5"/>
  <c r="J22" i="5"/>
  <c r="C22" i="5"/>
  <c r="Q21" i="5"/>
  <c r="P21" i="5"/>
  <c r="O21" i="5"/>
  <c r="N21" i="5"/>
  <c r="J21" i="5"/>
  <c r="C21" i="5"/>
  <c r="Q20" i="5"/>
  <c r="P20" i="5"/>
  <c r="O20" i="5"/>
  <c r="N20" i="5"/>
  <c r="J20" i="5"/>
  <c r="F20" i="5"/>
  <c r="C20" i="5"/>
  <c r="C19" i="5" s="1"/>
  <c r="Q19" i="5"/>
  <c r="P19" i="5"/>
  <c r="O19" i="5"/>
  <c r="N19" i="5"/>
  <c r="F19" i="5"/>
  <c r="Q18" i="5"/>
  <c r="P18" i="5"/>
  <c r="O18" i="5"/>
  <c r="N18" i="5"/>
  <c r="F18" i="5"/>
  <c r="Q17" i="5"/>
  <c r="P17" i="5"/>
  <c r="O17" i="5"/>
  <c r="N17" i="5"/>
  <c r="F17" i="5"/>
  <c r="C17" i="5"/>
  <c r="F16" i="5"/>
  <c r="C16" i="5"/>
  <c r="F15" i="5"/>
  <c r="C15" i="5"/>
  <c r="Q14" i="5"/>
  <c r="P14" i="5"/>
  <c r="O14" i="5"/>
  <c r="N14" i="5"/>
  <c r="M14" i="5"/>
  <c r="L14" i="5"/>
  <c r="K14" i="5"/>
  <c r="J14" i="5"/>
  <c r="F14" i="5"/>
  <c r="C14" i="5"/>
  <c r="Q13" i="5"/>
  <c r="P13" i="5"/>
  <c r="O13" i="5"/>
  <c r="N13" i="5"/>
  <c r="M13" i="5"/>
  <c r="L13" i="5"/>
  <c r="K13" i="5"/>
  <c r="J13" i="5"/>
  <c r="F13" i="5"/>
  <c r="C13" i="5"/>
  <c r="Q12" i="5"/>
  <c r="P12" i="5"/>
  <c r="O12" i="5"/>
  <c r="N12" i="5"/>
  <c r="M12" i="5"/>
  <c r="L12" i="5"/>
  <c r="K12" i="5"/>
  <c r="J12" i="5"/>
  <c r="F12" i="5"/>
  <c r="C12" i="5"/>
  <c r="Q11" i="5"/>
  <c r="P11" i="5"/>
  <c r="O11" i="5"/>
  <c r="N11" i="5"/>
  <c r="M11" i="5"/>
  <c r="L11" i="5"/>
  <c r="K11" i="5"/>
  <c r="J11" i="5"/>
  <c r="F11" i="5"/>
  <c r="C11" i="5"/>
  <c r="Q10" i="5"/>
  <c r="P10" i="5"/>
  <c r="O10" i="5"/>
  <c r="N10" i="5"/>
  <c r="M10" i="5"/>
  <c r="L10" i="5"/>
  <c r="K10" i="5"/>
  <c r="J10" i="5"/>
  <c r="C4" i="5"/>
  <c r="H72" i="3"/>
  <c r="G72" i="3"/>
  <c r="F72" i="3"/>
  <c r="E72" i="3"/>
  <c r="H71" i="3"/>
  <c r="G71" i="3"/>
  <c r="F71" i="3"/>
  <c r="E71" i="3"/>
  <c r="H70" i="3"/>
  <c r="G70" i="3"/>
  <c r="F70" i="3"/>
  <c r="E70" i="3"/>
  <c r="H69" i="3"/>
  <c r="G69" i="3"/>
  <c r="F69" i="3"/>
  <c r="E69" i="3"/>
  <c r="H68" i="3"/>
  <c r="G68" i="3"/>
  <c r="F68" i="3"/>
  <c r="E68" i="3"/>
  <c r="H67" i="3"/>
  <c r="G67" i="3"/>
  <c r="F67" i="3"/>
  <c r="E67" i="3"/>
  <c r="I66" i="3"/>
  <c r="H66" i="3"/>
  <c r="G66" i="3"/>
  <c r="F66" i="3"/>
  <c r="E66" i="3"/>
  <c r="I65" i="3"/>
  <c r="H65" i="3"/>
  <c r="G65" i="3"/>
  <c r="F65" i="3"/>
  <c r="E65" i="3"/>
  <c r="I64" i="3"/>
  <c r="H64" i="3"/>
  <c r="G64" i="3"/>
  <c r="F64" i="3"/>
  <c r="E64" i="3"/>
  <c r="B64" i="3"/>
  <c r="H62" i="3"/>
  <c r="G62" i="3"/>
  <c r="F62" i="3"/>
  <c r="E62" i="3"/>
  <c r="D62" i="3"/>
  <c r="L61" i="3"/>
  <c r="K61" i="3"/>
  <c r="J61" i="3"/>
  <c r="I61" i="3"/>
  <c r="H61" i="3"/>
  <c r="G61" i="3"/>
  <c r="F61" i="3"/>
  <c r="E61" i="3"/>
  <c r="D61" i="3"/>
  <c r="L60" i="3"/>
  <c r="K60" i="3"/>
  <c r="J60" i="3"/>
  <c r="I60" i="3"/>
  <c r="H60" i="3"/>
  <c r="G60" i="3"/>
  <c r="F60" i="3"/>
  <c r="E60" i="3"/>
  <c r="D60" i="3"/>
  <c r="L59" i="3"/>
  <c r="K59" i="3"/>
  <c r="J59" i="3"/>
  <c r="I59" i="3"/>
  <c r="H59" i="3"/>
  <c r="G59" i="3"/>
  <c r="F59" i="3"/>
  <c r="E59" i="3"/>
  <c r="D59" i="3"/>
  <c r="L58" i="3"/>
  <c r="K58" i="3"/>
  <c r="J58" i="3"/>
  <c r="I58" i="3"/>
  <c r="H58" i="3"/>
  <c r="G58" i="3"/>
  <c r="F58" i="3"/>
  <c r="E58" i="3"/>
  <c r="D58" i="3"/>
  <c r="L57" i="3"/>
  <c r="K57" i="3"/>
  <c r="J57" i="3"/>
  <c r="I57" i="3"/>
  <c r="H57" i="3"/>
  <c r="G57" i="3"/>
  <c r="F57" i="3"/>
  <c r="E57" i="3"/>
  <c r="D57" i="3"/>
  <c r="L56" i="3"/>
  <c r="K56" i="3"/>
  <c r="J56" i="3"/>
  <c r="I56" i="3"/>
  <c r="H56" i="3"/>
  <c r="G56" i="3"/>
  <c r="F56" i="3"/>
  <c r="E56" i="3"/>
  <c r="D56" i="3"/>
  <c r="L55" i="3"/>
  <c r="K55" i="3"/>
  <c r="J55" i="3"/>
  <c r="I55" i="3"/>
  <c r="H55" i="3"/>
  <c r="G55" i="3"/>
  <c r="F55" i="3"/>
  <c r="E55" i="3"/>
  <c r="D55" i="3"/>
  <c r="B55" i="3"/>
  <c r="F51" i="3"/>
  <c r="E51" i="3"/>
  <c r="D51" i="3"/>
  <c r="F50" i="3"/>
  <c r="E50" i="3"/>
  <c r="D50" i="3"/>
  <c r="F49" i="3"/>
  <c r="E49" i="3"/>
  <c r="D49" i="3"/>
  <c r="F48" i="3"/>
  <c r="E48" i="3"/>
  <c r="D48" i="3"/>
  <c r="F46" i="3"/>
  <c r="E46" i="3"/>
  <c r="D46" i="3"/>
  <c r="F45" i="3"/>
  <c r="E45" i="3"/>
  <c r="D45" i="3"/>
  <c r="F44" i="3"/>
  <c r="E44" i="3"/>
  <c r="D44" i="3"/>
  <c r="F43" i="3"/>
  <c r="E43" i="3"/>
  <c r="D43" i="3"/>
  <c r="F41" i="3"/>
  <c r="E41" i="3"/>
  <c r="D41" i="3"/>
  <c r="F40" i="3"/>
  <c r="E40" i="3"/>
  <c r="D40" i="3"/>
  <c r="F39" i="3"/>
  <c r="E39" i="3"/>
  <c r="D39" i="3"/>
  <c r="F38" i="3"/>
  <c r="E38" i="3"/>
  <c r="D38" i="3"/>
  <c r="C35" i="3"/>
  <c r="C33" i="3"/>
  <c r="C32" i="3"/>
  <c r="C31" i="3"/>
  <c r="C30" i="3"/>
  <c r="H29" i="3"/>
  <c r="G29" i="3"/>
  <c r="C29" i="3"/>
  <c r="H28" i="3"/>
  <c r="G28" i="3"/>
  <c r="C28" i="3"/>
  <c r="H27" i="3"/>
  <c r="G27" i="3"/>
  <c r="H26" i="3"/>
  <c r="G26" i="3"/>
  <c r="H25" i="3"/>
  <c r="G25" i="3"/>
  <c r="H24" i="3"/>
  <c r="G24" i="3"/>
  <c r="E24" i="3"/>
  <c r="D24" i="3"/>
  <c r="C24" i="3"/>
  <c r="H23" i="3"/>
  <c r="G23" i="3"/>
  <c r="E23" i="3"/>
  <c r="D23" i="3"/>
  <c r="C23" i="3"/>
  <c r="H22" i="3"/>
  <c r="G22" i="3"/>
  <c r="E22" i="3"/>
  <c r="D22" i="3"/>
  <c r="C22" i="3"/>
  <c r="H21" i="3"/>
  <c r="G21" i="3"/>
  <c r="E21" i="3"/>
  <c r="D21" i="3"/>
  <c r="C21" i="3"/>
  <c r="H20" i="3"/>
  <c r="G20" i="3"/>
  <c r="E20" i="3"/>
  <c r="D20" i="3"/>
  <c r="C20" i="3"/>
  <c r="G18" i="3"/>
  <c r="B18" i="3"/>
  <c r="H16" i="3"/>
  <c r="G16" i="3"/>
  <c r="E16" i="3"/>
  <c r="D16" i="3"/>
  <c r="C16" i="3"/>
  <c r="H15" i="3"/>
  <c r="G15" i="3"/>
  <c r="E15" i="3"/>
  <c r="D15" i="3"/>
  <c r="C15" i="3"/>
  <c r="H14" i="3"/>
  <c r="G14" i="3"/>
  <c r="E14" i="3"/>
  <c r="D14" i="3"/>
  <c r="C14" i="3"/>
  <c r="H13" i="3"/>
  <c r="G13" i="3"/>
  <c r="E13" i="3"/>
  <c r="D13" i="3"/>
  <c r="C13" i="3"/>
  <c r="H12" i="3"/>
  <c r="G12" i="3"/>
  <c r="E12" i="3"/>
  <c r="D12" i="3"/>
  <c r="C12" i="3"/>
  <c r="H11" i="3"/>
  <c r="G11" i="3"/>
  <c r="E11" i="3"/>
  <c r="D11" i="3"/>
  <c r="C11" i="3"/>
  <c r="H10" i="3"/>
  <c r="G10" i="3"/>
  <c r="E10" i="3"/>
  <c r="D10" i="3"/>
  <c r="C10" i="3"/>
  <c r="H9" i="3"/>
  <c r="G9" i="3"/>
  <c r="E9" i="3"/>
  <c r="D9" i="3"/>
  <c r="C9" i="3"/>
  <c r="H8" i="3"/>
  <c r="G8" i="3"/>
  <c r="E8" i="3"/>
  <c r="D8" i="3"/>
  <c r="C8" i="3"/>
  <c r="H7" i="3"/>
  <c r="G7" i="3"/>
  <c r="E7" i="3"/>
  <c r="D7" i="3"/>
  <c r="C7" i="3"/>
  <c r="G5" i="3"/>
  <c r="E57" i="2"/>
  <c r="D57" i="2"/>
  <c r="C57" i="2"/>
  <c r="B57" i="2"/>
  <c r="E56" i="2"/>
  <c r="D56" i="2"/>
  <c r="C56" i="2"/>
  <c r="B56" i="2"/>
  <c r="E55" i="2"/>
  <c r="D55" i="2"/>
  <c r="C55" i="2"/>
  <c r="B55" i="2"/>
  <c r="E54" i="2"/>
  <c r="D54" i="2"/>
  <c r="C54" i="2"/>
  <c r="B54" i="2"/>
  <c r="E53" i="2"/>
  <c r="D53" i="2"/>
  <c r="C53" i="2"/>
  <c r="B53" i="2"/>
  <c r="E52" i="2"/>
  <c r="D52" i="2"/>
  <c r="C52" i="2"/>
  <c r="B52" i="2"/>
  <c r="E51" i="2"/>
  <c r="D51" i="2"/>
  <c r="C51" i="2"/>
  <c r="B51" i="2"/>
  <c r="H50" i="2"/>
  <c r="E50" i="2"/>
  <c r="D50" i="2"/>
  <c r="C50" i="2"/>
  <c r="B50" i="2"/>
  <c r="H49" i="2"/>
  <c r="E49" i="2"/>
  <c r="D49" i="2"/>
  <c r="C49" i="2"/>
  <c r="B49" i="2"/>
  <c r="H48" i="2"/>
  <c r="E48" i="2"/>
  <c r="D48" i="2"/>
  <c r="C48" i="2"/>
  <c r="B48" i="2"/>
  <c r="H47" i="2"/>
  <c r="E44" i="2"/>
  <c r="D44" i="2"/>
  <c r="E43" i="2"/>
  <c r="D43" i="2"/>
  <c r="I42" i="2"/>
  <c r="H42" i="2"/>
  <c r="E42" i="2"/>
  <c r="D42" i="2"/>
  <c r="I41" i="2"/>
  <c r="H41" i="2"/>
  <c r="E41" i="2"/>
  <c r="D41" i="2"/>
  <c r="E40" i="2"/>
  <c r="D40" i="2"/>
  <c r="E39" i="2"/>
  <c r="D39" i="2"/>
  <c r="H38" i="2"/>
  <c r="E38" i="2"/>
  <c r="D38" i="2"/>
  <c r="H37" i="2"/>
  <c r="E37" i="2"/>
  <c r="D37" i="2"/>
  <c r="N36" i="2"/>
  <c r="M36" i="2"/>
  <c r="L36" i="2"/>
  <c r="K36" i="2"/>
  <c r="J36" i="2"/>
  <c r="H36" i="2"/>
  <c r="E36" i="2"/>
  <c r="D36" i="2"/>
  <c r="N35" i="2"/>
  <c r="M35" i="2"/>
  <c r="L35" i="2"/>
  <c r="K35" i="2"/>
  <c r="J35" i="2"/>
  <c r="H35" i="2"/>
  <c r="E35" i="2"/>
  <c r="D35" i="2"/>
  <c r="N34" i="2"/>
  <c r="M34" i="2"/>
  <c r="L34" i="2"/>
  <c r="K34" i="2"/>
  <c r="J34" i="2"/>
  <c r="H34" i="2"/>
  <c r="E34" i="2"/>
  <c r="D34" i="2"/>
  <c r="N33" i="2"/>
  <c r="M33" i="2"/>
  <c r="L33" i="2"/>
  <c r="K33" i="2"/>
  <c r="J33" i="2"/>
  <c r="H33" i="2"/>
  <c r="E33" i="2"/>
  <c r="D33" i="2"/>
  <c r="N32" i="2"/>
  <c r="M32" i="2"/>
  <c r="L32" i="2"/>
  <c r="K32" i="2"/>
  <c r="J32" i="2"/>
  <c r="H32" i="2"/>
  <c r="E32" i="2"/>
  <c r="D32" i="2"/>
  <c r="N31" i="2"/>
  <c r="M31" i="2"/>
  <c r="L31" i="2"/>
  <c r="K31" i="2"/>
  <c r="J31" i="2"/>
  <c r="H31" i="2"/>
  <c r="E31" i="2"/>
  <c r="D31" i="2"/>
  <c r="N30" i="2"/>
  <c r="M30" i="2"/>
  <c r="L30" i="2"/>
  <c r="K30" i="2"/>
  <c r="J30" i="2"/>
  <c r="H30" i="2"/>
  <c r="E30" i="2"/>
  <c r="D30" i="2"/>
  <c r="N29" i="2"/>
  <c r="M29" i="2"/>
  <c r="L29" i="2"/>
  <c r="K29" i="2"/>
  <c r="J29" i="2"/>
  <c r="H29" i="2"/>
  <c r="E29" i="2"/>
  <c r="D29" i="2"/>
  <c r="N28" i="2"/>
  <c r="M28" i="2"/>
  <c r="L28" i="2"/>
  <c r="K28" i="2"/>
  <c r="J28" i="2"/>
  <c r="H28" i="2"/>
  <c r="E28" i="2"/>
  <c r="D28" i="2"/>
  <c r="N27" i="2"/>
  <c r="M27" i="2"/>
  <c r="L27" i="2"/>
  <c r="K27" i="2"/>
  <c r="J27" i="2"/>
  <c r="H27" i="2"/>
  <c r="E27" i="2"/>
  <c r="D27" i="2"/>
  <c r="N26" i="2"/>
  <c r="M26" i="2"/>
  <c r="L26" i="2"/>
  <c r="K26" i="2"/>
  <c r="J26" i="2"/>
  <c r="H26" i="2"/>
  <c r="E26" i="2"/>
  <c r="D26" i="2"/>
  <c r="H25" i="2"/>
  <c r="E25" i="2"/>
  <c r="D25" i="2"/>
  <c r="E24" i="2"/>
  <c r="D24" i="2"/>
  <c r="O22" i="2"/>
  <c r="N22" i="2"/>
  <c r="J22" i="2"/>
  <c r="I22" i="2"/>
  <c r="H22" i="2"/>
  <c r="O21" i="2"/>
  <c r="N21" i="2"/>
  <c r="J21" i="2"/>
  <c r="I21" i="2"/>
  <c r="H21" i="2"/>
  <c r="C21" i="2"/>
  <c r="O20" i="2"/>
  <c r="N20" i="2"/>
  <c r="M20" i="2"/>
  <c r="L20" i="2"/>
  <c r="K20" i="2"/>
  <c r="J20" i="2"/>
  <c r="I20" i="2"/>
  <c r="H20" i="2"/>
  <c r="C20" i="2"/>
  <c r="O19" i="2"/>
  <c r="N19" i="2"/>
  <c r="M19" i="2"/>
  <c r="L19" i="2"/>
  <c r="K19" i="2"/>
  <c r="J19" i="2"/>
  <c r="I19" i="2"/>
  <c r="H19" i="2"/>
  <c r="C19" i="2"/>
  <c r="O18" i="2"/>
  <c r="N18" i="2"/>
  <c r="M18" i="2"/>
  <c r="L18" i="2"/>
  <c r="K18" i="2"/>
  <c r="J18" i="2"/>
  <c r="I18" i="2"/>
  <c r="H18" i="2"/>
  <c r="C18" i="2"/>
  <c r="M17" i="2"/>
  <c r="L17" i="2"/>
  <c r="K17" i="2"/>
  <c r="C17" i="2"/>
  <c r="O16" i="2"/>
  <c r="N16" i="2"/>
  <c r="M16" i="2"/>
  <c r="L16" i="2"/>
  <c r="K16" i="2"/>
  <c r="J16" i="2"/>
  <c r="I16" i="2"/>
  <c r="H16" i="2"/>
  <c r="C16" i="2"/>
  <c r="O15" i="2"/>
  <c r="N15" i="2"/>
  <c r="M15" i="2"/>
  <c r="L15" i="2"/>
  <c r="K15" i="2"/>
  <c r="J15" i="2"/>
  <c r="I15" i="2"/>
  <c r="H15" i="2"/>
  <c r="C15" i="2"/>
  <c r="O14" i="2"/>
  <c r="N14" i="2"/>
  <c r="M14" i="2"/>
  <c r="L14" i="2"/>
  <c r="K14" i="2"/>
  <c r="J14" i="2"/>
  <c r="I14" i="2"/>
  <c r="H14" i="2"/>
  <c r="C14" i="2"/>
  <c r="I11" i="2"/>
  <c r="H11" i="2"/>
  <c r="I10" i="2"/>
  <c r="H10" i="2"/>
  <c r="I9" i="2"/>
  <c r="H9" i="2"/>
  <c r="I8" i="2"/>
  <c r="H8" i="2"/>
  <c r="I7" i="2"/>
  <c r="H7" i="2"/>
  <c r="I6" i="2"/>
  <c r="H6" i="2"/>
  <c r="B6" i="2"/>
  <c r="B5" i="2"/>
  <c r="Q8" i="5" l="1"/>
  <c r="P8" i="5" s="1"/>
  <c r="O8" i="5"/>
  <c r="N8" i="5"/>
  <c r="M8" i="5"/>
  <c r="L8" i="5"/>
  <c r="J8" i="5"/>
  <c r="I8" i="5"/>
  <c r="H8" i="5"/>
  <c r="B57" i="4"/>
  <c r="B24" i="4"/>
  <c r="D40" i="1"/>
  <c r="D54" i="1"/>
  <c r="G79" i="1"/>
  <c r="G77" i="1"/>
  <c r="G75" i="1"/>
  <c r="H73" i="1"/>
  <c r="E72" i="1"/>
  <c r="G70" i="1"/>
  <c r="H69" i="1"/>
  <c r="I68" i="1"/>
  <c r="J67" i="1"/>
  <c r="K66" i="1"/>
  <c r="C66" i="1"/>
  <c r="D65" i="1"/>
  <c r="E64" i="1"/>
  <c r="F63" i="1"/>
  <c r="D59" i="1"/>
  <c r="D55" i="1"/>
  <c r="D51" i="1"/>
  <c r="D49" i="1"/>
  <c r="D47" i="1"/>
  <c r="D38" i="1"/>
  <c r="D30" i="1"/>
  <c r="E23" i="1"/>
  <c r="C16" i="1"/>
  <c r="F48" i="1"/>
  <c r="D77" i="1"/>
  <c r="E48" i="1"/>
  <c r="D35" i="1"/>
  <c r="D22" i="1"/>
  <c r="G74" i="1"/>
  <c r="D68" i="1"/>
  <c r="F79" i="1"/>
  <c r="F77" i="1"/>
  <c r="F75" i="1"/>
  <c r="G73" i="1"/>
  <c r="D72" i="1"/>
  <c r="F70" i="1"/>
  <c r="G69" i="1"/>
  <c r="H68" i="1"/>
  <c r="I67" i="1"/>
  <c r="J66" i="1"/>
  <c r="K65" i="1"/>
  <c r="C65" i="1"/>
  <c r="D64" i="1"/>
  <c r="E63" i="1"/>
  <c r="E58" i="1"/>
  <c r="G52" i="1"/>
  <c r="G50" i="1"/>
  <c r="G48" i="1"/>
  <c r="E44" i="1"/>
  <c r="D37" i="1"/>
  <c r="D29" i="1"/>
  <c r="D23" i="1"/>
  <c r="C15" i="1"/>
  <c r="E22" i="1"/>
  <c r="D75" i="1"/>
  <c r="G76" i="1"/>
  <c r="F66" i="1"/>
  <c r="E79" i="1"/>
  <c r="E77" i="1"/>
  <c r="E75" i="1"/>
  <c r="F73" i="1"/>
  <c r="H71" i="1"/>
  <c r="E70" i="1"/>
  <c r="F69" i="1"/>
  <c r="G68" i="1"/>
  <c r="H67" i="1"/>
  <c r="I66" i="1"/>
  <c r="J65" i="1"/>
  <c r="K64" i="1"/>
  <c r="C64" i="1"/>
  <c r="D63" i="1"/>
  <c r="D58" i="1"/>
  <c r="F52" i="1"/>
  <c r="F50" i="1"/>
  <c r="D44" i="1"/>
  <c r="D36" i="1"/>
  <c r="D28" i="1"/>
  <c r="C14" i="1"/>
  <c r="D79" i="1"/>
  <c r="E73" i="1"/>
  <c r="G71" i="1"/>
  <c r="D70" i="1"/>
  <c r="E69" i="1"/>
  <c r="F68" i="1"/>
  <c r="G67" i="1"/>
  <c r="H66" i="1"/>
  <c r="I65" i="1"/>
  <c r="J64" i="1"/>
  <c r="K63" i="1"/>
  <c r="C63" i="1"/>
  <c r="E57" i="1"/>
  <c r="E52" i="1"/>
  <c r="D43" i="1"/>
  <c r="D27" i="1"/>
  <c r="C13" i="1"/>
  <c r="D73" i="1"/>
  <c r="C69" i="1"/>
  <c r="E78" i="1"/>
  <c r="E76" i="1"/>
  <c r="E74" i="1"/>
  <c r="G72" i="1"/>
  <c r="D71" i="1"/>
  <c r="J69" i="1"/>
  <c r="K68" i="1"/>
  <c r="C68" i="1"/>
  <c r="D67" i="1"/>
  <c r="E66" i="1"/>
  <c r="F65" i="1"/>
  <c r="G64" i="1"/>
  <c r="H63" i="1"/>
  <c r="D60" i="1"/>
  <c r="D56" i="1"/>
  <c r="F51" i="1"/>
  <c r="F49" i="1"/>
  <c r="F47" i="1"/>
  <c r="E41" i="1"/>
  <c r="D32" i="1"/>
  <c r="E24" i="1"/>
  <c r="D20" i="1"/>
  <c r="D78" i="1"/>
  <c r="D76" i="1"/>
  <c r="D74" i="1"/>
  <c r="F72" i="1"/>
  <c r="B71" i="1"/>
  <c r="I69" i="1"/>
  <c r="J68" i="1"/>
  <c r="K67" i="1"/>
  <c r="C67" i="1"/>
  <c r="D66" i="1"/>
  <c r="E65" i="1"/>
  <c r="F64" i="1"/>
  <c r="G63" i="1"/>
  <c r="E59" i="1"/>
  <c r="E55" i="1"/>
  <c r="E51" i="1"/>
  <c r="E49" i="1"/>
  <c r="E47" i="1"/>
  <c r="D41" i="1"/>
  <c r="D31" i="1"/>
  <c r="D24" i="1"/>
  <c r="C17" i="1"/>
  <c r="E50" i="1"/>
  <c r="G78" i="1"/>
  <c r="F71" i="1"/>
  <c r="C70" i="1"/>
  <c r="D69" i="1"/>
  <c r="E68" i="1"/>
  <c r="F67" i="1"/>
  <c r="G66" i="1"/>
  <c r="H65" i="1"/>
  <c r="I64" i="1"/>
  <c r="J63" i="1"/>
  <c r="B63" i="1"/>
  <c r="D57" i="1"/>
  <c r="D52" i="1"/>
  <c r="D50" i="1"/>
  <c r="D48" i="1"/>
  <c r="E42" i="1"/>
  <c r="D34" i="1"/>
  <c r="D26" i="1"/>
  <c r="E21" i="1"/>
  <c r="B5" i="1"/>
  <c r="F78" i="1"/>
  <c r="F76" i="1"/>
  <c r="F74" i="1"/>
  <c r="H72" i="1"/>
  <c r="E71" i="1"/>
  <c r="K69" i="1"/>
  <c r="E67" i="1"/>
  <c r="G65" i="1"/>
  <c r="H64" i="1"/>
  <c r="I63" i="1"/>
  <c r="E60" i="1"/>
  <c r="E56" i="1"/>
  <c r="G51" i="1"/>
  <c r="G49" i="1"/>
  <c r="G47" i="1"/>
  <c r="D42" i="1"/>
  <c r="D33" i="1"/>
  <c r="D25" i="1"/>
  <c r="D21" i="1"/>
  <c r="D8" i="5" l="1"/>
  <c r="C26" i="5"/>
  <c r="G8" i="5"/>
  <c r="E8" i="5"/>
  <c r="K8" i="5"/>
  <c r="B8" i="5"/>
  <c r="C8" i="5"/>
  <c r="F8" i="5"/>
  <c r="B55" i="5" l="1"/>
  <c r="B19" i="5"/>
  <c r="D68" i="5" l="1" a="1"/>
  <c r="D68" i="5" s="1"/>
  <c r="F68" i="5" a="1"/>
  <c r="F68" i="5" s="1"/>
  <c r="J68" i="5" a="1"/>
  <c r="J68" i="5" s="1"/>
  <c r="L68" i="5" a="1"/>
  <c r="L68" i="5" s="1"/>
  <c r="H68" i="5" a="1"/>
  <c r="H68" i="5" s="1"/>
  <c r="E68" i="5" a="1"/>
  <c r="C68" i="5" a="1"/>
  <c r="C68" i="5" s="1"/>
  <c r="I68" i="5" a="1"/>
  <c r="I68" i="5" s="1"/>
  <c r="G68" i="5" a="1"/>
  <c r="K68" i="5" a="1"/>
  <c r="K68" i="5" s="1"/>
  <c r="G68" i="5"/>
  <c r="E68" i="5"/>
</calcChain>
</file>

<file path=xl/comments1.xml><?xml version="1.0" encoding="utf-8"?>
<comments xmlns="http://schemas.openxmlformats.org/spreadsheetml/2006/main">
  <authors>
    <author>NICO</author>
  </authors>
  <commentList>
    <comment ref="B5" authorId="0">
      <text>
        <r>
          <rPr>
            <b/>
            <sz val="8"/>
            <color indexed="81"/>
            <rFont val="Tahoma"/>
            <family val="2"/>
          </rPr>
          <t>NICO:</t>
        </r>
        <r>
          <rPr>
            <sz val="8"/>
            <color indexed="81"/>
            <rFont val="Tahoma"/>
            <family val="2"/>
          </rPr>
          <t xml:space="preserve">
How ETFs work?
by ETFZone staff
ETFs are securities certificates that state legal right of ownership over part of a basket of individual stock certificates. Several different kinds of financial firms are needed for ETFs to come into being, trade at prices that closely match their underlying assets, and unwind when investors no longer want them. Laying all the groundwork is the fund manager. This is the main backer behind any ETF, and they must submit a detailed plan for how the ETF will operate to be given permission by the SEC to proceed.
In theory all that a fund manager needs to do is establish clear procedures and describe precisely the composition of the ETF (which changes infrequently) to the other firms involved in ETF creation and redemption. In practice, however, only the very biggest institutional money management firms with experience in indexing tend to play this role, such as The Vanguard Group and Barclays Global Investors. They direct pension funds with enormous baskets of stocks in markets all over the world to loan stocks necessary for the creation process. They also create demand by lining up customers, either institutional or retail, to buy a newly introduced ETF.
The creation of an ETF officially begins with an authorized participant, also referred to as a market maker or specialist. Highly scrutinized for their integrity and operational competence, these middlemen assemble the appropriate basket of stocks and send them to a specially designated custodial bank for safekeeping. These baskets are normally quite large, sufficient to purchase 10,000 to 50,000 shares of the ETF in question. The custodial bank doublechecks that the basket represents the requested ETF and forwards the ETF shares on to the authorized participant. This is a so-called in-kind trade of essentially equivalent items that does not trigger capital gains for investors.
The custodial bank holds the basket of stocks in the fund's account for the fund manager to monitor. There isn't too much activity in these accounts, but some cash comes into them for dividends and there are a variety of oversight tasks to perform. Some managers have leeway to use derivatives to track an index.
This flow of individual stocks and ETF certificates goes through the Depository Trust Clearing Corp., the same US government agency that records individual stock sales and keeps the official record of these transactions. It records ETF transfer of title just like any stock. It provides an extra layer of assurance against fraud.
Once the authorized participant obtains the ETF from the custodial bank, it is free to sell it into the open market. From then on ETF shares are sold and resold freely among investors on the open market.
Redemption is simply the reverse. An authorized participant buys a large block of ETFs on the open market and sends it to the custodial bank and in return receives back an equivalent basket of individual stocks which are then sold on the open market or typically returned to their loanees.
What motivates each player? The fund manager takes a small portion of the fund's annual assets as their fee, clearly stated in the prospectus available to all investors. The investors who loan stocks to make up a basket make a small interest fee for the favor. The custodial bank makes a small portion of assets likewise, usually paid for by the fund manager out of management fees. The authorized participant is primarily driven by profits from the difference in price between the basket of stocks and the ETF and on part of the bid-ask spread of the ETF itself. Whenever there is an opportunity to earn a little by buying one and selling the other, the authorized participant will jump in.
The process might seem cumbersome but it does allow for transparency and liquidity at modest cost. Everyone can see what goes into an ETF, investor fees are clearly laid out, investors can be confident that they can exit at any time, and even the authorized participant's fees are guaranteed to be modest. If one allows ETF prices to deviate from the underlying net asset value of the component stocks, another can step in and take profit on the difference, so their competition tends to keep ETF prices very close to it underlying Net Asset Value (value of component stocks).</t>
        </r>
      </text>
    </comment>
  </commentList>
</comments>
</file>

<file path=xl/sharedStrings.xml><?xml version="1.0" encoding="utf-8"?>
<sst xmlns="http://schemas.openxmlformats.org/spreadsheetml/2006/main" count="515" uniqueCount="267">
  <si>
    <t>10-Yr Annualized*</t>
  </si>
  <si>
    <t>5-Year Annualized</t>
  </si>
  <si>
    <t>3-Year Annualized</t>
  </si>
  <si>
    <t>1-Year</t>
  </si>
  <si>
    <t>Year-to-date</t>
  </si>
  <si>
    <t>3-Month</t>
  </si>
  <si>
    <t>1-Month</t>
  </si>
  <si>
    <t>1-Week</t>
  </si>
  <si>
    <t>1-Day</t>
  </si>
  <si>
    <t>Q4</t>
  </si>
  <si>
    <t>Q3</t>
  </si>
  <si>
    <t>Q2</t>
  </si>
  <si>
    <t>Q1</t>
  </si>
  <si>
    <t>% Rank in Category</t>
  </si>
  <si>
    <t>+/- Index</t>
  </si>
  <si>
    <t>+/- Category</t>
  </si>
  <si>
    <t>Total Return</t>
  </si>
  <si>
    <t>Period</t>
  </si>
  <si>
    <t>Sharpe Ratio</t>
  </si>
  <si>
    <t>Standard Deviation</t>
  </si>
  <si>
    <t>R-squared (against Standard Index)</t>
  </si>
  <si>
    <t>Mean Annual Return</t>
  </si>
  <si>
    <t>Beta (against Standard Index)</t>
  </si>
  <si>
    <t>Alpha (against Standard Index)</t>
  </si>
  <si>
    <t>Category</t>
  </si>
  <si>
    <t>Statistics (3-Year)</t>
  </si>
  <si>
    <t>Risk</t>
  </si>
  <si>
    <t>5-Year</t>
  </si>
  <si>
    <t>3-Year</t>
  </si>
  <si>
    <t>Year To Date</t>
  </si>
  <si>
    <t>Index</t>
  </si>
  <si>
    <t>NAV</t>
  </si>
  <si>
    <t>Market</t>
  </si>
  <si>
    <t>Performance</t>
  </si>
  <si>
    <t>Total Net Assets</t>
  </si>
  <si>
    <t>--</t>
  </si>
  <si>
    <t>Yield</t>
  </si>
  <si>
    <t>Annual Holdings Turnover</t>
  </si>
  <si>
    <t>Total Expense Ratio</t>
  </si>
  <si>
    <t>Fund Operations</t>
  </si>
  <si>
    <t>R-Squared (3 yr)</t>
  </si>
  <si>
    <t>Alpha (3 yr)</t>
  </si>
  <si>
    <t>Beta (3 yr)</t>
  </si>
  <si>
    <t>Earnings Growth Rate (ttm)</t>
  </si>
  <si>
    <t>Average Price/ Book</t>
  </si>
  <si>
    <t>Average Price/ Cashflow</t>
  </si>
  <si>
    <t>Average P/S</t>
  </si>
  <si>
    <t>Average P/E</t>
  </si>
  <si>
    <t>Average Market Cap</t>
  </si>
  <si>
    <t>Holdings</t>
  </si>
  <si>
    <t>52-week Low</t>
  </si>
  <si>
    <t>52-week High</t>
  </si>
  <si>
    <t>Last Trade</t>
  </si>
  <si>
    <t>Volume (3 mo Avg)</t>
  </si>
  <si>
    <t>Volume (Intraday)</t>
  </si>
  <si>
    <t>Trading/Volume</t>
  </si>
  <si>
    <t>3 yr Return</t>
  </si>
  <si>
    <t>1 yr Return</t>
  </si>
  <si>
    <t>YTD Return</t>
  </si>
  <si>
    <t>3 mo Return</t>
  </si>
  <si>
    <t>Intraday Return</t>
  </si>
  <si>
    <t>Fund Inception Date</t>
  </si>
  <si>
    <t>Legal Type</t>
  </si>
  <si>
    <t>Fund Family</t>
  </si>
  <si>
    <t>Name</t>
  </si>
  <si>
    <t>TICKER</t>
  </si>
  <si>
    <t>CONNECTION</t>
  </si>
  <si>
    <t>Other</t>
  </si>
  <si>
    <t>Bonds</t>
  </si>
  <si>
    <t>Stocks</t>
  </si>
  <si>
    <t>Cash</t>
  </si>
  <si>
    <t xml:space="preserve">YTD Return </t>
  </si>
  <si>
    <t xml:space="preserve">% of Assets </t>
  </si>
  <si>
    <t xml:space="preserve">Symbol </t>
  </si>
  <si>
    <t xml:space="preserve">Name </t>
  </si>
  <si>
    <t>Overall Composition</t>
  </si>
  <si>
    <t>Top 10 Fund Holdings</t>
  </si>
  <si>
    <t>Treynor Ratio</t>
  </si>
  <si>
    <t>Last Capital Gain</t>
  </si>
  <si>
    <t>Last Dividend</t>
  </si>
  <si>
    <t>R-squared</t>
  </si>
  <si>
    <t>Amount</t>
  </si>
  <si>
    <t>Date</t>
  </si>
  <si>
    <t>Beta</t>
  </si>
  <si>
    <t>10-Year Load Adjusted Returns</t>
  </si>
  <si>
    <t>Alpha</t>
  </si>
  <si>
    <t>10-Year</t>
  </si>
  <si>
    <t>5-Year Load Adjusted Returns</t>
  </si>
  <si>
    <t>3-Year Load Adjusted Returns</t>
  </si>
  <si>
    <t>1-Year Load Adjusted Returns</t>
  </si>
  <si>
    <t>Worst 3-Yr Total Return</t>
  </si>
  <si>
    <t>Best 3-Yr Total Return</t>
  </si>
  <si>
    <t>Worst 1-Yr Total Return</t>
  </si>
  <si>
    <t>Best 1-Yr Total Return</t>
  </si>
  <si>
    <t>Number of Years Down</t>
  </si>
  <si>
    <t>Number of Years Up</t>
  </si>
  <si>
    <t>5-Year Average Return</t>
  </si>
  <si>
    <t>Year to Date Return</t>
  </si>
  <si>
    <t>Morningstar Risk Rating</t>
  </si>
  <si>
    <t>Year</t>
  </si>
  <si>
    <t>Morningstar Return Rating</t>
  </si>
  <si>
    <t>Quarterly Performance</t>
  </si>
  <si>
    <t>Performance Summary</t>
  </si>
  <si>
    <t>Fund</t>
  </si>
  <si>
    <t>Fund Risk Measurements</t>
  </si>
  <si>
    <t>Last Bear Market</t>
  </si>
  <si>
    <t>Last Bull Market</t>
  </si>
  <si>
    <t>Morningstar Rating</t>
  </si>
  <si>
    <t>Year-to-Date Return</t>
  </si>
  <si>
    <t>6-Month</t>
  </si>
  <si>
    <t>Net Assets</t>
  </si>
  <si>
    <t>Year-to-Date</t>
  </si>
  <si>
    <t>Diff</t>
  </si>
  <si>
    <t>% Rank</t>
  </si>
  <si>
    <t>Rank</t>
  </si>
  <si>
    <t>Funds in Category</t>
  </si>
  <si>
    <t>Performance Periods</t>
  </si>
  <si>
    <t>3 Year Earnings Growth</t>
  </si>
  <si>
    <t>Median Market Cap</t>
  </si>
  <si>
    <t>Price/Cashflow</t>
  </si>
  <si>
    <t>Price/Sales</t>
  </si>
  <si>
    <t>Price/Book</t>
  </si>
  <si>
    <t>Price/Earnings</t>
  </si>
  <si>
    <t>Equity Attributes</t>
  </si>
  <si>
    <t>VIMSX</t>
  </si>
  <si>
    <t>Total Returns</t>
  </si>
  <si>
    <t>Utilities</t>
  </si>
  <si>
    <t>Energy</t>
  </si>
  <si>
    <t>Industrial Materials</t>
  </si>
  <si>
    <t>Consumer Goods</t>
  </si>
  <si>
    <t>Manufacturing</t>
  </si>
  <si>
    <t>Financial Services</t>
  </si>
  <si>
    <t>Business Services</t>
  </si>
  <si>
    <t>Consumer Services</t>
  </si>
  <si>
    <t>Healthcare</t>
  </si>
  <si>
    <t>Services</t>
  </si>
  <si>
    <t>Telecommunications</t>
  </si>
  <si>
    <t>Media</t>
  </si>
  <si>
    <t>Hardware</t>
  </si>
  <si>
    <t>Software</t>
  </si>
  <si>
    <t>Information</t>
  </si>
  <si>
    <t>Rel to Category</t>
  </si>
  <si>
    <t>Rel to index</t>
  </si>
  <si>
    <t>% of Stocks</t>
  </si>
  <si>
    <t>Average Mkt Cap</t>
  </si>
  <si>
    <t>Micro</t>
  </si>
  <si>
    <t>Small</t>
  </si>
  <si>
    <t>Medium</t>
  </si>
  <si>
    <t>Large</t>
  </si>
  <si>
    <t>Giant</t>
  </si>
  <si>
    <t>% of Portfolio</t>
  </si>
  <si>
    <t>Market Capitalization</t>
  </si>
  <si>
    <t>Foreign Stocks</t>
  </si>
  <si>
    <t>% of Assets</t>
  </si>
  <si>
    <t>Country</t>
  </si>
  <si>
    <t>% Net Assets</t>
  </si>
  <si>
    <t>% Short</t>
  </si>
  <si>
    <t>% Long</t>
  </si>
  <si>
    <t>Book-Value Growth</t>
  </si>
  <si>
    <t>Cash-Flow Growth</t>
  </si>
  <si>
    <t>Sales Growth</t>
  </si>
  <si>
    <t>Historical Earnings</t>
  </si>
  <si>
    <t>Long-Term Earnings</t>
  </si>
  <si>
    <t xml:space="preserve">Dividend Yield </t>
  </si>
  <si>
    <t>Price/Cash Flow</t>
  </si>
  <si>
    <t>Price/Prospective Earnings</t>
  </si>
  <si>
    <t>Region</t>
  </si>
  <si>
    <t>Rel to Index</t>
  </si>
  <si>
    <t>Valuations and Growth Rates</t>
  </si>
  <si>
    <t>CONTROL</t>
  </si>
  <si>
    <t>RPSIX</t>
  </si>
  <si>
    <t>Inception date</t>
  </si>
  <si>
    <t>Overall rating</t>
  </si>
  <si>
    <t>Load</t>
  </si>
  <si>
    <t>Return rating</t>
  </si>
  <si>
    <t>Risk rating</t>
  </si>
  <si>
    <t>3 year-S&amp;P</t>
  </si>
  <si>
    <t>5 year-S&amp;P</t>
  </si>
  <si>
    <t>Standard dev</t>
  </si>
  <si>
    <t>P/E</t>
  </si>
  <si>
    <t>Turnover</t>
  </si>
  <si>
    <t>Total Exp</t>
  </si>
  <si>
    <t>Bear Mkt Fund</t>
  </si>
  <si>
    <t>Bear Mkt Index</t>
  </si>
  <si>
    <t>Score-P</t>
  </si>
  <si>
    <t>Score %</t>
  </si>
  <si>
    <t>Symbol</t>
  </si>
  <si>
    <t>Valuation:</t>
  </si>
  <si>
    <t>Performance:</t>
  </si>
  <si>
    <t xml:space="preserve"> </t>
  </si>
  <si>
    <t>Fund Inception Date:</t>
  </si>
  <si>
    <t>Return vs Category</t>
  </si>
  <si>
    <t>Family</t>
  </si>
  <si>
    <t>Return vs Index</t>
  </si>
  <si>
    <t>Comparison</t>
  </si>
  <si>
    <t>Category Rank</t>
  </si>
  <si>
    <t>Dividend Yield</t>
  </si>
  <si>
    <t>Manager</t>
  </si>
  <si>
    <t>Long Term Earnings</t>
  </si>
  <si>
    <t>Trailing Returns</t>
  </si>
  <si>
    <t>Min Initial Investment:</t>
  </si>
  <si>
    <t>Historical earnings</t>
  </si>
  <si>
    <t>1 Month Return</t>
  </si>
  <si>
    <t>Fund Sector Distribution</t>
  </si>
  <si>
    <t>3 Month Return</t>
  </si>
  <si>
    <t>Cash Flow Growth</t>
  </si>
  <si>
    <t>Morningstar Rating:</t>
  </si>
  <si>
    <t>Book Value Growth</t>
  </si>
  <si>
    <t>1 Year Return</t>
  </si>
  <si>
    <t>Load:</t>
  </si>
  <si>
    <t>3 Year Return</t>
  </si>
  <si>
    <t>Return rating:</t>
  </si>
  <si>
    <t>Assets Distribution</t>
  </si>
  <si>
    <t>5 Year Return</t>
  </si>
  <si>
    <t>Risk Rating:</t>
  </si>
  <si>
    <t>Telecom</t>
  </si>
  <si>
    <t>Largest Holding</t>
  </si>
  <si>
    <t>Percentage</t>
  </si>
  <si>
    <t>Consumer Svc</t>
  </si>
  <si>
    <t>Total % Top 10</t>
  </si>
  <si>
    <t>Business Svc</t>
  </si>
  <si>
    <t>Returns:</t>
  </si>
  <si>
    <t>Difference</t>
  </si>
  <si>
    <t xml:space="preserve">Foreign </t>
  </si>
  <si>
    <t>Financial Svc</t>
  </si>
  <si>
    <t xml:space="preserve"> Year To Date</t>
  </si>
  <si>
    <t>Price</t>
  </si>
  <si>
    <t xml:space="preserve"> 1-Month</t>
  </si>
  <si>
    <t xml:space="preserve"> 3-Month</t>
  </si>
  <si>
    <t>Assets</t>
  </si>
  <si>
    <t>Fund Region Distribution</t>
  </si>
  <si>
    <t xml:space="preserve"> 1-Year</t>
  </si>
  <si>
    <t>Turnover %</t>
  </si>
  <si>
    <t>Top 10 Holdings with Percentages</t>
  </si>
  <si>
    <t xml:space="preserve"> 3-Year</t>
  </si>
  <si>
    <t>Expense Ratio %</t>
  </si>
  <si>
    <t xml:space="preserve"> 5-Year</t>
  </si>
  <si>
    <t xml:space="preserve"> Last Bull Market</t>
  </si>
  <si>
    <t>Last Capital gain</t>
  </si>
  <si>
    <t xml:space="preserve"> Last Bear Market</t>
  </si>
  <si>
    <t>Return --5 Year Average</t>
  </si>
  <si>
    <t>Return --# of Years up</t>
  </si>
  <si>
    <t>Return --# of Years down</t>
  </si>
  <si>
    <t>Return --Best 1 Year</t>
  </si>
  <si>
    <t>Return --Worst 1 Year</t>
  </si>
  <si>
    <t>Return --Best 3 Years</t>
  </si>
  <si>
    <t>Fund Market Capitalization</t>
  </si>
  <si>
    <t>Volatility:</t>
  </si>
  <si>
    <t>Mean</t>
  </si>
  <si>
    <t>Bear Market Decile Rank</t>
  </si>
  <si>
    <t>R-Squared - Standard Index</t>
  </si>
  <si>
    <t>R-Squared - Best Fit Index</t>
  </si>
  <si>
    <t>Beta - Standard Index</t>
  </si>
  <si>
    <t>Beta - Best Fit Index</t>
  </si>
  <si>
    <t>Alpha - Standard Index</t>
  </si>
  <si>
    <t>Alpha - Best Fit Index</t>
  </si>
  <si>
    <t>MDLOX</t>
  </si>
  <si>
    <t>CAIBX</t>
  </si>
  <si>
    <t>WASAX</t>
  </si>
  <si>
    <t>TIBAX</t>
  </si>
  <si>
    <t>NAME</t>
  </si>
  <si>
    <t>BlackRock Global Allocation A</t>
  </si>
  <si>
    <t>American Funds Capital Inc Bldr A</t>
  </si>
  <si>
    <t>Ivy Asset Strategy A</t>
  </si>
  <si>
    <t>Thornburg Investment Income Builder A</t>
  </si>
  <si>
    <t>SHV</t>
  </si>
  <si>
    <t>IDPIX</t>
  </si>
</sst>
</file>

<file path=xl/styles.xml><?xml version="1.0" encoding="utf-8"?>
<styleSheet xmlns="http://schemas.openxmlformats.org/spreadsheetml/2006/main" xmlns:mc="http://schemas.openxmlformats.org/markup-compatibility/2006" xmlns:x14ac="http://schemas.microsoft.com/office/spreadsheetml/2009/9/ac" mc:Ignorable="x14ac">
  <numFmts count="30">
    <numFmt numFmtId="5" formatCode="&quot;$&quot;#,##0_);\(&quot;$&quot;#,##0\)"/>
    <numFmt numFmtId="44" formatCode="_(&quot;$&quot;* #,##0.00_);_(&quot;$&quot;* \(#,##0.00\);_(&quot;$&quot;* &quot;-&quot;??_);_(@_)"/>
    <numFmt numFmtId="43" formatCode="_(* #,##0.00_);_(* \(#,##0.00\);_(* &quot;-&quot;??_);_(@_)"/>
    <numFmt numFmtId="164" formatCode="0.0&quot;%&quot;"/>
    <numFmt numFmtId="165" formatCode="0.00&quot;%&quot;"/>
    <numFmt numFmtId="166" formatCode="General&quot;%&quot;"/>
    <numFmt numFmtId="167" formatCode="0.0%"/>
    <numFmt numFmtId="168" formatCode="&quot;$&quot;#,##0.00"/>
    <numFmt numFmtId="169" formatCode="yyyy\-mm\-dd"/>
    <numFmt numFmtId="170" formatCode="#,##0_)\x;\(#,##0\)\x;0_)\x;@_)_x"/>
    <numFmt numFmtId="171" formatCode="0.000%"/>
    <numFmt numFmtId="172" formatCode="General_)"/>
    <numFmt numFmtId="173" formatCode="&quot;$&quot;\ #,##0.00;\-&quot;$&quot;\ #,##0.00;&quot;-&quot;"/>
    <numFmt numFmtId="174" formatCode="_(* #,##0_);_(* \(#,##0\);_(* &quot;-&quot;??_);_(@_)"/>
    <numFmt numFmtId="175" formatCode="0.000"/>
    <numFmt numFmtId="176" formatCode="#,##0%;[Red]\-#,##0%;&quot; - &quot;"/>
    <numFmt numFmtId="177" formatCode="#,##0.0%;[Red]\-#,##0.0%;&quot; - &quot;"/>
    <numFmt numFmtId="178" formatCode="d\.m\.yy"/>
    <numFmt numFmtId="179" formatCode="_-[$€-2]* #,##0.00_-;\-[$€-2]* #,##0.00_-;_-[$€-2]* &quot;-&quot;??_-"/>
    <numFmt numFmtId="180" formatCode="#,##0.0000"/>
    <numFmt numFmtId="181" formatCode="#,##0.0#;[Red]\ \ \(#,##0.0#\);\ &quot; - &quot;;"/>
    <numFmt numFmtId="182" formatCode="#,##0;[Red]\ \ \(#,##0\);\ &quot; - &quot;;"/>
    <numFmt numFmtId="183" formatCode="#,##0.00;[Red]\ \ \(#,##0.00\);\ &quot; - &quot;;"/>
    <numFmt numFmtId="184" formatCode="0.0"/>
    <numFmt numFmtId="185" formatCode="yyyy"/>
    <numFmt numFmtId="186" formatCode="[$-409]dd\-mmm\-yy;@"/>
    <numFmt numFmtId="187" formatCode="0_);\(0\)"/>
    <numFmt numFmtId="188" formatCode="&quot;$&quot;#,##0"/>
    <numFmt numFmtId="189" formatCode="_(* #,##0.000_);_(* \(#,##0.000\);_(* &quot;-&quot;??_);_(@_)"/>
    <numFmt numFmtId="190" formatCode="[$-409]d\-mmm\-yy;@"/>
  </numFmts>
  <fonts count="40">
    <font>
      <sz val="10"/>
      <color theme="1"/>
      <name val="Courier New"/>
      <family val="2"/>
    </font>
    <font>
      <sz val="11"/>
      <color theme="1"/>
      <name val="Calibri"/>
      <family val="2"/>
      <scheme val="minor"/>
    </font>
    <font>
      <sz val="10"/>
      <color theme="1"/>
      <name val="Courier New"/>
      <family val="2"/>
    </font>
    <font>
      <sz val="10"/>
      <name val="Courier New"/>
      <family val="3"/>
    </font>
    <font>
      <b/>
      <sz val="10"/>
      <name val="Courier New"/>
      <family val="3"/>
    </font>
    <font>
      <sz val="10"/>
      <name val="Arial"/>
      <family val="2"/>
    </font>
    <font>
      <b/>
      <sz val="10"/>
      <color rgb="FFFF0000"/>
      <name val="Courier New"/>
      <family val="3"/>
    </font>
    <font>
      <b/>
      <sz val="10"/>
      <color theme="1"/>
      <name val="Courier New"/>
      <family val="3"/>
    </font>
    <font>
      <b/>
      <sz val="8"/>
      <color indexed="81"/>
      <name val="Tahoma"/>
      <family val="2"/>
    </font>
    <font>
      <sz val="8"/>
      <color indexed="81"/>
      <name val="Tahoma"/>
      <family val="2"/>
    </font>
    <font>
      <sz val="10"/>
      <color indexed="8"/>
      <name val="Arial"/>
      <family val="2"/>
    </font>
    <font>
      <sz val="10"/>
      <color indexed="9"/>
      <name val="Arial"/>
      <family val="2"/>
    </font>
    <font>
      <b/>
      <sz val="9"/>
      <color indexed="12"/>
      <name val="Tahoma"/>
      <family val="2"/>
    </font>
    <font>
      <sz val="10"/>
      <color indexed="12"/>
      <name val="Helv"/>
    </font>
    <font>
      <sz val="9"/>
      <name val="Geneva"/>
    </font>
    <font>
      <sz val="11"/>
      <color theme="1"/>
      <name val="Calibri"/>
      <family val="2"/>
      <scheme val="minor"/>
    </font>
    <font>
      <sz val="10"/>
      <name val="Geneva"/>
    </font>
    <font>
      <sz val="14"/>
      <name val="Helv"/>
    </font>
    <font>
      <b/>
      <sz val="10"/>
      <color indexed="8"/>
      <name val="Arial"/>
      <family val="2"/>
    </font>
    <font>
      <b/>
      <sz val="10"/>
      <color indexed="12"/>
      <name val="Arial"/>
      <family val="2"/>
    </font>
    <font>
      <b/>
      <sz val="9"/>
      <color indexed="46"/>
      <name val="Arial"/>
      <family val="2"/>
    </font>
    <font>
      <u/>
      <sz val="10"/>
      <color indexed="12"/>
      <name val="Arial"/>
      <family val="2"/>
    </font>
    <font>
      <u/>
      <sz val="6"/>
      <color indexed="12"/>
      <name val="Times New Roman"/>
      <family val="1"/>
    </font>
    <font>
      <u/>
      <sz val="8.5"/>
      <color theme="10"/>
      <name val="Arial"/>
      <family val="2"/>
    </font>
    <font>
      <u/>
      <sz val="10"/>
      <color theme="10"/>
      <name val="Arial"/>
      <family val="2"/>
    </font>
    <font>
      <u/>
      <sz val="6.3"/>
      <color theme="10"/>
      <name val="Courier New"/>
      <family val="2"/>
    </font>
    <font>
      <u/>
      <sz val="10"/>
      <color theme="10"/>
      <name val="Courier New"/>
      <family val="2"/>
    </font>
    <font>
      <sz val="10"/>
      <color indexed="10"/>
      <name val="Courier"/>
      <family val="3"/>
    </font>
    <font>
      <b/>
      <sz val="18"/>
      <color indexed="62"/>
      <name val="Cambria"/>
      <family val="2"/>
    </font>
    <font>
      <sz val="10"/>
      <name val="Courier"/>
      <family val="3"/>
    </font>
    <font>
      <sz val="11"/>
      <color theme="1"/>
      <name val="Calibri"/>
      <family val="3"/>
      <charset val="129"/>
      <scheme val="minor"/>
    </font>
    <font>
      <sz val="10"/>
      <color theme="1"/>
      <name val="Courier New"/>
      <family val="3"/>
    </font>
    <font>
      <b/>
      <sz val="10"/>
      <color rgb="FF0070C0"/>
      <name val="Courier New"/>
      <family val="3"/>
    </font>
    <font>
      <sz val="10"/>
      <color indexed="8"/>
      <name val="Courier New"/>
      <family val="3"/>
    </font>
    <font>
      <b/>
      <sz val="10"/>
      <color indexed="8"/>
      <name val="Courier New"/>
      <family val="3"/>
    </font>
    <font>
      <b/>
      <sz val="10"/>
      <color indexed="10"/>
      <name val="Courier New"/>
      <family val="3"/>
    </font>
    <font>
      <sz val="11"/>
      <color indexed="8"/>
      <name val="Calibri"/>
      <family val="2"/>
    </font>
    <font>
      <b/>
      <sz val="10"/>
      <color indexed="12"/>
      <name val="Courier New"/>
      <family val="3"/>
    </font>
    <font>
      <sz val="10"/>
      <color indexed="12"/>
      <name val="Arial"/>
      <family val="2"/>
    </font>
    <font>
      <sz val="10"/>
      <color rgb="FF0070C0"/>
      <name val="Courier New"/>
      <family val="3"/>
    </font>
  </fonts>
  <fills count="23">
    <fill>
      <patternFill patternType="none"/>
    </fill>
    <fill>
      <patternFill patternType="gray125"/>
    </fill>
    <fill>
      <patternFill patternType="solid">
        <fgColor rgb="FFFFC000"/>
        <bgColor indexed="64"/>
      </patternFill>
    </fill>
    <fill>
      <patternFill patternType="solid">
        <fgColor rgb="FFFFFF00"/>
        <bgColor indexed="64"/>
      </patternFill>
    </fill>
    <fill>
      <patternFill patternType="solid">
        <fgColor rgb="FF92D050"/>
        <bgColor indexed="64"/>
      </patternFill>
    </fill>
    <fill>
      <patternFill patternType="solid">
        <fgColor rgb="FF00B0F0"/>
        <bgColor indexed="64"/>
      </patternFill>
    </fill>
    <fill>
      <patternFill patternType="solid">
        <fgColor indexed="47"/>
        <bgColor indexed="47"/>
      </patternFill>
    </fill>
    <fill>
      <patternFill patternType="solid">
        <fgColor indexed="31"/>
        <bgColor indexed="31"/>
      </patternFill>
    </fill>
    <fill>
      <patternFill patternType="solid">
        <fgColor indexed="44"/>
        <bgColor indexed="44"/>
      </patternFill>
    </fill>
    <fill>
      <patternFill patternType="solid">
        <fgColor indexed="22"/>
        <bgColor indexed="22"/>
      </patternFill>
    </fill>
    <fill>
      <patternFill patternType="solid">
        <fgColor indexed="55"/>
        <bgColor indexed="55"/>
      </patternFill>
    </fill>
    <fill>
      <patternFill patternType="solid">
        <fgColor indexed="26"/>
        <bgColor indexed="26"/>
      </patternFill>
    </fill>
    <fill>
      <patternFill patternType="solid">
        <fgColor indexed="43"/>
        <bgColor indexed="43"/>
      </patternFill>
    </fill>
    <fill>
      <patternFill patternType="solid">
        <fgColor indexed="46"/>
        <bgColor indexed="64"/>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26"/>
        <bgColor indexed="64"/>
      </patternFill>
    </fill>
    <fill>
      <patternFill patternType="solid">
        <fgColor indexed="63"/>
        <bgColor indexed="64"/>
      </patternFill>
    </fill>
    <fill>
      <patternFill patternType="solid">
        <fgColor theme="6" tint="0.59999389629810485"/>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6" tint="0.79998168889431442"/>
        <bgColor indexed="64"/>
      </patternFill>
    </fill>
  </fills>
  <borders count="46">
    <border>
      <left/>
      <right/>
      <top/>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thin">
        <color indexed="64"/>
      </left>
      <right/>
      <top style="thin">
        <color indexed="64"/>
      </top>
      <bottom style="thin">
        <color indexed="64"/>
      </bottom>
      <diagonal/>
    </border>
    <border>
      <left/>
      <right style="medium">
        <color indexed="64"/>
      </right>
      <top/>
      <bottom/>
      <diagonal/>
    </border>
    <border>
      <left style="medium">
        <color indexed="64"/>
      </left>
      <right/>
      <top/>
      <bottom/>
      <diagonal/>
    </border>
    <border>
      <left/>
      <right style="medium">
        <color indexed="64"/>
      </right>
      <top style="medium">
        <color indexed="64"/>
      </top>
      <bottom/>
      <diagonal/>
    </border>
    <border>
      <left style="medium">
        <color indexed="64"/>
      </left>
      <right/>
      <top style="medium">
        <color indexed="64"/>
      </top>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bottom style="thin">
        <color indexed="64"/>
      </bottom>
      <diagonal/>
    </border>
    <border>
      <left style="thin">
        <color indexed="64"/>
      </left>
      <right/>
      <top/>
      <bottom/>
      <diagonal/>
    </border>
    <border>
      <left style="thin">
        <color indexed="64"/>
      </left>
      <right/>
      <top style="thin">
        <color indexed="64"/>
      </top>
      <bottom/>
      <diagonal/>
    </border>
    <border>
      <left style="medium">
        <color indexed="64"/>
      </left>
      <right style="thin">
        <color indexed="64"/>
      </right>
      <top/>
      <bottom style="medium">
        <color indexed="64"/>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top style="thin">
        <color indexed="64"/>
      </top>
      <bottom/>
      <diagonal/>
    </border>
    <border>
      <left style="thin">
        <color indexed="23"/>
      </left>
      <right style="thin">
        <color indexed="23"/>
      </right>
      <top style="thin">
        <color indexed="23"/>
      </top>
      <bottom style="thin">
        <color indexed="23"/>
      </bottom>
      <diagonal/>
    </border>
    <border>
      <left style="medium">
        <color indexed="63"/>
      </left>
      <right style="medium">
        <color indexed="63"/>
      </right>
      <top style="medium">
        <color indexed="63"/>
      </top>
      <bottom style="medium">
        <color indexed="63"/>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medium">
        <color indexed="64"/>
      </bottom>
      <diagonal/>
    </border>
    <border>
      <left style="thin">
        <color indexed="64"/>
      </left>
      <right/>
      <top/>
      <bottom style="medium">
        <color indexed="64"/>
      </bottom>
      <diagonal/>
    </border>
    <border>
      <left style="thin">
        <color indexed="64"/>
      </left>
      <right/>
      <top style="medium">
        <color indexed="64"/>
      </top>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s>
  <cellStyleXfs count="98">
    <xf numFmtId="0" fontId="0" fillId="0" borderId="0"/>
    <xf numFmtId="43" fontId="2" fillId="0" borderId="0" applyFont="0" applyFill="0" applyBorder="0" applyAlignment="0" applyProtection="0"/>
    <xf numFmtId="9" fontId="2" fillId="0" borderId="0" applyFont="0" applyFill="0" applyBorder="0" applyAlignment="0" applyProtection="0"/>
    <xf numFmtId="9" fontId="5" fillId="0" borderId="0" applyFont="0" applyFill="0" applyBorder="0" applyAlignment="0" applyProtection="0"/>
    <xf numFmtId="0" fontId="5" fillId="0" borderId="0" applyFont="0" applyFill="0" applyBorder="0" applyAlignment="0" applyProtection="0"/>
    <xf numFmtId="170" fontId="5" fillId="0" borderId="0" applyFont="0" applyFill="0" applyBorder="0" applyAlignment="0" applyProtection="0"/>
    <xf numFmtId="0" fontId="10" fillId="6" borderId="0" applyNumberFormat="0" applyBorder="0" applyAlignment="0" applyProtection="0"/>
    <xf numFmtId="0" fontId="10" fillId="7" borderId="0" applyNumberFormat="0" applyBorder="0" applyAlignment="0" applyProtection="0"/>
    <xf numFmtId="0" fontId="11" fillId="8" borderId="0" applyNumberFormat="0" applyBorder="0" applyAlignment="0" applyProtection="0"/>
    <xf numFmtId="0" fontId="10" fillId="6" borderId="0" applyNumberFormat="0" applyBorder="0" applyAlignment="0" applyProtection="0"/>
    <xf numFmtId="0" fontId="10" fillId="9" borderId="0" applyNumberFormat="0" applyBorder="0" applyAlignment="0" applyProtection="0"/>
    <xf numFmtId="0" fontId="11" fillId="10"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1" fillId="9" borderId="0" applyNumberFormat="0" applyBorder="0" applyAlignment="0" applyProtection="0"/>
    <xf numFmtId="0" fontId="10" fillId="6" borderId="0" applyNumberFormat="0" applyBorder="0" applyAlignment="0" applyProtection="0"/>
    <xf numFmtId="0" fontId="10" fillId="9" borderId="0" applyNumberFormat="0" applyBorder="0" applyAlignment="0" applyProtection="0"/>
    <xf numFmtId="0" fontId="11" fillId="9"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1" fillId="8" borderId="0" applyNumberFormat="0" applyBorder="0" applyAlignment="0" applyProtection="0"/>
    <xf numFmtId="0" fontId="10" fillId="11" borderId="0" applyNumberFormat="0" applyBorder="0" applyAlignment="0" applyProtection="0"/>
    <xf numFmtId="0" fontId="10" fillId="11" borderId="0" applyNumberFormat="0" applyBorder="0" applyAlignment="0" applyProtection="0"/>
    <xf numFmtId="0" fontId="11" fillId="12" borderId="0" applyNumberFormat="0" applyBorder="0" applyAlignment="0" applyProtection="0"/>
    <xf numFmtId="171" fontId="12" fillId="13" borderId="0"/>
    <xf numFmtId="172" fontId="13" fillId="0" borderId="0"/>
    <xf numFmtId="172" fontId="13" fillId="0" borderId="0"/>
    <xf numFmtId="173" fontId="5" fillId="0" borderId="0" applyFont="0" applyFill="0" applyBorder="0" applyProtection="0">
      <alignment horizontal="right"/>
    </xf>
    <xf numFmtId="43" fontId="14" fillId="0" borderId="0" applyFont="0" applyFill="0" applyBorder="0" applyAlignment="0" applyProtection="0"/>
    <xf numFmtId="174" fontId="5" fillId="0" borderId="0" applyFont="0" applyFill="0" applyBorder="0" applyProtection="0">
      <alignment horizontal="right"/>
    </xf>
    <xf numFmtId="168" fontId="5" fillId="0" borderId="0" applyFont="0" applyFill="0" applyBorder="0" applyAlignment="0" applyProtection="0"/>
    <xf numFmtId="43" fontId="2" fillId="0" borderId="0" applyFont="0" applyFill="0" applyBorder="0" applyAlignment="0" applyProtection="0"/>
    <xf numFmtId="175" fontId="5" fillId="0" borderId="0" applyFont="0" applyFill="0" applyBorder="0" applyProtection="0">
      <alignment horizontal="right"/>
    </xf>
    <xf numFmtId="43" fontId="1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7" fontId="5" fillId="0" borderId="0" applyFont="0" applyFill="0" applyBorder="0" applyProtection="0">
      <alignment horizontal="right"/>
    </xf>
    <xf numFmtId="165" fontId="5" fillId="0" borderId="0" applyFont="0" applyFill="0" applyBorder="0" applyAlignment="0" applyProtection="0"/>
    <xf numFmtId="176" fontId="5" fillId="0" borderId="0" applyFont="0" applyFill="0" applyBorder="0" applyProtection="0">
      <alignment horizontal="right"/>
    </xf>
    <xf numFmtId="176" fontId="5" fillId="0" borderId="0" applyFont="0" applyFill="0" applyBorder="0" applyProtection="0">
      <alignment horizontal="right"/>
    </xf>
    <xf numFmtId="177" fontId="5" fillId="0" borderId="0" applyFont="0" applyFill="0" applyBorder="0" applyProtection="0">
      <alignment horizontal="right"/>
    </xf>
    <xf numFmtId="177" fontId="5" fillId="0" borderId="0" applyFont="0" applyFill="0" applyBorder="0" applyProtection="0">
      <alignment horizontal="right"/>
    </xf>
    <xf numFmtId="177" fontId="5" fillId="0" borderId="0" applyFont="0" applyFill="0" applyBorder="0" applyProtection="0">
      <alignment horizontal="right"/>
    </xf>
    <xf numFmtId="3" fontId="5" fillId="0" borderId="0" applyFont="0" applyFill="0" applyBorder="0" applyAlignment="0" applyProtection="0"/>
    <xf numFmtId="172" fontId="13" fillId="0" borderId="0"/>
    <xf numFmtId="172" fontId="13" fillId="0" borderId="0"/>
    <xf numFmtId="172" fontId="13" fillId="0" borderId="0"/>
    <xf numFmtId="172" fontId="13" fillId="0" borderId="0"/>
    <xf numFmtId="44" fontId="5" fillId="0" borderId="0" applyFont="0" applyFill="0" applyBorder="0" applyAlignment="0" applyProtection="0"/>
    <xf numFmtId="44" fontId="16" fillId="0" borderId="0" applyFont="0" applyFill="0" applyBorder="0" applyAlignment="0" applyProtection="0"/>
    <xf numFmtId="5" fontId="5" fillId="0" borderId="0" applyFont="0" applyFill="0" applyBorder="0" applyAlignment="0" applyProtection="0"/>
    <xf numFmtId="178" fontId="17" fillId="0" borderId="0"/>
    <xf numFmtId="0" fontId="18" fillId="14" borderId="0" applyNumberFormat="0" applyBorder="0" applyAlignment="0" applyProtection="0"/>
    <xf numFmtId="0" fontId="18" fillId="15" borderId="0" applyNumberFormat="0" applyBorder="0" applyAlignment="0" applyProtection="0"/>
    <xf numFmtId="0" fontId="18" fillId="16" borderId="0" applyNumberFormat="0" applyBorder="0" applyAlignment="0" applyProtection="0"/>
    <xf numFmtId="179" fontId="5" fillId="0" borderId="0" applyFont="0" applyFill="0" applyBorder="0" applyAlignment="0" applyProtection="0"/>
    <xf numFmtId="180" fontId="19" fillId="17" borderId="32">
      <alignment horizontal="center"/>
    </xf>
    <xf numFmtId="2" fontId="5" fillId="0" borderId="0" applyFont="0" applyFill="0" applyBorder="0" applyAlignment="0" applyProtection="0"/>
    <xf numFmtId="0" fontId="20" fillId="18" borderId="33">
      <alignment horizontal="left"/>
    </xf>
    <xf numFmtId="0" fontId="21" fillId="0" borderId="0" applyNumberFormat="0" applyFill="0" applyBorder="0" applyAlignment="0" applyProtection="0">
      <alignment vertical="top"/>
      <protection locked="0"/>
    </xf>
    <xf numFmtId="0" fontId="22" fillId="0" borderId="0" applyNumberFormat="0" applyFill="0" applyBorder="0" applyAlignment="0" applyProtection="0">
      <alignment vertical="top"/>
      <protection locked="0"/>
    </xf>
    <xf numFmtId="0" fontId="23" fillId="0" borderId="0" applyNumberFormat="0" applyFill="0" applyBorder="0" applyAlignment="0" applyProtection="0">
      <alignment vertical="top"/>
      <protection locked="0"/>
    </xf>
    <xf numFmtId="0" fontId="24" fillId="0" borderId="0" applyNumberFormat="0" applyFill="0" applyBorder="0" applyAlignment="0" applyProtection="0">
      <alignment vertical="top"/>
      <protection locked="0"/>
    </xf>
    <xf numFmtId="0" fontId="25" fillId="0" borderId="0" applyNumberFormat="0" applyFill="0" applyBorder="0" applyAlignment="0" applyProtection="0">
      <alignment vertical="top"/>
      <protection locked="0"/>
    </xf>
    <xf numFmtId="0" fontId="26" fillId="0" borderId="0" applyNumberFormat="0" applyFill="0" applyBorder="0" applyAlignment="0" applyProtection="0">
      <alignment vertical="top"/>
      <protection locked="0"/>
    </xf>
    <xf numFmtId="0" fontId="5" fillId="0" borderId="0"/>
    <xf numFmtId="0" fontId="5" fillId="0" borderId="0" applyFont="0" applyFill="0" applyBorder="0" applyAlignment="0" applyProtection="0"/>
    <xf numFmtId="0" fontId="5" fillId="0" borderId="0" applyFont="0" applyFill="0" applyBorder="0" applyAlignment="0" applyProtection="0"/>
    <xf numFmtId="0" fontId="5" fillId="0" borderId="0"/>
    <xf numFmtId="0" fontId="5" fillId="0" borderId="0"/>
    <xf numFmtId="0" fontId="5" fillId="0" borderId="0"/>
    <xf numFmtId="0" fontId="5" fillId="0" borderId="0"/>
    <xf numFmtId="0" fontId="2" fillId="0" borderId="0"/>
    <xf numFmtId="0" fontId="2" fillId="0" borderId="0"/>
    <xf numFmtId="0" fontId="2" fillId="0" borderId="0"/>
    <xf numFmtId="181" fontId="5" fillId="0" borderId="0" applyFont="0" applyFill="0" applyBorder="0" applyAlignment="0" applyProtection="0">
      <protection locked="0"/>
    </xf>
    <xf numFmtId="1" fontId="5" fillId="0" borderId="0" applyFont="0" applyFill="0" applyBorder="0" applyAlignment="0" applyProtection="0">
      <protection locked="0"/>
    </xf>
    <xf numFmtId="182" fontId="5" fillId="0" borderId="0"/>
    <xf numFmtId="183" fontId="5" fillId="0" borderId="0"/>
    <xf numFmtId="181" fontId="5" fillId="0" borderId="0"/>
    <xf numFmtId="175" fontId="5" fillId="17" borderId="32" applyProtection="0">
      <alignment horizontal="center"/>
    </xf>
    <xf numFmtId="9" fontId="5" fillId="0" borderId="0" applyFont="0" applyFill="0" applyBorder="0" applyAlignment="0" applyProtection="0">
      <alignment horizontal="right" indent="1"/>
    </xf>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2" fillId="0" borderId="0" applyFont="0" applyFill="0" applyBorder="0" applyAlignment="0" applyProtection="0"/>
    <xf numFmtId="10" fontId="5" fillId="0" borderId="0" applyFont="0" applyFill="0" applyBorder="0" applyProtection="0">
      <alignment horizontal="right" indent="1"/>
    </xf>
    <xf numFmtId="184" fontId="27" fillId="0" borderId="0">
      <alignment horizontal="center"/>
    </xf>
    <xf numFmtId="0" fontId="28" fillId="0" borderId="0" applyNumberFormat="0" applyFill="0" applyBorder="0" applyAlignment="0" applyProtection="0"/>
    <xf numFmtId="0" fontId="29" fillId="0" borderId="0">
      <alignment vertical="center"/>
    </xf>
    <xf numFmtId="2" fontId="5" fillId="0" borderId="0" applyBorder="0">
      <alignment horizontal="center"/>
    </xf>
    <xf numFmtId="0" fontId="30" fillId="0" borderId="0">
      <alignment vertical="center"/>
    </xf>
    <xf numFmtId="0" fontId="1" fillId="0" borderId="0"/>
    <xf numFmtId="43" fontId="36" fillId="0" borderId="0" applyFont="0" applyFill="0" applyBorder="0" applyAlignment="0" applyProtection="0"/>
    <xf numFmtId="9" fontId="36" fillId="0" borderId="0" applyFont="0" applyFill="0" applyBorder="0" applyAlignment="0" applyProtection="0"/>
    <xf numFmtId="44" fontId="36" fillId="0" borderId="0" applyFont="0" applyFill="0" applyBorder="0" applyAlignment="0" applyProtection="0"/>
  </cellStyleXfs>
  <cellXfs count="316">
    <xf numFmtId="0" fontId="0" fillId="0" borderId="0" xfId="0"/>
    <xf numFmtId="0" fontId="3" fillId="0" borderId="0" xfId="0" applyFont="1" applyAlignment="1">
      <alignment vertical="center"/>
    </xf>
    <xf numFmtId="1" fontId="3" fillId="0" borderId="1" xfId="0" applyNumberFormat="1" applyFont="1" applyFill="1" applyBorder="1" applyAlignment="1">
      <alignment horizontal="center" vertical="center"/>
    </xf>
    <xf numFmtId="0" fontId="3" fillId="0" borderId="2" xfId="0" applyFont="1" applyFill="1" applyBorder="1" applyAlignment="1">
      <alignment horizontal="center" vertical="center"/>
    </xf>
    <xf numFmtId="1" fontId="3" fillId="0" borderId="4" xfId="0" applyNumberFormat="1" applyFont="1" applyFill="1" applyBorder="1" applyAlignment="1">
      <alignment horizontal="center" vertical="center"/>
    </xf>
    <xf numFmtId="0" fontId="3" fillId="0" borderId="5" xfId="0" applyFont="1" applyFill="1" applyBorder="1" applyAlignment="1">
      <alignment horizontal="center" vertical="center"/>
    </xf>
    <xf numFmtId="0" fontId="3" fillId="3" borderId="7" xfId="0" applyFont="1" applyFill="1" applyBorder="1" applyAlignment="1">
      <alignment horizontal="centerContinuous" vertical="center"/>
    </xf>
    <xf numFmtId="0" fontId="3" fillId="3" borderId="8" xfId="0" applyFont="1" applyFill="1" applyBorder="1" applyAlignment="1">
      <alignment horizontal="centerContinuous" vertical="center"/>
    </xf>
    <xf numFmtId="1" fontId="3" fillId="0" borderId="9" xfId="0" applyNumberFormat="1" applyFont="1" applyFill="1" applyBorder="1" applyAlignment="1">
      <alignment horizontal="center" vertical="center"/>
    </xf>
    <xf numFmtId="0" fontId="3" fillId="3" borderId="10" xfId="0" applyFont="1" applyFill="1" applyBorder="1" applyAlignment="1">
      <alignment horizontal="centerContinuous" vertical="center"/>
    </xf>
    <xf numFmtId="0" fontId="3" fillId="3" borderId="11" xfId="0" applyFont="1" applyFill="1" applyBorder="1" applyAlignment="1">
      <alignment horizontal="centerContinuous" vertical="center"/>
    </xf>
    <xf numFmtId="0" fontId="3" fillId="3" borderId="12" xfId="0" applyFont="1" applyFill="1" applyBorder="1" applyAlignment="1">
      <alignment horizontal="centerContinuous" vertical="center"/>
    </xf>
    <xf numFmtId="0" fontId="3" fillId="3" borderId="13" xfId="0" applyFont="1" applyFill="1" applyBorder="1" applyAlignment="1">
      <alignment horizontal="centerContinuous" vertical="center"/>
    </xf>
    <xf numFmtId="1" fontId="3" fillId="0" borderId="14" xfId="0" applyNumberFormat="1" applyFont="1" applyFill="1" applyBorder="1" applyAlignment="1">
      <alignment horizontal="center" vertical="center"/>
    </xf>
    <xf numFmtId="0" fontId="3" fillId="0" borderId="15" xfId="0" applyFont="1" applyFill="1" applyBorder="1" applyAlignment="1">
      <alignment horizontal="center" vertical="center"/>
    </xf>
    <xf numFmtId="0" fontId="4" fillId="4" borderId="17" xfId="0" applyFont="1" applyFill="1" applyBorder="1" applyAlignment="1">
      <alignment horizontal="center" vertical="center"/>
    </xf>
    <xf numFmtId="0" fontId="4" fillId="4" borderId="15" xfId="0" applyFont="1" applyFill="1" applyBorder="1" applyAlignment="1">
      <alignment horizontal="center" vertical="center"/>
    </xf>
    <xf numFmtId="0" fontId="4" fillId="4" borderId="16" xfId="0" applyFont="1" applyFill="1" applyBorder="1" applyAlignment="1">
      <alignment horizontal="center" vertical="center"/>
    </xf>
    <xf numFmtId="0" fontId="4" fillId="5" borderId="17" xfId="0" applyNumberFormat="1" applyFont="1" applyFill="1" applyBorder="1" applyAlignment="1">
      <alignment horizontal="center" vertical="center" wrapText="1"/>
    </xf>
    <xf numFmtId="0" fontId="4" fillId="5" borderId="15" xfId="0" quotePrefix="1" applyNumberFormat="1" applyFont="1" applyFill="1" applyBorder="1" applyAlignment="1">
      <alignment horizontal="center" vertical="center" wrapText="1"/>
    </xf>
    <xf numFmtId="0" fontId="4" fillId="5" borderId="15" xfId="0" applyNumberFormat="1" applyFont="1" applyFill="1" applyBorder="1" applyAlignment="1">
      <alignment horizontal="center" vertical="center" wrapText="1"/>
    </xf>
    <xf numFmtId="0" fontId="4" fillId="5" borderId="15" xfId="0" applyFont="1" applyFill="1" applyBorder="1" applyAlignment="1">
      <alignment horizontal="center" vertical="center"/>
    </xf>
    <xf numFmtId="0" fontId="3" fillId="0" borderId="5" xfId="0" applyFont="1" applyBorder="1" applyAlignment="1">
      <alignment horizontal="right" vertical="center"/>
    </xf>
    <xf numFmtId="0" fontId="3" fillId="0" borderId="5" xfId="0" applyFont="1" applyBorder="1" applyAlignment="1">
      <alignment horizontal="center" vertical="center"/>
    </xf>
    <xf numFmtId="0" fontId="4" fillId="2" borderId="18" xfId="0" applyFont="1" applyFill="1" applyBorder="1" applyAlignment="1">
      <alignment vertical="center"/>
    </xf>
    <xf numFmtId="0" fontId="4" fillId="2" borderId="19" xfId="0" applyFont="1" applyFill="1" applyBorder="1" applyAlignment="1">
      <alignment vertical="center"/>
    </xf>
    <xf numFmtId="0" fontId="4" fillId="5" borderId="5" xfId="0" applyFont="1" applyFill="1" applyBorder="1" applyAlignment="1">
      <alignment horizontal="center" vertical="center"/>
    </xf>
    <xf numFmtId="0" fontId="4" fillId="4" borderId="5" xfId="0" applyFont="1" applyFill="1" applyBorder="1" applyAlignment="1">
      <alignment horizontal="center" vertical="center"/>
    </xf>
    <xf numFmtId="10" fontId="3" fillId="0" borderId="0" xfId="3" applyNumberFormat="1" applyFont="1" applyBorder="1" applyAlignment="1">
      <alignment vertical="center"/>
    </xf>
    <xf numFmtId="166" fontId="3" fillId="0" borderId="5" xfId="3" applyNumberFormat="1" applyFont="1" applyBorder="1" applyAlignment="1">
      <alignment horizontal="right" vertical="center"/>
    </xf>
    <xf numFmtId="3" fontId="3" fillId="0" borderId="5" xfId="3" applyNumberFormat="1" applyFont="1" applyBorder="1" applyAlignment="1">
      <alignment horizontal="right" vertical="center"/>
    </xf>
    <xf numFmtId="0" fontId="4" fillId="2" borderId="20" xfId="0" applyFont="1" applyFill="1" applyBorder="1" applyAlignment="1">
      <alignment vertical="center"/>
    </xf>
    <xf numFmtId="9" fontId="3" fillId="0" borderId="5" xfId="3" quotePrefix="1" applyNumberFormat="1" applyFont="1" applyBorder="1" applyAlignment="1">
      <alignment horizontal="right" vertical="center"/>
    </xf>
    <xf numFmtId="167" fontId="3" fillId="0" borderId="5" xfId="3" applyNumberFormat="1" applyFont="1" applyBorder="1" applyAlignment="1">
      <alignment horizontal="right" vertical="center"/>
    </xf>
    <xf numFmtId="0" fontId="4" fillId="2" borderId="21" xfId="0" applyFont="1" applyFill="1" applyBorder="1" applyAlignment="1">
      <alignment vertical="center"/>
    </xf>
    <xf numFmtId="166" fontId="3" fillId="0" borderId="5" xfId="1" applyNumberFormat="1" applyFont="1" applyBorder="1" applyAlignment="1">
      <alignment horizontal="right" vertical="center"/>
    </xf>
    <xf numFmtId="10" fontId="3" fillId="0" borderId="5" xfId="3" applyNumberFormat="1" applyFont="1" applyBorder="1" applyAlignment="1">
      <alignment horizontal="right" vertical="center"/>
    </xf>
    <xf numFmtId="0" fontId="4" fillId="2" borderId="22" xfId="0" applyFont="1" applyFill="1" applyBorder="1" applyAlignment="1">
      <alignment vertical="center"/>
    </xf>
    <xf numFmtId="0" fontId="3" fillId="0" borderId="0" xfId="0" applyFont="1" applyAlignment="1">
      <alignment horizontal="right" vertical="center"/>
    </xf>
    <xf numFmtId="2" fontId="3" fillId="0" borderId="1" xfId="3" applyNumberFormat="1" applyFont="1" applyBorder="1" applyAlignment="1">
      <alignment horizontal="right" vertical="center"/>
    </xf>
    <xf numFmtId="0" fontId="3" fillId="0" borderId="2" xfId="0" applyFont="1" applyBorder="1" applyAlignment="1">
      <alignment horizontal="center" vertical="center"/>
    </xf>
    <xf numFmtId="0" fontId="4" fillId="4" borderId="23" xfId="0" applyFont="1" applyFill="1" applyBorder="1" applyAlignment="1">
      <alignment horizontal="center" vertical="center"/>
    </xf>
    <xf numFmtId="2" fontId="3" fillId="0" borderId="4" xfId="3" applyNumberFormat="1" applyFont="1" applyBorder="1" applyAlignment="1">
      <alignment horizontal="right" vertical="center"/>
    </xf>
    <xf numFmtId="0" fontId="4" fillId="4" borderId="24" xfId="0" applyFont="1" applyFill="1" applyBorder="1" applyAlignment="1">
      <alignment horizontal="center" vertical="center"/>
    </xf>
    <xf numFmtId="2" fontId="3" fillId="0" borderId="17" xfId="3" applyNumberFormat="1" applyFont="1" applyBorder="1" applyAlignment="1">
      <alignment horizontal="right" vertical="center"/>
    </xf>
    <xf numFmtId="0" fontId="3" fillId="0" borderId="15" xfId="0" applyFont="1" applyBorder="1" applyAlignment="1">
      <alignment horizontal="center" vertical="center"/>
    </xf>
    <xf numFmtId="0" fontId="4" fillId="4" borderId="25" xfId="0" applyFont="1" applyFill="1" applyBorder="1" applyAlignment="1">
      <alignment horizontal="center" vertical="center"/>
    </xf>
    <xf numFmtId="0" fontId="3" fillId="0" borderId="26" xfId="0" applyFont="1" applyBorder="1" applyAlignment="1">
      <alignment horizontal="center" vertical="center"/>
    </xf>
    <xf numFmtId="0" fontId="4" fillId="2" borderId="19" xfId="0" applyFont="1" applyFill="1" applyBorder="1" applyAlignment="1">
      <alignment horizontal="center" vertical="center"/>
    </xf>
    <xf numFmtId="2" fontId="3" fillId="0" borderId="5" xfId="3" applyNumberFormat="1" applyFont="1" applyBorder="1" applyAlignment="1">
      <alignment horizontal="right" vertical="center"/>
    </xf>
    <xf numFmtId="3" fontId="3" fillId="0" borderId="18" xfId="3" applyNumberFormat="1" applyFont="1" applyBorder="1" applyAlignment="1">
      <alignment horizontal="right" vertical="center"/>
    </xf>
    <xf numFmtId="0" fontId="3" fillId="0" borderId="18" xfId="0" applyFont="1" applyBorder="1" applyAlignment="1">
      <alignment horizontal="center" vertical="center"/>
    </xf>
    <xf numFmtId="168" fontId="3" fillId="0" borderId="1" xfId="3" applyNumberFormat="1" applyFont="1" applyBorder="1" applyAlignment="1">
      <alignment horizontal="right" vertical="center"/>
    </xf>
    <xf numFmtId="168" fontId="3" fillId="0" borderId="4" xfId="3" applyNumberFormat="1" applyFont="1" applyBorder="1" applyAlignment="1">
      <alignment horizontal="right" vertical="center"/>
    </xf>
    <xf numFmtId="3" fontId="3" fillId="0" borderId="4" xfId="3" applyNumberFormat="1" applyFont="1" applyBorder="1" applyAlignment="1">
      <alignment horizontal="right" vertical="center"/>
    </xf>
    <xf numFmtId="3" fontId="3" fillId="0" borderId="17" xfId="3" applyNumberFormat="1" applyFont="1" applyBorder="1" applyAlignment="1">
      <alignment horizontal="right" vertical="center"/>
    </xf>
    <xf numFmtId="0" fontId="4" fillId="2" borderId="26" xfId="0" applyFont="1" applyFill="1" applyBorder="1" applyAlignment="1">
      <alignment horizontal="center" vertical="center"/>
    </xf>
    <xf numFmtId="169" fontId="3" fillId="0" borderId="0" xfId="0" applyNumberFormat="1" applyFont="1" applyAlignment="1">
      <alignment vertical="center"/>
    </xf>
    <xf numFmtId="169" fontId="3" fillId="0" borderId="5" xfId="0" applyNumberFormat="1" applyFont="1" applyBorder="1" applyAlignment="1">
      <alignment horizontal="center" vertical="center"/>
    </xf>
    <xf numFmtId="0" fontId="4" fillId="2" borderId="5" xfId="0" applyFont="1" applyFill="1" applyBorder="1" applyAlignment="1">
      <alignment horizontal="center" vertical="center"/>
    </xf>
    <xf numFmtId="0" fontId="7" fillId="3" borderId="5" xfId="4" applyFont="1" applyFill="1" applyBorder="1" applyAlignment="1">
      <alignment horizontal="center" vertical="center"/>
    </xf>
    <xf numFmtId="0" fontId="6" fillId="0" borderId="5" xfId="4" applyFont="1" applyFill="1" applyBorder="1" applyAlignment="1" applyProtection="1">
      <alignment vertical="center"/>
      <protection locked="0"/>
    </xf>
    <xf numFmtId="0" fontId="4" fillId="3" borderId="5" xfId="4" applyFont="1" applyFill="1" applyBorder="1" applyAlignment="1" applyProtection="1">
      <alignment horizontal="center" vertical="center"/>
      <protection locked="0"/>
    </xf>
    <xf numFmtId="2" fontId="3" fillId="0" borderId="0" xfId="0" applyNumberFormat="1" applyFont="1" applyAlignment="1">
      <alignment horizontal="center" vertical="center"/>
    </xf>
    <xf numFmtId="2" fontId="3" fillId="0" borderId="5" xfId="0" applyNumberFormat="1" applyFont="1" applyBorder="1" applyAlignment="1">
      <alignment horizontal="center" vertical="center"/>
    </xf>
    <xf numFmtId="2" fontId="4" fillId="3" borderId="18" xfId="0" applyNumberFormat="1" applyFont="1" applyFill="1" applyBorder="1" applyAlignment="1">
      <alignment horizontal="center" vertical="center"/>
    </xf>
    <xf numFmtId="2" fontId="4" fillId="3" borderId="19" xfId="0" applyNumberFormat="1" applyFont="1" applyFill="1" applyBorder="1" applyAlignment="1">
      <alignment horizontal="center" vertical="center"/>
    </xf>
    <xf numFmtId="2" fontId="4" fillId="3" borderId="26" xfId="0" applyNumberFormat="1" applyFont="1" applyFill="1" applyBorder="1" applyAlignment="1">
      <alignment horizontal="center" vertical="center"/>
    </xf>
    <xf numFmtId="2" fontId="4" fillId="3" borderId="5" xfId="0" applyNumberFormat="1" applyFont="1" applyFill="1" applyBorder="1" applyAlignment="1">
      <alignment horizontal="center" vertical="center"/>
    </xf>
    <xf numFmtId="2" fontId="4" fillId="2" borderId="34" xfId="0" applyNumberFormat="1" applyFont="1" applyFill="1" applyBorder="1" applyAlignment="1">
      <alignment horizontal="centerContinuous" vertical="center"/>
    </xf>
    <xf numFmtId="2" fontId="4" fillId="2" borderId="9" xfId="0" applyNumberFormat="1" applyFont="1" applyFill="1" applyBorder="1" applyAlignment="1">
      <alignment horizontal="centerContinuous" vertical="center"/>
    </xf>
    <xf numFmtId="2" fontId="4" fillId="2" borderId="35" xfId="0" applyNumberFormat="1" applyFont="1" applyFill="1" applyBorder="1" applyAlignment="1">
      <alignment horizontal="centerContinuous" vertical="center"/>
    </xf>
    <xf numFmtId="2" fontId="4" fillId="3" borderId="36" xfId="0" applyNumberFormat="1" applyFont="1" applyFill="1" applyBorder="1" applyAlignment="1">
      <alignment horizontal="center" vertical="center"/>
    </xf>
    <xf numFmtId="2" fontId="4" fillId="4" borderId="18" xfId="0" applyNumberFormat="1" applyFont="1" applyFill="1" applyBorder="1" applyAlignment="1">
      <alignment horizontal="center" vertical="center"/>
    </xf>
    <xf numFmtId="2" fontId="4" fillId="3" borderId="0" xfId="0" applyNumberFormat="1" applyFont="1" applyFill="1" applyBorder="1" applyAlignment="1">
      <alignment horizontal="center" vertical="center"/>
    </xf>
    <xf numFmtId="2" fontId="4" fillId="4" borderId="19" xfId="0" applyNumberFormat="1" applyFont="1" applyFill="1" applyBorder="1" applyAlignment="1">
      <alignment horizontal="center" vertical="center"/>
    </xf>
    <xf numFmtId="2" fontId="4" fillId="2" borderId="26" xfId="0" applyNumberFormat="1" applyFont="1" applyFill="1" applyBorder="1" applyAlignment="1">
      <alignment horizontal="center" vertical="center"/>
    </xf>
    <xf numFmtId="2" fontId="4" fillId="4" borderId="23" xfId="0" applyNumberFormat="1" applyFont="1" applyFill="1" applyBorder="1" applyAlignment="1">
      <alignment horizontal="center" vertical="center"/>
    </xf>
    <xf numFmtId="0" fontId="4" fillId="4" borderId="5" xfId="0" applyNumberFormat="1" applyFont="1" applyFill="1" applyBorder="1" applyAlignment="1">
      <alignment horizontal="center" vertical="center"/>
    </xf>
    <xf numFmtId="2" fontId="4" fillId="4" borderId="24" xfId="0" applyNumberFormat="1" applyFont="1" applyFill="1" applyBorder="1" applyAlignment="1">
      <alignment horizontal="center" vertical="center"/>
    </xf>
    <xf numFmtId="2" fontId="4" fillId="3" borderId="39" xfId="0" applyNumberFormat="1" applyFont="1" applyFill="1" applyBorder="1" applyAlignment="1">
      <alignment horizontal="center" vertical="center"/>
    </xf>
    <xf numFmtId="2" fontId="4" fillId="4" borderId="25" xfId="0" applyNumberFormat="1" applyFont="1" applyFill="1" applyBorder="1" applyAlignment="1">
      <alignment horizontal="center" vertical="center"/>
    </xf>
    <xf numFmtId="2" fontId="4" fillId="3" borderId="34" xfId="0" applyNumberFormat="1" applyFont="1" applyFill="1" applyBorder="1" applyAlignment="1">
      <alignment horizontal="center" vertical="center"/>
    </xf>
    <xf numFmtId="2" fontId="4" fillId="3" borderId="35" xfId="0" applyNumberFormat="1" applyFont="1" applyFill="1" applyBorder="1" applyAlignment="1">
      <alignment horizontal="center" vertical="center"/>
    </xf>
    <xf numFmtId="0" fontId="4" fillId="3" borderId="5" xfId="0" applyNumberFormat="1" applyFont="1" applyFill="1" applyBorder="1" applyAlignment="1">
      <alignment horizontal="center" vertical="center"/>
    </xf>
    <xf numFmtId="2" fontId="4" fillId="2" borderId="30" xfId="0" applyNumberFormat="1" applyFont="1" applyFill="1" applyBorder="1" applyAlignment="1">
      <alignment horizontal="centerContinuous" vertical="center"/>
    </xf>
    <xf numFmtId="2" fontId="4" fillId="2" borderId="31" xfId="0" applyNumberFormat="1" applyFont="1" applyFill="1" applyBorder="1" applyAlignment="1">
      <alignment horizontal="centerContinuous" vertical="center"/>
    </xf>
    <xf numFmtId="2" fontId="4" fillId="2" borderId="22" xfId="0" applyNumberFormat="1" applyFont="1" applyFill="1" applyBorder="1" applyAlignment="1">
      <alignment horizontal="centerContinuous" vertical="center"/>
    </xf>
    <xf numFmtId="2" fontId="4" fillId="4" borderId="26" xfId="0" applyNumberFormat="1" applyFont="1" applyFill="1" applyBorder="1" applyAlignment="1">
      <alignment horizontal="center" vertical="center"/>
    </xf>
    <xf numFmtId="2" fontId="4" fillId="2" borderId="34" xfId="0" applyNumberFormat="1" applyFont="1" applyFill="1" applyBorder="1" applyAlignment="1">
      <alignment horizontal="center" vertical="center"/>
    </xf>
    <xf numFmtId="2" fontId="4" fillId="2" borderId="9" xfId="0" applyNumberFormat="1" applyFont="1" applyFill="1" applyBorder="1" applyAlignment="1">
      <alignment horizontal="center" vertical="center"/>
    </xf>
    <xf numFmtId="2" fontId="4" fillId="2" borderId="5" xfId="0" applyNumberFormat="1" applyFont="1" applyFill="1" applyBorder="1" applyAlignment="1">
      <alignment horizontal="center" vertical="center"/>
    </xf>
    <xf numFmtId="2" fontId="3" fillId="2" borderId="34" xfId="0" applyNumberFormat="1" applyFont="1" applyFill="1" applyBorder="1" applyAlignment="1">
      <alignment horizontal="centerContinuous" vertical="center"/>
    </xf>
    <xf numFmtId="2" fontId="3" fillId="2" borderId="35" xfId="0" applyNumberFormat="1" applyFont="1" applyFill="1" applyBorder="1" applyAlignment="1">
      <alignment horizontal="centerContinuous" vertical="center"/>
    </xf>
    <xf numFmtId="0" fontId="6" fillId="0" borderId="5" xfId="4" applyFont="1" applyFill="1" applyBorder="1" applyAlignment="1" applyProtection="1">
      <alignment horizontal="center" vertical="center"/>
      <protection locked="0"/>
    </xf>
    <xf numFmtId="0" fontId="31" fillId="0" borderId="0" xfId="0" applyFont="1" applyFill="1" applyBorder="1" applyAlignment="1">
      <alignment vertical="center"/>
    </xf>
    <xf numFmtId="1" fontId="31" fillId="0" borderId="5" xfId="0" applyNumberFormat="1" applyFont="1" applyFill="1" applyBorder="1" applyAlignment="1">
      <alignment horizontal="center" vertical="center"/>
    </xf>
    <xf numFmtId="0" fontId="31" fillId="4" borderId="5" xfId="0" applyFont="1" applyFill="1" applyBorder="1" applyAlignment="1">
      <alignment horizontal="center" vertical="center"/>
    </xf>
    <xf numFmtId="0" fontId="4" fillId="0" borderId="0" xfId="0" applyFont="1" applyFill="1" applyBorder="1" applyAlignment="1">
      <alignment horizontal="center" vertical="center"/>
    </xf>
    <xf numFmtId="0" fontId="31" fillId="5" borderId="27" xfId="0" applyFont="1" applyFill="1" applyBorder="1" applyAlignment="1">
      <alignment vertical="center"/>
    </xf>
    <xf numFmtId="0" fontId="31" fillId="5" borderId="28" xfId="0" applyFont="1" applyFill="1" applyBorder="1" applyAlignment="1">
      <alignment vertical="center"/>
    </xf>
    <xf numFmtId="0" fontId="31" fillId="5" borderId="20" xfId="0" applyFont="1" applyFill="1" applyBorder="1" applyAlignment="1">
      <alignment vertical="center"/>
    </xf>
    <xf numFmtId="0" fontId="31" fillId="5" borderId="29" xfId="0" applyFont="1" applyFill="1" applyBorder="1" applyAlignment="1">
      <alignment vertical="center"/>
    </xf>
    <xf numFmtId="0" fontId="31" fillId="5" borderId="0" xfId="0" applyFont="1" applyFill="1" applyBorder="1" applyAlignment="1">
      <alignment vertical="center"/>
    </xf>
    <xf numFmtId="0" fontId="31" fillId="5" borderId="21" xfId="0" applyFont="1" applyFill="1" applyBorder="1" applyAlignment="1">
      <alignment vertical="center"/>
    </xf>
    <xf numFmtId="0" fontId="31" fillId="5" borderId="30" xfId="0" applyFont="1" applyFill="1" applyBorder="1" applyAlignment="1">
      <alignment vertical="center"/>
    </xf>
    <xf numFmtId="0" fontId="31" fillId="5" borderId="31" xfId="0" applyFont="1" applyFill="1" applyBorder="1" applyAlignment="1">
      <alignment vertical="center"/>
    </xf>
    <xf numFmtId="0" fontId="31" fillId="5" borderId="22" xfId="0" applyFont="1" applyFill="1" applyBorder="1" applyAlignment="1">
      <alignment vertical="center"/>
    </xf>
    <xf numFmtId="0" fontId="3" fillId="4" borderId="34" xfId="0" applyFont="1" applyFill="1" applyBorder="1" applyAlignment="1">
      <alignment horizontal="left" vertical="center"/>
    </xf>
    <xf numFmtId="0" fontId="4" fillId="4" borderId="9" xfId="0" applyFont="1" applyFill="1" applyBorder="1" applyAlignment="1">
      <alignment horizontal="left" vertical="center"/>
    </xf>
    <xf numFmtId="0" fontId="31" fillId="0" borderId="0" xfId="0" quotePrefix="1" applyFont="1" applyFill="1" applyBorder="1" applyAlignment="1">
      <alignment horizontal="right" vertical="center"/>
    </xf>
    <xf numFmtId="0" fontId="31" fillId="3" borderId="5" xfId="0" applyFont="1" applyFill="1" applyBorder="1" applyAlignment="1">
      <alignment horizontal="center" vertical="center"/>
    </xf>
    <xf numFmtId="0" fontId="3" fillId="3" borderId="34" xfId="0" applyFont="1" applyFill="1" applyBorder="1" applyAlignment="1">
      <alignment horizontal="left" vertical="center"/>
    </xf>
    <xf numFmtId="0" fontId="4" fillId="3" borderId="9" xfId="0" applyFont="1" applyFill="1" applyBorder="1" applyAlignment="1">
      <alignment horizontal="left" vertical="center"/>
    </xf>
    <xf numFmtId="0" fontId="4" fillId="2" borderId="5" xfId="0" applyNumberFormat="1" applyFont="1" applyFill="1" applyBorder="1" applyAlignment="1">
      <alignment horizontal="center" vertical="center"/>
    </xf>
    <xf numFmtId="0" fontId="4" fillId="2" borderId="5" xfId="0" quotePrefix="1" applyNumberFormat="1" applyFont="1" applyFill="1" applyBorder="1" applyAlignment="1">
      <alignment horizontal="center" vertical="center"/>
    </xf>
    <xf numFmtId="0" fontId="3" fillId="5" borderId="34" xfId="0" applyFont="1" applyFill="1" applyBorder="1" applyAlignment="1">
      <alignment horizontal="centerContinuous" vertical="center"/>
    </xf>
    <xf numFmtId="0" fontId="3" fillId="5" borderId="35" xfId="0" applyFont="1" applyFill="1" applyBorder="1" applyAlignment="1">
      <alignment horizontal="centerContinuous" vertical="center"/>
    </xf>
    <xf numFmtId="0" fontId="4" fillId="5" borderId="9" xfId="0" applyFont="1" applyFill="1" applyBorder="1" applyAlignment="1">
      <alignment horizontal="centerContinuous" vertical="center"/>
    </xf>
    <xf numFmtId="43" fontId="4" fillId="3" borderId="5" xfId="0" applyNumberFormat="1" applyFont="1" applyFill="1" applyBorder="1" applyAlignment="1">
      <alignment horizontal="left" vertical="center" indent="1"/>
    </xf>
    <xf numFmtId="43" fontId="4" fillId="0" borderId="0" xfId="0" applyNumberFormat="1" applyFont="1" applyFill="1" applyBorder="1" applyAlignment="1">
      <alignment horizontal="center" vertical="center"/>
    </xf>
    <xf numFmtId="43" fontId="3" fillId="0" borderId="0" xfId="0" applyNumberFormat="1" applyFont="1" applyFill="1" applyBorder="1" applyAlignment="1">
      <alignment horizontal="center" vertical="center"/>
    </xf>
    <xf numFmtId="43" fontId="4" fillId="3" borderId="5" xfId="0" applyNumberFormat="1" applyFont="1" applyFill="1" applyBorder="1" applyAlignment="1">
      <alignment horizontal="center" vertical="center"/>
    </xf>
    <xf numFmtId="43" fontId="4" fillId="2" borderId="5" xfId="0" applyNumberFormat="1" applyFont="1" applyFill="1" applyBorder="1" applyAlignment="1">
      <alignment horizontal="left" vertical="center" indent="1"/>
    </xf>
    <xf numFmtId="43" fontId="4" fillId="2" borderId="5" xfId="0" applyNumberFormat="1" applyFont="1" applyFill="1" applyBorder="1" applyAlignment="1">
      <alignment horizontal="center" vertical="center"/>
    </xf>
    <xf numFmtId="43" fontId="4" fillId="4" borderId="5" xfId="0" applyNumberFormat="1" applyFont="1" applyFill="1" applyBorder="1" applyAlignment="1">
      <alignment horizontal="center" vertical="center"/>
    </xf>
    <xf numFmtId="43" fontId="3" fillId="4" borderId="5" xfId="0" applyNumberFormat="1" applyFont="1" applyFill="1" applyBorder="1" applyAlignment="1">
      <alignment horizontal="center" vertical="center"/>
    </xf>
    <xf numFmtId="43" fontId="3" fillId="5" borderId="34" xfId="0" applyNumberFormat="1" applyFont="1" applyFill="1" applyBorder="1" applyAlignment="1">
      <alignment horizontal="centerContinuous" vertical="center"/>
    </xf>
    <xf numFmtId="43" fontId="3" fillId="5" borderId="35" xfId="0" applyNumberFormat="1" applyFont="1" applyFill="1" applyBorder="1" applyAlignment="1">
      <alignment horizontal="centerContinuous" vertical="center"/>
    </xf>
    <xf numFmtId="43" fontId="4" fillId="5" borderId="5" xfId="0" applyNumberFormat="1" applyFont="1" applyFill="1" applyBorder="1" applyAlignment="1">
      <alignment horizontal="centerContinuous" vertical="center"/>
    </xf>
    <xf numFmtId="43" fontId="3" fillId="0" borderId="5" xfId="0" applyNumberFormat="1" applyFont="1" applyFill="1" applyBorder="1" applyAlignment="1">
      <alignment horizontal="center" vertical="center"/>
    </xf>
    <xf numFmtId="43" fontId="4" fillId="4" borderId="5" xfId="0" applyNumberFormat="1" applyFont="1" applyFill="1" applyBorder="1" applyAlignment="1">
      <alignment horizontal="centerContinuous" vertical="center"/>
    </xf>
    <xf numFmtId="43" fontId="3" fillId="5" borderId="34" xfId="0" applyNumberFormat="1" applyFont="1" applyFill="1" applyBorder="1" applyAlignment="1">
      <alignment horizontal="center" vertical="center"/>
    </xf>
    <xf numFmtId="43" fontId="4" fillId="5" borderId="9" xfId="0" applyNumberFormat="1" applyFont="1" applyFill="1" applyBorder="1" applyAlignment="1">
      <alignment horizontal="left" vertical="center"/>
    </xf>
    <xf numFmtId="43" fontId="4" fillId="3" borderId="5" xfId="0" applyNumberFormat="1" applyFont="1" applyFill="1" applyBorder="1" applyAlignment="1">
      <alignment horizontal="left" vertical="center"/>
    </xf>
    <xf numFmtId="0" fontId="3" fillId="0" borderId="0" xfId="0" applyFont="1" applyAlignment="1">
      <alignment horizontal="left" vertical="center"/>
    </xf>
    <xf numFmtId="0" fontId="3" fillId="0" borderId="0" xfId="66" applyFont="1" applyFill="1" applyBorder="1"/>
    <xf numFmtId="0" fontId="3" fillId="0" borderId="0" xfId="66" applyFont="1" applyFill="1" applyBorder="1" applyAlignment="1">
      <alignment horizontal="center"/>
    </xf>
    <xf numFmtId="0" fontId="7" fillId="19" borderId="40" xfId="66" applyFont="1" applyFill="1" applyBorder="1" applyAlignment="1">
      <alignment horizontal="center" vertical="center"/>
    </xf>
    <xf numFmtId="0" fontId="6" fillId="0" borderId="40" xfId="66" applyFont="1" applyFill="1" applyBorder="1" applyAlignment="1">
      <alignment horizontal="center" vertical="center"/>
    </xf>
    <xf numFmtId="0" fontId="4" fillId="20" borderId="13" xfId="66" applyFont="1" applyFill="1" applyBorder="1" applyAlignment="1">
      <alignment horizontal="centerContinuous" vertical="center"/>
    </xf>
    <xf numFmtId="0" fontId="3" fillId="20" borderId="39" xfId="66" applyFont="1" applyFill="1" applyBorder="1" applyAlignment="1">
      <alignment horizontal="centerContinuous" vertical="center"/>
    </xf>
    <xf numFmtId="0" fontId="3" fillId="20" borderId="12" xfId="66" applyFont="1" applyFill="1" applyBorder="1" applyAlignment="1">
      <alignment horizontal="centerContinuous" vertical="center"/>
    </xf>
    <xf numFmtId="0" fontId="4" fillId="20" borderId="11" xfId="66" applyFont="1" applyFill="1" applyBorder="1" applyAlignment="1">
      <alignment horizontal="centerContinuous" vertical="center"/>
    </xf>
    <xf numFmtId="0" fontId="3" fillId="20" borderId="0" xfId="66" applyFont="1" applyFill="1" applyBorder="1" applyAlignment="1">
      <alignment horizontal="centerContinuous" vertical="center"/>
    </xf>
    <xf numFmtId="0" fontId="3" fillId="20" borderId="10" xfId="66" applyFont="1" applyFill="1" applyBorder="1" applyAlignment="1">
      <alignment horizontal="centerContinuous" vertical="center"/>
    </xf>
    <xf numFmtId="0" fontId="4" fillId="20" borderId="8" xfId="66" applyFont="1" applyFill="1" applyBorder="1" applyAlignment="1">
      <alignment horizontal="centerContinuous" vertical="center"/>
    </xf>
    <xf numFmtId="0" fontId="3" fillId="20" borderId="36" xfId="66" applyFont="1" applyFill="1" applyBorder="1" applyAlignment="1">
      <alignment horizontal="centerContinuous" vertical="center"/>
    </xf>
    <xf numFmtId="0" fontId="3" fillId="20" borderId="7" xfId="66" applyFont="1" applyFill="1" applyBorder="1" applyAlignment="1">
      <alignment horizontal="centerContinuous" vertical="center"/>
    </xf>
    <xf numFmtId="0" fontId="32" fillId="0" borderId="40" xfId="66" applyFont="1" applyFill="1" applyBorder="1" applyAlignment="1">
      <alignment horizontal="center" vertical="center"/>
    </xf>
    <xf numFmtId="0" fontId="4" fillId="21" borderId="41" xfId="66" applyFont="1" applyFill="1" applyBorder="1" applyAlignment="1">
      <alignment horizontal="center" vertical="center"/>
    </xf>
    <xf numFmtId="0" fontId="4" fillId="21" borderId="41" xfId="66" applyNumberFormat="1" applyFont="1" applyFill="1" applyBorder="1" applyAlignment="1">
      <alignment horizontal="center" vertical="center" wrapText="1"/>
    </xf>
    <xf numFmtId="0" fontId="4" fillId="21" borderId="41" xfId="66" quotePrefix="1" applyNumberFormat="1" applyFont="1" applyFill="1" applyBorder="1" applyAlignment="1">
      <alignment horizontal="center" vertical="center" wrapText="1"/>
    </xf>
    <xf numFmtId="0" fontId="4" fillId="21" borderId="42" xfId="66" applyNumberFormat="1" applyFont="1" applyFill="1" applyBorder="1" applyAlignment="1">
      <alignment horizontal="center" vertical="center" wrapText="1"/>
    </xf>
    <xf numFmtId="185" fontId="3" fillId="0" borderId="0" xfId="66" applyNumberFormat="1" applyFont="1" applyFill="1" applyBorder="1" applyAlignment="1">
      <alignment horizontal="right"/>
    </xf>
    <xf numFmtId="164" fontId="3" fillId="0" borderId="0" xfId="66" applyNumberFormat="1" applyFont="1" applyFill="1" applyBorder="1" applyAlignment="1">
      <alignment horizontal="right"/>
    </xf>
    <xf numFmtId="1" fontId="3" fillId="0" borderId="10" xfId="66" applyNumberFormat="1" applyFont="1" applyFill="1" applyBorder="1" applyAlignment="1">
      <alignment horizontal="right"/>
    </xf>
    <xf numFmtId="0" fontId="3" fillId="0" borderId="0" xfId="66" applyFont="1" applyFill="1" applyBorder="1" applyAlignment="1">
      <alignment horizontal="right"/>
    </xf>
    <xf numFmtId="0" fontId="3" fillId="0" borderId="36" xfId="66" applyFont="1" applyFill="1" applyBorder="1" applyAlignment="1">
      <alignment horizontal="right"/>
    </xf>
    <xf numFmtId="164" fontId="3" fillId="0" borderId="36" xfId="66" applyNumberFormat="1" applyFont="1" applyFill="1" applyBorder="1" applyAlignment="1">
      <alignment horizontal="right"/>
    </xf>
    <xf numFmtId="1" fontId="3" fillId="0" borderId="7" xfId="66" applyNumberFormat="1" applyFont="1" applyFill="1" applyBorder="1" applyAlignment="1">
      <alignment horizontal="right"/>
    </xf>
    <xf numFmtId="0" fontId="3" fillId="0" borderId="39" xfId="66" applyFont="1" applyFill="1" applyBorder="1" applyAlignment="1">
      <alignment horizontal="right"/>
    </xf>
    <xf numFmtId="164" fontId="3" fillId="0" borderId="39" xfId="66" applyNumberFormat="1" applyFont="1" applyFill="1" applyBorder="1" applyAlignment="1">
      <alignment horizontal="right"/>
    </xf>
    <xf numFmtId="1" fontId="3" fillId="0" borderId="12" xfId="66" applyNumberFormat="1" applyFont="1" applyFill="1" applyBorder="1" applyAlignment="1">
      <alignment horizontal="right"/>
    </xf>
    <xf numFmtId="0" fontId="3" fillId="21" borderId="41" xfId="66" applyFont="1" applyFill="1" applyBorder="1" applyAlignment="1">
      <alignment horizontal="center" vertical="center"/>
    </xf>
    <xf numFmtId="0" fontId="4" fillId="21" borderId="42" xfId="66" applyFont="1" applyFill="1" applyBorder="1" applyAlignment="1">
      <alignment horizontal="center" vertical="center"/>
    </xf>
    <xf numFmtId="165" fontId="3" fillId="0" borderId="0" xfId="66" applyNumberFormat="1" applyFont="1" applyFill="1" applyBorder="1" applyAlignment="1">
      <alignment horizontal="right"/>
    </xf>
    <xf numFmtId="165" fontId="3" fillId="0" borderId="10" xfId="66" applyNumberFormat="1" applyFont="1" applyFill="1" applyBorder="1" applyAlignment="1">
      <alignment horizontal="right"/>
    </xf>
    <xf numFmtId="165" fontId="3" fillId="0" borderId="36" xfId="66" applyNumberFormat="1" applyFont="1" applyFill="1" applyBorder="1" applyAlignment="1">
      <alignment horizontal="right"/>
    </xf>
    <xf numFmtId="165" fontId="3" fillId="0" borderId="7" xfId="66" applyNumberFormat="1" applyFont="1" applyFill="1" applyBorder="1" applyAlignment="1">
      <alignment horizontal="right"/>
    </xf>
    <xf numFmtId="0" fontId="33" fillId="0" borderId="0" xfId="94" applyFont="1" applyBorder="1" applyAlignment="1">
      <alignment vertical="center"/>
    </xf>
    <xf numFmtId="0" fontId="35" fillId="0" borderId="5" xfId="94" applyFont="1" applyFill="1" applyBorder="1" applyAlignment="1">
      <alignment vertical="center"/>
    </xf>
    <xf numFmtId="0" fontId="33" fillId="0" borderId="22" xfId="94" applyFont="1" applyBorder="1" applyAlignment="1">
      <alignment vertical="center"/>
    </xf>
    <xf numFmtId="0" fontId="33" fillId="0" borderId="21" xfId="94" applyFont="1" applyBorder="1" applyAlignment="1">
      <alignment vertical="center"/>
    </xf>
    <xf numFmtId="0" fontId="34" fillId="0" borderId="5" xfId="94" applyFont="1" applyFill="1" applyBorder="1" applyAlignment="1">
      <alignment horizontal="center" vertical="center" wrapText="1"/>
    </xf>
    <xf numFmtId="0" fontId="34" fillId="22" borderId="28" xfId="94" applyFont="1" applyFill="1" applyBorder="1" applyAlignment="1">
      <alignment horizontal="center" vertical="center" wrapText="1"/>
    </xf>
    <xf numFmtId="0" fontId="34" fillId="22" borderId="27" xfId="94" applyFont="1" applyFill="1" applyBorder="1" applyAlignment="1">
      <alignment horizontal="center" vertical="center" wrapText="1"/>
    </xf>
    <xf numFmtId="43" fontId="33" fillId="0" borderId="20" xfId="94" applyNumberFormat="1" applyFont="1" applyBorder="1" applyAlignment="1">
      <alignment horizontal="center" vertical="center" wrapText="1"/>
    </xf>
    <xf numFmtId="186" fontId="33" fillId="0" borderId="28" xfId="94" applyNumberFormat="1" applyFont="1" applyBorder="1" applyAlignment="1">
      <alignment horizontal="center" vertical="center" wrapText="1"/>
    </xf>
    <xf numFmtId="1" fontId="33" fillId="0" borderId="28" xfId="94" applyNumberFormat="1" applyFont="1" applyBorder="1" applyAlignment="1">
      <alignment horizontal="center" vertical="center" wrapText="1"/>
    </xf>
    <xf numFmtId="43" fontId="33" fillId="0" borderId="28" xfId="94" applyNumberFormat="1" applyFont="1" applyBorder="1" applyAlignment="1">
      <alignment horizontal="center" vertical="center" wrapText="1"/>
    </xf>
    <xf numFmtId="43" fontId="3" fillId="0" borderId="28" xfId="95" applyNumberFormat="1" applyFont="1" applyBorder="1" applyAlignment="1">
      <alignment horizontal="center" vertical="center" wrapText="1"/>
    </xf>
    <xf numFmtId="43" fontId="33" fillId="0" borderId="28" xfId="95" applyNumberFormat="1" applyFont="1" applyBorder="1" applyAlignment="1">
      <alignment horizontal="center" vertical="center" wrapText="1"/>
    </xf>
    <xf numFmtId="10" fontId="33" fillId="0" borderId="28" xfId="96" applyNumberFormat="1" applyFont="1" applyBorder="1" applyAlignment="1">
      <alignment horizontal="center" vertical="center" wrapText="1"/>
    </xf>
    <xf numFmtId="0" fontId="33" fillId="0" borderId="28" xfId="94" applyFont="1" applyBorder="1" applyAlignment="1">
      <alignment horizontal="center" vertical="center" wrapText="1"/>
    </xf>
    <xf numFmtId="10" fontId="33" fillId="0" borderId="27" xfId="96" applyNumberFormat="1" applyFont="1" applyBorder="1" applyAlignment="1">
      <alignment horizontal="center" vertical="center" wrapText="1"/>
    </xf>
    <xf numFmtId="0" fontId="34" fillId="0" borderId="21" xfId="94" applyFont="1" applyBorder="1" applyAlignment="1">
      <alignment horizontal="left" vertical="center"/>
    </xf>
    <xf numFmtId="0" fontId="34" fillId="0" borderId="0" xfId="94" applyFont="1" applyBorder="1" applyAlignment="1">
      <alignment horizontal="center" vertical="center"/>
    </xf>
    <xf numFmtId="0" fontId="33" fillId="0" borderId="0" xfId="95" applyNumberFormat="1" applyFont="1" applyBorder="1" applyAlignment="1">
      <alignment horizontal="left" vertical="center"/>
    </xf>
    <xf numFmtId="0" fontId="33" fillId="0" borderId="29" xfId="94" applyFont="1" applyBorder="1" applyAlignment="1">
      <alignment vertical="center"/>
    </xf>
    <xf numFmtId="0" fontId="34" fillId="22" borderId="5" xfId="94" applyFont="1" applyFill="1" applyBorder="1" applyAlignment="1">
      <alignment horizontal="center" vertical="center"/>
    </xf>
    <xf numFmtId="0" fontId="37" fillId="0" borderId="34" xfId="94" applyFont="1" applyFill="1" applyBorder="1" applyAlignment="1">
      <alignment horizontal="center" vertical="center"/>
    </xf>
    <xf numFmtId="0" fontId="34" fillId="22" borderId="9" xfId="94" applyFont="1" applyFill="1" applyBorder="1" applyAlignment="1">
      <alignment horizontal="centerContinuous" vertical="center"/>
    </xf>
    <xf numFmtId="0" fontId="33" fillId="22" borderId="34" xfId="94" applyFont="1" applyFill="1" applyBorder="1" applyAlignment="1">
      <alignment horizontal="centerContinuous" vertical="center"/>
    </xf>
    <xf numFmtId="0" fontId="33" fillId="22" borderId="9" xfId="94" applyFont="1" applyFill="1" applyBorder="1" applyAlignment="1">
      <alignment vertical="center"/>
    </xf>
    <xf numFmtId="0" fontId="34" fillId="22" borderId="35" xfId="94" applyFont="1" applyFill="1" applyBorder="1" applyAlignment="1">
      <alignment horizontal="right" vertical="center"/>
    </xf>
    <xf numFmtId="187" fontId="34" fillId="22" borderId="35" xfId="95" applyNumberFormat="1" applyFont="1" applyFill="1" applyBorder="1" applyAlignment="1">
      <alignment horizontal="center" vertical="center"/>
    </xf>
    <xf numFmtId="187" fontId="34" fillId="22" borderId="34" xfId="95" applyNumberFormat="1" applyFont="1" applyFill="1" applyBorder="1" applyAlignment="1">
      <alignment horizontal="center" vertical="center"/>
    </xf>
    <xf numFmtId="0" fontId="33" fillId="0" borderId="21" xfId="94" applyFont="1" applyFill="1" applyBorder="1" applyAlignment="1">
      <alignment horizontal="left" vertical="center" indent="1"/>
    </xf>
    <xf numFmtId="43" fontId="33" fillId="0" borderId="0" xfId="95" applyNumberFormat="1" applyFont="1" applyFill="1" applyBorder="1" applyAlignment="1">
      <alignment horizontal="left" vertical="center"/>
    </xf>
    <xf numFmtId="0" fontId="33" fillId="0" borderId="0" xfId="94" applyFont="1" applyBorder="1" applyAlignment="1">
      <alignment horizontal="left" vertical="center" indent="1"/>
    </xf>
    <xf numFmtId="43" fontId="33" fillId="0" borderId="0" xfId="95" applyNumberFormat="1" applyFont="1" applyBorder="1" applyAlignment="1">
      <alignment vertical="center"/>
    </xf>
    <xf numFmtId="43" fontId="33" fillId="0" borderId="0" xfId="95" applyNumberFormat="1" applyFont="1" applyBorder="1" applyAlignment="1">
      <alignment horizontal="center" vertical="center"/>
    </xf>
    <xf numFmtId="0" fontId="33" fillId="0" borderId="0" xfId="94" applyFont="1" applyBorder="1" applyAlignment="1">
      <alignment horizontal="right" vertical="center"/>
    </xf>
    <xf numFmtId="43" fontId="33" fillId="0" borderId="29" xfId="95" applyNumberFormat="1" applyFont="1" applyBorder="1" applyAlignment="1">
      <alignment horizontal="center" vertical="center"/>
    </xf>
    <xf numFmtId="0" fontId="33" fillId="0" borderId="21" xfId="94" applyFont="1" applyBorder="1" applyAlignment="1">
      <alignment horizontal="left" vertical="center" indent="1"/>
    </xf>
    <xf numFmtId="186" fontId="33" fillId="0" borderId="0" xfId="95" applyNumberFormat="1" applyFont="1" applyBorder="1" applyAlignment="1">
      <alignment horizontal="left" vertical="center"/>
    </xf>
    <xf numFmtId="43" fontId="33" fillId="0" borderId="0" xfId="95" applyNumberFormat="1" applyFont="1" applyBorder="1" applyAlignment="1">
      <alignment horizontal="left" vertical="center"/>
    </xf>
    <xf numFmtId="0" fontId="34" fillId="22" borderId="35" xfId="94" applyFont="1" applyFill="1" applyBorder="1" applyAlignment="1">
      <alignment horizontal="center" vertical="center"/>
    </xf>
    <xf numFmtId="0" fontId="34" fillId="22" borderId="34" xfId="94" applyFont="1" applyFill="1" applyBorder="1" applyAlignment="1">
      <alignment horizontal="center" vertical="center"/>
    </xf>
    <xf numFmtId="0" fontId="33" fillId="22" borderId="35" xfId="94" applyFont="1" applyFill="1" applyBorder="1" applyAlignment="1">
      <alignment horizontal="centerContinuous" vertical="center"/>
    </xf>
    <xf numFmtId="10" fontId="33" fillId="0" borderId="34" xfId="94" applyNumberFormat="1" applyFont="1" applyFill="1" applyBorder="1" applyAlignment="1">
      <alignment horizontal="right" vertical="center"/>
    </xf>
    <xf numFmtId="1" fontId="33" fillId="0" borderId="0" xfId="95" applyNumberFormat="1" applyFont="1" applyBorder="1" applyAlignment="1">
      <alignment horizontal="center" vertical="center"/>
    </xf>
    <xf numFmtId="0" fontId="33" fillId="0" borderId="0" xfId="94" applyFont="1" applyBorder="1" applyAlignment="1">
      <alignment horizontal="left" vertical="center"/>
    </xf>
    <xf numFmtId="43" fontId="34" fillId="0" borderId="0" xfId="95" applyNumberFormat="1" applyFont="1" applyBorder="1" applyAlignment="1">
      <alignment horizontal="center" vertical="center"/>
    </xf>
    <xf numFmtId="0" fontId="33" fillId="0" borderId="0" xfId="94" applyFont="1" applyBorder="1" applyAlignment="1">
      <alignment horizontal="center" vertical="center"/>
    </xf>
    <xf numFmtId="0" fontId="34" fillId="22" borderId="9" xfId="94" applyFont="1" applyFill="1" applyBorder="1" applyAlignment="1">
      <alignment horizontal="right" vertical="center"/>
    </xf>
    <xf numFmtId="0" fontId="4" fillId="22" borderId="35" xfId="66" applyFont="1" applyFill="1" applyBorder="1" applyAlignment="1">
      <alignment horizontal="center" vertical="center"/>
    </xf>
    <xf numFmtId="0" fontId="4" fillId="22" borderId="34" xfId="66" applyFont="1" applyFill="1" applyBorder="1" applyAlignment="1">
      <alignment horizontal="center" vertical="center"/>
    </xf>
    <xf numFmtId="189" fontId="33" fillId="0" borderId="0" xfId="95" applyNumberFormat="1" applyFont="1" applyFill="1" applyBorder="1" applyAlignment="1">
      <alignment horizontal="center" vertical="center"/>
    </xf>
    <xf numFmtId="189" fontId="33" fillId="0" borderId="29" xfId="95" applyNumberFormat="1" applyFont="1" applyFill="1" applyBorder="1" applyAlignment="1">
      <alignment horizontal="center" vertical="center"/>
    </xf>
    <xf numFmtId="44" fontId="33" fillId="0" borderId="34" xfId="97" applyNumberFormat="1" applyFont="1" applyFill="1" applyBorder="1" applyAlignment="1">
      <alignment horizontal="left" vertical="center"/>
    </xf>
    <xf numFmtId="10" fontId="33" fillId="0" borderId="0" xfId="96" applyNumberFormat="1" applyFont="1" applyFill="1" applyBorder="1" applyAlignment="1">
      <alignment horizontal="right" vertical="center"/>
    </xf>
    <xf numFmtId="174" fontId="33" fillId="0" borderId="0" xfId="95" applyNumberFormat="1" applyFont="1" applyFill="1" applyBorder="1" applyAlignment="1">
      <alignment horizontal="center" vertical="center"/>
    </xf>
    <xf numFmtId="43" fontId="33" fillId="0" borderId="0" xfId="95" applyNumberFormat="1" applyFont="1" applyBorder="1" applyAlignment="1">
      <alignment horizontal="left" vertical="center" indent="1"/>
    </xf>
    <xf numFmtId="0" fontId="33" fillId="0" borderId="0" xfId="94" applyFont="1" applyFill="1" applyBorder="1" applyAlignment="1">
      <alignment horizontal="left" vertical="center"/>
    </xf>
    <xf numFmtId="1" fontId="33" fillId="0" borderId="0" xfId="95" applyNumberFormat="1" applyFont="1" applyFill="1" applyBorder="1" applyAlignment="1">
      <alignment horizontal="center" vertical="center"/>
    </xf>
    <xf numFmtId="43" fontId="33" fillId="0" borderId="0" xfId="95" applyNumberFormat="1" applyFont="1" applyBorder="1" applyAlignment="1">
      <alignment horizontal="right" vertical="center"/>
    </xf>
    <xf numFmtId="0" fontId="34" fillId="20" borderId="5" xfId="94" applyFont="1" applyFill="1" applyBorder="1" applyAlignment="1">
      <alignment horizontal="center" vertical="center"/>
    </xf>
    <xf numFmtId="0" fontId="33" fillId="0" borderId="20" xfId="94" applyFont="1" applyBorder="1" applyAlignment="1">
      <alignment horizontal="left" vertical="center" indent="1"/>
    </xf>
    <xf numFmtId="43" fontId="33" fillId="0" borderId="28" xfId="95" applyNumberFormat="1" applyFont="1" applyBorder="1" applyAlignment="1">
      <alignment vertical="center"/>
    </xf>
    <xf numFmtId="0" fontId="33" fillId="0" borderId="28" xfId="94" applyFont="1" applyBorder="1" applyAlignment="1">
      <alignment vertical="center"/>
    </xf>
    <xf numFmtId="0" fontId="33" fillId="0" borderId="27" xfId="94" applyFont="1" applyBorder="1" applyAlignment="1">
      <alignment vertical="center"/>
    </xf>
    <xf numFmtId="0" fontId="33" fillId="0" borderId="0" xfId="94" applyFont="1" applyFill="1" applyBorder="1" applyAlignment="1">
      <alignment vertical="center"/>
    </xf>
    <xf numFmtId="0" fontId="1" fillId="0" borderId="0" xfId="94" applyFill="1" applyBorder="1"/>
    <xf numFmtId="0" fontId="1" fillId="0" borderId="0" xfId="94" applyFill="1" applyBorder="1" applyAlignment="1">
      <alignment horizontal="center"/>
    </xf>
    <xf numFmtId="0" fontId="38" fillId="0" borderId="0" xfId="94" applyFont="1" applyFill="1" applyBorder="1"/>
    <xf numFmtId="2" fontId="33" fillId="0" borderId="0" xfId="94" applyNumberFormat="1" applyFont="1" applyBorder="1" applyAlignment="1">
      <alignment vertical="center"/>
    </xf>
    <xf numFmtId="188" fontId="33" fillId="0" borderId="0" xfId="97" applyNumberFormat="1" applyFont="1" applyBorder="1" applyAlignment="1">
      <alignment horizontal="right" vertical="center"/>
    </xf>
    <xf numFmtId="0" fontId="32" fillId="0" borderId="5" xfId="4" applyFont="1" applyFill="1" applyBorder="1" applyAlignment="1" applyProtection="1">
      <alignment horizontal="center" vertical="center"/>
      <protection locked="0"/>
    </xf>
    <xf numFmtId="0" fontId="32" fillId="0" borderId="5" xfId="4" applyFont="1" applyFill="1" applyBorder="1" applyAlignment="1">
      <alignment horizontal="center" vertical="center"/>
    </xf>
    <xf numFmtId="0" fontId="4" fillId="20" borderId="5" xfId="66" applyFont="1" applyFill="1" applyBorder="1" applyAlignment="1">
      <alignment horizontal="center"/>
    </xf>
    <xf numFmtId="0" fontId="3" fillId="0" borderId="0" xfId="66" applyFont="1"/>
    <xf numFmtId="0" fontId="39" fillId="0" borderId="0" xfId="66" applyFont="1" applyAlignment="1">
      <alignment horizontal="center"/>
    </xf>
    <xf numFmtId="0" fontId="39" fillId="0" borderId="0" xfId="66" applyFont="1" applyAlignment="1">
      <alignment horizontal="left"/>
    </xf>
    <xf numFmtId="164" fontId="31" fillId="0" borderId="5" xfId="0" applyNumberFormat="1" applyFont="1" applyFill="1" applyBorder="1" applyAlignment="1">
      <alignment horizontal="right" vertical="center"/>
    </xf>
    <xf numFmtId="165" fontId="31" fillId="0" borderId="5" xfId="0" applyNumberFormat="1" applyFont="1" applyFill="1" applyBorder="1" applyAlignment="1">
      <alignment horizontal="right" vertical="center"/>
    </xf>
    <xf numFmtId="174" fontId="3" fillId="0" borderId="5" xfId="0" applyNumberFormat="1" applyFont="1" applyFill="1" applyBorder="1" applyAlignment="1">
      <alignment horizontal="center" vertical="center"/>
    </xf>
    <xf numFmtId="2" fontId="3" fillId="0" borderId="5" xfId="0" applyNumberFormat="1" applyFont="1" applyBorder="1" applyAlignment="1">
      <alignment horizontal="right" vertical="center"/>
    </xf>
    <xf numFmtId="1" fontId="3" fillId="0" borderId="5" xfId="0" applyNumberFormat="1" applyFont="1" applyBorder="1" applyAlignment="1">
      <alignment horizontal="center" vertical="center"/>
    </xf>
    <xf numFmtId="1" fontId="3" fillId="0" borderId="5" xfId="0" quotePrefix="1" applyNumberFormat="1" applyFont="1" applyBorder="1" applyAlignment="1">
      <alignment horizontal="center" vertical="center"/>
    </xf>
    <xf numFmtId="10" fontId="3" fillId="0" borderId="5" xfId="2" applyNumberFormat="1" applyFont="1" applyBorder="1" applyAlignment="1">
      <alignment horizontal="right" vertical="center"/>
    </xf>
    <xf numFmtId="1" fontId="3" fillId="0" borderId="5" xfId="0" applyNumberFormat="1" applyFont="1" applyBorder="1" applyAlignment="1">
      <alignment horizontal="right" vertical="center"/>
    </xf>
    <xf numFmtId="171" fontId="3" fillId="0" borderId="26" xfId="2" applyNumberFormat="1" applyFont="1" applyBorder="1" applyAlignment="1">
      <alignment horizontal="right" vertical="center"/>
    </xf>
    <xf numFmtId="171" fontId="3" fillId="0" borderId="19" xfId="2" applyNumberFormat="1" applyFont="1" applyBorder="1" applyAlignment="1">
      <alignment horizontal="right" vertical="center"/>
    </xf>
    <xf numFmtId="171" fontId="3" fillId="0" borderId="18" xfId="2" applyNumberFormat="1" applyFont="1" applyBorder="1" applyAlignment="1">
      <alignment horizontal="right" vertical="center"/>
    </xf>
    <xf numFmtId="174" fontId="3" fillId="0" borderId="5" xfId="1" applyNumberFormat="1" applyFont="1" applyBorder="1" applyAlignment="1">
      <alignment horizontal="center" vertical="center"/>
    </xf>
    <xf numFmtId="190" fontId="3" fillId="0" borderId="5" xfId="0" applyNumberFormat="1" applyFont="1" applyBorder="1" applyAlignment="1">
      <alignment horizontal="center" vertical="center"/>
    </xf>
    <xf numFmtId="186" fontId="3" fillId="0" borderId="5" xfId="0" applyNumberFormat="1" applyFont="1" applyBorder="1" applyAlignment="1">
      <alignment horizontal="center" vertical="center"/>
    </xf>
    <xf numFmtId="10" fontId="3" fillId="0" borderId="29" xfId="2" applyNumberFormat="1" applyFont="1" applyBorder="1" applyAlignment="1">
      <alignment horizontal="right" vertical="center"/>
    </xf>
    <xf numFmtId="10" fontId="3" fillId="0" borderId="27" xfId="2" applyNumberFormat="1" applyFont="1" applyBorder="1" applyAlignment="1">
      <alignment horizontal="right" vertical="center"/>
    </xf>
    <xf numFmtId="2" fontId="3" fillId="0" borderId="29" xfId="0" applyNumberFormat="1" applyFont="1" applyBorder="1" applyAlignment="1">
      <alignment horizontal="right" vertical="center"/>
    </xf>
    <xf numFmtId="1" fontId="3" fillId="0" borderId="29" xfId="0" applyNumberFormat="1" applyFont="1" applyBorder="1" applyAlignment="1">
      <alignment horizontal="center" vertical="center"/>
    </xf>
    <xf numFmtId="1" fontId="3" fillId="0" borderId="30" xfId="0" applyNumberFormat="1" applyFont="1" applyBorder="1" applyAlignment="1">
      <alignment horizontal="center" vertical="center"/>
    </xf>
    <xf numFmtId="1" fontId="3" fillId="0" borderId="29" xfId="3" applyNumberFormat="1" applyFont="1" applyBorder="1" applyAlignment="1">
      <alignment horizontal="center" vertical="center"/>
    </xf>
    <xf numFmtId="2" fontId="3" fillId="0" borderId="21" xfId="0" applyNumberFormat="1" applyFont="1" applyBorder="1" applyAlignment="1">
      <alignment horizontal="right" vertical="center"/>
    </xf>
    <xf numFmtId="2" fontId="3" fillId="0" borderId="38" xfId="0" applyNumberFormat="1" applyFont="1" applyBorder="1" applyAlignment="1">
      <alignment horizontal="right" vertical="center"/>
    </xf>
    <xf numFmtId="2" fontId="3" fillId="0" borderId="12" xfId="0" applyNumberFormat="1" applyFont="1" applyBorder="1" applyAlignment="1">
      <alignment horizontal="right" vertical="center"/>
    </xf>
    <xf numFmtId="2" fontId="3" fillId="0" borderId="10" xfId="0" applyNumberFormat="1" applyFont="1" applyBorder="1" applyAlignment="1">
      <alignment horizontal="right" vertical="center"/>
    </xf>
    <xf numFmtId="2" fontId="3" fillId="0" borderId="37" xfId="0" applyNumberFormat="1" applyFont="1" applyBorder="1" applyAlignment="1">
      <alignment horizontal="right" vertical="center"/>
    </xf>
    <xf numFmtId="2" fontId="3" fillId="0" borderId="7" xfId="0" applyNumberFormat="1" applyFont="1" applyBorder="1" applyAlignment="1">
      <alignment horizontal="right" vertical="center"/>
    </xf>
    <xf numFmtId="2" fontId="3" fillId="0" borderId="20" xfId="0" applyNumberFormat="1" applyFont="1" applyBorder="1" applyAlignment="1">
      <alignment horizontal="right" vertical="center"/>
    </xf>
    <xf numFmtId="2" fontId="3" fillId="0" borderId="27" xfId="0" applyNumberFormat="1" applyFont="1" applyBorder="1" applyAlignment="1">
      <alignment horizontal="right" vertical="center"/>
    </xf>
    <xf numFmtId="165" fontId="3" fillId="0" borderId="6" xfId="0" applyNumberFormat="1" applyFont="1" applyFill="1" applyBorder="1" applyAlignment="1">
      <alignment horizontal="right" vertical="center"/>
    </xf>
    <xf numFmtId="165" fontId="3" fillId="0" borderId="5" xfId="0" applyNumberFormat="1" applyFont="1" applyFill="1" applyBorder="1" applyAlignment="1">
      <alignment horizontal="right" vertical="center"/>
    </xf>
    <xf numFmtId="165" fontId="3" fillId="0" borderId="4" xfId="0" applyNumberFormat="1" applyFont="1" applyFill="1" applyBorder="1" applyAlignment="1">
      <alignment horizontal="right" vertical="center"/>
    </xf>
    <xf numFmtId="165" fontId="3" fillId="0" borderId="3" xfId="0" applyNumberFormat="1" applyFont="1" applyFill="1" applyBorder="1" applyAlignment="1">
      <alignment horizontal="right" vertical="center"/>
    </xf>
    <xf numFmtId="165" fontId="3" fillId="0" borderId="2" xfId="0" applyNumberFormat="1" applyFont="1" applyFill="1" applyBorder="1" applyAlignment="1">
      <alignment horizontal="right" vertical="center"/>
    </xf>
    <xf numFmtId="165" fontId="3" fillId="0" borderId="1" xfId="0" applyNumberFormat="1" applyFont="1" applyFill="1" applyBorder="1" applyAlignment="1">
      <alignment horizontal="right" vertical="center"/>
    </xf>
    <xf numFmtId="165" fontId="3" fillId="0" borderId="15" xfId="0" applyNumberFormat="1" applyFont="1" applyFill="1" applyBorder="1" applyAlignment="1">
      <alignment horizontal="right" vertical="center"/>
    </xf>
    <xf numFmtId="10" fontId="3" fillId="0" borderId="5" xfId="0" quotePrefix="1" applyNumberFormat="1" applyFont="1" applyBorder="1" applyAlignment="1">
      <alignment horizontal="right" vertical="center"/>
    </xf>
    <xf numFmtId="10" fontId="3" fillId="0" borderId="26" xfId="3" applyNumberFormat="1" applyFont="1" applyBorder="1" applyAlignment="1">
      <alignment horizontal="right" vertical="center"/>
    </xf>
    <xf numFmtId="0" fontId="4" fillId="0" borderId="0" xfId="0" quotePrefix="1" applyFont="1" applyAlignment="1">
      <alignment vertical="center"/>
    </xf>
    <xf numFmtId="0" fontId="4" fillId="0" borderId="22" xfId="0" applyFont="1" applyFill="1" applyBorder="1" applyAlignment="1">
      <alignment horizontal="justify" vertical="center"/>
    </xf>
    <xf numFmtId="0" fontId="4" fillId="0" borderId="31" xfId="0" applyFont="1" applyFill="1" applyBorder="1" applyAlignment="1">
      <alignment horizontal="justify" vertical="center"/>
    </xf>
    <xf numFmtId="0" fontId="4" fillId="0" borderId="30" xfId="0" applyFont="1" applyFill="1" applyBorder="1" applyAlignment="1">
      <alignment horizontal="justify" vertical="center"/>
    </xf>
    <xf numFmtId="0" fontId="4" fillId="0" borderId="21" xfId="0" applyFont="1" applyFill="1" applyBorder="1" applyAlignment="1">
      <alignment horizontal="justify" vertical="center"/>
    </xf>
    <xf numFmtId="0" fontId="4" fillId="0" borderId="0" xfId="0" applyFont="1" applyFill="1" applyBorder="1" applyAlignment="1">
      <alignment horizontal="justify" vertical="center"/>
    </xf>
    <xf numFmtId="0" fontId="4" fillId="0" borderId="29" xfId="0" applyFont="1" applyFill="1" applyBorder="1" applyAlignment="1">
      <alignment horizontal="justify" vertical="center"/>
    </xf>
    <xf numFmtId="0" fontId="4" fillId="0" borderId="20" xfId="0" applyFont="1" applyFill="1" applyBorder="1" applyAlignment="1">
      <alignment horizontal="justify" vertical="center"/>
    </xf>
    <xf numFmtId="0" fontId="4" fillId="0" borderId="28" xfId="0" applyFont="1" applyFill="1" applyBorder="1" applyAlignment="1">
      <alignment horizontal="justify" vertical="center"/>
    </xf>
    <xf numFmtId="0" fontId="4" fillId="0" borderId="27" xfId="0" applyFont="1" applyFill="1" applyBorder="1" applyAlignment="1">
      <alignment horizontal="justify" vertical="center"/>
    </xf>
    <xf numFmtId="0" fontId="4" fillId="2" borderId="6" xfId="0" applyFont="1" applyFill="1" applyBorder="1" applyAlignment="1">
      <alignment horizontal="center" vertical="center" wrapText="1"/>
    </xf>
    <xf numFmtId="0" fontId="4" fillId="2" borderId="3" xfId="0" applyFont="1" applyFill="1" applyBorder="1" applyAlignment="1">
      <alignment horizontal="center" vertical="center" wrapText="1"/>
    </xf>
    <xf numFmtId="0" fontId="4" fillId="2" borderId="16" xfId="0" applyFont="1" applyFill="1" applyBorder="1" applyAlignment="1">
      <alignment horizontal="center" vertical="center" wrapText="1"/>
    </xf>
    <xf numFmtId="2" fontId="3" fillId="0" borderId="22" xfId="0" applyNumberFormat="1" applyFont="1" applyBorder="1" applyAlignment="1">
      <alignment horizontal="justify" vertical="center"/>
    </xf>
    <xf numFmtId="2" fontId="3" fillId="0" borderId="31" xfId="0" applyNumberFormat="1" applyFont="1" applyBorder="1" applyAlignment="1">
      <alignment horizontal="justify" vertical="center"/>
    </xf>
    <xf numFmtId="2" fontId="3" fillId="0" borderId="30" xfId="0" applyNumberFormat="1" applyFont="1" applyBorder="1" applyAlignment="1">
      <alignment horizontal="justify" vertical="center"/>
    </xf>
    <xf numFmtId="2" fontId="3" fillId="0" borderId="21" xfId="0" applyNumberFormat="1" applyFont="1" applyBorder="1" applyAlignment="1">
      <alignment horizontal="justify" vertical="center"/>
    </xf>
    <xf numFmtId="2" fontId="3" fillId="0" borderId="0" xfId="0" applyNumberFormat="1" applyFont="1" applyBorder="1" applyAlignment="1">
      <alignment horizontal="justify" vertical="center"/>
    </xf>
    <xf numFmtId="2" fontId="3" fillId="0" borderId="29" xfId="0" applyNumberFormat="1" applyFont="1" applyBorder="1" applyAlignment="1">
      <alignment horizontal="justify" vertical="center"/>
    </xf>
    <xf numFmtId="2" fontId="3" fillId="0" borderId="20" xfId="0" applyNumberFormat="1" applyFont="1" applyBorder="1" applyAlignment="1">
      <alignment horizontal="justify" vertical="center"/>
    </xf>
    <xf numFmtId="2" fontId="3" fillId="0" borderId="28" xfId="0" applyNumberFormat="1" applyFont="1" applyBorder="1" applyAlignment="1">
      <alignment horizontal="justify" vertical="center"/>
    </xf>
    <xf numFmtId="2" fontId="3" fillId="0" borderId="27" xfId="0" applyNumberFormat="1" applyFont="1" applyBorder="1" applyAlignment="1">
      <alignment horizontal="justify" vertical="center"/>
    </xf>
    <xf numFmtId="0" fontId="34" fillId="20" borderId="22" xfId="95" applyNumberFormat="1" applyFont="1" applyFill="1" applyBorder="1" applyAlignment="1">
      <alignment horizontal="center" vertical="center" wrapText="1"/>
    </xf>
    <xf numFmtId="0" fontId="1" fillId="20" borderId="31" xfId="94" applyFill="1" applyBorder="1" applyAlignment="1">
      <alignment horizontal="center" vertical="center"/>
    </xf>
    <xf numFmtId="0" fontId="1" fillId="20" borderId="30" xfId="94" applyFill="1" applyBorder="1" applyAlignment="1">
      <alignment horizontal="center" vertical="center"/>
    </xf>
    <xf numFmtId="0" fontId="1" fillId="20" borderId="21" xfId="94" applyFill="1" applyBorder="1" applyAlignment="1">
      <alignment horizontal="center" vertical="center"/>
    </xf>
    <xf numFmtId="0" fontId="1" fillId="20" borderId="0" xfId="94" applyFill="1" applyBorder="1" applyAlignment="1">
      <alignment horizontal="center" vertical="center"/>
    </xf>
    <xf numFmtId="0" fontId="1" fillId="20" borderId="29" xfId="94" applyFill="1" applyBorder="1" applyAlignment="1">
      <alignment horizontal="center" vertical="center"/>
    </xf>
    <xf numFmtId="0" fontId="1" fillId="20" borderId="20" xfId="94" applyFill="1" applyBorder="1" applyAlignment="1">
      <alignment horizontal="center" vertical="center"/>
    </xf>
    <xf numFmtId="0" fontId="1" fillId="20" borderId="28" xfId="94" applyFill="1" applyBorder="1" applyAlignment="1">
      <alignment horizontal="center" vertical="center"/>
    </xf>
    <xf numFmtId="0" fontId="1" fillId="20" borderId="27" xfId="94" applyFill="1" applyBorder="1" applyAlignment="1">
      <alignment horizontal="center" vertical="center"/>
    </xf>
    <xf numFmtId="0" fontId="4" fillId="21" borderId="45" xfId="66" applyFont="1" applyFill="1" applyBorder="1" applyAlignment="1">
      <alignment horizontal="center" vertical="center" wrapText="1"/>
    </xf>
    <xf numFmtId="0" fontId="4" fillId="21" borderId="43" xfId="66" applyFont="1" applyFill="1" applyBorder="1" applyAlignment="1">
      <alignment horizontal="center" vertical="center" wrapText="1"/>
    </xf>
    <xf numFmtId="0" fontId="4" fillId="21" borderId="44" xfId="66" applyFont="1" applyFill="1" applyBorder="1" applyAlignment="1">
      <alignment horizontal="center" vertical="center" wrapText="1"/>
    </xf>
  </cellXfs>
  <cellStyles count="98">
    <cellStyle name="_Multiple" xfId="5"/>
    <cellStyle name="Accent1 - 20%" xfId="6"/>
    <cellStyle name="Accent1 - 40%" xfId="7"/>
    <cellStyle name="Accent1 - 60%" xfId="8"/>
    <cellStyle name="Accent2 - 20%" xfId="9"/>
    <cellStyle name="Accent2 - 40%" xfId="10"/>
    <cellStyle name="Accent2 - 60%" xfId="11"/>
    <cellStyle name="Accent3 - 20%" xfId="12"/>
    <cellStyle name="Accent3 - 40%" xfId="13"/>
    <cellStyle name="Accent3 - 60%" xfId="14"/>
    <cellStyle name="Accent4 - 20%" xfId="15"/>
    <cellStyle name="Accent4 - 40%" xfId="16"/>
    <cellStyle name="Accent4 - 60%" xfId="17"/>
    <cellStyle name="Accent5 - 20%" xfId="18"/>
    <cellStyle name="Accent5 - 40%" xfId="19"/>
    <cellStyle name="Accent5 - 60%" xfId="20"/>
    <cellStyle name="Accent6 - 20%" xfId="21"/>
    <cellStyle name="Accent6 - 40%" xfId="22"/>
    <cellStyle name="Accent6 - 60%" xfId="23"/>
    <cellStyle name="calc" xfId="24"/>
    <cellStyle name="Comma" xfId="1" builtinId="3"/>
    <cellStyle name="Comma  - Style1" xfId="25"/>
    <cellStyle name="Comma  - Style2" xfId="26"/>
    <cellStyle name="Comma 10" xfId="27"/>
    <cellStyle name="Comma 11" xfId="28"/>
    <cellStyle name="Comma 12" xfId="29"/>
    <cellStyle name="Comma 13" xfId="30"/>
    <cellStyle name="Comma 14" xfId="31"/>
    <cellStyle name="Comma 15" xfId="95"/>
    <cellStyle name="Comma 2" xfId="32"/>
    <cellStyle name="Comma 2 2" xfId="33"/>
    <cellStyle name="Comma 2 3" xfId="34"/>
    <cellStyle name="Comma 3" xfId="35"/>
    <cellStyle name="Comma 3 2" xfId="36"/>
    <cellStyle name="Comma 4" xfId="37"/>
    <cellStyle name="Comma 4 2" xfId="38"/>
    <cellStyle name="Comma 5" xfId="39"/>
    <cellStyle name="Comma 6" xfId="40"/>
    <cellStyle name="Comma 7" xfId="41"/>
    <cellStyle name="Comma 8" xfId="42"/>
    <cellStyle name="Comma 9" xfId="43"/>
    <cellStyle name="Comma0" xfId="44"/>
    <cellStyle name="Curren - Style5" xfId="45"/>
    <cellStyle name="Curren - Style6" xfId="46"/>
    <cellStyle name="Curren - Style7" xfId="47"/>
    <cellStyle name="Curren - Style8" xfId="48"/>
    <cellStyle name="Currency 2" xfId="49"/>
    <cellStyle name="Currency 3" xfId="50"/>
    <cellStyle name="Currency 4" xfId="97"/>
    <cellStyle name="Currency0" xfId="51"/>
    <cellStyle name="Date" xfId="52"/>
    <cellStyle name="Emphasis 1" xfId="53"/>
    <cellStyle name="Emphasis 2" xfId="54"/>
    <cellStyle name="Emphasis 3" xfId="55"/>
    <cellStyle name="Euro" xfId="56"/>
    <cellStyle name="FeedData" xfId="57"/>
    <cellStyle name="Fixed" xfId="58"/>
    <cellStyle name="Header" xfId="59"/>
    <cellStyle name="Hyperlink 2" xfId="60"/>
    <cellStyle name="Hyperlink 2 2" xfId="61"/>
    <cellStyle name="Hyperlink 3" xfId="62"/>
    <cellStyle name="Hyperlink 4" xfId="63"/>
    <cellStyle name="Hyperlink 5" xfId="64"/>
    <cellStyle name="Hyperlink 6" xfId="65"/>
    <cellStyle name="Normal" xfId="0" builtinId="0"/>
    <cellStyle name="Normal 2" xfId="4"/>
    <cellStyle name="Normal 2 2" xfId="66"/>
    <cellStyle name="Normal 2 2 2" xfId="67"/>
    <cellStyle name="Normal 2 3" xfId="68"/>
    <cellStyle name="Normal 3" xfId="69"/>
    <cellStyle name="Normal 3 2" xfId="70"/>
    <cellStyle name="Normal 4" xfId="71"/>
    <cellStyle name="Normal 5" xfId="72"/>
    <cellStyle name="Normal 6" xfId="73"/>
    <cellStyle name="Normal 7" xfId="74"/>
    <cellStyle name="Normal 8" xfId="75"/>
    <cellStyle name="Normal 9" xfId="94"/>
    <cellStyle name="number" xfId="76"/>
    <cellStyle name="number 2" xfId="77"/>
    <cellStyle name="number(0)" xfId="78"/>
    <cellStyle name="number(2)" xfId="79"/>
    <cellStyle name="number_3 Stage_FCFF_Valuation_bb_v15" xfId="80"/>
    <cellStyle name="Outline Grey" xfId="81"/>
    <cellStyle name="Percent" xfId="2" builtinId="5"/>
    <cellStyle name="Percent 2" xfId="82"/>
    <cellStyle name="Percent 2 2" xfId="83"/>
    <cellStyle name="Percent 2 2 2" xfId="84"/>
    <cellStyle name="Percent 3" xfId="3"/>
    <cellStyle name="Percent 3 2" xfId="85"/>
    <cellStyle name="Percent 4" xfId="86"/>
    <cellStyle name="Percent 4 2" xfId="87"/>
    <cellStyle name="Percent 5" xfId="96"/>
    <cellStyle name="Percent(2)" xfId="88"/>
    <cellStyle name="RED" xfId="89"/>
    <cellStyle name="Sheet Title" xfId="90"/>
    <cellStyle name="Style 1" xfId="91"/>
    <cellStyle name="XX" xfId="92"/>
    <cellStyle name="표준 2" xfId="93"/>
  </cellStyles>
  <dxfs count="1">
    <dxf>
      <fill>
        <patternFill>
          <bgColor indexed="31"/>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422836752899197E-2"/>
          <c:y val="0.10892667453635121"/>
          <c:w val="0.87421944692239073"/>
          <c:h val="0.7866926494292017"/>
        </c:manualLayout>
      </c:layout>
      <c:barChart>
        <c:barDir val="col"/>
        <c:grouping val="clustered"/>
        <c:varyColors val="0"/>
        <c:ser>
          <c:idx val="0"/>
          <c:order val="0"/>
          <c:tx>
            <c:strRef>
              <c:f>MUTUAL_FUND_RANKING!$B$55</c:f>
              <c:strCache>
                <c:ptCount val="1"/>
                <c:pt idx="0">
                  <c:v>#VALUE!</c:v>
                </c:pt>
              </c:strCache>
            </c:strRef>
          </c:tx>
          <c:spPr>
            <a:solidFill>
              <a:srgbClr val="9999FF"/>
            </a:solidFill>
            <a:ln w="25400">
              <a:noFill/>
            </a:ln>
          </c:spPr>
          <c:invertIfNegative val="0"/>
          <c:cat>
            <c:numRef>
              <c:f>MUTUAL_FUND_RANKING!$C$67:$L$67</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MUTUAL_FUND_RANKING!$C$68:$L$68</c:f>
              <c:numCache>
                <c:formatCode>General</c:formatCode>
                <c:ptCount val="10"/>
                <c:pt idx="0">
                  <c:v>0</c:v>
                </c:pt>
                <c:pt idx="1">
                  <c:v>0</c:v>
                </c:pt>
                <c:pt idx="2">
                  <c:v>0</c:v>
                </c:pt>
                <c:pt idx="3">
                  <c:v>0</c:v>
                </c:pt>
                <c:pt idx="4">
                  <c:v>0</c:v>
                </c:pt>
                <c:pt idx="5">
                  <c:v>0</c:v>
                </c:pt>
                <c:pt idx="6">
                  <c:v>0</c:v>
                </c:pt>
                <c:pt idx="7">
                  <c:v>0</c:v>
                </c:pt>
                <c:pt idx="8">
                  <c:v>0</c:v>
                </c:pt>
                <c:pt idx="9">
                  <c:v>0</c:v>
                </c:pt>
              </c:numCache>
            </c:numRef>
          </c:val>
        </c:ser>
        <c:dLbls>
          <c:showLegendKey val="0"/>
          <c:showVal val="0"/>
          <c:showCatName val="0"/>
          <c:showSerName val="0"/>
          <c:showPercent val="0"/>
          <c:showBubbleSize val="0"/>
        </c:dLbls>
        <c:gapWidth val="0"/>
        <c:axId val="57996288"/>
        <c:axId val="169855808"/>
      </c:barChart>
      <c:catAx>
        <c:axId val="57996288"/>
        <c:scaling>
          <c:orientation val="minMax"/>
        </c:scaling>
        <c:delete val="1"/>
        <c:axPos val="b"/>
        <c:majorGridlines>
          <c:spPr>
            <a:ln w="3175">
              <a:solidFill>
                <a:srgbClr val="969696"/>
              </a:solidFill>
              <a:prstDash val="solid"/>
            </a:ln>
          </c:spPr>
        </c:majorGridlines>
        <c:numFmt formatCode="General" sourceLinked="1"/>
        <c:majorTickMark val="out"/>
        <c:minorTickMark val="none"/>
        <c:tickLblPos val="none"/>
        <c:crossAx val="169855808"/>
        <c:crosses val="autoZero"/>
        <c:auto val="1"/>
        <c:lblAlgn val="ctr"/>
        <c:lblOffset val="100"/>
        <c:noMultiLvlLbl val="0"/>
      </c:catAx>
      <c:valAx>
        <c:axId val="169855808"/>
        <c:scaling>
          <c:orientation val="minMax"/>
          <c:max val="10"/>
          <c:min val="0"/>
        </c:scaling>
        <c:delete val="1"/>
        <c:axPos val="l"/>
        <c:majorGridlines>
          <c:spPr>
            <a:ln w="3175">
              <a:solidFill>
                <a:srgbClr val="969696"/>
              </a:solidFill>
              <a:prstDash val="solid"/>
            </a:ln>
          </c:spPr>
        </c:majorGridlines>
        <c:numFmt formatCode="General" sourceLinked="1"/>
        <c:majorTickMark val="out"/>
        <c:minorTickMark val="none"/>
        <c:tickLblPos val="none"/>
        <c:crossAx val="57996288"/>
        <c:crosses val="autoZero"/>
        <c:crossBetween val="between"/>
        <c:majorUnit val="1"/>
      </c:valAx>
      <c:spPr>
        <a:noFill/>
        <a:ln w="25400">
          <a:noFill/>
        </a:ln>
      </c:spPr>
    </c:plotArea>
    <c:plotVisOnly val="1"/>
    <c:dispBlanksAs val="gap"/>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1" l="0.75000000000000089" r="0.75000000000000089" t="1" header="0.5" footer="0.5"/>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22860</xdr:colOff>
      <xdr:row>3</xdr:row>
      <xdr:rowOff>22860</xdr:rowOff>
    </xdr:from>
    <xdr:to>
      <xdr:col>1</xdr:col>
      <xdr:colOff>2209800</xdr:colOff>
      <xdr:row>6</xdr:row>
      <xdr:rowOff>327660</xdr:rowOff>
    </xdr:to>
    <xdr:graphicFrame macro="">
      <xdr:nvGraphicFramePr>
        <xdr:cNvPr id="2" name="Chart 9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0</xdr:colOff>
      <xdr:row>1</xdr:row>
      <xdr:rowOff>66674</xdr:rowOff>
    </xdr:from>
    <xdr:to>
      <xdr:col>7</xdr:col>
      <xdr:colOff>236222</xdr:colOff>
      <xdr:row>6</xdr:row>
      <xdr:rowOff>83819</xdr:rowOff>
    </xdr:to>
    <xdr:sp macro="[0]!PRINT_MF_DATABASE_FUNC" textlink="">
      <xdr:nvSpPr>
        <xdr:cNvPr id="2" name="AutoShape 2"/>
        <xdr:cNvSpPr>
          <a:spLocks noChangeArrowheads="1"/>
        </xdr:cNvSpPr>
      </xdr:nvSpPr>
      <xdr:spPr bwMode="auto">
        <a:xfrm>
          <a:off x="2651760" y="257174"/>
          <a:ext cx="2110742" cy="969645"/>
        </a:xfrm>
        <a:prstGeom prst="bevel">
          <a:avLst>
            <a:gd name="adj" fmla="val 12500"/>
          </a:avLst>
        </a:prstGeom>
        <a:ln>
          <a:headEnd/>
          <a:tailEnd/>
        </a:ln>
      </xdr:spPr>
      <xdr:style>
        <a:lnRef idx="0">
          <a:schemeClr val="accent2"/>
        </a:lnRef>
        <a:fillRef idx="3">
          <a:schemeClr val="accent2"/>
        </a:fillRef>
        <a:effectRef idx="3">
          <a:schemeClr val="accent2"/>
        </a:effectRef>
        <a:fontRef idx="minor">
          <a:schemeClr val="lt1"/>
        </a:fontRef>
      </xdr:style>
      <xdr:txBody>
        <a:bodyPr vertOverflow="clip" wrap="square" lIns="36576" tIns="27432" rIns="36576" bIns="27432" anchor="ctr" upright="1"/>
        <a:lstStyle/>
        <a:p>
          <a:pPr algn="ctr" rtl="0">
            <a:defRPr sz="1000"/>
          </a:pPr>
          <a:r>
            <a:rPr lang="en-US" sz="1400" b="1" i="0" strike="noStrike">
              <a:solidFill>
                <a:srgbClr val="FFFFFF"/>
              </a:solidFill>
              <a:latin typeface="Arial"/>
              <a:cs typeface="Arial"/>
            </a:rPr>
            <a:t>MFs</a:t>
          </a:r>
          <a:r>
            <a:rPr lang="en-US" sz="1400" b="1" i="0" strike="noStrike" baseline="0">
              <a:solidFill>
                <a:srgbClr val="FFFFFF"/>
              </a:solidFill>
              <a:latin typeface="Arial"/>
              <a:cs typeface="Arial"/>
            </a:rPr>
            <a:t> </a:t>
          </a:r>
          <a:r>
            <a:rPr lang="en-US" sz="1400" b="1" i="0" strike="noStrike">
              <a:solidFill>
                <a:srgbClr val="FFFFFF"/>
              </a:solidFill>
              <a:latin typeface="Arial"/>
              <a:cs typeface="Arial"/>
            </a:rPr>
            <a:t>DATABASE</a:t>
          </a:r>
        </a:p>
      </xdr:txBody>
    </xdr:sp>
    <xdr:clientData fPrintsWithSheet="0"/>
  </xdr:twoCellAnchor>
  <xdr:twoCellAnchor editAs="oneCell">
    <xdr:from>
      <xdr:col>7</xdr:col>
      <xdr:colOff>480060</xdr:colOff>
      <xdr:row>7</xdr:row>
      <xdr:rowOff>59054</xdr:rowOff>
    </xdr:from>
    <xdr:to>
      <xdr:col>11</xdr:col>
      <xdr:colOff>91442</xdr:colOff>
      <xdr:row>12</xdr:row>
      <xdr:rowOff>76199</xdr:rowOff>
    </xdr:to>
    <xdr:sp macro="[2]!WSHEETS_REMOVE_CURRENT_FUNC" textlink="">
      <xdr:nvSpPr>
        <xdr:cNvPr id="3" name="AutoShape 2"/>
        <xdr:cNvSpPr>
          <a:spLocks noChangeArrowheads="1"/>
        </xdr:cNvSpPr>
      </xdr:nvSpPr>
      <xdr:spPr bwMode="auto">
        <a:xfrm>
          <a:off x="5006340" y="1392554"/>
          <a:ext cx="2110742" cy="969645"/>
        </a:xfrm>
        <a:prstGeom prst="bevel">
          <a:avLst>
            <a:gd name="adj" fmla="val 12500"/>
          </a:avLst>
        </a:prstGeom>
        <a:solidFill>
          <a:schemeClr val="accent1"/>
        </a:solidFill>
        <a:ln>
          <a:headEnd/>
          <a:tailEnd/>
        </a:ln>
      </xdr:spPr>
      <xdr:style>
        <a:lnRef idx="0">
          <a:schemeClr val="accent2"/>
        </a:lnRef>
        <a:fillRef idx="3">
          <a:schemeClr val="accent2"/>
        </a:fillRef>
        <a:effectRef idx="3">
          <a:schemeClr val="accent2"/>
        </a:effectRef>
        <a:fontRef idx="minor">
          <a:schemeClr val="lt1"/>
        </a:fontRef>
      </xdr:style>
      <xdr:txBody>
        <a:bodyPr vertOverflow="clip" wrap="square" lIns="36576" tIns="27432" rIns="36576" bIns="27432" anchor="ctr" upright="1"/>
        <a:lstStyle/>
        <a:p>
          <a:pPr algn="ctr" rtl="0">
            <a:defRPr sz="1000"/>
          </a:pPr>
          <a:r>
            <a:rPr lang="en-US" sz="1400" b="1" i="0" strike="noStrike">
              <a:solidFill>
                <a:srgbClr val="FFFFFF"/>
              </a:solidFill>
              <a:latin typeface="Arial"/>
              <a:cs typeface="Arial"/>
            </a:rPr>
            <a:t>REMOVE</a:t>
          </a:r>
          <a:r>
            <a:rPr lang="en-US" sz="1400" b="1" i="0" strike="noStrike" baseline="0">
              <a:solidFill>
                <a:srgbClr val="FFFFFF"/>
              </a:solidFill>
              <a:latin typeface="Arial"/>
              <a:cs typeface="Arial"/>
            </a:rPr>
            <a:t> WSHEETS</a:t>
          </a:r>
          <a:endParaRPr lang="en-US" sz="1400" b="1" i="0" strike="noStrike">
            <a:solidFill>
              <a:srgbClr val="FFFFFF"/>
            </a:solidFill>
            <a:latin typeface="Arial"/>
            <a:cs typeface="Arial"/>
          </a:endParaRPr>
        </a:p>
      </xdr:txBody>
    </xdr:sp>
    <xdr:clientData fPrintsWithSheet="0"/>
  </xdr:twoCellAnchor>
  <xdr:twoCellAnchor editAs="oneCell">
    <xdr:from>
      <xdr:col>3</xdr:col>
      <xdr:colOff>228600</xdr:colOff>
      <xdr:row>7</xdr:row>
      <xdr:rowOff>51434</xdr:rowOff>
    </xdr:from>
    <xdr:to>
      <xdr:col>7</xdr:col>
      <xdr:colOff>213362</xdr:colOff>
      <xdr:row>12</xdr:row>
      <xdr:rowOff>68579</xdr:rowOff>
    </xdr:to>
    <xdr:sp macro="[0]!PRINT_MF_RANKING_SCORES_FUNC" textlink="">
      <xdr:nvSpPr>
        <xdr:cNvPr id="4" name="AutoShape 2"/>
        <xdr:cNvSpPr>
          <a:spLocks noChangeArrowheads="1"/>
        </xdr:cNvSpPr>
      </xdr:nvSpPr>
      <xdr:spPr bwMode="auto">
        <a:xfrm>
          <a:off x="2628900" y="1384934"/>
          <a:ext cx="2110742" cy="969645"/>
        </a:xfrm>
        <a:prstGeom prst="bevel">
          <a:avLst>
            <a:gd name="adj" fmla="val 12500"/>
          </a:avLst>
        </a:prstGeom>
        <a:ln>
          <a:headEnd/>
          <a:tailEnd/>
        </a:ln>
      </xdr:spPr>
      <xdr:style>
        <a:lnRef idx="0">
          <a:schemeClr val="accent3"/>
        </a:lnRef>
        <a:fillRef idx="3">
          <a:schemeClr val="accent3"/>
        </a:fillRef>
        <a:effectRef idx="3">
          <a:schemeClr val="accent3"/>
        </a:effectRef>
        <a:fontRef idx="minor">
          <a:schemeClr val="lt1"/>
        </a:fontRef>
      </xdr:style>
      <xdr:txBody>
        <a:bodyPr vertOverflow="clip" wrap="square" lIns="36576" tIns="27432" rIns="36576" bIns="27432" anchor="ctr" upright="1"/>
        <a:lstStyle/>
        <a:p>
          <a:pPr algn="ctr" rtl="0">
            <a:defRPr sz="1000"/>
          </a:pPr>
          <a:r>
            <a:rPr lang="en-US" sz="1400" b="1" i="0" strike="noStrike">
              <a:solidFill>
                <a:srgbClr val="FFFFFF"/>
              </a:solidFill>
              <a:latin typeface="Arial"/>
              <a:cs typeface="Arial"/>
            </a:rPr>
            <a:t>MFs RANKING</a:t>
          </a:r>
          <a:r>
            <a:rPr lang="en-US" sz="1400" b="1" i="0" strike="noStrike" baseline="0">
              <a:solidFill>
                <a:srgbClr val="FFFFFF"/>
              </a:solidFill>
              <a:latin typeface="Arial"/>
              <a:cs typeface="Arial"/>
            </a:rPr>
            <a:t> </a:t>
          </a:r>
          <a:r>
            <a:rPr lang="en-US" sz="1400" b="1" i="0" strike="noStrike">
              <a:solidFill>
                <a:srgbClr val="FFFFFF"/>
              </a:solidFill>
              <a:latin typeface="Arial"/>
              <a:cs typeface="Arial"/>
            </a:rPr>
            <a:t>SCORES</a:t>
          </a:r>
        </a:p>
      </xdr:txBody>
    </xdr:sp>
    <xdr:clientData fPrintsWithSheet="0"/>
  </xdr:twoCellAnchor>
  <xdr:twoCellAnchor editAs="oneCell">
    <xdr:from>
      <xdr:col>7</xdr:col>
      <xdr:colOff>487680</xdr:colOff>
      <xdr:row>1</xdr:row>
      <xdr:rowOff>66674</xdr:rowOff>
    </xdr:from>
    <xdr:to>
      <xdr:col>11</xdr:col>
      <xdr:colOff>99062</xdr:colOff>
      <xdr:row>6</xdr:row>
      <xdr:rowOff>83819</xdr:rowOff>
    </xdr:to>
    <xdr:sp macro="[0]!PRINT_MF_BETA_PERFORMANCE_FUNC" textlink="">
      <xdr:nvSpPr>
        <xdr:cNvPr id="5" name="AutoShape 2"/>
        <xdr:cNvSpPr>
          <a:spLocks noChangeArrowheads="1"/>
        </xdr:cNvSpPr>
      </xdr:nvSpPr>
      <xdr:spPr bwMode="auto">
        <a:xfrm>
          <a:off x="5013960" y="257174"/>
          <a:ext cx="2110742" cy="969645"/>
        </a:xfrm>
        <a:prstGeom prst="bevel">
          <a:avLst>
            <a:gd name="adj" fmla="val 12500"/>
          </a:avLst>
        </a:prstGeom>
        <a:ln>
          <a:headEnd/>
          <a:tailEnd/>
        </a:ln>
      </xdr:spPr>
      <xdr:style>
        <a:lnRef idx="0">
          <a:schemeClr val="accent6"/>
        </a:lnRef>
        <a:fillRef idx="3">
          <a:schemeClr val="accent6"/>
        </a:fillRef>
        <a:effectRef idx="3">
          <a:schemeClr val="accent6"/>
        </a:effectRef>
        <a:fontRef idx="minor">
          <a:schemeClr val="lt1"/>
        </a:fontRef>
      </xdr:style>
      <xdr:txBody>
        <a:bodyPr vertOverflow="clip" wrap="square" lIns="36576" tIns="27432" rIns="36576" bIns="27432" anchor="ctr" upright="1"/>
        <a:lstStyle/>
        <a:p>
          <a:pPr algn="ctr" rtl="0">
            <a:defRPr sz="1000"/>
          </a:pPr>
          <a:r>
            <a:rPr lang="en-US" sz="1400" b="1" i="0" strike="noStrike">
              <a:solidFill>
                <a:srgbClr val="FFFFFF"/>
              </a:solidFill>
              <a:latin typeface="Arial"/>
              <a:cs typeface="Arial"/>
            </a:rPr>
            <a:t>MFs</a:t>
          </a:r>
          <a:r>
            <a:rPr lang="en-US" sz="1400" b="1" i="0" strike="noStrike" baseline="0">
              <a:solidFill>
                <a:srgbClr val="FFFFFF"/>
              </a:solidFill>
              <a:latin typeface="Arial"/>
              <a:cs typeface="Arial"/>
            </a:rPr>
            <a:t> </a:t>
          </a:r>
          <a:r>
            <a:rPr lang="en-US" sz="1400" b="1" i="0" strike="noStrike">
              <a:solidFill>
                <a:srgbClr val="FFFFFF"/>
              </a:solidFill>
              <a:latin typeface="Arial"/>
              <a:cs typeface="Arial"/>
            </a:rPr>
            <a:t>BETA</a:t>
          </a:r>
          <a:r>
            <a:rPr lang="en-US" sz="1400" b="1" i="0" strike="noStrike" baseline="0">
              <a:solidFill>
                <a:srgbClr val="FFFFFF"/>
              </a:solidFill>
              <a:latin typeface="Arial"/>
              <a:cs typeface="Arial"/>
            </a:rPr>
            <a:t> </a:t>
          </a:r>
          <a:r>
            <a:rPr lang="en-US" sz="1400" b="1" i="0" strike="noStrike">
              <a:solidFill>
                <a:srgbClr val="FFFFFF"/>
              </a:solidFill>
              <a:latin typeface="Arial"/>
              <a:cs typeface="Arial"/>
            </a:rPr>
            <a:t>PERFORMANCE</a:t>
          </a:r>
        </a:p>
      </xdr:txBody>
    </xdr:sp>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DD-IN/BGCVI.xla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NICO/AppData/Roaming/Microsoft/AddIns/NF_BLACK_BOX.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MATRIX_YAHOO_QUOTES_FUNC"/>
      <definedName name="MUTUAL_FUND_RANKING_SCORE_FUNC"/>
      <definedName name="RETRIEVE_WEB_DATA_CELL_FUNC"/>
      <definedName name="RETRIEVE_WEB_DATA_ELEMENT_FUNC"/>
    </definedNames>
    <sheetDataSet>
      <sheetData sheetId="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NF_BLACK_BOX"/>
    </sheetNames>
    <definedNames>
      <definedName name="WSHEETS_REMOVE_CURRENT_FUNC"/>
    </definedNames>
    <sheetDataSet>
      <sheetData sheetId="0"/>
      <sheetData sheetId="1"/>
      <sheetData sheetId="2"/>
      <sheetData sheetId="3"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hyperlink" Target="http://quicktake.morningstar.com/FundNet/RatingsAndRisk.aspx?symbol=PRILX" TargetMode="External"/><Relationship Id="rId7" Type="http://schemas.openxmlformats.org/officeDocument/2006/relationships/printerSettings" Target="../printerSettings/printerSettings1.bin"/><Relationship Id="rId2" Type="http://schemas.openxmlformats.org/officeDocument/2006/relationships/hyperlink" Target="http://quicktake.morningstar.com/FundNet/RatingsAndRisk.aspx?symbol=PRILX" TargetMode="External"/><Relationship Id="rId1" Type="http://schemas.openxmlformats.org/officeDocument/2006/relationships/hyperlink" Target="http://quicktake.morningstar.com/FundNet/RatingsAndRisk.aspx?symbol=PRILX" TargetMode="External"/><Relationship Id="rId6" Type="http://schemas.openxmlformats.org/officeDocument/2006/relationships/hyperlink" Target="http://quicktake.morningstar.com/FundNet/RatingsAndRisk.aspx?symbol=PRILX" TargetMode="External"/><Relationship Id="rId5" Type="http://schemas.openxmlformats.org/officeDocument/2006/relationships/hyperlink" Target="http://quicktake.morningstar.com/FundNet/RatingsAndRisk.aspx?symbol=PRILX" TargetMode="External"/><Relationship Id="rId4" Type="http://schemas.openxmlformats.org/officeDocument/2006/relationships/hyperlink" Target="http://quicktake.morningstar.com/FundNet/RatingsAndRisk.aspx?symbol=PRILX"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rgb="FFFF0000"/>
  </sheetPr>
  <dimension ref="B2:K79"/>
  <sheetViews>
    <sheetView tabSelected="1" zoomScale="70" zoomScaleNormal="70" workbookViewId="0">
      <selection activeCell="C2" sqref="C2"/>
    </sheetView>
  </sheetViews>
  <sheetFormatPr defaultColWidth="15.625" defaultRowHeight="15" customHeight="1"/>
  <cols>
    <col min="1" max="1" width="3.625" style="1" customWidth="1"/>
    <col min="2" max="2" width="20.125" style="1" bestFit="1" customWidth="1"/>
    <col min="3" max="3" width="31.25" style="1" bestFit="1" customWidth="1"/>
    <col min="4" max="7" width="15.625" style="1"/>
    <col min="8" max="8" width="15.625" style="1" customWidth="1"/>
    <col min="9" max="9" width="15.75" style="1" customWidth="1"/>
    <col min="10" max="16384" width="15.625" style="1"/>
  </cols>
  <sheetData>
    <row r="2" spans="2:7" ht="15" customHeight="1">
      <c r="B2" s="62" t="s">
        <v>66</v>
      </c>
      <c r="C2" s="61" t="b">
        <v>0</v>
      </c>
      <c r="E2" s="282"/>
    </row>
    <row r="3" spans="2:7" ht="15" customHeight="1">
      <c r="B3" s="60" t="s">
        <v>65</v>
      </c>
      <c r="C3" s="240" t="s">
        <v>265</v>
      </c>
    </row>
    <row r="5" spans="2:7" ht="15" customHeight="1">
      <c r="B5" s="283" t="str">
        <f>IF($C$2=FALSE,"-",[1]!RETRIEVE_WEB_DATA_CELL_FUNC("http://finance.yahoo.com/q/pr?s="&amp;$C$3,1,"Fund Summary","&lt;table"))</f>
        <v>-</v>
      </c>
      <c r="C5" s="284"/>
      <c r="D5" s="284"/>
      <c r="E5" s="284"/>
      <c r="F5" s="284"/>
      <c r="G5" s="285"/>
    </row>
    <row r="6" spans="2:7" ht="15" customHeight="1">
      <c r="B6" s="286"/>
      <c r="C6" s="287"/>
      <c r="D6" s="287"/>
      <c r="E6" s="287"/>
      <c r="F6" s="287"/>
      <c r="G6" s="288"/>
    </row>
    <row r="7" spans="2:7" ht="15" customHeight="1">
      <c r="B7" s="286"/>
      <c r="C7" s="287"/>
      <c r="D7" s="287"/>
      <c r="E7" s="287"/>
      <c r="F7" s="287"/>
      <c r="G7" s="288"/>
    </row>
    <row r="8" spans="2:7" ht="15" customHeight="1">
      <c r="B8" s="286"/>
      <c r="C8" s="287"/>
      <c r="D8" s="287"/>
      <c r="E8" s="287"/>
      <c r="F8" s="287"/>
      <c r="G8" s="288"/>
    </row>
    <row r="9" spans="2:7" ht="15" customHeight="1">
      <c r="B9" s="286"/>
      <c r="C9" s="287"/>
      <c r="D9" s="287"/>
      <c r="E9" s="287"/>
      <c r="F9" s="287"/>
      <c r="G9" s="288"/>
    </row>
    <row r="10" spans="2:7" ht="15" customHeight="1">
      <c r="B10" s="286"/>
      <c r="C10" s="287"/>
      <c r="D10" s="287"/>
      <c r="E10" s="287"/>
      <c r="F10" s="287"/>
      <c r="G10" s="288"/>
    </row>
    <row r="11" spans="2:7" ht="15" customHeight="1">
      <c r="B11" s="289"/>
      <c r="C11" s="290"/>
      <c r="D11" s="290"/>
      <c r="E11" s="290"/>
      <c r="F11" s="290"/>
      <c r="G11" s="291"/>
    </row>
    <row r="13" spans="2:7" ht="15" customHeight="1">
      <c r="B13" s="59" t="s">
        <v>64</v>
      </c>
      <c r="C13" s="23" t="str">
        <f>IF($C$2=FALSE,"-",[1]!RETRIEVE_WEB_DATA_CELL_FUNC("http://finance.yahoo.com/etf/browser/mkt?cs=1&amp;ce=999",-9,"&gt;"&amp;$C$3&amp;"&lt;"))</f>
        <v>-</v>
      </c>
    </row>
    <row r="14" spans="2:7" ht="15" customHeight="1">
      <c r="B14" s="59" t="s">
        <v>24</v>
      </c>
      <c r="C14" s="23" t="str">
        <f>IF($C$2=FALSE,"-",[1]!RETRIEVE_WEB_DATA_CELL_FUNC("http://finance.yahoo.com/etf/browser/mkt?cs=1&amp;ce=999",1,"&gt;"&amp;$C$3&amp;"&lt;"))</f>
        <v>-</v>
      </c>
    </row>
    <row r="15" spans="2:7" ht="15" customHeight="1">
      <c r="B15" s="59" t="s">
        <v>63</v>
      </c>
      <c r="C15" s="23" t="str">
        <f>IF($C$2=FALSE,"-",[1]!RETRIEVE_WEB_DATA_CELL_FUNC("http://finance.yahoo.com/etf/browser/mkt?cs=1&amp;ce=999",2,"&gt;"&amp;$C$3&amp;"&lt;"))</f>
        <v>-</v>
      </c>
    </row>
    <row r="16" spans="2:7" ht="15" customHeight="1">
      <c r="B16" s="59" t="s">
        <v>62</v>
      </c>
      <c r="C16" s="23" t="str">
        <f>IF($C$2=FALSE,"-",[1]!RETRIEVE_WEB_DATA_CELL_FUNC("http://finance.yahoo.com/q/pr?s="&amp;$C$3,1,"Legal Type:"))</f>
        <v>-</v>
      </c>
    </row>
    <row r="17" spans="2:5" ht="15" customHeight="1">
      <c r="B17" s="59" t="s">
        <v>61</v>
      </c>
      <c r="C17" s="58" t="str">
        <f>IF($C$2=FALSE,"-",([1]!RETRIEVE_WEB_DATA_CELL_FUNC("http://finance.yahoo.com/q/pr?s="&amp;$C$3,1,"Inception Date")))</f>
        <v>-</v>
      </c>
      <c r="D17" s="57"/>
    </row>
    <row r="19" spans="2:5" ht="15" customHeight="1">
      <c r="D19" s="26" t="s">
        <v>32</v>
      </c>
      <c r="E19" s="26" t="s">
        <v>31</v>
      </c>
    </row>
    <row r="20" spans="2:5" ht="15" customHeight="1">
      <c r="B20" s="56" t="s">
        <v>33</v>
      </c>
      <c r="C20" s="23" t="s">
        <v>60</v>
      </c>
      <c r="D20" s="36" t="str">
        <f>IF($C$2=FALSE,"-",[1]!RETRIEVE_WEB_DATA_CELL_FUNC("http://finance.yahoo.com/etf/browser/mkt?cs=1&amp;ce=999",3,"&gt;"&amp;$C$3&amp;"&lt;"))</f>
        <v>-</v>
      </c>
      <c r="E20" s="280" t="s">
        <v>35</v>
      </c>
    </row>
    <row r="21" spans="2:5" ht="15" customHeight="1">
      <c r="B21" s="48"/>
      <c r="C21" s="23" t="s">
        <v>59</v>
      </c>
      <c r="D21" s="36" t="str">
        <f>IF($C$2=FALSE,"-",[1]!RETRIEVE_WEB_DATA_CELL_FUNC("http://finance.yahoo.com/etf/browser/mkt?cs=1&amp;ce=999",4,"&gt;"&amp;$C$3&amp;"&lt;"))</f>
        <v>-</v>
      </c>
      <c r="E21" s="36" t="str">
        <f>IF($C$2=FALSE,"-",[1]!RETRIEVE_WEB_DATA_CELL_FUNC("http://finance.yahoo.com/etf/browser/nav?cs=1&amp;ce=999",3,"&gt;"&amp;$C$3&amp;"&lt;"))</f>
        <v>-</v>
      </c>
    </row>
    <row r="22" spans="2:5" ht="15" customHeight="1">
      <c r="B22" s="48"/>
      <c r="C22" s="23" t="s">
        <v>58</v>
      </c>
      <c r="D22" s="36" t="str">
        <f>IF($C$2=FALSE,"-",[1]!RETRIEVE_WEB_DATA_CELL_FUNC("http://finance.yahoo.com/etf/browser/mkt?cs=1&amp;ce=999",5,"&gt;"&amp;$C$3&amp;"&lt;"))</f>
        <v>-</v>
      </c>
      <c r="E22" s="36" t="str">
        <f>IF($C$2=FALSE,"-",[1]!RETRIEVE_WEB_DATA_CELL_FUNC("http://finance.yahoo.com/etf/browser/nav?cs=1&amp;ce=999",4,"&gt;"&amp;$C$3&amp;"&lt;"))</f>
        <v>-</v>
      </c>
    </row>
    <row r="23" spans="2:5" ht="15" customHeight="1">
      <c r="B23" s="48"/>
      <c r="C23" s="23" t="s">
        <v>57</v>
      </c>
      <c r="D23" s="36" t="str">
        <f>IF($C$2=FALSE,"-",[1]!RETRIEVE_WEB_DATA_CELL_FUNC("http://finance.yahoo.com/etf/browser/mkt?cs=1&amp;ce=999",6,"&gt;"&amp;$C$3&amp;"&lt;"))</f>
        <v>-</v>
      </c>
      <c r="E23" s="36" t="str">
        <f>IF($C$2=FALSE,"-",[1]!RETRIEVE_WEB_DATA_CELL_FUNC("http://finance.yahoo.com/etf/browser/nav?cs=1&amp;ce=999",5,"&gt;"&amp;$C$3&amp;"&lt;"))</f>
        <v>-</v>
      </c>
    </row>
    <row r="24" spans="2:5" ht="15" customHeight="1" thickBot="1">
      <c r="B24" s="48"/>
      <c r="C24" s="47" t="s">
        <v>56</v>
      </c>
      <c r="D24" s="281" t="str">
        <f>IF($C$2=FALSE,"-",[1]!RETRIEVE_WEB_DATA_CELL_FUNC("http://finance.yahoo.com/etf/browser/mkt?cs=1&amp;ce=999",7,"&gt;"&amp;$C$3&amp;"&lt;"))</f>
        <v>-</v>
      </c>
      <c r="E24" s="36" t="str">
        <f>IF($C$2=FALSE,"-",[1]!RETRIEVE_WEB_DATA_CELL_FUNC("http://finance.yahoo.com/etf/browser/nav?cs=1&amp;ce=999",6,"&gt;"&amp;$C$3&amp;"&lt;"))</f>
        <v>-</v>
      </c>
    </row>
    <row r="25" spans="2:5" ht="15" customHeight="1">
      <c r="B25" s="46" t="s">
        <v>55</v>
      </c>
      <c r="C25" s="45" t="s">
        <v>54</v>
      </c>
      <c r="D25" s="55" t="str">
        <f>IF($C$2=FALSE,"-",[1]!RETRIEVE_WEB_DATA_CELL_FUNC("http://finance.yahoo.com/etf/browser/tv?cs=1&amp;ce=999",3,"&gt;"&amp;$C$3&amp;"&lt;"))</f>
        <v>-</v>
      </c>
      <c r="E25" s="38"/>
    </row>
    <row r="26" spans="2:5" ht="15" customHeight="1">
      <c r="B26" s="43"/>
      <c r="C26" s="23" t="s">
        <v>53</v>
      </c>
      <c r="D26" s="54" t="str">
        <f>IF($C$2=FALSE,"-",[1]!RETRIEVE_WEB_DATA_CELL_FUNC("http://finance.yahoo.com/etf/browser/tv?cs=1&amp;ce=999",4,"&gt;"&amp;$C$3&amp;"&lt;"))</f>
        <v>-</v>
      </c>
      <c r="E26" s="38"/>
    </row>
    <row r="27" spans="2:5" ht="15" customHeight="1">
      <c r="B27" s="43"/>
      <c r="C27" s="23" t="s">
        <v>52</v>
      </c>
      <c r="D27" s="53" t="str">
        <f>IF($C$2=FALSE,"-",[1]!RETRIEVE_WEB_DATA_CELL_FUNC("http://finance.yahoo.com/etf/browser/tv?cs=1&amp;ce=999",5,"&gt;"&amp;$C$3&amp;"&lt;"))</f>
        <v>-</v>
      </c>
      <c r="E27" s="38"/>
    </row>
    <row r="28" spans="2:5" ht="15" customHeight="1">
      <c r="B28" s="43"/>
      <c r="C28" s="23" t="s">
        <v>51</v>
      </c>
      <c r="D28" s="53" t="str">
        <f>IF($C$2=FALSE,"-",[1]!RETRIEVE_WEB_DATA_CELL_FUNC("http://finance.yahoo.com/etf/browser/tv?cs=1&amp;ce=999",6,"&gt;"&amp;$C$3&amp;"&lt;"))</f>
        <v>-</v>
      </c>
      <c r="E28" s="38"/>
    </row>
    <row r="29" spans="2:5" ht="15" customHeight="1" thickBot="1">
      <c r="B29" s="41"/>
      <c r="C29" s="40" t="s">
        <v>50</v>
      </c>
      <c r="D29" s="52" t="str">
        <f>IF($C$2=FALSE,"-",[1]!RETRIEVE_WEB_DATA_CELL_FUNC("http://finance.yahoo.com/etf/browser/tv?cs=1&amp;ce=999",7,"&gt;"&amp;$C$3&amp;"&lt;"))</f>
        <v>-</v>
      </c>
      <c r="E29" s="38"/>
    </row>
    <row r="30" spans="2:5" ht="15" customHeight="1">
      <c r="B30" s="48" t="s">
        <v>49</v>
      </c>
      <c r="C30" s="51" t="s">
        <v>48</v>
      </c>
      <c r="D30" s="50" t="str">
        <f>IF($C$2=FALSE,"-",[1]!RETRIEVE_WEB_DATA_CELL_FUNC("http://finance.yahoo.com/etf/browser/hl?cs=1&amp;ce=999",3,"&gt;"&amp;$C$3&amp;"&lt;"))</f>
        <v>-</v>
      </c>
      <c r="E30" s="38"/>
    </row>
    <row r="31" spans="2:5" ht="15" customHeight="1">
      <c r="B31" s="48"/>
      <c r="C31" s="23" t="s">
        <v>47</v>
      </c>
      <c r="D31" s="49" t="str">
        <f>IF($C$2=FALSE,"-",[1]!RETRIEVE_WEB_DATA_CELL_FUNC("http://finance.yahoo.com/etf/browser/hl?cs=1&amp;ce=999",4,"&gt;"&amp;$C$3&amp;"&lt;"))</f>
        <v>-</v>
      </c>
      <c r="E31" s="38"/>
    </row>
    <row r="32" spans="2:5" ht="15" customHeight="1">
      <c r="B32" s="48"/>
      <c r="C32" s="23" t="s">
        <v>46</v>
      </c>
      <c r="D32" s="49" t="str">
        <f>IF($C$2=FALSE,"-",[1]!RETRIEVE_WEB_DATA_CELL_FUNC("http://finance.yahoo.com/etf/browser/hl?cs=1&amp;ce=999",5,"&gt;"&amp;$C$3&amp;"&lt;"))</f>
        <v>-</v>
      </c>
      <c r="E32" s="38"/>
    </row>
    <row r="33" spans="2:7" ht="15" customHeight="1">
      <c r="B33" s="48"/>
      <c r="C33" s="23" t="s">
        <v>45</v>
      </c>
      <c r="D33" s="49" t="str">
        <f>IF($C$2=FALSE,"-",[1]!RETRIEVE_WEB_DATA_CELL_FUNC("http://finance.yahoo.com/etf/browser/hl?cs=1&amp;ce=999",6,"&gt;"&amp;$C$3&amp;"&lt;"))</f>
        <v>-</v>
      </c>
      <c r="E33" s="38"/>
    </row>
    <row r="34" spans="2:7" ht="15" customHeight="1">
      <c r="B34" s="48"/>
      <c r="C34" s="23" t="s">
        <v>44</v>
      </c>
      <c r="D34" s="49" t="str">
        <f>IF($C$2=FALSE,"-",[1]!RETRIEVE_WEB_DATA_CELL_FUNC("http://finance.yahoo.com/etf/browser/hl?cs=1&amp;ce=999",7,"&gt;"&amp;$C$3&amp;"&lt;"))</f>
        <v>-</v>
      </c>
      <c r="E34" s="38"/>
    </row>
    <row r="35" spans="2:7" ht="15" customHeight="1" thickBot="1">
      <c r="B35" s="48"/>
      <c r="C35" s="47" t="s">
        <v>43</v>
      </c>
      <c r="D35" s="281" t="str">
        <f>IF($C$2=FALSE,"-",[1]!RETRIEVE_WEB_DATA_CELL_FUNC("http://finance.yahoo.com/etf/browser/hl?cs=1&amp;ce=999",8,"&gt;"&amp;$C$3&amp;"&lt;"))</f>
        <v>-</v>
      </c>
      <c r="E35" s="38"/>
    </row>
    <row r="36" spans="2:7" ht="15" customHeight="1">
      <c r="B36" s="46" t="s">
        <v>26</v>
      </c>
      <c r="C36" s="45" t="s">
        <v>42</v>
      </c>
      <c r="D36" s="44" t="str">
        <f>IF($C$2=FALSE,"-",[1]!RETRIEVE_WEB_DATA_CELL_FUNC("http://finance.yahoo.com/etf/browser/rk?cs=1&amp;ce=999",3,"&gt;"&amp;$C$3&amp;"&lt;"))</f>
        <v>-</v>
      </c>
      <c r="E36" s="38"/>
    </row>
    <row r="37" spans="2:7" ht="15" customHeight="1">
      <c r="B37" s="43"/>
      <c r="C37" s="23" t="s">
        <v>41</v>
      </c>
      <c r="D37" s="42" t="str">
        <f>IF($C$2=FALSE,"-",[1]!RETRIEVE_WEB_DATA_CELL_FUNC("http://finance.yahoo.com/etf/browser/rk?cs=1&amp;ce=999",4,"&gt;"&amp;$C$3&amp;"&lt;"))</f>
        <v>-</v>
      </c>
      <c r="E37" s="38"/>
    </row>
    <row r="38" spans="2:7" ht="15" customHeight="1" thickBot="1">
      <c r="B38" s="41"/>
      <c r="C38" s="40" t="s">
        <v>40</v>
      </c>
      <c r="D38" s="39" t="str">
        <f>IF($C$2=FALSE,"-",[1]!RETRIEVE_WEB_DATA_CELL_FUNC("http://finance.yahoo.com/etf/browser/rk?cs=1&amp;ce=999",5,"&gt;"&amp;$C$3&amp;"&lt;"))</f>
        <v>-</v>
      </c>
      <c r="E38" s="38"/>
    </row>
    <row r="40" spans="2:7" ht="15" customHeight="1">
      <c r="D40" s="26" t="str">
        <f>IF($C$2=FALSE,"-",+$C$3)</f>
        <v>-</v>
      </c>
      <c r="E40" s="26" t="s">
        <v>24</v>
      </c>
    </row>
    <row r="41" spans="2:7" ht="15" customHeight="1">
      <c r="B41" s="37" t="s">
        <v>39</v>
      </c>
      <c r="C41" s="23" t="s">
        <v>38</v>
      </c>
      <c r="D41" s="36" t="str">
        <f>IF($C$2=FALSE,"-",[1]!RETRIEVE_WEB_DATA_CELL_FUNC("http://finance.yahoo.com/q/pr?s="&amp;$C$3,1,"Total Expense Ratio"))</f>
        <v>-</v>
      </c>
      <c r="E41" s="36" t="str">
        <f>IF($C$2=FALSE,"-",[1]!RETRIEVE_WEB_DATA_CELL_FUNC("http://finance.yahoo.com/q/pr?s="&amp;$C$3,2,"Total Expense Ratio"))</f>
        <v>-</v>
      </c>
    </row>
    <row r="42" spans="2:7" ht="15" customHeight="1">
      <c r="B42" s="34"/>
      <c r="C42" s="23" t="s">
        <v>37</v>
      </c>
      <c r="D42" s="36" t="str">
        <f>IF($C$2=FALSE,"-",[1]!RETRIEVE_WEB_DATA_CELL_FUNC("http://finance.yahoo.com/q/pr?s="&amp;$C$3,1,"Holdings Turnover"))</f>
        <v>-</v>
      </c>
      <c r="E42" s="35" t="str">
        <f>IF($C$2=FALSE,"-",[1]!RETRIEVE_WEB_DATA_CELL_FUNC("http://finance.yahoo.com/q/pr?s="&amp;$C$3,2,"Holdings Turnover"))</f>
        <v>-</v>
      </c>
    </row>
    <row r="43" spans="2:7" ht="15" customHeight="1">
      <c r="B43" s="34"/>
      <c r="C43" s="23" t="s">
        <v>36</v>
      </c>
      <c r="D43" s="33" t="str">
        <f>IF($C$2=FALSE,"-",[1]!RETRIEVE_WEB_DATA_CELL_FUNC("http://finance.yahoo.com/q/pr?s="&amp;$C$3,1,"Yield:"))</f>
        <v>-</v>
      </c>
      <c r="E43" s="32" t="s">
        <v>35</v>
      </c>
    </row>
    <row r="44" spans="2:7" ht="15" customHeight="1">
      <c r="B44" s="31"/>
      <c r="C44" s="23" t="s">
        <v>34</v>
      </c>
      <c r="D44" s="30" t="str">
        <f>IF($C$2=FALSE,"-",[1]!RETRIEVE_WEB_DATA_CELL_FUNC("http://finance.yahoo.com/q/pr?s="&amp;$C$3,1,"Total Net Assets"))</f>
        <v>-</v>
      </c>
      <c r="E44" s="30" t="str">
        <f>IF($C$2=FALSE,"-",[1]!RETRIEVE_WEB_DATA_CELL_FUNC("http://finance.yahoo.com/q/pr?s="&amp;$C$3,2,"Total Net Assets"))</f>
        <v>-</v>
      </c>
    </row>
    <row r="46" spans="2:7" ht="15" customHeight="1">
      <c r="B46" s="27" t="s">
        <v>33</v>
      </c>
      <c r="C46" s="26" t="s">
        <v>17</v>
      </c>
      <c r="D46" s="26" t="s">
        <v>32</v>
      </c>
      <c r="E46" s="26" t="s">
        <v>31</v>
      </c>
      <c r="F46" s="26" t="s">
        <v>24</v>
      </c>
      <c r="G46" s="26" t="s">
        <v>30</v>
      </c>
    </row>
    <row r="47" spans="2:7" ht="15" customHeight="1">
      <c r="B47" s="25"/>
      <c r="C47" s="23" t="s">
        <v>29</v>
      </c>
      <c r="D47" s="29" t="str">
        <f>IF($C$2=FALSE,"-",[1]!RETRIEVE_WEB_DATA_CELL_FUNC("http://finance.yahoo.com/q/pm?s="&amp;$C$3,1,"Year To Date&lt;"))</f>
        <v>-</v>
      </c>
      <c r="E47" s="29" t="str">
        <f>IF($C$2=FALSE,"-",[1]!RETRIEVE_WEB_DATA_CELL_FUNC("http://finance.yahoo.com/q/pm?s="&amp;$C$3,2,"Year To Date&lt;"))</f>
        <v>-</v>
      </c>
      <c r="F47" s="29" t="str">
        <f>IF($C$2=FALSE,"-",[1]!RETRIEVE_WEB_DATA_CELL_FUNC("http://finance.yahoo.com/q/pm?s="&amp;$C$3,3,"Year To Date&lt;"))</f>
        <v>-</v>
      </c>
      <c r="G47" s="29" t="str">
        <f>IF($C$2=FALSE,"-",[1]!RETRIEVE_WEB_DATA_CELL_FUNC("http://finance.yahoo.com/q/pm?s="&amp;$C$3,4,"Year To Date&lt;"))</f>
        <v>-</v>
      </c>
    </row>
    <row r="48" spans="2:7" ht="15" customHeight="1">
      <c r="B48" s="25"/>
      <c r="C48" s="23" t="s">
        <v>6</v>
      </c>
      <c r="D48" s="29" t="str">
        <f>IF($C$2=FALSE,"-",[1]!RETRIEVE_WEB_DATA_CELL_FUNC("http://finance.yahoo.com/q/pm?s="&amp;$C$3,1,"1-Month&lt;"))</f>
        <v>-</v>
      </c>
      <c r="E48" s="29" t="str">
        <f>IF($C$2=FALSE,"-",[1]!RETRIEVE_WEB_DATA_CELL_FUNC("http://finance.yahoo.com/q/pm?s="&amp;$C$3,2,"1-Month&lt;"))</f>
        <v>-</v>
      </c>
      <c r="F48" s="29" t="str">
        <f>IF($C$2=FALSE,"-",[1]!RETRIEVE_WEB_DATA_CELL_FUNC("http://finance.yahoo.com/q/pm?s="&amp;$C$3,3,"1-Month&lt;"))</f>
        <v>-</v>
      </c>
      <c r="G48" s="29" t="str">
        <f>IF($C$2=FALSE,"-",[1]!RETRIEVE_WEB_DATA_CELL_FUNC("http://finance.yahoo.com/q/pm?s="&amp;$C$3,4,"1-Month&lt;"))</f>
        <v>-</v>
      </c>
    </row>
    <row r="49" spans="2:11" ht="15" customHeight="1">
      <c r="B49" s="25"/>
      <c r="C49" s="23" t="s">
        <v>5</v>
      </c>
      <c r="D49" s="29" t="str">
        <f>IF($C$2=FALSE,"-",[1]!RETRIEVE_WEB_DATA_CELL_FUNC("http://finance.yahoo.com/q/pm?s="&amp;$C$3,1,"3-Month&lt;"))</f>
        <v>-</v>
      </c>
      <c r="E49" s="29" t="str">
        <f>IF($C$2=FALSE,"-",[1]!RETRIEVE_WEB_DATA_CELL_FUNC("http://finance.yahoo.com/q/pm?s="&amp;$C$3,2,"3-Month&lt;"))</f>
        <v>-</v>
      </c>
      <c r="F49" s="29" t="str">
        <f>IF($C$2=FALSE,"-",[1]!RETRIEVE_WEB_DATA_CELL_FUNC("http://finance.yahoo.com/q/pm?s="&amp;$C$3,3,"3-Month&lt;"))</f>
        <v>-</v>
      </c>
      <c r="G49" s="29" t="str">
        <f>IF($C$2=FALSE,"-",[1]!RETRIEVE_WEB_DATA_CELL_FUNC("http://finance.yahoo.com/q/pm?s="&amp;$C$3,4,"3-Month&lt;"))</f>
        <v>-</v>
      </c>
    </row>
    <row r="50" spans="2:11" ht="15" customHeight="1">
      <c r="B50" s="25"/>
      <c r="C50" s="23" t="s">
        <v>3</v>
      </c>
      <c r="D50" s="29" t="str">
        <f>IF($C$2=FALSE,"-",[1]!RETRIEVE_WEB_DATA_CELL_FUNC("http://finance.yahoo.com/q/pm?s="&amp;$C$3,1,"1-Year&lt;"))</f>
        <v>-</v>
      </c>
      <c r="E50" s="29" t="str">
        <f>IF($C$2=FALSE,"-",[1]!RETRIEVE_WEB_DATA_CELL_FUNC("http://finance.yahoo.com/q/pm?s="&amp;$C$3,2,"1-Year&lt;"))</f>
        <v>-</v>
      </c>
      <c r="F50" s="29" t="str">
        <f>IF($C$2=FALSE,"-",[1]!RETRIEVE_WEB_DATA_CELL_FUNC("http://finance.yahoo.com/q/pm?s="&amp;$C$3,3,"1-Year&lt;"))</f>
        <v>-</v>
      </c>
      <c r="G50" s="29" t="str">
        <f>IF($C$2=FALSE,"-",[1]!RETRIEVE_WEB_DATA_CELL_FUNC("http://finance.yahoo.com/q/pm?s="&amp;$C$3,4,"1-Year&lt;"))</f>
        <v>-</v>
      </c>
    </row>
    <row r="51" spans="2:11" ht="15" customHeight="1">
      <c r="B51" s="25"/>
      <c r="C51" s="23" t="s">
        <v>28</v>
      </c>
      <c r="D51" s="29" t="str">
        <f>IF($C$2=FALSE,"-",[1]!RETRIEVE_WEB_DATA_CELL_FUNC("http://finance.yahoo.com/q/pm?s="&amp;$C$3,1,"3-Year&lt;"))</f>
        <v>-</v>
      </c>
      <c r="E51" s="29" t="str">
        <f>IF($C$2=FALSE,"-",[1]!RETRIEVE_WEB_DATA_CELL_FUNC("http://finance.yahoo.com/q/pm?s="&amp;$C$3,2,"3-Year&lt;"))</f>
        <v>-</v>
      </c>
      <c r="F51" s="29" t="str">
        <f>IF($C$2=FALSE,"-",[1]!RETRIEVE_WEB_DATA_CELL_FUNC("http://finance.yahoo.com/q/pm?s="&amp;$C$3,3,"3-Year&lt;"))</f>
        <v>-</v>
      </c>
      <c r="G51" s="29" t="str">
        <f>IF($C$2=FALSE,"-",[1]!RETRIEVE_WEB_DATA_CELL_FUNC("http://finance.yahoo.com/q/pm?s="&amp;$C$3,4,"3-Year&lt;"))</f>
        <v>-</v>
      </c>
    </row>
    <row r="52" spans="2:11" ht="15" customHeight="1">
      <c r="B52" s="24"/>
      <c r="C52" s="23" t="s">
        <v>27</v>
      </c>
      <c r="D52" s="29" t="str">
        <f>IF($C$2=FALSE,"-",[1]!RETRIEVE_WEB_DATA_CELL_FUNC("http://finance.yahoo.com/q/pm?s="&amp;$C$3,1,"5-Year&lt;"))</f>
        <v>-</v>
      </c>
      <c r="E52" s="29" t="str">
        <f>IF($C$2=FALSE,"-",[1]!RETRIEVE_WEB_DATA_CELL_FUNC("http://finance.yahoo.com/q/pm?s="&amp;$C$3,2,"5-Year&lt;"))</f>
        <v>-</v>
      </c>
      <c r="F52" s="29" t="str">
        <f>IF($C$2=FALSE,"-",[1]!RETRIEVE_WEB_DATA_CELL_FUNC("http://finance.yahoo.com/q/pm?s="&amp;$C$3,3,"5-Year&lt;"))</f>
        <v>-</v>
      </c>
      <c r="G52" s="29" t="str">
        <f>IF($C$2=FALSE,"-",[1]!RETRIEVE_WEB_DATA_CELL_FUNC("http://finance.yahoo.com/q/pm?s="&amp;$C$3,4,"5-Year&lt;"))</f>
        <v>-</v>
      </c>
    </row>
    <row r="53" spans="2:11" ht="15" customHeight="1">
      <c r="G53" s="28"/>
    </row>
    <row r="54" spans="2:11" ht="15" customHeight="1">
      <c r="B54" s="27" t="s">
        <v>26</v>
      </c>
      <c r="C54" s="26" t="s">
        <v>25</v>
      </c>
      <c r="D54" s="26" t="str">
        <f>IF($C$2=FALSE,"-",+$C$3)</f>
        <v>-</v>
      </c>
      <c r="E54" s="26" t="s">
        <v>24</v>
      </c>
    </row>
    <row r="55" spans="2:11" ht="15" customHeight="1">
      <c r="B55" s="25"/>
      <c r="C55" s="23" t="s">
        <v>23</v>
      </c>
      <c r="D55" s="22" t="str">
        <f>IF($C$2=FALSE,"-",[1]!RETRIEVE_WEB_DATA_CELL_FUNC("http://finance.yahoo.com/q/rk?s="&amp;$C$3,1,"Alpha"))</f>
        <v>-</v>
      </c>
      <c r="E55" s="22" t="str">
        <f>IF($C$2=FALSE,"-",[1]!RETRIEVE_WEB_DATA_CELL_FUNC("http://finance.yahoo.com/q/rk?s="&amp;$C$3,2,"Alpha"))</f>
        <v>-</v>
      </c>
    </row>
    <row r="56" spans="2:11" ht="15" customHeight="1">
      <c r="B56" s="25"/>
      <c r="C56" s="23" t="s">
        <v>22</v>
      </c>
      <c r="D56" s="22" t="str">
        <f>IF($C$2=FALSE,"-",[1]!RETRIEVE_WEB_DATA_CELL_FUNC("http://finance.yahoo.com/q/rk?s="&amp;$C$3,1,"Beta"))</f>
        <v>-</v>
      </c>
      <c r="E56" s="22" t="str">
        <f>IF($C$2=FALSE,"-",[1]!RETRIEVE_WEB_DATA_CELL_FUNC("http://finance.yahoo.com/q/rk?s="&amp;$C$3,2,"Beta"))</f>
        <v>-</v>
      </c>
    </row>
    <row r="57" spans="2:11" ht="15" customHeight="1">
      <c r="B57" s="25"/>
      <c r="C57" s="23" t="s">
        <v>21</v>
      </c>
      <c r="D57" s="22" t="str">
        <f>IF($C$2=FALSE,"-",[1]!RETRIEVE_WEB_DATA_CELL_FUNC("http://finance.yahoo.com/q/rk?s="&amp;$C$3,1,"Mean Annual Return"))</f>
        <v>-</v>
      </c>
      <c r="E57" s="22" t="str">
        <f>IF($C$2=FALSE,"-",[1]!RETRIEVE_WEB_DATA_CELL_FUNC("http://finance.yahoo.com/q/rk?s="&amp;$C$3,2,"Mean Annual Return"))</f>
        <v>-</v>
      </c>
    </row>
    <row r="58" spans="2:11" ht="15" customHeight="1">
      <c r="B58" s="25"/>
      <c r="C58" s="23" t="s">
        <v>20</v>
      </c>
      <c r="D58" s="22" t="str">
        <f>IF($C$2=FALSE,"-",[1]!RETRIEVE_WEB_DATA_CELL_FUNC("http://finance.yahoo.com/q/rk?s="&amp;$C$3,1,"R-Squared"))</f>
        <v>-</v>
      </c>
      <c r="E58" s="22" t="str">
        <f>IF($C$2=FALSE,"-",[1]!RETRIEVE_WEB_DATA_CELL_FUNC("http://finance.yahoo.com/q/rk?s="&amp;$C$3,2,"R-Squared"))</f>
        <v>-</v>
      </c>
    </row>
    <row r="59" spans="2:11" ht="15" customHeight="1">
      <c r="B59" s="25"/>
      <c r="C59" s="23" t="s">
        <v>19</v>
      </c>
      <c r="D59" s="22" t="str">
        <f>IF($C$2=FALSE,"-",[1]!RETRIEVE_WEB_DATA_CELL_FUNC("http://finance.yahoo.com/q/rk?s="&amp;$C$3,1,"Standard Deviation"))</f>
        <v>-</v>
      </c>
      <c r="E59" s="22" t="str">
        <f>IF($C$2=FALSE,"-",[1]!RETRIEVE_WEB_DATA_CELL_FUNC("http://finance.yahoo.com/q/rk?s="&amp;$C$3,2,"Standard Deviation"))</f>
        <v>-</v>
      </c>
    </row>
    <row r="60" spans="2:11" ht="15" customHeight="1">
      <c r="B60" s="24"/>
      <c r="C60" s="23" t="s">
        <v>18</v>
      </c>
      <c r="D60" s="22" t="str">
        <f>IF($C$2=FALSE,"-",[1]!RETRIEVE_WEB_DATA_CELL_FUNC("http://finance.yahoo.com/q/rk?s="&amp;$C$3,1,"Sharpe Ratio"))</f>
        <v>-</v>
      </c>
      <c r="E60" s="22" t="str">
        <f>IF($C$2=FALSE,"-",[1]!RETRIEVE_WEB_DATA_CELL_FUNC("http://finance.yahoo.com/q/rk?s="&amp;$C$3,2,"Sharpe Ratio"))</f>
        <v>-</v>
      </c>
    </row>
    <row r="61" spans="2:11" ht="15" customHeight="1" thickBot="1"/>
    <row r="62" spans="2:11" ht="15" customHeight="1">
      <c r="B62" s="17"/>
      <c r="C62" s="21" t="s">
        <v>17</v>
      </c>
      <c r="D62" s="20" t="s">
        <v>16</v>
      </c>
      <c r="E62" s="19" t="s">
        <v>15</v>
      </c>
      <c r="F62" s="19" t="s">
        <v>14</v>
      </c>
      <c r="G62" s="18" t="s">
        <v>13</v>
      </c>
      <c r="H62" s="17" t="s">
        <v>12</v>
      </c>
      <c r="I62" s="16" t="s">
        <v>11</v>
      </c>
      <c r="J62" s="16" t="s">
        <v>10</v>
      </c>
      <c r="K62" s="15" t="s">
        <v>9</v>
      </c>
    </row>
    <row r="63" spans="2:11" ht="15" customHeight="1">
      <c r="B63" s="292" t="str">
        <f>IF($C$2=FALSE,"-","Historical Performance through "&amp;TEXT([1]!RETRIEVE_WEB_DATA_ELEMENT_FUNC($C$3,4814),"dd-mm-yyyy"))</f>
        <v>-</v>
      </c>
      <c r="C63" s="5" t="str">
        <f>IF($C$2=FALSE,"-",[1]!RETRIEVE_WEB_DATA_ELEMENT_FUNC($C$3,4816))</f>
        <v>-</v>
      </c>
      <c r="D63" s="274" t="str">
        <f>IF($C$2=FALSE,"-",[1]!RETRIEVE_WEB_DATA_ELEMENT_FUNC($C$3,4856))</f>
        <v>-</v>
      </c>
      <c r="E63" s="274" t="str">
        <f>IF($C$2=FALSE,"-",[1]!RETRIEVE_WEB_DATA_ELEMENT_FUNC($C$3,4864))</f>
        <v>-</v>
      </c>
      <c r="F63" s="274" t="str">
        <f>IF($C$2=FALSE,"-",[1]!RETRIEVE_WEB_DATA_ELEMENT_FUNC($C$3,4872))</f>
        <v>-</v>
      </c>
      <c r="G63" s="4" t="str">
        <f>IF($C$2=FALSE,"-",[1]!RETRIEVE_WEB_DATA_ELEMENT_FUNC($C$3,4880))</f>
        <v>-</v>
      </c>
      <c r="H63" s="273" t="str">
        <f>IF($C$2=FALSE,"-",[1]!RETRIEVE_WEB_DATA_ELEMENT_FUNC($C$3,4824))</f>
        <v>-</v>
      </c>
      <c r="I63" s="274" t="str">
        <f>IF($C$2=FALSE,"-",[1]!RETRIEVE_WEB_DATA_ELEMENT_FUNC($C$3,4832))</f>
        <v>-</v>
      </c>
      <c r="J63" s="274" t="str">
        <f>IF($C$2=FALSE,"-",[1]!RETRIEVE_WEB_DATA_ELEMENT_FUNC($C$3,4840))</f>
        <v>-</v>
      </c>
      <c r="K63" s="275" t="str">
        <f>IF($C$2=FALSE,"-",[1]!RETRIEVE_WEB_DATA_ELEMENT_FUNC($C$3,4848))</f>
        <v>-</v>
      </c>
    </row>
    <row r="64" spans="2:11" ht="15" customHeight="1">
      <c r="B64" s="292"/>
      <c r="C64" s="5" t="str">
        <f>IF($C$2=FALSE,"-",[1]!RETRIEVE_WEB_DATA_ELEMENT_FUNC($C$3,4817))</f>
        <v>-</v>
      </c>
      <c r="D64" s="274" t="str">
        <f>IF($C$2=FALSE,"-",[1]!RETRIEVE_WEB_DATA_ELEMENT_FUNC($C$3,4857))</f>
        <v>-</v>
      </c>
      <c r="E64" s="274" t="str">
        <f>IF($C$2=FALSE,"-",[1]!RETRIEVE_WEB_DATA_ELEMENT_FUNC($C$3,4865))</f>
        <v>-</v>
      </c>
      <c r="F64" s="274" t="str">
        <f>IF($C$2=FALSE,"-",[1]!RETRIEVE_WEB_DATA_ELEMENT_FUNC($C$3,4873))</f>
        <v>-</v>
      </c>
      <c r="G64" s="4" t="str">
        <f>IF($C$2=FALSE,"-",[1]!RETRIEVE_WEB_DATA_ELEMENT_FUNC($C$3,4881))</f>
        <v>-</v>
      </c>
      <c r="H64" s="273" t="str">
        <f>IF($C$2=FALSE,"-",[1]!RETRIEVE_WEB_DATA_ELEMENT_FUNC($C$3,4825))</f>
        <v>-</v>
      </c>
      <c r="I64" s="274" t="str">
        <f>IF($C$2=FALSE,"-",[1]!RETRIEVE_WEB_DATA_ELEMENT_FUNC($C$3,4833))</f>
        <v>-</v>
      </c>
      <c r="J64" s="274" t="str">
        <f>IF($C$2=FALSE,"-",[1]!RETRIEVE_WEB_DATA_ELEMENT_FUNC($C$3,4841))</f>
        <v>-</v>
      </c>
      <c r="K64" s="275" t="str">
        <f>IF($C$2=FALSE,"-",[1]!RETRIEVE_WEB_DATA_ELEMENT_FUNC($C$3,4849))</f>
        <v>-</v>
      </c>
    </row>
    <row r="65" spans="2:11" ht="15" customHeight="1">
      <c r="B65" s="292"/>
      <c r="C65" s="5" t="str">
        <f>IF($C$2=FALSE,"-",[1]!RETRIEVE_WEB_DATA_ELEMENT_FUNC($C$3,4818))</f>
        <v>-</v>
      </c>
      <c r="D65" s="274" t="str">
        <f>IF($C$2=FALSE,"-",[1]!RETRIEVE_WEB_DATA_ELEMENT_FUNC($C$3,4858))</f>
        <v>-</v>
      </c>
      <c r="E65" s="274" t="str">
        <f>IF($C$2=FALSE,"-",[1]!RETRIEVE_WEB_DATA_ELEMENT_FUNC($C$3,4866))</f>
        <v>-</v>
      </c>
      <c r="F65" s="274" t="str">
        <f>IF($C$2=FALSE,"-",[1]!RETRIEVE_WEB_DATA_ELEMENT_FUNC($C$3,4874))</f>
        <v>-</v>
      </c>
      <c r="G65" s="4" t="str">
        <f>IF($C$2=FALSE,"-",[1]!RETRIEVE_WEB_DATA_ELEMENT_FUNC($C$3,4882))</f>
        <v>-</v>
      </c>
      <c r="H65" s="273" t="str">
        <f>IF($C$2=FALSE,"-",[1]!RETRIEVE_WEB_DATA_ELEMENT_FUNC($C$3,4826))</f>
        <v>-</v>
      </c>
      <c r="I65" s="274" t="str">
        <f>IF($C$2=FALSE,"-",[1]!RETRIEVE_WEB_DATA_ELEMENT_FUNC($C$3,4834))</f>
        <v>-</v>
      </c>
      <c r="J65" s="274" t="str">
        <f>IF($C$2=FALSE,"-",[1]!RETRIEVE_WEB_DATA_ELEMENT_FUNC($C$3,4842))</f>
        <v>-</v>
      </c>
      <c r="K65" s="275" t="str">
        <f>IF($C$2=FALSE,"-",[1]!RETRIEVE_WEB_DATA_ELEMENT_FUNC($C$3,4850))</f>
        <v>-</v>
      </c>
    </row>
    <row r="66" spans="2:11" ht="15" customHeight="1">
      <c r="B66" s="292"/>
      <c r="C66" s="5" t="str">
        <f>IF($C$2=FALSE,"-",[1]!RETRIEVE_WEB_DATA_ELEMENT_FUNC($C$3,4819))</f>
        <v>-</v>
      </c>
      <c r="D66" s="274" t="str">
        <f>IF($C$2=FALSE,"-",[1]!RETRIEVE_WEB_DATA_ELEMENT_FUNC($C$3,4859))</f>
        <v>-</v>
      </c>
      <c r="E66" s="274" t="str">
        <f>IF($C$2=FALSE,"-",[1]!RETRIEVE_WEB_DATA_ELEMENT_FUNC($C$3,4867))</f>
        <v>-</v>
      </c>
      <c r="F66" s="274" t="str">
        <f>IF($C$2=FALSE,"-",[1]!RETRIEVE_WEB_DATA_ELEMENT_FUNC($C$3,4875))</f>
        <v>-</v>
      </c>
      <c r="G66" s="4" t="str">
        <f>IF($C$2=FALSE,"-",[1]!RETRIEVE_WEB_DATA_ELEMENT_FUNC($C$3,4883))</f>
        <v>-</v>
      </c>
      <c r="H66" s="273" t="str">
        <f>IF($C$2=FALSE,"-",[1]!RETRIEVE_WEB_DATA_ELEMENT_FUNC($C$3,4827))</f>
        <v>-</v>
      </c>
      <c r="I66" s="274" t="str">
        <f>IF($C$2=FALSE,"-",[1]!RETRIEVE_WEB_DATA_ELEMENT_FUNC($C$3,4835))</f>
        <v>-</v>
      </c>
      <c r="J66" s="274" t="str">
        <f>IF($C$2=FALSE,"-",[1]!RETRIEVE_WEB_DATA_ELEMENT_FUNC($C$3,4843))</f>
        <v>-</v>
      </c>
      <c r="K66" s="275" t="str">
        <f>IF($C$2=FALSE,"-",[1]!RETRIEVE_WEB_DATA_ELEMENT_FUNC($C$3,4851))</f>
        <v>-</v>
      </c>
    </row>
    <row r="67" spans="2:11" ht="15" customHeight="1">
      <c r="B67" s="292"/>
      <c r="C67" s="5" t="str">
        <f>IF($C$2=FALSE,"-",[1]!RETRIEVE_WEB_DATA_ELEMENT_FUNC($C$3,4820))</f>
        <v>-</v>
      </c>
      <c r="D67" s="274" t="str">
        <f>IF($C$2=FALSE,"-",[1]!RETRIEVE_WEB_DATA_ELEMENT_FUNC($C$3,4860))</f>
        <v>-</v>
      </c>
      <c r="E67" s="274" t="str">
        <f>IF($C$2=FALSE,"-",[1]!RETRIEVE_WEB_DATA_ELEMENT_FUNC($C$3,4868))</f>
        <v>-</v>
      </c>
      <c r="F67" s="274" t="str">
        <f>IF($C$2=FALSE,"-",[1]!RETRIEVE_WEB_DATA_ELEMENT_FUNC($C$3,4876))</f>
        <v>-</v>
      </c>
      <c r="G67" s="4" t="str">
        <f>IF($C$2=FALSE,"-",[1]!RETRIEVE_WEB_DATA_ELEMENT_FUNC($C$3,4884))</f>
        <v>-</v>
      </c>
      <c r="H67" s="273" t="str">
        <f>IF($C$2=FALSE,"-",[1]!RETRIEVE_WEB_DATA_ELEMENT_FUNC($C$3,4828))</f>
        <v>-</v>
      </c>
      <c r="I67" s="274" t="str">
        <f>IF($C$2=FALSE,"-",[1]!RETRIEVE_WEB_DATA_ELEMENT_FUNC($C$3,4836))</f>
        <v>-</v>
      </c>
      <c r="J67" s="274" t="str">
        <f>IF($C$2=FALSE,"-",[1]!RETRIEVE_WEB_DATA_ELEMENT_FUNC($C$3,4844))</f>
        <v>-</v>
      </c>
      <c r="K67" s="275" t="str">
        <f>IF($C$2=FALSE,"-",[1]!RETRIEVE_WEB_DATA_ELEMENT_FUNC($C$3,4852))</f>
        <v>-</v>
      </c>
    </row>
    <row r="68" spans="2:11" ht="15" customHeight="1">
      <c r="B68" s="292"/>
      <c r="C68" s="5" t="str">
        <f>IF($C$2=FALSE,"-",[1]!RETRIEVE_WEB_DATA_ELEMENT_FUNC($C$3,4821))</f>
        <v>-</v>
      </c>
      <c r="D68" s="274" t="str">
        <f>IF($C$2=FALSE,"-",[1]!RETRIEVE_WEB_DATA_ELEMENT_FUNC($C$3,4861))</f>
        <v>-</v>
      </c>
      <c r="E68" s="274" t="str">
        <f>IF($C$2=FALSE,"-",[1]!RETRIEVE_WEB_DATA_ELEMENT_FUNC($C$3,4869))</f>
        <v>-</v>
      </c>
      <c r="F68" s="274" t="str">
        <f>IF($C$2=FALSE,"-",[1]!RETRIEVE_WEB_DATA_ELEMENT_FUNC($C$3,4877))</f>
        <v>-</v>
      </c>
      <c r="G68" s="4" t="str">
        <f>IF($C$2=FALSE,"-",[1]!RETRIEVE_WEB_DATA_ELEMENT_FUNC($C$3,4885))</f>
        <v>-</v>
      </c>
      <c r="H68" s="273" t="str">
        <f>IF($C$2=FALSE,"-",[1]!RETRIEVE_WEB_DATA_ELEMENT_FUNC($C$3,4829))</f>
        <v>-</v>
      </c>
      <c r="I68" s="274" t="str">
        <f>IF($C$2=FALSE,"-",[1]!RETRIEVE_WEB_DATA_ELEMENT_FUNC($C$3,4837))</f>
        <v>-</v>
      </c>
      <c r="J68" s="274" t="str">
        <f>IF($C$2=FALSE,"-",[1]!RETRIEVE_WEB_DATA_ELEMENT_FUNC($C$3,4845))</f>
        <v>-</v>
      </c>
      <c r="K68" s="275" t="str">
        <f>IF($C$2=FALSE,"-",[1]!RETRIEVE_WEB_DATA_ELEMENT_FUNC($C$3,4853))</f>
        <v>-</v>
      </c>
    </row>
    <row r="69" spans="2:11" ht="15" customHeight="1" thickBot="1">
      <c r="B69" s="292"/>
      <c r="C69" s="5" t="str">
        <f>IF($C$2=FALSE,"-",[1]!RETRIEVE_WEB_DATA_ELEMENT_FUNC($C$3,4822))</f>
        <v>-</v>
      </c>
      <c r="D69" s="274" t="str">
        <f>IF($C$2=FALSE,"-",[1]!RETRIEVE_WEB_DATA_ELEMENT_FUNC($C$3,4862))</f>
        <v>-</v>
      </c>
      <c r="E69" s="274" t="str">
        <f>IF($C$2=FALSE,"-",[1]!RETRIEVE_WEB_DATA_ELEMENT_FUNC($C$3,4870))</f>
        <v>-</v>
      </c>
      <c r="F69" s="274" t="str">
        <f>IF($C$2=FALSE,"-",[1]!RETRIEVE_WEB_DATA_ELEMENT_FUNC($C$3,4878))</f>
        <v>-</v>
      </c>
      <c r="G69" s="4" t="str">
        <f>IF($C$2=FALSE,"-",[1]!RETRIEVE_WEB_DATA_ELEMENT_FUNC($C$3,4886))</f>
        <v>-</v>
      </c>
      <c r="H69" s="276" t="str">
        <f>IF($C$2=FALSE,"-",[1]!RETRIEVE_WEB_DATA_ELEMENT_FUNC($C$3,4830))</f>
        <v>-</v>
      </c>
      <c r="I69" s="277" t="str">
        <f>IF($C$2=FALSE,"-",[1]!RETRIEVE_WEB_DATA_ELEMENT_FUNC($C$3,4838))</f>
        <v>-</v>
      </c>
      <c r="J69" s="277" t="str">
        <f>IF($C$2=FALSE,"-",[1]!RETRIEVE_WEB_DATA_ELEMENT_FUNC($C$3,4846))</f>
        <v>-</v>
      </c>
      <c r="K69" s="278" t="str">
        <f>IF($C$2=FALSE,"-",[1]!RETRIEVE_WEB_DATA_ELEMENT_FUNC($C$3,4854))</f>
        <v>-</v>
      </c>
    </row>
    <row r="70" spans="2:11" ht="15" customHeight="1" thickBot="1">
      <c r="B70" s="293"/>
      <c r="C70" s="3" t="str">
        <f>IF($C$2=FALSE,"-",[1]!RETRIEVE_WEB_DATA_ELEMENT_FUNC($C$3,4823))</f>
        <v>-</v>
      </c>
      <c r="D70" s="277" t="str">
        <f>IF($C$2=FALSE,"-",[1]!RETRIEVE_WEB_DATA_ELEMENT_FUNC($C$3,4863))</f>
        <v>-</v>
      </c>
      <c r="E70" s="277" t="str">
        <f>IF($C$2=FALSE,"-",[1]!RETRIEVE_WEB_DATA_ELEMENT_FUNC($C$3,4871))</f>
        <v>-</v>
      </c>
      <c r="F70" s="277" t="str">
        <f>IF($C$2=FALSE,"-",[1]!RETRIEVE_WEB_DATA_ELEMENT_FUNC($C$3,4879))</f>
        <v>-</v>
      </c>
      <c r="G70" s="2" t="str">
        <f>IF($C$2=FALSE,"-",[1]!RETRIEVE_WEB_DATA_ELEMENT_FUNC($C$3,4887))</f>
        <v>-</v>
      </c>
    </row>
    <row r="71" spans="2:11" ht="15" customHeight="1">
      <c r="B71" s="294" t="str">
        <f>IF($C$2=FALSE,"-","Trailing Total Returns "&amp;TEXT([1]!RETRIEVE_WEB_DATA_ELEMENT_FUNC($C$3,4815),"dd-mm-yyyy"))</f>
        <v>-</v>
      </c>
      <c r="C71" s="14" t="s">
        <v>8</v>
      </c>
      <c r="D71" s="279" t="str">
        <f>IF($C$2=FALSE,"-",[1]!RETRIEVE_WEB_DATA_ELEMENT_FUNC($C$3,4888))</f>
        <v>-</v>
      </c>
      <c r="E71" s="279" t="str">
        <f>IF($C$2=FALSE,"-",[1]!RETRIEVE_WEB_DATA_ELEMENT_FUNC($C$3,4897))</f>
        <v>-</v>
      </c>
      <c r="F71" s="279" t="str">
        <f>IF($C$2=FALSE,"-",[1]!RETRIEVE_WEB_DATA_ELEMENT_FUNC($C$3,4906))</f>
        <v>-</v>
      </c>
      <c r="G71" s="13" t="str">
        <f>IF($C$2=FALSE,"-",[1]!RETRIEVE_WEB_DATA_ELEMENT_FUNC($C$3,4915))</f>
        <v>-</v>
      </c>
      <c r="H71" s="12" t="str">
        <f>IF($C$2=FALSE,"-",[1]!RETRIEVE_WEB_DATA_ELEMENT_FUNC($C$3,4811))</f>
        <v>-</v>
      </c>
      <c r="I71" s="11"/>
    </row>
    <row r="72" spans="2:11" ht="15" customHeight="1">
      <c r="B72" s="292"/>
      <c r="C72" s="5" t="s">
        <v>7</v>
      </c>
      <c r="D72" s="274" t="str">
        <f>IF($C$2=FALSE,"-",[1]!RETRIEVE_WEB_DATA_ELEMENT_FUNC($C$3,4889))</f>
        <v>-</v>
      </c>
      <c r="E72" s="274" t="str">
        <f>IF($C$2=FALSE,"-",[1]!RETRIEVE_WEB_DATA_ELEMENT_FUNC($C$3,4898))</f>
        <v>-</v>
      </c>
      <c r="F72" s="274" t="str">
        <f>IF($C$2=FALSE,"-",[1]!RETRIEVE_WEB_DATA_ELEMENT_FUNC($C$3,4907))</f>
        <v>-</v>
      </c>
      <c r="G72" s="8" t="str">
        <f>IF($C$2=FALSE,"-",[1]!RETRIEVE_WEB_DATA_ELEMENT_FUNC($C$3,4916))</f>
        <v>-</v>
      </c>
      <c r="H72" s="10" t="str">
        <f>IF($C$2=FALSE,"-",[1]!RETRIEVE_WEB_DATA_ELEMENT_FUNC($C$3,4812))</f>
        <v>-</v>
      </c>
      <c r="I72" s="9"/>
    </row>
    <row r="73" spans="2:11" ht="15" customHeight="1" thickBot="1">
      <c r="B73" s="292"/>
      <c r="C73" s="5" t="s">
        <v>6</v>
      </c>
      <c r="D73" s="274" t="str">
        <f>IF($C$2=FALSE,"-",[1]!RETRIEVE_WEB_DATA_ELEMENT_FUNC($C$3,4890))</f>
        <v>-</v>
      </c>
      <c r="E73" s="274" t="str">
        <f>IF($C$2=FALSE,"-",[1]!RETRIEVE_WEB_DATA_ELEMENT_FUNC($C$3,4899))</f>
        <v>-</v>
      </c>
      <c r="F73" s="274" t="str">
        <f>IF($C$2=FALSE,"-",[1]!RETRIEVE_WEB_DATA_ELEMENT_FUNC($C$3,4908))</f>
        <v>-</v>
      </c>
      <c r="G73" s="8" t="str">
        <f>IF($C$2=FALSE,"-",[1]!RETRIEVE_WEB_DATA_ELEMENT_FUNC($C$3,4917))</f>
        <v>-</v>
      </c>
      <c r="H73" s="7" t="str">
        <f>IF($C$2=FALSE,"-",[1]!RETRIEVE_WEB_DATA_ELEMENT_FUNC($C$3,4813))</f>
        <v>-</v>
      </c>
      <c r="I73" s="6"/>
    </row>
    <row r="74" spans="2:11" ht="15" customHeight="1">
      <c r="B74" s="292"/>
      <c r="C74" s="5" t="s">
        <v>5</v>
      </c>
      <c r="D74" s="274" t="str">
        <f>IF($C$2=FALSE,"-",[1]!RETRIEVE_WEB_DATA_ELEMENT_FUNC($C$3,4891))</f>
        <v>-</v>
      </c>
      <c r="E74" s="274" t="str">
        <f>IF($C$2=FALSE,"-",[1]!RETRIEVE_WEB_DATA_ELEMENT_FUNC($C$3,4900))</f>
        <v>-</v>
      </c>
      <c r="F74" s="274" t="str">
        <f>IF($C$2=FALSE,"-",[1]!RETRIEVE_WEB_DATA_ELEMENT_FUNC($C$3,4909))</f>
        <v>-</v>
      </c>
      <c r="G74" s="4" t="str">
        <f>IF($C$2=FALSE,"-",[1]!RETRIEVE_WEB_DATA_ELEMENT_FUNC($C$3,4918))</f>
        <v>-</v>
      </c>
    </row>
    <row r="75" spans="2:11" ht="15" customHeight="1">
      <c r="B75" s="292"/>
      <c r="C75" s="5" t="s">
        <v>4</v>
      </c>
      <c r="D75" s="274" t="str">
        <f>IF($C$2=FALSE,"-",[1]!RETRIEVE_WEB_DATA_ELEMENT_FUNC($C$3,4892))</f>
        <v>-</v>
      </c>
      <c r="E75" s="274" t="str">
        <f>IF($C$2=FALSE,"-",[1]!RETRIEVE_WEB_DATA_ELEMENT_FUNC($C$3,4901))</f>
        <v>-</v>
      </c>
      <c r="F75" s="274" t="str">
        <f>IF($C$2=FALSE,"-",[1]!RETRIEVE_WEB_DATA_ELEMENT_FUNC($C$3,4910))</f>
        <v>-</v>
      </c>
      <c r="G75" s="4" t="str">
        <f>IF($C$2=FALSE,"-",[1]!RETRIEVE_WEB_DATA_ELEMENT_FUNC($C$3,4919))</f>
        <v>-</v>
      </c>
    </row>
    <row r="76" spans="2:11" ht="15" customHeight="1">
      <c r="B76" s="292"/>
      <c r="C76" s="5" t="s">
        <v>3</v>
      </c>
      <c r="D76" s="274" t="str">
        <f>IF($C$2=FALSE,"-",[1]!RETRIEVE_WEB_DATA_ELEMENT_FUNC($C$3,4893))</f>
        <v>-</v>
      </c>
      <c r="E76" s="274" t="str">
        <f>IF($C$2=FALSE,"-",[1]!RETRIEVE_WEB_DATA_ELEMENT_FUNC($C$3,4902))</f>
        <v>-</v>
      </c>
      <c r="F76" s="274" t="str">
        <f>IF($C$2=FALSE,"-",[1]!RETRIEVE_WEB_DATA_ELEMENT_FUNC($C$3,4911))</f>
        <v>-</v>
      </c>
      <c r="G76" s="4" t="str">
        <f>IF($C$2=FALSE,"-",[1]!RETRIEVE_WEB_DATA_ELEMENT_FUNC($C$3,4920))</f>
        <v>-</v>
      </c>
    </row>
    <row r="77" spans="2:11" ht="15" customHeight="1">
      <c r="B77" s="292"/>
      <c r="C77" s="5" t="s">
        <v>2</v>
      </c>
      <c r="D77" s="274" t="str">
        <f>IF($C$2=FALSE,"-",[1]!RETRIEVE_WEB_DATA_ELEMENT_FUNC($C$3,4894))</f>
        <v>-</v>
      </c>
      <c r="E77" s="274" t="str">
        <f>IF($C$2=FALSE,"-",[1]!RETRIEVE_WEB_DATA_ELEMENT_FUNC($C$3,4903))</f>
        <v>-</v>
      </c>
      <c r="F77" s="274" t="str">
        <f>IF($C$2=FALSE,"-",[1]!RETRIEVE_WEB_DATA_ELEMENT_FUNC($C$3,4912))</f>
        <v>-</v>
      </c>
      <c r="G77" s="4" t="str">
        <f>IF($C$2=FALSE,"-",[1]!RETRIEVE_WEB_DATA_ELEMENT_FUNC($C$3,4921))</f>
        <v>-</v>
      </c>
    </row>
    <row r="78" spans="2:11" ht="15" customHeight="1">
      <c r="B78" s="292"/>
      <c r="C78" s="5" t="s">
        <v>1</v>
      </c>
      <c r="D78" s="274" t="str">
        <f>IF($C$2=FALSE,"-",[1]!RETRIEVE_WEB_DATA_ELEMENT_FUNC($C$3,4895))</f>
        <v>-</v>
      </c>
      <c r="E78" s="274" t="str">
        <f>IF($C$2=FALSE,"-",[1]!RETRIEVE_WEB_DATA_ELEMENT_FUNC($C$3,4904))</f>
        <v>-</v>
      </c>
      <c r="F78" s="274" t="str">
        <f>IF($C$2=FALSE,"-",[1]!RETRIEVE_WEB_DATA_ELEMENT_FUNC($C$3,4913))</f>
        <v>-</v>
      </c>
      <c r="G78" s="4" t="str">
        <f>IF($C$2=FALSE,"-",[1]!RETRIEVE_WEB_DATA_ELEMENT_FUNC($C$3,4922))</f>
        <v>-</v>
      </c>
    </row>
    <row r="79" spans="2:11" ht="15" customHeight="1" thickBot="1">
      <c r="B79" s="293"/>
      <c r="C79" s="3" t="s">
        <v>0</v>
      </c>
      <c r="D79" s="277" t="str">
        <f>IF($C$2=FALSE,"-",[1]!RETRIEVE_WEB_DATA_ELEMENT_FUNC($C$3,4896))</f>
        <v>-</v>
      </c>
      <c r="E79" s="277" t="str">
        <f>IF($C$2=FALSE,"-",[1]!RETRIEVE_WEB_DATA_ELEMENT_FUNC($C$3,4905))</f>
        <v>-</v>
      </c>
      <c r="F79" s="277" t="str">
        <f>IF($C$2=FALSE,"-",[1]!RETRIEVE_WEB_DATA_ELEMENT_FUNC($C$3,4914))</f>
        <v>-</v>
      </c>
      <c r="G79" s="2" t="str">
        <f>IF($C$2=FALSE,"-",[1]!RETRIEVE_WEB_DATA_ELEMENT_FUNC($C$3,4923))</f>
        <v>-</v>
      </c>
    </row>
  </sheetData>
  <mergeCells count="3">
    <mergeCell ref="B5:G11"/>
    <mergeCell ref="B63:B70"/>
    <mergeCell ref="B71:B79"/>
  </mergeCells>
  <dataValidations count="2">
    <dataValidation allowBlank="1" promptTitle="Ticker Symbol" prompt="_x000a_Enter your ticker symbol here to change the table values_x000a_" sqref="B62"/>
    <dataValidation type="list" allowBlank="1" showInputMessage="1" showErrorMessage="1" sqref="C2">
      <formula1>"TRUE,FALSE"</formula1>
    </dataValidation>
  </dataValidations>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0070C0"/>
  </sheetPr>
  <dimension ref="B2:O57"/>
  <sheetViews>
    <sheetView zoomScale="79" zoomScaleNormal="79" workbookViewId="0">
      <selection activeCell="C2" sqref="C2"/>
    </sheetView>
  </sheetViews>
  <sheetFormatPr defaultColWidth="15.625" defaultRowHeight="15" customHeight="1"/>
  <cols>
    <col min="1" max="1" width="3.625" style="63" customWidth="1"/>
    <col min="2" max="2" width="20.625" style="63" customWidth="1"/>
    <col min="3" max="3" width="20.75" style="63" customWidth="1"/>
    <col min="4" max="5" width="15.625" style="63"/>
    <col min="6" max="6" width="3.625" style="63" customWidth="1"/>
    <col min="7" max="7" width="30.625" style="63" customWidth="1"/>
    <col min="8" max="16384" width="15.625" style="63"/>
  </cols>
  <sheetData>
    <row r="2" spans="2:15" ht="15" customHeight="1">
      <c r="B2" s="62" t="s">
        <v>66</v>
      </c>
      <c r="C2" s="94" t="b">
        <v>0</v>
      </c>
    </row>
    <row r="3" spans="2:15" ht="15" customHeight="1">
      <c r="B3" s="62" t="s">
        <v>65</v>
      </c>
      <c r="C3" s="239" t="s">
        <v>266</v>
      </c>
    </row>
    <row r="5" spans="2:15" ht="15" customHeight="1">
      <c r="B5" s="70" t="str">
        <f>IF($C$2=FALSE,"-",[1]!RETRIEVE_WEB_DATA_ELEMENT_FUNC($C$3,13862))</f>
        <v>-</v>
      </c>
      <c r="C5" s="93"/>
      <c r="D5" s="93"/>
      <c r="E5" s="92"/>
      <c r="G5" s="91" t="s">
        <v>123</v>
      </c>
      <c r="H5" s="91" t="s">
        <v>103</v>
      </c>
      <c r="I5" s="91" t="s">
        <v>24</v>
      </c>
    </row>
    <row r="6" spans="2:15" ht="15" customHeight="1">
      <c r="B6" s="295" t="str">
        <f>IF($C$2=FALSE,"-",[1]!RETRIEVE_WEB_DATA_ELEMENT_FUNC($C$3,5066))</f>
        <v>-</v>
      </c>
      <c r="C6" s="296"/>
      <c r="D6" s="296"/>
      <c r="E6" s="297"/>
      <c r="G6" s="68" t="s">
        <v>122</v>
      </c>
      <c r="H6" s="248" t="str">
        <f>IF($C$2=FALSE,"-",[1]!RETRIEVE_WEB_DATA_ELEMENT_FUNC($C$3,5184))</f>
        <v>-</v>
      </c>
      <c r="I6" s="248" t="str">
        <f>IF($C$2=FALSE,"-",[1]!RETRIEVE_WEB_DATA_ELEMENT_FUNC($C$3,5190))</f>
        <v>-</v>
      </c>
    </row>
    <row r="7" spans="2:15" ht="15" customHeight="1">
      <c r="B7" s="298"/>
      <c r="C7" s="299"/>
      <c r="D7" s="299"/>
      <c r="E7" s="300"/>
      <c r="G7" s="68" t="s">
        <v>121</v>
      </c>
      <c r="H7" s="248" t="str">
        <f>IF($C$2=FALSE,"-",[1]!RETRIEVE_WEB_DATA_ELEMENT_FUNC($C$3,5185))</f>
        <v>-</v>
      </c>
      <c r="I7" s="248" t="str">
        <f>IF($C$2=FALSE,"-",[1]!RETRIEVE_WEB_DATA_ELEMENT_FUNC($C$3,5191))</f>
        <v>-</v>
      </c>
    </row>
    <row r="8" spans="2:15" ht="15" customHeight="1">
      <c r="B8" s="298"/>
      <c r="C8" s="299"/>
      <c r="D8" s="299"/>
      <c r="E8" s="300"/>
      <c r="G8" s="68" t="s">
        <v>120</v>
      </c>
      <c r="H8" s="248" t="str">
        <f>IF($C$2=FALSE,"-",[1]!RETRIEVE_WEB_DATA_ELEMENT_FUNC($C$3,5186))</f>
        <v>-</v>
      </c>
      <c r="I8" s="248" t="str">
        <f>IF($C$2=FALSE,"-",[1]!RETRIEVE_WEB_DATA_ELEMENT_FUNC($C$3,5192))</f>
        <v>-</v>
      </c>
    </row>
    <row r="9" spans="2:15" ht="15" customHeight="1">
      <c r="B9" s="298"/>
      <c r="C9" s="299"/>
      <c r="D9" s="299"/>
      <c r="E9" s="300"/>
      <c r="G9" s="68" t="s">
        <v>119</v>
      </c>
      <c r="H9" s="248" t="str">
        <f>IF($C$2=FALSE,"-",[1]!RETRIEVE_WEB_DATA_ELEMENT_FUNC($C$3,5187))</f>
        <v>-</v>
      </c>
      <c r="I9" s="248" t="str">
        <f>IF($C$2=FALSE,"-",[1]!RETRIEVE_WEB_DATA_ELEMENT_FUNC($C$3,5193))</f>
        <v>-</v>
      </c>
    </row>
    <row r="10" spans="2:15" ht="15" customHeight="1">
      <c r="B10" s="298"/>
      <c r="C10" s="299"/>
      <c r="D10" s="299"/>
      <c r="E10" s="300"/>
      <c r="G10" s="68" t="s">
        <v>118</v>
      </c>
      <c r="H10" s="252" t="str">
        <f>IF($C$2=FALSE,"-",[1]!RETRIEVE_WEB_DATA_ELEMENT_FUNC($C$3,5188))</f>
        <v>-</v>
      </c>
      <c r="I10" s="252" t="str">
        <f>IF($C$2=FALSE,"-",[1]!RETRIEVE_WEB_DATA_ELEMENT_FUNC($C$3,5194))</f>
        <v>-</v>
      </c>
    </row>
    <row r="11" spans="2:15" ht="15" customHeight="1">
      <c r="B11" s="298"/>
      <c r="C11" s="299"/>
      <c r="D11" s="299"/>
      <c r="E11" s="300"/>
      <c r="G11" s="68" t="s">
        <v>117</v>
      </c>
      <c r="H11" s="251" t="str">
        <f>IF($C$2=FALSE,"-",[1]!RETRIEVE_WEB_DATA_ELEMENT_FUNC($C$3,5189))</f>
        <v>-</v>
      </c>
      <c r="I11" s="251" t="str">
        <f>IF($C$2=FALSE,"-",[1]!RETRIEVE_WEB_DATA_ELEMENT_FUNC($C$3,5195))</f>
        <v>-</v>
      </c>
    </row>
    <row r="12" spans="2:15" ht="15" customHeight="1">
      <c r="B12" s="301"/>
      <c r="C12" s="302"/>
      <c r="D12" s="302"/>
      <c r="E12" s="303"/>
    </row>
    <row r="13" spans="2:15" ht="15" customHeight="1">
      <c r="G13" s="91" t="s">
        <v>116</v>
      </c>
      <c r="H13" s="91" t="s">
        <v>103</v>
      </c>
      <c r="I13" s="91" t="s">
        <v>24</v>
      </c>
      <c r="J13" s="91" t="s">
        <v>112</v>
      </c>
      <c r="K13" s="91" t="s">
        <v>115</v>
      </c>
      <c r="L13" s="91" t="s">
        <v>114</v>
      </c>
      <c r="M13" s="91" t="s">
        <v>113</v>
      </c>
      <c r="N13" s="91" t="s">
        <v>30</v>
      </c>
      <c r="O13" s="91" t="s">
        <v>112</v>
      </c>
    </row>
    <row r="14" spans="2:15" ht="15" customHeight="1">
      <c r="B14" s="68" t="s">
        <v>24</v>
      </c>
      <c r="C14" s="64" t="str">
        <f>IF($C$2=FALSE,"-",[1]!RETRIEVE_WEB_DATA_ELEMENT_FUNC($C$3,5059))</f>
        <v>-</v>
      </c>
      <c r="G14" s="68" t="s">
        <v>111</v>
      </c>
      <c r="H14" s="248" t="str">
        <f>IF($C$2=FALSE,"-",[1]!RETRIEVE_WEB_DATA_ELEMENT_FUNC($C$3,4943))</f>
        <v>-</v>
      </c>
      <c r="I14" s="248" t="str">
        <f>IF($C$2=FALSE,"-",[1]!RETRIEVE_WEB_DATA_ELEMENT_FUNC($C$3,4951))</f>
        <v>-</v>
      </c>
      <c r="J14" s="248" t="str">
        <f>IF($C$2=FALSE,"-",[1]!RETRIEVE_WEB_DATA_ELEMENT_FUNC($C$3,4959))</f>
        <v>-</v>
      </c>
      <c r="K14" s="249" t="str">
        <f>IF($C$2=FALSE,"-",[1]!RETRIEVE_WEB_DATA_ELEMENT_FUNC($C$3,5045))</f>
        <v>-</v>
      </c>
      <c r="L14" s="249" t="str">
        <f>IF($C$2=FALSE,"-",[1]!RETRIEVE_WEB_DATA_ELEMENT_FUNC($C$3,5038))</f>
        <v>-</v>
      </c>
      <c r="M14" s="248" t="str">
        <f>IF($C$2=FALSE,"-",[1]!RETRIEVE_WEB_DATA_ELEMENT_FUNC($C$3,5052))</f>
        <v>-</v>
      </c>
      <c r="N14" s="248" t="str">
        <f>IF($C$2=FALSE,"-",[1]!RETRIEVE_WEB_DATA_ELEMENT_FUNC($C$3,4967))</f>
        <v>-</v>
      </c>
      <c r="O14" s="248" t="str">
        <f>IF($C$2=FALSE,"-",[1]!RETRIEVE_WEB_DATA_ELEMENT_FUNC($C$3,4975))</f>
        <v>-</v>
      </c>
    </row>
    <row r="15" spans="2:15" ht="15" customHeight="1">
      <c r="B15" s="68" t="s">
        <v>63</v>
      </c>
      <c r="C15" s="64" t="str">
        <f>IF($C$2=FALSE,"-",[1]!RETRIEVE_WEB_DATA_ELEMENT_FUNC($C$3,5060))</f>
        <v>-</v>
      </c>
      <c r="G15" s="68" t="s">
        <v>6</v>
      </c>
      <c r="H15" s="248" t="str">
        <f>IF($C$2=FALSE,"-",[1]!RETRIEVE_WEB_DATA_ELEMENT_FUNC($C$3,4944))</f>
        <v>-</v>
      </c>
      <c r="I15" s="248" t="str">
        <f>IF($C$2=FALSE,"-",[1]!RETRIEVE_WEB_DATA_ELEMENT_FUNC($C$3,4952))</f>
        <v>-</v>
      </c>
      <c r="J15" s="248" t="str">
        <f>IF($C$2=FALSE,"-",[1]!RETRIEVE_WEB_DATA_ELEMENT_FUNC($C$3,4960))</f>
        <v>-</v>
      </c>
      <c r="K15" s="249" t="str">
        <f>IF($C$2=FALSE,"-",[1]!RETRIEVE_WEB_DATA_ELEMENT_FUNC($C$3,5046))</f>
        <v>-</v>
      </c>
      <c r="L15" s="249" t="str">
        <f>IF($C$2=FALSE,"-",[1]!RETRIEVE_WEB_DATA_ELEMENT_FUNC($C$3,5039))</f>
        <v>-</v>
      </c>
      <c r="M15" s="248" t="str">
        <f>IF($C$2=FALSE,"-",[1]!RETRIEVE_WEB_DATA_ELEMENT_FUNC($C$3,5053))</f>
        <v>-</v>
      </c>
      <c r="N15" s="248" t="str">
        <f>IF($C$2=FALSE,"-",[1]!RETRIEVE_WEB_DATA_ELEMENT_FUNC($C$3,4968))</f>
        <v>-</v>
      </c>
      <c r="O15" s="248" t="str">
        <f>IF($C$2=FALSE,"-",[1]!RETRIEVE_WEB_DATA_ELEMENT_FUNC($C$3,4976))</f>
        <v>-</v>
      </c>
    </row>
    <row r="16" spans="2:15" ht="15" customHeight="1">
      <c r="B16" s="68" t="s">
        <v>110</v>
      </c>
      <c r="C16" s="256" t="str">
        <f>IF($C$2=FALSE,"-",[1]!RETRIEVE_WEB_DATA_ELEMENT_FUNC($C$3,5061))</f>
        <v>-</v>
      </c>
      <c r="G16" s="68" t="s">
        <v>5</v>
      </c>
      <c r="H16" s="248" t="str">
        <f>IF($C$2=FALSE,"-",[1]!RETRIEVE_WEB_DATA_ELEMENT_FUNC($C$3,4945))</f>
        <v>-</v>
      </c>
      <c r="I16" s="248" t="str">
        <f>IF($C$2=FALSE,"-",[1]!RETRIEVE_WEB_DATA_ELEMENT_FUNC($C$3,4953))</f>
        <v>-</v>
      </c>
      <c r="J16" s="248" t="str">
        <f>IF($C$2=FALSE,"-",[1]!RETRIEVE_WEB_DATA_ELEMENT_FUNC($C$3,4961))</f>
        <v>-</v>
      </c>
      <c r="K16" s="249" t="str">
        <f>IF($C$2=FALSE,"-",[1]!RETRIEVE_WEB_DATA_ELEMENT_FUNC($C$3,5047))</f>
        <v>-</v>
      </c>
      <c r="L16" s="249" t="str">
        <f>IF($C$2=FALSE,"-",[1]!RETRIEVE_WEB_DATA_ELEMENT_FUNC($C$3,5040))</f>
        <v>-</v>
      </c>
      <c r="M16" s="248" t="str">
        <f>IF($C$2=FALSE,"-",[1]!RETRIEVE_WEB_DATA_ELEMENT_FUNC($C$3,5054))</f>
        <v>-</v>
      </c>
      <c r="N16" s="248" t="str">
        <f>IF($C$2=FALSE,"-",[1]!RETRIEVE_WEB_DATA_ELEMENT_FUNC($C$3,4969))</f>
        <v>-</v>
      </c>
      <c r="O16" s="248" t="str">
        <f>IF($C$2=FALSE,"-",[1]!RETRIEVE_WEB_DATA_ELEMENT_FUNC($C$3,4977))</f>
        <v>-</v>
      </c>
    </row>
    <row r="17" spans="2:15" ht="15" customHeight="1">
      <c r="B17" s="68" t="s">
        <v>37</v>
      </c>
      <c r="C17" s="251" t="str">
        <f>IF($C$2=FALSE,"-",[1]!RETRIEVE_WEB_DATA_ELEMENT_FUNC($C$3,5077))</f>
        <v>-</v>
      </c>
      <c r="G17" s="68" t="s">
        <v>109</v>
      </c>
      <c r="H17" s="248" t="s">
        <v>35</v>
      </c>
      <c r="I17" s="248" t="s">
        <v>35</v>
      </c>
      <c r="J17" s="248" t="s">
        <v>35</v>
      </c>
      <c r="K17" s="249" t="str">
        <f>IF($C$2=FALSE,"-",[1]!RETRIEVE_WEB_DATA_ELEMENT_FUNC($C$3,5048))</f>
        <v>-</v>
      </c>
      <c r="L17" s="249" t="str">
        <f>IF($C$2=FALSE,"-",[1]!RETRIEVE_WEB_DATA_ELEMENT_FUNC($C$3,5041))</f>
        <v>-</v>
      </c>
      <c r="M17" s="248" t="str">
        <f>IF($C$2=FALSE,"-",[1]!RETRIEVE_WEB_DATA_ELEMENT_FUNC($C$3,5055))</f>
        <v>-</v>
      </c>
      <c r="N17" s="248" t="s">
        <v>35</v>
      </c>
      <c r="O17" s="248" t="s">
        <v>35</v>
      </c>
    </row>
    <row r="18" spans="2:15" ht="15" customHeight="1">
      <c r="B18" s="68" t="s">
        <v>108</v>
      </c>
      <c r="C18" s="251" t="str">
        <f>IF($C$2=FALSE,"-",[1]!RETRIEVE_WEB_DATA_ELEMENT_FUNC($C$3,5062))</f>
        <v>-</v>
      </c>
      <c r="G18" s="68" t="s">
        <v>3</v>
      </c>
      <c r="H18" s="248" t="str">
        <f>IF($C$2=FALSE,"-",[1]!RETRIEVE_WEB_DATA_ELEMENT_FUNC($C$3,4946))</f>
        <v>-</v>
      </c>
      <c r="I18" s="248" t="str">
        <f>IF($C$2=FALSE,"-",[1]!RETRIEVE_WEB_DATA_ELEMENT_FUNC($C$3,4954))</f>
        <v>-</v>
      </c>
      <c r="J18" s="248" t="str">
        <f>IF($C$2=FALSE,"-",[1]!RETRIEVE_WEB_DATA_ELEMENT_FUNC($C$3,4962))</f>
        <v>-</v>
      </c>
      <c r="K18" s="249" t="str">
        <f>IF($C$2=FALSE,"-",[1]!RETRIEVE_WEB_DATA_ELEMENT_FUNC($C$3,5049))</f>
        <v>-</v>
      </c>
      <c r="L18" s="249" t="str">
        <f>IF($C$2=FALSE,"-",[1]!RETRIEVE_WEB_DATA_ELEMENT_FUNC($C$3,5042))</f>
        <v>-</v>
      </c>
      <c r="M18" s="248" t="str">
        <f>IF($C$2=FALSE,"-",[1]!RETRIEVE_WEB_DATA_ELEMENT_FUNC($C$3,5056))</f>
        <v>-</v>
      </c>
      <c r="N18" s="248" t="str">
        <f>IF($C$2=FALSE,"-",[1]!RETRIEVE_WEB_DATA_ELEMENT_FUNC($C$3,4970))</f>
        <v>-</v>
      </c>
      <c r="O18" s="248" t="str">
        <f>IF($C$2=FALSE,"-",[1]!RETRIEVE_WEB_DATA_ELEMENT_FUNC($C$3,4978))</f>
        <v>-</v>
      </c>
    </row>
    <row r="19" spans="2:15" ht="15" customHeight="1">
      <c r="B19" s="68" t="s">
        <v>36</v>
      </c>
      <c r="C19" s="251" t="str">
        <f>IF($C$2=FALSE,"-",[1]!RETRIEVE_WEB_DATA_ELEMENT_FUNC($C$3,5063))</f>
        <v>-</v>
      </c>
      <c r="G19" s="68" t="s">
        <v>28</v>
      </c>
      <c r="H19" s="248" t="str">
        <f>IF($C$2=FALSE,"-",[1]!RETRIEVE_WEB_DATA_ELEMENT_FUNC($C$3,4947))</f>
        <v>-</v>
      </c>
      <c r="I19" s="248" t="str">
        <f>IF($C$2=FALSE,"-",[1]!RETRIEVE_WEB_DATA_ELEMENT_FUNC($C$3,4955))</f>
        <v>-</v>
      </c>
      <c r="J19" s="248" t="str">
        <f>IF($C$2=FALSE,"-",[1]!RETRIEVE_WEB_DATA_ELEMENT_FUNC($C$3,4963))</f>
        <v>-</v>
      </c>
      <c r="K19" s="249" t="str">
        <f>IF($C$2=FALSE,"-",[1]!RETRIEVE_WEB_DATA_ELEMENT_FUNC($C$3,5050))</f>
        <v>-</v>
      </c>
      <c r="L19" s="249" t="str">
        <f>IF($C$2=FALSE,"-",[1]!RETRIEVE_WEB_DATA_ELEMENT_FUNC($C$3,5043))</f>
        <v>-</v>
      </c>
      <c r="M19" s="248" t="str">
        <f>IF($C$2=FALSE,"-",[1]!RETRIEVE_WEB_DATA_ELEMENT_FUNC($C$3,5057))</f>
        <v>-</v>
      </c>
      <c r="N19" s="248" t="str">
        <f>IF($C$2=FALSE,"-",[1]!RETRIEVE_WEB_DATA_ELEMENT_FUNC($C$3,4971))</f>
        <v>-</v>
      </c>
      <c r="O19" s="248" t="str">
        <f>IF($C$2=FALSE,"-",[1]!RETRIEVE_WEB_DATA_ELEMENT_FUNC($C$3,4979))</f>
        <v>-</v>
      </c>
    </row>
    <row r="20" spans="2:15" ht="15" customHeight="1">
      <c r="B20" s="68" t="s">
        <v>107</v>
      </c>
      <c r="C20" s="249" t="str">
        <f>IF($C$2=FALSE,"-",[1]!RETRIEVE_WEB_DATA_ELEMENT_FUNC($C$3,5064))</f>
        <v>-</v>
      </c>
      <c r="G20" s="68" t="s">
        <v>27</v>
      </c>
      <c r="H20" s="248" t="str">
        <f>IF($C$2=FALSE,"-",[1]!RETRIEVE_WEB_DATA_ELEMENT_FUNC($C$3,4948))</f>
        <v>-</v>
      </c>
      <c r="I20" s="248" t="str">
        <f>IF($C$2=FALSE,"-",[1]!RETRIEVE_WEB_DATA_ELEMENT_FUNC($C$3,4956))</f>
        <v>-</v>
      </c>
      <c r="J20" s="248" t="str">
        <f>IF($C$2=FALSE,"-",[1]!RETRIEVE_WEB_DATA_ELEMENT_FUNC($C$3,4964))</f>
        <v>-</v>
      </c>
      <c r="K20" s="249" t="str">
        <f>IF($C$2=FALSE,"-",[1]!RETRIEVE_WEB_DATA_ELEMENT_FUNC($C$3,5051))</f>
        <v>-</v>
      </c>
      <c r="L20" s="249" t="str">
        <f>IF($C$2=FALSE,"-",[1]!RETRIEVE_WEB_DATA_ELEMENT_FUNC($C$3,5044))</f>
        <v>-</v>
      </c>
      <c r="M20" s="248" t="str">
        <f>IF($C$2=FALSE,"-",[1]!RETRIEVE_WEB_DATA_ELEMENT_FUNC($C$3,5058))</f>
        <v>-</v>
      </c>
      <c r="N20" s="248" t="str">
        <f>IF($C$2=FALSE,"-",[1]!RETRIEVE_WEB_DATA_ELEMENT_FUNC($C$3,4972))</f>
        <v>-</v>
      </c>
      <c r="O20" s="248" t="str">
        <f>IF($C$2=FALSE,"-",[1]!RETRIEVE_WEB_DATA_ELEMENT_FUNC($C$3,4980))</f>
        <v>-</v>
      </c>
    </row>
    <row r="21" spans="2:15" ht="15" customHeight="1">
      <c r="B21" s="68" t="s">
        <v>61</v>
      </c>
      <c r="C21" s="257" t="str">
        <f>IF($C$2=FALSE,"-",[1]!RETRIEVE_WEB_DATA_ELEMENT_FUNC($C$3,5065))</f>
        <v>-</v>
      </c>
      <c r="G21" s="68" t="s">
        <v>106</v>
      </c>
      <c r="H21" s="248" t="str">
        <f>IF($C$2=FALSE,"-",[1]!RETRIEVE_WEB_DATA_ELEMENT_FUNC($C$3,4949))</f>
        <v>-</v>
      </c>
      <c r="I21" s="248" t="str">
        <f>IF($C$2=FALSE,"-",[1]!RETRIEVE_WEB_DATA_ELEMENT_FUNC($C$3,4957))</f>
        <v>-</v>
      </c>
      <c r="J21" s="248" t="str">
        <f>IF($C$2=FALSE,"-",[1]!RETRIEVE_WEB_DATA_ELEMENT_FUNC($C$3,4965))</f>
        <v>-</v>
      </c>
      <c r="K21" s="250" t="s">
        <v>35</v>
      </c>
      <c r="L21" s="250" t="s">
        <v>35</v>
      </c>
      <c r="M21" s="248" t="s">
        <v>35</v>
      </c>
      <c r="N21" s="248" t="str">
        <f>IF($C$2=FALSE,"-",[1]!RETRIEVE_WEB_DATA_ELEMENT_FUNC($C$3,4973))</f>
        <v>-</v>
      </c>
      <c r="O21" s="248" t="str">
        <f>IF($C$2=FALSE,"-",[1]!RETRIEVE_WEB_DATA_ELEMENT_FUNC($C$3,4981))</f>
        <v>-</v>
      </c>
    </row>
    <row r="22" spans="2:15" ht="15" customHeight="1">
      <c r="G22" s="68" t="s">
        <v>105</v>
      </c>
      <c r="H22" s="248" t="str">
        <f>IF($C$2=FALSE,"-",[1]!RETRIEVE_WEB_DATA_ELEMENT_FUNC($C$3,4950))</f>
        <v>-</v>
      </c>
      <c r="I22" s="248" t="str">
        <f>IF($C$2=FALSE,"-",[1]!RETRIEVE_WEB_DATA_ELEMENT_FUNC($C$3,4958))</f>
        <v>-</v>
      </c>
      <c r="J22" s="248" t="str">
        <f>IF($C$2=FALSE,"-",[1]!RETRIEVE_WEB_DATA_ELEMENT_FUNC($C$3,4966))</f>
        <v>-</v>
      </c>
      <c r="K22" s="250" t="s">
        <v>35</v>
      </c>
      <c r="L22" s="250" t="s">
        <v>35</v>
      </c>
      <c r="M22" s="248" t="s">
        <v>35</v>
      </c>
      <c r="N22" s="248" t="str">
        <f>IF($C$2=FALSE,"-",[1]!RETRIEVE_WEB_DATA_ELEMENT_FUNC($C$3,4974))</f>
        <v>-</v>
      </c>
      <c r="O22" s="248" t="str">
        <f>IF($C$2=FALSE,"-",[1]!RETRIEVE_WEB_DATA_ELEMENT_FUNC($C$3,4982))</f>
        <v>-</v>
      </c>
    </row>
    <row r="23" spans="2:15" ht="15" customHeight="1">
      <c r="B23" s="70" t="s">
        <v>104</v>
      </c>
      <c r="C23" s="71"/>
      <c r="D23" s="90" t="s">
        <v>103</v>
      </c>
      <c r="E23" s="89" t="s">
        <v>24</v>
      </c>
    </row>
    <row r="24" spans="2:15" ht="15" customHeight="1">
      <c r="B24" s="88" t="s">
        <v>28</v>
      </c>
      <c r="C24" s="74" t="s">
        <v>85</v>
      </c>
      <c r="D24" s="265" t="str">
        <f>IF($C$2=FALSE,"-",[1]!RETRIEVE_WEB_DATA_ELEMENT_FUNC($C$3,5098))</f>
        <v>-</v>
      </c>
      <c r="E24" s="261" t="str">
        <f>IF($C$2=FALSE,"-",[1]!RETRIEVE_WEB_DATA_ELEMENT_FUNC($C$3,5119))</f>
        <v>-</v>
      </c>
      <c r="G24" s="70" t="s">
        <v>102</v>
      </c>
      <c r="H24" s="69"/>
      <c r="J24" s="87" t="s">
        <v>101</v>
      </c>
      <c r="K24" s="86"/>
      <c r="L24" s="86"/>
      <c r="M24" s="86"/>
      <c r="N24" s="85"/>
    </row>
    <row r="25" spans="2:15" ht="15" customHeight="1">
      <c r="B25" s="75"/>
      <c r="C25" s="74" t="s">
        <v>83</v>
      </c>
      <c r="D25" s="265" t="str">
        <f>IF($C$2=FALSE,"-",[1]!RETRIEVE_WEB_DATA_ELEMENT_FUNC($C$3,5099))</f>
        <v>-</v>
      </c>
      <c r="E25" s="261" t="str">
        <f>IF($C$2=FALSE,"-",[1]!RETRIEVE_WEB_DATA_ELEMENT_FUNC($C$3,5120))</f>
        <v>-</v>
      </c>
      <c r="G25" s="67" t="s">
        <v>100</v>
      </c>
      <c r="H25" s="263" t="str">
        <f>IF($C$2=FALSE,"-",[1]!RETRIEVE_WEB_DATA_ELEMENT_FUNC($C$3,4930))</f>
        <v>-</v>
      </c>
      <c r="J25" s="84" t="s">
        <v>99</v>
      </c>
      <c r="K25" s="83" t="s">
        <v>12</v>
      </c>
      <c r="L25" s="83" t="s">
        <v>11</v>
      </c>
      <c r="M25" s="83" t="s">
        <v>10</v>
      </c>
      <c r="N25" s="82" t="s">
        <v>9</v>
      </c>
    </row>
    <row r="26" spans="2:15" ht="15" customHeight="1">
      <c r="B26" s="75"/>
      <c r="C26" s="74" t="s">
        <v>21</v>
      </c>
      <c r="D26" s="265" t="str">
        <f>IF($C$2=FALSE,"-",[1]!RETRIEVE_WEB_DATA_ELEMENT_FUNC($C$3,5100))</f>
        <v>-</v>
      </c>
      <c r="E26" s="261" t="str">
        <f>IF($C$2=FALSE,"-",[1]!RETRIEVE_WEB_DATA_ELEMENT_FUNC($C$3,5121))</f>
        <v>-</v>
      </c>
      <c r="G26" s="66" t="s">
        <v>98</v>
      </c>
      <c r="H26" s="264" t="str">
        <f>IF($C$2=FALSE,"-",[1]!RETRIEVE_WEB_DATA_ELEMENT_FUNC($C$3,5093))</f>
        <v>-</v>
      </c>
      <c r="J26" s="78" t="str">
        <f>IF($C$2=FALSE,"-",[1]!RETRIEVE_WEB_DATA_ELEMENT_FUNC($C$3,4983))</f>
        <v>-</v>
      </c>
      <c r="K26" s="64" t="str">
        <f>IF($C$2=FALSE,"-",[1]!RETRIEVE_WEB_DATA_ELEMENT_FUNC($C$3,4994))</f>
        <v>-</v>
      </c>
      <c r="L26" s="64" t="str">
        <f>IF($C$2=FALSE,"-",[1]!RETRIEVE_WEB_DATA_ELEMENT_FUNC($C$3,5005))</f>
        <v>-</v>
      </c>
      <c r="M26" s="64" t="str">
        <f>IF($C$2=FALSE,"-",[1]!RETRIEVE_WEB_DATA_ELEMENT_FUNC($C$3,5016))</f>
        <v>-</v>
      </c>
      <c r="N26" s="64" t="str">
        <f>IF($C$2=FALSE,"-",[1]!RETRIEVE_WEB_DATA_ELEMENT_FUNC($C$3,5027))</f>
        <v>-</v>
      </c>
    </row>
    <row r="27" spans="2:15" ht="15" customHeight="1">
      <c r="B27" s="75"/>
      <c r="C27" s="74" t="s">
        <v>80</v>
      </c>
      <c r="D27" s="265" t="str">
        <f>IF($C$2=FALSE,"-",[1]!RETRIEVE_WEB_DATA_ELEMENT_FUNC($C$3,5101))</f>
        <v>-</v>
      </c>
      <c r="E27" s="261" t="str">
        <f>IF($C$2=FALSE,"-",[1]!RETRIEVE_WEB_DATA_ELEMENT_FUNC($C$3,5122))</f>
        <v>-</v>
      </c>
      <c r="G27" s="66" t="s">
        <v>97</v>
      </c>
      <c r="H27" s="259" t="str">
        <f>IF($C$2=FALSE,"-",[1]!RETRIEVE_WEB_DATA_ELEMENT_FUNC($C$3,4931))</f>
        <v>-</v>
      </c>
      <c r="J27" s="78" t="str">
        <f>IF($C$2=FALSE,"-",[1]!RETRIEVE_WEB_DATA_ELEMENT_FUNC($C$3,4984))</f>
        <v>-</v>
      </c>
      <c r="K27" s="64" t="str">
        <f>IF($C$2=FALSE,"-",[1]!RETRIEVE_WEB_DATA_ELEMENT_FUNC($C$3,4995))</f>
        <v>-</v>
      </c>
      <c r="L27" s="64" t="str">
        <f>IF($C$2=FALSE,"-",[1]!RETRIEVE_WEB_DATA_ELEMENT_FUNC($C$3,5006))</f>
        <v>-</v>
      </c>
      <c r="M27" s="64" t="str">
        <f>IF($C$2=FALSE,"-",[1]!RETRIEVE_WEB_DATA_ELEMENT_FUNC($C$3,5017))</f>
        <v>-</v>
      </c>
      <c r="N27" s="64" t="str">
        <f>IF($C$2=FALSE,"-",[1]!RETRIEVE_WEB_DATA_ELEMENT_FUNC($C$3,5028))</f>
        <v>-</v>
      </c>
    </row>
    <row r="28" spans="2:15" ht="15" customHeight="1">
      <c r="B28" s="75"/>
      <c r="C28" s="74" t="s">
        <v>19</v>
      </c>
      <c r="D28" s="265" t="str">
        <f>IF($C$2=FALSE,"-",[1]!RETRIEVE_WEB_DATA_ELEMENT_FUNC($C$3,5102))</f>
        <v>-</v>
      </c>
      <c r="E28" s="261" t="str">
        <f>IF($C$2=FALSE,"-",[1]!RETRIEVE_WEB_DATA_ELEMENT_FUNC($C$3,5123))</f>
        <v>-</v>
      </c>
      <c r="G28" s="66" t="s">
        <v>96</v>
      </c>
      <c r="H28" s="259" t="str">
        <f>IF($C$2=FALSE,"-",[1]!RETRIEVE_WEB_DATA_ELEMENT_FUNC($C$3,4932))</f>
        <v>-</v>
      </c>
      <c r="J28" s="78" t="str">
        <f>IF($C$2=FALSE,"-",[1]!RETRIEVE_WEB_DATA_ELEMENT_FUNC($C$3,4985))</f>
        <v>-</v>
      </c>
      <c r="K28" s="64" t="str">
        <f>IF($C$2=FALSE,"-",[1]!RETRIEVE_WEB_DATA_ELEMENT_FUNC($C$3,4996))</f>
        <v>-</v>
      </c>
      <c r="L28" s="64" t="str">
        <f>IF($C$2=FALSE,"-",[1]!RETRIEVE_WEB_DATA_ELEMENT_FUNC($C$3,5007))</f>
        <v>-</v>
      </c>
      <c r="M28" s="64" t="str">
        <f>IF($C$2=FALSE,"-",[1]!RETRIEVE_WEB_DATA_ELEMENT_FUNC($C$3,5018))</f>
        <v>-</v>
      </c>
      <c r="N28" s="64" t="str">
        <f>IF($C$2=FALSE,"-",[1]!RETRIEVE_WEB_DATA_ELEMENT_FUNC($C$3,5029))</f>
        <v>-</v>
      </c>
    </row>
    <row r="29" spans="2:15" ht="15" customHeight="1">
      <c r="B29" s="75"/>
      <c r="C29" s="74" t="s">
        <v>18</v>
      </c>
      <c r="D29" s="265" t="str">
        <f>IF($C$2=FALSE,"-",[1]!RETRIEVE_WEB_DATA_ELEMENT_FUNC($C$3,5103))</f>
        <v>-</v>
      </c>
      <c r="E29" s="261" t="str">
        <f>IF($C$2=FALSE,"-",[1]!RETRIEVE_WEB_DATA_ELEMENT_FUNC($C$3,5124))</f>
        <v>-</v>
      </c>
      <c r="G29" s="66" t="s">
        <v>95</v>
      </c>
      <c r="H29" s="262" t="str">
        <f>IF($C$2=FALSE,"-",[1]!RETRIEVE_WEB_DATA_ELEMENT_FUNC($C$3,4933))</f>
        <v>-</v>
      </c>
      <c r="J29" s="78" t="str">
        <f>IF($C$2=FALSE,"-",[1]!RETRIEVE_WEB_DATA_ELEMENT_FUNC($C$3,4986))</f>
        <v>-</v>
      </c>
      <c r="K29" s="64" t="str">
        <f>IF($C$2=FALSE,"-",[1]!RETRIEVE_WEB_DATA_ELEMENT_FUNC($C$3,4997))</f>
        <v>-</v>
      </c>
      <c r="L29" s="64" t="str">
        <f>IF($C$2=FALSE,"-",[1]!RETRIEVE_WEB_DATA_ELEMENT_FUNC($C$3,5008))</f>
        <v>-</v>
      </c>
      <c r="M29" s="64" t="str">
        <f>IF($C$2=FALSE,"-",[1]!RETRIEVE_WEB_DATA_ELEMENT_FUNC($C$3,5019))</f>
        <v>-</v>
      </c>
      <c r="N29" s="64" t="str">
        <f>IF($C$2=FALSE,"-",[1]!RETRIEVE_WEB_DATA_ELEMENT_FUNC($C$3,5030))</f>
        <v>-</v>
      </c>
    </row>
    <row r="30" spans="2:15" ht="15" customHeight="1" thickBot="1">
      <c r="B30" s="75"/>
      <c r="C30" s="74" t="s">
        <v>77</v>
      </c>
      <c r="D30" s="265" t="str">
        <f>IF($C$2=FALSE,"-",[1]!RETRIEVE_WEB_DATA_ELEMENT_FUNC($C$3,5104))</f>
        <v>-</v>
      </c>
      <c r="E30" s="261" t="str">
        <f>IF($C$2=FALSE,"-",[1]!RETRIEVE_WEB_DATA_ELEMENT_FUNC($C$3,5125))</f>
        <v>-</v>
      </c>
      <c r="G30" s="66" t="s">
        <v>94</v>
      </c>
      <c r="H30" s="262" t="str">
        <f>IF($C$2=FALSE,"-",[1]!RETRIEVE_WEB_DATA_ELEMENT_FUNC($C$3,4934))</f>
        <v>-</v>
      </c>
      <c r="J30" s="78" t="str">
        <f>IF($C$2=FALSE,"-",[1]!RETRIEVE_WEB_DATA_ELEMENT_FUNC($C$3,4987))</f>
        <v>-</v>
      </c>
      <c r="K30" s="64" t="str">
        <f>IF($C$2=FALSE,"-",[1]!RETRIEVE_WEB_DATA_ELEMENT_FUNC($C$3,4998))</f>
        <v>-</v>
      </c>
      <c r="L30" s="64" t="str">
        <f>IF($C$2=FALSE,"-",[1]!RETRIEVE_WEB_DATA_ELEMENT_FUNC($C$3,5009))</f>
        <v>-</v>
      </c>
      <c r="M30" s="64" t="str">
        <f>IF($C$2=FALSE,"-",[1]!RETRIEVE_WEB_DATA_ELEMENT_FUNC($C$3,5020))</f>
        <v>-</v>
      </c>
      <c r="N30" s="64" t="str">
        <f>IF($C$2=FALSE,"-",[1]!RETRIEVE_WEB_DATA_ELEMENT_FUNC($C$3,5031))</f>
        <v>-</v>
      </c>
    </row>
    <row r="31" spans="2:15" ht="15" customHeight="1">
      <c r="B31" s="81" t="s">
        <v>27</v>
      </c>
      <c r="C31" s="80" t="s">
        <v>85</v>
      </c>
      <c r="D31" s="266" t="str">
        <f>IF($C$2=FALSE,"-",[1]!RETRIEVE_WEB_DATA_ELEMENT_FUNC($C$3,5105))</f>
        <v>-</v>
      </c>
      <c r="E31" s="267" t="str">
        <f>IF($C$2=FALSE,"-",[1]!RETRIEVE_WEB_DATA_ELEMENT_FUNC($C$3,5126))</f>
        <v>-</v>
      </c>
      <c r="G31" s="66" t="s">
        <v>93</v>
      </c>
      <c r="H31" s="259" t="str">
        <f>IF($C$2=FALSE,"-",[1]!RETRIEVE_WEB_DATA_ELEMENT_FUNC($C$3,4935))</f>
        <v>-</v>
      </c>
      <c r="J31" s="78" t="str">
        <f>IF($C$2=FALSE,"-",[1]!RETRIEVE_WEB_DATA_ELEMENT_FUNC($C$3,4988))</f>
        <v>-</v>
      </c>
      <c r="K31" s="64" t="str">
        <f>IF($C$2=FALSE,"-",[1]!RETRIEVE_WEB_DATA_ELEMENT_FUNC($C$3,4999))</f>
        <v>-</v>
      </c>
      <c r="L31" s="64" t="str">
        <f>IF($C$2=FALSE,"-",[1]!RETRIEVE_WEB_DATA_ELEMENT_FUNC($C$3,5010))</f>
        <v>-</v>
      </c>
      <c r="M31" s="64" t="str">
        <f>IF($C$2=FALSE,"-",[1]!RETRIEVE_WEB_DATA_ELEMENT_FUNC($C$3,5021))</f>
        <v>-</v>
      </c>
      <c r="N31" s="64" t="str">
        <f>IF($C$2=FALSE,"-",[1]!RETRIEVE_WEB_DATA_ELEMENT_FUNC($C$3,5032))</f>
        <v>-</v>
      </c>
    </row>
    <row r="32" spans="2:15" ht="15" customHeight="1">
      <c r="B32" s="79"/>
      <c r="C32" s="74" t="s">
        <v>83</v>
      </c>
      <c r="D32" s="265" t="str">
        <f>IF($C$2=FALSE,"-",[1]!RETRIEVE_WEB_DATA_ELEMENT_FUNC($C$3,5106))</f>
        <v>-</v>
      </c>
      <c r="E32" s="268" t="str">
        <f>IF($C$2=FALSE,"-",[1]!RETRIEVE_WEB_DATA_ELEMENT_FUNC($C$3,5127))</f>
        <v>-</v>
      </c>
      <c r="G32" s="66" t="s">
        <v>92</v>
      </c>
      <c r="H32" s="259" t="str">
        <f>IF($C$2=FALSE,"-",[1]!RETRIEVE_WEB_DATA_ELEMENT_FUNC($C$3,4936))</f>
        <v>-</v>
      </c>
      <c r="J32" s="78" t="str">
        <f>IF($C$2=FALSE,"-",[1]!RETRIEVE_WEB_DATA_ELEMENT_FUNC($C$3,4989))</f>
        <v>-</v>
      </c>
      <c r="K32" s="64" t="str">
        <f>IF($C$2=FALSE,"-",[1]!RETRIEVE_WEB_DATA_ELEMENT_FUNC($C$3,5000))</f>
        <v>-</v>
      </c>
      <c r="L32" s="64" t="str">
        <f>IF($C$2=FALSE,"-",[1]!RETRIEVE_WEB_DATA_ELEMENT_FUNC($C$3,5011))</f>
        <v>-</v>
      </c>
      <c r="M32" s="64" t="str">
        <f>IF($C$2=FALSE,"-",[1]!RETRIEVE_WEB_DATA_ELEMENT_FUNC($C$3,5022))</f>
        <v>-</v>
      </c>
      <c r="N32" s="64" t="str">
        <f>IF($C$2=FALSE,"-",[1]!RETRIEVE_WEB_DATA_ELEMENT_FUNC($C$3,5033))</f>
        <v>-</v>
      </c>
    </row>
    <row r="33" spans="2:14" ht="15" customHeight="1">
      <c r="B33" s="79"/>
      <c r="C33" s="74" t="s">
        <v>21</v>
      </c>
      <c r="D33" s="265" t="str">
        <f>IF($C$2=FALSE,"-",[1]!RETRIEVE_WEB_DATA_ELEMENT_FUNC($C$3,5107))</f>
        <v>-</v>
      </c>
      <c r="E33" s="268" t="str">
        <f>IF($C$2=FALSE,"-",[1]!RETRIEVE_WEB_DATA_ELEMENT_FUNC($C$3,5128))</f>
        <v>-</v>
      </c>
      <c r="G33" s="66" t="s">
        <v>91</v>
      </c>
      <c r="H33" s="259" t="str">
        <f>IF($C$2=FALSE,"-",[1]!RETRIEVE_WEB_DATA_ELEMENT_FUNC($C$3,4937))</f>
        <v>-</v>
      </c>
      <c r="J33" s="78" t="str">
        <f>IF($C$2=FALSE,"-",[1]!RETRIEVE_WEB_DATA_ELEMENT_FUNC($C$3,4990))</f>
        <v>-</v>
      </c>
      <c r="K33" s="64" t="str">
        <f>IF($C$2=FALSE,"-",[1]!RETRIEVE_WEB_DATA_ELEMENT_FUNC($C$3,5001))</f>
        <v>-</v>
      </c>
      <c r="L33" s="64" t="str">
        <f>IF($C$2=FALSE,"-",[1]!RETRIEVE_WEB_DATA_ELEMENT_FUNC($C$3,5012))</f>
        <v>-</v>
      </c>
      <c r="M33" s="64" t="str">
        <f>IF($C$2=FALSE,"-",[1]!RETRIEVE_WEB_DATA_ELEMENT_FUNC($C$3,5023))</f>
        <v>-</v>
      </c>
      <c r="N33" s="64" t="str">
        <f>IF($C$2=FALSE,"-",[1]!RETRIEVE_WEB_DATA_ELEMENT_FUNC($C$3,5034))</f>
        <v>-</v>
      </c>
    </row>
    <row r="34" spans="2:14" ht="15" customHeight="1">
      <c r="B34" s="79"/>
      <c r="C34" s="74" t="s">
        <v>80</v>
      </c>
      <c r="D34" s="265" t="str">
        <f>IF($C$2=FALSE,"-",[1]!RETRIEVE_WEB_DATA_ELEMENT_FUNC($C$3,5108))</f>
        <v>-</v>
      </c>
      <c r="E34" s="268" t="str">
        <f>IF($C$2=FALSE,"-",[1]!RETRIEVE_WEB_DATA_ELEMENT_FUNC($C$3,5129))</f>
        <v>-</v>
      </c>
      <c r="G34" s="66" t="s">
        <v>90</v>
      </c>
      <c r="H34" s="259" t="str">
        <f>IF($C$2=FALSE,"-",[1]!RETRIEVE_WEB_DATA_ELEMENT_FUNC($C$3,4938))</f>
        <v>-</v>
      </c>
      <c r="J34" s="78" t="str">
        <f>IF($C$2=FALSE,"-",[1]!RETRIEVE_WEB_DATA_ELEMENT_FUNC($C$3,4991))</f>
        <v>-</v>
      </c>
      <c r="K34" s="64" t="str">
        <f>IF($C$2=FALSE,"-",[1]!RETRIEVE_WEB_DATA_ELEMENT_FUNC($C$3,5002))</f>
        <v>-</v>
      </c>
      <c r="L34" s="64" t="str">
        <f>IF($C$2=FALSE,"-",[1]!RETRIEVE_WEB_DATA_ELEMENT_FUNC($C$3,5013))</f>
        <v>-</v>
      </c>
      <c r="M34" s="64" t="str">
        <f>IF($C$2=FALSE,"-",[1]!RETRIEVE_WEB_DATA_ELEMENT_FUNC($C$3,5024))</f>
        <v>-</v>
      </c>
      <c r="N34" s="64" t="str">
        <f>IF($C$2=FALSE,"-",[1]!RETRIEVE_WEB_DATA_ELEMENT_FUNC($C$3,5035))</f>
        <v>-</v>
      </c>
    </row>
    <row r="35" spans="2:14" ht="15" customHeight="1">
      <c r="B35" s="79"/>
      <c r="C35" s="74" t="s">
        <v>19</v>
      </c>
      <c r="D35" s="265" t="str">
        <f>IF($C$2=FALSE,"-",[1]!RETRIEVE_WEB_DATA_ELEMENT_FUNC($C$3,5109))</f>
        <v>-</v>
      </c>
      <c r="E35" s="268" t="str">
        <f>IF($C$2=FALSE,"-",[1]!RETRIEVE_WEB_DATA_ELEMENT_FUNC($C$3,5130))</f>
        <v>-</v>
      </c>
      <c r="G35" s="66" t="s">
        <v>89</v>
      </c>
      <c r="H35" s="259" t="str">
        <f>IF($C$2=FALSE,"-",[1]!RETRIEVE_WEB_DATA_ELEMENT_FUNC($C$3,4939))</f>
        <v>-</v>
      </c>
      <c r="J35" s="78" t="str">
        <f>IF($C$2=FALSE,"-",[1]!RETRIEVE_WEB_DATA_ELEMENT_FUNC($C$3,4992))</f>
        <v>-</v>
      </c>
      <c r="K35" s="64" t="str">
        <f>IF($C$2=FALSE,"-",[1]!RETRIEVE_WEB_DATA_ELEMENT_FUNC($C$3,5003))</f>
        <v>-</v>
      </c>
      <c r="L35" s="64" t="str">
        <f>IF($C$2=FALSE,"-",[1]!RETRIEVE_WEB_DATA_ELEMENT_FUNC($C$3,5014))</f>
        <v>-</v>
      </c>
      <c r="M35" s="64" t="str">
        <f>IF($C$2=FALSE,"-",[1]!RETRIEVE_WEB_DATA_ELEMENT_FUNC($C$3,5025))</f>
        <v>-</v>
      </c>
      <c r="N35" s="64" t="str">
        <f>IF($C$2=FALSE,"-",[1]!RETRIEVE_WEB_DATA_ELEMENT_FUNC($C$3,5036))</f>
        <v>-</v>
      </c>
    </row>
    <row r="36" spans="2:14" ht="15" customHeight="1">
      <c r="B36" s="79"/>
      <c r="C36" s="74" t="s">
        <v>18</v>
      </c>
      <c r="D36" s="265" t="str">
        <f>IF($C$2=FALSE,"-",[1]!RETRIEVE_WEB_DATA_ELEMENT_FUNC($C$3,5110))</f>
        <v>-</v>
      </c>
      <c r="E36" s="268" t="str">
        <f>IF($C$2=FALSE,"-",[1]!RETRIEVE_WEB_DATA_ELEMENT_FUNC($C$3,5131))</f>
        <v>-</v>
      </c>
      <c r="G36" s="66" t="s">
        <v>88</v>
      </c>
      <c r="H36" s="259" t="str">
        <f>IF($C$2=FALSE,"-",[1]!RETRIEVE_WEB_DATA_ELEMENT_FUNC($C$3,4940))</f>
        <v>-</v>
      </c>
      <c r="J36" s="78" t="str">
        <f>IF($C$2=FALSE,"-",[1]!RETRIEVE_WEB_DATA_ELEMENT_FUNC($C$3,4993))</f>
        <v>-</v>
      </c>
      <c r="K36" s="64" t="str">
        <f>IF($C$2=FALSE,"-",[1]!RETRIEVE_WEB_DATA_ELEMENT_FUNC($C$3,5004))</f>
        <v>-</v>
      </c>
      <c r="L36" s="64" t="str">
        <f>IF($C$2=FALSE,"-",[1]!RETRIEVE_WEB_DATA_ELEMENT_FUNC($C$3,5015))</f>
        <v>-</v>
      </c>
      <c r="M36" s="64" t="str">
        <f>IF($C$2=FALSE,"-",[1]!RETRIEVE_WEB_DATA_ELEMENT_FUNC($C$3,5026))</f>
        <v>-</v>
      </c>
      <c r="N36" s="64" t="str">
        <f>IF($C$2=FALSE,"-",[1]!RETRIEVE_WEB_DATA_ELEMENT_FUNC($C$3,5037))</f>
        <v>-</v>
      </c>
    </row>
    <row r="37" spans="2:14" ht="15" customHeight="1" thickBot="1">
      <c r="B37" s="77"/>
      <c r="C37" s="72" t="s">
        <v>77</v>
      </c>
      <c r="D37" s="269" t="str">
        <f>IF($C$2=FALSE,"-",[1]!RETRIEVE_WEB_DATA_ELEMENT_FUNC($C$3,5111))</f>
        <v>-</v>
      </c>
      <c r="E37" s="270" t="str">
        <f>IF($C$2=FALSE,"-",[1]!RETRIEVE_WEB_DATA_ELEMENT_FUNC($C$3,5132))</f>
        <v>-</v>
      </c>
      <c r="G37" s="66" t="s">
        <v>87</v>
      </c>
      <c r="H37" s="259" t="str">
        <f>IF($C$2=FALSE,"-",[1]!RETRIEVE_WEB_DATA_ELEMENT_FUNC($C$3,4941))</f>
        <v>-</v>
      </c>
    </row>
    <row r="38" spans="2:14" ht="15" customHeight="1">
      <c r="B38" s="75" t="s">
        <v>86</v>
      </c>
      <c r="C38" s="74" t="s">
        <v>85</v>
      </c>
      <c r="D38" s="265" t="str">
        <f>IF($C$2=FALSE,"-",[1]!RETRIEVE_WEB_DATA_ELEMENT_FUNC($C$3,5112))</f>
        <v>-</v>
      </c>
      <c r="E38" s="261" t="str">
        <f>IF($C$2=FALSE,"-",[1]!RETRIEVE_WEB_DATA_ELEMENT_FUNC($C$3,5133))</f>
        <v>-</v>
      </c>
      <c r="G38" s="65" t="s">
        <v>84</v>
      </c>
      <c r="H38" s="260" t="str">
        <f>IF($C$2=FALSE,"-",[1]!RETRIEVE_WEB_DATA_ELEMENT_FUNC($C$3,4942))</f>
        <v>-</v>
      </c>
    </row>
    <row r="39" spans="2:14" ht="15" customHeight="1">
      <c r="B39" s="75"/>
      <c r="C39" s="74" t="s">
        <v>83</v>
      </c>
      <c r="D39" s="265" t="str">
        <f>IF($C$2=FALSE,"-",[1]!RETRIEVE_WEB_DATA_ELEMENT_FUNC($C$3,5113))</f>
        <v>-</v>
      </c>
      <c r="E39" s="261" t="str">
        <f>IF($C$2=FALSE,"-",[1]!RETRIEVE_WEB_DATA_ELEMENT_FUNC($C$3,5134))</f>
        <v>-</v>
      </c>
    </row>
    <row r="40" spans="2:14" ht="15" customHeight="1">
      <c r="B40" s="75"/>
      <c r="C40" s="74" t="s">
        <v>21</v>
      </c>
      <c r="D40" s="265" t="str">
        <f>IF($C$2=FALSE,"-",[1]!RETRIEVE_WEB_DATA_ELEMENT_FUNC($C$3,5114))</f>
        <v>-</v>
      </c>
      <c r="E40" s="261" t="str">
        <f>IF($C$2=FALSE,"-",[1]!RETRIEVE_WEB_DATA_ELEMENT_FUNC($C$3,5135))</f>
        <v>-</v>
      </c>
      <c r="H40" s="76" t="s">
        <v>82</v>
      </c>
      <c r="I40" s="76" t="s">
        <v>81</v>
      </c>
    </row>
    <row r="41" spans="2:14" ht="15" customHeight="1">
      <c r="B41" s="75"/>
      <c r="C41" s="74" t="s">
        <v>80</v>
      </c>
      <c r="D41" s="265" t="str">
        <f>IF($C$2=FALSE,"-",[1]!RETRIEVE_WEB_DATA_ELEMENT_FUNC($C$3,5115))</f>
        <v>-</v>
      </c>
      <c r="E41" s="261" t="str">
        <f>IF($C$2=FALSE,"-",[1]!RETRIEVE_WEB_DATA_ELEMENT_FUNC($C$3,5136))</f>
        <v>-</v>
      </c>
      <c r="G41" s="68" t="s">
        <v>79</v>
      </c>
      <c r="H41" s="258" t="str">
        <f>IF($C$2=FALSE,"-",[1]!RETRIEVE_WEB_DATA_ELEMENT_FUNC($C$3,5073))</f>
        <v>-</v>
      </c>
      <c r="I41" s="64" t="str">
        <f>IF($C$2=FALSE,"-",[1]!RETRIEVE_WEB_DATA_ELEMENT_FUNC($C$3,5074))</f>
        <v>-</v>
      </c>
    </row>
    <row r="42" spans="2:14" ht="15" customHeight="1">
      <c r="B42" s="75"/>
      <c r="C42" s="74" t="s">
        <v>19</v>
      </c>
      <c r="D42" s="265" t="str">
        <f>IF($C$2=FALSE,"-",[1]!RETRIEVE_WEB_DATA_ELEMENT_FUNC($C$3,5116))</f>
        <v>-</v>
      </c>
      <c r="E42" s="261" t="str">
        <f>IF($C$2=FALSE,"-",[1]!RETRIEVE_WEB_DATA_ELEMENT_FUNC($C$3,5137))</f>
        <v>-</v>
      </c>
      <c r="G42" s="68" t="s">
        <v>78</v>
      </c>
      <c r="H42" s="258" t="str">
        <f>IF($C$2=FALSE,"-",[1]!RETRIEVE_WEB_DATA_ELEMENT_FUNC($C$3,5075))</f>
        <v>-</v>
      </c>
      <c r="I42" s="64" t="str">
        <f>IF($C$2=FALSE,"-",[1]!RETRIEVE_WEB_DATA_ELEMENT_FUNC($C$3,5076))</f>
        <v>-</v>
      </c>
    </row>
    <row r="43" spans="2:14" ht="15" customHeight="1">
      <c r="B43" s="75"/>
      <c r="C43" s="74" t="s">
        <v>18</v>
      </c>
      <c r="D43" s="265" t="str">
        <f>IF($C$2=FALSE,"-",[1]!RETRIEVE_WEB_DATA_ELEMENT_FUNC($C$3,5117))</f>
        <v>-</v>
      </c>
      <c r="E43" s="261" t="str">
        <f>IF($C$2=FALSE,"-",[1]!RETRIEVE_WEB_DATA_ELEMENT_FUNC($C$3,5138))</f>
        <v>-</v>
      </c>
    </row>
    <row r="44" spans="2:14" ht="15" customHeight="1" thickBot="1">
      <c r="B44" s="73"/>
      <c r="C44" s="72" t="s">
        <v>77</v>
      </c>
      <c r="D44" s="271" t="str">
        <f>IF($C$2=FALSE,"-",[1]!RETRIEVE_WEB_DATA_ELEMENT_FUNC($C$3,5118))</f>
        <v>-</v>
      </c>
      <c r="E44" s="272" t="str">
        <f>IF($C$2=FALSE,"-",[1]!RETRIEVE_WEB_DATA_ELEMENT_FUNC($C$3,5139))</f>
        <v>-</v>
      </c>
    </row>
    <row r="46" spans="2:14" ht="15" customHeight="1">
      <c r="B46" s="70" t="s">
        <v>76</v>
      </c>
      <c r="C46" s="71"/>
      <c r="D46" s="71"/>
      <c r="E46" s="69"/>
      <c r="G46" s="70" t="s">
        <v>75</v>
      </c>
      <c r="H46" s="69"/>
    </row>
    <row r="47" spans="2:14" ht="15" customHeight="1">
      <c r="B47" s="68" t="s">
        <v>74</v>
      </c>
      <c r="C47" s="68" t="s">
        <v>73</v>
      </c>
      <c r="D47" s="68" t="s">
        <v>72</v>
      </c>
      <c r="E47" s="68" t="s">
        <v>71</v>
      </c>
      <c r="G47" s="67" t="s">
        <v>70</v>
      </c>
      <c r="H47" s="253" t="str">
        <f>IF($C$2=FALSE,"-",IF(ISNUMBER([1]!RETRIEVE_WEB_DATA_ELEMENT_FUNC($C$3,5140)),[1]!RETRIEVE_WEB_DATA_ELEMENT_FUNC($C$3,5140)/100,0))</f>
        <v>-</v>
      </c>
    </row>
    <row r="48" spans="2:14" ht="15" customHeight="1">
      <c r="B48" s="64" t="str">
        <f>IF($C$2=FALSE,"-",[1]!RETRIEVE_WEB_DATA_ELEMENT_FUNC($C$3,5144))</f>
        <v>-</v>
      </c>
      <c r="C48" s="64" t="str">
        <f>IF($C$2=FALSE,"-",[1]!RETRIEVE_WEB_DATA_ELEMENT_FUNC($C$3,5145))</f>
        <v>-</v>
      </c>
      <c r="D48" s="251" t="str">
        <f>IF($C$2=FALSE,"-",[1]!RETRIEVE_WEB_DATA_ELEMENT_FUNC($C$3,5146)/100)</f>
        <v>-</v>
      </c>
      <c r="E48" s="251" t="str">
        <f>IF($C$2=FALSE,"-",IF(ISNUMBER([1]!RETRIEVE_WEB_DATA_ELEMENT_FUNC($C$3,5147)),[1]!RETRIEVE_WEB_DATA_ELEMENT_FUNC($C$3,5147)/100,"--"))</f>
        <v>-</v>
      </c>
      <c r="G48" s="66" t="s">
        <v>69</v>
      </c>
      <c r="H48" s="254" t="str">
        <f>IF($C$2=FALSE,"-",IF(ISNUMBER([1]!RETRIEVE_WEB_DATA_ELEMENT_FUNC($C$3,5141)),[1]!RETRIEVE_WEB_DATA_ELEMENT_FUNC($C$3,5141)/100,0))</f>
        <v>-</v>
      </c>
    </row>
    <row r="49" spans="2:8" ht="15" customHeight="1">
      <c r="B49" s="64" t="str">
        <f>IF($C$2=FALSE,"-",[1]!RETRIEVE_WEB_DATA_ELEMENT_FUNC($C$3,5148))</f>
        <v>-</v>
      </c>
      <c r="C49" s="64" t="str">
        <f>IF($C$2=FALSE,"-",[1]!RETRIEVE_WEB_DATA_ELEMENT_FUNC($C$3,5149))</f>
        <v>-</v>
      </c>
      <c r="D49" s="251" t="str">
        <f>IF($C$2=FALSE,"-",[1]!RETRIEVE_WEB_DATA_ELEMENT_FUNC($C$3,5150)/100)</f>
        <v>-</v>
      </c>
      <c r="E49" s="251" t="str">
        <f>IF($C$2=FALSE,"-",IF(ISNUMBER([1]!RETRIEVE_WEB_DATA_ELEMENT_FUNC($C$3,5151)),[1]!RETRIEVE_WEB_DATA_ELEMENT_FUNC($C$3,5151)/100,"--"))</f>
        <v>-</v>
      </c>
      <c r="G49" s="66" t="s">
        <v>68</v>
      </c>
      <c r="H49" s="254" t="str">
        <f>IF($C$2=FALSE,"-",IF(ISNUMBER([1]!RETRIEVE_WEB_DATA_ELEMENT_FUNC($C$3,5142)),[1]!RETRIEVE_WEB_DATA_ELEMENT_FUNC($C$3,5142)/100,0))</f>
        <v>-</v>
      </c>
    </row>
    <row r="50" spans="2:8" ht="15" customHeight="1">
      <c r="B50" s="64" t="str">
        <f>IF($C$2=FALSE,"-",[1]!RETRIEVE_WEB_DATA_ELEMENT_FUNC($C$3,5152))</f>
        <v>-</v>
      </c>
      <c r="C50" s="64" t="str">
        <f>IF($C$2=FALSE,"-",[1]!RETRIEVE_WEB_DATA_ELEMENT_FUNC($C$3,5153))</f>
        <v>-</v>
      </c>
      <c r="D50" s="251" t="str">
        <f>IF($C$2=FALSE,"-",[1]!RETRIEVE_WEB_DATA_ELEMENT_FUNC($C$3,5154)/100)</f>
        <v>-</v>
      </c>
      <c r="E50" s="251" t="str">
        <f>IF($C$2=FALSE,"-",IF(ISNUMBER([1]!RETRIEVE_WEB_DATA_ELEMENT_FUNC($C$3,5155)),[1]!RETRIEVE_WEB_DATA_ELEMENT_FUNC($C$3,5155)/100,"--"))</f>
        <v>-</v>
      </c>
      <c r="G50" s="65" t="s">
        <v>67</v>
      </c>
      <c r="H50" s="255" t="str">
        <f>IF($C$2=FALSE,"-",IF(ISNUMBER([1]!RETRIEVE_WEB_DATA_ELEMENT_FUNC($C$3,5143)),[1]!RETRIEVE_WEB_DATA_ELEMENT_FUNC($C$3,5143)/100,0))</f>
        <v>-</v>
      </c>
    </row>
    <row r="51" spans="2:8" ht="15" customHeight="1">
      <c r="B51" s="64" t="str">
        <f>IF($C$2=FALSE,"-",[1]!RETRIEVE_WEB_DATA_ELEMENT_FUNC($C$3,5156))</f>
        <v>-</v>
      </c>
      <c r="C51" s="64" t="str">
        <f>IF($C$2=FALSE,"-",[1]!RETRIEVE_WEB_DATA_ELEMENT_FUNC($C$3,5157))</f>
        <v>-</v>
      </c>
      <c r="D51" s="251" t="str">
        <f>IF($C$2=FALSE,"-",[1]!RETRIEVE_WEB_DATA_ELEMENT_FUNC($C$3,5158)/100)</f>
        <v>-</v>
      </c>
      <c r="E51" s="251" t="str">
        <f>IF($C$2=FALSE,"-",IF(ISNUMBER([1]!RETRIEVE_WEB_DATA_ELEMENT_FUNC($C$3,5159)),[1]!RETRIEVE_WEB_DATA_ELEMENT_FUNC($C$3,5159)/100,"--"))</f>
        <v>-</v>
      </c>
    </row>
    <row r="52" spans="2:8" ht="15" customHeight="1">
      <c r="B52" s="64" t="str">
        <f>IF($C$2=FALSE,"-",[1]!RETRIEVE_WEB_DATA_ELEMENT_FUNC($C$3,5160))</f>
        <v>-</v>
      </c>
      <c r="C52" s="64" t="str">
        <f>IF($C$2=FALSE,"-",[1]!RETRIEVE_WEB_DATA_ELEMENT_FUNC($C$3,5161))</f>
        <v>-</v>
      </c>
      <c r="D52" s="251" t="str">
        <f>IF($C$2=FALSE,"-",[1]!RETRIEVE_WEB_DATA_ELEMENT_FUNC($C$3,5162)/100)</f>
        <v>-</v>
      </c>
      <c r="E52" s="251" t="str">
        <f>IF($C$2=FALSE,"-",IF(ISNUMBER([1]!RETRIEVE_WEB_DATA_ELEMENT_FUNC($C$3,5163)),[1]!RETRIEVE_WEB_DATA_ELEMENT_FUNC($C$3,5163)/100,"--"))</f>
        <v>-</v>
      </c>
    </row>
    <row r="53" spans="2:8" ht="15" customHeight="1">
      <c r="B53" s="64" t="str">
        <f>IF($C$2=FALSE,"-",[1]!RETRIEVE_WEB_DATA_ELEMENT_FUNC($C$3,5164))</f>
        <v>-</v>
      </c>
      <c r="C53" s="64" t="str">
        <f>IF($C$2=FALSE,"-",[1]!RETRIEVE_WEB_DATA_ELEMENT_FUNC($C$3,5165))</f>
        <v>-</v>
      </c>
      <c r="D53" s="251" t="str">
        <f>IF($C$2=FALSE,"-",[1]!RETRIEVE_WEB_DATA_ELEMENT_FUNC($C$3,5166)/100)</f>
        <v>-</v>
      </c>
      <c r="E53" s="251" t="str">
        <f>IF($C$2=FALSE,"-",IF(ISNUMBER([1]!RETRIEVE_WEB_DATA_ELEMENT_FUNC($C$3,5167)),[1]!RETRIEVE_WEB_DATA_ELEMENT_FUNC($C$3,5167)/100,"--"))</f>
        <v>-</v>
      </c>
    </row>
    <row r="54" spans="2:8" ht="15" customHeight="1">
      <c r="B54" s="64" t="str">
        <f>IF($C$2=FALSE,"-",[1]!RETRIEVE_WEB_DATA_ELEMENT_FUNC($C$3,5168))</f>
        <v>-</v>
      </c>
      <c r="C54" s="64" t="str">
        <f>IF($C$2=FALSE,"-",[1]!RETRIEVE_WEB_DATA_ELEMENT_FUNC($C$3,5169))</f>
        <v>-</v>
      </c>
      <c r="D54" s="251" t="str">
        <f>IF($C$2=FALSE,"-",[1]!RETRIEVE_WEB_DATA_ELEMENT_FUNC($C$3,5170)/100)</f>
        <v>-</v>
      </c>
      <c r="E54" s="251" t="str">
        <f>IF($C$2=FALSE,"-",IF(ISNUMBER([1]!RETRIEVE_WEB_DATA_ELEMENT_FUNC($C$3,5171)),[1]!RETRIEVE_WEB_DATA_ELEMENT_FUNC($C$3,5171)/100,"--"))</f>
        <v>-</v>
      </c>
    </row>
    <row r="55" spans="2:8" ht="15" customHeight="1">
      <c r="B55" s="64" t="str">
        <f>IF($C$2=FALSE,"-",[1]!RETRIEVE_WEB_DATA_ELEMENT_FUNC($C$3,5172))</f>
        <v>-</v>
      </c>
      <c r="C55" s="64" t="str">
        <f>IF($C$2=FALSE,"-",[1]!RETRIEVE_WEB_DATA_ELEMENT_FUNC($C$3,5173))</f>
        <v>-</v>
      </c>
      <c r="D55" s="251" t="str">
        <f>IF($C$2=FALSE,"-",[1]!RETRIEVE_WEB_DATA_ELEMENT_FUNC($C$3,5174)/100)</f>
        <v>-</v>
      </c>
      <c r="E55" s="251" t="str">
        <f>IF($C$2=FALSE,"-",IF(ISNUMBER([1]!RETRIEVE_WEB_DATA_ELEMENT_FUNC($C$3,5175)),[1]!RETRIEVE_WEB_DATA_ELEMENT_FUNC($C$3,5175)/100,"--"))</f>
        <v>-</v>
      </c>
    </row>
    <row r="56" spans="2:8" ht="15" customHeight="1">
      <c r="B56" s="64" t="str">
        <f>IF($C$2=FALSE,"-",[1]!RETRIEVE_WEB_DATA_ELEMENT_FUNC($C$3,5176))</f>
        <v>-</v>
      </c>
      <c r="C56" s="64" t="str">
        <f>IF($C$2=FALSE,"-",[1]!RETRIEVE_WEB_DATA_ELEMENT_FUNC($C$3,5177))</f>
        <v>-</v>
      </c>
      <c r="D56" s="251" t="str">
        <f>IF($C$2=FALSE,"-",[1]!RETRIEVE_WEB_DATA_ELEMENT_FUNC($C$3,5178)/100)</f>
        <v>-</v>
      </c>
      <c r="E56" s="251" t="str">
        <f>IF($C$2=FALSE,"-",IF(ISNUMBER([1]!RETRIEVE_WEB_DATA_ELEMENT_FUNC($C$3,5179)),[1]!RETRIEVE_WEB_DATA_ELEMENT_FUNC($C$3,5179)/100,"--"))</f>
        <v>-</v>
      </c>
    </row>
    <row r="57" spans="2:8" ht="15" customHeight="1">
      <c r="B57" s="64" t="str">
        <f>IF($C$2=FALSE,"-",[1]!RETRIEVE_WEB_DATA_ELEMENT_FUNC($C$3,5180))</f>
        <v>-</v>
      </c>
      <c r="C57" s="64" t="str">
        <f>IF($C$2=FALSE,"-",[1]!RETRIEVE_WEB_DATA_ELEMENT_FUNC($C$3,5181))</f>
        <v>-</v>
      </c>
      <c r="D57" s="251" t="str">
        <f>IF($C$2=FALSE,"-",[1]!RETRIEVE_WEB_DATA_ELEMENT_FUNC($C$3,5182)/100)</f>
        <v>-</v>
      </c>
      <c r="E57" s="251" t="str">
        <f>IF($C$2=FALSE,"-",IF(ISNUMBER([1]!RETRIEVE_WEB_DATA_ELEMENT_FUNC($C$3,5183)),[1]!RETRIEVE_WEB_DATA_ELEMENT_FUNC($C$3,5183)/100,"--"))</f>
        <v>-</v>
      </c>
    </row>
  </sheetData>
  <mergeCells count="1">
    <mergeCell ref="B6:E12"/>
  </mergeCells>
  <dataValidations count="1">
    <dataValidation type="list" allowBlank="1" showInputMessage="1" showErrorMessage="1" sqref="C2">
      <formula1>"TRUE,FALSE"</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rgb="FFFFFF00"/>
  </sheetPr>
  <dimension ref="A1:L72"/>
  <sheetViews>
    <sheetView workbookViewId="0">
      <selection activeCell="C3" sqref="C3"/>
    </sheetView>
  </sheetViews>
  <sheetFormatPr defaultColWidth="15.625" defaultRowHeight="15" customHeight="1"/>
  <cols>
    <col min="1" max="1" width="3.625" style="1" customWidth="1"/>
    <col min="2" max="6" width="15.625" style="1"/>
    <col min="7" max="7" width="15.625" style="1" customWidth="1"/>
    <col min="8" max="16384" width="15.625" style="1"/>
  </cols>
  <sheetData>
    <row r="1" spans="2:10" ht="15" customHeight="1">
      <c r="B1" s="135"/>
    </row>
    <row r="2" spans="2:10" ht="15" customHeight="1">
      <c r="B2" s="62" t="s">
        <v>66</v>
      </c>
      <c r="C2" s="94" t="b">
        <v>0</v>
      </c>
    </row>
    <row r="3" spans="2:10" ht="15" customHeight="1">
      <c r="B3" s="62" t="s">
        <v>65</v>
      </c>
      <c r="C3" s="239" t="s">
        <v>124</v>
      </c>
    </row>
    <row r="5" spans="2:10" ht="15" customHeight="1">
      <c r="B5" s="129" t="s">
        <v>168</v>
      </c>
      <c r="C5" s="128"/>
      <c r="D5" s="128"/>
      <c r="E5" s="127"/>
      <c r="F5" s="121"/>
      <c r="G5" s="133" t="str">
        <f>IF($C$2=FALSE,"-","Regional Exposure as of "&amp;[1]!RETRIEVE_WEB_DATA_ELEMENT_FUNC($C$3,4770))</f>
        <v>-</v>
      </c>
      <c r="H5" s="132"/>
      <c r="J5" s="121"/>
    </row>
    <row r="6" spans="2:10" ht="15" customHeight="1">
      <c r="B6" s="124"/>
      <c r="C6" s="124" t="s">
        <v>103</v>
      </c>
      <c r="D6" s="124" t="s">
        <v>167</v>
      </c>
      <c r="E6" s="124" t="s">
        <v>141</v>
      </c>
      <c r="F6" s="121"/>
      <c r="G6" s="124" t="s">
        <v>166</v>
      </c>
      <c r="H6" s="124" t="s">
        <v>153</v>
      </c>
      <c r="J6" s="121"/>
    </row>
    <row r="7" spans="2:10" ht="15" customHeight="1">
      <c r="B7" s="134" t="s">
        <v>165</v>
      </c>
      <c r="C7" s="130" t="str">
        <f>IF($C$2=FALSE,"-",[1]!RETRIEVE_WEB_DATA_ELEMENT_FUNC($C$3,4681))</f>
        <v>-</v>
      </c>
      <c r="D7" s="130" t="str">
        <f>IF($C$2=FALSE,"-",[1]!RETRIEVE_WEB_DATA_ELEMENT_FUNC($C$3,4682))</f>
        <v>-</v>
      </c>
      <c r="E7" s="130" t="str">
        <f>IF($C$2=FALSE,"-",[1]!RETRIEVE_WEB_DATA_ELEMENT_FUNC($C$3,4683))</f>
        <v>-</v>
      </c>
      <c r="F7" s="121"/>
      <c r="G7" s="130" t="str">
        <f>IF($C$2=FALSE,"-",[1]!RETRIEVE_WEB_DATA_ELEMENT_FUNC($C$3,4771,"---"))</f>
        <v>-</v>
      </c>
      <c r="H7" s="130" t="str">
        <f>IF($C$2=FALSE,"-",[1]!RETRIEVE_WEB_DATA_ELEMENT_FUNC($C$3,4772,0))</f>
        <v>-</v>
      </c>
      <c r="J7" s="121"/>
    </row>
    <row r="8" spans="2:10" ht="15" customHeight="1">
      <c r="B8" s="134" t="s">
        <v>121</v>
      </c>
      <c r="C8" s="130" t="str">
        <f>IF($C$2=FALSE,"-",[1]!RETRIEVE_WEB_DATA_ELEMENT_FUNC($C$3,4684))</f>
        <v>-</v>
      </c>
      <c r="D8" s="130" t="str">
        <f>IF($C$2=FALSE,"-",[1]!RETRIEVE_WEB_DATA_ELEMENT_FUNC($C$3,4685))</f>
        <v>-</v>
      </c>
      <c r="E8" s="130" t="str">
        <f>IF($C$2=FALSE,"-",[1]!RETRIEVE_WEB_DATA_ELEMENT_FUNC($C$3,4686))</f>
        <v>-</v>
      </c>
      <c r="F8" s="121"/>
      <c r="G8" s="130" t="str">
        <f>IF($C$2=FALSE,"-",[1]!RETRIEVE_WEB_DATA_ELEMENT_FUNC($C$3,4773,"---"))</f>
        <v>-</v>
      </c>
      <c r="H8" s="130" t="str">
        <f>IF($C$2=FALSE,"-",[1]!RETRIEVE_WEB_DATA_ELEMENT_FUNC($C$3,4774,0))</f>
        <v>-</v>
      </c>
      <c r="J8" s="121"/>
    </row>
    <row r="9" spans="2:10" ht="15" customHeight="1">
      <c r="B9" s="134" t="s">
        <v>120</v>
      </c>
      <c r="C9" s="130" t="str">
        <f>IF($C$2=FALSE,"-",[1]!RETRIEVE_WEB_DATA_ELEMENT_FUNC($C$3,4687))</f>
        <v>-</v>
      </c>
      <c r="D9" s="130" t="str">
        <f>IF($C$2=FALSE,"-",[1]!RETRIEVE_WEB_DATA_ELEMENT_FUNC($C$3,4688))</f>
        <v>-</v>
      </c>
      <c r="E9" s="130" t="str">
        <f>IF($C$2=FALSE,"-",[1]!RETRIEVE_WEB_DATA_ELEMENT_FUNC($C$3,4689))</f>
        <v>-</v>
      </c>
      <c r="F9" s="121"/>
      <c r="G9" s="130" t="str">
        <f>IF($C$2=FALSE,"-",[1]!RETRIEVE_WEB_DATA_ELEMENT_FUNC($C$3,4775,"---"))</f>
        <v>-</v>
      </c>
      <c r="H9" s="130" t="str">
        <f>IF($C$2=FALSE,"-",[1]!RETRIEVE_WEB_DATA_ELEMENT_FUNC($C$3,4776,0))</f>
        <v>-</v>
      </c>
      <c r="J9" s="121"/>
    </row>
    <row r="10" spans="2:10" ht="15" customHeight="1">
      <c r="B10" s="134" t="s">
        <v>164</v>
      </c>
      <c r="C10" s="130" t="str">
        <f>IF($C$2=FALSE,"-",[1]!RETRIEVE_WEB_DATA_ELEMENT_FUNC($C$3,4690))</f>
        <v>-</v>
      </c>
      <c r="D10" s="130" t="str">
        <f>IF($C$2=FALSE,"-",[1]!RETRIEVE_WEB_DATA_ELEMENT_FUNC($C$3,4691))</f>
        <v>-</v>
      </c>
      <c r="E10" s="130" t="str">
        <f>IF($C$2=FALSE,"-",[1]!RETRIEVE_WEB_DATA_ELEMENT_FUNC($C$3,4692))</f>
        <v>-</v>
      </c>
      <c r="F10" s="121"/>
      <c r="G10" s="130" t="str">
        <f>IF($C$2=FALSE,"-",[1]!RETRIEVE_WEB_DATA_ELEMENT_FUNC($C$3,4777,"---"))</f>
        <v>-</v>
      </c>
      <c r="H10" s="130" t="str">
        <f>IF($C$2=FALSE,"-",[1]!RETRIEVE_WEB_DATA_ELEMENT_FUNC($C$3,4778,0))</f>
        <v>-</v>
      </c>
      <c r="J10" s="121"/>
    </row>
    <row r="11" spans="2:10" ht="15" customHeight="1">
      <c r="B11" s="134" t="s">
        <v>163</v>
      </c>
      <c r="C11" s="130" t="str">
        <f>IF($C$2=FALSE,"-",[1]!RETRIEVE_WEB_DATA_ELEMENT_FUNC($C$3,4693))</f>
        <v>-</v>
      </c>
      <c r="D11" s="130" t="str">
        <f>IF($C$2=FALSE,"-",[1]!RETRIEVE_WEB_DATA_ELEMENT_FUNC($C$3,4694))</f>
        <v>-</v>
      </c>
      <c r="E11" s="130" t="str">
        <f>IF($C$2=FALSE,"-",[1]!RETRIEVE_WEB_DATA_ELEMENT_FUNC($C$3,4695))</f>
        <v>-</v>
      </c>
      <c r="F11" s="121"/>
      <c r="G11" s="130" t="str">
        <f>IF($C$2=FALSE,"-",[1]!RETRIEVE_WEB_DATA_ELEMENT_FUNC($C$3,4779,"---"))</f>
        <v>-</v>
      </c>
      <c r="H11" s="130" t="str">
        <f>IF($C$2=FALSE,"-",[1]!RETRIEVE_WEB_DATA_ELEMENT_FUNC($C$3,4780,0))</f>
        <v>-</v>
      </c>
      <c r="J11" s="121"/>
    </row>
    <row r="12" spans="2:10" ht="15" customHeight="1">
      <c r="B12" s="134" t="s">
        <v>162</v>
      </c>
      <c r="C12" s="130" t="str">
        <f>IF($C$2=FALSE,"-",[1]!RETRIEVE_WEB_DATA_ELEMENT_FUNC($C$3,4696))</f>
        <v>-</v>
      </c>
      <c r="D12" s="130" t="str">
        <f>IF($C$2=FALSE,"-",[1]!RETRIEVE_WEB_DATA_ELEMENT_FUNC($C$3,4697))</f>
        <v>-</v>
      </c>
      <c r="E12" s="130" t="str">
        <f>IF($C$2=FALSE,"-",[1]!RETRIEVE_WEB_DATA_ELEMENT_FUNC($C$3,4698))</f>
        <v>-</v>
      </c>
      <c r="F12" s="121"/>
      <c r="G12" s="130" t="str">
        <f>IF($C$2=FALSE,"-",[1]!RETRIEVE_WEB_DATA_ELEMENT_FUNC($C$3,4781,"---"))</f>
        <v>-</v>
      </c>
      <c r="H12" s="130" t="str">
        <f>IF($C$2=FALSE,"-",[1]!RETRIEVE_WEB_DATA_ELEMENT_FUNC($C$3,4782,0))</f>
        <v>-</v>
      </c>
      <c r="J12" s="121"/>
    </row>
    <row r="13" spans="2:10" ht="15" customHeight="1">
      <c r="B13" s="134" t="s">
        <v>161</v>
      </c>
      <c r="C13" s="130" t="str">
        <f>IF($C$2=FALSE,"-",[1]!RETRIEVE_WEB_DATA_ELEMENT_FUNC($C$3,4699))</f>
        <v>-</v>
      </c>
      <c r="D13" s="130" t="str">
        <f>IF($C$2=FALSE,"-",[1]!RETRIEVE_WEB_DATA_ELEMENT_FUNC($C$3,4700))</f>
        <v>-</v>
      </c>
      <c r="E13" s="130" t="str">
        <f>IF($C$2=FALSE,"-",[1]!RETRIEVE_WEB_DATA_ELEMENT_FUNC($C$3,4701))</f>
        <v>-</v>
      </c>
      <c r="F13" s="121"/>
      <c r="G13" s="130" t="str">
        <f>IF($C$2=FALSE,"-",[1]!RETRIEVE_WEB_DATA_ELEMENT_FUNC($C$3,4783,"---"))</f>
        <v>-</v>
      </c>
      <c r="H13" s="130" t="str">
        <f>IF($C$2=FALSE,"-",[1]!RETRIEVE_WEB_DATA_ELEMENT_FUNC($C$3,4784,0))</f>
        <v>-</v>
      </c>
      <c r="J13" s="121"/>
    </row>
    <row r="14" spans="2:10" ht="15" customHeight="1">
      <c r="B14" s="134" t="s">
        <v>160</v>
      </c>
      <c r="C14" s="130" t="str">
        <f>IF($C$2=FALSE,"-",[1]!RETRIEVE_WEB_DATA_ELEMENT_FUNC($C$3,4702))</f>
        <v>-</v>
      </c>
      <c r="D14" s="130" t="str">
        <f>IF($C$2=FALSE,"-",[1]!RETRIEVE_WEB_DATA_ELEMENT_FUNC($C$3,4703))</f>
        <v>-</v>
      </c>
      <c r="E14" s="130" t="str">
        <f>IF($C$2=FALSE,"-",[1]!RETRIEVE_WEB_DATA_ELEMENT_FUNC($C$3,4704))</f>
        <v>-</v>
      </c>
      <c r="F14" s="121"/>
      <c r="G14" s="130" t="str">
        <f>IF($C$2=FALSE,"-",[1]!RETRIEVE_WEB_DATA_ELEMENT_FUNC($C$3,4785,"---"))</f>
        <v>-</v>
      </c>
      <c r="H14" s="130" t="str">
        <f>IF($C$2=FALSE,"-",[1]!RETRIEVE_WEB_DATA_ELEMENT_FUNC($C$3,4786,0))</f>
        <v>-</v>
      </c>
      <c r="J14" s="121"/>
    </row>
    <row r="15" spans="2:10" ht="15" customHeight="1">
      <c r="B15" s="134" t="s">
        <v>159</v>
      </c>
      <c r="C15" s="130" t="str">
        <f>IF($C$2=FALSE,"-",[1]!RETRIEVE_WEB_DATA_ELEMENT_FUNC($C$3,4705))</f>
        <v>-</v>
      </c>
      <c r="D15" s="130" t="str">
        <f>IF($C$2=FALSE,"-",[1]!RETRIEVE_WEB_DATA_ELEMENT_FUNC($C$3,4706))</f>
        <v>-</v>
      </c>
      <c r="E15" s="130" t="str">
        <f>IF($C$2=FALSE,"-",[1]!RETRIEVE_WEB_DATA_ELEMENT_FUNC($C$3,4707))</f>
        <v>-</v>
      </c>
      <c r="F15" s="121"/>
      <c r="G15" s="130" t="str">
        <f>IF($C$2=FALSE,"-",[1]!RETRIEVE_WEB_DATA_ELEMENT_FUNC($C$3,4787,"---"))</f>
        <v>-</v>
      </c>
      <c r="H15" s="130" t="str">
        <f>IF($C$2=FALSE,"-",[1]!RETRIEVE_WEB_DATA_ELEMENT_FUNC($C$3,4788,0))</f>
        <v>-</v>
      </c>
      <c r="J15" s="121"/>
    </row>
    <row r="16" spans="2:10" ht="15" customHeight="1">
      <c r="B16" s="134" t="s">
        <v>158</v>
      </c>
      <c r="C16" s="130" t="str">
        <f>IF($C$2=FALSE,"-",[1]!RETRIEVE_WEB_DATA_ELEMENT_FUNC($C$3,4708))</f>
        <v>-</v>
      </c>
      <c r="D16" s="130" t="str">
        <f>IF($C$2=FALSE,"-",[1]!RETRIEVE_WEB_DATA_ELEMENT_FUNC($C$3,4709))</f>
        <v>-</v>
      </c>
      <c r="E16" s="130" t="str">
        <f>IF($C$2=FALSE,"-",[1]!RETRIEVE_WEB_DATA_ELEMENT_FUNC($C$3,4710))</f>
        <v>-</v>
      </c>
      <c r="F16" s="121"/>
      <c r="G16" s="130" t="str">
        <f>IF($C$2=FALSE,"-",[1]!RETRIEVE_WEB_DATA_ELEMENT_FUNC($C$3,4789,"---"))</f>
        <v>-</v>
      </c>
      <c r="H16" s="130" t="str">
        <f>IF($C$2=FALSE,"-",[1]!RETRIEVE_WEB_DATA_ELEMENT_FUNC($C$3,4790,0))</f>
        <v>-</v>
      </c>
      <c r="J16" s="121"/>
    </row>
    <row r="17" spans="2:10" ht="15" customHeight="1">
      <c r="F17" s="121"/>
      <c r="G17" s="121"/>
      <c r="J17" s="121"/>
    </row>
    <row r="18" spans="2:10" ht="15" customHeight="1">
      <c r="B18" s="129" t="str">
        <f>IF($C$2=FALSE,"-","Asset Allocations as of "&amp;TEXT([1]!RETRIEVE_WEB_DATA_ELEMENT_FUNC($C$3,4711),"dd-mmm-yyyy"))</f>
        <v>-</v>
      </c>
      <c r="C18" s="128"/>
      <c r="D18" s="128"/>
      <c r="E18" s="127"/>
      <c r="F18" s="121"/>
      <c r="G18" s="133" t="str">
        <f>IF($C$2=FALSE,"-","Country Exposure as of "&amp;[1]!RETRIEVE_WEB_DATA_ELEMENT_FUNC($C$3,4770))</f>
        <v>-</v>
      </c>
      <c r="H18" s="132"/>
      <c r="J18" s="121"/>
    </row>
    <row r="19" spans="2:10" ht="15" customHeight="1">
      <c r="B19" s="124"/>
      <c r="C19" s="124" t="s">
        <v>157</v>
      </c>
      <c r="D19" s="124" t="s">
        <v>156</v>
      </c>
      <c r="E19" s="124" t="s">
        <v>155</v>
      </c>
      <c r="F19" s="121"/>
      <c r="G19" s="124" t="s">
        <v>154</v>
      </c>
      <c r="H19" s="124" t="s">
        <v>153</v>
      </c>
      <c r="J19" s="121"/>
    </row>
    <row r="20" spans="2:10" ht="15" customHeight="1">
      <c r="B20" s="122" t="s">
        <v>70</v>
      </c>
      <c r="C20" s="130" t="str">
        <f>IF($C$2=FALSE,"-",[1]!RETRIEVE_WEB_DATA_ELEMENT_FUNC($C$3,4712))</f>
        <v>-</v>
      </c>
      <c r="D20" s="130" t="str">
        <f>IF($C$2=FALSE,"-",[1]!RETRIEVE_WEB_DATA_ELEMENT_FUNC($C$3,4713))</f>
        <v>-</v>
      </c>
      <c r="E20" s="130" t="str">
        <f>IF($C$2=FALSE,"-",[1]!RETRIEVE_WEB_DATA_ELEMENT_FUNC($C$3,4714))</f>
        <v>-</v>
      </c>
      <c r="F20" s="121"/>
      <c r="G20" s="130" t="str">
        <f>IF($C$2=FALSE,"-",[1]!RETRIEVE_WEB_DATA_ELEMENT_FUNC($C$3,4791,"---"))</f>
        <v>-</v>
      </c>
      <c r="H20" s="130" t="str">
        <f>IF($C$2=FALSE,"-",[1]!RETRIEVE_WEB_DATA_ELEMENT_FUNC($C$3,4792,0))</f>
        <v>-</v>
      </c>
      <c r="J20" s="121"/>
    </row>
    <row r="21" spans="2:10" ht="15" customHeight="1">
      <c r="B21" s="122" t="s">
        <v>69</v>
      </c>
      <c r="C21" s="130" t="str">
        <f>IF($C$2=FALSE,"-",[1]!RETRIEVE_WEB_DATA_ELEMENT_FUNC($C$3,4715))</f>
        <v>-</v>
      </c>
      <c r="D21" s="130" t="str">
        <f>IF($C$2=FALSE,"-",[1]!RETRIEVE_WEB_DATA_ELEMENT_FUNC($C$3,4716))</f>
        <v>-</v>
      </c>
      <c r="E21" s="130" t="str">
        <f>IF($C$2=FALSE,"-",[1]!RETRIEVE_WEB_DATA_ELEMENT_FUNC($C$3,4717))</f>
        <v>-</v>
      </c>
      <c r="F21" s="121"/>
      <c r="G21" s="130" t="str">
        <f>IF($C$2=FALSE,"-",[1]!RETRIEVE_WEB_DATA_ELEMENT_FUNC($C$3,4793,"---"))</f>
        <v>-</v>
      </c>
      <c r="H21" s="130" t="str">
        <f>IF($C$2=FALSE,"-",[1]!RETRIEVE_WEB_DATA_ELEMENT_FUNC($C$3,4794,0))</f>
        <v>-</v>
      </c>
      <c r="J21" s="121"/>
    </row>
    <row r="22" spans="2:10" ht="15" customHeight="1">
      <c r="B22" s="122" t="s">
        <v>68</v>
      </c>
      <c r="C22" s="130" t="str">
        <f>IF($C$2=FALSE,"-",[1]!RETRIEVE_WEB_DATA_ELEMENT_FUNC($C$3,4718))</f>
        <v>-</v>
      </c>
      <c r="D22" s="130" t="str">
        <f>IF($C$2=FALSE,"-",[1]!RETRIEVE_WEB_DATA_ELEMENT_FUNC($C$3,4719))</f>
        <v>-</v>
      </c>
      <c r="E22" s="130" t="str">
        <f>IF($C$2=FALSE,"-",[1]!RETRIEVE_WEB_DATA_ELEMENT_FUNC($C$3,4720))</f>
        <v>-</v>
      </c>
      <c r="F22" s="121"/>
      <c r="G22" s="130" t="str">
        <f>IF($C$2=FALSE,"-",[1]!RETRIEVE_WEB_DATA_ELEMENT_FUNC($C$3,4795,"---"))</f>
        <v>-</v>
      </c>
      <c r="H22" s="130" t="str">
        <f>IF($C$2=FALSE,"-",[1]!RETRIEVE_WEB_DATA_ELEMENT_FUNC($C$3,4796,0))</f>
        <v>-</v>
      </c>
      <c r="J22" s="121"/>
    </row>
    <row r="23" spans="2:10" ht="15" customHeight="1">
      <c r="B23" s="122" t="s">
        <v>67</v>
      </c>
      <c r="C23" s="130" t="str">
        <f>IF($C$2=FALSE,"-",[1]!RETRIEVE_WEB_DATA_ELEMENT_FUNC($C$3,4721))</f>
        <v>-</v>
      </c>
      <c r="D23" s="130" t="str">
        <f>IF($C$2=FALSE,"-",[1]!RETRIEVE_WEB_DATA_ELEMENT_FUNC($C$3,4722))</f>
        <v>-</v>
      </c>
      <c r="E23" s="130" t="str">
        <f>IF($C$2=FALSE,"-",[1]!RETRIEVE_WEB_DATA_ELEMENT_FUNC($C$3,4723))</f>
        <v>-</v>
      </c>
      <c r="F23" s="121"/>
      <c r="G23" s="130" t="str">
        <f>IF($C$2=FALSE,"-",[1]!RETRIEVE_WEB_DATA_ELEMENT_FUNC($C$3,4797,"---"))</f>
        <v>-</v>
      </c>
      <c r="H23" s="130" t="str">
        <f>IF($C$2=FALSE,"-",[1]!RETRIEVE_WEB_DATA_ELEMENT_FUNC($C$3,4798,0))</f>
        <v>-</v>
      </c>
      <c r="J23" s="121"/>
    </row>
    <row r="24" spans="2:10" ht="15" customHeight="1">
      <c r="B24" s="122" t="s">
        <v>152</v>
      </c>
      <c r="C24" s="130" t="str">
        <f>IF($C$2=FALSE,"-",[1]!RETRIEVE_WEB_DATA_ELEMENT_FUNC($C$3,4724))</f>
        <v>-</v>
      </c>
      <c r="D24" s="130" t="str">
        <f>IF($C$2=FALSE,"-",[1]!RETRIEVE_WEB_DATA_ELEMENT_FUNC($C$3,4725))</f>
        <v>-</v>
      </c>
      <c r="E24" s="130" t="str">
        <f>IF($C$2=FALSE,"-",[1]!RETRIEVE_WEB_DATA_ELEMENT_FUNC($C$3,4726))</f>
        <v>-</v>
      </c>
      <c r="F24" s="121"/>
      <c r="G24" s="130" t="str">
        <f>IF($C$2=FALSE,"-",[1]!RETRIEVE_WEB_DATA_ELEMENT_FUNC($C$3,4799,"---"))</f>
        <v>-</v>
      </c>
      <c r="H24" s="130" t="str">
        <f>IF($C$2=FALSE,"-",[1]!RETRIEVE_WEB_DATA_ELEMENT_FUNC($C$3,4800,0))</f>
        <v>-</v>
      </c>
      <c r="J24" s="121"/>
    </row>
    <row r="25" spans="2:10" ht="15" customHeight="1">
      <c r="F25" s="121"/>
      <c r="G25" s="130" t="str">
        <f>IF($C$2=FALSE,"-",[1]!RETRIEVE_WEB_DATA_ELEMENT_FUNC($C$3,4801,"---"))</f>
        <v>-</v>
      </c>
      <c r="H25" s="130" t="str">
        <f>IF($C$2=FALSE,"-",[1]!RETRIEVE_WEB_DATA_ELEMENT_FUNC($C$3,4802,0))</f>
        <v>-</v>
      </c>
      <c r="J25" s="121"/>
    </row>
    <row r="26" spans="2:10" ht="15" customHeight="1">
      <c r="B26" s="129" t="s">
        <v>151</v>
      </c>
      <c r="C26" s="127"/>
      <c r="D26" s="121"/>
      <c r="E26" s="121"/>
      <c r="F26" s="121"/>
      <c r="G26" s="130" t="str">
        <f>IF($C$2=FALSE,"-",[1]!RETRIEVE_WEB_DATA_ELEMENT_FUNC($C$3,4803,"---"))</f>
        <v>-</v>
      </c>
      <c r="H26" s="130" t="str">
        <f>IF($C$2=FALSE,"-",[1]!RETRIEVE_WEB_DATA_ELEMENT_FUNC($C$3,4804,0))</f>
        <v>-</v>
      </c>
      <c r="J26" s="121"/>
    </row>
    <row r="27" spans="2:10" ht="15" customHeight="1">
      <c r="B27" s="131" t="s">
        <v>150</v>
      </c>
      <c r="C27" s="131"/>
      <c r="D27" s="121"/>
      <c r="E27" s="121"/>
      <c r="F27" s="121"/>
      <c r="G27" s="130" t="str">
        <f>IF($C$2=FALSE,"-",[1]!RETRIEVE_WEB_DATA_ELEMENT_FUNC($C$3,4805,"---"))</f>
        <v>-</v>
      </c>
      <c r="H27" s="130" t="str">
        <f>IF($C$2=FALSE,"-",[1]!RETRIEVE_WEB_DATA_ELEMENT_FUNC($C$3,4806,0))</f>
        <v>-</v>
      </c>
      <c r="J27" s="121"/>
    </row>
    <row r="28" spans="2:10" ht="15" customHeight="1">
      <c r="B28" s="122" t="s">
        <v>149</v>
      </c>
      <c r="C28" s="130" t="str">
        <f>IF($C$2=FALSE,"-",[1]!RETRIEVE_WEB_DATA_ELEMENT_FUNC($C$3,4728))</f>
        <v>-</v>
      </c>
      <c r="D28" s="121"/>
      <c r="E28" s="121"/>
      <c r="F28" s="121"/>
      <c r="G28" s="130" t="str">
        <f>IF($C$2=FALSE,"-",[1]!RETRIEVE_WEB_DATA_ELEMENT_FUNC($C$3,4807,"---"))</f>
        <v>-</v>
      </c>
      <c r="H28" s="130" t="str">
        <f>IF($C$2=FALSE,"-",[1]!RETRIEVE_WEB_DATA_ELEMENT_FUNC($C$3,4808,0))</f>
        <v>-</v>
      </c>
      <c r="J28" s="121"/>
    </row>
    <row r="29" spans="2:10" ht="15" customHeight="1">
      <c r="B29" s="122" t="s">
        <v>148</v>
      </c>
      <c r="C29" s="130" t="str">
        <f>IF($C$2=FALSE,"-",[1]!RETRIEVE_WEB_DATA_ELEMENT_FUNC($C$3,4729))</f>
        <v>-</v>
      </c>
      <c r="D29" s="121"/>
      <c r="E29" s="121"/>
      <c r="F29" s="121"/>
      <c r="G29" s="130" t="str">
        <f>IF($C$2=FALSE,"-",[1]!RETRIEVE_WEB_DATA_ELEMENT_FUNC($C$3,4809,"---"))</f>
        <v>-</v>
      </c>
      <c r="H29" s="130" t="str">
        <f>IF($C$2=FALSE,"-",[1]!RETRIEVE_WEB_DATA_ELEMENT_FUNC($C$3,4810,0))</f>
        <v>-</v>
      </c>
      <c r="I29" s="121"/>
      <c r="J29" s="121"/>
    </row>
    <row r="30" spans="2:10" ht="15" customHeight="1">
      <c r="B30" s="122" t="s">
        <v>147</v>
      </c>
      <c r="C30" s="130" t="str">
        <f>IF($C$2=FALSE,"-",[1]!RETRIEVE_WEB_DATA_ELEMENT_FUNC($C$3,4730))</f>
        <v>-</v>
      </c>
      <c r="D30" s="121"/>
      <c r="E30" s="121"/>
      <c r="F30" s="121"/>
      <c r="G30" s="121"/>
      <c r="H30" s="121"/>
      <c r="I30" s="121"/>
      <c r="J30" s="121"/>
    </row>
    <row r="31" spans="2:10" ht="15" customHeight="1">
      <c r="B31" s="122" t="s">
        <v>146</v>
      </c>
      <c r="C31" s="130" t="str">
        <f>IF($C$2=FALSE,"-",[1]!RETRIEVE_WEB_DATA_ELEMENT_FUNC($C$3,4731))</f>
        <v>-</v>
      </c>
      <c r="D31" s="121"/>
      <c r="E31" s="121"/>
      <c r="F31" s="121"/>
      <c r="G31" s="121"/>
      <c r="H31" s="121"/>
      <c r="I31" s="121"/>
      <c r="J31" s="121"/>
    </row>
    <row r="32" spans="2:10" ht="15" customHeight="1">
      <c r="B32" s="122" t="s">
        <v>145</v>
      </c>
      <c r="C32" s="130" t="str">
        <f>IF($C$2=FALSE,"-",[1]!RETRIEVE_WEB_DATA_ELEMENT_FUNC($C$3,4732))</f>
        <v>-</v>
      </c>
      <c r="D32" s="121"/>
      <c r="E32" s="121"/>
      <c r="F32" s="121"/>
      <c r="G32" s="121"/>
      <c r="H32" s="121"/>
      <c r="I32" s="121"/>
      <c r="J32" s="121"/>
    </row>
    <row r="33" spans="1:10" ht="15" customHeight="1">
      <c r="B33" s="122" t="s">
        <v>144</v>
      </c>
      <c r="C33" s="247" t="str">
        <f>IF($C$2=FALSE,"-",[1]!RETRIEVE_WEB_DATA_ELEMENT_FUNC($C$3,4727))</f>
        <v>-</v>
      </c>
      <c r="D33" s="121"/>
      <c r="E33" s="121"/>
      <c r="F33" s="121"/>
      <c r="G33" s="121"/>
      <c r="H33" s="121"/>
      <c r="I33" s="121"/>
      <c r="J33" s="121"/>
    </row>
    <row r="34" spans="1:10" ht="15" customHeight="1">
      <c r="F34" s="121"/>
      <c r="G34" s="121"/>
      <c r="H34" s="121"/>
      <c r="I34" s="121"/>
      <c r="J34" s="121"/>
    </row>
    <row r="35" spans="1:10" ht="15" customHeight="1">
      <c r="B35" s="121"/>
      <c r="C35" s="129" t="str">
        <f>IF($C$2=FALSE,"-","Sector Weightings as of "&amp;TEXT([1]!RETRIEVE_WEB_DATA_ELEMENT_FUNC($C$3,4733),"mmm-yy"))</f>
        <v>-</v>
      </c>
      <c r="D35" s="128"/>
      <c r="E35" s="128"/>
      <c r="F35" s="127"/>
      <c r="G35" s="121"/>
      <c r="H35" s="121"/>
      <c r="I35" s="121"/>
      <c r="J35" s="121"/>
    </row>
    <row r="36" spans="1:10" ht="15" customHeight="1">
      <c r="B36" s="121"/>
      <c r="C36" s="126"/>
      <c r="D36" s="125" t="s">
        <v>143</v>
      </c>
      <c r="E36" s="125" t="s">
        <v>142</v>
      </c>
      <c r="F36" s="125" t="s">
        <v>141</v>
      </c>
      <c r="G36" s="121"/>
      <c r="H36" s="121"/>
      <c r="I36" s="121"/>
      <c r="J36" s="121"/>
    </row>
    <row r="37" spans="1:10" ht="3" customHeight="1">
      <c r="A37" s="121"/>
      <c r="B37" s="121"/>
      <c r="C37" s="121"/>
      <c r="D37" s="121"/>
      <c r="E37" s="121"/>
      <c r="F37" s="121"/>
      <c r="G37" s="121"/>
      <c r="H37" s="121"/>
      <c r="I37" s="121"/>
      <c r="J37" s="121"/>
    </row>
    <row r="38" spans="1:10" ht="15" customHeight="1">
      <c r="B38" s="122" t="s">
        <v>140</v>
      </c>
      <c r="C38" s="119" t="s">
        <v>139</v>
      </c>
      <c r="D38" s="130" t="str">
        <f>IF($C$2=FALSE,"-",[1]!RETRIEVE_WEB_DATA_ELEMENT_FUNC($C$3,4734))</f>
        <v>-</v>
      </c>
      <c r="E38" s="130" t="str">
        <f>IF($C$2=FALSE,"-",[1]!RETRIEVE_WEB_DATA_ELEMENT_FUNC($C$3,4735))</f>
        <v>-</v>
      </c>
      <c r="F38" s="130" t="str">
        <f>IF($C$2=FALSE,"-",[1]!RETRIEVE_WEB_DATA_ELEMENT_FUNC($C$3,4736))</f>
        <v>-</v>
      </c>
      <c r="G38" s="121"/>
      <c r="H38" s="121"/>
      <c r="I38" s="121"/>
      <c r="J38" s="121"/>
    </row>
    <row r="39" spans="1:10" ht="15" customHeight="1">
      <c r="B39" s="120"/>
      <c r="C39" s="119" t="s">
        <v>138</v>
      </c>
      <c r="D39" s="130" t="str">
        <f>IF($C$2=FALSE,"-",[1]!RETRIEVE_WEB_DATA_ELEMENT_FUNC($C$3,4737))</f>
        <v>-</v>
      </c>
      <c r="E39" s="130" t="str">
        <f>IF($C$2=FALSE,"-",[1]!RETRIEVE_WEB_DATA_ELEMENT_FUNC($C$3,4738))</f>
        <v>-</v>
      </c>
      <c r="F39" s="130" t="str">
        <f>IF($C$2=FALSE,"-",[1]!RETRIEVE_WEB_DATA_ELEMENT_FUNC($C$3,4739))</f>
        <v>-</v>
      </c>
      <c r="G39" s="121"/>
      <c r="H39" s="121"/>
      <c r="I39" s="121"/>
      <c r="J39" s="121"/>
    </row>
    <row r="40" spans="1:10" ht="15" customHeight="1">
      <c r="B40" s="120"/>
      <c r="C40" s="119" t="s">
        <v>137</v>
      </c>
      <c r="D40" s="130" t="str">
        <f>IF($C$2=FALSE,"-",[1]!RETRIEVE_WEB_DATA_ELEMENT_FUNC($C$3,4740))</f>
        <v>-</v>
      </c>
      <c r="E40" s="130" t="str">
        <f>IF($C$2=FALSE,"-",[1]!RETRIEVE_WEB_DATA_ELEMENT_FUNC($C$3,4741))</f>
        <v>-</v>
      </c>
      <c r="F40" s="130" t="str">
        <f>IF($C$2=FALSE,"-",[1]!RETRIEVE_WEB_DATA_ELEMENT_FUNC($C$3,4742))</f>
        <v>-</v>
      </c>
      <c r="G40" s="121"/>
      <c r="H40" s="121"/>
      <c r="I40" s="121"/>
      <c r="J40" s="121"/>
    </row>
    <row r="41" spans="1:10" ht="15" customHeight="1">
      <c r="B41" s="120"/>
      <c r="C41" s="119" t="s">
        <v>136</v>
      </c>
      <c r="D41" s="130" t="str">
        <f>IF($C$2=FALSE,"-",[1]!RETRIEVE_WEB_DATA_ELEMENT_FUNC($C$3,4743))</f>
        <v>-</v>
      </c>
      <c r="E41" s="130" t="str">
        <f>IF($C$2=FALSE,"-",[1]!RETRIEVE_WEB_DATA_ELEMENT_FUNC($C$3,4744))</f>
        <v>-</v>
      </c>
      <c r="F41" s="130" t="str">
        <f>IF($C$2=FALSE,"-",[1]!RETRIEVE_WEB_DATA_ELEMENT_FUNC($C$3,4745))</f>
        <v>-</v>
      </c>
      <c r="G41" s="121"/>
      <c r="H41" s="121"/>
      <c r="I41" s="121"/>
      <c r="J41" s="121"/>
    </row>
    <row r="42" spans="1:10" ht="4.5" customHeight="1">
      <c r="B42" s="120"/>
      <c r="C42" s="120"/>
      <c r="D42" s="120"/>
      <c r="E42" s="120"/>
      <c r="F42" s="120"/>
      <c r="G42" s="120"/>
      <c r="H42" s="120"/>
      <c r="I42" s="121"/>
      <c r="J42" s="121"/>
    </row>
    <row r="43" spans="1:10" ht="15" customHeight="1">
      <c r="B43" s="124" t="s">
        <v>135</v>
      </c>
      <c r="C43" s="123" t="s">
        <v>134</v>
      </c>
      <c r="D43" s="130" t="str">
        <f>IF($C$2=FALSE,"-",[1]!RETRIEVE_WEB_DATA_ELEMENT_FUNC($C$3,4746))</f>
        <v>-</v>
      </c>
      <c r="E43" s="130" t="str">
        <f>IF($C$2=FALSE,"-",[1]!RETRIEVE_WEB_DATA_ELEMENT_FUNC($C$3,4747))</f>
        <v>-</v>
      </c>
      <c r="F43" s="130" t="str">
        <f>IF($C$2=FALSE,"-",[1]!RETRIEVE_WEB_DATA_ELEMENT_FUNC($C$3,4748))</f>
        <v>-</v>
      </c>
      <c r="G43" s="121"/>
      <c r="H43" s="121"/>
      <c r="I43" s="121"/>
      <c r="J43" s="121"/>
    </row>
    <row r="44" spans="1:10" ht="15" customHeight="1">
      <c r="B44" s="120"/>
      <c r="C44" s="123" t="s">
        <v>133</v>
      </c>
      <c r="D44" s="130" t="str">
        <f>IF($C$2=FALSE,"-",[1]!RETRIEVE_WEB_DATA_ELEMENT_FUNC($C$3,4749))</f>
        <v>-</v>
      </c>
      <c r="E44" s="130" t="str">
        <f>IF($C$2=FALSE,"-",[1]!RETRIEVE_WEB_DATA_ELEMENT_FUNC($C$3,4750))</f>
        <v>-</v>
      </c>
      <c r="F44" s="130" t="str">
        <f>IF($C$2=FALSE,"-",[1]!RETRIEVE_WEB_DATA_ELEMENT_FUNC($C$3,4751))</f>
        <v>-</v>
      </c>
      <c r="G44" s="121"/>
      <c r="H44" s="121"/>
      <c r="I44" s="121"/>
      <c r="J44" s="121"/>
    </row>
    <row r="45" spans="1:10" ht="15" customHeight="1">
      <c r="B45" s="120"/>
      <c r="C45" s="123" t="s">
        <v>132</v>
      </c>
      <c r="D45" s="130" t="str">
        <f>IF($C$2=FALSE,"-",[1]!RETRIEVE_WEB_DATA_ELEMENT_FUNC($C$3,4752))</f>
        <v>-</v>
      </c>
      <c r="E45" s="130" t="str">
        <f>IF($C$2=FALSE,"-",[1]!RETRIEVE_WEB_DATA_ELEMENT_FUNC($C$3,4753))</f>
        <v>-</v>
      </c>
      <c r="F45" s="130" t="str">
        <f>IF($C$2=FALSE,"-",[1]!RETRIEVE_WEB_DATA_ELEMENT_FUNC($C$3,4754))</f>
        <v>-</v>
      </c>
      <c r="G45" s="121"/>
      <c r="H45" s="121"/>
      <c r="I45" s="121"/>
      <c r="J45" s="121"/>
    </row>
    <row r="46" spans="1:10" ht="15" customHeight="1">
      <c r="B46" s="120"/>
      <c r="C46" s="123" t="s">
        <v>131</v>
      </c>
      <c r="D46" s="130" t="str">
        <f>IF($C$2=FALSE,"-",[1]!RETRIEVE_WEB_DATA_ELEMENT_FUNC($C$3,4755))</f>
        <v>-</v>
      </c>
      <c r="E46" s="130" t="str">
        <f>IF($C$2=FALSE,"-",[1]!RETRIEVE_WEB_DATA_ELEMENT_FUNC($C$3,4756))</f>
        <v>-</v>
      </c>
      <c r="F46" s="130" t="str">
        <f>IF($C$2=FALSE,"-",[1]!RETRIEVE_WEB_DATA_ELEMENT_FUNC($C$3,4757))</f>
        <v>-</v>
      </c>
      <c r="G46" s="121"/>
      <c r="H46" s="121"/>
      <c r="I46" s="121"/>
      <c r="J46" s="121"/>
    </row>
    <row r="47" spans="1:10" ht="4.5" customHeight="1">
      <c r="B47" s="120"/>
      <c r="C47" s="120"/>
      <c r="D47" s="120"/>
      <c r="E47" s="120"/>
      <c r="F47" s="120"/>
      <c r="G47" s="120"/>
      <c r="H47" s="121"/>
      <c r="I47" s="121"/>
      <c r="J47" s="121"/>
    </row>
    <row r="48" spans="1:10" ht="15" customHeight="1">
      <c r="B48" s="122" t="s">
        <v>130</v>
      </c>
      <c r="C48" s="119" t="s">
        <v>129</v>
      </c>
      <c r="D48" s="130" t="str">
        <f>IF($C$2=FALSE,"-",[1]!RETRIEVE_WEB_DATA_ELEMENT_FUNC($C$3,4758))</f>
        <v>-</v>
      </c>
      <c r="E48" s="130" t="str">
        <f>IF($C$2=FALSE,"-",[1]!RETRIEVE_WEB_DATA_ELEMENT_FUNC($C$3,4759))</f>
        <v>-</v>
      </c>
      <c r="F48" s="130" t="str">
        <f>IF($C$2=FALSE,"-",[1]!RETRIEVE_WEB_DATA_ELEMENT_FUNC($C$3,4760))</f>
        <v>-</v>
      </c>
      <c r="G48" s="121"/>
      <c r="H48" s="121"/>
      <c r="I48" s="121"/>
      <c r="J48" s="121"/>
    </row>
    <row r="49" spans="2:12" ht="15" customHeight="1">
      <c r="B49" s="120"/>
      <c r="C49" s="119" t="s">
        <v>128</v>
      </c>
      <c r="D49" s="130" t="str">
        <f>IF($C$2=FALSE,"-",[1]!RETRIEVE_WEB_DATA_ELEMENT_FUNC($C$3,4761))</f>
        <v>-</v>
      </c>
      <c r="E49" s="130" t="str">
        <f>IF($C$2=FALSE,"-",[1]!RETRIEVE_WEB_DATA_ELEMENT_FUNC($C$3,4762))</f>
        <v>-</v>
      </c>
      <c r="F49" s="130" t="str">
        <f>IF($C$2=FALSE,"-",[1]!RETRIEVE_WEB_DATA_ELEMENT_FUNC($C$3,4763))</f>
        <v>-</v>
      </c>
    </row>
    <row r="50" spans="2:12" ht="15" customHeight="1">
      <c r="B50" s="120"/>
      <c r="C50" s="119" t="s">
        <v>127</v>
      </c>
      <c r="D50" s="130" t="str">
        <f>IF($C$2=FALSE,"-",[1]!RETRIEVE_WEB_DATA_ELEMENT_FUNC($C$3,4764))</f>
        <v>-</v>
      </c>
      <c r="E50" s="130" t="str">
        <f>IF($C$2=FALSE,"-",[1]!RETRIEVE_WEB_DATA_ELEMENT_FUNC($C$3,4765))</f>
        <v>-</v>
      </c>
      <c r="F50" s="130" t="str">
        <f>IF($C$2=FALSE,"-",[1]!RETRIEVE_WEB_DATA_ELEMENT_FUNC($C$3,4766))</f>
        <v>-</v>
      </c>
    </row>
    <row r="51" spans="2:12" ht="15" customHeight="1">
      <c r="B51" s="120"/>
      <c r="C51" s="119" t="s">
        <v>126</v>
      </c>
      <c r="D51" s="130" t="str">
        <f>IF($C$2=FALSE,"-",[1]!RETRIEVE_WEB_DATA_ELEMENT_FUNC($C$3,4767))</f>
        <v>-</v>
      </c>
      <c r="E51" s="130" t="str">
        <f>IF($C$2=FALSE,"-",[1]!RETRIEVE_WEB_DATA_ELEMENT_FUNC($C$3,4768))</f>
        <v>-</v>
      </c>
      <c r="F51" s="130" t="str">
        <f>IF($C$2=FALSE,"-",[1]!RETRIEVE_WEB_DATA_ELEMENT_FUNC($C$3,4769))</f>
        <v>-</v>
      </c>
    </row>
    <row r="53" spans="2:12" ht="15" customHeight="1">
      <c r="D53" s="118" t="s">
        <v>125</v>
      </c>
      <c r="E53" s="117"/>
      <c r="F53" s="117"/>
      <c r="G53" s="117"/>
      <c r="H53" s="117"/>
      <c r="I53" s="117"/>
      <c r="J53" s="117"/>
      <c r="K53" s="117"/>
      <c r="L53" s="116"/>
    </row>
    <row r="54" spans="2:12" ht="13.5">
      <c r="D54" s="59" t="s">
        <v>17</v>
      </c>
      <c r="E54" s="114" t="s">
        <v>16</v>
      </c>
      <c r="F54" s="115" t="s">
        <v>15</v>
      </c>
      <c r="G54" s="115" t="s">
        <v>14</v>
      </c>
      <c r="H54" s="114" t="s">
        <v>13</v>
      </c>
      <c r="I54" s="59" t="s">
        <v>12</v>
      </c>
      <c r="J54" s="59" t="s">
        <v>11</v>
      </c>
      <c r="K54" s="59" t="s">
        <v>10</v>
      </c>
      <c r="L54" s="59" t="s">
        <v>9</v>
      </c>
    </row>
    <row r="55" spans="2:12" ht="15" customHeight="1">
      <c r="B55" s="113" t="str">
        <f>IF($C$2=FALSE,"-","Historical Performance through "&amp;[1]!RETRIEVE_WEB_DATA_ELEMENT_FUNC($C$3,4814))</f>
        <v>-</v>
      </c>
      <c r="C55" s="112"/>
      <c r="D55" s="111" t="str">
        <f>IF($C$2=FALSE,"-",[1]!RETRIEVE_WEB_DATA_ELEMENT_FUNC($C$3,4816))</f>
        <v>-</v>
      </c>
      <c r="E55" s="245" t="str">
        <f>IF($C$2=FALSE,"-",[1]!RETRIEVE_WEB_DATA_ELEMENT_FUNC($C$3,4856))</f>
        <v>-</v>
      </c>
      <c r="F55" s="245" t="str">
        <f>IF($C$2=FALSE,"-",[1]!RETRIEVE_WEB_DATA_ELEMENT_FUNC($C$3,4864))</f>
        <v>-</v>
      </c>
      <c r="G55" s="245" t="str">
        <f>IF($C$2=FALSE,"-",[1]!RETRIEVE_WEB_DATA_ELEMENT_FUNC($C$3,4872))</f>
        <v>-</v>
      </c>
      <c r="H55" s="96" t="str">
        <f>IF($C$2=FALSE,"-",[1]!RETRIEVE_WEB_DATA_ELEMENT_FUNC($C$3,4880))</f>
        <v>-</v>
      </c>
      <c r="I55" s="246" t="str">
        <f>IF($C$2=FALSE,"-",[1]!RETRIEVE_WEB_DATA_ELEMENT_FUNC($C$3,4824))</f>
        <v>-</v>
      </c>
      <c r="J55" s="246" t="str">
        <f>IF($C$2=FALSE,"-",[1]!RETRIEVE_WEB_DATA_ELEMENT_FUNC($C$3,4832))</f>
        <v>-</v>
      </c>
      <c r="K55" s="246" t="str">
        <f>IF($C$2=FALSE,"-",[1]!RETRIEVE_WEB_DATA_ELEMENT_FUNC($C$3,4840))</f>
        <v>-</v>
      </c>
      <c r="L55" s="246" t="str">
        <f>IF($C$2=FALSE,"-",[1]!RETRIEVE_WEB_DATA_ELEMENT_FUNC($C$3,4848))</f>
        <v>-</v>
      </c>
    </row>
    <row r="56" spans="2:12" ht="15" customHeight="1">
      <c r="C56" s="98"/>
      <c r="D56" s="111" t="str">
        <f>IF($C$2=FALSE,"-",[1]!RETRIEVE_WEB_DATA_ELEMENT_FUNC($C$3,4817))</f>
        <v>-</v>
      </c>
      <c r="E56" s="245" t="str">
        <f>IF($C$2=FALSE,"-",[1]!RETRIEVE_WEB_DATA_ELEMENT_FUNC($C$3,4857))</f>
        <v>-</v>
      </c>
      <c r="F56" s="245" t="str">
        <f>IF($C$2=FALSE,"-",[1]!RETRIEVE_WEB_DATA_ELEMENT_FUNC($C$3,4865))</f>
        <v>-</v>
      </c>
      <c r="G56" s="245" t="str">
        <f>IF($C$2=FALSE,"-",[1]!RETRIEVE_WEB_DATA_ELEMENT_FUNC($C$3,4873))</f>
        <v>-</v>
      </c>
      <c r="H56" s="96" t="str">
        <f>IF($C$2=FALSE,"-",[1]!RETRIEVE_WEB_DATA_ELEMENT_FUNC($C$3,4881))</f>
        <v>-</v>
      </c>
      <c r="I56" s="246" t="str">
        <f>IF($C$2=FALSE,"-",[1]!RETRIEVE_WEB_DATA_ELEMENT_FUNC($C$3,4825))</f>
        <v>-</v>
      </c>
      <c r="J56" s="246" t="str">
        <f>IF($C$2=FALSE,"-",[1]!RETRIEVE_WEB_DATA_ELEMENT_FUNC($C$3,4833))</f>
        <v>-</v>
      </c>
      <c r="K56" s="246" t="str">
        <f>IF($C$2=FALSE,"-",[1]!RETRIEVE_WEB_DATA_ELEMENT_FUNC($C$3,4841))</f>
        <v>-</v>
      </c>
      <c r="L56" s="246" t="str">
        <f>IF($C$2=FALSE,"-",[1]!RETRIEVE_WEB_DATA_ELEMENT_FUNC($C$3,4849))</f>
        <v>-</v>
      </c>
    </row>
    <row r="57" spans="2:12" ht="15" customHeight="1">
      <c r="C57" s="98"/>
      <c r="D57" s="111" t="str">
        <f>IF($C$2=FALSE,"-",[1]!RETRIEVE_WEB_DATA_ELEMENT_FUNC($C$3,4818))</f>
        <v>-</v>
      </c>
      <c r="E57" s="245" t="str">
        <f>IF($C$2=FALSE,"-",[1]!RETRIEVE_WEB_DATA_ELEMENT_FUNC($C$3,4858))</f>
        <v>-</v>
      </c>
      <c r="F57" s="245" t="str">
        <f>IF($C$2=FALSE,"-",[1]!RETRIEVE_WEB_DATA_ELEMENT_FUNC($C$3,4866))</f>
        <v>-</v>
      </c>
      <c r="G57" s="245" t="str">
        <f>IF($C$2=FALSE,"-",[1]!RETRIEVE_WEB_DATA_ELEMENT_FUNC($C$3,4874))</f>
        <v>-</v>
      </c>
      <c r="H57" s="96" t="str">
        <f>IF($C$2=FALSE,"-",[1]!RETRIEVE_WEB_DATA_ELEMENT_FUNC($C$3,4882))</f>
        <v>-</v>
      </c>
      <c r="I57" s="246" t="str">
        <f>IF($C$2=FALSE,"-",[1]!RETRIEVE_WEB_DATA_ELEMENT_FUNC($C$3,4826))</f>
        <v>-</v>
      </c>
      <c r="J57" s="246" t="str">
        <f>IF($C$2=FALSE,"-",[1]!RETRIEVE_WEB_DATA_ELEMENT_FUNC($C$3,4834))</f>
        <v>-</v>
      </c>
      <c r="K57" s="246" t="str">
        <f>IF($C$2=FALSE,"-",[1]!RETRIEVE_WEB_DATA_ELEMENT_FUNC($C$3,4842))</f>
        <v>-</v>
      </c>
      <c r="L57" s="246" t="str">
        <f>IF($C$2=FALSE,"-",[1]!RETRIEVE_WEB_DATA_ELEMENT_FUNC($C$3,4850))</f>
        <v>-</v>
      </c>
    </row>
    <row r="58" spans="2:12" ht="15" customHeight="1">
      <c r="C58" s="98"/>
      <c r="D58" s="111" t="str">
        <f>IF($C$2=FALSE,"-",[1]!RETRIEVE_WEB_DATA_ELEMENT_FUNC($C$3,4819))</f>
        <v>-</v>
      </c>
      <c r="E58" s="245" t="str">
        <f>IF($C$2=FALSE,"-",[1]!RETRIEVE_WEB_DATA_ELEMENT_FUNC($C$3,4859))</f>
        <v>-</v>
      </c>
      <c r="F58" s="245" t="str">
        <f>IF($C$2=FALSE,"-",[1]!RETRIEVE_WEB_DATA_ELEMENT_FUNC($C$3,4867))</f>
        <v>-</v>
      </c>
      <c r="G58" s="245" t="str">
        <f>IF($C$2=FALSE,"-",[1]!RETRIEVE_WEB_DATA_ELEMENT_FUNC($C$3,4875))</f>
        <v>-</v>
      </c>
      <c r="H58" s="96" t="str">
        <f>IF($C$2=FALSE,"-",[1]!RETRIEVE_WEB_DATA_ELEMENT_FUNC($C$3,4883))</f>
        <v>-</v>
      </c>
      <c r="I58" s="246" t="str">
        <f>IF($C$2=FALSE,"-",[1]!RETRIEVE_WEB_DATA_ELEMENT_FUNC($C$3,4827))</f>
        <v>-</v>
      </c>
      <c r="J58" s="246" t="str">
        <f>IF($C$2=FALSE,"-",[1]!RETRIEVE_WEB_DATA_ELEMENT_FUNC($C$3,4835))</f>
        <v>-</v>
      </c>
      <c r="K58" s="246" t="str">
        <f>IF($C$2=FALSE,"-",[1]!RETRIEVE_WEB_DATA_ELEMENT_FUNC($C$3,4843))</f>
        <v>-</v>
      </c>
      <c r="L58" s="246" t="str">
        <f>IF($C$2=FALSE,"-",[1]!RETRIEVE_WEB_DATA_ELEMENT_FUNC($C$3,4851))</f>
        <v>-</v>
      </c>
    </row>
    <row r="59" spans="2:12" ht="15" customHeight="1">
      <c r="C59" s="98"/>
      <c r="D59" s="111" t="str">
        <f>IF($C$2=FALSE,"-",[1]!RETRIEVE_WEB_DATA_ELEMENT_FUNC($C$3,4820))</f>
        <v>-</v>
      </c>
      <c r="E59" s="245" t="str">
        <f>IF($C$2=FALSE,"-",[1]!RETRIEVE_WEB_DATA_ELEMENT_FUNC($C$3,4860))</f>
        <v>-</v>
      </c>
      <c r="F59" s="245" t="str">
        <f>IF($C$2=FALSE,"-",[1]!RETRIEVE_WEB_DATA_ELEMENT_FUNC($C$3,4868))</f>
        <v>-</v>
      </c>
      <c r="G59" s="245" t="str">
        <f>IF($C$2=FALSE,"-",[1]!RETRIEVE_WEB_DATA_ELEMENT_FUNC($C$3,4876))</f>
        <v>-</v>
      </c>
      <c r="H59" s="96" t="str">
        <f>IF($C$2=FALSE,"-",[1]!RETRIEVE_WEB_DATA_ELEMENT_FUNC($C$3,4884))</f>
        <v>-</v>
      </c>
      <c r="I59" s="246" t="str">
        <f>IF($C$2=FALSE,"-",[1]!RETRIEVE_WEB_DATA_ELEMENT_FUNC($C$3,4828))</f>
        <v>-</v>
      </c>
      <c r="J59" s="246" t="str">
        <f>IF($C$2=FALSE,"-",[1]!RETRIEVE_WEB_DATA_ELEMENT_FUNC($C$3,4836))</f>
        <v>-</v>
      </c>
      <c r="K59" s="246" t="str">
        <f>IF($C$2=FALSE,"-",[1]!RETRIEVE_WEB_DATA_ELEMENT_FUNC($C$3,4844))</f>
        <v>-</v>
      </c>
      <c r="L59" s="246" t="str">
        <f>IF($C$2=FALSE,"-",[1]!RETRIEVE_WEB_DATA_ELEMENT_FUNC($C$3,4852))</f>
        <v>-</v>
      </c>
    </row>
    <row r="60" spans="2:12" ht="15" customHeight="1">
      <c r="C60" s="98"/>
      <c r="D60" s="111" t="str">
        <f>IF($C$2=FALSE,"-",[1]!RETRIEVE_WEB_DATA_ELEMENT_FUNC($C$3,4821))</f>
        <v>-</v>
      </c>
      <c r="E60" s="245" t="str">
        <f>IF($C$2=FALSE,"-",[1]!RETRIEVE_WEB_DATA_ELEMENT_FUNC($C$3,4861))</f>
        <v>-</v>
      </c>
      <c r="F60" s="245" t="str">
        <f>IF($C$2=FALSE,"-",[1]!RETRIEVE_WEB_DATA_ELEMENT_FUNC($C$3,4869))</f>
        <v>-</v>
      </c>
      <c r="G60" s="245" t="str">
        <f>IF($C$2=FALSE,"-",[1]!RETRIEVE_WEB_DATA_ELEMENT_FUNC($C$3,4877))</f>
        <v>-</v>
      </c>
      <c r="H60" s="96" t="str">
        <f>IF($C$2=FALSE,"-",[1]!RETRIEVE_WEB_DATA_ELEMENT_FUNC($C$3,4885))</f>
        <v>-</v>
      </c>
      <c r="I60" s="246" t="str">
        <f>IF($C$2=FALSE,"-",[1]!RETRIEVE_WEB_DATA_ELEMENT_FUNC($C$3,4829))</f>
        <v>-</v>
      </c>
      <c r="J60" s="246" t="str">
        <f>IF($C$2=FALSE,"-",[1]!RETRIEVE_WEB_DATA_ELEMENT_FUNC($C$3,4837))</f>
        <v>-</v>
      </c>
      <c r="K60" s="246" t="str">
        <f>IF($C$2=FALSE,"-",[1]!RETRIEVE_WEB_DATA_ELEMENT_FUNC($C$3,4845))</f>
        <v>-</v>
      </c>
      <c r="L60" s="246" t="str">
        <f>IF($C$2=FALSE,"-",[1]!RETRIEVE_WEB_DATA_ELEMENT_FUNC($C$3,4853))</f>
        <v>-</v>
      </c>
    </row>
    <row r="61" spans="2:12" ht="15" customHeight="1">
      <c r="C61" s="98"/>
      <c r="D61" s="111" t="str">
        <f>IF($C$2=FALSE,"-",[1]!RETRIEVE_WEB_DATA_ELEMENT_FUNC($C$3,4822))</f>
        <v>-</v>
      </c>
      <c r="E61" s="245" t="str">
        <f>IF($C$2=FALSE,"-",[1]!RETRIEVE_WEB_DATA_ELEMENT_FUNC($C$3,4862))</f>
        <v>-</v>
      </c>
      <c r="F61" s="245" t="str">
        <f>IF($C$2=FALSE,"-",[1]!RETRIEVE_WEB_DATA_ELEMENT_FUNC($C$3,4870))</f>
        <v>-</v>
      </c>
      <c r="G61" s="245" t="str">
        <f>IF($C$2=FALSE,"-",[1]!RETRIEVE_WEB_DATA_ELEMENT_FUNC($C$3,4878))</f>
        <v>-</v>
      </c>
      <c r="H61" s="96" t="str">
        <f>IF($C$2=FALSE,"-",[1]!RETRIEVE_WEB_DATA_ELEMENT_FUNC($C$3,4886))</f>
        <v>-</v>
      </c>
      <c r="I61" s="246" t="str">
        <f>IF($C$2=FALSE,"-",[1]!RETRIEVE_WEB_DATA_ELEMENT_FUNC($C$3,4830))</f>
        <v>-</v>
      </c>
      <c r="J61" s="246" t="str">
        <f>IF($C$2=FALSE,"-",[1]!RETRIEVE_WEB_DATA_ELEMENT_FUNC($C$3,4838))</f>
        <v>-</v>
      </c>
      <c r="K61" s="246" t="str">
        <f>IF($C$2=FALSE,"-",[1]!RETRIEVE_WEB_DATA_ELEMENT_FUNC($C$3,4846))</f>
        <v>-</v>
      </c>
      <c r="L61" s="246" t="str">
        <f>IF($C$2=FALSE,"-",[1]!RETRIEVE_WEB_DATA_ELEMENT_FUNC($C$3,4854))</f>
        <v>-</v>
      </c>
    </row>
    <row r="62" spans="2:12" ht="15" customHeight="1">
      <c r="C62" s="98"/>
      <c r="D62" s="111" t="str">
        <f>IF($C$2=FALSE,"-",[1]!RETRIEVE_WEB_DATA_ELEMENT_FUNC($C$3,4823))</f>
        <v>-</v>
      </c>
      <c r="E62" s="245" t="str">
        <f>IF($C$2=FALSE,"-",[1]!RETRIEVE_WEB_DATA_ELEMENT_FUNC($C$3,4863))</f>
        <v>-</v>
      </c>
      <c r="F62" s="245" t="str">
        <f>IF($C$2=FALSE,"-",[1]!RETRIEVE_WEB_DATA_ELEMENT_FUNC($C$3,4871))</f>
        <v>-</v>
      </c>
      <c r="G62" s="245" t="str">
        <f>IF($C$2=FALSE,"-",[1]!RETRIEVE_WEB_DATA_ELEMENT_FUNC($C$3,4879))</f>
        <v>-</v>
      </c>
      <c r="H62" s="96" t="str">
        <f>IF($C$2=FALSE,"-",[1]!RETRIEVE_WEB_DATA_ELEMENT_FUNC($C$3,4887))</f>
        <v>-</v>
      </c>
      <c r="I62" s="110"/>
      <c r="J62" s="110"/>
      <c r="K62" s="110"/>
      <c r="L62" s="110"/>
    </row>
    <row r="64" spans="2:12" ht="15" customHeight="1">
      <c r="B64" s="109" t="str">
        <f>IF($C$2=FALSE,"-","Trailing Total Returns "&amp;[1]!RETRIEVE_WEB_DATA_ELEMENT_FUNC($C$3,4815))</f>
        <v>-</v>
      </c>
      <c r="C64" s="108"/>
      <c r="D64" s="97" t="s">
        <v>8</v>
      </c>
      <c r="E64" s="245" t="str">
        <f>IF($C$2=FALSE,"-",[1]!RETRIEVE_WEB_DATA_ELEMENT_FUNC($C$3,4888))</f>
        <v>-</v>
      </c>
      <c r="F64" s="245" t="str">
        <f>IF($C$2=FALSE,"-",[1]!RETRIEVE_WEB_DATA_ELEMENT_FUNC($C$3,4897))</f>
        <v>-</v>
      </c>
      <c r="G64" s="245" t="str">
        <f>IF($C$2=FALSE,"-",[1]!RETRIEVE_WEB_DATA_ELEMENT_FUNC($C$3,4906))</f>
        <v>-</v>
      </c>
      <c r="H64" s="96" t="str">
        <f>IF($C$2=FALSE,"-",[1]!RETRIEVE_WEB_DATA_ELEMENT_FUNC($C$3,4915))</f>
        <v>-</v>
      </c>
      <c r="I64" s="107" t="str">
        <f>IF($C$2=FALSE,"-",[1]!RETRIEVE_WEB_DATA_ELEMENT_FUNC($C$3,4811))</f>
        <v>-</v>
      </c>
      <c r="J64" s="106"/>
      <c r="K64" s="105"/>
      <c r="L64" s="95"/>
    </row>
    <row r="65" spans="3:12" ht="15" customHeight="1">
      <c r="C65" s="98"/>
      <c r="D65" s="97" t="s">
        <v>7</v>
      </c>
      <c r="E65" s="245" t="str">
        <f>IF($C$2=FALSE,"-",[1]!RETRIEVE_WEB_DATA_ELEMENT_FUNC($C$3,4889))</f>
        <v>-</v>
      </c>
      <c r="F65" s="245" t="str">
        <f>IF($C$2=FALSE,"-",[1]!RETRIEVE_WEB_DATA_ELEMENT_FUNC($C$3,4898))</f>
        <v>-</v>
      </c>
      <c r="G65" s="245" t="str">
        <f>IF($C$2=FALSE,"-",[1]!RETRIEVE_WEB_DATA_ELEMENT_FUNC($C$3,4907))</f>
        <v>-</v>
      </c>
      <c r="H65" s="96" t="str">
        <f>IF($C$2=FALSE,"-",[1]!RETRIEVE_WEB_DATA_ELEMENT_FUNC($C$3,4916))</f>
        <v>-</v>
      </c>
      <c r="I65" s="104" t="str">
        <f>IF($C$2=FALSE,"-",[1]!RETRIEVE_WEB_DATA_ELEMENT_FUNC($C$3,4812))</f>
        <v>-</v>
      </c>
      <c r="J65" s="103"/>
      <c r="K65" s="102"/>
      <c r="L65" s="95"/>
    </row>
    <row r="66" spans="3:12" ht="15" customHeight="1">
      <c r="C66" s="98"/>
      <c r="D66" s="97" t="s">
        <v>6</v>
      </c>
      <c r="E66" s="245" t="str">
        <f>IF($C$2=FALSE,"-",[1]!RETRIEVE_WEB_DATA_ELEMENT_FUNC($C$3,4890))</f>
        <v>-</v>
      </c>
      <c r="F66" s="245" t="str">
        <f>IF($C$2=FALSE,"-",[1]!RETRIEVE_WEB_DATA_ELEMENT_FUNC($C$3,4899))</f>
        <v>-</v>
      </c>
      <c r="G66" s="245" t="str">
        <f>IF($C$2=FALSE,"-",[1]!RETRIEVE_WEB_DATA_ELEMENT_FUNC($C$3,4908))</f>
        <v>-</v>
      </c>
      <c r="H66" s="96" t="str">
        <f>IF($C$2=FALSE,"-",[1]!RETRIEVE_WEB_DATA_ELEMENT_FUNC($C$3,4917))</f>
        <v>-</v>
      </c>
      <c r="I66" s="101" t="str">
        <f>IF($C$2=FALSE,"-",[1]!RETRIEVE_WEB_DATA_ELEMENT_FUNC($C$3,4813))</f>
        <v>-</v>
      </c>
      <c r="J66" s="100"/>
      <c r="K66" s="99"/>
      <c r="L66" s="95"/>
    </row>
    <row r="67" spans="3:12" ht="15" customHeight="1">
      <c r="C67" s="98"/>
      <c r="D67" s="97" t="s">
        <v>5</v>
      </c>
      <c r="E67" s="245" t="str">
        <f>IF($C$2=FALSE,"-",[1]!RETRIEVE_WEB_DATA_ELEMENT_FUNC($C$3,4891))</f>
        <v>-</v>
      </c>
      <c r="F67" s="245" t="str">
        <f>IF($C$2=FALSE,"-",[1]!RETRIEVE_WEB_DATA_ELEMENT_FUNC($C$3,4900))</f>
        <v>-</v>
      </c>
      <c r="G67" s="245" t="str">
        <f>IF($C$2=FALSE,"-",[1]!RETRIEVE_WEB_DATA_ELEMENT_FUNC($C$3,4909))</f>
        <v>-</v>
      </c>
      <c r="H67" s="96" t="str">
        <f>IF($C$2=FALSE,"-",[1]!RETRIEVE_WEB_DATA_ELEMENT_FUNC($C$3,4918))</f>
        <v>-</v>
      </c>
      <c r="I67" s="95"/>
      <c r="J67" s="95"/>
      <c r="K67" s="95"/>
      <c r="L67" s="95"/>
    </row>
    <row r="68" spans="3:12" ht="15" customHeight="1">
      <c r="C68" s="98"/>
      <c r="D68" s="97" t="s">
        <v>4</v>
      </c>
      <c r="E68" s="245" t="str">
        <f>IF($C$2=FALSE,"-",[1]!RETRIEVE_WEB_DATA_ELEMENT_FUNC($C$3,4892))</f>
        <v>-</v>
      </c>
      <c r="F68" s="245" t="str">
        <f>IF($C$2=FALSE,"-",[1]!RETRIEVE_WEB_DATA_ELEMENT_FUNC($C$3,4901))</f>
        <v>-</v>
      </c>
      <c r="G68" s="245" t="str">
        <f>IF($C$2=FALSE,"-",[1]!RETRIEVE_WEB_DATA_ELEMENT_FUNC($C$3,4910))</f>
        <v>-</v>
      </c>
      <c r="H68" s="96" t="str">
        <f>IF($C$2=FALSE,"-",[1]!RETRIEVE_WEB_DATA_ELEMENT_FUNC($C$3,4919))</f>
        <v>-</v>
      </c>
      <c r="I68" s="95"/>
      <c r="J68" s="95"/>
      <c r="K68" s="95"/>
      <c r="L68" s="95"/>
    </row>
    <row r="69" spans="3:12" ht="15" customHeight="1">
      <c r="C69" s="98"/>
      <c r="D69" s="97" t="s">
        <v>3</v>
      </c>
      <c r="E69" s="245" t="str">
        <f>IF($C$2=FALSE,"-",[1]!RETRIEVE_WEB_DATA_ELEMENT_FUNC($C$3,4893))</f>
        <v>-</v>
      </c>
      <c r="F69" s="245" t="str">
        <f>IF($C$2=FALSE,"-",[1]!RETRIEVE_WEB_DATA_ELEMENT_FUNC($C$3,4902))</f>
        <v>-</v>
      </c>
      <c r="G69" s="245" t="str">
        <f>IF($C$2=FALSE,"-",[1]!RETRIEVE_WEB_DATA_ELEMENT_FUNC($C$3,4911))</f>
        <v>-</v>
      </c>
      <c r="H69" s="96" t="str">
        <f>IF($C$2=FALSE,"-",[1]!RETRIEVE_WEB_DATA_ELEMENT_FUNC($C$3,4920))</f>
        <v>-</v>
      </c>
      <c r="I69" s="95"/>
      <c r="J69" s="95"/>
      <c r="K69" s="95"/>
      <c r="L69" s="95"/>
    </row>
    <row r="70" spans="3:12" ht="15" customHeight="1">
      <c r="C70" s="98"/>
      <c r="D70" s="97" t="s">
        <v>2</v>
      </c>
      <c r="E70" s="245" t="str">
        <f>IF($C$2=FALSE,"-",[1]!RETRIEVE_WEB_DATA_ELEMENT_FUNC($C$3,4894))</f>
        <v>-</v>
      </c>
      <c r="F70" s="245" t="str">
        <f>IF($C$2=FALSE,"-",[1]!RETRIEVE_WEB_DATA_ELEMENT_FUNC($C$3,4903))</f>
        <v>-</v>
      </c>
      <c r="G70" s="245" t="str">
        <f>IF($C$2=FALSE,"-",[1]!RETRIEVE_WEB_DATA_ELEMENT_FUNC($C$3,4912))</f>
        <v>-</v>
      </c>
      <c r="H70" s="96" t="str">
        <f>IF($C$2=FALSE,"-",[1]!RETRIEVE_WEB_DATA_ELEMENT_FUNC($C$3,4921))</f>
        <v>-</v>
      </c>
      <c r="I70" s="95"/>
      <c r="J70" s="95"/>
      <c r="K70" s="95"/>
      <c r="L70" s="95"/>
    </row>
    <row r="71" spans="3:12" ht="15" customHeight="1">
      <c r="C71" s="98"/>
      <c r="D71" s="97" t="s">
        <v>1</v>
      </c>
      <c r="E71" s="245" t="str">
        <f>IF($C$2=FALSE,"-",[1]!RETRIEVE_WEB_DATA_ELEMENT_FUNC($C$3,4895))</f>
        <v>-</v>
      </c>
      <c r="F71" s="245" t="str">
        <f>IF($C$2=FALSE,"-",[1]!RETRIEVE_WEB_DATA_ELEMENT_FUNC($C$3,4904))</f>
        <v>-</v>
      </c>
      <c r="G71" s="245" t="str">
        <f>IF($C$2=FALSE,"-",[1]!RETRIEVE_WEB_DATA_ELEMENT_FUNC($C$3,4913))</f>
        <v>-</v>
      </c>
      <c r="H71" s="96" t="str">
        <f>IF($C$2=FALSE,"-",[1]!RETRIEVE_WEB_DATA_ELEMENT_FUNC($C$3,4922))</f>
        <v>-</v>
      </c>
      <c r="I71" s="95"/>
      <c r="J71" s="95"/>
      <c r="K71" s="95"/>
      <c r="L71" s="95"/>
    </row>
    <row r="72" spans="3:12" ht="15" customHeight="1">
      <c r="C72" s="98"/>
      <c r="D72" s="97" t="s">
        <v>0</v>
      </c>
      <c r="E72" s="245" t="str">
        <f>IF($C$2=FALSE,"-",[1]!RETRIEVE_WEB_DATA_ELEMENT_FUNC($C$3,4896))</f>
        <v>-</v>
      </c>
      <c r="F72" s="245" t="str">
        <f>IF($C$2=FALSE,"-",[1]!RETRIEVE_WEB_DATA_ELEMENT_FUNC($C$3,4905))</f>
        <v>-</v>
      </c>
      <c r="G72" s="245" t="str">
        <f>IF($C$2=FALSE,"-",[1]!RETRIEVE_WEB_DATA_ELEMENT_FUNC($C$3,4914))</f>
        <v>-</v>
      </c>
      <c r="H72" s="96" t="str">
        <f>IF($C$2=FALSE,"-",[1]!RETRIEVE_WEB_DATA_ELEMENT_FUNC($C$3,4923))</f>
        <v>-</v>
      </c>
      <c r="I72" s="95"/>
      <c r="J72" s="95"/>
      <c r="K72" s="95"/>
      <c r="L72" s="95"/>
    </row>
  </sheetData>
  <dataValidations count="1">
    <dataValidation type="list" allowBlank="1" showInputMessage="1" showErrorMessage="1" sqref="C2">
      <formula1>"TRUE,FALSE"</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9" tint="0.39997558519241921"/>
    <pageSetUpPr fitToPage="1"/>
  </sheetPr>
  <dimension ref="B2:Q105"/>
  <sheetViews>
    <sheetView showGridLines="0" zoomScaleNormal="85" workbookViewId="0">
      <selection activeCell="C2" sqref="C2"/>
    </sheetView>
  </sheetViews>
  <sheetFormatPr defaultColWidth="14.125" defaultRowHeight="15" customHeight="1"/>
  <cols>
    <col min="1" max="1" width="3.25" style="170" customWidth="1"/>
    <col min="2" max="2" width="29.25" style="170" bestFit="1" customWidth="1"/>
    <col min="3" max="17" width="14.125" style="170"/>
    <col min="18" max="18" width="3.75" style="170" customWidth="1"/>
    <col min="19" max="16384" width="14.125" style="170"/>
  </cols>
  <sheetData>
    <row r="2" spans="2:17" ht="15" customHeight="1">
      <c r="B2" s="228" t="s">
        <v>169</v>
      </c>
      <c r="C2" s="171" t="b">
        <v>0</v>
      </c>
    </row>
    <row r="3" spans="2:17" ht="4.5" customHeight="1"/>
    <row r="4" spans="2:17" ht="30" customHeight="1">
      <c r="B4" s="172"/>
      <c r="C4" s="304" t="str">
        <f>IF($C$2=FALSE,"-",[1]!RETRIEVE_WEB_DATA_ELEMENT_FUNC($C$10,5066))</f>
        <v>-</v>
      </c>
      <c r="D4" s="305"/>
      <c r="E4" s="305"/>
      <c r="F4" s="305"/>
      <c r="G4" s="305"/>
      <c r="H4" s="305"/>
      <c r="I4" s="305"/>
      <c r="J4" s="305"/>
      <c r="K4" s="305"/>
      <c r="L4" s="305"/>
      <c r="M4" s="305"/>
      <c r="N4" s="305"/>
      <c r="O4" s="305"/>
      <c r="P4" s="305"/>
      <c r="Q4" s="306"/>
    </row>
    <row r="5" spans="2:17" ht="30" customHeight="1">
      <c r="B5" s="173"/>
      <c r="C5" s="307"/>
      <c r="D5" s="308"/>
      <c r="E5" s="308"/>
      <c r="F5" s="308"/>
      <c r="G5" s="308"/>
      <c r="H5" s="308"/>
      <c r="I5" s="308"/>
      <c r="J5" s="308"/>
      <c r="K5" s="308"/>
      <c r="L5" s="308"/>
      <c r="M5" s="308"/>
      <c r="N5" s="308"/>
      <c r="O5" s="308"/>
      <c r="P5" s="308"/>
      <c r="Q5" s="309"/>
    </row>
    <row r="6" spans="2:17" ht="15" customHeight="1">
      <c r="B6" s="173"/>
      <c r="C6" s="310"/>
      <c r="D6" s="311"/>
      <c r="E6" s="311"/>
      <c r="F6" s="311"/>
      <c r="G6" s="311"/>
      <c r="H6" s="311"/>
      <c r="I6" s="311"/>
      <c r="J6" s="311"/>
      <c r="K6" s="311"/>
      <c r="L6" s="311"/>
      <c r="M6" s="311"/>
      <c r="N6" s="311"/>
      <c r="O6" s="311"/>
      <c r="P6" s="311"/>
      <c r="Q6" s="312"/>
    </row>
    <row r="7" spans="2:17" ht="27">
      <c r="B7" s="174" t="s">
        <v>64</v>
      </c>
      <c r="C7" s="175" t="s">
        <v>171</v>
      </c>
      <c r="D7" s="175" t="s">
        <v>172</v>
      </c>
      <c r="E7" s="175" t="s">
        <v>173</v>
      </c>
      <c r="F7" s="175" t="s">
        <v>174</v>
      </c>
      <c r="G7" s="175" t="s">
        <v>175</v>
      </c>
      <c r="H7" s="175" t="s">
        <v>176</v>
      </c>
      <c r="I7" s="175" t="s">
        <v>177</v>
      </c>
      <c r="J7" s="175" t="s">
        <v>178</v>
      </c>
      <c r="K7" s="175" t="s">
        <v>179</v>
      </c>
      <c r="L7" s="175" t="s">
        <v>180</v>
      </c>
      <c r="M7" s="175" t="s">
        <v>181</v>
      </c>
      <c r="N7" s="175" t="s">
        <v>182</v>
      </c>
      <c r="O7" s="175" t="s">
        <v>183</v>
      </c>
      <c r="P7" s="175" t="s">
        <v>184</v>
      </c>
      <c r="Q7" s="176" t="s">
        <v>185</v>
      </c>
    </row>
    <row r="8" spans="2:17" ht="13.5">
      <c r="B8" s="177" t="str">
        <f>IF($C$2=FALSE,"-",C11)</f>
        <v>-</v>
      </c>
      <c r="C8" s="178" t="str">
        <f>IF($C$2=FALSE,"-",C12)</f>
        <v>-</v>
      </c>
      <c r="D8" s="179" t="str">
        <f>IF($C$2=FALSE,"-",C20)</f>
        <v>-</v>
      </c>
      <c r="E8" s="180" t="str">
        <f>IF($C$2=FALSE,"-",C21)</f>
        <v>-</v>
      </c>
      <c r="F8" s="180" t="str">
        <f>IF($C$2=FALSE,"-",C22)</f>
        <v>-</v>
      </c>
      <c r="G8" s="180" t="str">
        <f>IF($C$2=FALSE,"-",C23)</f>
        <v>-</v>
      </c>
      <c r="H8" s="181" t="str">
        <f>IF($C$2=FALSE,"-",Q31)</f>
        <v>-</v>
      </c>
      <c r="I8" s="181" t="str">
        <f>IF($C$2=FALSE,"-",Q32)</f>
        <v>-</v>
      </c>
      <c r="J8" s="181" t="str">
        <f>IF($C$2=FALSE,"-",C43)</f>
        <v>-</v>
      </c>
      <c r="K8" s="182" t="str">
        <f>IF($C$2=FALSE,"-",F11)</f>
        <v>-</v>
      </c>
      <c r="L8" s="183" t="str">
        <f>IF($C$2=FALSE,"-",C31)</f>
        <v>-</v>
      </c>
      <c r="M8" s="183" t="str">
        <f>IF($C$2=FALSE,"-",C32)</f>
        <v>-</v>
      </c>
      <c r="N8" s="182" t="str">
        <f>IF($C$2=FALSE,"-",M34)</f>
        <v>-</v>
      </c>
      <c r="O8" s="182" t="str">
        <f>IF($C$2=FALSE,"-",P34)</f>
        <v>-</v>
      </c>
      <c r="P8" s="184" t="str">
        <f>IF($C$2=FALSE,"-",Q8*15)</f>
        <v>-</v>
      </c>
      <c r="Q8" s="185" t="str">
        <f>IF($C$2=FALSE,"-",C19)</f>
        <v>-</v>
      </c>
    </row>
    <row r="9" spans="2:17" ht="15" customHeight="1">
      <c r="B9" s="186"/>
      <c r="C9" s="187"/>
      <c r="D9" s="187"/>
      <c r="F9" s="188"/>
      <c r="G9" s="188"/>
      <c r="H9" s="188"/>
      <c r="I9" s="188"/>
      <c r="J9" s="188"/>
      <c r="K9" s="188"/>
      <c r="L9" s="188"/>
      <c r="M9" s="188"/>
      <c r="N9" s="188"/>
      <c r="Q9" s="189"/>
    </row>
    <row r="10" spans="2:17" ht="15" customHeight="1">
      <c r="B10" s="190" t="s">
        <v>186</v>
      </c>
      <c r="C10" s="191" t="s">
        <v>124</v>
      </c>
      <c r="E10" s="192" t="s">
        <v>187</v>
      </c>
      <c r="F10" s="193"/>
      <c r="H10" s="194"/>
      <c r="I10" s="195" t="s">
        <v>188</v>
      </c>
      <c r="J10" s="196" t="str">
        <f>IF($C$2=FALSE,"-",[1]!RETRIEVE_WEB_DATA_ELEMENT_FUNC($C$10,4823))</f>
        <v>-</v>
      </c>
      <c r="K10" s="196" t="str">
        <f>IF($C$2=FALSE,"-",[1]!RETRIEVE_WEB_DATA_ELEMENT_FUNC($C$10,4822))</f>
        <v>-</v>
      </c>
      <c r="L10" s="196" t="str">
        <f>IF($C$2=FALSE,"-",[1]!RETRIEVE_WEB_DATA_ELEMENT_FUNC($C$10,4821))</f>
        <v>-</v>
      </c>
      <c r="M10" s="196" t="str">
        <f>IF($C$2=FALSE,"-",[1]!RETRIEVE_WEB_DATA_ELEMENT_FUNC($C$10,4820))</f>
        <v>-</v>
      </c>
      <c r="N10" s="196" t="str">
        <f>IF($C$2=FALSE,"-",[1]!RETRIEVE_WEB_DATA_ELEMENT_FUNC($C$10,4819))</f>
        <v>-</v>
      </c>
      <c r="O10" s="196" t="str">
        <f>IF($C$2=FALSE,"-",[1]!RETRIEVE_WEB_DATA_ELEMENT_FUNC($C$10,4818))</f>
        <v>-</v>
      </c>
      <c r="P10" s="196" t="str">
        <f>IF($C$2=FALSE,"-",[1]!RETRIEVE_WEB_DATA_ELEMENT_FUNC($C$10,4817))</f>
        <v>-</v>
      </c>
      <c r="Q10" s="197" t="str">
        <f>IF($C$2=FALSE,"-",[1]!RETRIEVE_WEB_DATA_ELEMENT_FUNC($C$10,4816))</f>
        <v>-</v>
      </c>
    </row>
    <row r="11" spans="2:17" ht="15" customHeight="1">
      <c r="B11" s="198" t="s">
        <v>103</v>
      </c>
      <c r="C11" s="199" t="str">
        <f>IF($C$2=FALSE,"-",[1]!RETRIEVE_WEB_DATA_ELEMENT_FUNC($C$10,4811))</f>
        <v>-</v>
      </c>
      <c r="D11" s="170" t="s">
        <v>189</v>
      </c>
      <c r="E11" s="200" t="s">
        <v>165</v>
      </c>
      <c r="F11" s="201" t="str">
        <f>IF($C$2=FALSE,"-",[1]!RETRIEVE_WEB_DATA_ELEMENT_FUNC($C$10,4681))</f>
        <v>-</v>
      </c>
      <c r="G11" s="202" t="s">
        <v>189</v>
      </c>
      <c r="I11" s="203" t="s">
        <v>16</v>
      </c>
      <c r="J11" s="202" t="str">
        <f>IF($C$2=FALSE,"-",[1]!RETRIEVE_WEB_DATA_ELEMENT_FUNC($C$10,4863))</f>
        <v>-</v>
      </c>
      <c r="K11" s="202" t="str">
        <f>IF($C$2=FALSE,"-",[1]!RETRIEVE_WEB_DATA_ELEMENT_FUNC($C$10,4862))</f>
        <v>-</v>
      </c>
      <c r="L11" s="202" t="str">
        <f>IF($C$2=FALSE,"-",[1]!RETRIEVE_WEB_DATA_ELEMENT_FUNC($C$10,4861))</f>
        <v>-</v>
      </c>
      <c r="M11" s="202" t="str">
        <f>IF($C$2=FALSE,"-",[1]!RETRIEVE_WEB_DATA_ELEMENT_FUNC($C$10,4860))</f>
        <v>-</v>
      </c>
      <c r="N11" s="202" t="str">
        <f>IF($C$2=FALSE,"-",[1]!RETRIEVE_WEB_DATA_ELEMENT_FUNC($C$10,4859))</f>
        <v>-</v>
      </c>
      <c r="O11" s="202" t="str">
        <f>IF($C$2=FALSE,"-",[1]!RETRIEVE_WEB_DATA_ELEMENT_FUNC($C$10,4858))</f>
        <v>-</v>
      </c>
      <c r="P11" s="202" t="str">
        <f>IF($C$2=FALSE,"-",[1]!RETRIEVE_WEB_DATA_ELEMENT_FUNC($C$10,4857))</f>
        <v>-</v>
      </c>
      <c r="Q11" s="204" t="str">
        <f>IF($C$2=FALSE,"-",[1]!RETRIEVE_WEB_DATA_ELEMENT_FUNC($C$10,4856))</f>
        <v>-</v>
      </c>
    </row>
    <row r="12" spans="2:17" ht="15" customHeight="1">
      <c r="B12" s="205" t="s">
        <v>190</v>
      </c>
      <c r="C12" s="206" t="str">
        <f>IF($C$2=FALSE,"-",[1]!RETRIEVE_WEB_DATA_ELEMENT_FUNC($C$10,5065))</f>
        <v>-</v>
      </c>
      <c r="E12" s="200" t="s">
        <v>121</v>
      </c>
      <c r="F12" s="201" t="str">
        <f>IF($C$2=FALSE,"-",[1]!RETRIEVE_WEB_DATA_ELEMENT_FUNC($C$10,4684))</f>
        <v>-</v>
      </c>
      <c r="I12" s="203" t="s">
        <v>191</v>
      </c>
      <c r="J12" s="202" t="str">
        <f>IF($C$2=FALSE,"-",[1]!RETRIEVE_WEB_DATA_ELEMENT_FUNC($C$10,4871))</f>
        <v>-</v>
      </c>
      <c r="K12" s="202" t="str">
        <f>IF($C$2=FALSE,"-",[1]!RETRIEVE_WEB_DATA_ELEMENT_FUNC($C$10,4870))</f>
        <v>-</v>
      </c>
      <c r="L12" s="202" t="str">
        <f>IF($C$2=FALSE,"-",[1]!RETRIEVE_WEB_DATA_ELEMENT_FUNC($C$10,4869))</f>
        <v>-</v>
      </c>
      <c r="M12" s="202" t="str">
        <f>IF($C$2=FALSE,"-",[1]!RETRIEVE_WEB_DATA_ELEMENT_FUNC($C$10,4868))</f>
        <v>-</v>
      </c>
      <c r="N12" s="202" t="str">
        <f>IF($C$2=FALSE,"-",[1]!RETRIEVE_WEB_DATA_ELEMENT_FUNC($C$10,4867))</f>
        <v>-</v>
      </c>
      <c r="O12" s="202" t="str">
        <f>IF($C$2=FALSE,"-",[1]!RETRIEVE_WEB_DATA_ELEMENT_FUNC($C$10,4866))</f>
        <v>-</v>
      </c>
      <c r="P12" s="202" t="str">
        <f>IF($C$2=FALSE,"-",[1]!RETRIEVE_WEB_DATA_ELEMENT_FUNC($C$10,4865))</f>
        <v>-</v>
      </c>
      <c r="Q12" s="204" t="str">
        <f>IF($C$2=FALSE,"-",[1]!RETRIEVE_WEB_DATA_ELEMENT_FUNC($C$10,4864))</f>
        <v>-</v>
      </c>
    </row>
    <row r="13" spans="2:17" ht="15" customHeight="1">
      <c r="B13" s="205" t="s">
        <v>192</v>
      </c>
      <c r="C13" s="207" t="str">
        <f>IF($C$2=FALSE,"-",[1]!RETRIEVE_WEB_DATA_ELEMENT_FUNC($C$10,5060))</f>
        <v>-</v>
      </c>
      <c r="E13" s="200" t="s">
        <v>120</v>
      </c>
      <c r="F13" s="201" t="str">
        <f>IF($C$2=FALSE,"-",[1]!RETRIEVE_WEB_DATA_ELEMENT_FUNC($C$10,4687))</f>
        <v>-</v>
      </c>
      <c r="I13" s="203" t="s">
        <v>193</v>
      </c>
      <c r="J13" s="202" t="str">
        <f>IF($C$2=FALSE,"-",[1]!RETRIEVE_WEB_DATA_ELEMENT_FUNC($C$10,4879))</f>
        <v>-</v>
      </c>
      <c r="K13" s="202" t="str">
        <f>IF($C$2=FALSE,"-",[1]!RETRIEVE_WEB_DATA_ELEMENT_FUNC($C$10,4878))</f>
        <v>-</v>
      </c>
      <c r="L13" s="202" t="str">
        <f>IF($C$2=FALSE,"-",[1]!RETRIEVE_WEB_DATA_ELEMENT_FUNC($C$10,4877))</f>
        <v>-</v>
      </c>
      <c r="M13" s="202" t="str">
        <f>IF($C$2=FALSE,"-",[1]!RETRIEVE_WEB_DATA_ELEMENT_FUNC($C$10,4876))</f>
        <v>-</v>
      </c>
      <c r="N13" s="202" t="str">
        <f>IF($C$2=FALSE,"-",[1]!RETRIEVE_WEB_DATA_ELEMENT_FUNC($C$10,4875))</f>
        <v>-</v>
      </c>
      <c r="O13" s="202" t="str">
        <f>IF($C$2=FALSE,"-",[1]!RETRIEVE_WEB_DATA_ELEMENT_FUNC($C$10,4874))</f>
        <v>-</v>
      </c>
      <c r="P13" s="202" t="str">
        <f>IF($C$2=FALSE,"-",[1]!RETRIEVE_WEB_DATA_ELEMENT_FUNC($C$10,4873))</f>
        <v>-</v>
      </c>
      <c r="Q13" s="204" t="str">
        <f>IF($C$2=FALSE,"-",[1]!RETRIEVE_WEB_DATA_ELEMENT_FUNC($C$10,4872))</f>
        <v>-</v>
      </c>
    </row>
    <row r="14" spans="2:17" ht="15" customHeight="1">
      <c r="B14" s="205" t="s">
        <v>194</v>
      </c>
      <c r="C14" s="207" t="str">
        <f>IF($C$2=FALSE,"-",[1]!RETRIEVE_WEB_DATA_ELEMENT_FUNC($C$10,4812))</f>
        <v>-</v>
      </c>
      <c r="D14" s="170" t="s">
        <v>189</v>
      </c>
      <c r="E14" s="200" t="s">
        <v>164</v>
      </c>
      <c r="F14" s="201" t="str">
        <f>IF($C$2=FALSE,"-",[1]!RETRIEVE_WEB_DATA_ELEMENT_FUNC($C$10,4690))</f>
        <v>-</v>
      </c>
      <c r="I14" s="203" t="s">
        <v>195</v>
      </c>
      <c r="J14" s="202" t="str">
        <f>IF($C$2=FALSE,"-",[1]!RETRIEVE_WEB_DATA_ELEMENT_FUNC($C$10,4887))</f>
        <v>-</v>
      </c>
      <c r="K14" s="202" t="str">
        <f>IF($C$2=FALSE,"-",[1]!RETRIEVE_WEB_DATA_ELEMENT_FUNC($C$10,4886))</f>
        <v>-</v>
      </c>
      <c r="L14" s="202" t="str">
        <f>IF($C$2=FALSE,"-",[1]!RETRIEVE_WEB_DATA_ELEMENT_FUNC($C$10,4885))</f>
        <v>-</v>
      </c>
      <c r="M14" s="202" t="str">
        <f>IF($C$2=FALSE,"-",[1]!RETRIEVE_WEB_DATA_ELEMENT_FUNC($C$10,4884))</f>
        <v>-</v>
      </c>
      <c r="N14" s="202" t="str">
        <f>IF($C$2=FALSE,"-",[1]!RETRIEVE_WEB_DATA_ELEMENT_FUNC($C$10,4883))</f>
        <v>-</v>
      </c>
      <c r="O14" s="202" t="str">
        <f>IF($C$2=FALSE,"-",[1]!RETRIEVE_WEB_DATA_ELEMENT_FUNC($C$10,4882))</f>
        <v>-</v>
      </c>
      <c r="P14" s="202" t="str">
        <f>IF($C$2=FALSE,"-",[1]!RETRIEVE_WEB_DATA_ELEMENT_FUNC($C$10,4881))</f>
        <v>-</v>
      </c>
      <c r="Q14" s="204" t="str">
        <f>IF($C$2=FALSE,"-",[1]!RETRIEVE_WEB_DATA_ELEMENT_FUNC($C$10,4880))</f>
        <v>-</v>
      </c>
    </row>
    <row r="15" spans="2:17" ht="15" customHeight="1">
      <c r="B15" s="205" t="s">
        <v>194</v>
      </c>
      <c r="C15" s="207" t="str">
        <f>IF($C$2=FALSE,"-",[1]!RETRIEVE_WEB_DATA_ELEMENT_FUNC($C$10,4813))</f>
        <v>-</v>
      </c>
      <c r="D15" s="170" t="s">
        <v>189</v>
      </c>
      <c r="E15" s="200" t="s">
        <v>196</v>
      </c>
      <c r="F15" s="201" t="str">
        <f>IF($C$2=FALSE,"-",[1]!RETRIEVE_WEB_DATA_ELEMENT_FUNC($C$10,4693))</f>
        <v>-</v>
      </c>
      <c r="Q15" s="189"/>
    </row>
    <row r="16" spans="2:17" ht="15" customHeight="1">
      <c r="B16" s="205" t="s">
        <v>197</v>
      </c>
      <c r="C16" s="207" t="str">
        <f>IF($C$2=FALSE,"-",[1]!RETRIEVE_WEB_DATA_ELEMENT_FUNC($C$10,4669))</f>
        <v>-</v>
      </c>
      <c r="D16" s="170" t="s">
        <v>189</v>
      </c>
      <c r="E16" s="200" t="s">
        <v>198</v>
      </c>
      <c r="F16" s="202" t="str">
        <f>IF($C$2=FALSE,"-",[1]!RETRIEVE_WEB_DATA_ELEMENT_FUNC($C$10,4696))</f>
        <v>-</v>
      </c>
      <c r="L16" s="194"/>
      <c r="M16" s="195" t="s">
        <v>199</v>
      </c>
      <c r="N16" s="208" t="s">
        <v>103</v>
      </c>
      <c r="O16" s="208" t="s">
        <v>24</v>
      </c>
      <c r="P16" s="208" t="s">
        <v>195</v>
      </c>
      <c r="Q16" s="209" t="s">
        <v>30</v>
      </c>
    </row>
    <row r="17" spans="2:17" ht="15" customHeight="1">
      <c r="B17" s="205" t="s">
        <v>200</v>
      </c>
      <c r="C17" s="238" t="str">
        <f>IF($C$2=FALSE,"-",[1]!RETRIEVE_WEB_DATA_ELEMENT_FUNC($C$10,5067))</f>
        <v>-</v>
      </c>
      <c r="E17" s="200" t="s">
        <v>201</v>
      </c>
      <c r="F17" s="202" t="str">
        <f>IF($C$2=FALSE,"-",[1]!RETRIEVE_WEB_DATA_ELEMENT_FUNC($C$10,4699))</f>
        <v>-</v>
      </c>
      <c r="M17" s="203" t="s">
        <v>202</v>
      </c>
      <c r="N17" s="202" t="str">
        <f>IF($C$2=FALSE,"-",[1]!RETRIEVE_WEB_DATA_ELEMENT_FUNC($C$10,4890))</f>
        <v>-</v>
      </c>
      <c r="O17" s="202" t="str">
        <f>IF($C$2=FALSE,"-",[1]!RETRIEVE_WEB_DATA_ELEMENT_FUNC($C$10,4899))</f>
        <v>-</v>
      </c>
      <c r="P17" s="202" t="str">
        <f>IF($C$2=FALSE,"-",[1]!RETRIEVE_WEB_DATA_ELEMENT_FUNC($C$10,4917))</f>
        <v>-</v>
      </c>
      <c r="Q17" s="204" t="str">
        <f>IF($C$2=FALSE,"-",[1]!RETRIEVE_WEB_DATA_ELEMENT_FUNC($C$10,4908))</f>
        <v>-</v>
      </c>
    </row>
    <row r="18" spans="2:17" ht="15" customHeight="1">
      <c r="B18" s="173"/>
      <c r="E18" s="200" t="s">
        <v>160</v>
      </c>
      <c r="F18" s="202" t="str">
        <f>IF($C$2=FALSE,"-",[1]!RETRIEVE_WEB_DATA_ELEMENT_FUNC($C$10,4702))</f>
        <v>-</v>
      </c>
      <c r="H18" s="192" t="s">
        <v>203</v>
      </c>
      <c r="I18" s="210"/>
      <c r="J18" s="193"/>
      <c r="M18" s="203" t="s">
        <v>204</v>
      </c>
      <c r="N18" s="202" t="str">
        <f>IF($C$2=FALSE,"-",[1]!RETRIEVE_WEB_DATA_ELEMENT_FUNC($C$10,4891))</f>
        <v>-</v>
      </c>
      <c r="O18" s="202" t="str">
        <f>IF($C$2=FALSE,"-",[1]!RETRIEVE_WEB_DATA_ELEMENT_FUNC($C$10,4900))</f>
        <v>-</v>
      </c>
      <c r="P18" s="202" t="str">
        <f>IF($C$2=FALSE,"-",[1]!RETRIEVE_WEB_DATA_ELEMENT_FUNC($C$10,4918))</f>
        <v>-</v>
      </c>
      <c r="Q18" s="204" t="str">
        <f>IF($C$2=FALSE,"-",[1]!RETRIEVE_WEB_DATA_ELEMENT_FUNC($C$10,4909))</f>
        <v>-</v>
      </c>
    </row>
    <row r="19" spans="2:17" ht="15" customHeight="1">
      <c r="B19" s="190" t="str">
        <f>IF($C$2=FALSE,"-","Quick Score:"&amp;" "&amp;P8)</f>
        <v>-</v>
      </c>
      <c r="C19" s="211" t="str">
        <f>IF($C$2=FALSE,"-",[1]!MUTUAL_FUND_RANKING_SCORE_FUNC(C20,C21,C22,C23,Q31,Q32,C43,F11,C31,C32,M34,P34,"--"))</f>
        <v>-</v>
      </c>
      <c r="E19" s="200" t="s">
        <v>205</v>
      </c>
      <c r="F19" s="202" t="str">
        <f>IF($C$2=FALSE,"-",[1]!RETRIEVE_WEB_DATA_ELEMENT_FUNC($C$10,4705))</f>
        <v>-</v>
      </c>
      <c r="M19" s="203" t="s">
        <v>58</v>
      </c>
      <c r="N19" s="202" t="str">
        <f>IF($C$2=FALSE,"-",[1]!RETRIEVE_WEB_DATA_ELEMENT_FUNC($C$10,4892))</f>
        <v>-</v>
      </c>
      <c r="O19" s="202" t="str">
        <f>IF($C$2=FALSE,"-",[1]!RETRIEVE_WEB_DATA_ELEMENT_FUNC($C$10,4901))</f>
        <v>-</v>
      </c>
      <c r="P19" s="202" t="str">
        <f>IF($C$2=FALSE,"-",[1]!RETRIEVE_WEB_DATA_ELEMENT_FUNC($C$10,4919))</f>
        <v>-</v>
      </c>
      <c r="Q19" s="204" t="str">
        <f>IF($C$2=FALSE,"-",[1]!RETRIEVE_WEB_DATA_ELEMENT_FUNC($C$10,4910))</f>
        <v>-</v>
      </c>
    </row>
    <row r="20" spans="2:17" ht="15" customHeight="1">
      <c r="B20" s="205" t="s">
        <v>206</v>
      </c>
      <c r="C20" s="212" t="str">
        <f>IF($C$2=FALSE,"-",[1]!RETRIEVE_WEB_DATA_ELEMENT_FUNC($C$10,5064))</f>
        <v>-</v>
      </c>
      <c r="E20" s="200" t="s">
        <v>207</v>
      </c>
      <c r="F20" s="202" t="str">
        <f>IF($C$2=FALSE,"-",[1]!RETRIEVE_WEB_DATA_ELEMENT_FUNC($C$10,4708))</f>
        <v>-</v>
      </c>
      <c r="H20" s="213" t="s">
        <v>139</v>
      </c>
      <c r="J20" s="202" t="str">
        <f>IF($C$2=FALSE,"-",[1]!RETRIEVE_WEB_DATA_ELEMENT_FUNC($C$10,4734))</f>
        <v>-</v>
      </c>
      <c r="M20" s="203" t="s">
        <v>208</v>
      </c>
      <c r="N20" s="202" t="str">
        <f>IF($C$2=FALSE,"-",[1]!RETRIEVE_WEB_DATA_ELEMENT_FUNC($C$10,4893))</f>
        <v>-</v>
      </c>
      <c r="O20" s="202" t="str">
        <f>IF($C$2=FALSE,"-",[1]!RETRIEVE_WEB_DATA_ELEMENT_FUNC($C$10,4902))</f>
        <v>-</v>
      </c>
      <c r="P20" s="202" t="str">
        <f>IF($C$2=FALSE,"-",[1]!RETRIEVE_WEB_DATA_ELEMENT_FUNC($C$10,4920))</f>
        <v>-</v>
      </c>
      <c r="Q20" s="204" t="str">
        <f>IF($C$2=FALSE,"-",[1]!RETRIEVE_WEB_DATA_ELEMENT_FUNC($C$10,4911))</f>
        <v>-</v>
      </c>
    </row>
    <row r="21" spans="2:17" ht="15" customHeight="1">
      <c r="B21" s="205" t="s">
        <v>209</v>
      </c>
      <c r="C21" s="202" t="str">
        <f>IF($C$2=FALSE,"-",[1]!RETRIEVE_WEB_DATA_ELEMENT_FUNC($C$10,4939))</f>
        <v>-</v>
      </c>
      <c r="H21" s="213" t="s">
        <v>138</v>
      </c>
      <c r="J21" s="202" t="str">
        <f>IF($C$2=FALSE,"-",[1]!RETRIEVE_WEB_DATA_ELEMENT_FUNC($C$10,4737))</f>
        <v>-</v>
      </c>
      <c r="M21" s="203" t="s">
        <v>210</v>
      </c>
      <c r="N21" s="202" t="str">
        <f>IF($C$2=FALSE,"-",[1]!RETRIEVE_WEB_DATA_ELEMENT_FUNC($C$10,4894))</f>
        <v>-</v>
      </c>
      <c r="O21" s="202" t="str">
        <f>IF($C$2=FALSE,"-",[1]!RETRIEVE_WEB_DATA_ELEMENT_FUNC($C$10,4903))</f>
        <v>-</v>
      </c>
      <c r="P21" s="202" t="str">
        <f>IF($C$2=FALSE,"-",[1]!RETRIEVE_WEB_DATA_ELEMENT_FUNC($C$10,4921))</f>
        <v>-</v>
      </c>
      <c r="Q21" s="204" t="str">
        <f>IF($C$2=FALSE,"-",[1]!RETRIEVE_WEB_DATA_ELEMENT_FUNC($C$10,4912))</f>
        <v>-</v>
      </c>
    </row>
    <row r="22" spans="2:17" ht="15" customHeight="1">
      <c r="B22" s="205" t="s">
        <v>211</v>
      </c>
      <c r="C22" s="202" t="str">
        <f>IF($C$2=FALSE,"-",[1]!RETRIEVE_WEB_DATA_ELEMENT_FUNC($C$10,4930))</f>
        <v>-</v>
      </c>
      <c r="E22" s="192" t="s">
        <v>212</v>
      </c>
      <c r="F22" s="193"/>
      <c r="G22" s="202" t="s">
        <v>189</v>
      </c>
      <c r="H22" s="213" t="s">
        <v>137</v>
      </c>
      <c r="J22" s="202" t="str">
        <f>IF($C$2=FALSE,"-",[1]!RETRIEVE_WEB_DATA_ELEMENT_FUNC($C$10,4740))</f>
        <v>-</v>
      </c>
      <c r="M22" s="203" t="s">
        <v>213</v>
      </c>
      <c r="N22" s="202" t="str">
        <f>IF($C$2=FALSE,"-",[1]!RETRIEVE_WEB_DATA_ELEMENT_FUNC($C$10,4895))</f>
        <v>-</v>
      </c>
      <c r="O22" s="202" t="str">
        <f>IF($C$2=FALSE,"-",[1]!RETRIEVE_WEB_DATA_ELEMENT_FUNC($C$10,4904))</f>
        <v>-</v>
      </c>
      <c r="P22" s="202" t="str">
        <f>IF($C$2=FALSE,"-",[1]!RETRIEVE_WEB_DATA_ELEMENT_FUNC($C$10,4922))</f>
        <v>-</v>
      </c>
      <c r="Q22" s="204" t="str">
        <f>IF($C$2=FALSE,"-",[1]!RETRIEVE_WEB_DATA_ELEMENT_FUNC($C$10,4913))</f>
        <v>-</v>
      </c>
    </row>
    <row r="23" spans="2:17" ht="15" customHeight="1">
      <c r="B23" s="205" t="s">
        <v>214</v>
      </c>
      <c r="C23" s="202" t="str">
        <f>IF($C$2=FALSE,"-",[1]!RETRIEVE_WEB_DATA_ELEMENT_FUNC($C$10,5093))</f>
        <v>-</v>
      </c>
      <c r="G23" s="214" t="s">
        <v>189</v>
      </c>
      <c r="H23" s="213" t="s">
        <v>215</v>
      </c>
      <c r="J23" s="202" t="str">
        <f>IF($C$2=FALSE,"-",[1]!RETRIEVE_WEB_DATA_ELEMENT_FUNC($C$10,4743))</f>
        <v>-</v>
      </c>
      <c r="Q23" s="189"/>
    </row>
    <row r="24" spans="2:17" ht="15" customHeight="1">
      <c r="B24" s="205" t="s">
        <v>216</v>
      </c>
      <c r="C24" s="207" t="str">
        <f>IF($C$2=FALSE,"-",[1]!RETRIEVE_WEB_DATA_ELEMENT_FUNC($C$10,5144))</f>
        <v>-</v>
      </c>
      <c r="D24" s="170" t="s">
        <v>189</v>
      </c>
      <c r="E24" s="215" t="s">
        <v>70</v>
      </c>
      <c r="F24" s="202" t="str">
        <f>IF($C$2=FALSE,"-",[1]!RETRIEVE_WEB_DATA_ELEMENT_FUNC($C$10,4714))</f>
        <v>-</v>
      </c>
      <c r="H24" s="213" t="s">
        <v>134</v>
      </c>
      <c r="J24" s="202" t="str">
        <f>IF($C$2=FALSE,"-",[1]!RETRIEVE_WEB_DATA_ELEMENT_FUNC($C$10,4746))</f>
        <v>-</v>
      </c>
      <c r="Q24" s="189"/>
    </row>
    <row r="25" spans="2:17" ht="15" customHeight="1">
      <c r="B25" s="205" t="s">
        <v>217</v>
      </c>
      <c r="C25" s="202" t="str">
        <f>IF($C$2=FALSE,"-",[1]!RETRIEVE_WEB_DATA_ELEMENT_FUNC($C$10,5146))</f>
        <v>-</v>
      </c>
      <c r="E25" s="215" t="s">
        <v>68</v>
      </c>
      <c r="F25" s="202" t="str">
        <f>IF($C$2=FALSE,"-",[1]!RETRIEVE_WEB_DATA_ELEMENT_FUNC($C$10,4720))</f>
        <v>-</v>
      </c>
      <c r="H25" s="213" t="s">
        <v>218</v>
      </c>
      <c r="J25" s="202" t="str">
        <f>IF($C$2=FALSE,"-",[1]!RETRIEVE_WEB_DATA_ELEMENT_FUNC($C$10,4749))</f>
        <v>-</v>
      </c>
      <c r="Q25" s="189"/>
    </row>
    <row r="26" spans="2:17" ht="15" customHeight="1">
      <c r="B26" s="205" t="s">
        <v>219</v>
      </c>
      <c r="C26" s="202" t="str">
        <f>IF($C$2=FALSE,"-",C25+J34+J35+J36+J39+J38+J37+J40+J41+J42)</f>
        <v>-</v>
      </c>
      <c r="E26" s="215" t="s">
        <v>69</v>
      </c>
      <c r="F26" s="202" t="str">
        <f>IF($C$2=FALSE,"-",[1]!RETRIEVE_WEB_DATA_ELEMENT_FUNC($C$10,4717))</f>
        <v>-</v>
      </c>
      <c r="H26" s="213" t="s">
        <v>220</v>
      </c>
      <c r="J26" s="202" t="str">
        <f>IF($C$2=FALSE,"-",[1]!RETRIEVE_WEB_DATA_ELEMENT_FUNC($C$10,4752))</f>
        <v>-</v>
      </c>
      <c r="L26" s="216" t="s">
        <v>221</v>
      </c>
      <c r="M26" s="208" t="s">
        <v>103</v>
      </c>
      <c r="N26" s="217" t="s">
        <v>24</v>
      </c>
      <c r="O26" s="217" t="s">
        <v>222</v>
      </c>
      <c r="P26" s="217" t="s">
        <v>30</v>
      </c>
      <c r="Q26" s="218" t="s">
        <v>222</v>
      </c>
    </row>
    <row r="27" spans="2:17" ht="15" customHeight="1">
      <c r="B27" s="173"/>
      <c r="E27" s="215" t="s">
        <v>223</v>
      </c>
      <c r="F27" s="202" t="str">
        <f>IF($C$2=FALSE,"-",[1]!RETRIEVE_WEB_DATA_ELEMENT_FUNC($C$10,4726))</f>
        <v>-</v>
      </c>
      <c r="H27" s="213" t="s">
        <v>224</v>
      </c>
      <c r="J27" s="202" t="str">
        <f>IF($C$2=FALSE,"-",[1]!RETRIEVE_WEB_DATA_ELEMENT_FUNC($C$10,4755))</f>
        <v>-</v>
      </c>
      <c r="L27" s="203" t="s">
        <v>225</v>
      </c>
      <c r="M27" s="219" t="str">
        <f>IF($C$2=FALSE,"-",[1]!RETRIEVE_WEB_DATA_ELEMENT_FUNC($C$10,4943))</f>
        <v>-</v>
      </c>
      <c r="N27" s="219" t="str">
        <f>IF($C$2=FALSE,"-",[1]!RETRIEVE_WEB_DATA_ELEMENT_FUNC($C$10,4951))</f>
        <v>-</v>
      </c>
      <c r="O27" s="219" t="str">
        <f>IF($C$2=FALSE,"-",[1]!RETRIEVE_WEB_DATA_ELEMENT_FUNC($C$10,4959))</f>
        <v>-</v>
      </c>
      <c r="P27" s="219" t="str">
        <f>IF($C$2=FALSE,"-",[1]!RETRIEVE_WEB_DATA_ELEMENT_FUNC($C$10,4967))</f>
        <v>-</v>
      </c>
      <c r="Q27" s="220" t="str">
        <f>IF($C$2=FALSE,"-",[1]!RETRIEVE_WEB_DATA_ELEMENT_FUNC($C$10,4975))</f>
        <v>-</v>
      </c>
    </row>
    <row r="28" spans="2:17" ht="15" customHeight="1">
      <c r="B28" s="190" t="s">
        <v>226</v>
      </c>
      <c r="C28" s="221" t="str">
        <f>IF($C$2=FALSE,"-",[1]!MATRIX_YAHOO_QUOTES_FUNC($C$10,"l1","",0,FALSE))</f>
        <v>-</v>
      </c>
      <c r="E28" s="215" t="s">
        <v>67</v>
      </c>
      <c r="F28" s="202" t="str">
        <f>IF($C$2=FALSE,"-",[1]!RETRIEVE_WEB_DATA_ELEMENT_FUNC($C$10,4723))</f>
        <v>-</v>
      </c>
      <c r="H28" s="213" t="s">
        <v>129</v>
      </c>
      <c r="J28" s="202" t="str">
        <f>IF($C$2=FALSE,"-",[1]!RETRIEVE_WEB_DATA_ELEMENT_FUNC($C$10,4758))</f>
        <v>-</v>
      </c>
      <c r="L28" s="203" t="s">
        <v>227</v>
      </c>
      <c r="M28" s="219" t="str">
        <f>IF($C$2=FALSE,"-",[1]!RETRIEVE_WEB_DATA_ELEMENT_FUNC($C$10,4944))</f>
        <v>-</v>
      </c>
      <c r="N28" s="219" t="str">
        <f>IF($C$2=FALSE,"-",[1]!RETRIEVE_WEB_DATA_ELEMENT_FUNC($C$10,4952))</f>
        <v>-</v>
      </c>
      <c r="O28" s="219" t="str">
        <f>IF($C$2=FALSE,"-",[1]!RETRIEVE_WEB_DATA_ELEMENT_FUNC($C$10,4960))</f>
        <v>-</v>
      </c>
      <c r="P28" s="219" t="str">
        <f>IF($C$2=FALSE,"-",[1]!RETRIEVE_WEB_DATA_ELEMENT_FUNC($C$10,4968))</f>
        <v>-</v>
      </c>
      <c r="Q28" s="220" t="str">
        <f>IF($C$2=FALSE,"-",[1]!RETRIEVE_WEB_DATA_ELEMENT_FUNC($C$10,4976))</f>
        <v>-</v>
      </c>
    </row>
    <row r="29" spans="2:17" ht="15" customHeight="1">
      <c r="B29" s="198" t="s">
        <v>97</v>
      </c>
      <c r="C29" s="222" t="str">
        <f>IF($C$2=FALSE,"-",[1]!RETRIEVE_WEB_DATA_ELEMENT_FUNC($C$10,4931))</f>
        <v>-</v>
      </c>
      <c r="L29" s="203" t="s">
        <v>228</v>
      </c>
      <c r="M29" s="219" t="str">
        <f>IF($C$2=FALSE,"-",[1]!RETRIEVE_WEB_DATA_ELEMENT_FUNC($C$10,4945))</f>
        <v>-</v>
      </c>
      <c r="N29" s="219" t="str">
        <f>IF($C$2=FALSE,"-",[1]!RETRIEVE_WEB_DATA_ELEMENT_FUNC($C$10,4953))</f>
        <v>-</v>
      </c>
      <c r="O29" s="219" t="str">
        <f>IF($C$2=FALSE,"-",[1]!RETRIEVE_WEB_DATA_ELEMENT_FUNC($C$10,4961))</f>
        <v>-</v>
      </c>
      <c r="P29" s="219" t="str">
        <f>IF($C$2=FALSE,"-",[1]!RETRIEVE_WEB_DATA_ELEMENT_FUNC($C$10,4969))</f>
        <v>-</v>
      </c>
      <c r="Q29" s="220" t="str">
        <f>IF($C$2=FALSE,"-",[1]!RETRIEVE_WEB_DATA_ELEMENT_FUNC($C$10,4977))</f>
        <v>-</v>
      </c>
    </row>
    <row r="30" spans="2:17" ht="15" customHeight="1">
      <c r="B30" s="198" t="s">
        <v>229</v>
      </c>
      <c r="C30" s="223" t="str">
        <f>IF($C$2=FALSE,"-",[1]!RETRIEVE_WEB_DATA_ELEMENT_FUNC($C$10,5061))</f>
        <v>-</v>
      </c>
      <c r="E30" s="192" t="s">
        <v>230</v>
      </c>
      <c r="F30" s="193"/>
      <c r="L30" s="203" t="s">
        <v>231</v>
      </c>
      <c r="M30" s="219" t="str">
        <f>IF($C$2=FALSE,"-",[1]!RETRIEVE_WEB_DATA_ELEMENT_FUNC($C$10,4946))</f>
        <v>-</v>
      </c>
      <c r="N30" s="219" t="str">
        <f>IF($C$2=FALSE,"-",[1]!RETRIEVE_WEB_DATA_ELEMENT_FUNC($C$10,4954))</f>
        <v>-</v>
      </c>
      <c r="O30" s="219" t="str">
        <f>IF($C$2=FALSE,"-",[1]!RETRIEVE_WEB_DATA_ELEMENT_FUNC($C$10,4962))</f>
        <v>-</v>
      </c>
      <c r="P30" s="219" t="str">
        <f>IF($C$2=FALSE,"-",[1]!RETRIEVE_WEB_DATA_ELEMENT_FUNC($C$10,4970))</f>
        <v>-</v>
      </c>
      <c r="Q30" s="220" t="str">
        <f>IF($C$2=FALSE,"-",[1]!RETRIEVE_WEB_DATA_ELEMENT_FUNC($C$10,4978))</f>
        <v>-</v>
      </c>
    </row>
    <row r="31" spans="2:17" ht="15" customHeight="1">
      <c r="B31" s="198" t="s">
        <v>232</v>
      </c>
      <c r="C31" s="222" t="str">
        <f>IF($C$2=FALSE,"-",[1]!RETRIEVE_WEB_DATA_ELEMENT_FUNC($C$10,5077))</f>
        <v>-</v>
      </c>
      <c r="H31" s="192" t="s">
        <v>233</v>
      </c>
      <c r="I31" s="210"/>
      <c r="J31" s="193"/>
      <c r="L31" s="203" t="s">
        <v>234</v>
      </c>
      <c r="M31" s="219" t="str">
        <f>IF($C$2=FALSE,"-",[1]!RETRIEVE_WEB_DATA_ELEMENT_FUNC($C$10,4947))</f>
        <v>-</v>
      </c>
      <c r="N31" s="219" t="str">
        <f>IF($C$2=FALSE,"-",[1]!RETRIEVE_WEB_DATA_ELEMENT_FUNC($C$10,4955))</f>
        <v>-</v>
      </c>
      <c r="O31" s="219" t="str">
        <f>IF($C$2=FALSE,"-",[1]!RETRIEVE_WEB_DATA_ELEMENT_FUNC($C$10,4963))</f>
        <v>-</v>
      </c>
      <c r="P31" s="219" t="str">
        <f>IF($C$2=FALSE,"-",[1]!RETRIEVE_WEB_DATA_ELEMENT_FUNC($C$10,4971))</f>
        <v>-</v>
      </c>
      <c r="Q31" s="220" t="str">
        <f>IF($C$2=FALSE,"-",[1]!RETRIEVE_WEB_DATA_ELEMENT_FUNC($C$10,4979))</f>
        <v>-</v>
      </c>
    </row>
    <row r="32" spans="2:17" ht="15" customHeight="1">
      <c r="B32" s="198" t="s">
        <v>235</v>
      </c>
      <c r="C32" s="222" t="str">
        <f>IF($C$2=FALSE,"-",[1]!RETRIEVE_WEB_DATA_ELEMENT_FUNC($C$10,5086))</f>
        <v>-</v>
      </c>
      <c r="E32" s="224" t="str">
        <f>IF($C$2=FALSE,"-",[1]!RETRIEVE_WEB_DATA_ELEMENT_FUNC($C$10,4771))</f>
        <v>-</v>
      </c>
      <c r="F32" s="202" t="str">
        <f>IF($C$2=FALSE,"-",[1]!RETRIEVE_WEB_DATA_ELEMENT_FUNC($C$10,4772))</f>
        <v>-</v>
      </c>
      <c r="L32" s="203" t="s">
        <v>236</v>
      </c>
      <c r="M32" s="219" t="str">
        <f>IF($C$2=FALSE,"-",[1]!RETRIEVE_WEB_DATA_ELEMENT_FUNC($C$10,4948))</f>
        <v>-</v>
      </c>
      <c r="N32" s="219" t="str">
        <f>IF($C$2=FALSE,"-",[1]!RETRIEVE_WEB_DATA_ELEMENT_FUNC($C$10,4956))</f>
        <v>-</v>
      </c>
      <c r="O32" s="219" t="str">
        <f>IF($C$2=FALSE,"-",[1]!RETRIEVE_WEB_DATA_ELEMENT_FUNC($C$10,4964))</f>
        <v>-</v>
      </c>
      <c r="P32" s="219" t="str">
        <f>IF($C$2=FALSE,"-",[1]!RETRIEVE_WEB_DATA_ELEMENT_FUNC($C$10,4972))</f>
        <v>-</v>
      </c>
      <c r="Q32" s="220" t="str">
        <f>IF($C$2=FALSE,"-",[1]!RETRIEVE_WEB_DATA_ELEMENT_FUNC($C$10,4980))</f>
        <v>-</v>
      </c>
    </row>
    <row r="33" spans="2:17" ht="15" customHeight="1">
      <c r="B33" s="198" t="s">
        <v>79</v>
      </c>
      <c r="C33" s="225" t="str">
        <f>IF($C$2=FALSE,"-",TEXT([1]!RETRIEVE_WEB_DATA_ELEMENT_FUNC($C$10,5073),"dd-mm-yyyy")&amp;" - "&amp;TEXT([1]!RETRIEVE_WEB_DATA_ELEMENT_FUNC($C$10,5074),"$0.00"))</f>
        <v>-</v>
      </c>
      <c r="E33" s="224" t="str">
        <f>IF($C$2=FALSE,"-",[1]!RETRIEVE_WEB_DATA_ELEMENT_FUNC($C$10,4773))</f>
        <v>-</v>
      </c>
      <c r="F33" s="202" t="str">
        <f>IF($C$2=FALSE,"-",[1]!RETRIEVE_WEB_DATA_ELEMENT_FUNC($C$10,4774))</f>
        <v>-</v>
      </c>
      <c r="H33" s="207" t="str">
        <f>IF($C$2=FALSE,"-",[1]!RETRIEVE_WEB_DATA_ELEMENT_FUNC($C$10,5144))</f>
        <v>-</v>
      </c>
      <c r="J33" s="202" t="str">
        <f>IF($C$2=FALSE,"-",[1]!RETRIEVE_WEB_DATA_ELEMENT_FUNC($C$10,5154))</f>
        <v>-</v>
      </c>
      <c r="L33" s="203" t="s">
        <v>237</v>
      </c>
      <c r="M33" s="219" t="str">
        <f>IF($C$2=FALSE,"-",[1]!RETRIEVE_WEB_DATA_ELEMENT_FUNC($C$10,4949))</f>
        <v>-</v>
      </c>
      <c r="N33" s="219" t="str">
        <f>IF($C$2=FALSE,"-",[1]!RETRIEVE_WEB_DATA_ELEMENT_FUNC($C$10,4957))</f>
        <v>-</v>
      </c>
      <c r="O33" s="219" t="str">
        <f>IF($C$2=FALSE,"-",[1]!RETRIEVE_WEB_DATA_ELEMENT_FUNC($C$10,4965))</f>
        <v>-</v>
      </c>
      <c r="P33" s="219" t="str">
        <f>IF($C$2=FALSE,"-",[1]!RETRIEVE_WEB_DATA_ELEMENT_FUNC($C$10,4973))</f>
        <v>-</v>
      </c>
      <c r="Q33" s="220" t="str">
        <f>IF($C$2=FALSE,"-",[1]!RETRIEVE_WEB_DATA_ELEMENT_FUNC($C$10,4981))</f>
        <v>-</v>
      </c>
    </row>
    <row r="34" spans="2:17" ht="15" customHeight="1">
      <c r="B34" s="198" t="s">
        <v>238</v>
      </c>
      <c r="C34" s="225" t="str">
        <f>IF($C$2=FALSE,"-",TEXT([1]!RETRIEVE_WEB_DATA_ELEMENT_FUNC($C$10,5075),"dd-mm-yyyy")&amp;" - "&amp;TEXT([1]!RETRIEVE_WEB_DATA_ELEMENT_FUNC($C$10,5076),"$0.00"))</f>
        <v>-</v>
      </c>
      <c r="E34" s="224" t="str">
        <f>IF($C$2=FALSE,"-",[1]!RETRIEVE_WEB_DATA_ELEMENT_FUNC($C$10,4775))</f>
        <v>-</v>
      </c>
      <c r="F34" s="202" t="str">
        <f>IF($C$2=FALSE,"-",[1]!RETRIEVE_WEB_DATA_ELEMENT_FUNC($C$10,4776))</f>
        <v>-</v>
      </c>
      <c r="H34" s="207" t="str">
        <f>IF($C$2=FALSE,"-",[1]!RETRIEVE_WEB_DATA_ELEMENT_FUNC($C$10,5148))</f>
        <v>-</v>
      </c>
      <c r="J34" s="202" t="str">
        <f>IF($C$2=FALSE,"-",[1]!RETRIEVE_WEB_DATA_ELEMENT_FUNC($C$10,5150))</f>
        <v>-</v>
      </c>
      <c r="L34" s="203" t="s">
        <v>239</v>
      </c>
      <c r="M34" s="219" t="str">
        <f>IF($C$2=FALSE,"-",[1]!RETRIEVE_WEB_DATA_ELEMENT_FUNC($C$10,4950))</f>
        <v>-</v>
      </c>
      <c r="N34" s="219" t="str">
        <f>IF($C$2=FALSE,"-",[1]!RETRIEVE_WEB_DATA_ELEMENT_FUNC($C$10,4958))</f>
        <v>-</v>
      </c>
      <c r="O34" s="219" t="str">
        <f>IF($C$2=FALSE,"-",[1]!RETRIEVE_WEB_DATA_ELEMENT_FUNC($C$10,4966))</f>
        <v>-</v>
      </c>
      <c r="P34" s="219" t="str">
        <f>IF($C$2=FALSE,"-",[1]!RETRIEVE_WEB_DATA_ELEMENT_FUNC($C$10,4974))</f>
        <v>-</v>
      </c>
      <c r="Q34" s="220" t="str">
        <f>IF($C$2=FALSE,"-",[1]!RETRIEVE_WEB_DATA_ELEMENT_FUNC($C$10,4982))</f>
        <v>-</v>
      </c>
    </row>
    <row r="35" spans="2:17" ht="15" customHeight="1">
      <c r="B35" s="198" t="s">
        <v>240</v>
      </c>
      <c r="C35" s="222" t="str">
        <f>IF($C$2=FALSE,"-",[1]!RETRIEVE_WEB_DATA_ELEMENT_FUNC($C$10,4932))</f>
        <v>-</v>
      </c>
      <c r="E35" s="224" t="str">
        <f>IF($C$2=FALSE,"-",[1]!RETRIEVE_WEB_DATA_ELEMENT_FUNC($C$10,4777))</f>
        <v>-</v>
      </c>
      <c r="F35" s="202" t="str">
        <f>IF($C$2=FALSE,"-",[1]!RETRIEVE_WEB_DATA_ELEMENT_FUNC($C$10,4778))</f>
        <v>-</v>
      </c>
      <c r="H35" s="207" t="str">
        <f>IF($C$2=FALSE,"-",[1]!RETRIEVE_WEB_DATA_ELEMENT_FUNC($C$10,5152))</f>
        <v>-</v>
      </c>
      <c r="J35" s="202" t="str">
        <f>IF($C$2=FALSE,"-",[1]!RETRIEVE_WEB_DATA_ELEMENT_FUNC($C$10,5154))</f>
        <v>-</v>
      </c>
      <c r="Q35" s="189"/>
    </row>
    <row r="36" spans="2:17" ht="15" customHeight="1">
      <c r="B36" s="198" t="s">
        <v>241</v>
      </c>
      <c r="C36" s="226" t="str">
        <f>IF($C$2=FALSE,"-",[1]!RETRIEVE_WEB_DATA_ELEMENT_FUNC($C$10,4933))</f>
        <v>-</v>
      </c>
      <c r="E36" s="224" t="str">
        <f>IF($C$2=FALSE,"-",[1]!RETRIEVE_WEB_DATA_ELEMENT_FUNC($C$10,4779))</f>
        <v>-</v>
      </c>
      <c r="F36" s="202" t="str">
        <f>IF($C$2=FALSE,"-",[1]!RETRIEVE_WEB_DATA_ELEMENT_FUNC($C$10,4780))</f>
        <v>-</v>
      </c>
      <c r="H36" s="207" t="str">
        <f>IF($C$2=FALSE,"-",[1]!RETRIEVE_WEB_DATA_ELEMENT_FUNC($C$10,5156))</f>
        <v>-</v>
      </c>
      <c r="J36" s="227" t="str">
        <f>IF($C$2=FALSE,"-",[1]!RETRIEVE_WEB_DATA_ELEMENT_FUNC($C$10,5158))</f>
        <v>-</v>
      </c>
      <c r="Q36" s="189"/>
    </row>
    <row r="37" spans="2:17" ht="15" customHeight="1">
      <c r="B37" s="198" t="s">
        <v>242</v>
      </c>
      <c r="C37" s="226" t="str">
        <f>IF($C$2=FALSE,"-",[1]!RETRIEVE_WEB_DATA_ELEMENT_FUNC($C$10,4934))</f>
        <v>-</v>
      </c>
      <c r="E37" s="224" t="str">
        <f>IF($C$2=FALSE,"-",[1]!RETRIEVE_WEB_DATA_ELEMENT_FUNC($C$10,4781))</f>
        <v>-</v>
      </c>
      <c r="F37" s="202" t="str">
        <f>IF($C$2=FALSE,"-",[1]!RETRIEVE_WEB_DATA_ELEMENT_FUNC($C$10,4782))</f>
        <v>-</v>
      </c>
      <c r="H37" s="207" t="str">
        <f>IF($C$2=FALSE,"-",[1]!RETRIEVE_WEB_DATA_ELEMENT_FUNC($C$10,5160))</f>
        <v>-</v>
      </c>
      <c r="J37" s="202" t="str">
        <f>IF($C$2=FALSE,"-",[1]!RETRIEVE_WEB_DATA_ELEMENT_FUNC($C$10,5162))</f>
        <v>-</v>
      </c>
      <c r="Q37" s="189"/>
    </row>
    <row r="38" spans="2:17" ht="15" customHeight="1">
      <c r="B38" s="198" t="s">
        <v>243</v>
      </c>
      <c r="C38" s="222" t="str">
        <f>IF($C$2=FALSE,"-",[1]!RETRIEVE_WEB_DATA_ELEMENT_FUNC($C$10,4935))</f>
        <v>-</v>
      </c>
      <c r="E38" s="224" t="str">
        <f>IF($C$2=FALSE,"-",[1]!RETRIEVE_WEB_DATA_ELEMENT_FUNC($C$10,4783))</f>
        <v>-</v>
      </c>
      <c r="F38" s="202" t="str">
        <f>IF($C$2=FALSE,"-",[1]!RETRIEVE_WEB_DATA_ELEMENT_FUNC($C$10,4784))</f>
        <v>-</v>
      </c>
      <c r="H38" s="207" t="str">
        <f>IF($C$2=FALSE,"-",[1]!RETRIEVE_WEB_DATA_ELEMENT_FUNC($C$10,5164))</f>
        <v>-</v>
      </c>
      <c r="J38" s="202" t="str">
        <f>IF($C$2=FALSE,"-",[1]!RETRIEVE_WEB_DATA_ELEMENT_FUNC($C$10,5166))</f>
        <v>-</v>
      </c>
      <c r="Q38" s="189"/>
    </row>
    <row r="39" spans="2:17" ht="15" customHeight="1">
      <c r="B39" s="198" t="s">
        <v>244</v>
      </c>
      <c r="C39" s="222" t="str">
        <f>IF($C$2=FALSE,"-",[1]!RETRIEVE_WEB_DATA_ELEMENT_FUNC($C$10,4936))</f>
        <v>-</v>
      </c>
      <c r="D39" s="187"/>
      <c r="G39" s="187"/>
      <c r="H39" s="207" t="str">
        <f>IF($C$2=FALSE,"-",[1]!RETRIEVE_WEB_DATA_ELEMENT_FUNC($C$10,5168))</f>
        <v>-</v>
      </c>
      <c r="J39" s="227" t="str">
        <f>IF($C$2=FALSE,"-",[1]!RETRIEVE_WEB_DATA_ELEMENT_FUNC($C$10,5170))</f>
        <v>-</v>
      </c>
      <c r="Q39" s="189"/>
    </row>
    <row r="40" spans="2:17" ht="15" customHeight="1">
      <c r="B40" s="198" t="s">
        <v>245</v>
      </c>
      <c r="C40" s="222" t="str">
        <f>IF($C$2=FALSE,"-",[1]!RETRIEVE_WEB_DATA_ELEMENT_FUNC($C$10,4937))</f>
        <v>-</v>
      </c>
      <c r="E40" s="192" t="s">
        <v>246</v>
      </c>
      <c r="F40" s="193"/>
      <c r="G40" s="215"/>
      <c r="H40" s="207" t="str">
        <f>IF($C$2=FALSE,"-",[1]!RETRIEVE_WEB_DATA_ELEMENT_FUNC($C$10,5172))</f>
        <v>-</v>
      </c>
      <c r="J40" s="202" t="str">
        <f>IF($C$2=FALSE,"-",[1]!RETRIEVE_WEB_DATA_ELEMENT_FUNC($C$10,5174))</f>
        <v>-</v>
      </c>
      <c r="Q40" s="189"/>
    </row>
    <row r="41" spans="2:17" ht="15" customHeight="1">
      <c r="B41" s="173"/>
      <c r="G41" s="215"/>
      <c r="H41" s="207" t="str">
        <f>IF($C$2=FALSE,"-",[1]!RETRIEVE_WEB_DATA_ELEMENT_FUNC($C$10,5176))</f>
        <v>-</v>
      </c>
      <c r="J41" s="202" t="str">
        <f>IF($C$2=FALSE,"-",[1]!RETRIEVE_WEB_DATA_ELEMENT_FUNC($C$10,5178))</f>
        <v>-</v>
      </c>
      <c r="Q41" s="189"/>
    </row>
    <row r="42" spans="2:17" ht="15" customHeight="1">
      <c r="B42" s="192" t="s">
        <v>247</v>
      </c>
      <c r="C42" s="193"/>
      <c r="E42" s="215" t="s">
        <v>149</v>
      </c>
      <c r="F42" s="202" t="str">
        <f>IF($C$2=FALSE,"-",[1]!RETRIEVE_WEB_DATA_ELEMENT_FUNC($C$10,4728))</f>
        <v>-</v>
      </c>
      <c r="G42" s="215"/>
      <c r="H42" s="207" t="str">
        <f>IF($C$2=FALSE,"-",[1]!RETRIEVE_WEB_DATA_ELEMENT_FUNC($C$10,5180))</f>
        <v>-</v>
      </c>
      <c r="J42" s="227" t="str">
        <f>IF($C$2=FALSE,"-",[1]!RETRIEVE_WEB_DATA_ELEMENT_FUNC($C$10,5182))</f>
        <v>-</v>
      </c>
      <c r="Q42" s="189"/>
    </row>
    <row r="43" spans="2:17" ht="15" customHeight="1">
      <c r="B43" s="205" t="s">
        <v>19</v>
      </c>
      <c r="C43" s="201" t="str">
        <f>IF($C$2=FALSE,"-",[1]!RETRIEVE_WEB_DATA_ELEMENT_FUNC($C$10,4671))</f>
        <v>-</v>
      </c>
      <c r="E43" s="215" t="s">
        <v>148</v>
      </c>
      <c r="F43" s="202" t="str">
        <f>IF($C$2=FALSE,"-",[1]!RETRIEVE_WEB_DATA_ELEMENT_FUNC($C$10,4729))</f>
        <v>-</v>
      </c>
      <c r="G43" s="215"/>
      <c r="Q43" s="189"/>
    </row>
    <row r="44" spans="2:17" ht="15" customHeight="1">
      <c r="B44" s="205" t="s">
        <v>248</v>
      </c>
      <c r="C44" s="201" t="str">
        <f>IF($C$2=FALSE,"-",[1]!RETRIEVE_WEB_DATA_ELEMENT_FUNC($C$10,4672))</f>
        <v>-</v>
      </c>
      <c r="E44" s="215" t="s">
        <v>147</v>
      </c>
      <c r="F44" s="202" t="str">
        <f>IF($C$2=FALSE,"-",[1]!RETRIEVE_WEB_DATA_ELEMENT_FUNC($C$10,4730))</f>
        <v>-</v>
      </c>
      <c r="G44" s="215"/>
      <c r="Q44" s="189"/>
    </row>
    <row r="45" spans="2:17" ht="15" customHeight="1">
      <c r="B45" s="205" t="s">
        <v>18</v>
      </c>
      <c r="C45" s="201" t="str">
        <f>IF($C$2=FALSE,"-",[1]!RETRIEVE_WEB_DATA_ELEMENT_FUNC($C$10,4673))</f>
        <v>-</v>
      </c>
      <c r="E45" s="215" t="s">
        <v>146</v>
      </c>
      <c r="F45" s="202" t="str">
        <f>IF($C$2=FALSE,"-",[1]!RETRIEVE_WEB_DATA_ELEMENT_FUNC($C$10,4731))</f>
        <v>-</v>
      </c>
      <c r="Q45" s="189"/>
    </row>
    <row r="46" spans="2:17" ht="15" customHeight="1">
      <c r="B46" s="205" t="s">
        <v>249</v>
      </c>
      <c r="C46" s="201" t="str">
        <f>IF($C$2=FALSE,"-",[1]!RETRIEVE_WEB_DATA_ELEMENT_FUNC($C$10,4674))</f>
        <v>-</v>
      </c>
      <c r="E46" s="215" t="s">
        <v>145</v>
      </c>
      <c r="F46" s="202" t="str">
        <f>IF($C$2=FALSE,"-",[1]!RETRIEVE_WEB_DATA_ELEMENT_FUNC($C$10,4732))</f>
        <v>-</v>
      </c>
      <c r="Q46" s="189"/>
    </row>
    <row r="47" spans="2:17" ht="15" customHeight="1">
      <c r="B47" s="205" t="s">
        <v>250</v>
      </c>
      <c r="C47" s="201" t="str">
        <f>IF($C$2=FALSE,"-",[1]!RETRIEVE_WEB_DATA_ELEMENT_FUNC($C$10,4675))</f>
        <v>-</v>
      </c>
      <c r="Q47" s="189"/>
    </row>
    <row r="48" spans="2:17" ht="15" customHeight="1">
      <c r="B48" s="205" t="s">
        <v>251</v>
      </c>
      <c r="C48" s="201" t="str">
        <f>IF($C$2=FALSE,"-",[1]!RETRIEVE_WEB_DATA_ELEMENT_FUNC($C$10,4676))</f>
        <v>-</v>
      </c>
      <c r="Q48" s="189"/>
    </row>
    <row r="49" spans="2:17" ht="15" customHeight="1">
      <c r="B49" s="205" t="s">
        <v>252</v>
      </c>
      <c r="C49" s="201" t="str">
        <f>IF($C$2=FALSE,"-",[1]!RETRIEVE_WEB_DATA_ELEMENT_FUNC($C$10,4677))</f>
        <v>-</v>
      </c>
      <c r="Q49" s="189"/>
    </row>
    <row r="50" spans="2:17" ht="15" customHeight="1">
      <c r="B50" s="205" t="s">
        <v>253</v>
      </c>
      <c r="C50" s="201" t="str">
        <f>IF($C$2=FALSE,"-",[1]!RETRIEVE_WEB_DATA_ELEMENT_FUNC($C$10,4678))</f>
        <v>-</v>
      </c>
      <c r="Q50" s="189"/>
    </row>
    <row r="51" spans="2:17" ht="15" customHeight="1">
      <c r="B51" s="205" t="s">
        <v>254</v>
      </c>
      <c r="C51" s="201" t="str">
        <f>IF($C$2=FALSE,"-",[1]!RETRIEVE_WEB_DATA_ELEMENT_FUNC($C$10,4679))</f>
        <v>-</v>
      </c>
      <c r="Q51" s="189"/>
    </row>
    <row r="52" spans="2:17" ht="15" customHeight="1">
      <c r="B52" s="229" t="s">
        <v>255</v>
      </c>
      <c r="C52" s="230" t="str">
        <f>IF($C$2=FALSE,"-",[1]!RETRIEVE_WEB_DATA_ELEMENT_FUNC($C$10,4680))</f>
        <v>-</v>
      </c>
      <c r="D52" s="231"/>
      <c r="E52" s="231"/>
      <c r="F52" s="231"/>
      <c r="G52" s="231"/>
      <c r="H52" s="231"/>
      <c r="I52" s="231"/>
      <c r="J52" s="231"/>
      <c r="K52" s="231"/>
      <c r="L52" s="231"/>
      <c r="M52" s="231"/>
      <c r="N52" s="231"/>
      <c r="O52" s="231"/>
      <c r="P52" s="231"/>
      <c r="Q52" s="232"/>
    </row>
    <row r="54" spans="2:17" s="233" customFormat="1" ht="0.95" customHeight="1"/>
    <row r="55" spans="2:17" s="233" customFormat="1" ht="0.95" customHeight="1">
      <c r="B55" s="234" t="e">
        <f>$Q$8*100</f>
        <v>#VALUE!</v>
      </c>
      <c r="C55" s="234">
        <v>1</v>
      </c>
      <c r="D55" s="234">
        <v>2</v>
      </c>
      <c r="E55" s="234">
        <v>3</v>
      </c>
      <c r="F55" s="234">
        <v>4</v>
      </c>
      <c r="G55" s="234">
        <v>5</v>
      </c>
      <c r="H55" s="234">
        <v>6</v>
      </c>
      <c r="I55" s="234">
        <v>7</v>
      </c>
      <c r="J55" s="234">
        <v>8</v>
      </c>
      <c r="K55" s="234">
        <v>9</v>
      </c>
      <c r="L55" s="234">
        <v>10</v>
      </c>
    </row>
    <row r="56" spans="2:17" s="233" customFormat="1" ht="0.95" customHeight="1">
      <c r="B56" s="235">
        <v>1</v>
      </c>
      <c r="C56" s="236">
        <v>100</v>
      </c>
      <c r="D56" s="236">
        <v>90</v>
      </c>
      <c r="E56" s="236">
        <v>89</v>
      </c>
      <c r="F56" s="236">
        <v>88</v>
      </c>
      <c r="G56" s="236">
        <v>87</v>
      </c>
      <c r="H56" s="236">
        <v>86</v>
      </c>
      <c r="I56" s="236">
        <v>85</v>
      </c>
      <c r="J56" s="236">
        <v>84</v>
      </c>
      <c r="K56" s="236">
        <v>83</v>
      </c>
      <c r="L56" s="236">
        <v>82</v>
      </c>
    </row>
    <row r="57" spans="2:17" s="233" customFormat="1" ht="0.95" customHeight="1">
      <c r="B57" s="235">
        <v>2</v>
      </c>
      <c r="C57" s="236">
        <v>99</v>
      </c>
      <c r="D57" s="236">
        <v>81</v>
      </c>
      <c r="E57" s="236">
        <v>72</v>
      </c>
      <c r="F57" s="236">
        <v>71</v>
      </c>
      <c r="G57" s="236">
        <v>70</v>
      </c>
      <c r="H57" s="236">
        <v>69</v>
      </c>
      <c r="I57" s="236">
        <v>68</v>
      </c>
      <c r="J57" s="236">
        <v>67</v>
      </c>
      <c r="K57" s="236">
        <v>66</v>
      </c>
      <c r="L57" s="236">
        <v>65</v>
      </c>
    </row>
    <row r="58" spans="2:17" s="233" customFormat="1" ht="0.95" customHeight="1">
      <c r="B58" s="235">
        <v>3</v>
      </c>
      <c r="C58" s="236">
        <v>98</v>
      </c>
      <c r="D58" s="236">
        <v>80</v>
      </c>
      <c r="E58" s="236">
        <v>64</v>
      </c>
      <c r="F58" s="236">
        <v>56</v>
      </c>
      <c r="G58" s="236">
        <v>55</v>
      </c>
      <c r="H58" s="236">
        <v>54</v>
      </c>
      <c r="I58" s="236">
        <v>53</v>
      </c>
      <c r="J58" s="236">
        <v>52</v>
      </c>
      <c r="K58" s="236">
        <v>51</v>
      </c>
      <c r="L58" s="236">
        <v>50</v>
      </c>
    </row>
    <row r="59" spans="2:17" s="233" customFormat="1" ht="0.95" customHeight="1">
      <c r="B59" s="235">
        <v>4</v>
      </c>
      <c r="C59" s="236">
        <v>97</v>
      </c>
      <c r="D59" s="236">
        <v>79</v>
      </c>
      <c r="E59" s="236">
        <v>63</v>
      </c>
      <c r="F59" s="236">
        <v>49</v>
      </c>
      <c r="G59" s="236">
        <v>42</v>
      </c>
      <c r="H59" s="236">
        <v>41</v>
      </c>
      <c r="I59" s="236">
        <v>40</v>
      </c>
      <c r="J59" s="236">
        <v>39</v>
      </c>
      <c r="K59" s="236">
        <v>38</v>
      </c>
      <c r="L59" s="236">
        <v>37</v>
      </c>
    </row>
    <row r="60" spans="2:17" s="233" customFormat="1" ht="0.95" customHeight="1">
      <c r="B60" s="235">
        <v>5</v>
      </c>
      <c r="C60" s="236">
        <v>96</v>
      </c>
      <c r="D60" s="236">
        <v>78</v>
      </c>
      <c r="E60" s="236">
        <v>62</v>
      </c>
      <c r="F60" s="236">
        <v>48</v>
      </c>
      <c r="G60" s="236">
        <v>36</v>
      </c>
      <c r="H60" s="236">
        <v>30</v>
      </c>
      <c r="I60" s="236">
        <v>29</v>
      </c>
      <c r="J60" s="236">
        <v>28</v>
      </c>
      <c r="K60" s="236">
        <v>27</v>
      </c>
      <c r="L60" s="236">
        <v>26</v>
      </c>
    </row>
    <row r="61" spans="2:17" s="233" customFormat="1" ht="0.95" customHeight="1">
      <c r="B61" s="235">
        <v>6</v>
      </c>
      <c r="C61" s="236">
        <v>95</v>
      </c>
      <c r="D61" s="236">
        <v>77</v>
      </c>
      <c r="E61" s="236">
        <v>61</v>
      </c>
      <c r="F61" s="236">
        <v>47</v>
      </c>
      <c r="G61" s="236">
        <v>35</v>
      </c>
      <c r="H61" s="236">
        <v>25</v>
      </c>
      <c r="I61" s="236">
        <v>20</v>
      </c>
      <c r="J61" s="236">
        <v>19</v>
      </c>
      <c r="K61" s="236">
        <v>18</v>
      </c>
      <c r="L61" s="236">
        <v>17</v>
      </c>
    </row>
    <row r="62" spans="2:17" s="233" customFormat="1" ht="0.95" customHeight="1">
      <c r="B62" s="235">
        <v>7</v>
      </c>
      <c r="C62" s="236">
        <v>94</v>
      </c>
      <c r="D62" s="236">
        <v>76</v>
      </c>
      <c r="E62" s="236">
        <v>60</v>
      </c>
      <c r="F62" s="236">
        <v>46</v>
      </c>
      <c r="G62" s="236">
        <v>34</v>
      </c>
      <c r="H62" s="236">
        <v>24</v>
      </c>
      <c r="I62" s="236">
        <v>16</v>
      </c>
      <c r="J62" s="236">
        <v>12</v>
      </c>
      <c r="K62" s="236">
        <v>11</v>
      </c>
      <c r="L62" s="236">
        <v>10</v>
      </c>
    </row>
    <row r="63" spans="2:17" s="233" customFormat="1" ht="0.95" customHeight="1">
      <c r="B63" s="235">
        <v>8</v>
      </c>
      <c r="C63" s="236">
        <v>93</v>
      </c>
      <c r="D63" s="236">
        <v>75</v>
      </c>
      <c r="E63" s="236">
        <v>59</v>
      </c>
      <c r="F63" s="236">
        <v>45</v>
      </c>
      <c r="G63" s="236">
        <v>33</v>
      </c>
      <c r="H63" s="236">
        <v>23</v>
      </c>
      <c r="I63" s="236">
        <v>15</v>
      </c>
      <c r="J63" s="236">
        <v>9</v>
      </c>
      <c r="K63" s="236">
        <v>6</v>
      </c>
      <c r="L63" s="236">
        <v>5</v>
      </c>
    </row>
    <row r="64" spans="2:17" s="233" customFormat="1" ht="0.95" customHeight="1">
      <c r="B64" s="235">
        <v>9</v>
      </c>
      <c r="C64" s="236">
        <v>92</v>
      </c>
      <c r="D64" s="236">
        <v>74</v>
      </c>
      <c r="E64" s="236">
        <v>58</v>
      </c>
      <c r="F64" s="236">
        <v>44</v>
      </c>
      <c r="G64" s="236">
        <v>32</v>
      </c>
      <c r="H64" s="236">
        <v>22</v>
      </c>
      <c r="I64" s="236">
        <v>14</v>
      </c>
      <c r="J64" s="236">
        <v>8</v>
      </c>
      <c r="K64" s="236">
        <v>4</v>
      </c>
      <c r="L64" s="236">
        <v>2</v>
      </c>
    </row>
    <row r="65" spans="2:12" s="233" customFormat="1" ht="0.95" customHeight="1">
      <c r="B65" s="235">
        <v>10</v>
      </c>
      <c r="C65" s="236">
        <v>91</v>
      </c>
      <c r="D65" s="236">
        <v>73</v>
      </c>
      <c r="E65" s="236">
        <v>57</v>
      </c>
      <c r="F65" s="236">
        <v>42</v>
      </c>
      <c r="G65" s="236">
        <v>31</v>
      </c>
      <c r="H65" s="236">
        <v>21</v>
      </c>
      <c r="I65" s="236">
        <v>13</v>
      </c>
      <c r="J65" s="236">
        <v>7</v>
      </c>
      <c r="K65" s="236">
        <v>3</v>
      </c>
      <c r="L65" s="236">
        <v>1</v>
      </c>
    </row>
    <row r="66" spans="2:12" s="233" customFormat="1" ht="0.95" customHeight="1">
      <c r="B66" s="234"/>
      <c r="C66" s="234"/>
      <c r="D66" s="234"/>
      <c r="E66" s="234"/>
      <c r="F66" s="234"/>
      <c r="G66" s="234"/>
      <c r="H66" s="234"/>
      <c r="I66" s="234"/>
      <c r="J66" s="234"/>
      <c r="K66" s="234"/>
      <c r="L66" s="234"/>
    </row>
    <row r="67" spans="2:12" s="233" customFormat="1" ht="0.95" customHeight="1">
      <c r="B67" s="234"/>
      <c r="C67" s="234">
        <v>1</v>
      </c>
      <c r="D67" s="234">
        <v>2</v>
      </c>
      <c r="E67" s="234">
        <v>3</v>
      </c>
      <c r="F67" s="234">
        <v>4</v>
      </c>
      <c r="G67" s="234">
        <v>5</v>
      </c>
      <c r="H67" s="234">
        <v>6</v>
      </c>
      <c r="I67" s="234">
        <v>7</v>
      </c>
      <c r="J67" s="234">
        <v>8</v>
      </c>
      <c r="K67" s="234">
        <v>9</v>
      </c>
      <c r="L67" s="234">
        <v>10</v>
      </c>
    </row>
    <row r="68" spans="2:12" s="233" customFormat="1" ht="0.95" customHeight="1">
      <c r="B68" s="234"/>
      <c r="C68" s="234" t="e">
        <f t="array" ref="C68">SUM((C$56:C$65&lt;=$B55)*1)</f>
        <v>#VALUE!</v>
      </c>
      <c r="D68" s="234" t="e">
        <f t="array" ref="D68">SUM((D$56:D$65&lt;=$B55)*1)</f>
        <v>#VALUE!</v>
      </c>
      <c r="E68" s="234" t="e">
        <f t="array" ref="E68">SUM((E$56:E$65&lt;=$B55)*1)</f>
        <v>#VALUE!</v>
      </c>
      <c r="F68" s="234" t="e">
        <f t="array" ref="F68">SUM((F$56:F$65&lt;=$B55)*1)</f>
        <v>#VALUE!</v>
      </c>
      <c r="G68" s="234" t="e">
        <f t="array" ref="G68">SUM((G$56:G$65&lt;=$B55)*1)</f>
        <v>#VALUE!</v>
      </c>
      <c r="H68" s="234" t="e">
        <f t="array" ref="H68">SUM((H$56:H$65&lt;=$B55)*1)</f>
        <v>#VALUE!</v>
      </c>
      <c r="I68" s="234" t="e">
        <f t="array" ref="I68">SUM((I$56:I$65&lt;=$B55)*1)</f>
        <v>#VALUE!</v>
      </c>
      <c r="J68" s="234" t="e">
        <f t="array" ref="J68">SUM((J$56:J$65&lt;=$B55)*1)</f>
        <v>#VALUE!</v>
      </c>
      <c r="K68" s="234" t="e">
        <f t="array" ref="K68">SUM((K$56:K$65&lt;=$B55)*1)</f>
        <v>#VALUE!</v>
      </c>
      <c r="L68" s="234" t="e">
        <f t="array" ref="L68">SUM((L$56:L$65&lt;=$B55)*1)</f>
        <v>#VALUE!</v>
      </c>
    </row>
    <row r="69" spans="2:12" s="233" customFormat="1" ht="0.95" customHeight="1"/>
    <row r="75" spans="2:12" ht="15" customHeight="1">
      <c r="D75" s="187"/>
    </row>
    <row r="80" spans="2:12" ht="15" customHeight="1">
      <c r="G80" s="215"/>
    </row>
    <row r="93" spans="3:10" ht="15" customHeight="1">
      <c r="C93" s="237"/>
      <c r="D93" s="237"/>
      <c r="G93" s="237"/>
      <c r="H93" s="237"/>
      <c r="I93" s="237"/>
      <c r="J93" s="237"/>
    </row>
    <row r="104" spans="3:9" ht="15" customHeight="1">
      <c r="D104" s="187"/>
      <c r="H104" s="187"/>
      <c r="I104" s="187"/>
    </row>
    <row r="105" spans="3:9" ht="15" customHeight="1">
      <c r="C105" s="187"/>
      <c r="D105" s="187"/>
      <c r="G105" s="187"/>
      <c r="H105" s="187"/>
      <c r="I105" s="187"/>
    </row>
  </sheetData>
  <mergeCells count="1">
    <mergeCell ref="C4:Q6"/>
  </mergeCells>
  <conditionalFormatting sqref="C56:L65">
    <cfRule type="expression" dxfId="0" priority="2" stopIfTrue="1">
      <formula>(#REF!&gt;=C56)</formula>
    </cfRule>
  </conditionalFormatting>
  <dataValidations count="1">
    <dataValidation type="list" allowBlank="1" showInputMessage="1" showErrorMessage="1" sqref="C2 C983042 C917506 C851970 C786434 C720898 C655362 C589826 C524290 C458754 C393218 C327682 C262146 C196610 C131074 C65538">
      <formula1>"TRUE, FALSE"</formula1>
    </dataValidation>
  </dataValidations>
  <hyperlinks>
    <hyperlink ref="G50" r:id="rId1" display="http://quicktake.morningstar.com/FundNet/RatingsAndRisk.aspx?symbol=PRILX"/>
    <hyperlink ref="G52" r:id="rId2" display="http://quicktake.morningstar.com/FundNet/RatingsAndRisk.aspx?symbol=PRILX"/>
    <hyperlink ref="F52" r:id="rId3" display="http://quicktake.morningstar.com/FundNet/RatingsAndRisk.aspx?symbol=PRILX"/>
    <hyperlink ref="F50" r:id="rId4" display="http://quicktake.morningstar.com/FundNet/RatingsAndRisk.aspx?symbol=PRILX"/>
    <hyperlink ref="E52" r:id="rId5" display="http://quicktake.morningstar.com/FundNet/RatingsAndRisk.aspx?symbol=PRILX"/>
    <hyperlink ref="E50" r:id="rId6" display="http://quicktake.morningstar.com/FundNet/RatingsAndRisk.aspx?symbol=PRILX"/>
  </hyperlinks>
  <printOptions horizontalCentered="1" verticalCentered="1"/>
  <pageMargins left="0.5" right="0" top="0" bottom="0.25" header="0" footer="0.05"/>
  <pageSetup scale="34" orientation="landscape" horizontalDpi="300" verticalDpi="300" r:id="rId7"/>
  <headerFooter>
    <oddFooter>&amp;L&amp;D&amp;R&amp;Z&amp;F &amp;A</oddFooter>
  </headerFooter>
  <drawing r:id="rId8"/>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6" tint="-0.249977111117893"/>
    <outlinePr applyStyles="1" summaryBelow="0"/>
  </sheetPr>
  <dimension ref="B1:AI64"/>
  <sheetViews>
    <sheetView workbookViewId="0">
      <selection activeCell="C2" sqref="C2"/>
    </sheetView>
  </sheetViews>
  <sheetFormatPr defaultColWidth="8.25" defaultRowHeight="15" customHeight="1"/>
  <cols>
    <col min="1" max="1" width="3.375" style="136" customWidth="1"/>
    <col min="2" max="2" width="14.25" style="136" customWidth="1"/>
    <col min="3" max="3" width="14.25" style="137" customWidth="1"/>
    <col min="4" max="7" width="14.25" style="136" customWidth="1"/>
    <col min="8" max="8" width="3.375" style="136" customWidth="1"/>
    <col min="9" max="9" width="14.25" style="136" customWidth="1"/>
    <col min="10" max="10" width="14.25" style="137" customWidth="1"/>
    <col min="11" max="14" width="14.25" style="136" customWidth="1"/>
    <col min="15" max="15" width="3.375" style="136" customWidth="1"/>
    <col min="16" max="16" width="14.25" style="136" customWidth="1"/>
    <col min="17" max="17" width="14.25" style="137" customWidth="1"/>
    <col min="18" max="21" width="14.25" style="136" customWidth="1"/>
    <col min="22" max="22" width="3.375" style="136" customWidth="1"/>
    <col min="23" max="23" width="14.25" style="136" customWidth="1"/>
    <col min="24" max="24" width="14.25" style="137" customWidth="1"/>
    <col min="25" max="28" width="14.25" style="136" customWidth="1"/>
    <col min="29" max="29" width="3.375" style="136" customWidth="1"/>
    <col min="30" max="30" width="14.25" style="136" customWidth="1"/>
    <col min="31" max="31" width="14.25" style="137" customWidth="1"/>
    <col min="32" max="35" width="14.25" style="136" customWidth="1"/>
    <col min="36" max="256" width="9.75" style="136" customWidth="1"/>
    <col min="257" max="16384" width="8.25" style="136"/>
  </cols>
  <sheetData>
    <row r="1" spans="2:35" ht="15" customHeight="1" thickBot="1"/>
    <row r="2" spans="2:35" ht="15" customHeight="1" thickBot="1">
      <c r="B2" s="138" t="s">
        <v>169</v>
      </c>
      <c r="C2" s="139" t="b">
        <v>0</v>
      </c>
      <c r="I2" s="138" t="s">
        <v>169</v>
      </c>
      <c r="J2" s="139" t="b">
        <v>0</v>
      </c>
      <c r="P2" s="138" t="s">
        <v>169</v>
      </c>
      <c r="Q2" s="139" t="b">
        <v>0</v>
      </c>
      <c r="W2" s="138" t="s">
        <v>169</v>
      </c>
      <c r="X2" s="139" t="b">
        <v>0</v>
      </c>
      <c r="AD2" s="138" t="s">
        <v>169</v>
      </c>
      <c r="AE2" s="139" t="b">
        <v>0</v>
      </c>
    </row>
    <row r="3" spans="2:35" ht="15" customHeight="1">
      <c r="B3" s="140" t="str">
        <f>IF(C2=FALSE,"-",[1]!RETRIEVE_WEB_DATA_ELEMENT_FUNC(B6,4811))</f>
        <v>-</v>
      </c>
      <c r="C3" s="141"/>
      <c r="D3" s="141"/>
      <c r="E3" s="141"/>
      <c r="F3" s="141"/>
      <c r="G3" s="142"/>
      <c r="I3" s="140" t="str">
        <f>IF(J2=FALSE,"-",[1]!RETRIEVE_WEB_DATA_ELEMENT_FUNC(I6,4811))</f>
        <v>-</v>
      </c>
      <c r="J3" s="141"/>
      <c r="K3" s="141"/>
      <c r="L3" s="141"/>
      <c r="M3" s="141"/>
      <c r="N3" s="142"/>
      <c r="P3" s="140" t="str">
        <f>IF(Q2=FALSE,"-",[1]!RETRIEVE_WEB_DATA_ELEMENT_FUNC(P6,4811))</f>
        <v>-</v>
      </c>
      <c r="Q3" s="141"/>
      <c r="R3" s="141"/>
      <c r="S3" s="141"/>
      <c r="T3" s="141"/>
      <c r="U3" s="142"/>
      <c r="W3" s="140" t="str">
        <f>IF(X2=FALSE,"-",[1]!RETRIEVE_WEB_DATA_ELEMENT_FUNC(W6,4811))</f>
        <v>-</v>
      </c>
      <c r="X3" s="141"/>
      <c r="Y3" s="141"/>
      <c r="Z3" s="141"/>
      <c r="AA3" s="141"/>
      <c r="AB3" s="142"/>
      <c r="AD3" s="140" t="str">
        <f>IF(AE2=FALSE,"-",[1]!RETRIEVE_WEB_DATA_ELEMENT_FUNC(AD6,4811))</f>
        <v>-</v>
      </c>
      <c r="AE3" s="141"/>
      <c r="AF3" s="141"/>
      <c r="AG3" s="141"/>
      <c r="AH3" s="141"/>
      <c r="AI3" s="142"/>
    </row>
    <row r="4" spans="2:35" ht="15" customHeight="1">
      <c r="B4" s="143" t="str">
        <f>IF(C2=FALSE,"-",[1]!RETRIEVE_WEB_DATA_ELEMENT_FUNC(B6,4812))</f>
        <v>-</v>
      </c>
      <c r="C4" s="144"/>
      <c r="D4" s="144"/>
      <c r="E4" s="144"/>
      <c r="F4" s="144"/>
      <c r="G4" s="145"/>
      <c r="I4" s="143" t="str">
        <f>IF(J2=FALSE,"-",[1]!RETRIEVE_WEB_DATA_ELEMENT_FUNC(I6,4812))</f>
        <v>-</v>
      </c>
      <c r="J4" s="144"/>
      <c r="K4" s="144"/>
      <c r="L4" s="144"/>
      <c r="M4" s="144"/>
      <c r="N4" s="145"/>
      <c r="P4" s="143" t="str">
        <f>IF(Q2=FALSE,"-",[1]!RETRIEVE_WEB_DATA_ELEMENT_FUNC(P6,4812))</f>
        <v>-</v>
      </c>
      <c r="Q4" s="144"/>
      <c r="R4" s="144"/>
      <c r="S4" s="144"/>
      <c r="T4" s="144"/>
      <c r="U4" s="145"/>
      <c r="W4" s="143" t="str">
        <f>IF(X2=FALSE,"-",[1]!RETRIEVE_WEB_DATA_ELEMENT_FUNC(W6,4812))</f>
        <v>-</v>
      </c>
      <c r="X4" s="144"/>
      <c r="Y4" s="144"/>
      <c r="Z4" s="144"/>
      <c r="AA4" s="144"/>
      <c r="AB4" s="145"/>
      <c r="AD4" s="143" t="str">
        <f>IF(AE2=FALSE,"-",[1]!RETRIEVE_WEB_DATA_ELEMENT_FUNC(AD6,4812))</f>
        <v>-</v>
      </c>
      <c r="AE4" s="144"/>
      <c r="AF4" s="144"/>
      <c r="AG4" s="144"/>
      <c r="AH4" s="144"/>
      <c r="AI4" s="145"/>
    </row>
    <row r="5" spans="2:35" ht="15" customHeight="1" thickBot="1">
      <c r="B5" s="146" t="str">
        <f>IF(C2=FALSE,"-",[1]!RETRIEVE_WEB_DATA_ELEMENT_FUNC(B6,4813))</f>
        <v>-</v>
      </c>
      <c r="C5" s="147"/>
      <c r="D5" s="147"/>
      <c r="E5" s="147"/>
      <c r="F5" s="147"/>
      <c r="G5" s="148"/>
      <c r="I5" s="146" t="str">
        <f>IF(J2=FALSE,"-",[1]!RETRIEVE_WEB_DATA_ELEMENT_FUNC(I6,4813))</f>
        <v>-</v>
      </c>
      <c r="J5" s="147"/>
      <c r="K5" s="147"/>
      <c r="L5" s="147"/>
      <c r="M5" s="147"/>
      <c r="N5" s="148"/>
      <c r="P5" s="146" t="str">
        <f>IF(Q2=FALSE,"-",[1]!RETRIEVE_WEB_DATA_ELEMENT_FUNC(P6,4813))</f>
        <v>-</v>
      </c>
      <c r="Q5" s="147"/>
      <c r="R5" s="147"/>
      <c r="S5" s="147"/>
      <c r="T5" s="147"/>
      <c r="U5" s="148"/>
      <c r="W5" s="146" t="str">
        <f>IF(X2=FALSE,"-",[1]!RETRIEVE_WEB_DATA_ELEMENT_FUNC(W6,4813))</f>
        <v>-</v>
      </c>
      <c r="X5" s="147"/>
      <c r="Y5" s="147"/>
      <c r="Z5" s="147"/>
      <c r="AA5" s="147"/>
      <c r="AB5" s="148"/>
      <c r="AD5" s="146" t="str">
        <f>IF(AE2=FALSE,"-",[1]!RETRIEVE_WEB_DATA_ELEMENT_FUNC(AD6,4813))</f>
        <v>-</v>
      </c>
      <c r="AE5" s="147"/>
      <c r="AF5" s="147"/>
      <c r="AG5" s="147"/>
      <c r="AH5" s="147"/>
      <c r="AI5" s="148"/>
    </row>
    <row r="6" spans="2:35" ht="15" customHeight="1" thickBot="1">
      <c r="B6" s="149" t="s">
        <v>170</v>
      </c>
      <c r="C6" s="150" t="s">
        <v>17</v>
      </c>
      <c r="D6" s="151" t="s">
        <v>16</v>
      </c>
      <c r="E6" s="152" t="s">
        <v>14</v>
      </c>
      <c r="F6" s="152" t="s">
        <v>15</v>
      </c>
      <c r="G6" s="153" t="s">
        <v>13</v>
      </c>
      <c r="I6" s="149" t="s">
        <v>170</v>
      </c>
      <c r="J6" s="150" t="s">
        <v>17</v>
      </c>
      <c r="K6" s="151" t="s">
        <v>16</v>
      </c>
      <c r="L6" s="152" t="s">
        <v>14</v>
      </c>
      <c r="M6" s="152" t="s">
        <v>15</v>
      </c>
      <c r="N6" s="153" t="s">
        <v>13</v>
      </c>
      <c r="P6" s="149" t="s">
        <v>170</v>
      </c>
      <c r="Q6" s="150" t="s">
        <v>17</v>
      </c>
      <c r="R6" s="151" t="s">
        <v>16</v>
      </c>
      <c r="S6" s="152" t="s">
        <v>14</v>
      </c>
      <c r="T6" s="152" t="s">
        <v>15</v>
      </c>
      <c r="U6" s="153" t="s">
        <v>13</v>
      </c>
      <c r="W6" s="149" t="s">
        <v>170</v>
      </c>
      <c r="X6" s="150" t="s">
        <v>17</v>
      </c>
      <c r="Y6" s="151" t="s">
        <v>16</v>
      </c>
      <c r="Z6" s="152" t="s">
        <v>14</v>
      </c>
      <c r="AA6" s="152" t="s">
        <v>15</v>
      </c>
      <c r="AB6" s="153" t="s">
        <v>13</v>
      </c>
      <c r="AD6" s="149" t="s">
        <v>170</v>
      </c>
      <c r="AE6" s="150" t="s">
        <v>17</v>
      </c>
      <c r="AF6" s="151" t="s">
        <v>16</v>
      </c>
      <c r="AG6" s="152" t="s">
        <v>14</v>
      </c>
      <c r="AH6" s="152" t="s">
        <v>15</v>
      </c>
      <c r="AI6" s="153" t="s">
        <v>13</v>
      </c>
    </row>
    <row r="7" spans="2:35" ht="15" customHeight="1">
      <c r="B7" s="314" t="str">
        <f>IF(C2=FALSE,"-","Historical Performance through "&amp;TEXT([1]!RETRIEVE_WEB_DATA_ELEMENT_FUNC(B6,4814),"dd-mm-yyyy"))</f>
        <v>-</v>
      </c>
      <c r="C7" s="154" t="str">
        <f>IF(C2=FALSE,"-",[1]!RETRIEVE_WEB_DATA_ELEMENT_FUNC(B6,4661))</f>
        <v>-</v>
      </c>
      <c r="D7" s="155" t="str">
        <f>IF(C2=FALSE,"-",[1]!RETRIEVE_WEB_DATA_ELEMENT_FUNC(B6,4856))</f>
        <v>-</v>
      </c>
      <c r="E7" s="155" t="str">
        <f>IF(C2=FALSE,"-",[1]!RETRIEVE_WEB_DATA_ELEMENT_FUNC(B6,4872))</f>
        <v>-</v>
      </c>
      <c r="F7" s="155" t="str">
        <f>IF(C2=FALSE,"-",[1]!RETRIEVE_WEB_DATA_ELEMENT_FUNC(B6,4864))</f>
        <v>-</v>
      </c>
      <c r="G7" s="156" t="str">
        <f>IF(C2=FALSE,"-",[1]!RETRIEVE_WEB_DATA_ELEMENT_FUNC(B6,4880))</f>
        <v>-</v>
      </c>
      <c r="I7" s="314" t="str">
        <f>IF(J2=FALSE,"-","Historical Performance through "&amp;TEXT([1]!RETRIEVE_WEB_DATA_ELEMENT_FUNC(I6,4814),"dd-mm-yyyy"))</f>
        <v>-</v>
      </c>
      <c r="J7" s="154" t="str">
        <f>IF(J2=FALSE,"-",[1]!RETRIEVE_WEB_DATA_ELEMENT_FUNC(I6,4661))</f>
        <v>-</v>
      </c>
      <c r="K7" s="155" t="str">
        <f>IF(J2=FALSE,"-",[1]!RETRIEVE_WEB_DATA_ELEMENT_FUNC(I6,4856))</f>
        <v>-</v>
      </c>
      <c r="L7" s="155" t="str">
        <f>IF(J2=FALSE,"-",[1]!RETRIEVE_WEB_DATA_ELEMENT_FUNC(I6,4872))</f>
        <v>-</v>
      </c>
      <c r="M7" s="155" t="str">
        <f>IF(J2=FALSE,"-",[1]!RETRIEVE_WEB_DATA_ELEMENT_FUNC(I6,4864))</f>
        <v>-</v>
      </c>
      <c r="N7" s="156" t="str">
        <f>IF(J2=FALSE,"-",[1]!RETRIEVE_WEB_DATA_ELEMENT_FUNC(I6,4880))</f>
        <v>-</v>
      </c>
      <c r="P7" s="314" t="str">
        <f>IF(Q2=FALSE,"-","Historical Performance through "&amp;TEXT([1]!RETRIEVE_WEB_DATA_ELEMENT_FUNC(P6,4814),"dd-mm-yyyy"))</f>
        <v>-</v>
      </c>
      <c r="Q7" s="154" t="str">
        <f>IF(Q2=FALSE,"-",[1]!RETRIEVE_WEB_DATA_ELEMENT_FUNC(P6,4661))</f>
        <v>-</v>
      </c>
      <c r="R7" s="155" t="str">
        <f>IF(Q2=FALSE,"-",[1]!RETRIEVE_WEB_DATA_ELEMENT_FUNC(P6,4856))</f>
        <v>-</v>
      </c>
      <c r="S7" s="155" t="str">
        <f>IF(Q2=FALSE,"-",[1]!RETRIEVE_WEB_DATA_ELEMENT_FUNC(P6,4872))</f>
        <v>-</v>
      </c>
      <c r="T7" s="155" t="str">
        <f>IF(Q2=FALSE,"-",[1]!RETRIEVE_WEB_DATA_ELEMENT_FUNC(P6,4864))</f>
        <v>-</v>
      </c>
      <c r="U7" s="156" t="str">
        <f>IF(Q2=FALSE,"-",[1]!RETRIEVE_WEB_DATA_ELEMENT_FUNC(P6,4880))</f>
        <v>-</v>
      </c>
      <c r="W7" s="314" t="str">
        <f>IF(X2=FALSE,"-","Historical Performance through "&amp;TEXT([1]!RETRIEVE_WEB_DATA_ELEMENT_FUNC(W6,4814),"dd-mm-yyyy"))</f>
        <v>-</v>
      </c>
      <c r="X7" s="154" t="str">
        <f>IF(X2=FALSE,"-",[1]!RETRIEVE_WEB_DATA_ELEMENT_FUNC(W6,4661))</f>
        <v>-</v>
      </c>
      <c r="Y7" s="155" t="str">
        <f>IF(X2=FALSE,"-",[1]!RETRIEVE_WEB_DATA_ELEMENT_FUNC(W6,4856))</f>
        <v>-</v>
      </c>
      <c r="Z7" s="155" t="str">
        <f>IF(X2=FALSE,"-",[1]!RETRIEVE_WEB_DATA_ELEMENT_FUNC(W6,4872))</f>
        <v>-</v>
      </c>
      <c r="AA7" s="155" t="str">
        <f>IF(X2=FALSE,"-",[1]!RETRIEVE_WEB_DATA_ELEMENT_FUNC(W6,4864))</f>
        <v>-</v>
      </c>
      <c r="AB7" s="156" t="str">
        <f>IF(X2=FALSE,"-",[1]!RETRIEVE_WEB_DATA_ELEMENT_FUNC(W6,4880))</f>
        <v>-</v>
      </c>
      <c r="AD7" s="314" t="str">
        <f>IF(AE2=FALSE,"-","Historical Performance through "&amp;TEXT([1]!RETRIEVE_WEB_DATA_ELEMENT_FUNC(AD6,4814),"dd-mm-yyyy"))</f>
        <v>-</v>
      </c>
      <c r="AE7" s="154" t="str">
        <f>IF(AE2=FALSE,"-",[1]!RETRIEVE_WEB_DATA_ELEMENT_FUNC(AD6,4661))</f>
        <v>-</v>
      </c>
      <c r="AF7" s="155" t="str">
        <f>IF(AE2=FALSE,"-",[1]!RETRIEVE_WEB_DATA_ELEMENT_FUNC(AD6,4856))</f>
        <v>-</v>
      </c>
      <c r="AG7" s="155" t="str">
        <f>IF(AE2=FALSE,"-",[1]!RETRIEVE_WEB_DATA_ELEMENT_FUNC(AD6,4872))</f>
        <v>-</v>
      </c>
      <c r="AH7" s="155" t="str">
        <f>IF(AE2=FALSE,"-",[1]!RETRIEVE_WEB_DATA_ELEMENT_FUNC(AD6,4864))</f>
        <v>-</v>
      </c>
      <c r="AI7" s="156" t="str">
        <f>IF(AE2=FALSE,"-",[1]!RETRIEVE_WEB_DATA_ELEMENT_FUNC(AD6,4880))</f>
        <v>-</v>
      </c>
    </row>
    <row r="8" spans="2:35" ht="15" customHeight="1">
      <c r="B8" s="314"/>
      <c r="C8" s="157" t="str">
        <f>IF(C2=FALSE,"-",[1]!RETRIEVE_WEB_DATA_ELEMENT_FUNC(B6,4662))</f>
        <v>-</v>
      </c>
      <c r="D8" s="155" t="str">
        <f>IF(C2=FALSE,"-",[1]!RETRIEVE_WEB_DATA_ELEMENT_FUNC(B6,4857))</f>
        <v>-</v>
      </c>
      <c r="E8" s="155" t="str">
        <f>IF(C2=FALSE,"-",[1]!RETRIEVE_WEB_DATA_ELEMENT_FUNC(B6,4873))</f>
        <v>-</v>
      </c>
      <c r="F8" s="155" t="str">
        <f>IF(C2=FALSE,"-",[1]!RETRIEVE_WEB_DATA_ELEMENT_FUNC(B6,4865))</f>
        <v>-</v>
      </c>
      <c r="G8" s="156" t="str">
        <f>IF(C2=FALSE,"-",[1]!RETRIEVE_WEB_DATA_ELEMENT_FUNC(B6,4881))</f>
        <v>-</v>
      </c>
      <c r="I8" s="314"/>
      <c r="J8" s="157" t="str">
        <f>IF(J2=FALSE,"-",[1]!RETRIEVE_WEB_DATA_ELEMENT_FUNC(I6,4662))</f>
        <v>-</v>
      </c>
      <c r="K8" s="155" t="str">
        <f>IF(J2=FALSE,"-",[1]!RETRIEVE_WEB_DATA_ELEMENT_FUNC(I6,4857))</f>
        <v>-</v>
      </c>
      <c r="L8" s="155" t="str">
        <f>IF(J2=FALSE,"-",[1]!RETRIEVE_WEB_DATA_ELEMENT_FUNC(I6,4873))</f>
        <v>-</v>
      </c>
      <c r="M8" s="155" t="str">
        <f>IF(J2=FALSE,"-",[1]!RETRIEVE_WEB_DATA_ELEMENT_FUNC(I6,4865))</f>
        <v>-</v>
      </c>
      <c r="N8" s="156" t="str">
        <f>IF(J2=FALSE,"-",[1]!RETRIEVE_WEB_DATA_ELEMENT_FUNC(I6,4881))</f>
        <v>-</v>
      </c>
      <c r="P8" s="314"/>
      <c r="Q8" s="157" t="str">
        <f>IF(Q2=FALSE,"-",[1]!RETRIEVE_WEB_DATA_ELEMENT_FUNC(P6,4662))</f>
        <v>-</v>
      </c>
      <c r="R8" s="155" t="str">
        <f>IF(Q2=FALSE,"-",[1]!RETRIEVE_WEB_DATA_ELEMENT_FUNC(P6,4857))</f>
        <v>-</v>
      </c>
      <c r="S8" s="155" t="str">
        <f>IF(Q2=FALSE,"-",[1]!RETRIEVE_WEB_DATA_ELEMENT_FUNC(P6,4873))</f>
        <v>-</v>
      </c>
      <c r="T8" s="155" t="str">
        <f>IF(Q2=FALSE,"-",[1]!RETRIEVE_WEB_DATA_ELEMENT_FUNC(P6,4865))</f>
        <v>-</v>
      </c>
      <c r="U8" s="156" t="str">
        <f>IF(Q2=FALSE,"-",[1]!RETRIEVE_WEB_DATA_ELEMENT_FUNC(P6,4881))</f>
        <v>-</v>
      </c>
      <c r="W8" s="314"/>
      <c r="X8" s="157" t="str">
        <f>IF(X2=FALSE,"-",[1]!RETRIEVE_WEB_DATA_ELEMENT_FUNC(W6,4662))</f>
        <v>-</v>
      </c>
      <c r="Y8" s="155" t="str">
        <f>IF(X2=FALSE,"-",[1]!RETRIEVE_WEB_DATA_ELEMENT_FUNC(W6,4857))</f>
        <v>-</v>
      </c>
      <c r="Z8" s="155" t="str">
        <f>IF(X2=FALSE,"-",[1]!RETRIEVE_WEB_DATA_ELEMENT_FUNC(W6,4873))</f>
        <v>-</v>
      </c>
      <c r="AA8" s="155" t="str">
        <f>IF(X2=FALSE,"-",[1]!RETRIEVE_WEB_DATA_ELEMENT_FUNC(W6,4865))</f>
        <v>-</v>
      </c>
      <c r="AB8" s="156" t="str">
        <f>IF(X2=FALSE,"-",[1]!RETRIEVE_WEB_DATA_ELEMENT_FUNC(W6,4881))</f>
        <v>-</v>
      </c>
      <c r="AD8" s="314"/>
      <c r="AE8" s="157" t="str">
        <f>IF(AE2=FALSE,"-",[1]!RETRIEVE_WEB_DATA_ELEMENT_FUNC(AD6,4662))</f>
        <v>-</v>
      </c>
      <c r="AF8" s="155" t="str">
        <f>IF(AE2=FALSE,"-",[1]!RETRIEVE_WEB_DATA_ELEMENT_FUNC(AD6,4857))</f>
        <v>-</v>
      </c>
      <c r="AG8" s="155" t="str">
        <f>IF(AE2=FALSE,"-",[1]!RETRIEVE_WEB_DATA_ELEMENT_FUNC(AD6,4873))</f>
        <v>-</v>
      </c>
      <c r="AH8" s="155" t="str">
        <f>IF(AE2=FALSE,"-",[1]!RETRIEVE_WEB_DATA_ELEMENT_FUNC(AD6,4865))</f>
        <v>-</v>
      </c>
      <c r="AI8" s="156" t="str">
        <f>IF(AE2=FALSE,"-",[1]!RETRIEVE_WEB_DATA_ELEMENT_FUNC(AD6,4881))</f>
        <v>-</v>
      </c>
    </row>
    <row r="9" spans="2:35" ht="15" customHeight="1">
      <c r="B9" s="314"/>
      <c r="C9" s="157" t="str">
        <f>IF(C2=FALSE,"-",[1]!RETRIEVE_WEB_DATA_ELEMENT_FUNC(B6,4663))</f>
        <v>-</v>
      </c>
      <c r="D9" s="155" t="str">
        <f>IF(C2=FALSE,"-",[1]!RETRIEVE_WEB_DATA_ELEMENT_FUNC(B6,4858))</f>
        <v>-</v>
      </c>
      <c r="E9" s="155" t="str">
        <f>IF(C2=FALSE,"-",[1]!RETRIEVE_WEB_DATA_ELEMENT_FUNC(B6,4874))</f>
        <v>-</v>
      </c>
      <c r="F9" s="155" t="str">
        <f>IF(C2=FALSE,"-",[1]!RETRIEVE_WEB_DATA_ELEMENT_FUNC(B6,4866))</f>
        <v>-</v>
      </c>
      <c r="G9" s="156" t="str">
        <f>IF(C2=FALSE,"-",[1]!RETRIEVE_WEB_DATA_ELEMENT_FUNC(B6,4882))</f>
        <v>-</v>
      </c>
      <c r="I9" s="314"/>
      <c r="J9" s="157" t="str">
        <f>IF(J2=FALSE,"-",[1]!RETRIEVE_WEB_DATA_ELEMENT_FUNC(I6,4663))</f>
        <v>-</v>
      </c>
      <c r="K9" s="155" t="str">
        <f>IF(J2=FALSE,"-",[1]!RETRIEVE_WEB_DATA_ELEMENT_FUNC(I6,4858))</f>
        <v>-</v>
      </c>
      <c r="L9" s="155" t="str">
        <f>IF(J2=FALSE,"-",[1]!RETRIEVE_WEB_DATA_ELEMENT_FUNC(I6,4874))</f>
        <v>-</v>
      </c>
      <c r="M9" s="155" t="str">
        <f>IF(J2=FALSE,"-",[1]!RETRIEVE_WEB_DATA_ELEMENT_FUNC(I6,4866))</f>
        <v>-</v>
      </c>
      <c r="N9" s="156" t="str">
        <f>IF(J2=FALSE,"-",[1]!RETRIEVE_WEB_DATA_ELEMENT_FUNC(I6,4882))</f>
        <v>-</v>
      </c>
      <c r="P9" s="314"/>
      <c r="Q9" s="157" t="str">
        <f>IF(Q2=FALSE,"-",[1]!RETRIEVE_WEB_DATA_ELEMENT_FUNC(P6,4663))</f>
        <v>-</v>
      </c>
      <c r="R9" s="155" t="str">
        <f>IF(Q2=FALSE,"-",[1]!RETRIEVE_WEB_DATA_ELEMENT_FUNC(P6,4858))</f>
        <v>-</v>
      </c>
      <c r="S9" s="155" t="str">
        <f>IF(Q2=FALSE,"-",[1]!RETRIEVE_WEB_DATA_ELEMENT_FUNC(P6,4874))</f>
        <v>-</v>
      </c>
      <c r="T9" s="155" t="str">
        <f>IF(Q2=FALSE,"-",[1]!RETRIEVE_WEB_DATA_ELEMENT_FUNC(P6,4866))</f>
        <v>-</v>
      </c>
      <c r="U9" s="156" t="str">
        <f>IF(Q2=FALSE,"-",[1]!RETRIEVE_WEB_DATA_ELEMENT_FUNC(P6,4882))</f>
        <v>-</v>
      </c>
      <c r="W9" s="314"/>
      <c r="X9" s="157" t="str">
        <f>IF(X2=FALSE,"-",[1]!RETRIEVE_WEB_DATA_ELEMENT_FUNC(W6,4663))</f>
        <v>-</v>
      </c>
      <c r="Y9" s="155" t="str">
        <f>IF(X2=FALSE,"-",[1]!RETRIEVE_WEB_DATA_ELEMENT_FUNC(W6,4858))</f>
        <v>-</v>
      </c>
      <c r="Z9" s="155" t="str">
        <f>IF(X2=FALSE,"-",[1]!RETRIEVE_WEB_DATA_ELEMENT_FUNC(W6,4874))</f>
        <v>-</v>
      </c>
      <c r="AA9" s="155" t="str">
        <f>IF(X2=FALSE,"-",[1]!RETRIEVE_WEB_DATA_ELEMENT_FUNC(W6,4866))</f>
        <v>-</v>
      </c>
      <c r="AB9" s="156" t="str">
        <f>IF(X2=FALSE,"-",[1]!RETRIEVE_WEB_DATA_ELEMENT_FUNC(W6,4882))</f>
        <v>-</v>
      </c>
      <c r="AD9" s="314"/>
      <c r="AE9" s="157" t="str">
        <f>IF(AE2=FALSE,"-",[1]!RETRIEVE_WEB_DATA_ELEMENT_FUNC(AD6,4663))</f>
        <v>-</v>
      </c>
      <c r="AF9" s="155" t="str">
        <f>IF(AE2=FALSE,"-",[1]!RETRIEVE_WEB_DATA_ELEMENT_FUNC(AD6,4858))</f>
        <v>-</v>
      </c>
      <c r="AG9" s="155" t="str">
        <f>IF(AE2=FALSE,"-",[1]!RETRIEVE_WEB_DATA_ELEMENT_FUNC(AD6,4874))</f>
        <v>-</v>
      </c>
      <c r="AH9" s="155" t="str">
        <f>IF(AE2=FALSE,"-",[1]!RETRIEVE_WEB_DATA_ELEMENT_FUNC(AD6,4866))</f>
        <v>-</v>
      </c>
      <c r="AI9" s="156" t="str">
        <f>IF(AE2=FALSE,"-",[1]!RETRIEVE_WEB_DATA_ELEMENT_FUNC(AD6,4882))</f>
        <v>-</v>
      </c>
    </row>
    <row r="10" spans="2:35" ht="15" customHeight="1">
      <c r="B10" s="314"/>
      <c r="C10" s="157" t="str">
        <f>IF(C2=FALSE,"-",[1]!RETRIEVE_WEB_DATA_ELEMENT_FUNC(B6,4664))</f>
        <v>-</v>
      </c>
      <c r="D10" s="155" t="str">
        <f>IF(C2=FALSE,"-",[1]!RETRIEVE_WEB_DATA_ELEMENT_FUNC(B6,4859))</f>
        <v>-</v>
      </c>
      <c r="E10" s="155" t="str">
        <f>IF(C2=FALSE,"-",[1]!RETRIEVE_WEB_DATA_ELEMENT_FUNC(B6,4875))</f>
        <v>-</v>
      </c>
      <c r="F10" s="155" t="str">
        <f>IF(C2=FALSE,"-",[1]!RETRIEVE_WEB_DATA_ELEMENT_FUNC(B6,4867))</f>
        <v>-</v>
      </c>
      <c r="G10" s="156" t="str">
        <f>IF(C2=FALSE,"-",[1]!RETRIEVE_WEB_DATA_ELEMENT_FUNC(B6,4883))</f>
        <v>-</v>
      </c>
      <c r="I10" s="314"/>
      <c r="J10" s="157" t="str">
        <f>IF(J2=FALSE,"-",[1]!RETRIEVE_WEB_DATA_ELEMENT_FUNC(I6,4664))</f>
        <v>-</v>
      </c>
      <c r="K10" s="155" t="str">
        <f>IF(J2=FALSE,"-",[1]!RETRIEVE_WEB_DATA_ELEMENT_FUNC(I6,4859))</f>
        <v>-</v>
      </c>
      <c r="L10" s="155" t="str">
        <f>IF(J2=FALSE,"-",[1]!RETRIEVE_WEB_DATA_ELEMENT_FUNC(I6,4875))</f>
        <v>-</v>
      </c>
      <c r="M10" s="155" t="str">
        <f>IF(J2=FALSE,"-",[1]!RETRIEVE_WEB_DATA_ELEMENT_FUNC(I6,4867))</f>
        <v>-</v>
      </c>
      <c r="N10" s="156" t="str">
        <f>IF(J2=FALSE,"-",[1]!RETRIEVE_WEB_DATA_ELEMENT_FUNC(I6,4883))</f>
        <v>-</v>
      </c>
      <c r="P10" s="314"/>
      <c r="Q10" s="157" t="str">
        <f>IF(Q2=FALSE,"-",[1]!RETRIEVE_WEB_DATA_ELEMENT_FUNC(P6,4664))</f>
        <v>-</v>
      </c>
      <c r="R10" s="155" t="str">
        <f>IF(Q2=FALSE,"-",[1]!RETRIEVE_WEB_DATA_ELEMENT_FUNC(P6,4859))</f>
        <v>-</v>
      </c>
      <c r="S10" s="155" t="str">
        <f>IF(Q2=FALSE,"-",[1]!RETRIEVE_WEB_DATA_ELEMENT_FUNC(P6,4875))</f>
        <v>-</v>
      </c>
      <c r="T10" s="155" t="str">
        <f>IF(Q2=FALSE,"-",[1]!RETRIEVE_WEB_DATA_ELEMENT_FUNC(P6,4867))</f>
        <v>-</v>
      </c>
      <c r="U10" s="156" t="str">
        <f>IF(Q2=FALSE,"-",[1]!RETRIEVE_WEB_DATA_ELEMENT_FUNC(P6,4883))</f>
        <v>-</v>
      </c>
      <c r="W10" s="314"/>
      <c r="X10" s="157" t="str">
        <f>IF(X2=FALSE,"-",[1]!RETRIEVE_WEB_DATA_ELEMENT_FUNC(W6,4664))</f>
        <v>-</v>
      </c>
      <c r="Y10" s="155" t="str">
        <f>IF(X2=FALSE,"-",[1]!RETRIEVE_WEB_DATA_ELEMENT_FUNC(W6,4859))</f>
        <v>-</v>
      </c>
      <c r="Z10" s="155" t="str">
        <f>IF(X2=FALSE,"-",[1]!RETRIEVE_WEB_DATA_ELEMENT_FUNC(W6,4875))</f>
        <v>-</v>
      </c>
      <c r="AA10" s="155" t="str">
        <f>IF(X2=FALSE,"-",[1]!RETRIEVE_WEB_DATA_ELEMENT_FUNC(W6,4867))</f>
        <v>-</v>
      </c>
      <c r="AB10" s="156" t="str">
        <f>IF(X2=FALSE,"-",[1]!RETRIEVE_WEB_DATA_ELEMENT_FUNC(W6,4883))</f>
        <v>-</v>
      </c>
      <c r="AD10" s="314"/>
      <c r="AE10" s="157" t="str">
        <f>IF(AE2=FALSE,"-",[1]!RETRIEVE_WEB_DATA_ELEMENT_FUNC(AD6,4664))</f>
        <v>-</v>
      </c>
      <c r="AF10" s="155" t="str">
        <f>IF(AE2=FALSE,"-",[1]!RETRIEVE_WEB_DATA_ELEMENT_FUNC(AD6,4859))</f>
        <v>-</v>
      </c>
      <c r="AG10" s="155" t="str">
        <f>IF(AE2=FALSE,"-",[1]!RETRIEVE_WEB_DATA_ELEMENT_FUNC(AD6,4875))</f>
        <v>-</v>
      </c>
      <c r="AH10" s="155" t="str">
        <f>IF(AE2=FALSE,"-",[1]!RETRIEVE_WEB_DATA_ELEMENT_FUNC(AD6,4867))</f>
        <v>-</v>
      </c>
      <c r="AI10" s="156" t="str">
        <f>IF(AE2=FALSE,"-",[1]!RETRIEVE_WEB_DATA_ELEMENT_FUNC(AD6,4883))</f>
        <v>-</v>
      </c>
    </row>
    <row r="11" spans="2:35" ht="15" customHeight="1">
      <c r="B11" s="314"/>
      <c r="C11" s="157" t="str">
        <f>IF(C2=FALSE,"-",[1]!RETRIEVE_WEB_DATA_ELEMENT_FUNC(B6,4665))</f>
        <v>-</v>
      </c>
      <c r="D11" s="155" t="str">
        <f>IF(C2=FALSE,"-",[1]!RETRIEVE_WEB_DATA_ELEMENT_FUNC(B6,4860))</f>
        <v>-</v>
      </c>
      <c r="E11" s="155" t="str">
        <f>IF(C2=FALSE,"-",[1]!RETRIEVE_WEB_DATA_ELEMENT_FUNC(B6,4876))</f>
        <v>-</v>
      </c>
      <c r="F11" s="155" t="str">
        <f>IF(C2=FALSE,"-",[1]!RETRIEVE_WEB_DATA_ELEMENT_FUNC(B6,4868))</f>
        <v>-</v>
      </c>
      <c r="G11" s="156" t="str">
        <f>IF(C2=FALSE,"-",[1]!RETRIEVE_WEB_DATA_ELEMENT_FUNC(B6,4884))</f>
        <v>-</v>
      </c>
      <c r="I11" s="314"/>
      <c r="J11" s="157" t="str">
        <f>IF(J2=FALSE,"-",[1]!RETRIEVE_WEB_DATA_ELEMENT_FUNC(I6,4665))</f>
        <v>-</v>
      </c>
      <c r="K11" s="155" t="str">
        <f>IF(J2=FALSE,"-",[1]!RETRIEVE_WEB_DATA_ELEMENT_FUNC(I6,4860))</f>
        <v>-</v>
      </c>
      <c r="L11" s="155" t="str">
        <f>IF(J2=FALSE,"-",[1]!RETRIEVE_WEB_DATA_ELEMENT_FUNC(I6,4876))</f>
        <v>-</v>
      </c>
      <c r="M11" s="155" t="str">
        <f>IF(J2=FALSE,"-",[1]!RETRIEVE_WEB_DATA_ELEMENT_FUNC(I6,4868))</f>
        <v>-</v>
      </c>
      <c r="N11" s="156" t="str">
        <f>IF(J2=FALSE,"-",[1]!RETRIEVE_WEB_DATA_ELEMENT_FUNC(I6,4884))</f>
        <v>-</v>
      </c>
      <c r="P11" s="314"/>
      <c r="Q11" s="157" t="str">
        <f>IF(Q2=FALSE,"-",[1]!RETRIEVE_WEB_DATA_ELEMENT_FUNC(P6,4665))</f>
        <v>-</v>
      </c>
      <c r="R11" s="155" t="str">
        <f>IF(Q2=FALSE,"-",[1]!RETRIEVE_WEB_DATA_ELEMENT_FUNC(P6,4860))</f>
        <v>-</v>
      </c>
      <c r="S11" s="155" t="str">
        <f>IF(Q2=FALSE,"-",[1]!RETRIEVE_WEB_DATA_ELEMENT_FUNC(P6,4876))</f>
        <v>-</v>
      </c>
      <c r="T11" s="155" t="str">
        <f>IF(Q2=FALSE,"-",[1]!RETRIEVE_WEB_DATA_ELEMENT_FUNC(P6,4868))</f>
        <v>-</v>
      </c>
      <c r="U11" s="156" t="str">
        <f>IF(Q2=FALSE,"-",[1]!RETRIEVE_WEB_DATA_ELEMENT_FUNC(P6,4884))</f>
        <v>-</v>
      </c>
      <c r="W11" s="314"/>
      <c r="X11" s="157" t="str">
        <f>IF(X2=FALSE,"-",[1]!RETRIEVE_WEB_DATA_ELEMENT_FUNC(W6,4665))</f>
        <v>-</v>
      </c>
      <c r="Y11" s="155" t="str">
        <f>IF(X2=FALSE,"-",[1]!RETRIEVE_WEB_DATA_ELEMENT_FUNC(W6,4860))</f>
        <v>-</v>
      </c>
      <c r="Z11" s="155" t="str">
        <f>IF(X2=FALSE,"-",[1]!RETRIEVE_WEB_DATA_ELEMENT_FUNC(W6,4876))</f>
        <v>-</v>
      </c>
      <c r="AA11" s="155" t="str">
        <f>IF(X2=FALSE,"-",[1]!RETRIEVE_WEB_DATA_ELEMENT_FUNC(W6,4868))</f>
        <v>-</v>
      </c>
      <c r="AB11" s="156" t="str">
        <f>IF(X2=FALSE,"-",[1]!RETRIEVE_WEB_DATA_ELEMENT_FUNC(W6,4884))</f>
        <v>-</v>
      </c>
      <c r="AD11" s="314"/>
      <c r="AE11" s="157" t="str">
        <f>IF(AE2=FALSE,"-",[1]!RETRIEVE_WEB_DATA_ELEMENT_FUNC(AD6,4665))</f>
        <v>-</v>
      </c>
      <c r="AF11" s="155" t="str">
        <f>IF(AE2=FALSE,"-",[1]!RETRIEVE_WEB_DATA_ELEMENT_FUNC(AD6,4860))</f>
        <v>-</v>
      </c>
      <c r="AG11" s="155" t="str">
        <f>IF(AE2=FALSE,"-",[1]!RETRIEVE_WEB_DATA_ELEMENT_FUNC(AD6,4876))</f>
        <v>-</v>
      </c>
      <c r="AH11" s="155" t="str">
        <f>IF(AE2=FALSE,"-",[1]!RETRIEVE_WEB_DATA_ELEMENT_FUNC(AD6,4868))</f>
        <v>-</v>
      </c>
      <c r="AI11" s="156" t="str">
        <f>IF(AE2=FALSE,"-",[1]!RETRIEVE_WEB_DATA_ELEMENT_FUNC(AD6,4884))</f>
        <v>-</v>
      </c>
    </row>
    <row r="12" spans="2:35" ht="15" customHeight="1">
      <c r="B12" s="314"/>
      <c r="C12" s="157" t="str">
        <f>IF(C2=FALSE,"-",[1]!RETRIEVE_WEB_DATA_ELEMENT_FUNC(B6,4666))</f>
        <v>-</v>
      </c>
      <c r="D12" s="155" t="str">
        <f>IF(C2=FALSE,"-",[1]!RETRIEVE_WEB_DATA_ELEMENT_FUNC(B6,4861))</f>
        <v>-</v>
      </c>
      <c r="E12" s="155" t="str">
        <f>IF(C2=FALSE,"-",[1]!RETRIEVE_WEB_DATA_ELEMENT_FUNC(B6,4877))</f>
        <v>-</v>
      </c>
      <c r="F12" s="155" t="str">
        <f>IF(C2=FALSE,"-",[1]!RETRIEVE_WEB_DATA_ELEMENT_FUNC(B6,4869))</f>
        <v>-</v>
      </c>
      <c r="G12" s="156" t="str">
        <f>IF(C2=FALSE,"-",[1]!RETRIEVE_WEB_DATA_ELEMENT_FUNC(B6,4885))</f>
        <v>-</v>
      </c>
      <c r="I12" s="314"/>
      <c r="J12" s="157" t="str">
        <f>IF(J2=FALSE,"-",[1]!RETRIEVE_WEB_DATA_ELEMENT_FUNC(I6,4666))</f>
        <v>-</v>
      </c>
      <c r="K12" s="155" t="str">
        <f>IF(J2=FALSE,"-",[1]!RETRIEVE_WEB_DATA_ELEMENT_FUNC(I6,4861))</f>
        <v>-</v>
      </c>
      <c r="L12" s="155" t="str">
        <f>IF(J2=FALSE,"-",[1]!RETRIEVE_WEB_DATA_ELEMENT_FUNC(I6,4877))</f>
        <v>-</v>
      </c>
      <c r="M12" s="155" t="str">
        <f>IF(J2=FALSE,"-",[1]!RETRIEVE_WEB_DATA_ELEMENT_FUNC(I6,4869))</f>
        <v>-</v>
      </c>
      <c r="N12" s="156" t="str">
        <f>IF(J2=FALSE,"-",[1]!RETRIEVE_WEB_DATA_ELEMENT_FUNC(I6,4885))</f>
        <v>-</v>
      </c>
      <c r="P12" s="314"/>
      <c r="Q12" s="157" t="str">
        <f>IF(Q2=FALSE,"-",[1]!RETRIEVE_WEB_DATA_ELEMENT_FUNC(P6,4666))</f>
        <v>-</v>
      </c>
      <c r="R12" s="155" t="str">
        <f>IF(Q2=FALSE,"-",[1]!RETRIEVE_WEB_DATA_ELEMENT_FUNC(P6,4861))</f>
        <v>-</v>
      </c>
      <c r="S12" s="155" t="str">
        <f>IF(Q2=FALSE,"-",[1]!RETRIEVE_WEB_DATA_ELEMENT_FUNC(P6,4877))</f>
        <v>-</v>
      </c>
      <c r="T12" s="155" t="str">
        <f>IF(Q2=FALSE,"-",[1]!RETRIEVE_WEB_DATA_ELEMENT_FUNC(P6,4869))</f>
        <v>-</v>
      </c>
      <c r="U12" s="156" t="str">
        <f>IF(Q2=FALSE,"-",[1]!RETRIEVE_WEB_DATA_ELEMENT_FUNC(P6,4885))</f>
        <v>-</v>
      </c>
      <c r="W12" s="314"/>
      <c r="X12" s="157" t="str">
        <f>IF(X2=FALSE,"-",[1]!RETRIEVE_WEB_DATA_ELEMENT_FUNC(W6,4666))</f>
        <v>-</v>
      </c>
      <c r="Y12" s="155" t="str">
        <f>IF(X2=FALSE,"-",[1]!RETRIEVE_WEB_DATA_ELEMENT_FUNC(W6,4861))</f>
        <v>-</v>
      </c>
      <c r="Z12" s="155" t="str">
        <f>IF(X2=FALSE,"-",[1]!RETRIEVE_WEB_DATA_ELEMENT_FUNC(W6,4877))</f>
        <v>-</v>
      </c>
      <c r="AA12" s="155" t="str">
        <f>IF(X2=FALSE,"-",[1]!RETRIEVE_WEB_DATA_ELEMENT_FUNC(W6,4869))</f>
        <v>-</v>
      </c>
      <c r="AB12" s="156" t="str">
        <f>IF(X2=FALSE,"-",[1]!RETRIEVE_WEB_DATA_ELEMENT_FUNC(W6,4885))</f>
        <v>-</v>
      </c>
      <c r="AD12" s="314"/>
      <c r="AE12" s="157" t="str">
        <f>IF(AE2=FALSE,"-",[1]!RETRIEVE_WEB_DATA_ELEMENT_FUNC(AD6,4666))</f>
        <v>-</v>
      </c>
      <c r="AF12" s="155" t="str">
        <f>IF(AE2=FALSE,"-",[1]!RETRIEVE_WEB_DATA_ELEMENT_FUNC(AD6,4861))</f>
        <v>-</v>
      </c>
      <c r="AG12" s="155" t="str">
        <f>IF(AE2=FALSE,"-",[1]!RETRIEVE_WEB_DATA_ELEMENT_FUNC(AD6,4877))</f>
        <v>-</v>
      </c>
      <c r="AH12" s="155" t="str">
        <f>IF(AE2=FALSE,"-",[1]!RETRIEVE_WEB_DATA_ELEMENT_FUNC(AD6,4869))</f>
        <v>-</v>
      </c>
      <c r="AI12" s="156" t="str">
        <f>IF(AE2=FALSE,"-",[1]!RETRIEVE_WEB_DATA_ELEMENT_FUNC(AD6,4885))</f>
        <v>-</v>
      </c>
    </row>
    <row r="13" spans="2:35" ht="15" customHeight="1">
      <c r="B13" s="314"/>
      <c r="C13" s="157" t="str">
        <f>IF(C2=FALSE,"-",[1]!RETRIEVE_WEB_DATA_ELEMENT_FUNC(B6,4667))</f>
        <v>-</v>
      </c>
      <c r="D13" s="155" t="str">
        <f>IF(C2=FALSE,"-",[1]!RETRIEVE_WEB_DATA_ELEMENT_FUNC(B6,4862))</f>
        <v>-</v>
      </c>
      <c r="E13" s="155" t="str">
        <f>IF(C2=FALSE,"-",[1]!RETRIEVE_WEB_DATA_ELEMENT_FUNC(B6,4878))</f>
        <v>-</v>
      </c>
      <c r="F13" s="155" t="str">
        <f>IF(C2=FALSE,"-",[1]!RETRIEVE_WEB_DATA_ELEMENT_FUNC(B6,4870))</f>
        <v>-</v>
      </c>
      <c r="G13" s="156" t="str">
        <f>IF(C2=FALSE,"-",[1]!RETRIEVE_WEB_DATA_ELEMENT_FUNC(B6,4886))</f>
        <v>-</v>
      </c>
      <c r="I13" s="314"/>
      <c r="J13" s="157" t="str">
        <f>IF(J2=FALSE,"-",[1]!RETRIEVE_WEB_DATA_ELEMENT_FUNC(I6,4667))</f>
        <v>-</v>
      </c>
      <c r="K13" s="155" t="str">
        <f>IF(J2=FALSE,"-",[1]!RETRIEVE_WEB_DATA_ELEMENT_FUNC(I6,4862))</f>
        <v>-</v>
      </c>
      <c r="L13" s="155" t="str">
        <f>IF(J2=FALSE,"-",[1]!RETRIEVE_WEB_DATA_ELEMENT_FUNC(I6,4878))</f>
        <v>-</v>
      </c>
      <c r="M13" s="155" t="str">
        <f>IF(J2=FALSE,"-",[1]!RETRIEVE_WEB_DATA_ELEMENT_FUNC(I6,4870))</f>
        <v>-</v>
      </c>
      <c r="N13" s="156" t="str">
        <f>IF(J2=FALSE,"-",[1]!RETRIEVE_WEB_DATA_ELEMENT_FUNC(I6,4886))</f>
        <v>-</v>
      </c>
      <c r="P13" s="314"/>
      <c r="Q13" s="157" t="str">
        <f>IF(Q2=FALSE,"-",[1]!RETRIEVE_WEB_DATA_ELEMENT_FUNC(P6,4667))</f>
        <v>-</v>
      </c>
      <c r="R13" s="155" t="str">
        <f>IF(Q2=FALSE,"-",[1]!RETRIEVE_WEB_DATA_ELEMENT_FUNC(P6,4862))</f>
        <v>-</v>
      </c>
      <c r="S13" s="155" t="str">
        <f>IF(Q2=FALSE,"-",[1]!RETRIEVE_WEB_DATA_ELEMENT_FUNC(P6,4878))</f>
        <v>-</v>
      </c>
      <c r="T13" s="155" t="str">
        <f>IF(Q2=FALSE,"-",[1]!RETRIEVE_WEB_DATA_ELEMENT_FUNC(P6,4870))</f>
        <v>-</v>
      </c>
      <c r="U13" s="156" t="str">
        <f>IF(Q2=FALSE,"-",[1]!RETRIEVE_WEB_DATA_ELEMENT_FUNC(P6,4886))</f>
        <v>-</v>
      </c>
      <c r="W13" s="314"/>
      <c r="X13" s="157" t="str">
        <f>IF(X2=FALSE,"-",[1]!RETRIEVE_WEB_DATA_ELEMENT_FUNC(W6,4667))</f>
        <v>-</v>
      </c>
      <c r="Y13" s="155" t="str">
        <f>IF(X2=FALSE,"-",[1]!RETRIEVE_WEB_DATA_ELEMENT_FUNC(W6,4862))</f>
        <v>-</v>
      </c>
      <c r="Z13" s="155" t="str">
        <f>IF(X2=FALSE,"-",[1]!RETRIEVE_WEB_DATA_ELEMENT_FUNC(W6,4878))</f>
        <v>-</v>
      </c>
      <c r="AA13" s="155" t="str">
        <f>IF(X2=FALSE,"-",[1]!RETRIEVE_WEB_DATA_ELEMENT_FUNC(W6,4870))</f>
        <v>-</v>
      </c>
      <c r="AB13" s="156" t="str">
        <f>IF(X2=FALSE,"-",[1]!RETRIEVE_WEB_DATA_ELEMENT_FUNC(W6,4886))</f>
        <v>-</v>
      </c>
      <c r="AD13" s="314"/>
      <c r="AE13" s="157" t="str">
        <f>IF(AE2=FALSE,"-",[1]!RETRIEVE_WEB_DATA_ELEMENT_FUNC(AD6,4667))</f>
        <v>-</v>
      </c>
      <c r="AF13" s="155" t="str">
        <f>IF(AE2=FALSE,"-",[1]!RETRIEVE_WEB_DATA_ELEMENT_FUNC(AD6,4862))</f>
        <v>-</v>
      </c>
      <c r="AG13" s="155" t="str">
        <f>IF(AE2=FALSE,"-",[1]!RETRIEVE_WEB_DATA_ELEMENT_FUNC(AD6,4878))</f>
        <v>-</v>
      </c>
      <c r="AH13" s="155" t="str">
        <f>IF(AE2=FALSE,"-",[1]!RETRIEVE_WEB_DATA_ELEMENT_FUNC(AD6,4870))</f>
        <v>-</v>
      </c>
      <c r="AI13" s="156" t="str">
        <f>IF(AE2=FALSE,"-",[1]!RETRIEVE_WEB_DATA_ELEMENT_FUNC(AD6,4886))</f>
        <v>-</v>
      </c>
    </row>
    <row r="14" spans="2:35" ht="15" customHeight="1" thickBot="1">
      <c r="B14" s="315"/>
      <c r="C14" s="158" t="str">
        <f>IF(C2=FALSE,"-",[1]!RETRIEVE_WEB_DATA_ELEMENT_FUNC(B6,4668))</f>
        <v>-</v>
      </c>
      <c r="D14" s="159" t="str">
        <f>IF(C2=FALSE,"-",[1]!RETRIEVE_WEB_DATA_ELEMENT_FUNC(B6,4863))</f>
        <v>-</v>
      </c>
      <c r="E14" s="159" t="str">
        <f>IF(C2=FALSE,"-",[1]!RETRIEVE_WEB_DATA_ELEMENT_FUNC(B6,4879))</f>
        <v>-</v>
      </c>
      <c r="F14" s="159" t="str">
        <f>IF(C2=FALSE,"-",[1]!RETRIEVE_WEB_DATA_ELEMENT_FUNC(B6,4871))</f>
        <v>-</v>
      </c>
      <c r="G14" s="160" t="str">
        <f>IF(C2=FALSE,"-",[1]!RETRIEVE_WEB_DATA_ELEMENT_FUNC(B6,4887))</f>
        <v>-</v>
      </c>
      <c r="I14" s="315"/>
      <c r="J14" s="158" t="str">
        <f>IF(J2=FALSE,"-",[1]!RETRIEVE_WEB_DATA_ELEMENT_FUNC(I6,4668))</f>
        <v>-</v>
      </c>
      <c r="K14" s="159" t="str">
        <f>IF(J2=FALSE,"-",[1]!RETRIEVE_WEB_DATA_ELEMENT_FUNC(I6,4863))</f>
        <v>-</v>
      </c>
      <c r="L14" s="159" t="str">
        <f>IF(J2=FALSE,"-",[1]!RETRIEVE_WEB_DATA_ELEMENT_FUNC(I6,4879))</f>
        <v>-</v>
      </c>
      <c r="M14" s="159" t="str">
        <f>IF(J2=FALSE,"-",[1]!RETRIEVE_WEB_DATA_ELEMENT_FUNC(I6,4871))</f>
        <v>-</v>
      </c>
      <c r="N14" s="160" t="str">
        <f>IF(J2=FALSE,"-",[1]!RETRIEVE_WEB_DATA_ELEMENT_FUNC(I6,4887))</f>
        <v>-</v>
      </c>
      <c r="P14" s="315"/>
      <c r="Q14" s="158" t="str">
        <f>IF(Q2=FALSE,"-",[1]!RETRIEVE_WEB_DATA_ELEMENT_FUNC(P6,4668))</f>
        <v>-</v>
      </c>
      <c r="R14" s="159" t="str">
        <f>IF(Q2=FALSE,"-",[1]!RETRIEVE_WEB_DATA_ELEMENT_FUNC(P6,4863))</f>
        <v>-</v>
      </c>
      <c r="S14" s="159" t="str">
        <f>IF(Q2=FALSE,"-",[1]!RETRIEVE_WEB_DATA_ELEMENT_FUNC(P6,4879))</f>
        <v>-</v>
      </c>
      <c r="T14" s="159" t="str">
        <f>IF(Q2=FALSE,"-",[1]!RETRIEVE_WEB_DATA_ELEMENT_FUNC(P6,4871))</f>
        <v>-</v>
      </c>
      <c r="U14" s="160" t="str">
        <f>IF(Q2=FALSE,"-",[1]!RETRIEVE_WEB_DATA_ELEMENT_FUNC(P6,4887))</f>
        <v>-</v>
      </c>
      <c r="W14" s="315"/>
      <c r="X14" s="158" t="str">
        <f>IF(X2=FALSE,"-",[1]!RETRIEVE_WEB_DATA_ELEMENT_FUNC(W6,4668))</f>
        <v>-</v>
      </c>
      <c r="Y14" s="159" t="str">
        <f>IF(X2=FALSE,"-",[1]!RETRIEVE_WEB_DATA_ELEMENT_FUNC(W6,4863))</f>
        <v>-</v>
      </c>
      <c r="Z14" s="159" t="str">
        <f>IF(X2=FALSE,"-",[1]!RETRIEVE_WEB_DATA_ELEMENT_FUNC(W6,4879))</f>
        <v>-</v>
      </c>
      <c r="AA14" s="159" t="str">
        <f>IF(X2=FALSE,"-",[1]!RETRIEVE_WEB_DATA_ELEMENT_FUNC(W6,4871))</f>
        <v>-</v>
      </c>
      <c r="AB14" s="160" t="str">
        <f>IF(X2=FALSE,"-",[1]!RETRIEVE_WEB_DATA_ELEMENT_FUNC(W6,4887))</f>
        <v>-</v>
      </c>
      <c r="AD14" s="315"/>
      <c r="AE14" s="158" t="str">
        <f>IF(AE2=FALSE,"-",[1]!RETRIEVE_WEB_DATA_ELEMENT_FUNC(AD6,4668))</f>
        <v>-</v>
      </c>
      <c r="AF14" s="159" t="str">
        <f>IF(AE2=FALSE,"-",[1]!RETRIEVE_WEB_DATA_ELEMENT_FUNC(AD6,4863))</f>
        <v>-</v>
      </c>
      <c r="AG14" s="159" t="str">
        <f>IF(AE2=FALSE,"-",[1]!RETRIEVE_WEB_DATA_ELEMENT_FUNC(AD6,4879))</f>
        <v>-</v>
      </c>
      <c r="AH14" s="159" t="str">
        <f>IF(AE2=FALSE,"-",[1]!RETRIEVE_WEB_DATA_ELEMENT_FUNC(AD6,4871))</f>
        <v>-</v>
      </c>
      <c r="AI14" s="160" t="str">
        <f>IF(AE2=FALSE,"-",[1]!RETRIEVE_WEB_DATA_ELEMENT_FUNC(AD6,4887))</f>
        <v>-</v>
      </c>
    </row>
    <row r="15" spans="2:35" ht="15" customHeight="1">
      <c r="B15" s="313" t="str">
        <f>IF(C2=FALSE,"-","Trailing Total Returns "&amp;[1]!RETRIEVE_WEB_DATA_ELEMENT_FUNC(B6,4815))</f>
        <v>-</v>
      </c>
      <c r="C15" s="161" t="str">
        <f>IF(C2=FALSE,"-","1-Day")</f>
        <v>-</v>
      </c>
      <c r="D15" s="162" t="str">
        <f>IF(C2=FALSE,"-",[1]!RETRIEVE_WEB_DATA_ELEMENT_FUNC(B6,4888))</f>
        <v>-</v>
      </c>
      <c r="E15" s="162" t="str">
        <f>IF(C2=FALSE,"-",[1]!RETRIEVE_WEB_DATA_ELEMENT_FUNC(B6,4897))</f>
        <v>-</v>
      </c>
      <c r="F15" s="162" t="str">
        <f>IF(C2=FALSE,"-",[1]!RETRIEVE_WEB_DATA_ELEMENT_FUNC(B6,4906))</f>
        <v>-</v>
      </c>
      <c r="G15" s="163" t="str">
        <f>IF(C2=FALSE,"-",[1]!RETRIEVE_WEB_DATA_ELEMENT_FUNC(B6,4915))</f>
        <v>-</v>
      </c>
      <c r="I15" s="313" t="str">
        <f>IF(J2=FALSE,"-","Trailing Total Returns "&amp;[1]!RETRIEVE_WEB_DATA_ELEMENT_FUNC(I6,4815))</f>
        <v>-</v>
      </c>
      <c r="J15" s="161" t="str">
        <f>IF(J2=FALSE,"-","1-Day")</f>
        <v>-</v>
      </c>
      <c r="K15" s="162" t="str">
        <f>IF(J2=FALSE,"-",[1]!RETRIEVE_WEB_DATA_ELEMENT_FUNC(I6,4888))</f>
        <v>-</v>
      </c>
      <c r="L15" s="162" t="str">
        <f>IF(J2=FALSE,"-",[1]!RETRIEVE_WEB_DATA_ELEMENT_FUNC(I6,4897))</f>
        <v>-</v>
      </c>
      <c r="M15" s="162" t="str">
        <f>IF(J2=FALSE,"-",[1]!RETRIEVE_WEB_DATA_ELEMENT_FUNC(I6,4906))</f>
        <v>-</v>
      </c>
      <c r="N15" s="163" t="str">
        <f>IF(J2=FALSE,"-",[1]!RETRIEVE_WEB_DATA_ELEMENT_FUNC(I6,4915))</f>
        <v>-</v>
      </c>
      <c r="P15" s="313" t="str">
        <f>IF(Q2=FALSE,"-","Trailing Total Returns "&amp;[1]!RETRIEVE_WEB_DATA_ELEMENT_FUNC(P6,4815))</f>
        <v>-</v>
      </c>
      <c r="Q15" s="161" t="str">
        <f>IF(Q2=FALSE,"-","1-Day")</f>
        <v>-</v>
      </c>
      <c r="R15" s="162" t="str">
        <f>IF(Q2=FALSE,"-",[1]!RETRIEVE_WEB_DATA_ELEMENT_FUNC(P6,4888))</f>
        <v>-</v>
      </c>
      <c r="S15" s="162" t="str">
        <f>IF(Q2=FALSE,"-",[1]!RETRIEVE_WEB_DATA_ELEMENT_FUNC(P6,4897))</f>
        <v>-</v>
      </c>
      <c r="T15" s="162" t="str">
        <f>IF(Q2=FALSE,"-",[1]!RETRIEVE_WEB_DATA_ELEMENT_FUNC(P6,4906))</f>
        <v>-</v>
      </c>
      <c r="U15" s="163" t="str">
        <f>IF(Q2=FALSE,"-",[1]!RETRIEVE_WEB_DATA_ELEMENT_FUNC(P6,4915))</f>
        <v>-</v>
      </c>
      <c r="W15" s="313" t="str">
        <f>IF(X2=FALSE,"-","Trailing Total Returns "&amp;[1]!RETRIEVE_WEB_DATA_ELEMENT_FUNC(W6,4815))</f>
        <v>-</v>
      </c>
      <c r="X15" s="161" t="str">
        <f>IF(X2=FALSE,"-","1-Day")</f>
        <v>-</v>
      </c>
      <c r="Y15" s="162" t="str">
        <f>IF(X2=FALSE,"-",[1]!RETRIEVE_WEB_DATA_ELEMENT_FUNC(W6,4888))</f>
        <v>-</v>
      </c>
      <c r="Z15" s="162" t="str">
        <f>IF(X2=FALSE,"-",[1]!RETRIEVE_WEB_DATA_ELEMENT_FUNC(W6,4897))</f>
        <v>-</v>
      </c>
      <c r="AA15" s="162" t="str">
        <f>IF(X2=FALSE,"-",[1]!RETRIEVE_WEB_DATA_ELEMENT_FUNC(W6,4906))</f>
        <v>-</v>
      </c>
      <c r="AB15" s="163" t="str">
        <f>IF(X2=FALSE,"-",[1]!RETRIEVE_WEB_DATA_ELEMENT_FUNC(W6,4915))</f>
        <v>-</v>
      </c>
      <c r="AD15" s="313" t="str">
        <f>IF(AE2=FALSE,"-","Trailing Total Returns "&amp;[1]!RETRIEVE_WEB_DATA_ELEMENT_FUNC(AD6,4815))</f>
        <v>-</v>
      </c>
      <c r="AE15" s="161" t="str">
        <f>IF(AE2=FALSE,"-","1-Day")</f>
        <v>-</v>
      </c>
      <c r="AF15" s="162" t="str">
        <f>IF(AE2=FALSE,"-",[1]!RETRIEVE_WEB_DATA_ELEMENT_FUNC(AD6,4888))</f>
        <v>-</v>
      </c>
      <c r="AG15" s="162" t="str">
        <f>IF(AE2=FALSE,"-",[1]!RETRIEVE_WEB_DATA_ELEMENT_FUNC(AD6,4897))</f>
        <v>-</v>
      </c>
      <c r="AH15" s="162" t="str">
        <f>IF(AE2=FALSE,"-",[1]!RETRIEVE_WEB_DATA_ELEMENT_FUNC(AD6,4906))</f>
        <v>-</v>
      </c>
      <c r="AI15" s="163" t="str">
        <f>IF(AE2=FALSE,"-",[1]!RETRIEVE_WEB_DATA_ELEMENT_FUNC(AD6,4915))</f>
        <v>-</v>
      </c>
    </row>
    <row r="16" spans="2:35" ht="15" customHeight="1">
      <c r="B16" s="314"/>
      <c r="C16" s="157" t="str">
        <f>IF(C2=FALSE,"-","1-Week")</f>
        <v>-</v>
      </c>
      <c r="D16" s="155" t="str">
        <f>IF(C2=FALSE,"-",[1]!RETRIEVE_WEB_DATA_ELEMENT_FUNC(B6,4889))</f>
        <v>-</v>
      </c>
      <c r="E16" s="155" t="str">
        <f>IF(C2=FALSE,"-",[1]!RETRIEVE_WEB_DATA_ELEMENT_FUNC(B6,4898))</f>
        <v>-</v>
      </c>
      <c r="F16" s="155" t="str">
        <f>IF(C2=FALSE,"-",[1]!RETRIEVE_WEB_DATA_ELEMENT_FUNC(B6,4907))</f>
        <v>-</v>
      </c>
      <c r="G16" s="156" t="str">
        <f>IF(C2=FALSE,"-",[1]!RETRIEVE_WEB_DATA_ELEMENT_FUNC(B6,4916))</f>
        <v>-</v>
      </c>
      <c r="I16" s="314"/>
      <c r="J16" s="157" t="str">
        <f>IF(J2=FALSE,"-","1-Week")</f>
        <v>-</v>
      </c>
      <c r="K16" s="155" t="str">
        <f>IF(J2=FALSE,"-",[1]!RETRIEVE_WEB_DATA_ELEMENT_FUNC(I6,4889))</f>
        <v>-</v>
      </c>
      <c r="L16" s="155" t="str">
        <f>IF(J2=FALSE,"-",[1]!RETRIEVE_WEB_DATA_ELEMENT_FUNC(I6,4898))</f>
        <v>-</v>
      </c>
      <c r="M16" s="155" t="str">
        <f>IF(J2=FALSE,"-",[1]!RETRIEVE_WEB_DATA_ELEMENT_FUNC(I6,4907))</f>
        <v>-</v>
      </c>
      <c r="N16" s="156" t="str">
        <f>IF(J2=FALSE,"-",[1]!RETRIEVE_WEB_DATA_ELEMENT_FUNC(I6,4916))</f>
        <v>-</v>
      </c>
      <c r="P16" s="314"/>
      <c r="Q16" s="157" t="str">
        <f>IF(Q2=FALSE,"-","1-Week")</f>
        <v>-</v>
      </c>
      <c r="R16" s="155" t="str">
        <f>IF(Q2=FALSE,"-",[1]!RETRIEVE_WEB_DATA_ELEMENT_FUNC(P6,4889))</f>
        <v>-</v>
      </c>
      <c r="S16" s="155" t="str">
        <f>IF(Q2=FALSE,"-",[1]!RETRIEVE_WEB_DATA_ELEMENT_FUNC(P6,4898))</f>
        <v>-</v>
      </c>
      <c r="T16" s="155" t="str">
        <f>IF(Q2=FALSE,"-",[1]!RETRIEVE_WEB_DATA_ELEMENT_FUNC(P6,4907))</f>
        <v>-</v>
      </c>
      <c r="U16" s="156" t="str">
        <f>IF(Q2=FALSE,"-",[1]!RETRIEVE_WEB_DATA_ELEMENT_FUNC(P6,4916))</f>
        <v>-</v>
      </c>
      <c r="W16" s="314"/>
      <c r="X16" s="157" t="str">
        <f>IF(X2=FALSE,"-","1-Week")</f>
        <v>-</v>
      </c>
      <c r="Y16" s="155" t="str">
        <f>IF(X2=FALSE,"-",[1]!RETRIEVE_WEB_DATA_ELEMENT_FUNC(W6,4889))</f>
        <v>-</v>
      </c>
      <c r="Z16" s="155" t="str">
        <f>IF(X2=FALSE,"-",[1]!RETRIEVE_WEB_DATA_ELEMENT_FUNC(W6,4898))</f>
        <v>-</v>
      </c>
      <c r="AA16" s="155" t="str">
        <f>IF(X2=FALSE,"-",[1]!RETRIEVE_WEB_DATA_ELEMENT_FUNC(W6,4907))</f>
        <v>-</v>
      </c>
      <c r="AB16" s="156" t="str">
        <f>IF(X2=FALSE,"-",[1]!RETRIEVE_WEB_DATA_ELEMENT_FUNC(W6,4916))</f>
        <v>-</v>
      </c>
      <c r="AD16" s="314"/>
      <c r="AE16" s="157" t="str">
        <f>IF(AE2=FALSE,"-","1-Week")</f>
        <v>-</v>
      </c>
      <c r="AF16" s="155" t="str">
        <f>IF(AE2=FALSE,"-",[1]!RETRIEVE_WEB_DATA_ELEMENT_FUNC(AD6,4889))</f>
        <v>-</v>
      </c>
      <c r="AG16" s="155" t="str">
        <f>IF(AE2=FALSE,"-",[1]!RETRIEVE_WEB_DATA_ELEMENT_FUNC(AD6,4898))</f>
        <v>-</v>
      </c>
      <c r="AH16" s="155" t="str">
        <f>IF(AE2=FALSE,"-",[1]!RETRIEVE_WEB_DATA_ELEMENT_FUNC(AD6,4907))</f>
        <v>-</v>
      </c>
      <c r="AI16" s="156" t="str">
        <f>IF(AE2=FALSE,"-",[1]!RETRIEVE_WEB_DATA_ELEMENT_FUNC(AD6,4916))</f>
        <v>-</v>
      </c>
    </row>
    <row r="17" spans="2:35" ht="15" customHeight="1">
      <c r="B17" s="314"/>
      <c r="C17" s="157" t="str">
        <f>IF(C2=FALSE,"-","1-Month")</f>
        <v>-</v>
      </c>
      <c r="D17" s="155" t="str">
        <f>IF(C2=FALSE,"-",[1]!RETRIEVE_WEB_DATA_ELEMENT_FUNC(B6,4890))</f>
        <v>-</v>
      </c>
      <c r="E17" s="155" t="str">
        <f>IF(C2=FALSE,"-",[1]!RETRIEVE_WEB_DATA_ELEMENT_FUNC(B6,4899))</f>
        <v>-</v>
      </c>
      <c r="F17" s="155" t="str">
        <f>IF(C2=FALSE,"-",[1]!RETRIEVE_WEB_DATA_ELEMENT_FUNC(B6,4908))</f>
        <v>-</v>
      </c>
      <c r="G17" s="156" t="str">
        <f>IF(C2=FALSE,"-",[1]!RETRIEVE_WEB_DATA_ELEMENT_FUNC(B6,4917))</f>
        <v>-</v>
      </c>
      <c r="I17" s="314"/>
      <c r="J17" s="157" t="str">
        <f>IF(J2=FALSE,"-","1-Month")</f>
        <v>-</v>
      </c>
      <c r="K17" s="155" t="str">
        <f>IF(J2=FALSE,"-",[1]!RETRIEVE_WEB_DATA_ELEMENT_FUNC(I6,4890))</f>
        <v>-</v>
      </c>
      <c r="L17" s="155" t="str">
        <f>IF(J2=FALSE,"-",[1]!RETRIEVE_WEB_DATA_ELEMENT_FUNC(I6,4899))</f>
        <v>-</v>
      </c>
      <c r="M17" s="155" t="str">
        <f>IF(J2=FALSE,"-",[1]!RETRIEVE_WEB_DATA_ELEMENT_FUNC(I6,4908))</f>
        <v>-</v>
      </c>
      <c r="N17" s="156" t="str">
        <f>IF(J2=FALSE,"-",[1]!RETRIEVE_WEB_DATA_ELEMENT_FUNC(I6,4917))</f>
        <v>-</v>
      </c>
      <c r="P17" s="314"/>
      <c r="Q17" s="157" t="str">
        <f>IF(Q2=FALSE,"-","1-Month")</f>
        <v>-</v>
      </c>
      <c r="R17" s="155" t="str">
        <f>IF(Q2=FALSE,"-",[1]!RETRIEVE_WEB_DATA_ELEMENT_FUNC(P6,4890))</f>
        <v>-</v>
      </c>
      <c r="S17" s="155" t="str">
        <f>IF(Q2=FALSE,"-",[1]!RETRIEVE_WEB_DATA_ELEMENT_FUNC(P6,4899))</f>
        <v>-</v>
      </c>
      <c r="T17" s="155" t="str">
        <f>IF(Q2=FALSE,"-",[1]!RETRIEVE_WEB_DATA_ELEMENT_FUNC(P6,4908))</f>
        <v>-</v>
      </c>
      <c r="U17" s="156" t="str">
        <f>IF(Q2=FALSE,"-",[1]!RETRIEVE_WEB_DATA_ELEMENT_FUNC(P6,4917))</f>
        <v>-</v>
      </c>
      <c r="W17" s="314"/>
      <c r="X17" s="157" t="str">
        <f>IF(X2=FALSE,"-","1-Month")</f>
        <v>-</v>
      </c>
      <c r="Y17" s="155" t="str">
        <f>IF(X2=FALSE,"-",[1]!RETRIEVE_WEB_DATA_ELEMENT_FUNC(W6,4890))</f>
        <v>-</v>
      </c>
      <c r="Z17" s="155" t="str">
        <f>IF(X2=FALSE,"-",[1]!RETRIEVE_WEB_DATA_ELEMENT_FUNC(W6,4899))</f>
        <v>-</v>
      </c>
      <c r="AA17" s="155" t="str">
        <f>IF(X2=FALSE,"-",[1]!RETRIEVE_WEB_DATA_ELEMENT_FUNC(W6,4908))</f>
        <v>-</v>
      </c>
      <c r="AB17" s="156" t="str">
        <f>IF(X2=FALSE,"-",[1]!RETRIEVE_WEB_DATA_ELEMENT_FUNC(W6,4917))</f>
        <v>-</v>
      </c>
      <c r="AD17" s="314"/>
      <c r="AE17" s="157" t="str">
        <f>IF(AE2=FALSE,"-","1-Month")</f>
        <v>-</v>
      </c>
      <c r="AF17" s="155" t="str">
        <f>IF(AE2=FALSE,"-",[1]!RETRIEVE_WEB_DATA_ELEMENT_FUNC(AD6,4890))</f>
        <v>-</v>
      </c>
      <c r="AG17" s="155" t="str">
        <f>IF(AE2=FALSE,"-",[1]!RETRIEVE_WEB_DATA_ELEMENT_FUNC(AD6,4899))</f>
        <v>-</v>
      </c>
      <c r="AH17" s="155" t="str">
        <f>IF(AE2=FALSE,"-",[1]!RETRIEVE_WEB_DATA_ELEMENT_FUNC(AD6,4908))</f>
        <v>-</v>
      </c>
      <c r="AI17" s="156" t="str">
        <f>IF(AE2=FALSE,"-",[1]!RETRIEVE_WEB_DATA_ELEMENT_FUNC(AD6,4917))</f>
        <v>-</v>
      </c>
    </row>
    <row r="18" spans="2:35" ht="15" customHeight="1">
      <c r="B18" s="314"/>
      <c r="C18" s="157" t="str">
        <f>IF(C2=FALSE,"-","3-Month")</f>
        <v>-</v>
      </c>
      <c r="D18" s="155" t="str">
        <f>IF(C2=FALSE,"-",[1]!RETRIEVE_WEB_DATA_ELEMENT_FUNC(B6,4891))</f>
        <v>-</v>
      </c>
      <c r="E18" s="155" t="str">
        <f>IF(C2=FALSE,"-",[1]!RETRIEVE_WEB_DATA_ELEMENT_FUNC(B6,4900))</f>
        <v>-</v>
      </c>
      <c r="F18" s="155" t="str">
        <f>IF(C2=FALSE,"-",[1]!RETRIEVE_WEB_DATA_ELEMENT_FUNC(B6,4909))</f>
        <v>-</v>
      </c>
      <c r="G18" s="156" t="str">
        <f>IF(C2=FALSE,"-",[1]!RETRIEVE_WEB_DATA_ELEMENT_FUNC(B6,4918))</f>
        <v>-</v>
      </c>
      <c r="I18" s="314"/>
      <c r="J18" s="157" t="str">
        <f>IF(J2=FALSE,"-","3-Month")</f>
        <v>-</v>
      </c>
      <c r="K18" s="155" t="str">
        <f>IF(J2=FALSE,"-",[1]!RETRIEVE_WEB_DATA_ELEMENT_FUNC(I6,4891))</f>
        <v>-</v>
      </c>
      <c r="L18" s="155" t="str">
        <f>IF(J2=FALSE,"-",[1]!RETRIEVE_WEB_DATA_ELEMENT_FUNC(I6,4900))</f>
        <v>-</v>
      </c>
      <c r="M18" s="155" t="str">
        <f>IF(J2=FALSE,"-",[1]!RETRIEVE_WEB_DATA_ELEMENT_FUNC(I6,4909))</f>
        <v>-</v>
      </c>
      <c r="N18" s="156" t="str">
        <f>IF(J2=FALSE,"-",[1]!RETRIEVE_WEB_DATA_ELEMENT_FUNC(I6,4918))</f>
        <v>-</v>
      </c>
      <c r="P18" s="314"/>
      <c r="Q18" s="157" t="str">
        <f>IF(Q2=FALSE,"-","3-Month")</f>
        <v>-</v>
      </c>
      <c r="R18" s="155" t="str">
        <f>IF(Q2=FALSE,"-",[1]!RETRIEVE_WEB_DATA_ELEMENT_FUNC(P6,4891))</f>
        <v>-</v>
      </c>
      <c r="S18" s="155" t="str">
        <f>IF(Q2=FALSE,"-",[1]!RETRIEVE_WEB_DATA_ELEMENT_FUNC(P6,4900))</f>
        <v>-</v>
      </c>
      <c r="T18" s="155" t="str">
        <f>IF(Q2=FALSE,"-",[1]!RETRIEVE_WEB_DATA_ELEMENT_FUNC(P6,4909))</f>
        <v>-</v>
      </c>
      <c r="U18" s="156" t="str">
        <f>IF(Q2=FALSE,"-",[1]!RETRIEVE_WEB_DATA_ELEMENT_FUNC(P6,4918))</f>
        <v>-</v>
      </c>
      <c r="W18" s="314"/>
      <c r="X18" s="157" t="str">
        <f>IF(X2=FALSE,"-","3-Month")</f>
        <v>-</v>
      </c>
      <c r="Y18" s="155" t="str">
        <f>IF(X2=FALSE,"-",[1]!RETRIEVE_WEB_DATA_ELEMENT_FUNC(W6,4891))</f>
        <v>-</v>
      </c>
      <c r="Z18" s="155" t="str">
        <f>IF(X2=FALSE,"-",[1]!RETRIEVE_WEB_DATA_ELEMENT_FUNC(W6,4900))</f>
        <v>-</v>
      </c>
      <c r="AA18" s="155" t="str">
        <f>IF(X2=FALSE,"-",[1]!RETRIEVE_WEB_DATA_ELEMENT_FUNC(W6,4909))</f>
        <v>-</v>
      </c>
      <c r="AB18" s="156" t="str">
        <f>IF(X2=FALSE,"-",[1]!RETRIEVE_WEB_DATA_ELEMENT_FUNC(W6,4918))</f>
        <v>-</v>
      </c>
      <c r="AD18" s="314"/>
      <c r="AE18" s="157" t="str">
        <f>IF(AE2=FALSE,"-","3-Month")</f>
        <v>-</v>
      </c>
      <c r="AF18" s="155" t="str">
        <f>IF(AE2=FALSE,"-",[1]!RETRIEVE_WEB_DATA_ELEMENT_FUNC(AD6,4891))</f>
        <v>-</v>
      </c>
      <c r="AG18" s="155" t="str">
        <f>IF(AE2=FALSE,"-",[1]!RETRIEVE_WEB_DATA_ELEMENT_FUNC(AD6,4900))</f>
        <v>-</v>
      </c>
      <c r="AH18" s="155" t="str">
        <f>IF(AE2=FALSE,"-",[1]!RETRIEVE_WEB_DATA_ELEMENT_FUNC(AD6,4909))</f>
        <v>-</v>
      </c>
      <c r="AI18" s="156" t="str">
        <f>IF(AE2=FALSE,"-",[1]!RETRIEVE_WEB_DATA_ELEMENT_FUNC(AD6,4918))</f>
        <v>-</v>
      </c>
    </row>
    <row r="19" spans="2:35" ht="15" customHeight="1">
      <c r="B19" s="314"/>
      <c r="C19" s="157" t="str">
        <f>IF(C2=FALSE,"-","Year-to-date")</f>
        <v>-</v>
      </c>
      <c r="D19" s="155" t="str">
        <f>IF(C2=FALSE,"-",[1]!RETRIEVE_WEB_DATA_ELEMENT_FUNC(B6,4892))</f>
        <v>-</v>
      </c>
      <c r="E19" s="155" t="str">
        <f>IF(C2=FALSE,"-",[1]!RETRIEVE_WEB_DATA_ELEMENT_FUNC(B6,4901))</f>
        <v>-</v>
      </c>
      <c r="F19" s="155" t="str">
        <f>IF(C2=FALSE,"-",[1]!RETRIEVE_WEB_DATA_ELEMENT_FUNC(B6,4910))</f>
        <v>-</v>
      </c>
      <c r="G19" s="156" t="str">
        <f>IF(C2=FALSE,"-",[1]!RETRIEVE_WEB_DATA_ELEMENT_FUNC(B6,4919))</f>
        <v>-</v>
      </c>
      <c r="I19" s="314"/>
      <c r="J19" s="157" t="str">
        <f>IF(J2=FALSE,"-","Year-to-date")</f>
        <v>-</v>
      </c>
      <c r="K19" s="155" t="str">
        <f>IF(J2=FALSE,"-",[1]!RETRIEVE_WEB_DATA_ELEMENT_FUNC(I6,4892))</f>
        <v>-</v>
      </c>
      <c r="L19" s="155" t="str">
        <f>IF(J2=FALSE,"-",[1]!RETRIEVE_WEB_DATA_ELEMENT_FUNC(I6,4901))</f>
        <v>-</v>
      </c>
      <c r="M19" s="155" t="str">
        <f>IF(J2=FALSE,"-",[1]!RETRIEVE_WEB_DATA_ELEMENT_FUNC(I6,4910))</f>
        <v>-</v>
      </c>
      <c r="N19" s="156" t="str">
        <f>IF(J2=FALSE,"-",[1]!RETRIEVE_WEB_DATA_ELEMENT_FUNC(I6,4919))</f>
        <v>-</v>
      </c>
      <c r="P19" s="314"/>
      <c r="Q19" s="157" t="str">
        <f>IF(Q2=FALSE,"-","Year-to-date")</f>
        <v>-</v>
      </c>
      <c r="R19" s="155" t="str">
        <f>IF(Q2=FALSE,"-",[1]!RETRIEVE_WEB_DATA_ELEMENT_FUNC(P6,4892))</f>
        <v>-</v>
      </c>
      <c r="S19" s="155" t="str">
        <f>IF(Q2=FALSE,"-",[1]!RETRIEVE_WEB_DATA_ELEMENT_FUNC(P6,4901))</f>
        <v>-</v>
      </c>
      <c r="T19" s="155" t="str">
        <f>IF(Q2=FALSE,"-",[1]!RETRIEVE_WEB_DATA_ELEMENT_FUNC(P6,4910))</f>
        <v>-</v>
      </c>
      <c r="U19" s="156" t="str">
        <f>IF(Q2=FALSE,"-",[1]!RETRIEVE_WEB_DATA_ELEMENT_FUNC(P6,4919))</f>
        <v>-</v>
      </c>
      <c r="W19" s="314"/>
      <c r="X19" s="157" t="str">
        <f>IF(X2=FALSE,"-","Year-to-date")</f>
        <v>-</v>
      </c>
      <c r="Y19" s="155" t="str">
        <f>IF(X2=FALSE,"-",[1]!RETRIEVE_WEB_DATA_ELEMENT_FUNC(W6,4892))</f>
        <v>-</v>
      </c>
      <c r="Z19" s="155" t="str">
        <f>IF(X2=FALSE,"-",[1]!RETRIEVE_WEB_DATA_ELEMENT_FUNC(W6,4901))</f>
        <v>-</v>
      </c>
      <c r="AA19" s="155" t="str">
        <f>IF(X2=FALSE,"-",[1]!RETRIEVE_WEB_DATA_ELEMENT_FUNC(W6,4910))</f>
        <v>-</v>
      </c>
      <c r="AB19" s="156" t="str">
        <f>IF(X2=FALSE,"-",[1]!RETRIEVE_WEB_DATA_ELEMENT_FUNC(W6,4919))</f>
        <v>-</v>
      </c>
      <c r="AD19" s="314"/>
      <c r="AE19" s="157" t="str">
        <f>IF(AE2=FALSE,"-","Year-to-date")</f>
        <v>-</v>
      </c>
      <c r="AF19" s="155" t="str">
        <f>IF(AE2=FALSE,"-",[1]!RETRIEVE_WEB_DATA_ELEMENT_FUNC(AD6,4892))</f>
        <v>-</v>
      </c>
      <c r="AG19" s="155" t="str">
        <f>IF(AE2=FALSE,"-",[1]!RETRIEVE_WEB_DATA_ELEMENT_FUNC(AD6,4901))</f>
        <v>-</v>
      </c>
      <c r="AH19" s="155" t="str">
        <f>IF(AE2=FALSE,"-",[1]!RETRIEVE_WEB_DATA_ELEMENT_FUNC(AD6,4910))</f>
        <v>-</v>
      </c>
      <c r="AI19" s="156" t="str">
        <f>IF(AE2=FALSE,"-",[1]!RETRIEVE_WEB_DATA_ELEMENT_FUNC(AD6,4919))</f>
        <v>-</v>
      </c>
    </row>
    <row r="20" spans="2:35" ht="15" customHeight="1">
      <c r="B20" s="314"/>
      <c r="C20" s="157" t="str">
        <f>IF(C2=FALSE,"-","1-Year")</f>
        <v>-</v>
      </c>
      <c r="D20" s="155" t="str">
        <f>IF(C2=FALSE,"-",[1]!RETRIEVE_WEB_DATA_ELEMENT_FUNC(B6,4893))</f>
        <v>-</v>
      </c>
      <c r="E20" s="155" t="str">
        <f>IF(C2=FALSE,"-",[1]!RETRIEVE_WEB_DATA_ELEMENT_FUNC(B6,4902))</f>
        <v>-</v>
      </c>
      <c r="F20" s="155" t="str">
        <f>IF(C2=FALSE,"-",[1]!RETRIEVE_WEB_DATA_ELEMENT_FUNC(B6,4911))</f>
        <v>-</v>
      </c>
      <c r="G20" s="156" t="str">
        <f>IF(C2=FALSE,"-",[1]!RETRIEVE_WEB_DATA_ELEMENT_FUNC(B6,4920))</f>
        <v>-</v>
      </c>
      <c r="I20" s="314"/>
      <c r="J20" s="157" t="str">
        <f>IF(J2=FALSE,"-","1-Year")</f>
        <v>-</v>
      </c>
      <c r="K20" s="155" t="str">
        <f>IF(J2=FALSE,"-",[1]!RETRIEVE_WEB_DATA_ELEMENT_FUNC(I6,4893))</f>
        <v>-</v>
      </c>
      <c r="L20" s="155" t="str">
        <f>IF(J2=FALSE,"-",[1]!RETRIEVE_WEB_DATA_ELEMENT_FUNC(I6,4902))</f>
        <v>-</v>
      </c>
      <c r="M20" s="155" t="str">
        <f>IF(J2=FALSE,"-",[1]!RETRIEVE_WEB_DATA_ELEMENT_FUNC(I6,4911))</f>
        <v>-</v>
      </c>
      <c r="N20" s="156" t="str">
        <f>IF(J2=FALSE,"-",[1]!RETRIEVE_WEB_DATA_ELEMENT_FUNC(I6,4920))</f>
        <v>-</v>
      </c>
      <c r="P20" s="314"/>
      <c r="Q20" s="157" t="str">
        <f>IF(Q2=FALSE,"-","1-Year")</f>
        <v>-</v>
      </c>
      <c r="R20" s="155" t="str">
        <f>IF(Q2=FALSE,"-",[1]!RETRIEVE_WEB_DATA_ELEMENT_FUNC(P6,4893))</f>
        <v>-</v>
      </c>
      <c r="S20" s="155" t="str">
        <f>IF(Q2=FALSE,"-",[1]!RETRIEVE_WEB_DATA_ELEMENT_FUNC(P6,4902))</f>
        <v>-</v>
      </c>
      <c r="T20" s="155" t="str">
        <f>IF(Q2=FALSE,"-",[1]!RETRIEVE_WEB_DATA_ELEMENT_FUNC(P6,4911))</f>
        <v>-</v>
      </c>
      <c r="U20" s="156" t="str">
        <f>IF(Q2=FALSE,"-",[1]!RETRIEVE_WEB_DATA_ELEMENT_FUNC(P6,4920))</f>
        <v>-</v>
      </c>
      <c r="W20" s="314"/>
      <c r="X20" s="157" t="str">
        <f>IF(X2=FALSE,"-","1-Year")</f>
        <v>-</v>
      </c>
      <c r="Y20" s="155" t="str">
        <f>IF(X2=FALSE,"-",[1]!RETRIEVE_WEB_DATA_ELEMENT_FUNC(W6,4893))</f>
        <v>-</v>
      </c>
      <c r="Z20" s="155" t="str">
        <f>IF(X2=FALSE,"-",[1]!RETRIEVE_WEB_DATA_ELEMENT_FUNC(W6,4902))</f>
        <v>-</v>
      </c>
      <c r="AA20" s="155" t="str">
        <f>IF(X2=FALSE,"-",[1]!RETRIEVE_WEB_DATA_ELEMENT_FUNC(W6,4911))</f>
        <v>-</v>
      </c>
      <c r="AB20" s="156" t="str">
        <f>IF(X2=FALSE,"-",[1]!RETRIEVE_WEB_DATA_ELEMENT_FUNC(W6,4920))</f>
        <v>-</v>
      </c>
      <c r="AD20" s="314"/>
      <c r="AE20" s="157" t="str">
        <f>IF(AE2=FALSE,"-","1-Year")</f>
        <v>-</v>
      </c>
      <c r="AF20" s="155" t="str">
        <f>IF(AE2=FALSE,"-",[1]!RETRIEVE_WEB_DATA_ELEMENT_FUNC(AD6,4893))</f>
        <v>-</v>
      </c>
      <c r="AG20" s="155" t="str">
        <f>IF(AE2=FALSE,"-",[1]!RETRIEVE_WEB_DATA_ELEMENT_FUNC(AD6,4902))</f>
        <v>-</v>
      </c>
      <c r="AH20" s="155" t="str">
        <f>IF(AE2=FALSE,"-",[1]!RETRIEVE_WEB_DATA_ELEMENT_FUNC(AD6,4911))</f>
        <v>-</v>
      </c>
      <c r="AI20" s="156" t="str">
        <f>IF(AE2=FALSE,"-",[1]!RETRIEVE_WEB_DATA_ELEMENT_FUNC(AD6,4920))</f>
        <v>-</v>
      </c>
    </row>
    <row r="21" spans="2:35" ht="15" customHeight="1">
      <c r="B21" s="314"/>
      <c r="C21" s="157" t="str">
        <f>IF(C2=FALSE,"-","3-Year Annualized")</f>
        <v>-</v>
      </c>
      <c r="D21" s="155" t="str">
        <f>IF(C2=FALSE,"-",[1]!RETRIEVE_WEB_DATA_ELEMENT_FUNC(B6,4894))</f>
        <v>-</v>
      </c>
      <c r="E21" s="155" t="str">
        <f>IF(C2=FALSE,"-",[1]!RETRIEVE_WEB_DATA_ELEMENT_FUNC(B6,4903))</f>
        <v>-</v>
      </c>
      <c r="F21" s="155" t="str">
        <f>IF(C2=FALSE,"-",[1]!RETRIEVE_WEB_DATA_ELEMENT_FUNC(B6,4912))</f>
        <v>-</v>
      </c>
      <c r="G21" s="156" t="str">
        <f>IF(C2=FALSE,"-",[1]!RETRIEVE_WEB_DATA_ELEMENT_FUNC(B6,4921))</f>
        <v>-</v>
      </c>
      <c r="I21" s="314"/>
      <c r="J21" s="157" t="str">
        <f>IF(J2=FALSE,"-","3-Year Annualized")</f>
        <v>-</v>
      </c>
      <c r="K21" s="155" t="str">
        <f>IF(J2=FALSE,"-",[1]!RETRIEVE_WEB_DATA_ELEMENT_FUNC(I6,4894))</f>
        <v>-</v>
      </c>
      <c r="L21" s="155" t="str">
        <f>IF(J2=FALSE,"-",[1]!RETRIEVE_WEB_DATA_ELEMENT_FUNC(I6,4903))</f>
        <v>-</v>
      </c>
      <c r="M21" s="155" t="str">
        <f>IF(J2=FALSE,"-",[1]!RETRIEVE_WEB_DATA_ELEMENT_FUNC(I6,4912))</f>
        <v>-</v>
      </c>
      <c r="N21" s="156" t="str">
        <f>IF(J2=FALSE,"-",[1]!RETRIEVE_WEB_DATA_ELEMENT_FUNC(I6,4921))</f>
        <v>-</v>
      </c>
      <c r="P21" s="314"/>
      <c r="Q21" s="157" t="str">
        <f>IF(Q2=FALSE,"-","3-Year Annualized")</f>
        <v>-</v>
      </c>
      <c r="R21" s="155" t="str">
        <f>IF(Q2=FALSE,"-",[1]!RETRIEVE_WEB_DATA_ELEMENT_FUNC(P6,4894))</f>
        <v>-</v>
      </c>
      <c r="S21" s="155" t="str">
        <f>IF(Q2=FALSE,"-",[1]!RETRIEVE_WEB_DATA_ELEMENT_FUNC(P6,4903))</f>
        <v>-</v>
      </c>
      <c r="T21" s="155" t="str">
        <f>IF(Q2=FALSE,"-",[1]!RETRIEVE_WEB_DATA_ELEMENT_FUNC(P6,4912))</f>
        <v>-</v>
      </c>
      <c r="U21" s="156" t="str">
        <f>IF(Q2=FALSE,"-",[1]!RETRIEVE_WEB_DATA_ELEMENT_FUNC(P6,4921))</f>
        <v>-</v>
      </c>
      <c r="W21" s="314"/>
      <c r="X21" s="157" t="str">
        <f>IF(X2=FALSE,"-","3-Year Annualized")</f>
        <v>-</v>
      </c>
      <c r="Y21" s="155" t="str">
        <f>IF(X2=FALSE,"-",[1]!RETRIEVE_WEB_DATA_ELEMENT_FUNC(W6,4894))</f>
        <v>-</v>
      </c>
      <c r="Z21" s="155" t="str">
        <f>IF(X2=FALSE,"-",[1]!RETRIEVE_WEB_DATA_ELEMENT_FUNC(W6,4903))</f>
        <v>-</v>
      </c>
      <c r="AA21" s="155" t="str">
        <f>IF(X2=FALSE,"-",[1]!RETRIEVE_WEB_DATA_ELEMENT_FUNC(W6,4912))</f>
        <v>-</v>
      </c>
      <c r="AB21" s="156" t="str">
        <f>IF(X2=FALSE,"-",[1]!RETRIEVE_WEB_DATA_ELEMENT_FUNC(W6,4921))</f>
        <v>-</v>
      </c>
      <c r="AD21" s="314"/>
      <c r="AE21" s="157" t="str">
        <f>IF(AE2=FALSE,"-","3-Year Annualized")</f>
        <v>-</v>
      </c>
      <c r="AF21" s="155" t="str">
        <f>IF(AE2=FALSE,"-",[1]!RETRIEVE_WEB_DATA_ELEMENT_FUNC(AD6,4894))</f>
        <v>-</v>
      </c>
      <c r="AG21" s="155" t="str">
        <f>IF(AE2=FALSE,"-",[1]!RETRIEVE_WEB_DATA_ELEMENT_FUNC(AD6,4903))</f>
        <v>-</v>
      </c>
      <c r="AH21" s="155" t="str">
        <f>IF(AE2=FALSE,"-",[1]!RETRIEVE_WEB_DATA_ELEMENT_FUNC(AD6,4912))</f>
        <v>-</v>
      </c>
      <c r="AI21" s="156" t="str">
        <f>IF(AE2=FALSE,"-",[1]!RETRIEVE_WEB_DATA_ELEMENT_FUNC(AD6,4921))</f>
        <v>-</v>
      </c>
    </row>
    <row r="22" spans="2:35" ht="15" customHeight="1">
      <c r="B22" s="314"/>
      <c r="C22" s="157" t="str">
        <f>IF(C2=FALSE,"-","5-Year Annualized")</f>
        <v>-</v>
      </c>
      <c r="D22" s="155" t="str">
        <f>IF(C2=FALSE,"-",[1]!RETRIEVE_WEB_DATA_ELEMENT_FUNC(B6,4895))</f>
        <v>-</v>
      </c>
      <c r="E22" s="155" t="str">
        <f>IF(C2=FALSE,"-",[1]!RETRIEVE_WEB_DATA_ELEMENT_FUNC(B6,4904))</f>
        <v>-</v>
      </c>
      <c r="F22" s="155" t="str">
        <f>IF(C2=FALSE,"-",[1]!RETRIEVE_WEB_DATA_ELEMENT_FUNC(B6,4913))</f>
        <v>-</v>
      </c>
      <c r="G22" s="156" t="str">
        <f>IF(C2=FALSE,"-",[1]!RETRIEVE_WEB_DATA_ELEMENT_FUNC(B6,4922))</f>
        <v>-</v>
      </c>
      <c r="I22" s="314"/>
      <c r="J22" s="157" t="str">
        <f>IF(J2=FALSE,"-","5-Year Annualized")</f>
        <v>-</v>
      </c>
      <c r="K22" s="155" t="str">
        <f>IF(J2=FALSE,"-",[1]!RETRIEVE_WEB_DATA_ELEMENT_FUNC(I6,4895))</f>
        <v>-</v>
      </c>
      <c r="L22" s="155" t="str">
        <f>IF(J2=FALSE,"-",[1]!RETRIEVE_WEB_DATA_ELEMENT_FUNC(I6,4904))</f>
        <v>-</v>
      </c>
      <c r="M22" s="155" t="str">
        <f>IF(J2=FALSE,"-",[1]!RETRIEVE_WEB_DATA_ELEMENT_FUNC(I6,4913))</f>
        <v>-</v>
      </c>
      <c r="N22" s="156" t="str">
        <f>IF(J2=FALSE,"-",[1]!RETRIEVE_WEB_DATA_ELEMENT_FUNC(I6,4922))</f>
        <v>-</v>
      </c>
      <c r="P22" s="314"/>
      <c r="Q22" s="157" t="str">
        <f>IF(Q2=FALSE,"-","5-Year Annualized")</f>
        <v>-</v>
      </c>
      <c r="R22" s="155" t="str">
        <f>IF(Q2=FALSE,"-",[1]!RETRIEVE_WEB_DATA_ELEMENT_FUNC(P6,4895))</f>
        <v>-</v>
      </c>
      <c r="S22" s="155" t="str">
        <f>IF(Q2=FALSE,"-",[1]!RETRIEVE_WEB_DATA_ELEMENT_FUNC(P6,4904))</f>
        <v>-</v>
      </c>
      <c r="T22" s="155" t="str">
        <f>IF(Q2=FALSE,"-",[1]!RETRIEVE_WEB_DATA_ELEMENT_FUNC(P6,4913))</f>
        <v>-</v>
      </c>
      <c r="U22" s="156" t="str">
        <f>IF(Q2=FALSE,"-",[1]!RETRIEVE_WEB_DATA_ELEMENT_FUNC(P6,4922))</f>
        <v>-</v>
      </c>
      <c r="W22" s="314"/>
      <c r="X22" s="157" t="str">
        <f>IF(X2=FALSE,"-","5-Year Annualized")</f>
        <v>-</v>
      </c>
      <c r="Y22" s="155" t="str">
        <f>IF(X2=FALSE,"-",[1]!RETRIEVE_WEB_DATA_ELEMENT_FUNC(W6,4895))</f>
        <v>-</v>
      </c>
      <c r="Z22" s="155" t="str">
        <f>IF(X2=FALSE,"-",[1]!RETRIEVE_WEB_DATA_ELEMENT_FUNC(W6,4904))</f>
        <v>-</v>
      </c>
      <c r="AA22" s="155" t="str">
        <f>IF(X2=FALSE,"-",[1]!RETRIEVE_WEB_DATA_ELEMENT_FUNC(W6,4913))</f>
        <v>-</v>
      </c>
      <c r="AB22" s="156" t="str">
        <f>IF(X2=FALSE,"-",[1]!RETRIEVE_WEB_DATA_ELEMENT_FUNC(W6,4922))</f>
        <v>-</v>
      </c>
      <c r="AD22" s="314"/>
      <c r="AE22" s="157" t="str">
        <f>IF(AE2=FALSE,"-","5-Year Annualized")</f>
        <v>-</v>
      </c>
      <c r="AF22" s="155" t="str">
        <f>IF(AE2=FALSE,"-",[1]!RETRIEVE_WEB_DATA_ELEMENT_FUNC(AD6,4895))</f>
        <v>-</v>
      </c>
      <c r="AG22" s="155" t="str">
        <f>IF(AE2=FALSE,"-",[1]!RETRIEVE_WEB_DATA_ELEMENT_FUNC(AD6,4904))</f>
        <v>-</v>
      </c>
      <c r="AH22" s="155" t="str">
        <f>IF(AE2=FALSE,"-",[1]!RETRIEVE_WEB_DATA_ELEMENT_FUNC(AD6,4913))</f>
        <v>-</v>
      </c>
      <c r="AI22" s="156" t="str">
        <f>IF(AE2=FALSE,"-",[1]!RETRIEVE_WEB_DATA_ELEMENT_FUNC(AD6,4922))</f>
        <v>-</v>
      </c>
    </row>
    <row r="23" spans="2:35" ht="15" customHeight="1" thickBot="1">
      <c r="B23" s="315"/>
      <c r="C23" s="158" t="str">
        <f>IF(C2=FALSE,"-","10-Year Annualized")</f>
        <v>-</v>
      </c>
      <c r="D23" s="159" t="str">
        <f>IF(C2=FALSE,"-",[1]!RETRIEVE_WEB_DATA_ELEMENT_FUNC(B6,4896))</f>
        <v>-</v>
      </c>
      <c r="E23" s="159" t="str">
        <f>IF(C2=FALSE,"-",[1]!RETRIEVE_WEB_DATA_ELEMENT_FUNC(B6,4905))</f>
        <v>-</v>
      </c>
      <c r="F23" s="159" t="str">
        <f>IF(C2=FALSE,"-",[1]!RETRIEVE_WEB_DATA_ELEMENT_FUNC(B6,4914))</f>
        <v>-</v>
      </c>
      <c r="G23" s="160" t="str">
        <f>IF(C2=FALSE,"-",[1]!RETRIEVE_WEB_DATA_ELEMENT_FUNC(B6,4923))</f>
        <v>-</v>
      </c>
      <c r="I23" s="315"/>
      <c r="J23" s="158" t="str">
        <f>IF(J2=FALSE,"-","10-Year Annualized")</f>
        <v>-</v>
      </c>
      <c r="K23" s="159" t="str">
        <f>IF(J2=FALSE,"-",[1]!RETRIEVE_WEB_DATA_ELEMENT_FUNC(I6,4896))</f>
        <v>-</v>
      </c>
      <c r="L23" s="159" t="str">
        <f>IF(J2=FALSE,"-",[1]!RETRIEVE_WEB_DATA_ELEMENT_FUNC(I6,4905))</f>
        <v>-</v>
      </c>
      <c r="M23" s="159" t="str">
        <f>IF(J2=FALSE,"-",[1]!RETRIEVE_WEB_DATA_ELEMENT_FUNC(I6,4914))</f>
        <v>-</v>
      </c>
      <c r="N23" s="160" t="str">
        <f>IF(J2=FALSE,"-",[1]!RETRIEVE_WEB_DATA_ELEMENT_FUNC(I6,4923))</f>
        <v>-</v>
      </c>
      <c r="P23" s="315"/>
      <c r="Q23" s="158" t="str">
        <f>IF(Q2=FALSE,"-","10-Year Annualized")</f>
        <v>-</v>
      </c>
      <c r="R23" s="159" t="str">
        <f>IF(Q2=FALSE,"-",[1]!RETRIEVE_WEB_DATA_ELEMENT_FUNC(P6,4896))</f>
        <v>-</v>
      </c>
      <c r="S23" s="159" t="str">
        <f>IF(Q2=FALSE,"-",[1]!RETRIEVE_WEB_DATA_ELEMENT_FUNC(P6,4905))</f>
        <v>-</v>
      </c>
      <c r="T23" s="159" t="str">
        <f>IF(Q2=FALSE,"-",[1]!RETRIEVE_WEB_DATA_ELEMENT_FUNC(P6,4914))</f>
        <v>-</v>
      </c>
      <c r="U23" s="160" t="str">
        <f>IF(Q2=FALSE,"-",[1]!RETRIEVE_WEB_DATA_ELEMENT_FUNC(P6,4923))</f>
        <v>-</v>
      </c>
      <c r="W23" s="315"/>
      <c r="X23" s="158" t="str">
        <f>IF(X2=FALSE,"-","10-Year Annualized")</f>
        <v>-</v>
      </c>
      <c r="Y23" s="159" t="str">
        <f>IF(X2=FALSE,"-",[1]!RETRIEVE_WEB_DATA_ELEMENT_FUNC(W6,4896))</f>
        <v>-</v>
      </c>
      <c r="Z23" s="159" t="str">
        <f>IF(X2=FALSE,"-",[1]!RETRIEVE_WEB_DATA_ELEMENT_FUNC(W6,4905))</f>
        <v>-</v>
      </c>
      <c r="AA23" s="159" t="str">
        <f>IF(X2=FALSE,"-",[1]!RETRIEVE_WEB_DATA_ELEMENT_FUNC(W6,4914))</f>
        <v>-</v>
      </c>
      <c r="AB23" s="160" t="str">
        <f>IF(X2=FALSE,"-",[1]!RETRIEVE_WEB_DATA_ELEMENT_FUNC(W6,4923))</f>
        <v>-</v>
      </c>
      <c r="AD23" s="315"/>
      <c r="AE23" s="158" t="str">
        <f>IF(AE2=FALSE,"-","10-Year Annualized")</f>
        <v>-</v>
      </c>
      <c r="AF23" s="159" t="str">
        <f>IF(AE2=FALSE,"-",[1]!RETRIEVE_WEB_DATA_ELEMENT_FUNC(AD6,4896))</f>
        <v>-</v>
      </c>
      <c r="AG23" s="159" t="str">
        <f>IF(AE2=FALSE,"-",[1]!RETRIEVE_WEB_DATA_ELEMENT_FUNC(AD6,4905))</f>
        <v>-</v>
      </c>
      <c r="AH23" s="159" t="str">
        <f>IF(AE2=FALSE,"-",[1]!RETRIEVE_WEB_DATA_ELEMENT_FUNC(AD6,4914))</f>
        <v>-</v>
      </c>
      <c r="AI23" s="160" t="str">
        <f>IF(AE2=FALSE,"-",[1]!RETRIEVE_WEB_DATA_ELEMENT_FUNC(AD6,4923))</f>
        <v>-</v>
      </c>
    </row>
    <row r="24" spans="2:35" ht="15" customHeight="1" thickBot="1">
      <c r="B24" s="314" t="str">
        <f>IF(C2=FALSE,"-","Historical Quarterly Returns")</f>
        <v>-</v>
      </c>
      <c r="C24" s="164"/>
      <c r="D24" s="150" t="s">
        <v>12</v>
      </c>
      <c r="E24" s="150" t="s">
        <v>11</v>
      </c>
      <c r="F24" s="150" t="s">
        <v>10</v>
      </c>
      <c r="G24" s="165" t="s">
        <v>9</v>
      </c>
      <c r="I24" s="314" t="str">
        <f>IF(J2=FALSE,"-","Historical Quarterly Returns")</f>
        <v>-</v>
      </c>
      <c r="J24" s="164"/>
      <c r="K24" s="150" t="s">
        <v>12</v>
      </c>
      <c r="L24" s="150" t="s">
        <v>11</v>
      </c>
      <c r="M24" s="150" t="s">
        <v>10</v>
      </c>
      <c r="N24" s="165" t="s">
        <v>9</v>
      </c>
      <c r="P24" s="314" t="str">
        <f>IF(Q2=FALSE,"-","Historical Quarterly Returns")</f>
        <v>-</v>
      </c>
      <c r="Q24" s="164"/>
      <c r="R24" s="150" t="s">
        <v>12</v>
      </c>
      <c r="S24" s="150" t="s">
        <v>11</v>
      </c>
      <c r="T24" s="150" t="s">
        <v>10</v>
      </c>
      <c r="U24" s="165" t="s">
        <v>9</v>
      </c>
      <c r="W24" s="314" t="str">
        <f>IF(X2=FALSE,"-","Historical Quarterly Returns")</f>
        <v>-</v>
      </c>
      <c r="X24" s="164"/>
      <c r="Y24" s="150" t="s">
        <v>12</v>
      </c>
      <c r="Z24" s="150" t="s">
        <v>11</v>
      </c>
      <c r="AA24" s="150" t="s">
        <v>10</v>
      </c>
      <c r="AB24" s="165" t="s">
        <v>9</v>
      </c>
      <c r="AD24" s="314" t="str">
        <f>IF(AE2=FALSE,"-","Historical Quarterly Returns")</f>
        <v>-</v>
      </c>
      <c r="AE24" s="164"/>
      <c r="AF24" s="150" t="s">
        <v>12</v>
      </c>
      <c r="AG24" s="150" t="s">
        <v>11</v>
      </c>
      <c r="AH24" s="150" t="s">
        <v>10</v>
      </c>
      <c r="AI24" s="165" t="s">
        <v>9</v>
      </c>
    </row>
    <row r="25" spans="2:35" ht="15" customHeight="1">
      <c r="B25" s="314"/>
      <c r="C25" s="157" t="str">
        <f>IF(C2=FALSE,"-",[1]!RETRIEVE_WEB_DATA_ELEMENT_FUNC(B6,4816))</f>
        <v>-</v>
      </c>
      <c r="D25" s="166" t="str">
        <f>IF(C2=FALSE,"-",[1]!RETRIEVE_WEB_DATA_ELEMENT_FUNC(B6,4824))</f>
        <v>-</v>
      </c>
      <c r="E25" s="166" t="str">
        <f>IF(C2=FALSE,"-",[1]!RETRIEVE_WEB_DATA_ELEMENT_FUNC(B6,4832))</f>
        <v>-</v>
      </c>
      <c r="F25" s="166" t="str">
        <f>IF(C2=FALSE,"-",[1]!RETRIEVE_WEB_DATA_ELEMENT_FUNC(B6,4840))</f>
        <v>-</v>
      </c>
      <c r="G25" s="167" t="str">
        <f>IF(C2=FALSE,"-",[1]!RETRIEVE_WEB_DATA_ELEMENT_FUNC(B6,4848))</f>
        <v>-</v>
      </c>
      <c r="I25" s="314"/>
      <c r="J25" s="157" t="str">
        <f>IF(J2=FALSE,"-",[1]!RETRIEVE_WEB_DATA_ELEMENT_FUNC(I6,4816))</f>
        <v>-</v>
      </c>
      <c r="K25" s="166" t="str">
        <f>IF(J2=FALSE,"-",[1]!RETRIEVE_WEB_DATA_ELEMENT_FUNC(I6,4824))</f>
        <v>-</v>
      </c>
      <c r="L25" s="166" t="str">
        <f>IF(J2=FALSE,"-",[1]!RETRIEVE_WEB_DATA_ELEMENT_FUNC(I6,4832))</f>
        <v>-</v>
      </c>
      <c r="M25" s="166" t="str">
        <f>IF(J2=FALSE,"-",[1]!RETRIEVE_WEB_DATA_ELEMENT_FUNC(I6,4840))</f>
        <v>-</v>
      </c>
      <c r="N25" s="167" t="str">
        <f>IF(J2=FALSE,"-",[1]!RETRIEVE_WEB_DATA_ELEMENT_FUNC(I6,4848))</f>
        <v>-</v>
      </c>
      <c r="P25" s="314"/>
      <c r="Q25" s="157" t="str">
        <f>IF(Q2=FALSE,"-",[1]!RETRIEVE_WEB_DATA_ELEMENT_FUNC(P6,4816))</f>
        <v>-</v>
      </c>
      <c r="R25" s="166" t="str">
        <f>IF(Q2=FALSE,"-",[1]!RETRIEVE_WEB_DATA_ELEMENT_FUNC(P6,4824))</f>
        <v>-</v>
      </c>
      <c r="S25" s="166" t="str">
        <f>IF(Q2=FALSE,"-",[1]!RETRIEVE_WEB_DATA_ELEMENT_FUNC(P6,4832))</f>
        <v>-</v>
      </c>
      <c r="T25" s="166" t="str">
        <f>IF(Q2=FALSE,"-",[1]!RETRIEVE_WEB_DATA_ELEMENT_FUNC(P6,4840))</f>
        <v>-</v>
      </c>
      <c r="U25" s="167" t="str">
        <f>IF(Q2=FALSE,"-",[1]!RETRIEVE_WEB_DATA_ELEMENT_FUNC(P6,4848))</f>
        <v>-</v>
      </c>
      <c r="W25" s="314"/>
      <c r="X25" s="157" t="str">
        <f>IF(X2=FALSE,"-",[1]!RETRIEVE_WEB_DATA_ELEMENT_FUNC(W6,4816))</f>
        <v>-</v>
      </c>
      <c r="Y25" s="166" t="str">
        <f>IF(X2=FALSE,"-",[1]!RETRIEVE_WEB_DATA_ELEMENT_FUNC(W6,4824))</f>
        <v>-</v>
      </c>
      <c r="Z25" s="166" t="str">
        <f>IF(X2=FALSE,"-",[1]!RETRIEVE_WEB_DATA_ELEMENT_FUNC(W6,4832))</f>
        <v>-</v>
      </c>
      <c r="AA25" s="166" t="str">
        <f>IF(X2=FALSE,"-",[1]!RETRIEVE_WEB_DATA_ELEMENT_FUNC(W6,4840))</f>
        <v>-</v>
      </c>
      <c r="AB25" s="167" t="str">
        <f>IF(X2=FALSE,"-",[1]!RETRIEVE_WEB_DATA_ELEMENT_FUNC(W6,4848))</f>
        <v>-</v>
      </c>
      <c r="AD25" s="314"/>
      <c r="AE25" s="157" t="str">
        <f>IF(AE2=FALSE,"-",[1]!RETRIEVE_WEB_DATA_ELEMENT_FUNC(AD6,4816))</f>
        <v>-</v>
      </c>
      <c r="AF25" s="166" t="str">
        <f>IF(AE2=FALSE,"-",[1]!RETRIEVE_WEB_DATA_ELEMENT_FUNC(AD6,4824))</f>
        <v>-</v>
      </c>
      <c r="AG25" s="166" t="str">
        <f>IF(AE2=FALSE,"-",[1]!RETRIEVE_WEB_DATA_ELEMENT_FUNC(AD6,4832))</f>
        <v>-</v>
      </c>
      <c r="AH25" s="166" t="str">
        <f>IF(AE2=FALSE,"-",[1]!RETRIEVE_WEB_DATA_ELEMENT_FUNC(AD6,4840))</f>
        <v>-</v>
      </c>
      <c r="AI25" s="167" t="str">
        <f>IF(AE2=FALSE,"-",[1]!RETRIEVE_WEB_DATA_ELEMENT_FUNC(AD6,4848))</f>
        <v>-</v>
      </c>
    </row>
    <row r="26" spans="2:35" ht="15" customHeight="1">
      <c r="B26" s="314"/>
      <c r="C26" s="157" t="str">
        <f>IF(C2=FALSE,"-",[1]!RETRIEVE_WEB_DATA_ELEMENT_FUNC(B6,4817))</f>
        <v>-</v>
      </c>
      <c r="D26" s="166" t="str">
        <f>IF(C2=FALSE,"-",[1]!RETRIEVE_WEB_DATA_ELEMENT_FUNC(B6,4825))</f>
        <v>-</v>
      </c>
      <c r="E26" s="166" t="str">
        <f>IF(C2=FALSE,"-",[1]!RETRIEVE_WEB_DATA_ELEMENT_FUNC(B6,4833))</f>
        <v>-</v>
      </c>
      <c r="F26" s="166" t="str">
        <f>IF(C2=FALSE,"-",[1]!RETRIEVE_WEB_DATA_ELEMENT_FUNC(B6,4841))</f>
        <v>-</v>
      </c>
      <c r="G26" s="167" t="str">
        <f>IF(C2=FALSE,"-",[1]!RETRIEVE_WEB_DATA_ELEMENT_FUNC(B6,4849))</f>
        <v>-</v>
      </c>
      <c r="I26" s="314"/>
      <c r="J26" s="157" t="str">
        <f>IF(J2=FALSE,"-",[1]!RETRIEVE_WEB_DATA_ELEMENT_FUNC(I6,4817))</f>
        <v>-</v>
      </c>
      <c r="K26" s="166" t="str">
        <f>IF(J2=FALSE,"-",[1]!RETRIEVE_WEB_DATA_ELEMENT_FUNC(I6,4825))</f>
        <v>-</v>
      </c>
      <c r="L26" s="166" t="str">
        <f>IF(J2=FALSE,"-",[1]!RETRIEVE_WEB_DATA_ELEMENT_FUNC(I6,4833))</f>
        <v>-</v>
      </c>
      <c r="M26" s="166" t="str">
        <f>IF(J2=FALSE,"-",[1]!RETRIEVE_WEB_DATA_ELEMENT_FUNC(I6,4841))</f>
        <v>-</v>
      </c>
      <c r="N26" s="167" t="str">
        <f>IF(J2=FALSE,"-",[1]!RETRIEVE_WEB_DATA_ELEMENT_FUNC(I6,4849))</f>
        <v>-</v>
      </c>
      <c r="P26" s="314"/>
      <c r="Q26" s="157" t="str">
        <f>IF(Q2=FALSE,"-",[1]!RETRIEVE_WEB_DATA_ELEMENT_FUNC(P6,4817))</f>
        <v>-</v>
      </c>
      <c r="R26" s="166" t="str">
        <f>IF(Q2=FALSE,"-",[1]!RETRIEVE_WEB_DATA_ELEMENT_FUNC(P6,4825))</f>
        <v>-</v>
      </c>
      <c r="S26" s="166" t="str">
        <f>IF(Q2=FALSE,"-",[1]!RETRIEVE_WEB_DATA_ELEMENT_FUNC(P6,4833))</f>
        <v>-</v>
      </c>
      <c r="T26" s="166" t="str">
        <f>IF(Q2=FALSE,"-",[1]!RETRIEVE_WEB_DATA_ELEMENT_FUNC(P6,4841))</f>
        <v>-</v>
      </c>
      <c r="U26" s="167" t="str">
        <f>IF(Q2=FALSE,"-",[1]!RETRIEVE_WEB_DATA_ELEMENT_FUNC(P6,4849))</f>
        <v>-</v>
      </c>
      <c r="W26" s="314"/>
      <c r="X26" s="157" t="str">
        <f>IF(X2=FALSE,"-",[1]!RETRIEVE_WEB_DATA_ELEMENT_FUNC(W6,4817))</f>
        <v>-</v>
      </c>
      <c r="Y26" s="166" t="str">
        <f>IF(X2=FALSE,"-",[1]!RETRIEVE_WEB_DATA_ELEMENT_FUNC(W6,4825))</f>
        <v>-</v>
      </c>
      <c r="Z26" s="166" t="str">
        <f>IF(X2=FALSE,"-",[1]!RETRIEVE_WEB_DATA_ELEMENT_FUNC(W6,4833))</f>
        <v>-</v>
      </c>
      <c r="AA26" s="166" t="str">
        <f>IF(X2=FALSE,"-",[1]!RETRIEVE_WEB_DATA_ELEMENT_FUNC(W6,4841))</f>
        <v>-</v>
      </c>
      <c r="AB26" s="167" t="str">
        <f>IF(X2=FALSE,"-",[1]!RETRIEVE_WEB_DATA_ELEMENT_FUNC(W6,4849))</f>
        <v>-</v>
      </c>
      <c r="AD26" s="314"/>
      <c r="AE26" s="157" t="str">
        <f>IF(AE2=FALSE,"-",[1]!RETRIEVE_WEB_DATA_ELEMENT_FUNC(AD6,4817))</f>
        <v>-</v>
      </c>
      <c r="AF26" s="166" t="str">
        <f>IF(AE2=FALSE,"-",[1]!RETRIEVE_WEB_DATA_ELEMENT_FUNC(AD6,4825))</f>
        <v>-</v>
      </c>
      <c r="AG26" s="166" t="str">
        <f>IF(AE2=FALSE,"-",[1]!RETRIEVE_WEB_DATA_ELEMENT_FUNC(AD6,4833))</f>
        <v>-</v>
      </c>
      <c r="AH26" s="166" t="str">
        <f>IF(AE2=FALSE,"-",[1]!RETRIEVE_WEB_DATA_ELEMENT_FUNC(AD6,4841))</f>
        <v>-</v>
      </c>
      <c r="AI26" s="167" t="str">
        <f>IF(AE2=FALSE,"-",[1]!RETRIEVE_WEB_DATA_ELEMENT_FUNC(AD6,4849))</f>
        <v>-</v>
      </c>
    </row>
    <row r="27" spans="2:35" ht="15" customHeight="1">
      <c r="B27" s="314"/>
      <c r="C27" s="157" t="str">
        <f>IF(C2=FALSE,"-",[1]!RETRIEVE_WEB_DATA_ELEMENT_FUNC(B6,4818))</f>
        <v>-</v>
      </c>
      <c r="D27" s="166" t="str">
        <f>IF(C2=FALSE,"-",[1]!RETRIEVE_WEB_DATA_ELEMENT_FUNC(B6,4826))</f>
        <v>-</v>
      </c>
      <c r="E27" s="166" t="str">
        <f>IF(C2=FALSE,"-",[1]!RETRIEVE_WEB_DATA_ELEMENT_FUNC(B6,4834))</f>
        <v>-</v>
      </c>
      <c r="F27" s="166" t="str">
        <f>IF(C2=FALSE,"-",[1]!RETRIEVE_WEB_DATA_ELEMENT_FUNC(B6,4842))</f>
        <v>-</v>
      </c>
      <c r="G27" s="167" t="str">
        <f>IF(C2=FALSE,"-",[1]!RETRIEVE_WEB_DATA_ELEMENT_FUNC(B6,4850))</f>
        <v>-</v>
      </c>
      <c r="I27" s="314"/>
      <c r="J27" s="157" t="str">
        <f>IF(J2=FALSE,"-",[1]!RETRIEVE_WEB_DATA_ELEMENT_FUNC(I6,4818))</f>
        <v>-</v>
      </c>
      <c r="K27" s="166" t="str">
        <f>IF(J2=FALSE,"-",[1]!RETRIEVE_WEB_DATA_ELEMENT_FUNC(I6,4826))</f>
        <v>-</v>
      </c>
      <c r="L27" s="166" t="str">
        <f>IF(J2=FALSE,"-",[1]!RETRIEVE_WEB_DATA_ELEMENT_FUNC(I6,4834))</f>
        <v>-</v>
      </c>
      <c r="M27" s="166" t="str">
        <f>IF(J2=FALSE,"-",[1]!RETRIEVE_WEB_DATA_ELEMENT_FUNC(I6,4842))</f>
        <v>-</v>
      </c>
      <c r="N27" s="167" t="str">
        <f>IF(J2=FALSE,"-",[1]!RETRIEVE_WEB_DATA_ELEMENT_FUNC(I6,4850))</f>
        <v>-</v>
      </c>
      <c r="P27" s="314"/>
      <c r="Q27" s="157" t="str">
        <f>IF(Q2=FALSE,"-",[1]!RETRIEVE_WEB_DATA_ELEMENT_FUNC(P6,4818))</f>
        <v>-</v>
      </c>
      <c r="R27" s="166" t="str">
        <f>IF(Q2=FALSE,"-",[1]!RETRIEVE_WEB_DATA_ELEMENT_FUNC(P6,4826))</f>
        <v>-</v>
      </c>
      <c r="S27" s="166" t="str">
        <f>IF(Q2=FALSE,"-",[1]!RETRIEVE_WEB_DATA_ELEMENT_FUNC(P6,4834))</f>
        <v>-</v>
      </c>
      <c r="T27" s="166" t="str">
        <f>IF(Q2=FALSE,"-",[1]!RETRIEVE_WEB_DATA_ELEMENT_FUNC(P6,4842))</f>
        <v>-</v>
      </c>
      <c r="U27" s="167" t="str">
        <f>IF(Q2=FALSE,"-",[1]!RETRIEVE_WEB_DATA_ELEMENT_FUNC(P6,4850))</f>
        <v>-</v>
      </c>
      <c r="W27" s="314"/>
      <c r="X27" s="157" t="str">
        <f>IF(X2=FALSE,"-",[1]!RETRIEVE_WEB_DATA_ELEMENT_FUNC(W6,4818))</f>
        <v>-</v>
      </c>
      <c r="Y27" s="166" t="str">
        <f>IF(X2=FALSE,"-",[1]!RETRIEVE_WEB_DATA_ELEMENT_FUNC(W6,4826))</f>
        <v>-</v>
      </c>
      <c r="Z27" s="166" t="str">
        <f>IF(X2=FALSE,"-",[1]!RETRIEVE_WEB_DATA_ELEMENT_FUNC(W6,4834))</f>
        <v>-</v>
      </c>
      <c r="AA27" s="166" t="str">
        <f>IF(X2=FALSE,"-",[1]!RETRIEVE_WEB_DATA_ELEMENT_FUNC(W6,4842))</f>
        <v>-</v>
      </c>
      <c r="AB27" s="167" t="str">
        <f>IF(X2=FALSE,"-",[1]!RETRIEVE_WEB_DATA_ELEMENT_FUNC(W6,4850))</f>
        <v>-</v>
      </c>
      <c r="AD27" s="314"/>
      <c r="AE27" s="157" t="str">
        <f>IF(AE2=FALSE,"-",[1]!RETRIEVE_WEB_DATA_ELEMENT_FUNC(AD6,4818))</f>
        <v>-</v>
      </c>
      <c r="AF27" s="166" t="str">
        <f>IF(AE2=FALSE,"-",[1]!RETRIEVE_WEB_DATA_ELEMENT_FUNC(AD6,4826))</f>
        <v>-</v>
      </c>
      <c r="AG27" s="166" t="str">
        <f>IF(AE2=FALSE,"-",[1]!RETRIEVE_WEB_DATA_ELEMENT_FUNC(AD6,4834))</f>
        <v>-</v>
      </c>
      <c r="AH27" s="166" t="str">
        <f>IF(AE2=FALSE,"-",[1]!RETRIEVE_WEB_DATA_ELEMENT_FUNC(AD6,4842))</f>
        <v>-</v>
      </c>
      <c r="AI27" s="167" t="str">
        <f>IF(AE2=FALSE,"-",[1]!RETRIEVE_WEB_DATA_ELEMENT_FUNC(AD6,4850))</f>
        <v>-</v>
      </c>
    </row>
    <row r="28" spans="2:35" ht="15" customHeight="1">
      <c r="B28" s="314"/>
      <c r="C28" s="157" t="str">
        <f>IF(C2=FALSE,"-",[1]!RETRIEVE_WEB_DATA_ELEMENT_FUNC(B6,4819))</f>
        <v>-</v>
      </c>
      <c r="D28" s="166" t="str">
        <f>IF(C2=FALSE,"-",[1]!RETRIEVE_WEB_DATA_ELEMENT_FUNC(B6,4827))</f>
        <v>-</v>
      </c>
      <c r="E28" s="166" t="str">
        <f>IF(C2=FALSE,"-",[1]!RETRIEVE_WEB_DATA_ELEMENT_FUNC(B6,4835))</f>
        <v>-</v>
      </c>
      <c r="F28" s="166" t="str">
        <f>IF(C2=FALSE,"-",[1]!RETRIEVE_WEB_DATA_ELEMENT_FUNC(B6,4843))</f>
        <v>-</v>
      </c>
      <c r="G28" s="167" t="str">
        <f>IF(C2=FALSE,"-",[1]!RETRIEVE_WEB_DATA_ELEMENT_FUNC(B6,4851))</f>
        <v>-</v>
      </c>
      <c r="I28" s="314"/>
      <c r="J28" s="157" t="str">
        <f>IF(J2=FALSE,"-",[1]!RETRIEVE_WEB_DATA_ELEMENT_FUNC(I6,4819))</f>
        <v>-</v>
      </c>
      <c r="K28" s="166" t="str">
        <f>IF(J2=FALSE,"-",[1]!RETRIEVE_WEB_DATA_ELEMENT_FUNC(I6,4827))</f>
        <v>-</v>
      </c>
      <c r="L28" s="166" t="str">
        <f>IF(J2=FALSE,"-",[1]!RETRIEVE_WEB_DATA_ELEMENT_FUNC(I6,4835))</f>
        <v>-</v>
      </c>
      <c r="M28" s="166" t="str">
        <f>IF(J2=FALSE,"-",[1]!RETRIEVE_WEB_DATA_ELEMENT_FUNC(I6,4843))</f>
        <v>-</v>
      </c>
      <c r="N28" s="167" t="str">
        <f>IF(J2=FALSE,"-",[1]!RETRIEVE_WEB_DATA_ELEMENT_FUNC(I6,4851))</f>
        <v>-</v>
      </c>
      <c r="P28" s="314"/>
      <c r="Q28" s="157" t="str">
        <f>IF(Q2=FALSE,"-",[1]!RETRIEVE_WEB_DATA_ELEMENT_FUNC(P6,4819))</f>
        <v>-</v>
      </c>
      <c r="R28" s="166" t="str">
        <f>IF(Q2=FALSE,"-",[1]!RETRIEVE_WEB_DATA_ELEMENT_FUNC(P6,4827))</f>
        <v>-</v>
      </c>
      <c r="S28" s="166" t="str">
        <f>IF(Q2=FALSE,"-",[1]!RETRIEVE_WEB_DATA_ELEMENT_FUNC(P6,4835))</f>
        <v>-</v>
      </c>
      <c r="T28" s="166" t="str">
        <f>IF(Q2=FALSE,"-",[1]!RETRIEVE_WEB_DATA_ELEMENT_FUNC(P6,4843))</f>
        <v>-</v>
      </c>
      <c r="U28" s="167" t="str">
        <f>IF(Q2=FALSE,"-",[1]!RETRIEVE_WEB_DATA_ELEMENT_FUNC(P6,4851))</f>
        <v>-</v>
      </c>
      <c r="W28" s="314"/>
      <c r="X28" s="157" t="str">
        <f>IF(X2=FALSE,"-",[1]!RETRIEVE_WEB_DATA_ELEMENT_FUNC(W6,4819))</f>
        <v>-</v>
      </c>
      <c r="Y28" s="166" t="str">
        <f>IF(X2=FALSE,"-",[1]!RETRIEVE_WEB_DATA_ELEMENT_FUNC(W6,4827))</f>
        <v>-</v>
      </c>
      <c r="Z28" s="166" t="str">
        <f>IF(X2=FALSE,"-",[1]!RETRIEVE_WEB_DATA_ELEMENT_FUNC(W6,4835))</f>
        <v>-</v>
      </c>
      <c r="AA28" s="166" t="str">
        <f>IF(X2=FALSE,"-",[1]!RETRIEVE_WEB_DATA_ELEMENT_FUNC(W6,4843))</f>
        <v>-</v>
      </c>
      <c r="AB28" s="167" t="str">
        <f>IF(X2=FALSE,"-",[1]!RETRIEVE_WEB_DATA_ELEMENT_FUNC(W6,4851))</f>
        <v>-</v>
      </c>
      <c r="AD28" s="314"/>
      <c r="AE28" s="157" t="str">
        <f>IF(AE2=FALSE,"-",[1]!RETRIEVE_WEB_DATA_ELEMENT_FUNC(AD6,4819))</f>
        <v>-</v>
      </c>
      <c r="AF28" s="166" t="str">
        <f>IF(AE2=FALSE,"-",[1]!RETRIEVE_WEB_DATA_ELEMENT_FUNC(AD6,4827))</f>
        <v>-</v>
      </c>
      <c r="AG28" s="166" t="str">
        <f>IF(AE2=FALSE,"-",[1]!RETRIEVE_WEB_DATA_ELEMENT_FUNC(AD6,4835))</f>
        <v>-</v>
      </c>
      <c r="AH28" s="166" t="str">
        <f>IF(AE2=FALSE,"-",[1]!RETRIEVE_WEB_DATA_ELEMENT_FUNC(AD6,4843))</f>
        <v>-</v>
      </c>
      <c r="AI28" s="167" t="str">
        <f>IF(AE2=FALSE,"-",[1]!RETRIEVE_WEB_DATA_ELEMENT_FUNC(AD6,4851))</f>
        <v>-</v>
      </c>
    </row>
    <row r="29" spans="2:35" ht="15" customHeight="1">
      <c r="B29" s="314"/>
      <c r="C29" s="157" t="str">
        <f>IF(C2=FALSE,"-",[1]!RETRIEVE_WEB_DATA_ELEMENT_FUNC(B6,4820))</f>
        <v>-</v>
      </c>
      <c r="D29" s="166" t="str">
        <f>IF(C2=FALSE,"-",[1]!RETRIEVE_WEB_DATA_ELEMENT_FUNC(B6,4828))</f>
        <v>-</v>
      </c>
      <c r="E29" s="166" t="str">
        <f>IF(C2=FALSE,"-",[1]!RETRIEVE_WEB_DATA_ELEMENT_FUNC(B6,4836))</f>
        <v>-</v>
      </c>
      <c r="F29" s="166" t="str">
        <f>IF(C2=FALSE,"-",[1]!RETRIEVE_WEB_DATA_ELEMENT_FUNC(B6,4844))</f>
        <v>-</v>
      </c>
      <c r="G29" s="167" t="str">
        <f>IF(C2=FALSE,"-",[1]!RETRIEVE_WEB_DATA_ELEMENT_FUNC(B6,4852))</f>
        <v>-</v>
      </c>
      <c r="I29" s="314"/>
      <c r="J29" s="157" t="str">
        <f>IF(J2=FALSE,"-",[1]!RETRIEVE_WEB_DATA_ELEMENT_FUNC(I6,4820))</f>
        <v>-</v>
      </c>
      <c r="K29" s="166" t="str">
        <f>IF(J2=FALSE,"-",[1]!RETRIEVE_WEB_DATA_ELEMENT_FUNC(I6,4828))</f>
        <v>-</v>
      </c>
      <c r="L29" s="166" t="str">
        <f>IF(J2=FALSE,"-",[1]!RETRIEVE_WEB_DATA_ELEMENT_FUNC(I6,4836))</f>
        <v>-</v>
      </c>
      <c r="M29" s="166" t="str">
        <f>IF(J2=FALSE,"-",[1]!RETRIEVE_WEB_DATA_ELEMENT_FUNC(I6,4844))</f>
        <v>-</v>
      </c>
      <c r="N29" s="167" t="str">
        <f>IF(J2=FALSE,"-",[1]!RETRIEVE_WEB_DATA_ELEMENT_FUNC(I6,4852))</f>
        <v>-</v>
      </c>
      <c r="P29" s="314"/>
      <c r="Q29" s="157" t="str">
        <f>IF(Q2=FALSE,"-",[1]!RETRIEVE_WEB_DATA_ELEMENT_FUNC(P6,4820))</f>
        <v>-</v>
      </c>
      <c r="R29" s="166" t="str">
        <f>IF(Q2=FALSE,"-",[1]!RETRIEVE_WEB_DATA_ELEMENT_FUNC(P6,4828))</f>
        <v>-</v>
      </c>
      <c r="S29" s="166" t="str">
        <f>IF(Q2=FALSE,"-",[1]!RETRIEVE_WEB_DATA_ELEMENT_FUNC(P6,4836))</f>
        <v>-</v>
      </c>
      <c r="T29" s="166" t="str">
        <f>IF(Q2=FALSE,"-",[1]!RETRIEVE_WEB_DATA_ELEMENT_FUNC(P6,4844))</f>
        <v>-</v>
      </c>
      <c r="U29" s="167" t="str">
        <f>IF(Q2=FALSE,"-",[1]!RETRIEVE_WEB_DATA_ELEMENT_FUNC(P6,4852))</f>
        <v>-</v>
      </c>
      <c r="W29" s="314"/>
      <c r="X29" s="157" t="str">
        <f>IF(X2=FALSE,"-",[1]!RETRIEVE_WEB_DATA_ELEMENT_FUNC(W6,4820))</f>
        <v>-</v>
      </c>
      <c r="Y29" s="166" t="str">
        <f>IF(X2=FALSE,"-",[1]!RETRIEVE_WEB_DATA_ELEMENT_FUNC(W6,4828))</f>
        <v>-</v>
      </c>
      <c r="Z29" s="166" t="str">
        <f>IF(X2=FALSE,"-",[1]!RETRIEVE_WEB_DATA_ELEMENT_FUNC(W6,4836))</f>
        <v>-</v>
      </c>
      <c r="AA29" s="166" t="str">
        <f>IF(X2=FALSE,"-",[1]!RETRIEVE_WEB_DATA_ELEMENT_FUNC(W6,4844))</f>
        <v>-</v>
      </c>
      <c r="AB29" s="167" t="str">
        <f>IF(X2=FALSE,"-",[1]!RETRIEVE_WEB_DATA_ELEMENT_FUNC(W6,4852))</f>
        <v>-</v>
      </c>
      <c r="AD29" s="314"/>
      <c r="AE29" s="157" t="str">
        <f>IF(AE2=FALSE,"-",[1]!RETRIEVE_WEB_DATA_ELEMENT_FUNC(AD6,4820))</f>
        <v>-</v>
      </c>
      <c r="AF29" s="166" t="str">
        <f>IF(AE2=FALSE,"-",[1]!RETRIEVE_WEB_DATA_ELEMENT_FUNC(AD6,4828))</f>
        <v>-</v>
      </c>
      <c r="AG29" s="166" t="str">
        <f>IF(AE2=FALSE,"-",[1]!RETRIEVE_WEB_DATA_ELEMENT_FUNC(AD6,4836))</f>
        <v>-</v>
      </c>
      <c r="AH29" s="166" t="str">
        <f>IF(AE2=FALSE,"-",[1]!RETRIEVE_WEB_DATA_ELEMENT_FUNC(AD6,4844))</f>
        <v>-</v>
      </c>
      <c r="AI29" s="167" t="str">
        <f>IF(AE2=FALSE,"-",[1]!RETRIEVE_WEB_DATA_ELEMENT_FUNC(AD6,4852))</f>
        <v>-</v>
      </c>
    </row>
    <row r="30" spans="2:35" ht="15" customHeight="1">
      <c r="B30" s="314"/>
      <c r="C30" s="157" t="str">
        <f>IF(C2=FALSE,"-",[1]!RETRIEVE_WEB_DATA_ELEMENT_FUNC(B6,4821))</f>
        <v>-</v>
      </c>
      <c r="D30" s="166" t="str">
        <f>IF(C2=FALSE,"-",[1]!RETRIEVE_WEB_DATA_ELEMENT_FUNC(B6,4829))</f>
        <v>-</v>
      </c>
      <c r="E30" s="166" t="str">
        <f>IF(C2=FALSE,"-",[1]!RETRIEVE_WEB_DATA_ELEMENT_FUNC(B6,4837))</f>
        <v>-</v>
      </c>
      <c r="F30" s="166" t="str">
        <f>IF(C2=FALSE,"-",[1]!RETRIEVE_WEB_DATA_ELEMENT_FUNC(B6,4845))</f>
        <v>-</v>
      </c>
      <c r="G30" s="167" t="str">
        <f>IF(C2=FALSE,"-",[1]!RETRIEVE_WEB_DATA_ELEMENT_FUNC(B6,4853))</f>
        <v>-</v>
      </c>
      <c r="I30" s="314"/>
      <c r="J30" s="157" t="str">
        <f>IF(J2=FALSE,"-",[1]!RETRIEVE_WEB_DATA_ELEMENT_FUNC(I6,4821))</f>
        <v>-</v>
      </c>
      <c r="K30" s="166" t="str">
        <f>IF(J2=FALSE,"-",[1]!RETRIEVE_WEB_DATA_ELEMENT_FUNC(I6,4829))</f>
        <v>-</v>
      </c>
      <c r="L30" s="166" t="str">
        <f>IF(J2=FALSE,"-",[1]!RETRIEVE_WEB_DATA_ELEMENT_FUNC(I6,4837))</f>
        <v>-</v>
      </c>
      <c r="M30" s="166" t="str">
        <f>IF(J2=FALSE,"-",[1]!RETRIEVE_WEB_DATA_ELEMENT_FUNC(I6,4845))</f>
        <v>-</v>
      </c>
      <c r="N30" s="167" t="str">
        <f>IF(J2=FALSE,"-",[1]!RETRIEVE_WEB_DATA_ELEMENT_FUNC(I6,4853))</f>
        <v>-</v>
      </c>
      <c r="P30" s="314"/>
      <c r="Q30" s="157" t="str">
        <f>IF(Q2=FALSE,"-",[1]!RETRIEVE_WEB_DATA_ELEMENT_FUNC(P6,4821))</f>
        <v>-</v>
      </c>
      <c r="R30" s="166" t="str">
        <f>IF(Q2=FALSE,"-",[1]!RETRIEVE_WEB_DATA_ELEMENT_FUNC(P6,4829))</f>
        <v>-</v>
      </c>
      <c r="S30" s="166" t="str">
        <f>IF(Q2=FALSE,"-",[1]!RETRIEVE_WEB_DATA_ELEMENT_FUNC(P6,4837))</f>
        <v>-</v>
      </c>
      <c r="T30" s="166" t="str">
        <f>IF(Q2=FALSE,"-",[1]!RETRIEVE_WEB_DATA_ELEMENT_FUNC(P6,4845))</f>
        <v>-</v>
      </c>
      <c r="U30" s="167" t="str">
        <f>IF(Q2=FALSE,"-",[1]!RETRIEVE_WEB_DATA_ELEMENT_FUNC(P6,4853))</f>
        <v>-</v>
      </c>
      <c r="W30" s="314"/>
      <c r="X30" s="157" t="str">
        <f>IF(X2=FALSE,"-",[1]!RETRIEVE_WEB_DATA_ELEMENT_FUNC(W6,4821))</f>
        <v>-</v>
      </c>
      <c r="Y30" s="166" t="str">
        <f>IF(X2=FALSE,"-",[1]!RETRIEVE_WEB_DATA_ELEMENT_FUNC(W6,4829))</f>
        <v>-</v>
      </c>
      <c r="Z30" s="166" t="str">
        <f>IF(X2=FALSE,"-",[1]!RETRIEVE_WEB_DATA_ELEMENT_FUNC(W6,4837))</f>
        <v>-</v>
      </c>
      <c r="AA30" s="166" t="str">
        <f>IF(X2=FALSE,"-",[1]!RETRIEVE_WEB_DATA_ELEMENT_FUNC(W6,4845))</f>
        <v>-</v>
      </c>
      <c r="AB30" s="167" t="str">
        <f>IF(X2=FALSE,"-",[1]!RETRIEVE_WEB_DATA_ELEMENT_FUNC(W6,4853))</f>
        <v>-</v>
      </c>
      <c r="AD30" s="314"/>
      <c r="AE30" s="157" t="str">
        <f>IF(AE2=FALSE,"-",[1]!RETRIEVE_WEB_DATA_ELEMENT_FUNC(AD6,4821))</f>
        <v>-</v>
      </c>
      <c r="AF30" s="166" t="str">
        <f>IF(AE2=FALSE,"-",[1]!RETRIEVE_WEB_DATA_ELEMENT_FUNC(AD6,4829))</f>
        <v>-</v>
      </c>
      <c r="AG30" s="166" t="str">
        <f>IF(AE2=FALSE,"-",[1]!RETRIEVE_WEB_DATA_ELEMENT_FUNC(AD6,4837))</f>
        <v>-</v>
      </c>
      <c r="AH30" s="166" t="str">
        <f>IF(AE2=FALSE,"-",[1]!RETRIEVE_WEB_DATA_ELEMENT_FUNC(AD6,4845))</f>
        <v>-</v>
      </c>
      <c r="AI30" s="167" t="str">
        <f>IF(AE2=FALSE,"-",[1]!RETRIEVE_WEB_DATA_ELEMENT_FUNC(AD6,4853))</f>
        <v>-</v>
      </c>
    </row>
    <row r="31" spans="2:35" ht="15" customHeight="1" thickBot="1">
      <c r="B31" s="315"/>
      <c r="C31" s="158" t="str">
        <f>IF(C2=FALSE,"-",[1]!RETRIEVE_WEB_DATA_ELEMENT_FUNC(B6,4822))</f>
        <v>-</v>
      </c>
      <c r="D31" s="168" t="str">
        <f>IF(C2=FALSE,"-",[1]!RETRIEVE_WEB_DATA_ELEMENT_FUNC(B6,4830))</f>
        <v>-</v>
      </c>
      <c r="E31" s="168" t="str">
        <f>IF(C2=FALSE,"-",[1]!RETRIEVE_WEB_DATA_ELEMENT_FUNC(B6,4838))</f>
        <v>-</v>
      </c>
      <c r="F31" s="168" t="str">
        <f>IF(C2=FALSE,"-",[1]!RETRIEVE_WEB_DATA_ELEMENT_FUNC(B6,4846))</f>
        <v>-</v>
      </c>
      <c r="G31" s="169" t="str">
        <f>IF(C2=FALSE,"-",[1]!RETRIEVE_WEB_DATA_ELEMENT_FUNC(B6,4854))</f>
        <v>-</v>
      </c>
      <c r="I31" s="315"/>
      <c r="J31" s="158" t="str">
        <f>IF(J2=FALSE,"-",[1]!RETRIEVE_WEB_DATA_ELEMENT_FUNC(I6,4822))</f>
        <v>-</v>
      </c>
      <c r="K31" s="168" t="str">
        <f>IF(J2=FALSE,"-",[1]!RETRIEVE_WEB_DATA_ELEMENT_FUNC(I6,4830))</f>
        <v>-</v>
      </c>
      <c r="L31" s="168" t="str">
        <f>IF(J2=FALSE,"-",[1]!RETRIEVE_WEB_DATA_ELEMENT_FUNC(I6,4838))</f>
        <v>-</v>
      </c>
      <c r="M31" s="168" t="str">
        <f>IF(J2=FALSE,"-",[1]!RETRIEVE_WEB_DATA_ELEMENT_FUNC(I6,4846))</f>
        <v>-</v>
      </c>
      <c r="N31" s="169" t="str">
        <f>IF(J2=FALSE,"-",[1]!RETRIEVE_WEB_DATA_ELEMENT_FUNC(I6,4854))</f>
        <v>-</v>
      </c>
      <c r="P31" s="315"/>
      <c r="Q31" s="158" t="str">
        <f>IF(Q2=FALSE,"-",[1]!RETRIEVE_WEB_DATA_ELEMENT_FUNC(P6,4822))</f>
        <v>-</v>
      </c>
      <c r="R31" s="168" t="str">
        <f>IF(Q2=FALSE,"-",[1]!RETRIEVE_WEB_DATA_ELEMENT_FUNC(P6,4830))</f>
        <v>-</v>
      </c>
      <c r="S31" s="168" t="str">
        <f>IF(Q2=FALSE,"-",[1]!RETRIEVE_WEB_DATA_ELEMENT_FUNC(P6,4838))</f>
        <v>-</v>
      </c>
      <c r="T31" s="168" t="str">
        <f>IF(Q2=FALSE,"-",[1]!RETRIEVE_WEB_DATA_ELEMENT_FUNC(P6,4846))</f>
        <v>-</v>
      </c>
      <c r="U31" s="169" t="str">
        <f>IF(Q2=FALSE,"-",[1]!RETRIEVE_WEB_DATA_ELEMENT_FUNC(P6,4854))</f>
        <v>-</v>
      </c>
      <c r="W31" s="315"/>
      <c r="X31" s="158" t="str">
        <f>IF(X2=FALSE,"-",[1]!RETRIEVE_WEB_DATA_ELEMENT_FUNC(W6,4822))</f>
        <v>-</v>
      </c>
      <c r="Y31" s="168" t="str">
        <f>IF(X2=FALSE,"-",[1]!RETRIEVE_WEB_DATA_ELEMENT_FUNC(W6,4830))</f>
        <v>-</v>
      </c>
      <c r="Z31" s="168" t="str">
        <f>IF(X2=FALSE,"-",[1]!RETRIEVE_WEB_DATA_ELEMENT_FUNC(W6,4838))</f>
        <v>-</v>
      </c>
      <c r="AA31" s="168" t="str">
        <f>IF(X2=FALSE,"-",[1]!RETRIEVE_WEB_DATA_ELEMENT_FUNC(W6,4846))</f>
        <v>-</v>
      </c>
      <c r="AB31" s="169" t="str">
        <f>IF(X2=FALSE,"-",[1]!RETRIEVE_WEB_DATA_ELEMENT_FUNC(W6,4854))</f>
        <v>-</v>
      </c>
      <c r="AD31" s="315"/>
      <c r="AE31" s="158" t="str">
        <f>IF(AE2=FALSE,"-",[1]!RETRIEVE_WEB_DATA_ELEMENT_FUNC(AD6,4822))</f>
        <v>-</v>
      </c>
      <c r="AF31" s="168" t="str">
        <f>IF(AE2=FALSE,"-",[1]!RETRIEVE_WEB_DATA_ELEMENT_FUNC(AD6,4830))</f>
        <v>-</v>
      </c>
      <c r="AG31" s="168" t="str">
        <f>IF(AE2=FALSE,"-",[1]!RETRIEVE_WEB_DATA_ELEMENT_FUNC(AD6,4838))</f>
        <v>-</v>
      </c>
      <c r="AH31" s="168" t="str">
        <f>IF(AE2=FALSE,"-",[1]!RETRIEVE_WEB_DATA_ELEMENT_FUNC(AD6,4846))</f>
        <v>-</v>
      </c>
      <c r="AI31" s="169" t="str">
        <f>IF(AE2=FALSE,"-",[1]!RETRIEVE_WEB_DATA_ELEMENT_FUNC(AD6,4854))</f>
        <v>-</v>
      </c>
    </row>
    <row r="32" spans="2:35" ht="15" customHeight="1">
      <c r="C32" s="136"/>
      <c r="J32" s="136"/>
      <c r="Q32" s="136"/>
      <c r="X32" s="136"/>
      <c r="AE32" s="136"/>
    </row>
    <row r="34" spans="2:35" ht="15" customHeight="1" thickBot="1"/>
    <row r="35" spans="2:35" ht="15" customHeight="1" thickBot="1">
      <c r="B35" s="138" t="s">
        <v>169</v>
      </c>
      <c r="C35" s="139" t="b">
        <v>0</v>
      </c>
      <c r="I35" s="138" t="s">
        <v>169</v>
      </c>
      <c r="J35" s="139" t="b">
        <v>0</v>
      </c>
      <c r="P35" s="138" t="s">
        <v>169</v>
      </c>
      <c r="Q35" s="139" t="b">
        <v>0</v>
      </c>
      <c r="W35" s="138" t="s">
        <v>169</v>
      </c>
      <c r="X35" s="139" t="b">
        <v>0</v>
      </c>
      <c r="AD35" s="138" t="s">
        <v>169</v>
      </c>
      <c r="AE35" s="139" t="b">
        <v>0</v>
      </c>
    </row>
    <row r="36" spans="2:35" ht="15" customHeight="1">
      <c r="B36" s="140" t="str">
        <f>IF(C35=FALSE,"-",[1]!RETRIEVE_WEB_DATA_ELEMENT_FUNC(B39,4811))</f>
        <v>-</v>
      </c>
      <c r="C36" s="141"/>
      <c r="D36" s="141"/>
      <c r="E36" s="141"/>
      <c r="F36" s="141"/>
      <c r="G36" s="142"/>
      <c r="I36" s="140" t="str">
        <f>IF(J35=FALSE,"-",[1]!RETRIEVE_WEB_DATA_ELEMENT_FUNC(I39,4811))</f>
        <v>-</v>
      </c>
      <c r="J36" s="141"/>
      <c r="K36" s="141"/>
      <c r="L36" s="141"/>
      <c r="M36" s="141"/>
      <c r="N36" s="142"/>
      <c r="P36" s="140" t="str">
        <f>IF(Q35=FALSE,"-",[1]!RETRIEVE_WEB_DATA_ELEMENT_FUNC(P39,4811))</f>
        <v>-</v>
      </c>
      <c r="Q36" s="141"/>
      <c r="R36" s="141"/>
      <c r="S36" s="141"/>
      <c r="T36" s="141"/>
      <c r="U36" s="142"/>
      <c r="W36" s="140" t="str">
        <f>IF(X35=FALSE,"-",[1]!RETRIEVE_WEB_DATA_ELEMENT_FUNC(W39,4811))</f>
        <v>-</v>
      </c>
      <c r="X36" s="141"/>
      <c r="Y36" s="141"/>
      <c r="Z36" s="141"/>
      <c r="AA36" s="141"/>
      <c r="AB36" s="142"/>
      <c r="AD36" s="140" t="str">
        <f>IF(AE35=FALSE,"-",[1]!RETRIEVE_WEB_DATA_ELEMENT_FUNC(AD39,4811))</f>
        <v>-</v>
      </c>
      <c r="AE36" s="141"/>
      <c r="AF36" s="141"/>
      <c r="AG36" s="141"/>
      <c r="AH36" s="141"/>
      <c r="AI36" s="142"/>
    </row>
    <row r="37" spans="2:35" ht="15" customHeight="1">
      <c r="B37" s="143" t="str">
        <f>IF(C35=FALSE,"-",[1]!RETRIEVE_WEB_DATA_ELEMENT_FUNC(B39,4812))</f>
        <v>-</v>
      </c>
      <c r="C37" s="144"/>
      <c r="D37" s="144"/>
      <c r="E37" s="144"/>
      <c r="F37" s="144"/>
      <c r="G37" s="145"/>
      <c r="I37" s="143" t="str">
        <f>IF(J35=FALSE,"-",[1]!RETRIEVE_WEB_DATA_ELEMENT_FUNC(I39,4812))</f>
        <v>-</v>
      </c>
      <c r="J37" s="144"/>
      <c r="K37" s="144"/>
      <c r="L37" s="144"/>
      <c r="M37" s="144"/>
      <c r="N37" s="145"/>
      <c r="P37" s="143" t="str">
        <f>IF(Q35=FALSE,"-",[1]!RETRIEVE_WEB_DATA_ELEMENT_FUNC(P39,4812))</f>
        <v>-</v>
      </c>
      <c r="Q37" s="144"/>
      <c r="R37" s="144"/>
      <c r="S37" s="144"/>
      <c r="T37" s="144"/>
      <c r="U37" s="145"/>
      <c r="W37" s="143" t="str">
        <f>IF(X35=FALSE,"-",[1]!RETRIEVE_WEB_DATA_ELEMENT_FUNC(W39,4812))</f>
        <v>-</v>
      </c>
      <c r="X37" s="144"/>
      <c r="Y37" s="144"/>
      <c r="Z37" s="144"/>
      <c r="AA37" s="144"/>
      <c r="AB37" s="145"/>
      <c r="AD37" s="143" t="str">
        <f>IF(AE35=FALSE,"-",[1]!RETRIEVE_WEB_DATA_ELEMENT_FUNC(AD39,4812))</f>
        <v>-</v>
      </c>
      <c r="AE37" s="144"/>
      <c r="AF37" s="144"/>
      <c r="AG37" s="144"/>
      <c r="AH37" s="144"/>
      <c r="AI37" s="145"/>
    </row>
    <row r="38" spans="2:35" ht="15" customHeight="1" thickBot="1">
      <c r="B38" s="146" t="str">
        <f>IF(C35=FALSE,"-",[1]!RETRIEVE_WEB_DATA_ELEMENT_FUNC(B39,4813))</f>
        <v>-</v>
      </c>
      <c r="C38" s="147"/>
      <c r="D38" s="147"/>
      <c r="E38" s="147"/>
      <c r="F38" s="147"/>
      <c r="G38" s="148"/>
      <c r="I38" s="146" t="str">
        <f>IF(J35=FALSE,"-",[1]!RETRIEVE_WEB_DATA_ELEMENT_FUNC(I39,4813))</f>
        <v>-</v>
      </c>
      <c r="J38" s="147"/>
      <c r="K38" s="147"/>
      <c r="L38" s="147"/>
      <c r="M38" s="147"/>
      <c r="N38" s="148"/>
      <c r="P38" s="146" t="str">
        <f>IF(Q35=FALSE,"-",[1]!RETRIEVE_WEB_DATA_ELEMENT_FUNC(P39,4813))</f>
        <v>-</v>
      </c>
      <c r="Q38" s="147"/>
      <c r="R38" s="147"/>
      <c r="S38" s="147"/>
      <c r="T38" s="147"/>
      <c r="U38" s="148"/>
      <c r="W38" s="146" t="str">
        <f>IF(X35=FALSE,"-",[1]!RETRIEVE_WEB_DATA_ELEMENT_FUNC(W39,4813))</f>
        <v>-</v>
      </c>
      <c r="X38" s="147"/>
      <c r="Y38" s="147"/>
      <c r="Z38" s="147"/>
      <c r="AA38" s="147"/>
      <c r="AB38" s="148"/>
      <c r="AD38" s="146" t="str">
        <f>IF(AE35=FALSE,"-",[1]!RETRIEVE_WEB_DATA_ELEMENT_FUNC(AD39,4813))</f>
        <v>-</v>
      </c>
      <c r="AE38" s="147"/>
      <c r="AF38" s="147"/>
      <c r="AG38" s="147"/>
      <c r="AH38" s="147"/>
      <c r="AI38" s="148"/>
    </row>
    <row r="39" spans="2:35" ht="15" customHeight="1" thickBot="1">
      <c r="B39" s="149" t="s">
        <v>170</v>
      </c>
      <c r="C39" s="150" t="s">
        <v>17</v>
      </c>
      <c r="D39" s="151" t="s">
        <v>16</v>
      </c>
      <c r="E39" s="152" t="s">
        <v>14</v>
      </c>
      <c r="F39" s="152" t="s">
        <v>15</v>
      </c>
      <c r="G39" s="153" t="s">
        <v>13</v>
      </c>
      <c r="I39" s="149" t="s">
        <v>170</v>
      </c>
      <c r="J39" s="150" t="s">
        <v>17</v>
      </c>
      <c r="K39" s="151" t="s">
        <v>16</v>
      </c>
      <c r="L39" s="152" t="s">
        <v>14</v>
      </c>
      <c r="M39" s="152" t="s">
        <v>15</v>
      </c>
      <c r="N39" s="153" t="s">
        <v>13</v>
      </c>
      <c r="P39" s="149" t="s">
        <v>170</v>
      </c>
      <c r="Q39" s="150" t="s">
        <v>17</v>
      </c>
      <c r="R39" s="151" t="s">
        <v>16</v>
      </c>
      <c r="S39" s="152" t="s">
        <v>14</v>
      </c>
      <c r="T39" s="152" t="s">
        <v>15</v>
      </c>
      <c r="U39" s="153" t="s">
        <v>13</v>
      </c>
      <c r="W39" s="149" t="s">
        <v>170</v>
      </c>
      <c r="X39" s="150" t="s">
        <v>17</v>
      </c>
      <c r="Y39" s="151" t="s">
        <v>16</v>
      </c>
      <c r="Z39" s="152" t="s">
        <v>14</v>
      </c>
      <c r="AA39" s="152" t="s">
        <v>15</v>
      </c>
      <c r="AB39" s="153" t="s">
        <v>13</v>
      </c>
      <c r="AD39" s="149" t="s">
        <v>170</v>
      </c>
      <c r="AE39" s="150" t="s">
        <v>17</v>
      </c>
      <c r="AF39" s="151" t="s">
        <v>16</v>
      </c>
      <c r="AG39" s="152" t="s">
        <v>14</v>
      </c>
      <c r="AH39" s="152" t="s">
        <v>15</v>
      </c>
      <c r="AI39" s="153" t="s">
        <v>13</v>
      </c>
    </row>
    <row r="40" spans="2:35" ht="15" customHeight="1">
      <c r="B40" s="314" t="str">
        <f>IF(C35=FALSE,"-","Historical Performance through "&amp;TEXT([1]!RETRIEVE_WEB_DATA_ELEMENT_FUNC(B39,4814),"dd-mm-yyyy"))</f>
        <v>-</v>
      </c>
      <c r="C40" s="154" t="str">
        <f>IF(C35=FALSE,"-",[1]!RETRIEVE_WEB_DATA_ELEMENT_FUNC(B39,4661))</f>
        <v>-</v>
      </c>
      <c r="D40" s="155" t="str">
        <f>IF(C35=FALSE,"-",[1]!RETRIEVE_WEB_DATA_ELEMENT_FUNC(B39,4856))</f>
        <v>-</v>
      </c>
      <c r="E40" s="155" t="str">
        <f>IF(C35=FALSE,"-",[1]!RETRIEVE_WEB_DATA_ELEMENT_FUNC(B39,4872))</f>
        <v>-</v>
      </c>
      <c r="F40" s="155" t="str">
        <f>IF(C35=FALSE,"-",[1]!RETRIEVE_WEB_DATA_ELEMENT_FUNC(B39,4864))</f>
        <v>-</v>
      </c>
      <c r="G40" s="156" t="str">
        <f>IF(C35=FALSE,"-",[1]!RETRIEVE_WEB_DATA_ELEMENT_FUNC(B39,4880))</f>
        <v>-</v>
      </c>
      <c r="I40" s="314" t="str">
        <f>IF(J35=FALSE,"-","Historical Performance through "&amp;TEXT([1]!RETRIEVE_WEB_DATA_ELEMENT_FUNC(I39,4814),"dd-mm-yyyy"))</f>
        <v>-</v>
      </c>
      <c r="J40" s="154" t="str">
        <f>IF(J35=FALSE,"-",[1]!RETRIEVE_WEB_DATA_ELEMENT_FUNC(I39,4661))</f>
        <v>-</v>
      </c>
      <c r="K40" s="155" t="str">
        <f>IF(J35=FALSE,"-",[1]!RETRIEVE_WEB_DATA_ELEMENT_FUNC(I39,4856))</f>
        <v>-</v>
      </c>
      <c r="L40" s="155" t="str">
        <f>IF(J35=FALSE,"-",[1]!RETRIEVE_WEB_DATA_ELEMENT_FUNC(I39,4872))</f>
        <v>-</v>
      </c>
      <c r="M40" s="155" t="str">
        <f>IF(J35=FALSE,"-",[1]!RETRIEVE_WEB_DATA_ELEMENT_FUNC(I39,4864))</f>
        <v>-</v>
      </c>
      <c r="N40" s="156" t="str">
        <f>IF(J35=FALSE,"-",[1]!RETRIEVE_WEB_DATA_ELEMENT_FUNC(I39,4880))</f>
        <v>-</v>
      </c>
      <c r="P40" s="314" t="str">
        <f>IF(Q35=FALSE,"-","Historical Performance through "&amp;TEXT([1]!RETRIEVE_WEB_DATA_ELEMENT_FUNC(P39,4814),"dd-mm-yyyy"))</f>
        <v>-</v>
      </c>
      <c r="Q40" s="154" t="str">
        <f>IF(Q35=FALSE,"-",[1]!RETRIEVE_WEB_DATA_ELEMENT_FUNC(P39,4661))</f>
        <v>-</v>
      </c>
      <c r="R40" s="155" t="str">
        <f>IF(Q35=FALSE,"-",[1]!RETRIEVE_WEB_DATA_ELEMENT_FUNC(P39,4856))</f>
        <v>-</v>
      </c>
      <c r="S40" s="155" t="str">
        <f>IF(Q35=FALSE,"-",[1]!RETRIEVE_WEB_DATA_ELEMENT_FUNC(P39,4872))</f>
        <v>-</v>
      </c>
      <c r="T40" s="155" t="str">
        <f>IF(Q35=FALSE,"-",[1]!RETRIEVE_WEB_DATA_ELEMENT_FUNC(P39,4864))</f>
        <v>-</v>
      </c>
      <c r="U40" s="156" t="str">
        <f>IF(Q35=FALSE,"-",[1]!RETRIEVE_WEB_DATA_ELEMENT_FUNC(P39,4880))</f>
        <v>-</v>
      </c>
      <c r="W40" s="314" t="str">
        <f>IF(X35=FALSE,"-","Historical Performance through "&amp;TEXT([1]!RETRIEVE_WEB_DATA_ELEMENT_FUNC(W39,4814),"dd-mm-yyyy"))</f>
        <v>-</v>
      </c>
      <c r="X40" s="154" t="str">
        <f>IF(X35=FALSE,"-",[1]!RETRIEVE_WEB_DATA_ELEMENT_FUNC(W39,4661))</f>
        <v>-</v>
      </c>
      <c r="Y40" s="155" t="str">
        <f>IF(X35=FALSE,"-",[1]!RETRIEVE_WEB_DATA_ELEMENT_FUNC(W39,4856))</f>
        <v>-</v>
      </c>
      <c r="Z40" s="155" t="str">
        <f>IF(X35=FALSE,"-",[1]!RETRIEVE_WEB_DATA_ELEMENT_FUNC(W39,4872))</f>
        <v>-</v>
      </c>
      <c r="AA40" s="155" t="str">
        <f>IF(X35=FALSE,"-",[1]!RETRIEVE_WEB_DATA_ELEMENT_FUNC(W39,4864))</f>
        <v>-</v>
      </c>
      <c r="AB40" s="156" t="str">
        <f>IF(X35=FALSE,"-",[1]!RETRIEVE_WEB_DATA_ELEMENT_FUNC(W39,4880))</f>
        <v>-</v>
      </c>
      <c r="AD40" s="314" t="str">
        <f>IF(AE35=FALSE,"-","Historical Performance through "&amp;TEXT([1]!RETRIEVE_WEB_DATA_ELEMENT_FUNC(AD39,4814),"dd-mm-yyyy"))</f>
        <v>-</v>
      </c>
      <c r="AE40" s="154" t="str">
        <f>IF(AE35=FALSE,"-",[1]!RETRIEVE_WEB_DATA_ELEMENT_FUNC(AD39,4661))</f>
        <v>-</v>
      </c>
      <c r="AF40" s="155" t="str">
        <f>IF(AE35=FALSE,"-",[1]!RETRIEVE_WEB_DATA_ELEMENT_FUNC(AD39,4856))</f>
        <v>-</v>
      </c>
      <c r="AG40" s="155" t="str">
        <f>IF(AE35=FALSE,"-",[1]!RETRIEVE_WEB_DATA_ELEMENT_FUNC(AD39,4872))</f>
        <v>-</v>
      </c>
      <c r="AH40" s="155" t="str">
        <f>IF(AE35=FALSE,"-",[1]!RETRIEVE_WEB_DATA_ELEMENT_FUNC(AD39,4864))</f>
        <v>-</v>
      </c>
      <c r="AI40" s="156" t="str">
        <f>IF(AE35=FALSE,"-",[1]!RETRIEVE_WEB_DATA_ELEMENT_FUNC(AD39,4880))</f>
        <v>-</v>
      </c>
    </row>
    <row r="41" spans="2:35" ht="15" customHeight="1">
      <c r="B41" s="314"/>
      <c r="C41" s="157" t="str">
        <f>IF(C35=FALSE,"-",[1]!RETRIEVE_WEB_DATA_ELEMENT_FUNC(B39,4662))</f>
        <v>-</v>
      </c>
      <c r="D41" s="155" t="str">
        <f>IF(C35=FALSE,"-",[1]!RETRIEVE_WEB_DATA_ELEMENT_FUNC(B39,4857))</f>
        <v>-</v>
      </c>
      <c r="E41" s="155" t="str">
        <f>IF(C35=FALSE,"-",[1]!RETRIEVE_WEB_DATA_ELEMENT_FUNC(B39,4873))</f>
        <v>-</v>
      </c>
      <c r="F41" s="155" t="str">
        <f>IF(C35=FALSE,"-",[1]!RETRIEVE_WEB_DATA_ELEMENT_FUNC(B39,4865))</f>
        <v>-</v>
      </c>
      <c r="G41" s="156" t="str">
        <f>IF(C35=FALSE,"-",[1]!RETRIEVE_WEB_DATA_ELEMENT_FUNC(B39,4881))</f>
        <v>-</v>
      </c>
      <c r="I41" s="314"/>
      <c r="J41" s="157" t="str">
        <f>IF(J35=FALSE,"-",[1]!RETRIEVE_WEB_DATA_ELEMENT_FUNC(I39,4662))</f>
        <v>-</v>
      </c>
      <c r="K41" s="155" t="str">
        <f>IF(J35=FALSE,"-",[1]!RETRIEVE_WEB_DATA_ELEMENT_FUNC(I39,4857))</f>
        <v>-</v>
      </c>
      <c r="L41" s="155" t="str">
        <f>IF(J35=FALSE,"-",[1]!RETRIEVE_WEB_DATA_ELEMENT_FUNC(I39,4873))</f>
        <v>-</v>
      </c>
      <c r="M41" s="155" t="str">
        <f>IF(J35=FALSE,"-",[1]!RETRIEVE_WEB_DATA_ELEMENT_FUNC(I39,4865))</f>
        <v>-</v>
      </c>
      <c r="N41" s="156" t="str">
        <f>IF(J35=FALSE,"-",[1]!RETRIEVE_WEB_DATA_ELEMENT_FUNC(I39,4881))</f>
        <v>-</v>
      </c>
      <c r="P41" s="314"/>
      <c r="Q41" s="157" t="str">
        <f>IF(Q35=FALSE,"-",[1]!RETRIEVE_WEB_DATA_ELEMENT_FUNC(P39,4662))</f>
        <v>-</v>
      </c>
      <c r="R41" s="155" t="str">
        <f>IF(Q35=FALSE,"-",[1]!RETRIEVE_WEB_DATA_ELEMENT_FUNC(P39,4857))</f>
        <v>-</v>
      </c>
      <c r="S41" s="155" t="str">
        <f>IF(Q35=FALSE,"-",[1]!RETRIEVE_WEB_DATA_ELEMENT_FUNC(P39,4873))</f>
        <v>-</v>
      </c>
      <c r="T41" s="155" t="str">
        <f>IF(Q35=FALSE,"-",[1]!RETRIEVE_WEB_DATA_ELEMENT_FUNC(P39,4865))</f>
        <v>-</v>
      </c>
      <c r="U41" s="156" t="str">
        <f>IF(Q35=FALSE,"-",[1]!RETRIEVE_WEB_DATA_ELEMENT_FUNC(P39,4881))</f>
        <v>-</v>
      </c>
      <c r="W41" s="314"/>
      <c r="X41" s="157" t="str">
        <f>IF(X35=FALSE,"-",[1]!RETRIEVE_WEB_DATA_ELEMENT_FUNC(W39,4662))</f>
        <v>-</v>
      </c>
      <c r="Y41" s="155" t="str">
        <f>IF(X35=FALSE,"-",[1]!RETRIEVE_WEB_DATA_ELEMENT_FUNC(W39,4857))</f>
        <v>-</v>
      </c>
      <c r="Z41" s="155" t="str">
        <f>IF(X35=FALSE,"-",[1]!RETRIEVE_WEB_DATA_ELEMENT_FUNC(W39,4873))</f>
        <v>-</v>
      </c>
      <c r="AA41" s="155" t="str">
        <f>IF(X35=FALSE,"-",[1]!RETRIEVE_WEB_DATA_ELEMENT_FUNC(W39,4865))</f>
        <v>-</v>
      </c>
      <c r="AB41" s="156" t="str">
        <f>IF(X35=FALSE,"-",[1]!RETRIEVE_WEB_DATA_ELEMENT_FUNC(W39,4881))</f>
        <v>-</v>
      </c>
      <c r="AD41" s="314"/>
      <c r="AE41" s="157" t="str">
        <f>IF(AE35=FALSE,"-",[1]!RETRIEVE_WEB_DATA_ELEMENT_FUNC(AD39,4662))</f>
        <v>-</v>
      </c>
      <c r="AF41" s="155" t="str">
        <f>IF(AE35=FALSE,"-",[1]!RETRIEVE_WEB_DATA_ELEMENT_FUNC(AD39,4857))</f>
        <v>-</v>
      </c>
      <c r="AG41" s="155" t="str">
        <f>IF(AE35=FALSE,"-",[1]!RETRIEVE_WEB_DATA_ELEMENT_FUNC(AD39,4873))</f>
        <v>-</v>
      </c>
      <c r="AH41" s="155" t="str">
        <f>IF(AE35=FALSE,"-",[1]!RETRIEVE_WEB_DATA_ELEMENT_FUNC(AD39,4865))</f>
        <v>-</v>
      </c>
      <c r="AI41" s="156" t="str">
        <f>IF(AE35=FALSE,"-",[1]!RETRIEVE_WEB_DATA_ELEMENT_FUNC(AD39,4881))</f>
        <v>-</v>
      </c>
    </row>
    <row r="42" spans="2:35" ht="15" customHeight="1">
      <c r="B42" s="314"/>
      <c r="C42" s="157" t="str">
        <f>IF(C35=FALSE,"-",[1]!RETRIEVE_WEB_DATA_ELEMENT_FUNC(B39,4663))</f>
        <v>-</v>
      </c>
      <c r="D42" s="155" t="str">
        <f>IF(C35=FALSE,"-",[1]!RETRIEVE_WEB_DATA_ELEMENT_FUNC(B39,4858))</f>
        <v>-</v>
      </c>
      <c r="E42" s="155" t="str">
        <f>IF(C35=FALSE,"-",[1]!RETRIEVE_WEB_DATA_ELEMENT_FUNC(B39,4874))</f>
        <v>-</v>
      </c>
      <c r="F42" s="155" t="str">
        <f>IF(C35=FALSE,"-",[1]!RETRIEVE_WEB_DATA_ELEMENT_FUNC(B39,4866))</f>
        <v>-</v>
      </c>
      <c r="G42" s="156" t="str">
        <f>IF(C35=FALSE,"-",[1]!RETRIEVE_WEB_DATA_ELEMENT_FUNC(B39,4882))</f>
        <v>-</v>
      </c>
      <c r="I42" s="314"/>
      <c r="J42" s="157" t="str">
        <f>IF(J35=FALSE,"-",[1]!RETRIEVE_WEB_DATA_ELEMENT_FUNC(I39,4663))</f>
        <v>-</v>
      </c>
      <c r="K42" s="155" t="str">
        <f>IF(J35=FALSE,"-",[1]!RETRIEVE_WEB_DATA_ELEMENT_FUNC(I39,4858))</f>
        <v>-</v>
      </c>
      <c r="L42" s="155" t="str">
        <f>IF(J35=FALSE,"-",[1]!RETRIEVE_WEB_DATA_ELEMENT_FUNC(I39,4874))</f>
        <v>-</v>
      </c>
      <c r="M42" s="155" t="str">
        <f>IF(J35=FALSE,"-",[1]!RETRIEVE_WEB_DATA_ELEMENT_FUNC(I39,4866))</f>
        <v>-</v>
      </c>
      <c r="N42" s="156" t="str">
        <f>IF(J35=FALSE,"-",[1]!RETRIEVE_WEB_DATA_ELEMENT_FUNC(I39,4882))</f>
        <v>-</v>
      </c>
      <c r="P42" s="314"/>
      <c r="Q42" s="157" t="str">
        <f>IF(Q35=FALSE,"-",[1]!RETRIEVE_WEB_DATA_ELEMENT_FUNC(P39,4663))</f>
        <v>-</v>
      </c>
      <c r="R42" s="155" t="str">
        <f>IF(Q35=FALSE,"-",[1]!RETRIEVE_WEB_DATA_ELEMENT_FUNC(P39,4858))</f>
        <v>-</v>
      </c>
      <c r="S42" s="155" t="str">
        <f>IF(Q35=FALSE,"-",[1]!RETRIEVE_WEB_DATA_ELEMENT_FUNC(P39,4874))</f>
        <v>-</v>
      </c>
      <c r="T42" s="155" t="str">
        <f>IF(Q35=FALSE,"-",[1]!RETRIEVE_WEB_DATA_ELEMENT_FUNC(P39,4866))</f>
        <v>-</v>
      </c>
      <c r="U42" s="156" t="str">
        <f>IF(Q35=FALSE,"-",[1]!RETRIEVE_WEB_DATA_ELEMENT_FUNC(P39,4882))</f>
        <v>-</v>
      </c>
      <c r="W42" s="314"/>
      <c r="X42" s="157" t="str">
        <f>IF(X35=FALSE,"-",[1]!RETRIEVE_WEB_DATA_ELEMENT_FUNC(W39,4663))</f>
        <v>-</v>
      </c>
      <c r="Y42" s="155" t="str">
        <f>IF(X35=FALSE,"-",[1]!RETRIEVE_WEB_DATA_ELEMENT_FUNC(W39,4858))</f>
        <v>-</v>
      </c>
      <c r="Z42" s="155" t="str">
        <f>IF(X35=FALSE,"-",[1]!RETRIEVE_WEB_DATA_ELEMENT_FUNC(W39,4874))</f>
        <v>-</v>
      </c>
      <c r="AA42" s="155" t="str">
        <f>IF(X35=FALSE,"-",[1]!RETRIEVE_WEB_DATA_ELEMENT_FUNC(W39,4866))</f>
        <v>-</v>
      </c>
      <c r="AB42" s="156" t="str">
        <f>IF(X35=FALSE,"-",[1]!RETRIEVE_WEB_DATA_ELEMENT_FUNC(W39,4882))</f>
        <v>-</v>
      </c>
      <c r="AD42" s="314"/>
      <c r="AE42" s="157" t="str">
        <f>IF(AE35=FALSE,"-",[1]!RETRIEVE_WEB_DATA_ELEMENT_FUNC(AD39,4663))</f>
        <v>-</v>
      </c>
      <c r="AF42" s="155" t="str">
        <f>IF(AE35=FALSE,"-",[1]!RETRIEVE_WEB_DATA_ELEMENT_FUNC(AD39,4858))</f>
        <v>-</v>
      </c>
      <c r="AG42" s="155" t="str">
        <f>IF(AE35=FALSE,"-",[1]!RETRIEVE_WEB_DATA_ELEMENT_FUNC(AD39,4874))</f>
        <v>-</v>
      </c>
      <c r="AH42" s="155" t="str">
        <f>IF(AE35=FALSE,"-",[1]!RETRIEVE_WEB_DATA_ELEMENT_FUNC(AD39,4866))</f>
        <v>-</v>
      </c>
      <c r="AI42" s="156" t="str">
        <f>IF(AE35=FALSE,"-",[1]!RETRIEVE_WEB_DATA_ELEMENT_FUNC(AD39,4882))</f>
        <v>-</v>
      </c>
    </row>
    <row r="43" spans="2:35" ht="15" customHeight="1">
      <c r="B43" s="314"/>
      <c r="C43" s="157" t="str">
        <f>IF(C35=FALSE,"-",[1]!RETRIEVE_WEB_DATA_ELEMENT_FUNC(B39,4664))</f>
        <v>-</v>
      </c>
      <c r="D43" s="155" t="str">
        <f>IF(C35=FALSE,"-",[1]!RETRIEVE_WEB_DATA_ELEMENT_FUNC(B39,4859))</f>
        <v>-</v>
      </c>
      <c r="E43" s="155" t="str">
        <f>IF(C35=FALSE,"-",[1]!RETRIEVE_WEB_DATA_ELEMENT_FUNC(B39,4875))</f>
        <v>-</v>
      </c>
      <c r="F43" s="155" t="str">
        <f>IF(C35=FALSE,"-",[1]!RETRIEVE_WEB_DATA_ELEMENT_FUNC(B39,4867))</f>
        <v>-</v>
      </c>
      <c r="G43" s="156" t="str">
        <f>IF(C35=FALSE,"-",[1]!RETRIEVE_WEB_DATA_ELEMENT_FUNC(B39,4883))</f>
        <v>-</v>
      </c>
      <c r="I43" s="314"/>
      <c r="J43" s="157" t="str">
        <f>IF(J35=FALSE,"-",[1]!RETRIEVE_WEB_DATA_ELEMENT_FUNC(I39,4664))</f>
        <v>-</v>
      </c>
      <c r="K43" s="155" t="str">
        <f>IF(J35=FALSE,"-",[1]!RETRIEVE_WEB_DATA_ELEMENT_FUNC(I39,4859))</f>
        <v>-</v>
      </c>
      <c r="L43" s="155" t="str">
        <f>IF(J35=FALSE,"-",[1]!RETRIEVE_WEB_DATA_ELEMENT_FUNC(I39,4875))</f>
        <v>-</v>
      </c>
      <c r="M43" s="155" t="str">
        <f>IF(J35=FALSE,"-",[1]!RETRIEVE_WEB_DATA_ELEMENT_FUNC(I39,4867))</f>
        <v>-</v>
      </c>
      <c r="N43" s="156" t="str">
        <f>IF(J35=FALSE,"-",[1]!RETRIEVE_WEB_DATA_ELEMENT_FUNC(I39,4883))</f>
        <v>-</v>
      </c>
      <c r="P43" s="314"/>
      <c r="Q43" s="157" t="str">
        <f>IF(Q35=FALSE,"-",[1]!RETRIEVE_WEB_DATA_ELEMENT_FUNC(P39,4664))</f>
        <v>-</v>
      </c>
      <c r="R43" s="155" t="str">
        <f>IF(Q35=FALSE,"-",[1]!RETRIEVE_WEB_DATA_ELEMENT_FUNC(P39,4859))</f>
        <v>-</v>
      </c>
      <c r="S43" s="155" t="str">
        <f>IF(Q35=FALSE,"-",[1]!RETRIEVE_WEB_DATA_ELEMENT_FUNC(P39,4875))</f>
        <v>-</v>
      </c>
      <c r="T43" s="155" t="str">
        <f>IF(Q35=FALSE,"-",[1]!RETRIEVE_WEB_DATA_ELEMENT_FUNC(P39,4867))</f>
        <v>-</v>
      </c>
      <c r="U43" s="156" t="str">
        <f>IF(Q35=FALSE,"-",[1]!RETRIEVE_WEB_DATA_ELEMENT_FUNC(P39,4883))</f>
        <v>-</v>
      </c>
      <c r="W43" s="314"/>
      <c r="X43" s="157" t="str">
        <f>IF(X35=FALSE,"-",[1]!RETRIEVE_WEB_DATA_ELEMENT_FUNC(W39,4664))</f>
        <v>-</v>
      </c>
      <c r="Y43" s="155" t="str">
        <f>IF(X35=FALSE,"-",[1]!RETRIEVE_WEB_DATA_ELEMENT_FUNC(W39,4859))</f>
        <v>-</v>
      </c>
      <c r="Z43" s="155" t="str">
        <f>IF(X35=FALSE,"-",[1]!RETRIEVE_WEB_DATA_ELEMENT_FUNC(W39,4875))</f>
        <v>-</v>
      </c>
      <c r="AA43" s="155" t="str">
        <f>IF(X35=FALSE,"-",[1]!RETRIEVE_WEB_DATA_ELEMENT_FUNC(W39,4867))</f>
        <v>-</v>
      </c>
      <c r="AB43" s="156" t="str">
        <f>IF(X35=FALSE,"-",[1]!RETRIEVE_WEB_DATA_ELEMENT_FUNC(W39,4883))</f>
        <v>-</v>
      </c>
      <c r="AD43" s="314"/>
      <c r="AE43" s="157" t="str">
        <f>IF(AE35=FALSE,"-",[1]!RETRIEVE_WEB_DATA_ELEMENT_FUNC(AD39,4664))</f>
        <v>-</v>
      </c>
      <c r="AF43" s="155" t="str">
        <f>IF(AE35=FALSE,"-",[1]!RETRIEVE_WEB_DATA_ELEMENT_FUNC(AD39,4859))</f>
        <v>-</v>
      </c>
      <c r="AG43" s="155" t="str">
        <f>IF(AE35=FALSE,"-",[1]!RETRIEVE_WEB_DATA_ELEMENT_FUNC(AD39,4875))</f>
        <v>-</v>
      </c>
      <c r="AH43" s="155" t="str">
        <f>IF(AE35=FALSE,"-",[1]!RETRIEVE_WEB_DATA_ELEMENT_FUNC(AD39,4867))</f>
        <v>-</v>
      </c>
      <c r="AI43" s="156" t="str">
        <f>IF(AE35=FALSE,"-",[1]!RETRIEVE_WEB_DATA_ELEMENT_FUNC(AD39,4883))</f>
        <v>-</v>
      </c>
    </row>
    <row r="44" spans="2:35" ht="15" customHeight="1">
      <c r="B44" s="314"/>
      <c r="C44" s="157" t="str">
        <f>IF(C35=FALSE,"-",[1]!RETRIEVE_WEB_DATA_ELEMENT_FUNC(B39,4665))</f>
        <v>-</v>
      </c>
      <c r="D44" s="155" t="str">
        <f>IF(C35=FALSE,"-",[1]!RETRIEVE_WEB_DATA_ELEMENT_FUNC(B39,4860))</f>
        <v>-</v>
      </c>
      <c r="E44" s="155" t="str">
        <f>IF(C35=FALSE,"-",[1]!RETRIEVE_WEB_DATA_ELEMENT_FUNC(B39,4876))</f>
        <v>-</v>
      </c>
      <c r="F44" s="155" t="str">
        <f>IF(C35=FALSE,"-",[1]!RETRIEVE_WEB_DATA_ELEMENT_FUNC(B39,4868))</f>
        <v>-</v>
      </c>
      <c r="G44" s="156" t="str">
        <f>IF(C35=FALSE,"-",[1]!RETRIEVE_WEB_DATA_ELEMENT_FUNC(B39,4884))</f>
        <v>-</v>
      </c>
      <c r="I44" s="314"/>
      <c r="J44" s="157" t="str">
        <f>IF(J35=FALSE,"-",[1]!RETRIEVE_WEB_DATA_ELEMENT_FUNC(I39,4665))</f>
        <v>-</v>
      </c>
      <c r="K44" s="155" t="str">
        <f>IF(J35=FALSE,"-",[1]!RETRIEVE_WEB_DATA_ELEMENT_FUNC(I39,4860))</f>
        <v>-</v>
      </c>
      <c r="L44" s="155" t="str">
        <f>IF(J35=FALSE,"-",[1]!RETRIEVE_WEB_DATA_ELEMENT_FUNC(I39,4876))</f>
        <v>-</v>
      </c>
      <c r="M44" s="155" t="str">
        <f>IF(J35=FALSE,"-",[1]!RETRIEVE_WEB_DATA_ELEMENT_FUNC(I39,4868))</f>
        <v>-</v>
      </c>
      <c r="N44" s="156" t="str">
        <f>IF(J35=FALSE,"-",[1]!RETRIEVE_WEB_DATA_ELEMENT_FUNC(I39,4884))</f>
        <v>-</v>
      </c>
      <c r="P44" s="314"/>
      <c r="Q44" s="157" t="str">
        <f>IF(Q35=FALSE,"-",[1]!RETRIEVE_WEB_DATA_ELEMENT_FUNC(P39,4665))</f>
        <v>-</v>
      </c>
      <c r="R44" s="155" t="str">
        <f>IF(Q35=FALSE,"-",[1]!RETRIEVE_WEB_DATA_ELEMENT_FUNC(P39,4860))</f>
        <v>-</v>
      </c>
      <c r="S44" s="155" t="str">
        <f>IF(Q35=FALSE,"-",[1]!RETRIEVE_WEB_DATA_ELEMENT_FUNC(P39,4876))</f>
        <v>-</v>
      </c>
      <c r="T44" s="155" t="str">
        <f>IF(Q35=FALSE,"-",[1]!RETRIEVE_WEB_DATA_ELEMENT_FUNC(P39,4868))</f>
        <v>-</v>
      </c>
      <c r="U44" s="156" t="str">
        <f>IF(Q35=FALSE,"-",[1]!RETRIEVE_WEB_DATA_ELEMENT_FUNC(P39,4884))</f>
        <v>-</v>
      </c>
      <c r="W44" s="314"/>
      <c r="X44" s="157" t="str">
        <f>IF(X35=FALSE,"-",[1]!RETRIEVE_WEB_DATA_ELEMENT_FUNC(W39,4665))</f>
        <v>-</v>
      </c>
      <c r="Y44" s="155" t="str">
        <f>IF(X35=FALSE,"-",[1]!RETRIEVE_WEB_DATA_ELEMENT_FUNC(W39,4860))</f>
        <v>-</v>
      </c>
      <c r="Z44" s="155" t="str">
        <f>IF(X35=FALSE,"-",[1]!RETRIEVE_WEB_DATA_ELEMENT_FUNC(W39,4876))</f>
        <v>-</v>
      </c>
      <c r="AA44" s="155" t="str">
        <f>IF(X35=FALSE,"-",[1]!RETRIEVE_WEB_DATA_ELEMENT_FUNC(W39,4868))</f>
        <v>-</v>
      </c>
      <c r="AB44" s="156" t="str">
        <f>IF(X35=FALSE,"-",[1]!RETRIEVE_WEB_DATA_ELEMENT_FUNC(W39,4884))</f>
        <v>-</v>
      </c>
      <c r="AD44" s="314"/>
      <c r="AE44" s="157" t="str">
        <f>IF(AE35=FALSE,"-",[1]!RETRIEVE_WEB_DATA_ELEMENT_FUNC(AD39,4665))</f>
        <v>-</v>
      </c>
      <c r="AF44" s="155" t="str">
        <f>IF(AE35=FALSE,"-",[1]!RETRIEVE_WEB_DATA_ELEMENT_FUNC(AD39,4860))</f>
        <v>-</v>
      </c>
      <c r="AG44" s="155" t="str">
        <f>IF(AE35=FALSE,"-",[1]!RETRIEVE_WEB_DATA_ELEMENT_FUNC(AD39,4876))</f>
        <v>-</v>
      </c>
      <c r="AH44" s="155" t="str">
        <f>IF(AE35=FALSE,"-",[1]!RETRIEVE_WEB_DATA_ELEMENT_FUNC(AD39,4868))</f>
        <v>-</v>
      </c>
      <c r="AI44" s="156" t="str">
        <f>IF(AE35=FALSE,"-",[1]!RETRIEVE_WEB_DATA_ELEMENT_FUNC(AD39,4884))</f>
        <v>-</v>
      </c>
    </row>
    <row r="45" spans="2:35" ht="15" customHeight="1">
      <c r="B45" s="314"/>
      <c r="C45" s="157" t="str">
        <f>IF(C35=FALSE,"-",[1]!RETRIEVE_WEB_DATA_ELEMENT_FUNC(B39,4666))</f>
        <v>-</v>
      </c>
      <c r="D45" s="155" t="str">
        <f>IF(C35=FALSE,"-",[1]!RETRIEVE_WEB_DATA_ELEMENT_FUNC(B39,4861))</f>
        <v>-</v>
      </c>
      <c r="E45" s="155" t="str">
        <f>IF(C35=FALSE,"-",[1]!RETRIEVE_WEB_DATA_ELEMENT_FUNC(B39,4877))</f>
        <v>-</v>
      </c>
      <c r="F45" s="155" t="str">
        <f>IF(C35=FALSE,"-",[1]!RETRIEVE_WEB_DATA_ELEMENT_FUNC(B39,4869))</f>
        <v>-</v>
      </c>
      <c r="G45" s="156" t="str">
        <f>IF(C35=FALSE,"-",[1]!RETRIEVE_WEB_DATA_ELEMENT_FUNC(B39,4885))</f>
        <v>-</v>
      </c>
      <c r="I45" s="314"/>
      <c r="J45" s="157" t="str">
        <f>IF(J35=FALSE,"-",[1]!RETRIEVE_WEB_DATA_ELEMENT_FUNC(I39,4666))</f>
        <v>-</v>
      </c>
      <c r="K45" s="155" t="str">
        <f>IF(J35=FALSE,"-",[1]!RETRIEVE_WEB_DATA_ELEMENT_FUNC(I39,4861))</f>
        <v>-</v>
      </c>
      <c r="L45" s="155" t="str">
        <f>IF(J35=FALSE,"-",[1]!RETRIEVE_WEB_DATA_ELEMENT_FUNC(I39,4877))</f>
        <v>-</v>
      </c>
      <c r="M45" s="155" t="str">
        <f>IF(J35=FALSE,"-",[1]!RETRIEVE_WEB_DATA_ELEMENT_FUNC(I39,4869))</f>
        <v>-</v>
      </c>
      <c r="N45" s="156" t="str">
        <f>IF(J35=FALSE,"-",[1]!RETRIEVE_WEB_DATA_ELEMENT_FUNC(I39,4885))</f>
        <v>-</v>
      </c>
      <c r="P45" s="314"/>
      <c r="Q45" s="157" t="str">
        <f>IF(Q35=FALSE,"-",[1]!RETRIEVE_WEB_DATA_ELEMENT_FUNC(P39,4666))</f>
        <v>-</v>
      </c>
      <c r="R45" s="155" t="str">
        <f>IF(Q35=FALSE,"-",[1]!RETRIEVE_WEB_DATA_ELEMENT_FUNC(P39,4861))</f>
        <v>-</v>
      </c>
      <c r="S45" s="155" t="str">
        <f>IF(Q35=FALSE,"-",[1]!RETRIEVE_WEB_DATA_ELEMENT_FUNC(P39,4877))</f>
        <v>-</v>
      </c>
      <c r="T45" s="155" t="str">
        <f>IF(Q35=FALSE,"-",[1]!RETRIEVE_WEB_DATA_ELEMENT_FUNC(P39,4869))</f>
        <v>-</v>
      </c>
      <c r="U45" s="156" t="str">
        <f>IF(Q35=FALSE,"-",[1]!RETRIEVE_WEB_DATA_ELEMENT_FUNC(P39,4885))</f>
        <v>-</v>
      </c>
      <c r="W45" s="314"/>
      <c r="X45" s="157" t="str">
        <f>IF(X35=FALSE,"-",[1]!RETRIEVE_WEB_DATA_ELEMENT_FUNC(W39,4666))</f>
        <v>-</v>
      </c>
      <c r="Y45" s="155" t="str">
        <f>IF(X35=FALSE,"-",[1]!RETRIEVE_WEB_DATA_ELEMENT_FUNC(W39,4861))</f>
        <v>-</v>
      </c>
      <c r="Z45" s="155" t="str">
        <f>IF(X35=FALSE,"-",[1]!RETRIEVE_WEB_DATA_ELEMENT_FUNC(W39,4877))</f>
        <v>-</v>
      </c>
      <c r="AA45" s="155" t="str">
        <f>IF(X35=FALSE,"-",[1]!RETRIEVE_WEB_DATA_ELEMENT_FUNC(W39,4869))</f>
        <v>-</v>
      </c>
      <c r="AB45" s="156" t="str">
        <f>IF(X35=FALSE,"-",[1]!RETRIEVE_WEB_DATA_ELEMENT_FUNC(W39,4885))</f>
        <v>-</v>
      </c>
      <c r="AD45" s="314"/>
      <c r="AE45" s="157" t="str">
        <f>IF(AE35=FALSE,"-",[1]!RETRIEVE_WEB_DATA_ELEMENT_FUNC(AD39,4666))</f>
        <v>-</v>
      </c>
      <c r="AF45" s="155" t="str">
        <f>IF(AE35=FALSE,"-",[1]!RETRIEVE_WEB_DATA_ELEMENT_FUNC(AD39,4861))</f>
        <v>-</v>
      </c>
      <c r="AG45" s="155" t="str">
        <f>IF(AE35=FALSE,"-",[1]!RETRIEVE_WEB_DATA_ELEMENT_FUNC(AD39,4877))</f>
        <v>-</v>
      </c>
      <c r="AH45" s="155" t="str">
        <f>IF(AE35=FALSE,"-",[1]!RETRIEVE_WEB_DATA_ELEMENT_FUNC(AD39,4869))</f>
        <v>-</v>
      </c>
      <c r="AI45" s="156" t="str">
        <f>IF(AE35=FALSE,"-",[1]!RETRIEVE_WEB_DATA_ELEMENT_FUNC(AD39,4885))</f>
        <v>-</v>
      </c>
    </row>
    <row r="46" spans="2:35" ht="15" customHeight="1">
      <c r="B46" s="314"/>
      <c r="C46" s="157" t="str">
        <f>IF(C35=FALSE,"-",[1]!RETRIEVE_WEB_DATA_ELEMENT_FUNC(B39,4667))</f>
        <v>-</v>
      </c>
      <c r="D46" s="155" t="str">
        <f>IF(C35=FALSE,"-",[1]!RETRIEVE_WEB_DATA_ELEMENT_FUNC(B39,4862))</f>
        <v>-</v>
      </c>
      <c r="E46" s="155" t="str">
        <f>IF(C35=FALSE,"-",[1]!RETRIEVE_WEB_DATA_ELEMENT_FUNC(B39,4878))</f>
        <v>-</v>
      </c>
      <c r="F46" s="155" t="str">
        <f>IF(C35=FALSE,"-",[1]!RETRIEVE_WEB_DATA_ELEMENT_FUNC(B39,4870))</f>
        <v>-</v>
      </c>
      <c r="G46" s="156" t="str">
        <f>IF(C35=FALSE,"-",[1]!RETRIEVE_WEB_DATA_ELEMENT_FUNC(B39,4886))</f>
        <v>-</v>
      </c>
      <c r="I46" s="314"/>
      <c r="J46" s="157" t="str">
        <f>IF(J35=FALSE,"-",[1]!RETRIEVE_WEB_DATA_ELEMENT_FUNC(I39,4667))</f>
        <v>-</v>
      </c>
      <c r="K46" s="155" t="str">
        <f>IF(J35=FALSE,"-",[1]!RETRIEVE_WEB_DATA_ELEMENT_FUNC(I39,4862))</f>
        <v>-</v>
      </c>
      <c r="L46" s="155" t="str">
        <f>IF(J35=FALSE,"-",[1]!RETRIEVE_WEB_DATA_ELEMENT_FUNC(I39,4878))</f>
        <v>-</v>
      </c>
      <c r="M46" s="155" t="str">
        <f>IF(J35=FALSE,"-",[1]!RETRIEVE_WEB_DATA_ELEMENT_FUNC(I39,4870))</f>
        <v>-</v>
      </c>
      <c r="N46" s="156" t="str">
        <f>IF(J35=FALSE,"-",[1]!RETRIEVE_WEB_DATA_ELEMENT_FUNC(I39,4886))</f>
        <v>-</v>
      </c>
      <c r="P46" s="314"/>
      <c r="Q46" s="157" t="str">
        <f>IF(Q35=FALSE,"-",[1]!RETRIEVE_WEB_DATA_ELEMENT_FUNC(P39,4667))</f>
        <v>-</v>
      </c>
      <c r="R46" s="155" t="str">
        <f>IF(Q35=FALSE,"-",[1]!RETRIEVE_WEB_DATA_ELEMENT_FUNC(P39,4862))</f>
        <v>-</v>
      </c>
      <c r="S46" s="155" t="str">
        <f>IF(Q35=FALSE,"-",[1]!RETRIEVE_WEB_DATA_ELEMENT_FUNC(P39,4878))</f>
        <v>-</v>
      </c>
      <c r="T46" s="155" t="str">
        <f>IF(Q35=FALSE,"-",[1]!RETRIEVE_WEB_DATA_ELEMENT_FUNC(P39,4870))</f>
        <v>-</v>
      </c>
      <c r="U46" s="156" t="str">
        <f>IF(Q35=FALSE,"-",[1]!RETRIEVE_WEB_DATA_ELEMENT_FUNC(P39,4886))</f>
        <v>-</v>
      </c>
      <c r="W46" s="314"/>
      <c r="X46" s="157" t="str">
        <f>IF(X35=FALSE,"-",[1]!RETRIEVE_WEB_DATA_ELEMENT_FUNC(W39,4667))</f>
        <v>-</v>
      </c>
      <c r="Y46" s="155" t="str">
        <f>IF(X35=FALSE,"-",[1]!RETRIEVE_WEB_DATA_ELEMENT_FUNC(W39,4862))</f>
        <v>-</v>
      </c>
      <c r="Z46" s="155" t="str">
        <f>IF(X35=FALSE,"-",[1]!RETRIEVE_WEB_DATA_ELEMENT_FUNC(W39,4878))</f>
        <v>-</v>
      </c>
      <c r="AA46" s="155" t="str">
        <f>IF(X35=FALSE,"-",[1]!RETRIEVE_WEB_DATA_ELEMENT_FUNC(W39,4870))</f>
        <v>-</v>
      </c>
      <c r="AB46" s="156" t="str">
        <f>IF(X35=FALSE,"-",[1]!RETRIEVE_WEB_DATA_ELEMENT_FUNC(W39,4886))</f>
        <v>-</v>
      </c>
      <c r="AD46" s="314"/>
      <c r="AE46" s="157" t="str">
        <f>IF(AE35=FALSE,"-",[1]!RETRIEVE_WEB_DATA_ELEMENT_FUNC(AD39,4667))</f>
        <v>-</v>
      </c>
      <c r="AF46" s="155" t="str">
        <f>IF(AE35=FALSE,"-",[1]!RETRIEVE_WEB_DATA_ELEMENT_FUNC(AD39,4862))</f>
        <v>-</v>
      </c>
      <c r="AG46" s="155" t="str">
        <f>IF(AE35=FALSE,"-",[1]!RETRIEVE_WEB_DATA_ELEMENT_FUNC(AD39,4878))</f>
        <v>-</v>
      </c>
      <c r="AH46" s="155" t="str">
        <f>IF(AE35=FALSE,"-",[1]!RETRIEVE_WEB_DATA_ELEMENT_FUNC(AD39,4870))</f>
        <v>-</v>
      </c>
      <c r="AI46" s="156" t="str">
        <f>IF(AE35=FALSE,"-",[1]!RETRIEVE_WEB_DATA_ELEMENT_FUNC(AD39,4886))</f>
        <v>-</v>
      </c>
    </row>
    <row r="47" spans="2:35" ht="15" customHeight="1" thickBot="1">
      <c r="B47" s="315"/>
      <c r="C47" s="158" t="str">
        <f>IF(C35=FALSE,"-",[1]!RETRIEVE_WEB_DATA_ELEMENT_FUNC(B39,4668))</f>
        <v>-</v>
      </c>
      <c r="D47" s="159" t="str">
        <f>IF(C35=FALSE,"-",[1]!RETRIEVE_WEB_DATA_ELEMENT_FUNC(B39,4863))</f>
        <v>-</v>
      </c>
      <c r="E47" s="159" t="str">
        <f>IF(C35=FALSE,"-",[1]!RETRIEVE_WEB_DATA_ELEMENT_FUNC(B39,4879))</f>
        <v>-</v>
      </c>
      <c r="F47" s="159" t="str">
        <f>IF(C35=FALSE,"-",[1]!RETRIEVE_WEB_DATA_ELEMENT_FUNC(B39,4871))</f>
        <v>-</v>
      </c>
      <c r="G47" s="160" t="str">
        <f>IF(C35=FALSE,"-",[1]!RETRIEVE_WEB_DATA_ELEMENT_FUNC(B39,4887))</f>
        <v>-</v>
      </c>
      <c r="I47" s="315"/>
      <c r="J47" s="158" t="str">
        <f>IF(J35=FALSE,"-",[1]!RETRIEVE_WEB_DATA_ELEMENT_FUNC(I39,4668))</f>
        <v>-</v>
      </c>
      <c r="K47" s="159" t="str">
        <f>IF(J35=FALSE,"-",[1]!RETRIEVE_WEB_DATA_ELEMENT_FUNC(I39,4863))</f>
        <v>-</v>
      </c>
      <c r="L47" s="159" t="str">
        <f>IF(J35=FALSE,"-",[1]!RETRIEVE_WEB_DATA_ELEMENT_FUNC(I39,4879))</f>
        <v>-</v>
      </c>
      <c r="M47" s="159" t="str">
        <f>IF(J35=FALSE,"-",[1]!RETRIEVE_WEB_DATA_ELEMENT_FUNC(I39,4871))</f>
        <v>-</v>
      </c>
      <c r="N47" s="160" t="str">
        <f>IF(J35=FALSE,"-",[1]!RETRIEVE_WEB_DATA_ELEMENT_FUNC(I39,4887))</f>
        <v>-</v>
      </c>
      <c r="P47" s="315"/>
      <c r="Q47" s="158" t="str">
        <f>IF(Q35=FALSE,"-",[1]!RETRIEVE_WEB_DATA_ELEMENT_FUNC(P39,4668))</f>
        <v>-</v>
      </c>
      <c r="R47" s="159" t="str">
        <f>IF(Q35=FALSE,"-",[1]!RETRIEVE_WEB_DATA_ELEMENT_FUNC(P39,4863))</f>
        <v>-</v>
      </c>
      <c r="S47" s="159" t="str">
        <f>IF(Q35=FALSE,"-",[1]!RETRIEVE_WEB_DATA_ELEMENT_FUNC(P39,4879))</f>
        <v>-</v>
      </c>
      <c r="T47" s="159" t="str">
        <f>IF(Q35=FALSE,"-",[1]!RETRIEVE_WEB_DATA_ELEMENT_FUNC(P39,4871))</f>
        <v>-</v>
      </c>
      <c r="U47" s="160" t="str">
        <f>IF(Q35=FALSE,"-",[1]!RETRIEVE_WEB_DATA_ELEMENT_FUNC(P39,4887))</f>
        <v>-</v>
      </c>
      <c r="W47" s="315"/>
      <c r="X47" s="158" t="str">
        <f>IF(X35=FALSE,"-",[1]!RETRIEVE_WEB_DATA_ELEMENT_FUNC(W39,4668))</f>
        <v>-</v>
      </c>
      <c r="Y47" s="159" t="str">
        <f>IF(X35=FALSE,"-",[1]!RETRIEVE_WEB_DATA_ELEMENT_FUNC(W39,4863))</f>
        <v>-</v>
      </c>
      <c r="Z47" s="159" t="str">
        <f>IF(X35=FALSE,"-",[1]!RETRIEVE_WEB_DATA_ELEMENT_FUNC(W39,4879))</f>
        <v>-</v>
      </c>
      <c r="AA47" s="159" t="str">
        <f>IF(X35=FALSE,"-",[1]!RETRIEVE_WEB_DATA_ELEMENT_FUNC(W39,4871))</f>
        <v>-</v>
      </c>
      <c r="AB47" s="160" t="str">
        <f>IF(X35=FALSE,"-",[1]!RETRIEVE_WEB_DATA_ELEMENT_FUNC(W39,4887))</f>
        <v>-</v>
      </c>
      <c r="AD47" s="315"/>
      <c r="AE47" s="158" t="str">
        <f>IF(AE35=FALSE,"-",[1]!RETRIEVE_WEB_DATA_ELEMENT_FUNC(AD39,4668))</f>
        <v>-</v>
      </c>
      <c r="AF47" s="159" t="str">
        <f>IF(AE35=FALSE,"-",[1]!RETRIEVE_WEB_DATA_ELEMENT_FUNC(AD39,4863))</f>
        <v>-</v>
      </c>
      <c r="AG47" s="159" t="str">
        <f>IF(AE35=FALSE,"-",[1]!RETRIEVE_WEB_DATA_ELEMENT_FUNC(AD39,4879))</f>
        <v>-</v>
      </c>
      <c r="AH47" s="159" t="str">
        <f>IF(AE35=FALSE,"-",[1]!RETRIEVE_WEB_DATA_ELEMENT_FUNC(AD39,4871))</f>
        <v>-</v>
      </c>
      <c r="AI47" s="160" t="str">
        <f>IF(AE35=FALSE,"-",[1]!RETRIEVE_WEB_DATA_ELEMENT_FUNC(AD39,4887))</f>
        <v>-</v>
      </c>
    </row>
    <row r="48" spans="2:35" ht="15" customHeight="1">
      <c r="B48" s="313" t="str">
        <f>IF(C35=FALSE,"-","Trailing Total Returns "&amp;[1]!RETRIEVE_WEB_DATA_ELEMENT_FUNC(B39,4815))</f>
        <v>-</v>
      </c>
      <c r="C48" s="161" t="str">
        <f>IF(C35=FALSE,"-","1-Day")</f>
        <v>-</v>
      </c>
      <c r="D48" s="162" t="str">
        <f>IF(C35=FALSE,"-",[1]!RETRIEVE_WEB_DATA_ELEMENT_FUNC(B39,4888))</f>
        <v>-</v>
      </c>
      <c r="E48" s="162" t="str">
        <f>IF(C35=FALSE,"-",[1]!RETRIEVE_WEB_DATA_ELEMENT_FUNC(B39,4897))</f>
        <v>-</v>
      </c>
      <c r="F48" s="162" t="str">
        <f>IF(C35=FALSE,"-",[1]!RETRIEVE_WEB_DATA_ELEMENT_FUNC(B39,4906))</f>
        <v>-</v>
      </c>
      <c r="G48" s="163" t="str">
        <f>IF(C35=FALSE,"-",[1]!RETRIEVE_WEB_DATA_ELEMENT_FUNC(B39,4915))</f>
        <v>-</v>
      </c>
      <c r="I48" s="313" t="str">
        <f>IF(J35=FALSE,"-","Trailing Total Returns "&amp;[1]!RETRIEVE_WEB_DATA_ELEMENT_FUNC(I39,4815))</f>
        <v>-</v>
      </c>
      <c r="J48" s="161" t="str">
        <f>IF(J35=FALSE,"-","1-Day")</f>
        <v>-</v>
      </c>
      <c r="K48" s="162" t="str">
        <f>IF(J35=FALSE,"-",[1]!RETRIEVE_WEB_DATA_ELEMENT_FUNC(I39,4888))</f>
        <v>-</v>
      </c>
      <c r="L48" s="162" t="str">
        <f>IF(J35=FALSE,"-",[1]!RETRIEVE_WEB_DATA_ELEMENT_FUNC(I39,4897))</f>
        <v>-</v>
      </c>
      <c r="M48" s="162" t="str">
        <f>IF(J35=FALSE,"-",[1]!RETRIEVE_WEB_DATA_ELEMENT_FUNC(I39,4906))</f>
        <v>-</v>
      </c>
      <c r="N48" s="163" t="str">
        <f>IF(J35=FALSE,"-",[1]!RETRIEVE_WEB_DATA_ELEMENT_FUNC(I39,4915))</f>
        <v>-</v>
      </c>
      <c r="P48" s="313" t="str">
        <f>IF(Q35=FALSE,"-","Trailing Total Returns "&amp;[1]!RETRIEVE_WEB_DATA_ELEMENT_FUNC(P39,4815))</f>
        <v>-</v>
      </c>
      <c r="Q48" s="161" t="str">
        <f>IF(Q35=FALSE,"-","1-Day")</f>
        <v>-</v>
      </c>
      <c r="R48" s="162" t="str">
        <f>IF(Q35=FALSE,"-",[1]!RETRIEVE_WEB_DATA_ELEMENT_FUNC(P39,4888))</f>
        <v>-</v>
      </c>
      <c r="S48" s="162" t="str">
        <f>IF(Q35=FALSE,"-",[1]!RETRIEVE_WEB_DATA_ELEMENT_FUNC(P39,4897))</f>
        <v>-</v>
      </c>
      <c r="T48" s="162" t="str">
        <f>IF(Q35=FALSE,"-",[1]!RETRIEVE_WEB_DATA_ELEMENT_FUNC(P39,4906))</f>
        <v>-</v>
      </c>
      <c r="U48" s="163" t="str">
        <f>IF(Q35=FALSE,"-",[1]!RETRIEVE_WEB_DATA_ELEMENT_FUNC(P39,4915))</f>
        <v>-</v>
      </c>
      <c r="W48" s="313" t="str">
        <f>IF(X35=FALSE,"-","Trailing Total Returns "&amp;[1]!RETRIEVE_WEB_DATA_ELEMENT_FUNC(W39,4815))</f>
        <v>-</v>
      </c>
      <c r="X48" s="161" t="str">
        <f>IF(X35=FALSE,"-","1-Day")</f>
        <v>-</v>
      </c>
      <c r="Y48" s="162" t="str">
        <f>IF(X35=FALSE,"-",[1]!RETRIEVE_WEB_DATA_ELEMENT_FUNC(W39,4888))</f>
        <v>-</v>
      </c>
      <c r="Z48" s="162" t="str">
        <f>IF(X35=FALSE,"-",[1]!RETRIEVE_WEB_DATA_ELEMENT_FUNC(W39,4897))</f>
        <v>-</v>
      </c>
      <c r="AA48" s="162" t="str">
        <f>IF(X35=FALSE,"-",[1]!RETRIEVE_WEB_DATA_ELEMENT_FUNC(W39,4906))</f>
        <v>-</v>
      </c>
      <c r="AB48" s="163" t="str">
        <f>IF(X35=FALSE,"-",[1]!RETRIEVE_WEB_DATA_ELEMENT_FUNC(W39,4915))</f>
        <v>-</v>
      </c>
      <c r="AD48" s="313" t="str">
        <f>IF(AE35=FALSE,"-","Trailing Total Returns "&amp;[1]!RETRIEVE_WEB_DATA_ELEMENT_FUNC(AD39,4815))</f>
        <v>-</v>
      </c>
      <c r="AE48" s="161" t="str">
        <f>IF(AE35=FALSE,"-","1-Day")</f>
        <v>-</v>
      </c>
      <c r="AF48" s="162" t="str">
        <f>IF(AE35=FALSE,"-",[1]!RETRIEVE_WEB_DATA_ELEMENT_FUNC(AD39,4888))</f>
        <v>-</v>
      </c>
      <c r="AG48" s="162" t="str">
        <f>IF(AE35=FALSE,"-",[1]!RETRIEVE_WEB_DATA_ELEMENT_FUNC(AD39,4897))</f>
        <v>-</v>
      </c>
      <c r="AH48" s="162" t="str">
        <f>IF(AE35=FALSE,"-",[1]!RETRIEVE_WEB_DATA_ELEMENT_FUNC(AD39,4906))</f>
        <v>-</v>
      </c>
      <c r="AI48" s="163" t="str">
        <f>IF(AE35=FALSE,"-",[1]!RETRIEVE_WEB_DATA_ELEMENT_FUNC(AD39,4915))</f>
        <v>-</v>
      </c>
    </row>
    <row r="49" spans="2:35" ht="15" customHeight="1">
      <c r="B49" s="314"/>
      <c r="C49" s="157" t="str">
        <f>IF(C35=FALSE,"-","1-Week")</f>
        <v>-</v>
      </c>
      <c r="D49" s="155" t="str">
        <f>IF(C35=FALSE,"-",[1]!RETRIEVE_WEB_DATA_ELEMENT_FUNC(B39,4889))</f>
        <v>-</v>
      </c>
      <c r="E49" s="155" t="str">
        <f>IF(C35=FALSE,"-",[1]!RETRIEVE_WEB_DATA_ELEMENT_FUNC(B39,4898))</f>
        <v>-</v>
      </c>
      <c r="F49" s="155" t="str">
        <f>IF(C35=FALSE,"-",[1]!RETRIEVE_WEB_DATA_ELEMENT_FUNC(B39,4907))</f>
        <v>-</v>
      </c>
      <c r="G49" s="156" t="str">
        <f>IF(C35=FALSE,"-",[1]!RETRIEVE_WEB_DATA_ELEMENT_FUNC(B39,4916))</f>
        <v>-</v>
      </c>
      <c r="I49" s="314"/>
      <c r="J49" s="157" t="str">
        <f>IF(J35=FALSE,"-","1-Week")</f>
        <v>-</v>
      </c>
      <c r="K49" s="155" t="str">
        <f>IF(J35=FALSE,"-",[1]!RETRIEVE_WEB_DATA_ELEMENT_FUNC(I39,4889))</f>
        <v>-</v>
      </c>
      <c r="L49" s="155" t="str">
        <f>IF(J35=FALSE,"-",[1]!RETRIEVE_WEB_DATA_ELEMENT_FUNC(I39,4898))</f>
        <v>-</v>
      </c>
      <c r="M49" s="155" t="str">
        <f>IF(J35=FALSE,"-",[1]!RETRIEVE_WEB_DATA_ELEMENT_FUNC(I39,4907))</f>
        <v>-</v>
      </c>
      <c r="N49" s="156" t="str">
        <f>IF(J35=FALSE,"-",[1]!RETRIEVE_WEB_DATA_ELEMENT_FUNC(I39,4916))</f>
        <v>-</v>
      </c>
      <c r="P49" s="314"/>
      <c r="Q49" s="157" t="str">
        <f>IF(Q35=FALSE,"-","1-Week")</f>
        <v>-</v>
      </c>
      <c r="R49" s="155" t="str">
        <f>IF(Q35=FALSE,"-",[1]!RETRIEVE_WEB_DATA_ELEMENT_FUNC(P39,4889))</f>
        <v>-</v>
      </c>
      <c r="S49" s="155" t="str">
        <f>IF(Q35=FALSE,"-",[1]!RETRIEVE_WEB_DATA_ELEMENT_FUNC(P39,4898))</f>
        <v>-</v>
      </c>
      <c r="T49" s="155" t="str">
        <f>IF(Q35=FALSE,"-",[1]!RETRIEVE_WEB_DATA_ELEMENT_FUNC(P39,4907))</f>
        <v>-</v>
      </c>
      <c r="U49" s="156" t="str">
        <f>IF(Q35=FALSE,"-",[1]!RETRIEVE_WEB_DATA_ELEMENT_FUNC(P39,4916))</f>
        <v>-</v>
      </c>
      <c r="W49" s="314"/>
      <c r="X49" s="157" t="str">
        <f>IF(X35=FALSE,"-","1-Week")</f>
        <v>-</v>
      </c>
      <c r="Y49" s="155" t="str">
        <f>IF(X35=FALSE,"-",[1]!RETRIEVE_WEB_DATA_ELEMENT_FUNC(W39,4889))</f>
        <v>-</v>
      </c>
      <c r="Z49" s="155" t="str">
        <f>IF(X35=FALSE,"-",[1]!RETRIEVE_WEB_DATA_ELEMENT_FUNC(W39,4898))</f>
        <v>-</v>
      </c>
      <c r="AA49" s="155" t="str">
        <f>IF(X35=FALSE,"-",[1]!RETRIEVE_WEB_DATA_ELEMENT_FUNC(W39,4907))</f>
        <v>-</v>
      </c>
      <c r="AB49" s="156" t="str">
        <f>IF(X35=FALSE,"-",[1]!RETRIEVE_WEB_DATA_ELEMENT_FUNC(W39,4916))</f>
        <v>-</v>
      </c>
      <c r="AD49" s="314"/>
      <c r="AE49" s="157" t="str">
        <f>IF(AE35=FALSE,"-","1-Week")</f>
        <v>-</v>
      </c>
      <c r="AF49" s="155" t="str">
        <f>IF(AE35=FALSE,"-",[1]!RETRIEVE_WEB_DATA_ELEMENT_FUNC(AD39,4889))</f>
        <v>-</v>
      </c>
      <c r="AG49" s="155" t="str">
        <f>IF(AE35=FALSE,"-",[1]!RETRIEVE_WEB_DATA_ELEMENT_FUNC(AD39,4898))</f>
        <v>-</v>
      </c>
      <c r="AH49" s="155" t="str">
        <f>IF(AE35=FALSE,"-",[1]!RETRIEVE_WEB_DATA_ELEMENT_FUNC(AD39,4907))</f>
        <v>-</v>
      </c>
      <c r="AI49" s="156" t="str">
        <f>IF(AE35=FALSE,"-",[1]!RETRIEVE_WEB_DATA_ELEMENT_FUNC(AD39,4916))</f>
        <v>-</v>
      </c>
    </row>
    <row r="50" spans="2:35" ht="15" customHeight="1">
      <c r="B50" s="314"/>
      <c r="C50" s="157" t="str">
        <f>IF(C35=FALSE,"-","1-Month")</f>
        <v>-</v>
      </c>
      <c r="D50" s="155" t="str">
        <f>IF(C35=FALSE,"-",[1]!RETRIEVE_WEB_DATA_ELEMENT_FUNC(B39,4890))</f>
        <v>-</v>
      </c>
      <c r="E50" s="155" t="str">
        <f>IF(C35=FALSE,"-",[1]!RETRIEVE_WEB_DATA_ELEMENT_FUNC(B39,4899))</f>
        <v>-</v>
      </c>
      <c r="F50" s="155" t="str">
        <f>IF(C35=FALSE,"-",[1]!RETRIEVE_WEB_DATA_ELEMENT_FUNC(B39,4908))</f>
        <v>-</v>
      </c>
      <c r="G50" s="156" t="str">
        <f>IF(C35=FALSE,"-",[1]!RETRIEVE_WEB_DATA_ELEMENT_FUNC(B39,4917))</f>
        <v>-</v>
      </c>
      <c r="I50" s="314"/>
      <c r="J50" s="157" t="str">
        <f>IF(J35=FALSE,"-","1-Month")</f>
        <v>-</v>
      </c>
      <c r="K50" s="155" t="str">
        <f>IF(J35=FALSE,"-",[1]!RETRIEVE_WEB_DATA_ELEMENT_FUNC(I39,4890))</f>
        <v>-</v>
      </c>
      <c r="L50" s="155" t="str">
        <f>IF(J35=FALSE,"-",[1]!RETRIEVE_WEB_DATA_ELEMENT_FUNC(I39,4899))</f>
        <v>-</v>
      </c>
      <c r="M50" s="155" t="str">
        <f>IF(J35=FALSE,"-",[1]!RETRIEVE_WEB_DATA_ELEMENT_FUNC(I39,4908))</f>
        <v>-</v>
      </c>
      <c r="N50" s="156" t="str">
        <f>IF(J35=FALSE,"-",[1]!RETRIEVE_WEB_DATA_ELEMENT_FUNC(I39,4917))</f>
        <v>-</v>
      </c>
      <c r="P50" s="314"/>
      <c r="Q50" s="157" t="str">
        <f>IF(Q35=FALSE,"-","1-Month")</f>
        <v>-</v>
      </c>
      <c r="R50" s="155" t="str">
        <f>IF(Q35=FALSE,"-",[1]!RETRIEVE_WEB_DATA_ELEMENT_FUNC(P39,4890))</f>
        <v>-</v>
      </c>
      <c r="S50" s="155" t="str">
        <f>IF(Q35=FALSE,"-",[1]!RETRIEVE_WEB_DATA_ELEMENT_FUNC(P39,4899))</f>
        <v>-</v>
      </c>
      <c r="T50" s="155" t="str">
        <f>IF(Q35=FALSE,"-",[1]!RETRIEVE_WEB_DATA_ELEMENT_FUNC(P39,4908))</f>
        <v>-</v>
      </c>
      <c r="U50" s="156" t="str">
        <f>IF(Q35=FALSE,"-",[1]!RETRIEVE_WEB_DATA_ELEMENT_FUNC(P39,4917))</f>
        <v>-</v>
      </c>
      <c r="W50" s="314"/>
      <c r="X50" s="157" t="str">
        <f>IF(X35=FALSE,"-","1-Month")</f>
        <v>-</v>
      </c>
      <c r="Y50" s="155" t="str">
        <f>IF(X35=FALSE,"-",[1]!RETRIEVE_WEB_DATA_ELEMENT_FUNC(W39,4890))</f>
        <v>-</v>
      </c>
      <c r="Z50" s="155" t="str">
        <f>IF(X35=FALSE,"-",[1]!RETRIEVE_WEB_DATA_ELEMENT_FUNC(W39,4899))</f>
        <v>-</v>
      </c>
      <c r="AA50" s="155" t="str">
        <f>IF(X35=FALSE,"-",[1]!RETRIEVE_WEB_DATA_ELEMENT_FUNC(W39,4908))</f>
        <v>-</v>
      </c>
      <c r="AB50" s="156" t="str">
        <f>IF(X35=FALSE,"-",[1]!RETRIEVE_WEB_DATA_ELEMENT_FUNC(W39,4917))</f>
        <v>-</v>
      </c>
      <c r="AD50" s="314"/>
      <c r="AE50" s="157" t="str">
        <f>IF(AE35=FALSE,"-","1-Month")</f>
        <v>-</v>
      </c>
      <c r="AF50" s="155" t="str">
        <f>IF(AE35=FALSE,"-",[1]!RETRIEVE_WEB_DATA_ELEMENT_FUNC(AD39,4890))</f>
        <v>-</v>
      </c>
      <c r="AG50" s="155" t="str">
        <f>IF(AE35=FALSE,"-",[1]!RETRIEVE_WEB_DATA_ELEMENT_FUNC(AD39,4899))</f>
        <v>-</v>
      </c>
      <c r="AH50" s="155" t="str">
        <f>IF(AE35=FALSE,"-",[1]!RETRIEVE_WEB_DATA_ELEMENT_FUNC(AD39,4908))</f>
        <v>-</v>
      </c>
      <c r="AI50" s="156" t="str">
        <f>IF(AE35=FALSE,"-",[1]!RETRIEVE_WEB_DATA_ELEMENT_FUNC(AD39,4917))</f>
        <v>-</v>
      </c>
    </row>
    <row r="51" spans="2:35" ht="15" customHeight="1">
      <c r="B51" s="314"/>
      <c r="C51" s="157" t="str">
        <f>IF(C35=FALSE,"-","3-Month")</f>
        <v>-</v>
      </c>
      <c r="D51" s="155" t="str">
        <f>IF(C35=FALSE,"-",[1]!RETRIEVE_WEB_DATA_ELEMENT_FUNC(B39,4891))</f>
        <v>-</v>
      </c>
      <c r="E51" s="155" t="str">
        <f>IF(C35=FALSE,"-",[1]!RETRIEVE_WEB_DATA_ELEMENT_FUNC(B39,4900))</f>
        <v>-</v>
      </c>
      <c r="F51" s="155" t="str">
        <f>IF(C35=FALSE,"-",[1]!RETRIEVE_WEB_DATA_ELEMENT_FUNC(B39,4909))</f>
        <v>-</v>
      </c>
      <c r="G51" s="156" t="str">
        <f>IF(C35=FALSE,"-",[1]!RETRIEVE_WEB_DATA_ELEMENT_FUNC(B39,4918))</f>
        <v>-</v>
      </c>
      <c r="I51" s="314"/>
      <c r="J51" s="157" t="str">
        <f>IF(J35=FALSE,"-","3-Month")</f>
        <v>-</v>
      </c>
      <c r="K51" s="155" t="str">
        <f>IF(J35=FALSE,"-",[1]!RETRIEVE_WEB_DATA_ELEMENT_FUNC(I39,4891))</f>
        <v>-</v>
      </c>
      <c r="L51" s="155" t="str">
        <f>IF(J35=FALSE,"-",[1]!RETRIEVE_WEB_DATA_ELEMENT_FUNC(I39,4900))</f>
        <v>-</v>
      </c>
      <c r="M51" s="155" t="str">
        <f>IF(J35=FALSE,"-",[1]!RETRIEVE_WEB_DATA_ELEMENT_FUNC(I39,4909))</f>
        <v>-</v>
      </c>
      <c r="N51" s="156" t="str">
        <f>IF(J35=FALSE,"-",[1]!RETRIEVE_WEB_DATA_ELEMENT_FUNC(I39,4918))</f>
        <v>-</v>
      </c>
      <c r="P51" s="314"/>
      <c r="Q51" s="157" t="str">
        <f>IF(Q35=FALSE,"-","3-Month")</f>
        <v>-</v>
      </c>
      <c r="R51" s="155" t="str">
        <f>IF(Q35=FALSE,"-",[1]!RETRIEVE_WEB_DATA_ELEMENT_FUNC(P39,4891))</f>
        <v>-</v>
      </c>
      <c r="S51" s="155" t="str">
        <f>IF(Q35=FALSE,"-",[1]!RETRIEVE_WEB_DATA_ELEMENT_FUNC(P39,4900))</f>
        <v>-</v>
      </c>
      <c r="T51" s="155" t="str">
        <f>IF(Q35=FALSE,"-",[1]!RETRIEVE_WEB_DATA_ELEMENT_FUNC(P39,4909))</f>
        <v>-</v>
      </c>
      <c r="U51" s="156" t="str">
        <f>IF(Q35=FALSE,"-",[1]!RETRIEVE_WEB_DATA_ELEMENT_FUNC(P39,4918))</f>
        <v>-</v>
      </c>
      <c r="W51" s="314"/>
      <c r="X51" s="157" t="str">
        <f>IF(X35=FALSE,"-","3-Month")</f>
        <v>-</v>
      </c>
      <c r="Y51" s="155" t="str">
        <f>IF(X35=FALSE,"-",[1]!RETRIEVE_WEB_DATA_ELEMENT_FUNC(W39,4891))</f>
        <v>-</v>
      </c>
      <c r="Z51" s="155" t="str">
        <f>IF(X35=FALSE,"-",[1]!RETRIEVE_WEB_DATA_ELEMENT_FUNC(W39,4900))</f>
        <v>-</v>
      </c>
      <c r="AA51" s="155" t="str">
        <f>IF(X35=FALSE,"-",[1]!RETRIEVE_WEB_DATA_ELEMENT_FUNC(W39,4909))</f>
        <v>-</v>
      </c>
      <c r="AB51" s="156" t="str">
        <f>IF(X35=FALSE,"-",[1]!RETRIEVE_WEB_DATA_ELEMENT_FUNC(W39,4918))</f>
        <v>-</v>
      </c>
      <c r="AD51" s="314"/>
      <c r="AE51" s="157" t="str">
        <f>IF(AE35=FALSE,"-","3-Month")</f>
        <v>-</v>
      </c>
      <c r="AF51" s="155" t="str">
        <f>IF(AE35=FALSE,"-",[1]!RETRIEVE_WEB_DATA_ELEMENT_FUNC(AD39,4891))</f>
        <v>-</v>
      </c>
      <c r="AG51" s="155" t="str">
        <f>IF(AE35=FALSE,"-",[1]!RETRIEVE_WEB_DATA_ELEMENT_FUNC(AD39,4900))</f>
        <v>-</v>
      </c>
      <c r="AH51" s="155" t="str">
        <f>IF(AE35=FALSE,"-",[1]!RETRIEVE_WEB_DATA_ELEMENT_FUNC(AD39,4909))</f>
        <v>-</v>
      </c>
      <c r="AI51" s="156" t="str">
        <f>IF(AE35=FALSE,"-",[1]!RETRIEVE_WEB_DATA_ELEMENT_FUNC(AD39,4918))</f>
        <v>-</v>
      </c>
    </row>
    <row r="52" spans="2:35" ht="15" customHeight="1">
      <c r="B52" s="314"/>
      <c r="C52" s="157" t="str">
        <f>IF(C35=FALSE,"-","Year-to-date")</f>
        <v>-</v>
      </c>
      <c r="D52" s="155" t="str">
        <f>IF(C35=FALSE,"-",[1]!RETRIEVE_WEB_DATA_ELEMENT_FUNC(B39,4892))</f>
        <v>-</v>
      </c>
      <c r="E52" s="155" t="str">
        <f>IF(C35=FALSE,"-",[1]!RETRIEVE_WEB_DATA_ELEMENT_FUNC(B39,4901))</f>
        <v>-</v>
      </c>
      <c r="F52" s="155" t="str">
        <f>IF(C35=FALSE,"-",[1]!RETRIEVE_WEB_DATA_ELEMENT_FUNC(B39,4910))</f>
        <v>-</v>
      </c>
      <c r="G52" s="156" t="str">
        <f>IF(C35=FALSE,"-",[1]!RETRIEVE_WEB_DATA_ELEMENT_FUNC(B39,4919))</f>
        <v>-</v>
      </c>
      <c r="I52" s="314"/>
      <c r="J52" s="157" t="str">
        <f>IF(J35=FALSE,"-","Year-to-date")</f>
        <v>-</v>
      </c>
      <c r="K52" s="155" t="str">
        <f>IF(J35=FALSE,"-",[1]!RETRIEVE_WEB_DATA_ELEMENT_FUNC(I39,4892))</f>
        <v>-</v>
      </c>
      <c r="L52" s="155" t="str">
        <f>IF(J35=FALSE,"-",[1]!RETRIEVE_WEB_DATA_ELEMENT_FUNC(I39,4901))</f>
        <v>-</v>
      </c>
      <c r="M52" s="155" t="str">
        <f>IF(J35=FALSE,"-",[1]!RETRIEVE_WEB_DATA_ELEMENT_FUNC(I39,4910))</f>
        <v>-</v>
      </c>
      <c r="N52" s="156" t="str">
        <f>IF(J35=FALSE,"-",[1]!RETRIEVE_WEB_DATA_ELEMENT_FUNC(I39,4919))</f>
        <v>-</v>
      </c>
      <c r="P52" s="314"/>
      <c r="Q52" s="157" t="str">
        <f>IF(Q35=FALSE,"-","Year-to-date")</f>
        <v>-</v>
      </c>
      <c r="R52" s="155" t="str">
        <f>IF(Q35=FALSE,"-",[1]!RETRIEVE_WEB_DATA_ELEMENT_FUNC(P39,4892))</f>
        <v>-</v>
      </c>
      <c r="S52" s="155" t="str">
        <f>IF(Q35=FALSE,"-",[1]!RETRIEVE_WEB_DATA_ELEMENT_FUNC(P39,4901))</f>
        <v>-</v>
      </c>
      <c r="T52" s="155" t="str">
        <f>IF(Q35=FALSE,"-",[1]!RETRIEVE_WEB_DATA_ELEMENT_FUNC(P39,4910))</f>
        <v>-</v>
      </c>
      <c r="U52" s="156" t="str">
        <f>IF(Q35=FALSE,"-",[1]!RETRIEVE_WEB_DATA_ELEMENT_FUNC(P39,4919))</f>
        <v>-</v>
      </c>
      <c r="W52" s="314"/>
      <c r="X52" s="157" t="str">
        <f>IF(X35=FALSE,"-","Year-to-date")</f>
        <v>-</v>
      </c>
      <c r="Y52" s="155" t="str">
        <f>IF(X35=FALSE,"-",[1]!RETRIEVE_WEB_DATA_ELEMENT_FUNC(W39,4892))</f>
        <v>-</v>
      </c>
      <c r="Z52" s="155" t="str">
        <f>IF(X35=FALSE,"-",[1]!RETRIEVE_WEB_DATA_ELEMENT_FUNC(W39,4901))</f>
        <v>-</v>
      </c>
      <c r="AA52" s="155" t="str">
        <f>IF(X35=FALSE,"-",[1]!RETRIEVE_WEB_DATA_ELEMENT_FUNC(W39,4910))</f>
        <v>-</v>
      </c>
      <c r="AB52" s="156" t="str">
        <f>IF(X35=FALSE,"-",[1]!RETRIEVE_WEB_DATA_ELEMENT_FUNC(W39,4919))</f>
        <v>-</v>
      </c>
      <c r="AD52" s="314"/>
      <c r="AE52" s="157" t="str">
        <f>IF(AE35=FALSE,"-","Year-to-date")</f>
        <v>-</v>
      </c>
      <c r="AF52" s="155" t="str">
        <f>IF(AE35=FALSE,"-",[1]!RETRIEVE_WEB_DATA_ELEMENT_FUNC(AD39,4892))</f>
        <v>-</v>
      </c>
      <c r="AG52" s="155" t="str">
        <f>IF(AE35=FALSE,"-",[1]!RETRIEVE_WEB_DATA_ELEMENT_FUNC(AD39,4901))</f>
        <v>-</v>
      </c>
      <c r="AH52" s="155" t="str">
        <f>IF(AE35=FALSE,"-",[1]!RETRIEVE_WEB_DATA_ELEMENT_FUNC(AD39,4910))</f>
        <v>-</v>
      </c>
      <c r="AI52" s="156" t="str">
        <f>IF(AE35=FALSE,"-",[1]!RETRIEVE_WEB_DATA_ELEMENT_FUNC(AD39,4919))</f>
        <v>-</v>
      </c>
    </row>
    <row r="53" spans="2:35" ht="15" customHeight="1">
      <c r="B53" s="314"/>
      <c r="C53" s="157" t="str">
        <f>IF(C35=FALSE,"-","1-Year")</f>
        <v>-</v>
      </c>
      <c r="D53" s="155" t="str">
        <f>IF(C35=FALSE,"-",[1]!RETRIEVE_WEB_DATA_ELEMENT_FUNC(B39,4893))</f>
        <v>-</v>
      </c>
      <c r="E53" s="155" t="str">
        <f>IF(C35=FALSE,"-",[1]!RETRIEVE_WEB_DATA_ELEMENT_FUNC(B39,4902))</f>
        <v>-</v>
      </c>
      <c r="F53" s="155" t="str">
        <f>IF(C35=FALSE,"-",[1]!RETRIEVE_WEB_DATA_ELEMENT_FUNC(B39,4911))</f>
        <v>-</v>
      </c>
      <c r="G53" s="156" t="str">
        <f>IF(C35=FALSE,"-",[1]!RETRIEVE_WEB_DATA_ELEMENT_FUNC(B39,4920))</f>
        <v>-</v>
      </c>
      <c r="I53" s="314"/>
      <c r="J53" s="157" t="str">
        <f>IF(J35=FALSE,"-","1-Year")</f>
        <v>-</v>
      </c>
      <c r="K53" s="155" t="str">
        <f>IF(J35=FALSE,"-",[1]!RETRIEVE_WEB_DATA_ELEMENT_FUNC(I39,4893))</f>
        <v>-</v>
      </c>
      <c r="L53" s="155" t="str">
        <f>IF(J35=FALSE,"-",[1]!RETRIEVE_WEB_DATA_ELEMENT_FUNC(I39,4902))</f>
        <v>-</v>
      </c>
      <c r="M53" s="155" t="str">
        <f>IF(J35=FALSE,"-",[1]!RETRIEVE_WEB_DATA_ELEMENT_FUNC(I39,4911))</f>
        <v>-</v>
      </c>
      <c r="N53" s="156" t="str">
        <f>IF(J35=FALSE,"-",[1]!RETRIEVE_WEB_DATA_ELEMENT_FUNC(I39,4920))</f>
        <v>-</v>
      </c>
      <c r="P53" s="314"/>
      <c r="Q53" s="157" t="str">
        <f>IF(Q35=FALSE,"-","1-Year")</f>
        <v>-</v>
      </c>
      <c r="R53" s="155" t="str">
        <f>IF(Q35=FALSE,"-",[1]!RETRIEVE_WEB_DATA_ELEMENT_FUNC(P39,4893))</f>
        <v>-</v>
      </c>
      <c r="S53" s="155" t="str">
        <f>IF(Q35=FALSE,"-",[1]!RETRIEVE_WEB_DATA_ELEMENT_FUNC(P39,4902))</f>
        <v>-</v>
      </c>
      <c r="T53" s="155" t="str">
        <f>IF(Q35=FALSE,"-",[1]!RETRIEVE_WEB_DATA_ELEMENT_FUNC(P39,4911))</f>
        <v>-</v>
      </c>
      <c r="U53" s="156" t="str">
        <f>IF(Q35=FALSE,"-",[1]!RETRIEVE_WEB_DATA_ELEMENT_FUNC(P39,4920))</f>
        <v>-</v>
      </c>
      <c r="W53" s="314"/>
      <c r="X53" s="157" t="str">
        <f>IF(X35=FALSE,"-","1-Year")</f>
        <v>-</v>
      </c>
      <c r="Y53" s="155" t="str">
        <f>IF(X35=FALSE,"-",[1]!RETRIEVE_WEB_DATA_ELEMENT_FUNC(W39,4893))</f>
        <v>-</v>
      </c>
      <c r="Z53" s="155" t="str">
        <f>IF(X35=FALSE,"-",[1]!RETRIEVE_WEB_DATA_ELEMENT_FUNC(W39,4902))</f>
        <v>-</v>
      </c>
      <c r="AA53" s="155" t="str">
        <f>IF(X35=FALSE,"-",[1]!RETRIEVE_WEB_DATA_ELEMENT_FUNC(W39,4911))</f>
        <v>-</v>
      </c>
      <c r="AB53" s="156" t="str">
        <f>IF(X35=FALSE,"-",[1]!RETRIEVE_WEB_DATA_ELEMENT_FUNC(W39,4920))</f>
        <v>-</v>
      </c>
      <c r="AD53" s="314"/>
      <c r="AE53" s="157" t="str">
        <f>IF(AE35=FALSE,"-","1-Year")</f>
        <v>-</v>
      </c>
      <c r="AF53" s="155" t="str">
        <f>IF(AE35=FALSE,"-",[1]!RETRIEVE_WEB_DATA_ELEMENT_FUNC(AD39,4893))</f>
        <v>-</v>
      </c>
      <c r="AG53" s="155" t="str">
        <f>IF(AE35=FALSE,"-",[1]!RETRIEVE_WEB_DATA_ELEMENT_FUNC(AD39,4902))</f>
        <v>-</v>
      </c>
      <c r="AH53" s="155" t="str">
        <f>IF(AE35=FALSE,"-",[1]!RETRIEVE_WEB_DATA_ELEMENT_FUNC(AD39,4911))</f>
        <v>-</v>
      </c>
      <c r="AI53" s="156" t="str">
        <f>IF(AE35=FALSE,"-",[1]!RETRIEVE_WEB_DATA_ELEMENT_FUNC(AD39,4920))</f>
        <v>-</v>
      </c>
    </row>
    <row r="54" spans="2:35" ht="15" customHeight="1">
      <c r="B54" s="314"/>
      <c r="C54" s="157" t="str">
        <f>IF(C35=FALSE,"-","3-Year Annualized")</f>
        <v>-</v>
      </c>
      <c r="D54" s="155" t="str">
        <f>IF(C35=FALSE,"-",[1]!RETRIEVE_WEB_DATA_ELEMENT_FUNC(B39,4894))</f>
        <v>-</v>
      </c>
      <c r="E54" s="155" t="str">
        <f>IF(C35=FALSE,"-",[1]!RETRIEVE_WEB_DATA_ELEMENT_FUNC(B39,4903))</f>
        <v>-</v>
      </c>
      <c r="F54" s="155" t="str">
        <f>IF(C35=FALSE,"-",[1]!RETRIEVE_WEB_DATA_ELEMENT_FUNC(B39,4912))</f>
        <v>-</v>
      </c>
      <c r="G54" s="156" t="str">
        <f>IF(C35=FALSE,"-",[1]!RETRIEVE_WEB_DATA_ELEMENT_FUNC(B39,4921))</f>
        <v>-</v>
      </c>
      <c r="I54" s="314"/>
      <c r="J54" s="157" t="str">
        <f>IF(J35=FALSE,"-","3-Year Annualized")</f>
        <v>-</v>
      </c>
      <c r="K54" s="155" t="str">
        <f>IF(J35=FALSE,"-",[1]!RETRIEVE_WEB_DATA_ELEMENT_FUNC(I39,4894))</f>
        <v>-</v>
      </c>
      <c r="L54" s="155" t="str">
        <f>IF(J35=FALSE,"-",[1]!RETRIEVE_WEB_DATA_ELEMENT_FUNC(I39,4903))</f>
        <v>-</v>
      </c>
      <c r="M54" s="155" t="str">
        <f>IF(J35=FALSE,"-",[1]!RETRIEVE_WEB_DATA_ELEMENT_FUNC(I39,4912))</f>
        <v>-</v>
      </c>
      <c r="N54" s="156" t="str">
        <f>IF(J35=FALSE,"-",[1]!RETRIEVE_WEB_DATA_ELEMENT_FUNC(I39,4921))</f>
        <v>-</v>
      </c>
      <c r="P54" s="314"/>
      <c r="Q54" s="157" t="str">
        <f>IF(Q35=FALSE,"-","3-Year Annualized")</f>
        <v>-</v>
      </c>
      <c r="R54" s="155" t="str">
        <f>IF(Q35=FALSE,"-",[1]!RETRIEVE_WEB_DATA_ELEMENT_FUNC(P39,4894))</f>
        <v>-</v>
      </c>
      <c r="S54" s="155" t="str">
        <f>IF(Q35=FALSE,"-",[1]!RETRIEVE_WEB_DATA_ELEMENT_FUNC(P39,4903))</f>
        <v>-</v>
      </c>
      <c r="T54" s="155" t="str">
        <f>IF(Q35=FALSE,"-",[1]!RETRIEVE_WEB_DATA_ELEMENT_FUNC(P39,4912))</f>
        <v>-</v>
      </c>
      <c r="U54" s="156" t="str">
        <f>IF(Q35=FALSE,"-",[1]!RETRIEVE_WEB_DATA_ELEMENT_FUNC(P39,4921))</f>
        <v>-</v>
      </c>
      <c r="W54" s="314"/>
      <c r="X54" s="157" t="str">
        <f>IF(X35=FALSE,"-","3-Year Annualized")</f>
        <v>-</v>
      </c>
      <c r="Y54" s="155" t="str">
        <f>IF(X35=FALSE,"-",[1]!RETRIEVE_WEB_DATA_ELEMENT_FUNC(W39,4894))</f>
        <v>-</v>
      </c>
      <c r="Z54" s="155" t="str">
        <f>IF(X35=FALSE,"-",[1]!RETRIEVE_WEB_DATA_ELEMENT_FUNC(W39,4903))</f>
        <v>-</v>
      </c>
      <c r="AA54" s="155" t="str">
        <f>IF(X35=FALSE,"-",[1]!RETRIEVE_WEB_DATA_ELEMENT_FUNC(W39,4912))</f>
        <v>-</v>
      </c>
      <c r="AB54" s="156" t="str">
        <f>IF(X35=FALSE,"-",[1]!RETRIEVE_WEB_DATA_ELEMENT_FUNC(W39,4921))</f>
        <v>-</v>
      </c>
      <c r="AD54" s="314"/>
      <c r="AE54" s="157" t="str">
        <f>IF(AE35=FALSE,"-","3-Year Annualized")</f>
        <v>-</v>
      </c>
      <c r="AF54" s="155" t="str">
        <f>IF(AE35=FALSE,"-",[1]!RETRIEVE_WEB_DATA_ELEMENT_FUNC(AD39,4894))</f>
        <v>-</v>
      </c>
      <c r="AG54" s="155" t="str">
        <f>IF(AE35=FALSE,"-",[1]!RETRIEVE_WEB_DATA_ELEMENT_FUNC(AD39,4903))</f>
        <v>-</v>
      </c>
      <c r="AH54" s="155" t="str">
        <f>IF(AE35=FALSE,"-",[1]!RETRIEVE_WEB_DATA_ELEMENT_FUNC(AD39,4912))</f>
        <v>-</v>
      </c>
      <c r="AI54" s="156" t="str">
        <f>IF(AE35=FALSE,"-",[1]!RETRIEVE_WEB_DATA_ELEMENT_FUNC(AD39,4921))</f>
        <v>-</v>
      </c>
    </row>
    <row r="55" spans="2:35" ht="15" customHeight="1">
      <c r="B55" s="314"/>
      <c r="C55" s="157" t="str">
        <f>IF(C35=FALSE,"-","5-Year Annualized")</f>
        <v>-</v>
      </c>
      <c r="D55" s="155" t="str">
        <f>IF(C35=FALSE,"-",[1]!RETRIEVE_WEB_DATA_ELEMENT_FUNC(B39,4895))</f>
        <v>-</v>
      </c>
      <c r="E55" s="155" t="str">
        <f>IF(C35=FALSE,"-",[1]!RETRIEVE_WEB_DATA_ELEMENT_FUNC(B39,4904))</f>
        <v>-</v>
      </c>
      <c r="F55" s="155" t="str">
        <f>IF(C35=FALSE,"-",[1]!RETRIEVE_WEB_DATA_ELEMENT_FUNC(B39,4913))</f>
        <v>-</v>
      </c>
      <c r="G55" s="156" t="str">
        <f>IF(C35=FALSE,"-",[1]!RETRIEVE_WEB_DATA_ELEMENT_FUNC(B39,4922))</f>
        <v>-</v>
      </c>
      <c r="I55" s="314"/>
      <c r="J55" s="157" t="str">
        <f>IF(J35=FALSE,"-","5-Year Annualized")</f>
        <v>-</v>
      </c>
      <c r="K55" s="155" t="str">
        <f>IF(J35=FALSE,"-",[1]!RETRIEVE_WEB_DATA_ELEMENT_FUNC(I39,4895))</f>
        <v>-</v>
      </c>
      <c r="L55" s="155" t="str">
        <f>IF(J35=FALSE,"-",[1]!RETRIEVE_WEB_DATA_ELEMENT_FUNC(I39,4904))</f>
        <v>-</v>
      </c>
      <c r="M55" s="155" t="str">
        <f>IF(J35=FALSE,"-",[1]!RETRIEVE_WEB_DATA_ELEMENT_FUNC(I39,4913))</f>
        <v>-</v>
      </c>
      <c r="N55" s="156" t="str">
        <f>IF(J35=FALSE,"-",[1]!RETRIEVE_WEB_DATA_ELEMENT_FUNC(I39,4922))</f>
        <v>-</v>
      </c>
      <c r="P55" s="314"/>
      <c r="Q55" s="157" t="str">
        <f>IF(Q35=FALSE,"-","5-Year Annualized")</f>
        <v>-</v>
      </c>
      <c r="R55" s="155" t="str">
        <f>IF(Q35=FALSE,"-",[1]!RETRIEVE_WEB_DATA_ELEMENT_FUNC(P39,4895))</f>
        <v>-</v>
      </c>
      <c r="S55" s="155" t="str">
        <f>IF(Q35=FALSE,"-",[1]!RETRIEVE_WEB_DATA_ELEMENT_FUNC(P39,4904))</f>
        <v>-</v>
      </c>
      <c r="T55" s="155" t="str">
        <f>IF(Q35=FALSE,"-",[1]!RETRIEVE_WEB_DATA_ELEMENT_FUNC(P39,4913))</f>
        <v>-</v>
      </c>
      <c r="U55" s="156" t="str">
        <f>IF(Q35=FALSE,"-",[1]!RETRIEVE_WEB_DATA_ELEMENT_FUNC(P39,4922))</f>
        <v>-</v>
      </c>
      <c r="W55" s="314"/>
      <c r="X55" s="157" t="str">
        <f>IF(X35=FALSE,"-","5-Year Annualized")</f>
        <v>-</v>
      </c>
      <c r="Y55" s="155" t="str">
        <f>IF(X35=FALSE,"-",[1]!RETRIEVE_WEB_DATA_ELEMENT_FUNC(W39,4895))</f>
        <v>-</v>
      </c>
      <c r="Z55" s="155" t="str">
        <f>IF(X35=FALSE,"-",[1]!RETRIEVE_WEB_DATA_ELEMENT_FUNC(W39,4904))</f>
        <v>-</v>
      </c>
      <c r="AA55" s="155" t="str">
        <f>IF(X35=FALSE,"-",[1]!RETRIEVE_WEB_DATA_ELEMENT_FUNC(W39,4913))</f>
        <v>-</v>
      </c>
      <c r="AB55" s="156" t="str">
        <f>IF(X35=FALSE,"-",[1]!RETRIEVE_WEB_DATA_ELEMENT_FUNC(W39,4922))</f>
        <v>-</v>
      </c>
      <c r="AD55" s="314"/>
      <c r="AE55" s="157" t="str">
        <f>IF(AE35=FALSE,"-","5-Year Annualized")</f>
        <v>-</v>
      </c>
      <c r="AF55" s="155" t="str">
        <f>IF(AE35=FALSE,"-",[1]!RETRIEVE_WEB_DATA_ELEMENT_FUNC(AD39,4895))</f>
        <v>-</v>
      </c>
      <c r="AG55" s="155" t="str">
        <f>IF(AE35=FALSE,"-",[1]!RETRIEVE_WEB_DATA_ELEMENT_FUNC(AD39,4904))</f>
        <v>-</v>
      </c>
      <c r="AH55" s="155" t="str">
        <f>IF(AE35=FALSE,"-",[1]!RETRIEVE_WEB_DATA_ELEMENT_FUNC(AD39,4913))</f>
        <v>-</v>
      </c>
      <c r="AI55" s="156" t="str">
        <f>IF(AE35=FALSE,"-",[1]!RETRIEVE_WEB_DATA_ELEMENT_FUNC(AD39,4922))</f>
        <v>-</v>
      </c>
    </row>
    <row r="56" spans="2:35" ht="15" customHeight="1" thickBot="1">
      <c r="B56" s="315"/>
      <c r="C56" s="158" t="str">
        <f>IF(C35=FALSE,"-","10-Year Annualized")</f>
        <v>-</v>
      </c>
      <c r="D56" s="159" t="str">
        <f>IF(C35=FALSE,"-",[1]!RETRIEVE_WEB_DATA_ELEMENT_FUNC(B39,4896))</f>
        <v>-</v>
      </c>
      <c r="E56" s="159" t="str">
        <f>IF(C35=FALSE,"-",[1]!RETRIEVE_WEB_DATA_ELEMENT_FUNC(B39,4905))</f>
        <v>-</v>
      </c>
      <c r="F56" s="159" t="str">
        <f>IF(C35=FALSE,"-",[1]!RETRIEVE_WEB_DATA_ELEMENT_FUNC(B39,4914))</f>
        <v>-</v>
      </c>
      <c r="G56" s="160" t="str">
        <f>IF(C35=FALSE,"-",[1]!RETRIEVE_WEB_DATA_ELEMENT_FUNC(B39,4923))</f>
        <v>-</v>
      </c>
      <c r="I56" s="315"/>
      <c r="J56" s="158" t="str">
        <f>IF(J35=FALSE,"-","10-Year Annualized")</f>
        <v>-</v>
      </c>
      <c r="K56" s="159" t="str">
        <f>IF(J35=FALSE,"-",[1]!RETRIEVE_WEB_DATA_ELEMENT_FUNC(I39,4896))</f>
        <v>-</v>
      </c>
      <c r="L56" s="159" t="str">
        <f>IF(J35=FALSE,"-",[1]!RETRIEVE_WEB_DATA_ELEMENT_FUNC(I39,4905))</f>
        <v>-</v>
      </c>
      <c r="M56" s="159" t="str">
        <f>IF(J35=FALSE,"-",[1]!RETRIEVE_WEB_DATA_ELEMENT_FUNC(I39,4914))</f>
        <v>-</v>
      </c>
      <c r="N56" s="160" t="str">
        <f>IF(J35=FALSE,"-",[1]!RETRIEVE_WEB_DATA_ELEMENT_FUNC(I39,4923))</f>
        <v>-</v>
      </c>
      <c r="P56" s="315"/>
      <c r="Q56" s="158" t="str">
        <f>IF(Q35=FALSE,"-","10-Year Annualized")</f>
        <v>-</v>
      </c>
      <c r="R56" s="159" t="str">
        <f>IF(Q35=FALSE,"-",[1]!RETRIEVE_WEB_DATA_ELEMENT_FUNC(P39,4896))</f>
        <v>-</v>
      </c>
      <c r="S56" s="159" t="str">
        <f>IF(Q35=FALSE,"-",[1]!RETRIEVE_WEB_DATA_ELEMENT_FUNC(P39,4905))</f>
        <v>-</v>
      </c>
      <c r="T56" s="159" t="str">
        <f>IF(Q35=FALSE,"-",[1]!RETRIEVE_WEB_DATA_ELEMENT_FUNC(P39,4914))</f>
        <v>-</v>
      </c>
      <c r="U56" s="160" t="str">
        <f>IF(Q35=FALSE,"-",[1]!RETRIEVE_WEB_DATA_ELEMENT_FUNC(P39,4923))</f>
        <v>-</v>
      </c>
      <c r="W56" s="315"/>
      <c r="X56" s="158" t="str">
        <f>IF(X35=FALSE,"-","10-Year Annualized")</f>
        <v>-</v>
      </c>
      <c r="Y56" s="159" t="str">
        <f>IF(X35=FALSE,"-",[1]!RETRIEVE_WEB_DATA_ELEMENT_FUNC(W39,4896))</f>
        <v>-</v>
      </c>
      <c r="Z56" s="159" t="str">
        <f>IF(X35=FALSE,"-",[1]!RETRIEVE_WEB_DATA_ELEMENT_FUNC(W39,4905))</f>
        <v>-</v>
      </c>
      <c r="AA56" s="159" t="str">
        <f>IF(X35=FALSE,"-",[1]!RETRIEVE_WEB_DATA_ELEMENT_FUNC(W39,4914))</f>
        <v>-</v>
      </c>
      <c r="AB56" s="160" t="str">
        <f>IF(X35=FALSE,"-",[1]!RETRIEVE_WEB_DATA_ELEMENT_FUNC(W39,4923))</f>
        <v>-</v>
      </c>
      <c r="AD56" s="315"/>
      <c r="AE56" s="158" t="str">
        <f>IF(AE35=FALSE,"-","10-Year Annualized")</f>
        <v>-</v>
      </c>
      <c r="AF56" s="159" t="str">
        <f>IF(AE35=FALSE,"-",[1]!RETRIEVE_WEB_DATA_ELEMENT_FUNC(AD39,4896))</f>
        <v>-</v>
      </c>
      <c r="AG56" s="159" t="str">
        <f>IF(AE35=FALSE,"-",[1]!RETRIEVE_WEB_DATA_ELEMENT_FUNC(AD39,4905))</f>
        <v>-</v>
      </c>
      <c r="AH56" s="159" t="str">
        <f>IF(AE35=FALSE,"-",[1]!RETRIEVE_WEB_DATA_ELEMENT_FUNC(AD39,4914))</f>
        <v>-</v>
      </c>
      <c r="AI56" s="160" t="str">
        <f>IF(AE35=FALSE,"-",[1]!RETRIEVE_WEB_DATA_ELEMENT_FUNC(AD39,4923))</f>
        <v>-</v>
      </c>
    </row>
    <row r="57" spans="2:35" ht="15" customHeight="1" thickBot="1">
      <c r="B57" s="314" t="str">
        <f>IF(C35=FALSE,"-","Historical Quarterly Returns")</f>
        <v>-</v>
      </c>
      <c r="C57" s="164"/>
      <c r="D57" s="150" t="s">
        <v>12</v>
      </c>
      <c r="E57" s="150" t="s">
        <v>11</v>
      </c>
      <c r="F57" s="150" t="s">
        <v>10</v>
      </c>
      <c r="G57" s="165" t="s">
        <v>9</v>
      </c>
      <c r="I57" s="314" t="str">
        <f>IF(J35=FALSE,"-","Historical Quarterly Returns")</f>
        <v>-</v>
      </c>
      <c r="J57" s="164"/>
      <c r="K57" s="150" t="s">
        <v>12</v>
      </c>
      <c r="L57" s="150" t="s">
        <v>11</v>
      </c>
      <c r="M57" s="150" t="s">
        <v>10</v>
      </c>
      <c r="N57" s="165" t="s">
        <v>9</v>
      </c>
      <c r="P57" s="314" t="str">
        <f>IF(Q35=FALSE,"-","Historical Quarterly Returns")</f>
        <v>-</v>
      </c>
      <c r="Q57" s="164"/>
      <c r="R57" s="150" t="s">
        <v>12</v>
      </c>
      <c r="S57" s="150" t="s">
        <v>11</v>
      </c>
      <c r="T57" s="150" t="s">
        <v>10</v>
      </c>
      <c r="U57" s="165" t="s">
        <v>9</v>
      </c>
      <c r="W57" s="314" t="str">
        <f>IF(X35=FALSE,"-","Historical Quarterly Returns")</f>
        <v>-</v>
      </c>
      <c r="X57" s="164"/>
      <c r="Y57" s="150" t="s">
        <v>12</v>
      </c>
      <c r="Z57" s="150" t="s">
        <v>11</v>
      </c>
      <c r="AA57" s="150" t="s">
        <v>10</v>
      </c>
      <c r="AB57" s="165" t="s">
        <v>9</v>
      </c>
      <c r="AD57" s="314" t="str">
        <f>IF(AE35=FALSE,"-","Historical Quarterly Returns")</f>
        <v>-</v>
      </c>
      <c r="AE57" s="164"/>
      <c r="AF57" s="150" t="s">
        <v>12</v>
      </c>
      <c r="AG57" s="150" t="s">
        <v>11</v>
      </c>
      <c r="AH57" s="150" t="s">
        <v>10</v>
      </c>
      <c r="AI57" s="165" t="s">
        <v>9</v>
      </c>
    </row>
    <row r="58" spans="2:35" ht="15" customHeight="1">
      <c r="B58" s="314"/>
      <c r="C58" s="157" t="str">
        <f>IF(C35=FALSE,"-",[1]!RETRIEVE_WEB_DATA_ELEMENT_FUNC(B39,4816))</f>
        <v>-</v>
      </c>
      <c r="D58" s="166" t="str">
        <f>IF(C35=FALSE,"-",[1]!RETRIEVE_WEB_DATA_ELEMENT_FUNC(B39,4824))</f>
        <v>-</v>
      </c>
      <c r="E58" s="166" t="str">
        <f>IF(C35=FALSE,"-",[1]!RETRIEVE_WEB_DATA_ELEMENT_FUNC(B39,4832))</f>
        <v>-</v>
      </c>
      <c r="F58" s="166" t="str">
        <f>IF(C35=FALSE,"-",[1]!RETRIEVE_WEB_DATA_ELEMENT_FUNC(B39,4840))</f>
        <v>-</v>
      </c>
      <c r="G58" s="167" t="str">
        <f>IF(C35=FALSE,"-",[1]!RETRIEVE_WEB_DATA_ELEMENT_FUNC(B39,4848))</f>
        <v>-</v>
      </c>
      <c r="I58" s="314"/>
      <c r="J58" s="157" t="str">
        <f>IF(J35=FALSE,"-",[1]!RETRIEVE_WEB_DATA_ELEMENT_FUNC(I39,4816))</f>
        <v>-</v>
      </c>
      <c r="K58" s="166" t="str">
        <f>IF(J35=FALSE,"-",[1]!RETRIEVE_WEB_DATA_ELEMENT_FUNC(I39,4824))</f>
        <v>-</v>
      </c>
      <c r="L58" s="166" t="str">
        <f>IF(J35=FALSE,"-",[1]!RETRIEVE_WEB_DATA_ELEMENT_FUNC(I39,4832))</f>
        <v>-</v>
      </c>
      <c r="M58" s="166" t="str">
        <f>IF(J35=FALSE,"-",[1]!RETRIEVE_WEB_DATA_ELEMENT_FUNC(I39,4840))</f>
        <v>-</v>
      </c>
      <c r="N58" s="167" t="str">
        <f>IF(J35=FALSE,"-",[1]!RETRIEVE_WEB_DATA_ELEMENT_FUNC(I39,4848))</f>
        <v>-</v>
      </c>
      <c r="P58" s="314"/>
      <c r="Q58" s="157" t="str">
        <f>IF(Q35=FALSE,"-",[1]!RETRIEVE_WEB_DATA_ELEMENT_FUNC(P39,4816))</f>
        <v>-</v>
      </c>
      <c r="R58" s="166" t="str">
        <f>IF(Q35=FALSE,"-",[1]!RETRIEVE_WEB_DATA_ELEMENT_FUNC(P39,4824))</f>
        <v>-</v>
      </c>
      <c r="S58" s="166" t="str">
        <f>IF(Q35=FALSE,"-",[1]!RETRIEVE_WEB_DATA_ELEMENT_FUNC(P39,4832))</f>
        <v>-</v>
      </c>
      <c r="T58" s="166" t="str">
        <f>IF(Q35=FALSE,"-",[1]!RETRIEVE_WEB_DATA_ELEMENT_FUNC(P39,4840))</f>
        <v>-</v>
      </c>
      <c r="U58" s="167" t="str">
        <f>IF(Q35=FALSE,"-",[1]!RETRIEVE_WEB_DATA_ELEMENT_FUNC(P39,4848))</f>
        <v>-</v>
      </c>
      <c r="W58" s="314"/>
      <c r="X58" s="157" t="str">
        <f>IF(X35=FALSE,"-",[1]!RETRIEVE_WEB_DATA_ELEMENT_FUNC(W39,4816))</f>
        <v>-</v>
      </c>
      <c r="Y58" s="166" t="str">
        <f>IF(X35=FALSE,"-",[1]!RETRIEVE_WEB_DATA_ELEMENT_FUNC(W39,4824))</f>
        <v>-</v>
      </c>
      <c r="Z58" s="166" t="str">
        <f>IF(X35=FALSE,"-",[1]!RETRIEVE_WEB_DATA_ELEMENT_FUNC(W39,4832))</f>
        <v>-</v>
      </c>
      <c r="AA58" s="166" t="str">
        <f>IF(X35=FALSE,"-",[1]!RETRIEVE_WEB_DATA_ELEMENT_FUNC(W39,4840))</f>
        <v>-</v>
      </c>
      <c r="AB58" s="167" t="str">
        <f>IF(X35=FALSE,"-",[1]!RETRIEVE_WEB_DATA_ELEMENT_FUNC(W39,4848))</f>
        <v>-</v>
      </c>
      <c r="AD58" s="314"/>
      <c r="AE58" s="157" t="str">
        <f>IF(AE35=FALSE,"-",[1]!RETRIEVE_WEB_DATA_ELEMENT_FUNC(AD39,4816))</f>
        <v>-</v>
      </c>
      <c r="AF58" s="166" t="str">
        <f>IF(AE35=FALSE,"-",[1]!RETRIEVE_WEB_DATA_ELEMENT_FUNC(AD39,4824))</f>
        <v>-</v>
      </c>
      <c r="AG58" s="166" t="str">
        <f>IF(AE35=FALSE,"-",[1]!RETRIEVE_WEB_DATA_ELEMENT_FUNC(AD39,4832))</f>
        <v>-</v>
      </c>
      <c r="AH58" s="166" t="str">
        <f>IF(AE35=FALSE,"-",[1]!RETRIEVE_WEB_DATA_ELEMENT_FUNC(AD39,4840))</f>
        <v>-</v>
      </c>
      <c r="AI58" s="167" t="str">
        <f>IF(AE35=FALSE,"-",[1]!RETRIEVE_WEB_DATA_ELEMENT_FUNC(AD39,4848))</f>
        <v>-</v>
      </c>
    </row>
    <row r="59" spans="2:35" ht="15" customHeight="1">
      <c r="B59" s="314"/>
      <c r="C59" s="157" t="str">
        <f>IF(C35=FALSE,"-",[1]!RETRIEVE_WEB_DATA_ELEMENT_FUNC(B39,4817))</f>
        <v>-</v>
      </c>
      <c r="D59" s="166" t="str">
        <f>IF(C35=FALSE,"-",[1]!RETRIEVE_WEB_DATA_ELEMENT_FUNC(B39,4825))</f>
        <v>-</v>
      </c>
      <c r="E59" s="166" t="str">
        <f>IF(C35=FALSE,"-",[1]!RETRIEVE_WEB_DATA_ELEMENT_FUNC(B39,4833))</f>
        <v>-</v>
      </c>
      <c r="F59" s="166" t="str">
        <f>IF(C35=FALSE,"-",[1]!RETRIEVE_WEB_DATA_ELEMENT_FUNC(B39,4841))</f>
        <v>-</v>
      </c>
      <c r="G59" s="167" t="str">
        <f>IF(C35=FALSE,"-",[1]!RETRIEVE_WEB_DATA_ELEMENT_FUNC(B39,4849))</f>
        <v>-</v>
      </c>
      <c r="I59" s="314"/>
      <c r="J59" s="157" t="str">
        <f>IF(J35=FALSE,"-",[1]!RETRIEVE_WEB_DATA_ELEMENT_FUNC(I39,4817))</f>
        <v>-</v>
      </c>
      <c r="K59" s="166" t="str">
        <f>IF(J35=FALSE,"-",[1]!RETRIEVE_WEB_DATA_ELEMENT_FUNC(I39,4825))</f>
        <v>-</v>
      </c>
      <c r="L59" s="166" t="str">
        <f>IF(J35=FALSE,"-",[1]!RETRIEVE_WEB_DATA_ELEMENT_FUNC(I39,4833))</f>
        <v>-</v>
      </c>
      <c r="M59" s="166" t="str">
        <f>IF(J35=FALSE,"-",[1]!RETRIEVE_WEB_DATA_ELEMENT_FUNC(I39,4841))</f>
        <v>-</v>
      </c>
      <c r="N59" s="167" t="str">
        <f>IF(J35=FALSE,"-",[1]!RETRIEVE_WEB_DATA_ELEMENT_FUNC(I39,4849))</f>
        <v>-</v>
      </c>
      <c r="P59" s="314"/>
      <c r="Q59" s="157" t="str">
        <f>IF(Q35=FALSE,"-",[1]!RETRIEVE_WEB_DATA_ELEMENT_FUNC(P39,4817))</f>
        <v>-</v>
      </c>
      <c r="R59" s="166" t="str">
        <f>IF(Q35=FALSE,"-",[1]!RETRIEVE_WEB_DATA_ELEMENT_FUNC(P39,4825))</f>
        <v>-</v>
      </c>
      <c r="S59" s="166" t="str">
        <f>IF(Q35=FALSE,"-",[1]!RETRIEVE_WEB_DATA_ELEMENT_FUNC(P39,4833))</f>
        <v>-</v>
      </c>
      <c r="T59" s="166" t="str">
        <f>IF(Q35=FALSE,"-",[1]!RETRIEVE_WEB_DATA_ELEMENT_FUNC(P39,4841))</f>
        <v>-</v>
      </c>
      <c r="U59" s="167" t="str">
        <f>IF(Q35=FALSE,"-",[1]!RETRIEVE_WEB_DATA_ELEMENT_FUNC(P39,4849))</f>
        <v>-</v>
      </c>
      <c r="W59" s="314"/>
      <c r="X59" s="157" t="str">
        <f>IF(X35=FALSE,"-",[1]!RETRIEVE_WEB_DATA_ELEMENT_FUNC(W39,4817))</f>
        <v>-</v>
      </c>
      <c r="Y59" s="166" t="str">
        <f>IF(X35=FALSE,"-",[1]!RETRIEVE_WEB_DATA_ELEMENT_FUNC(W39,4825))</f>
        <v>-</v>
      </c>
      <c r="Z59" s="166" t="str">
        <f>IF(X35=FALSE,"-",[1]!RETRIEVE_WEB_DATA_ELEMENT_FUNC(W39,4833))</f>
        <v>-</v>
      </c>
      <c r="AA59" s="166" t="str">
        <f>IF(X35=FALSE,"-",[1]!RETRIEVE_WEB_DATA_ELEMENT_FUNC(W39,4841))</f>
        <v>-</v>
      </c>
      <c r="AB59" s="167" t="str">
        <f>IF(X35=FALSE,"-",[1]!RETRIEVE_WEB_DATA_ELEMENT_FUNC(W39,4849))</f>
        <v>-</v>
      </c>
      <c r="AD59" s="314"/>
      <c r="AE59" s="157" t="str">
        <f>IF(AE35=FALSE,"-",[1]!RETRIEVE_WEB_DATA_ELEMENT_FUNC(AD39,4817))</f>
        <v>-</v>
      </c>
      <c r="AF59" s="166" t="str">
        <f>IF(AE35=FALSE,"-",[1]!RETRIEVE_WEB_DATA_ELEMENT_FUNC(AD39,4825))</f>
        <v>-</v>
      </c>
      <c r="AG59" s="166" t="str">
        <f>IF(AE35=FALSE,"-",[1]!RETRIEVE_WEB_DATA_ELEMENT_FUNC(AD39,4833))</f>
        <v>-</v>
      </c>
      <c r="AH59" s="166" t="str">
        <f>IF(AE35=FALSE,"-",[1]!RETRIEVE_WEB_DATA_ELEMENT_FUNC(AD39,4841))</f>
        <v>-</v>
      </c>
      <c r="AI59" s="167" t="str">
        <f>IF(AE35=FALSE,"-",[1]!RETRIEVE_WEB_DATA_ELEMENT_FUNC(AD39,4849))</f>
        <v>-</v>
      </c>
    </row>
    <row r="60" spans="2:35" ht="15" customHeight="1">
      <c r="B60" s="314"/>
      <c r="C60" s="157" t="str">
        <f>IF(C35=FALSE,"-",[1]!RETRIEVE_WEB_DATA_ELEMENT_FUNC(B39,4818))</f>
        <v>-</v>
      </c>
      <c r="D60" s="166" t="str">
        <f>IF(C35=FALSE,"-",[1]!RETRIEVE_WEB_DATA_ELEMENT_FUNC(B39,4826))</f>
        <v>-</v>
      </c>
      <c r="E60" s="166" t="str">
        <f>IF(C35=FALSE,"-",[1]!RETRIEVE_WEB_DATA_ELEMENT_FUNC(B39,4834))</f>
        <v>-</v>
      </c>
      <c r="F60" s="166" t="str">
        <f>IF(C35=FALSE,"-",[1]!RETRIEVE_WEB_DATA_ELEMENT_FUNC(B39,4842))</f>
        <v>-</v>
      </c>
      <c r="G60" s="167" t="str">
        <f>IF(C35=FALSE,"-",[1]!RETRIEVE_WEB_DATA_ELEMENT_FUNC(B39,4850))</f>
        <v>-</v>
      </c>
      <c r="I60" s="314"/>
      <c r="J60" s="157" t="str">
        <f>IF(J35=FALSE,"-",[1]!RETRIEVE_WEB_DATA_ELEMENT_FUNC(I39,4818))</f>
        <v>-</v>
      </c>
      <c r="K60" s="166" t="str">
        <f>IF(J35=FALSE,"-",[1]!RETRIEVE_WEB_DATA_ELEMENT_FUNC(I39,4826))</f>
        <v>-</v>
      </c>
      <c r="L60" s="166" t="str">
        <f>IF(J35=FALSE,"-",[1]!RETRIEVE_WEB_DATA_ELEMENT_FUNC(I39,4834))</f>
        <v>-</v>
      </c>
      <c r="M60" s="166" t="str">
        <f>IF(J35=FALSE,"-",[1]!RETRIEVE_WEB_DATA_ELEMENT_FUNC(I39,4842))</f>
        <v>-</v>
      </c>
      <c r="N60" s="167" t="str">
        <f>IF(J35=FALSE,"-",[1]!RETRIEVE_WEB_DATA_ELEMENT_FUNC(I39,4850))</f>
        <v>-</v>
      </c>
      <c r="P60" s="314"/>
      <c r="Q60" s="157" t="str">
        <f>IF(Q35=FALSE,"-",[1]!RETRIEVE_WEB_DATA_ELEMENT_FUNC(P39,4818))</f>
        <v>-</v>
      </c>
      <c r="R60" s="166" t="str">
        <f>IF(Q35=FALSE,"-",[1]!RETRIEVE_WEB_DATA_ELEMENT_FUNC(P39,4826))</f>
        <v>-</v>
      </c>
      <c r="S60" s="166" t="str">
        <f>IF(Q35=FALSE,"-",[1]!RETRIEVE_WEB_DATA_ELEMENT_FUNC(P39,4834))</f>
        <v>-</v>
      </c>
      <c r="T60" s="166" t="str">
        <f>IF(Q35=FALSE,"-",[1]!RETRIEVE_WEB_DATA_ELEMENT_FUNC(P39,4842))</f>
        <v>-</v>
      </c>
      <c r="U60" s="167" t="str">
        <f>IF(Q35=FALSE,"-",[1]!RETRIEVE_WEB_DATA_ELEMENT_FUNC(P39,4850))</f>
        <v>-</v>
      </c>
      <c r="W60" s="314"/>
      <c r="X60" s="157" t="str">
        <f>IF(X35=FALSE,"-",[1]!RETRIEVE_WEB_DATA_ELEMENT_FUNC(W39,4818))</f>
        <v>-</v>
      </c>
      <c r="Y60" s="166" t="str">
        <f>IF(X35=FALSE,"-",[1]!RETRIEVE_WEB_DATA_ELEMENT_FUNC(W39,4826))</f>
        <v>-</v>
      </c>
      <c r="Z60" s="166" t="str">
        <f>IF(X35=FALSE,"-",[1]!RETRIEVE_WEB_DATA_ELEMENT_FUNC(W39,4834))</f>
        <v>-</v>
      </c>
      <c r="AA60" s="166" t="str">
        <f>IF(X35=FALSE,"-",[1]!RETRIEVE_WEB_DATA_ELEMENT_FUNC(W39,4842))</f>
        <v>-</v>
      </c>
      <c r="AB60" s="167" t="str">
        <f>IF(X35=FALSE,"-",[1]!RETRIEVE_WEB_DATA_ELEMENT_FUNC(W39,4850))</f>
        <v>-</v>
      </c>
      <c r="AD60" s="314"/>
      <c r="AE60" s="157" t="str">
        <f>IF(AE35=FALSE,"-",[1]!RETRIEVE_WEB_DATA_ELEMENT_FUNC(AD39,4818))</f>
        <v>-</v>
      </c>
      <c r="AF60" s="166" t="str">
        <f>IF(AE35=FALSE,"-",[1]!RETRIEVE_WEB_DATA_ELEMENT_FUNC(AD39,4826))</f>
        <v>-</v>
      </c>
      <c r="AG60" s="166" t="str">
        <f>IF(AE35=FALSE,"-",[1]!RETRIEVE_WEB_DATA_ELEMENT_FUNC(AD39,4834))</f>
        <v>-</v>
      </c>
      <c r="AH60" s="166" t="str">
        <f>IF(AE35=FALSE,"-",[1]!RETRIEVE_WEB_DATA_ELEMENT_FUNC(AD39,4842))</f>
        <v>-</v>
      </c>
      <c r="AI60" s="167" t="str">
        <f>IF(AE35=FALSE,"-",[1]!RETRIEVE_WEB_DATA_ELEMENT_FUNC(AD39,4850))</f>
        <v>-</v>
      </c>
    </row>
    <row r="61" spans="2:35" ht="15" customHeight="1">
      <c r="B61" s="314"/>
      <c r="C61" s="157" t="str">
        <f>IF(C35=FALSE,"-",[1]!RETRIEVE_WEB_DATA_ELEMENT_FUNC(B39,4819))</f>
        <v>-</v>
      </c>
      <c r="D61" s="166" t="str">
        <f>IF(C35=FALSE,"-",[1]!RETRIEVE_WEB_DATA_ELEMENT_FUNC(B39,4827))</f>
        <v>-</v>
      </c>
      <c r="E61" s="166" t="str">
        <f>IF(C35=FALSE,"-",[1]!RETRIEVE_WEB_DATA_ELEMENT_FUNC(B39,4835))</f>
        <v>-</v>
      </c>
      <c r="F61" s="166" t="str">
        <f>IF(C35=FALSE,"-",[1]!RETRIEVE_WEB_DATA_ELEMENT_FUNC(B39,4843))</f>
        <v>-</v>
      </c>
      <c r="G61" s="167" t="str">
        <f>IF(C35=FALSE,"-",[1]!RETRIEVE_WEB_DATA_ELEMENT_FUNC(B39,4851))</f>
        <v>-</v>
      </c>
      <c r="I61" s="314"/>
      <c r="J61" s="157" t="str">
        <f>IF(J35=FALSE,"-",[1]!RETRIEVE_WEB_DATA_ELEMENT_FUNC(I39,4819))</f>
        <v>-</v>
      </c>
      <c r="K61" s="166" t="str">
        <f>IF(J35=FALSE,"-",[1]!RETRIEVE_WEB_DATA_ELEMENT_FUNC(I39,4827))</f>
        <v>-</v>
      </c>
      <c r="L61" s="166" t="str">
        <f>IF(J35=FALSE,"-",[1]!RETRIEVE_WEB_DATA_ELEMENT_FUNC(I39,4835))</f>
        <v>-</v>
      </c>
      <c r="M61" s="166" t="str">
        <f>IF(J35=FALSE,"-",[1]!RETRIEVE_WEB_DATA_ELEMENT_FUNC(I39,4843))</f>
        <v>-</v>
      </c>
      <c r="N61" s="167" t="str">
        <f>IF(J35=FALSE,"-",[1]!RETRIEVE_WEB_DATA_ELEMENT_FUNC(I39,4851))</f>
        <v>-</v>
      </c>
      <c r="P61" s="314"/>
      <c r="Q61" s="157" t="str">
        <f>IF(Q35=FALSE,"-",[1]!RETRIEVE_WEB_DATA_ELEMENT_FUNC(P39,4819))</f>
        <v>-</v>
      </c>
      <c r="R61" s="166" t="str">
        <f>IF(Q35=FALSE,"-",[1]!RETRIEVE_WEB_DATA_ELEMENT_FUNC(P39,4827))</f>
        <v>-</v>
      </c>
      <c r="S61" s="166" t="str">
        <f>IF(Q35=FALSE,"-",[1]!RETRIEVE_WEB_DATA_ELEMENT_FUNC(P39,4835))</f>
        <v>-</v>
      </c>
      <c r="T61" s="166" t="str">
        <f>IF(Q35=FALSE,"-",[1]!RETRIEVE_WEB_DATA_ELEMENT_FUNC(P39,4843))</f>
        <v>-</v>
      </c>
      <c r="U61" s="167" t="str">
        <f>IF(Q35=FALSE,"-",[1]!RETRIEVE_WEB_DATA_ELEMENT_FUNC(P39,4851))</f>
        <v>-</v>
      </c>
      <c r="W61" s="314"/>
      <c r="X61" s="157" t="str">
        <f>IF(X35=FALSE,"-",[1]!RETRIEVE_WEB_DATA_ELEMENT_FUNC(W39,4819))</f>
        <v>-</v>
      </c>
      <c r="Y61" s="166" t="str">
        <f>IF(X35=FALSE,"-",[1]!RETRIEVE_WEB_DATA_ELEMENT_FUNC(W39,4827))</f>
        <v>-</v>
      </c>
      <c r="Z61" s="166" t="str">
        <f>IF(X35=FALSE,"-",[1]!RETRIEVE_WEB_DATA_ELEMENT_FUNC(W39,4835))</f>
        <v>-</v>
      </c>
      <c r="AA61" s="166" t="str">
        <f>IF(X35=FALSE,"-",[1]!RETRIEVE_WEB_DATA_ELEMENT_FUNC(W39,4843))</f>
        <v>-</v>
      </c>
      <c r="AB61" s="167" t="str">
        <f>IF(X35=FALSE,"-",[1]!RETRIEVE_WEB_DATA_ELEMENT_FUNC(W39,4851))</f>
        <v>-</v>
      </c>
      <c r="AD61" s="314"/>
      <c r="AE61" s="157" t="str">
        <f>IF(AE35=FALSE,"-",[1]!RETRIEVE_WEB_DATA_ELEMENT_FUNC(AD39,4819))</f>
        <v>-</v>
      </c>
      <c r="AF61" s="166" t="str">
        <f>IF(AE35=FALSE,"-",[1]!RETRIEVE_WEB_DATA_ELEMENT_FUNC(AD39,4827))</f>
        <v>-</v>
      </c>
      <c r="AG61" s="166" t="str">
        <f>IF(AE35=FALSE,"-",[1]!RETRIEVE_WEB_DATA_ELEMENT_FUNC(AD39,4835))</f>
        <v>-</v>
      </c>
      <c r="AH61" s="166" t="str">
        <f>IF(AE35=FALSE,"-",[1]!RETRIEVE_WEB_DATA_ELEMENT_FUNC(AD39,4843))</f>
        <v>-</v>
      </c>
      <c r="AI61" s="167" t="str">
        <f>IF(AE35=FALSE,"-",[1]!RETRIEVE_WEB_DATA_ELEMENT_FUNC(AD39,4851))</f>
        <v>-</v>
      </c>
    </row>
    <row r="62" spans="2:35" ht="15" customHeight="1">
      <c r="B62" s="314"/>
      <c r="C62" s="157" t="str">
        <f>IF(C35=FALSE,"-",[1]!RETRIEVE_WEB_DATA_ELEMENT_FUNC(B39,4820))</f>
        <v>-</v>
      </c>
      <c r="D62" s="166" t="str">
        <f>IF(C35=FALSE,"-",[1]!RETRIEVE_WEB_DATA_ELEMENT_FUNC(B39,4828))</f>
        <v>-</v>
      </c>
      <c r="E62" s="166" t="str">
        <f>IF(C35=FALSE,"-",[1]!RETRIEVE_WEB_DATA_ELEMENT_FUNC(B39,4836))</f>
        <v>-</v>
      </c>
      <c r="F62" s="166" t="str">
        <f>IF(C35=FALSE,"-",[1]!RETRIEVE_WEB_DATA_ELEMENT_FUNC(B39,4844))</f>
        <v>-</v>
      </c>
      <c r="G62" s="167" t="str">
        <f>IF(C35=FALSE,"-",[1]!RETRIEVE_WEB_DATA_ELEMENT_FUNC(B39,4852))</f>
        <v>-</v>
      </c>
      <c r="I62" s="314"/>
      <c r="J62" s="157" t="str">
        <f>IF(J35=FALSE,"-",[1]!RETRIEVE_WEB_DATA_ELEMENT_FUNC(I39,4820))</f>
        <v>-</v>
      </c>
      <c r="K62" s="166" t="str">
        <f>IF(J35=FALSE,"-",[1]!RETRIEVE_WEB_DATA_ELEMENT_FUNC(I39,4828))</f>
        <v>-</v>
      </c>
      <c r="L62" s="166" t="str">
        <f>IF(J35=FALSE,"-",[1]!RETRIEVE_WEB_DATA_ELEMENT_FUNC(I39,4836))</f>
        <v>-</v>
      </c>
      <c r="M62" s="166" t="str">
        <f>IF(J35=FALSE,"-",[1]!RETRIEVE_WEB_DATA_ELEMENT_FUNC(I39,4844))</f>
        <v>-</v>
      </c>
      <c r="N62" s="167" t="str">
        <f>IF(J35=FALSE,"-",[1]!RETRIEVE_WEB_DATA_ELEMENT_FUNC(I39,4852))</f>
        <v>-</v>
      </c>
      <c r="P62" s="314"/>
      <c r="Q62" s="157" t="str">
        <f>IF(Q35=FALSE,"-",[1]!RETRIEVE_WEB_DATA_ELEMENT_FUNC(P39,4820))</f>
        <v>-</v>
      </c>
      <c r="R62" s="166" t="str">
        <f>IF(Q35=FALSE,"-",[1]!RETRIEVE_WEB_DATA_ELEMENT_FUNC(P39,4828))</f>
        <v>-</v>
      </c>
      <c r="S62" s="166" t="str">
        <f>IF(Q35=FALSE,"-",[1]!RETRIEVE_WEB_DATA_ELEMENT_FUNC(P39,4836))</f>
        <v>-</v>
      </c>
      <c r="T62" s="166" t="str">
        <f>IF(Q35=FALSE,"-",[1]!RETRIEVE_WEB_DATA_ELEMENT_FUNC(P39,4844))</f>
        <v>-</v>
      </c>
      <c r="U62" s="167" t="str">
        <f>IF(Q35=FALSE,"-",[1]!RETRIEVE_WEB_DATA_ELEMENT_FUNC(P39,4852))</f>
        <v>-</v>
      </c>
      <c r="W62" s="314"/>
      <c r="X62" s="157" t="str">
        <f>IF(X35=FALSE,"-",[1]!RETRIEVE_WEB_DATA_ELEMENT_FUNC(W39,4820))</f>
        <v>-</v>
      </c>
      <c r="Y62" s="166" t="str">
        <f>IF(X35=FALSE,"-",[1]!RETRIEVE_WEB_DATA_ELEMENT_FUNC(W39,4828))</f>
        <v>-</v>
      </c>
      <c r="Z62" s="166" t="str">
        <f>IF(X35=FALSE,"-",[1]!RETRIEVE_WEB_DATA_ELEMENT_FUNC(W39,4836))</f>
        <v>-</v>
      </c>
      <c r="AA62" s="166" t="str">
        <f>IF(X35=FALSE,"-",[1]!RETRIEVE_WEB_DATA_ELEMENT_FUNC(W39,4844))</f>
        <v>-</v>
      </c>
      <c r="AB62" s="167" t="str">
        <f>IF(X35=FALSE,"-",[1]!RETRIEVE_WEB_DATA_ELEMENT_FUNC(W39,4852))</f>
        <v>-</v>
      </c>
      <c r="AD62" s="314"/>
      <c r="AE62" s="157" t="str">
        <f>IF(AE35=FALSE,"-",[1]!RETRIEVE_WEB_DATA_ELEMENT_FUNC(AD39,4820))</f>
        <v>-</v>
      </c>
      <c r="AF62" s="166" t="str">
        <f>IF(AE35=FALSE,"-",[1]!RETRIEVE_WEB_DATA_ELEMENT_FUNC(AD39,4828))</f>
        <v>-</v>
      </c>
      <c r="AG62" s="166" t="str">
        <f>IF(AE35=FALSE,"-",[1]!RETRIEVE_WEB_DATA_ELEMENT_FUNC(AD39,4836))</f>
        <v>-</v>
      </c>
      <c r="AH62" s="166" t="str">
        <f>IF(AE35=FALSE,"-",[1]!RETRIEVE_WEB_DATA_ELEMENT_FUNC(AD39,4844))</f>
        <v>-</v>
      </c>
      <c r="AI62" s="167" t="str">
        <f>IF(AE35=FALSE,"-",[1]!RETRIEVE_WEB_DATA_ELEMENT_FUNC(AD39,4852))</f>
        <v>-</v>
      </c>
    </row>
    <row r="63" spans="2:35" ht="15" customHeight="1">
      <c r="B63" s="314"/>
      <c r="C63" s="157" t="str">
        <f>IF(C35=FALSE,"-",[1]!RETRIEVE_WEB_DATA_ELEMENT_FUNC(B39,4821))</f>
        <v>-</v>
      </c>
      <c r="D63" s="166" t="str">
        <f>IF(C35=FALSE,"-",[1]!RETRIEVE_WEB_DATA_ELEMENT_FUNC(B39,4829))</f>
        <v>-</v>
      </c>
      <c r="E63" s="166" t="str">
        <f>IF(C35=FALSE,"-",[1]!RETRIEVE_WEB_DATA_ELEMENT_FUNC(B39,4837))</f>
        <v>-</v>
      </c>
      <c r="F63" s="166" t="str">
        <f>IF(C35=FALSE,"-",[1]!RETRIEVE_WEB_DATA_ELEMENT_FUNC(B39,4845))</f>
        <v>-</v>
      </c>
      <c r="G63" s="167" t="str">
        <f>IF(C35=FALSE,"-",[1]!RETRIEVE_WEB_DATA_ELEMENT_FUNC(B39,4853))</f>
        <v>-</v>
      </c>
      <c r="I63" s="314"/>
      <c r="J63" s="157" t="str">
        <f>IF(J35=FALSE,"-",[1]!RETRIEVE_WEB_DATA_ELEMENT_FUNC(I39,4821))</f>
        <v>-</v>
      </c>
      <c r="K63" s="166" t="str">
        <f>IF(J35=FALSE,"-",[1]!RETRIEVE_WEB_DATA_ELEMENT_FUNC(I39,4829))</f>
        <v>-</v>
      </c>
      <c r="L63" s="166" t="str">
        <f>IF(J35=FALSE,"-",[1]!RETRIEVE_WEB_DATA_ELEMENT_FUNC(I39,4837))</f>
        <v>-</v>
      </c>
      <c r="M63" s="166" t="str">
        <f>IF(J35=FALSE,"-",[1]!RETRIEVE_WEB_DATA_ELEMENT_FUNC(I39,4845))</f>
        <v>-</v>
      </c>
      <c r="N63" s="167" t="str">
        <f>IF(J35=FALSE,"-",[1]!RETRIEVE_WEB_DATA_ELEMENT_FUNC(I39,4853))</f>
        <v>-</v>
      </c>
      <c r="P63" s="314"/>
      <c r="Q63" s="157" t="str">
        <f>IF(Q35=FALSE,"-",[1]!RETRIEVE_WEB_DATA_ELEMENT_FUNC(P39,4821))</f>
        <v>-</v>
      </c>
      <c r="R63" s="166" t="str">
        <f>IF(Q35=FALSE,"-",[1]!RETRIEVE_WEB_DATA_ELEMENT_FUNC(P39,4829))</f>
        <v>-</v>
      </c>
      <c r="S63" s="166" t="str">
        <f>IF(Q35=FALSE,"-",[1]!RETRIEVE_WEB_DATA_ELEMENT_FUNC(P39,4837))</f>
        <v>-</v>
      </c>
      <c r="T63" s="166" t="str">
        <f>IF(Q35=FALSE,"-",[1]!RETRIEVE_WEB_DATA_ELEMENT_FUNC(P39,4845))</f>
        <v>-</v>
      </c>
      <c r="U63" s="167" t="str">
        <f>IF(Q35=FALSE,"-",[1]!RETRIEVE_WEB_DATA_ELEMENT_FUNC(P39,4853))</f>
        <v>-</v>
      </c>
      <c r="W63" s="314"/>
      <c r="X63" s="157" t="str">
        <f>IF(X35=FALSE,"-",[1]!RETRIEVE_WEB_DATA_ELEMENT_FUNC(W39,4821))</f>
        <v>-</v>
      </c>
      <c r="Y63" s="166" t="str">
        <f>IF(X35=FALSE,"-",[1]!RETRIEVE_WEB_DATA_ELEMENT_FUNC(W39,4829))</f>
        <v>-</v>
      </c>
      <c r="Z63" s="166" t="str">
        <f>IF(X35=FALSE,"-",[1]!RETRIEVE_WEB_DATA_ELEMENT_FUNC(W39,4837))</f>
        <v>-</v>
      </c>
      <c r="AA63" s="166" t="str">
        <f>IF(X35=FALSE,"-",[1]!RETRIEVE_WEB_DATA_ELEMENT_FUNC(W39,4845))</f>
        <v>-</v>
      </c>
      <c r="AB63" s="167" t="str">
        <f>IF(X35=FALSE,"-",[1]!RETRIEVE_WEB_DATA_ELEMENT_FUNC(W39,4853))</f>
        <v>-</v>
      </c>
      <c r="AD63" s="314"/>
      <c r="AE63" s="157" t="str">
        <f>IF(AE35=FALSE,"-",[1]!RETRIEVE_WEB_DATA_ELEMENT_FUNC(AD39,4821))</f>
        <v>-</v>
      </c>
      <c r="AF63" s="166" t="str">
        <f>IF(AE35=FALSE,"-",[1]!RETRIEVE_WEB_DATA_ELEMENT_FUNC(AD39,4829))</f>
        <v>-</v>
      </c>
      <c r="AG63" s="166" t="str">
        <f>IF(AE35=FALSE,"-",[1]!RETRIEVE_WEB_DATA_ELEMENT_FUNC(AD39,4837))</f>
        <v>-</v>
      </c>
      <c r="AH63" s="166" t="str">
        <f>IF(AE35=FALSE,"-",[1]!RETRIEVE_WEB_DATA_ELEMENT_FUNC(AD39,4845))</f>
        <v>-</v>
      </c>
      <c r="AI63" s="167" t="str">
        <f>IF(AE35=FALSE,"-",[1]!RETRIEVE_WEB_DATA_ELEMENT_FUNC(AD39,4853))</f>
        <v>-</v>
      </c>
    </row>
    <row r="64" spans="2:35" ht="15" customHeight="1" thickBot="1">
      <c r="B64" s="315"/>
      <c r="C64" s="158" t="str">
        <f>IF(C35=FALSE,"-",[1]!RETRIEVE_WEB_DATA_ELEMENT_FUNC(B39,4822))</f>
        <v>-</v>
      </c>
      <c r="D64" s="168" t="str">
        <f>IF(C35=FALSE,"-",[1]!RETRIEVE_WEB_DATA_ELEMENT_FUNC(B39,4830))</f>
        <v>-</v>
      </c>
      <c r="E64" s="168" t="str">
        <f>IF(C35=FALSE,"-",[1]!RETRIEVE_WEB_DATA_ELEMENT_FUNC(B39,4838))</f>
        <v>-</v>
      </c>
      <c r="F64" s="168" t="str">
        <f>IF(C35=FALSE,"-",[1]!RETRIEVE_WEB_DATA_ELEMENT_FUNC(B39,4846))</f>
        <v>-</v>
      </c>
      <c r="G64" s="169" t="str">
        <f>IF(C35=FALSE,"-",[1]!RETRIEVE_WEB_DATA_ELEMENT_FUNC(B39,4854))</f>
        <v>-</v>
      </c>
      <c r="I64" s="315"/>
      <c r="J64" s="158" t="str">
        <f>IF(J35=FALSE,"-",[1]!RETRIEVE_WEB_DATA_ELEMENT_FUNC(I39,4822))</f>
        <v>-</v>
      </c>
      <c r="K64" s="168" t="str">
        <f>IF(J35=FALSE,"-",[1]!RETRIEVE_WEB_DATA_ELEMENT_FUNC(I39,4830))</f>
        <v>-</v>
      </c>
      <c r="L64" s="168" t="str">
        <f>IF(J35=FALSE,"-",[1]!RETRIEVE_WEB_DATA_ELEMENT_FUNC(I39,4838))</f>
        <v>-</v>
      </c>
      <c r="M64" s="168" t="str">
        <f>IF(J35=FALSE,"-",[1]!RETRIEVE_WEB_DATA_ELEMENT_FUNC(I39,4846))</f>
        <v>-</v>
      </c>
      <c r="N64" s="169" t="str">
        <f>IF(J35=FALSE,"-",[1]!RETRIEVE_WEB_DATA_ELEMENT_FUNC(I39,4854))</f>
        <v>-</v>
      </c>
      <c r="P64" s="315"/>
      <c r="Q64" s="158" t="str">
        <f>IF(Q35=FALSE,"-",[1]!RETRIEVE_WEB_DATA_ELEMENT_FUNC(P39,4822))</f>
        <v>-</v>
      </c>
      <c r="R64" s="168" t="str">
        <f>IF(Q35=FALSE,"-",[1]!RETRIEVE_WEB_DATA_ELEMENT_FUNC(P39,4830))</f>
        <v>-</v>
      </c>
      <c r="S64" s="168" t="str">
        <f>IF(Q35=FALSE,"-",[1]!RETRIEVE_WEB_DATA_ELEMENT_FUNC(P39,4838))</f>
        <v>-</v>
      </c>
      <c r="T64" s="168" t="str">
        <f>IF(Q35=FALSE,"-",[1]!RETRIEVE_WEB_DATA_ELEMENT_FUNC(P39,4846))</f>
        <v>-</v>
      </c>
      <c r="U64" s="169" t="str">
        <f>IF(Q35=FALSE,"-",[1]!RETRIEVE_WEB_DATA_ELEMENT_FUNC(P39,4854))</f>
        <v>-</v>
      </c>
      <c r="W64" s="315"/>
      <c r="X64" s="158" t="str">
        <f>IF(X35=FALSE,"-",[1]!RETRIEVE_WEB_DATA_ELEMENT_FUNC(W39,4822))</f>
        <v>-</v>
      </c>
      <c r="Y64" s="168" t="str">
        <f>IF(X35=FALSE,"-",[1]!RETRIEVE_WEB_DATA_ELEMENT_FUNC(W39,4830))</f>
        <v>-</v>
      </c>
      <c r="Z64" s="168" t="str">
        <f>IF(X35=FALSE,"-",[1]!RETRIEVE_WEB_DATA_ELEMENT_FUNC(W39,4838))</f>
        <v>-</v>
      </c>
      <c r="AA64" s="168" t="str">
        <f>IF(X35=FALSE,"-",[1]!RETRIEVE_WEB_DATA_ELEMENT_FUNC(W39,4846))</f>
        <v>-</v>
      </c>
      <c r="AB64" s="169" t="str">
        <f>IF(X35=FALSE,"-",[1]!RETRIEVE_WEB_DATA_ELEMENT_FUNC(W39,4854))</f>
        <v>-</v>
      </c>
      <c r="AD64" s="315"/>
      <c r="AE64" s="158" t="str">
        <f>IF(AE35=FALSE,"-",[1]!RETRIEVE_WEB_DATA_ELEMENT_FUNC(AD39,4822))</f>
        <v>-</v>
      </c>
      <c r="AF64" s="168" t="str">
        <f>IF(AE35=FALSE,"-",[1]!RETRIEVE_WEB_DATA_ELEMENT_FUNC(AD39,4830))</f>
        <v>-</v>
      </c>
      <c r="AG64" s="168" t="str">
        <f>IF(AE35=FALSE,"-",[1]!RETRIEVE_WEB_DATA_ELEMENT_FUNC(AD39,4838))</f>
        <v>-</v>
      </c>
      <c r="AH64" s="168" t="str">
        <f>IF(AE35=FALSE,"-",[1]!RETRIEVE_WEB_DATA_ELEMENT_FUNC(AD39,4846))</f>
        <v>-</v>
      </c>
      <c r="AI64" s="169" t="str">
        <f>IF(AE35=FALSE,"-",[1]!RETRIEVE_WEB_DATA_ELEMENT_FUNC(AD39,4854))</f>
        <v>-</v>
      </c>
    </row>
  </sheetData>
  <mergeCells count="30">
    <mergeCell ref="B48:B56"/>
    <mergeCell ref="I48:I56"/>
    <mergeCell ref="P48:P56"/>
    <mergeCell ref="W48:W56"/>
    <mergeCell ref="AD48:AD56"/>
    <mergeCell ref="B57:B64"/>
    <mergeCell ref="I57:I64"/>
    <mergeCell ref="P57:P64"/>
    <mergeCell ref="W57:W64"/>
    <mergeCell ref="AD57:AD64"/>
    <mergeCell ref="B24:B31"/>
    <mergeCell ref="I24:I31"/>
    <mergeCell ref="P24:P31"/>
    <mergeCell ref="W24:W31"/>
    <mergeCell ref="AD24:AD31"/>
    <mergeCell ref="B40:B47"/>
    <mergeCell ref="I40:I47"/>
    <mergeCell ref="P40:P47"/>
    <mergeCell ref="W40:W47"/>
    <mergeCell ref="AD40:AD47"/>
    <mergeCell ref="B7:B14"/>
    <mergeCell ref="I7:I14"/>
    <mergeCell ref="P7:P14"/>
    <mergeCell ref="W7:W14"/>
    <mergeCell ref="AD7:AD14"/>
    <mergeCell ref="B15:B23"/>
    <mergeCell ref="I15:I23"/>
    <mergeCell ref="P15:P23"/>
    <mergeCell ref="W15:W23"/>
    <mergeCell ref="AD15:AD23"/>
  </mergeCells>
  <dataValidations count="2">
    <dataValidation type="list" allowBlank="1" showInputMessage="1" showErrorMessage="1" sqref="C2 C35 X2 X35 J2 J35 Q2 Q35 AE2 AE35">
      <formula1>"TRUE, FALSE"</formula1>
    </dataValidation>
    <dataValidation allowBlank="1" promptTitle="Ticker Symbol" prompt="_x000a_Enter your ticker symbol here to change the table values_x000a_" sqref="B6 B2 B39 B35 W6 W2 W39 W35 I6 I2 I39 I35 P6 P2 P39 P35 AD6 AD2 AD39 AD35"/>
  </dataValidations>
  <pageMargins left="0.25" right="0.25" top="0.25" bottom="0.25" header="0.25" footer="0.2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7030A0"/>
  </sheetPr>
  <dimension ref="B2:C1793"/>
  <sheetViews>
    <sheetView showGridLines="0" workbookViewId="0">
      <selection activeCell="L8" sqref="L8"/>
    </sheetView>
  </sheetViews>
  <sheetFormatPr defaultColWidth="8.25" defaultRowHeight="15" customHeight="1"/>
  <cols>
    <col min="1" max="1" width="3.25" style="242" customWidth="1"/>
    <col min="2" max="3" width="14.125" style="242" customWidth="1"/>
    <col min="4" max="4" width="3.25" style="242" customWidth="1"/>
    <col min="5" max="16384" width="8.25" style="242"/>
  </cols>
  <sheetData>
    <row r="2" spans="2:3" ht="15" customHeight="1">
      <c r="B2" s="241" t="s">
        <v>260</v>
      </c>
      <c r="C2" s="241" t="s">
        <v>65</v>
      </c>
    </row>
    <row r="3" spans="2:3" ht="15" customHeight="1">
      <c r="B3" s="244" t="s">
        <v>261</v>
      </c>
      <c r="C3" s="243" t="s">
        <v>256</v>
      </c>
    </row>
    <row r="4" spans="2:3" ht="15" customHeight="1">
      <c r="B4" s="244" t="s">
        <v>262</v>
      </c>
      <c r="C4" s="243" t="s">
        <v>257</v>
      </c>
    </row>
    <row r="5" spans="2:3" ht="15" customHeight="1">
      <c r="B5" s="244" t="s">
        <v>263</v>
      </c>
      <c r="C5" s="243" t="s">
        <v>258</v>
      </c>
    </row>
    <row r="6" spans="2:3" ht="15" customHeight="1">
      <c r="B6" s="244" t="s">
        <v>264</v>
      </c>
      <c r="C6" s="243" t="s">
        <v>259</v>
      </c>
    </row>
    <row r="7" spans="2:3" ht="15" customHeight="1">
      <c r="B7" s="243"/>
      <c r="C7" s="243"/>
    </row>
    <row r="8" spans="2:3" ht="15" customHeight="1">
      <c r="B8" s="243"/>
      <c r="C8" s="243"/>
    </row>
    <row r="9" spans="2:3" ht="15" customHeight="1">
      <c r="B9" s="243"/>
      <c r="C9" s="243"/>
    </row>
    <row r="10" spans="2:3" ht="15" customHeight="1">
      <c r="B10" s="243"/>
      <c r="C10" s="243"/>
    </row>
    <row r="11" spans="2:3" ht="15" customHeight="1">
      <c r="B11" s="243"/>
      <c r="C11" s="243"/>
    </row>
    <row r="12" spans="2:3" ht="15" customHeight="1">
      <c r="B12" s="243"/>
      <c r="C12" s="243"/>
    </row>
    <row r="13" spans="2:3" ht="15" customHeight="1">
      <c r="B13" s="243"/>
      <c r="C13" s="243"/>
    </row>
    <row r="14" spans="2:3" ht="15" customHeight="1">
      <c r="B14" s="243"/>
      <c r="C14" s="243"/>
    </row>
    <row r="15" spans="2:3" ht="15" customHeight="1">
      <c r="B15" s="243"/>
      <c r="C15" s="243"/>
    </row>
    <row r="16" spans="2:3" ht="15" customHeight="1">
      <c r="B16" s="243"/>
      <c r="C16" s="243"/>
    </row>
    <row r="17" spans="2:3" ht="15" customHeight="1">
      <c r="B17" s="243"/>
      <c r="C17" s="243"/>
    </row>
    <row r="18" spans="2:3" ht="15" customHeight="1">
      <c r="B18" s="243"/>
      <c r="C18" s="243"/>
    </row>
    <row r="19" spans="2:3" ht="15" customHeight="1">
      <c r="B19" s="243"/>
      <c r="C19" s="243"/>
    </row>
    <row r="20" spans="2:3" ht="15" customHeight="1">
      <c r="B20" s="243"/>
      <c r="C20" s="243"/>
    </row>
    <row r="21" spans="2:3" ht="15" customHeight="1">
      <c r="B21" s="243"/>
      <c r="C21" s="243"/>
    </row>
    <row r="22" spans="2:3" ht="15" customHeight="1">
      <c r="B22" s="243"/>
      <c r="C22" s="243"/>
    </row>
    <row r="23" spans="2:3" ht="15" customHeight="1">
      <c r="B23" s="243"/>
      <c r="C23" s="243"/>
    </row>
    <row r="24" spans="2:3" ht="15" customHeight="1">
      <c r="B24" s="243"/>
      <c r="C24" s="243"/>
    </row>
    <row r="25" spans="2:3" ht="15" customHeight="1">
      <c r="B25" s="243"/>
      <c r="C25" s="243"/>
    </row>
    <row r="26" spans="2:3" ht="15" customHeight="1">
      <c r="B26" s="243"/>
      <c r="C26" s="243"/>
    </row>
    <row r="27" spans="2:3" ht="15" customHeight="1">
      <c r="B27" s="243"/>
      <c r="C27" s="243"/>
    </row>
    <row r="28" spans="2:3" ht="15" customHeight="1">
      <c r="B28" s="243"/>
      <c r="C28" s="243"/>
    </row>
    <row r="29" spans="2:3" ht="15" customHeight="1">
      <c r="B29" s="243"/>
      <c r="C29" s="243"/>
    </row>
    <row r="30" spans="2:3" ht="15" customHeight="1">
      <c r="B30" s="243"/>
      <c r="C30" s="243"/>
    </row>
    <row r="31" spans="2:3" ht="15" customHeight="1">
      <c r="B31" s="243"/>
      <c r="C31" s="243"/>
    </row>
    <row r="32" spans="2:3" ht="15" customHeight="1">
      <c r="B32" s="243"/>
      <c r="C32" s="243"/>
    </row>
    <row r="39" spans="2:3" ht="15" customHeight="1">
      <c r="B39" s="243"/>
      <c r="C39" s="243"/>
    </row>
    <row r="40" spans="2:3" ht="15" customHeight="1">
      <c r="B40" s="243"/>
      <c r="C40" s="243"/>
    </row>
    <row r="41" spans="2:3" ht="15" customHeight="1">
      <c r="B41" s="243"/>
      <c r="C41" s="243"/>
    </row>
    <row r="42" spans="2:3" ht="15" customHeight="1">
      <c r="B42" s="243"/>
      <c r="C42" s="243"/>
    </row>
    <row r="43" spans="2:3" ht="15" customHeight="1">
      <c r="B43" s="243"/>
      <c r="C43" s="243"/>
    </row>
    <row r="44" spans="2:3" ht="15" customHeight="1">
      <c r="B44" s="243"/>
      <c r="C44" s="243"/>
    </row>
    <row r="45" spans="2:3" ht="15" customHeight="1">
      <c r="B45" s="243"/>
      <c r="C45" s="243"/>
    </row>
    <row r="46" spans="2:3" ht="15" customHeight="1">
      <c r="B46" s="243"/>
      <c r="C46" s="243"/>
    </row>
    <row r="47" spans="2:3" ht="15" customHeight="1">
      <c r="B47" s="243"/>
      <c r="C47" s="243"/>
    </row>
    <row r="48" spans="2:3" ht="15" customHeight="1">
      <c r="B48" s="243"/>
      <c r="C48" s="243"/>
    </row>
    <row r="49" spans="2:3" ht="15" customHeight="1">
      <c r="B49" s="243"/>
      <c r="C49" s="243"/>
    </row>
    <row r="50" spans="2:3" ht="15" customHeight="1">
      <c r="B50" s="243"/>
      <c r="C50" s="243"/>
    </row>
    <row r="51" spans="2:3" ht="15" customHeight="1">
      <c r="B51" s="243"/>
      <c r="C51" s="243"/>
    </row>
    <row r="52" spans="2:3" ht="15" customHeight="1">
      <c r="B52" s="243"/>
      <c r="C52" s="243"/>
    </row>
    <row r="53" spans="2:3" ht="15" customHeight="1">
      <c r="B53" s="243"/>
      <c r="C53" s="243"/>
    </row>
    <row r="54" spans="2:3" ht="15" customHeight="1">
      <c r="B54" s="243"/>
      <c r="C54" s="243"/>
    </row>
    <row r="55" spans="2:3" ht="15" customHeight="1">
      <c r="B55" s="243"/>
      <c r="C55" s="243"/>
    </row>
    <row r="56" spans="2:3" ht="15" customHeight="1">
      <c r="B56" s="243"/>
      <c r="C56" s="243"/>
    </row>
    <row r="57" spans="2:3" ht="15" customHeight="1">
      <c r="B57" s="243"/>
      <c r="C57" s="243"/>
    </row>
    <row r="58" spans="2:3" ht="15" customHeight="1">
      <c r="B58" s="243"/>
      <c r="C58" s="243"/>
    </row>
    <row r="59" spans="2:3" ht="15" customHeight="1">
      <c r="B59" s="243"/>
      <c r="C59" s="243"/>
    </row>
    <row r="60" spans="2:3" ht="15" customHeight="1">
      <c r="B60" s="243"/>
      <c r="C60" s="243"/>
    </row>
    <row r="61" spans="2:3" ht="15" customHeight="1">
      <c r="B61" s="243"/>
      <c r="C61" s="243"/>
    </row>
    <row r="62" spans="2:3" ht="15" customHeight="1">
      <c r="B62" s="243"/>
      <c r="C62" s="243"/>
    </row>
    <row r="63" spans="2:3" ht="15" customHeight="1">
      <c r="B63" s="243"/>
      <c r="C63" s="243"/>
    </row>
    <row r="64" spans="2:3" ht="15" customHeight="1">
      <c r="B64" s="243"/>
      <c r="C64" s="243"/>
    </row>
    <row r="65" spans="2:3" ht="15" customHeight="1">
      <c r="B65" s="243"/>
      <c r="C65" s="243"/>
    </row>
    <row r="66" spans="2:3" ht="15" customHeight="1">
      <c r="B66" s="243"/>
      <c r="C66" s="243"/>
    </row>
    <row r="67" spans="2:3" ht="15" customHeight="1">
      <c r="B67" s="243"/>
      <c r="C67" s="243"/>
    </row>
    <row r="68" spans="2:3" ht="15" customHeight="1">
      <c r="B68" s="243"/>
      <c r="C68" s="243"/>
    </row>
    <row r="69" spans="2:3" ht="15" customHeight="1">
      <c r="B69" s="243"/>
      <c r="C69" s="243"/>
    </row>
    <row r="70" spans="2:3" ht="15" customHeight="1">
      <c r="B70" s="243"/>
      <c r="C70" s="243"/>
    </row>
    <row r="71" spans="2:3" ht="15" customHeight="1">
      <c r="B71" s="243"/>
      <c r="C71" s="243"/>
    </row>
    <row r="72" spans="2:3" ht="15" customHeight="1">
      <c r="B72" s="243"/>
      <c r="C72" s="243"/>
    </row>
    <row r="73" spans="2:3" ht="15" customHeight="1">
      <c r="B73" s="243"/>
      <c r="C73" s="243"/>
    </row>
    <row r="74" spans="2:3" ht="15" customHeight="1">
      <c r="B74" s="243"/>
      <c r="C74" s="243"/>
    </row>
    <row r="75" spans="2:3" ht="15" customHeight="1">
      <c r="B75" s="243"/>
      <c r="C75" s="243"/>
    </row>
    <row r="76" spans="2:3" ht="15" customHeight="1">
      <c r="B76" s="243"/>
      <c r="C76" s="243"/>
    </row>
    <row r="77" spans="2:3" ht="15" customHeight="1">
      <c r="B77" s="243"/>
      <c r="C77" s="243"/>
    </row>
    <row r="78" spans="2:3" ht="15" customHeight="1">
      <c r="B78" s="243"/>
      <c r="C78" s="243"/>
    </row>
    <row r="79" spans="2:3" ht="15" customHeight="1">
      <c r="B79" s="243"/>
      <c r="C79" s="243"/>
    </row>
    <row r="80" spans="2:3" ht="15" customHeight="1">
      <c r="B80" s="243"/>
      <c r="C80" s="243"/>
    </row>
    <row r="81" spans="2:3" ht="15" customHeight="1">
      <c r="B81" s="243"/>
      <c r="C81" s="243"/>
    </row>
    <row r="82" spans="2:3" ht="15" customHeight="1">
      <c r="B82" s="243"/>
      <c r="C82" s="243"/>
    </row>
    <row r="83" spans="2:3" ht="15" customHeight="1">
      <c r="B83" s="243"/>
      <c r="C83" s="243"/>
    </row>
    <row r="84" spans="2:3" ht="15" customHeight="1">
      <c r="B84" s="243"/>
      <c r="C84" s="243"/>
    </row>
    <row r="85" spans="2:3" ht="15" customHeight="1">
      <c r="B85" s="243"/>
      <c r="C85" s="243"/>
    </row>
    <row r="86" spans="2:3" ht="15" customHeight="1">
      <c r="B86" s="243"/>
      <c r="C86" s="243"/>
    </row>
    <row r="87" spans="2:3" ht="15" customHeight="1">
      <c r="B87" s="243"/>
      <c r="C87" s="243"/>
    </row>
    <row r="88" spans="2:3" ht="15" customHeight="1">
      <c r="B88" s="243"/>
      <c r="C88" s="243"/>
    </row>
    <row r="89" spans="2:3" ht="15" customHeight="1">
      <c r="B89" s="243"/>
      <c r="C89" s="243"/>
    </row>
    <row r="90" spans="2:3" ht="15" customHeight="1">
      <c r="B90" s="243"/>
      <c r="C90" s="243"/>
    </row>
    <row r="91" spans="2:3" ht="15" customHeight="1">
      <c r="B91" s="243"/>
      <c r="C91" s="243"/>
    </row>
    <row r="92" spans="2:3" ht="15" customHeight="1">
      <c r="B92" s="243"/>
      <c r="C92" s="243"/>
    </row>
    <row r="93" spans="2:3" ht="15" customHeight="1">
      <c r="B93" s="243"/>
      <c r="C93" s="243"/>
    </row>
    <row r="94" spans="2:3" ht="15" customHeight="1">
      <c r="B94" s="243"/>
      <c r="C94" s="243"/>
    </row>
    <row r="95" spans="2:3" ht="15" customHeight="1">
      <c r="B95" s="243"/>
      <c r="C95" s="243"/>
    </row>
    <row r="96" spans="2:3" ht="15" customHeight="1">
      <c r="B96" s="243"/>
      <c r="C96" s="243"/>
    </row>
    <row r="97" spans="2:3" ht="15" customHeight="1">
      <c r="B97" s="243"/>
      <c r="C97" s="243"/>
    </row>
    <row r="98" spans="2:3" ht="15" customHeight="1">
      <c r="B98" s="243"/>
      <c r="C98" s="243"/>
    </row>
    <row r="99" spans="2:3" ht="15" customHeight="1">
      <c r="B99" s="243"/>
      <c r="C99" s="243"/>
    </row>
    <row r="100" spans="2:3" ht="15" customHeight="1">
      <c r="B100" s="243"/>
      <c r="C100" s="243"/>
    </row>
    <row r="101" spans="2:3" ht="15" customHeight="1">
      <c r="B101" s="243"/>
      <c r="C101" s="243"/>
    </row>
    <row r="102" spans="2:3" ht="15" customHeight="1">
      <c r="B102" s="243"/>
      <c r="C102" s="243"/>
    </row>
    <row r="103" spans="2:3" ht="15" customHeight="1">
      <c r="B103" s="243"/>
      <c r="C103" s="243"/>
    </row>
    <row r="104" spans="2:3" ht="15" customHeight="1">
      <c r="B104" s="243"/>
      <c r="C104" s="243"/>
    </row>
    <row r="105" spans="2:3" ht="15" customHeight="1">
      <c r="B105" s="243"/>
      <c r="C105" s="243"/>
    </row>
    <row r="106" spans="2:3" ht="15" customHeight="1">
      <c r="B106" s="243"/>
      <c r="C106" s="243"/>
    </row>
    <row r="107" spans="2:3" ht="15" customHeight="1">
      <c r="B107" s="243"/>
      <c r="C107" s="243"/>
    </row>
    <row r="108" spans="2:3" ht="15" customHeight="1">
      <c r="B108" s="243"/>
      <c r="C108" s="243"/>
    </row>
    <row r="109" spans="2:3" ht="15" customHeight="1">
      <c r="B109" s="243"/>
      <c r="C109" s="243"/>
    </row>
    <row r="110" spans="2:3" ht="15" customHeight="1">
      <c r="B110" s="243"/>
      <c r="C110" s="243"/>
    </row>
    <row r="111" spans="2:3" ht="15" customHeight="1">
      <c r="B111" s="243"/>
      <c r="C111" s="243"/>
    </row>
    <row r="112" spans="2:3" ht="15" customHeight="1">
      <c r="B112" s="243"/>
      <c r="C112" s="243"/>
    </row>
    <row r="113" spans="2:3" ht="15" customHeight="1">
      <c r="B113" s="243"/>
      <c r="C113" s="243"/>
    </row>
    <row r="114" spans="2:3" ht="15" customHeight="1">
      <c r="B114" s="243"/>
      <c r="C114" s="243"/>
    </row>
    <row r="115" spans="2:3" ht="15" customHeight="1">
      <c r="B115" s="243"/>
      <c r="C115" s="243"/>
    </row>
    <row r="116" spans="2:3" ht="15" customHeight="1">
      <c r="B116" s="243"/>
      <c r="C116" s="243"/>
    </row>
    <row r="117" spans="2:3" ht="15" customHeight="1">
      <c r="B117" s="243"/>
      <c r="C117" s="243"/>
    </row>
    <row r="118" spans="2:3" ht="15" customHeight="1">
      <c r="B118" s="243"/>
      <c r="C118" s="243"/>
    </row>
    <row r="119" spans="2:3" ht="15" customHeight="1">
      <c r="B119" s="243"/>
      <c r="C119" s="243"/>
    </row>
    <row r="120" spans="2:3" ht="15" customHeight="1">
      <c r="B120" s="243"/>
      <c r="C120" s="243"/>
    </row>
    <row r="121" spans="2:3" ht="15" customHeight="1">
      <c r="B121" s="243"/>
      <c r="C121" s="243"/>
    </row>
    <row r="122" spans="2:3" ht="15" customHeight="1">
      <c r="B122" s="243"/>
      <c r="C122" s="243"/>
    </row>
    <row r="123" spans="2:3" ht="15" customHeight="1">
      <c r="B123" s="243"/>
      <c r="C123" s="243"/>
    </row>
    <row r="124" spans="2:3" ht="15" customHeight="1">
      <c r="B124" s="243"/>
      <c r="C124" s="243"/>
    </row>
    <row r="125" spans="2:3" ht="15" customHeight="1">
      <c r="B125" s="243"/>
      <c r="C125" s="243"/>
    </row>
    <row r="126" spans="2:3" ht="15" customHeight="1">
      <c r="B126" s="243"/>
      <c r="C126" s="243"/>
    </row>
    <row r="127" spans="2:3" ht="15" customHeight="1">
      <c r="B127" s="243"/>
      <c r="C127" s="243"/>
    </row>
    <row r="128" spans="2:3" ht="15" customHeight="1">
      <c r="B128" s="243"/>
      <c r="C128" s="243"/>
    </row>
    <row r="129" spans="2:3" ht="15" customHeight="1">
      <c r="B129" s="243"/>
      <c r="C129" s="243"/>
    </row>
    <row r="130" spans="2:3" ht="15" customHeight="1">
      <c r="B130" s="243"/>
      <c r="C130" s="243"/>
    </row>
    <row r="131" spans="2:3" ht="15" customHeight="1">
      <c r="B131" s="243"/>
      <c r="C131" s="243"/>
    </row>
    <row r="132" spans="2:3" ht="15" customHeight="1">
      <c r="B132" s="243"/>
      <c r="C132" s="243"/>
    </row>
    <row r="133" spans="2:3" ht="15" customHeight="1">
      <c r="B133" s="243"/>
      <c r="C133" s="243"/>
    </row>
    <row r="134" spans="2:3" ht="15" customHeight="1">
      <c r="B134" s="243"/>
      <c r="C134" s="243"/>
    </row>
    <row r="135" spans="2:3" ht="15" customHeight="1">
      <c r="B135" s="243"/>
      <c r="C135" s="243"/>
    </row>
    <row r="136" spans="2:3" ht="15" customHeight="1">
      <c r="B136" s="243"/>
      <c r="C136" s="243"/>
    </row>
    <row r="137" spans="2:3" ht="15" customHeight="1">
      <c r="B137" s="243"/>
      <c r="C137" s="243"/>
    </row>
    <row r="138" spans="2:3" ht="15" customHeight="1">
      <c r="B138" s="243"/>
      <c r="C138" s="243"/>
    </row>
    <row r="139" spans="2:3" ht="15" customHeight="1">
      <c r="B139" s="243"/>
      <c r="C139" s="243"/>
    </row>
    <row r="140" spans="2:3" ht="15" customHeight="1">
      <c r="B140" s="243"/>
      <c r="C140" s="243"/>
    </row>
    <row r="141" spans="2:3" ht="15" customHeight="1">
      <c r="B141" s="243"/>
      <c r="C141" s="243"/>
    </row>
    <row r="142" spans="2:3" ht="15" customHeight="1">
      <c r="B142" s="243"/>
      <c r="C142" s="243"/>
    </row>
    <row r="143" spans="2:3" ht="15" customHeight="1">
      <c r="B143" s="243"/>
      <c r="C143" s="243"/>
    </row>
    <row r="144" spans="2:3" ht="15" customHeight="1">
      <c r="B144" s="243"/>
      <c r="C144" s="243"/>
    </row>
    <row r="145" spans="2:3" ht="15" customHeight="1">
      <c r="B145" s="243"/>
      <c r="C145" s="243"/>
    </row>
    <row r="146" spans="2:3" ht="15" customHeight="1">
      <c r="B146" s="243"/>
      <c r="C146" s="243"/>
    </row>
    <row r="147" spans="2:3" ht="15" customHeight="1">
      <c r="B147" s="243"/>
      <c r="C147" s="243"/>
    </row>
    <row r="148" spans="2:3" ht="15" customHeight="1">
      <c r="B148" s="243"/>
      <c r="C148" s="243"/>
    </row>
    <row r="149" spans="2:3" ht="15" customHeight="1">
      <c r="B149" s="243"/>
      <c r="C149" s="243"/>
    </row>
    <row r="150" spans="2:3" ht="15" customHeight="1">
      <c r="B150" s="243"/>
      <c r="C150" s="243"/>
    </row>
    <row r="151" spans="2:3" ht="15" customHeight="1">
      <c r="B151" s="243"/>
      <c r="C151" s="243"/>
    </row>
    <row r="152" spans="2:3" ht="15" customHeight="1">
      <c r="B152" s="243"/>
      <c r="C152" s="243"/>
    </row>
    <row r="153" spans="2:3" ht="15" customHeight="1">
      <c r="B153" s="243"/>
      <c r="C153" s="243"/>
    </row>
    <row r="154" spans="2:3" ht="15" customHeight="1">
      <c r="B154" s="243"/>
      <c r="C154" s="243"/>
    </row>
    <row r="155" spans="2:3" ht="15" customHeight="1">
      <c r="B155" s="243"/>
      <c r="C155" s="243"/>
    </row>
    <row r="156" spans="2:3" ht="15" customHeight="1">
      <c r="B156" s="243"/>
      <c r="C156" s="243"/>
    </row>
    <row r="157" spans="2:3" ht="15" customHeight="1">
      <c r="B157" s="243"/>
      <c r="C157" s="243"/>
    </row>
    <row r="158" spans="2:3" ht="15" customHeight="1">
      <c r="B158" s="243"/>
      <c r="C158" s="243"/>
    </row>
    <row r="159" spans="2:3" ht="15" customHeight="1">
      <c r="B159" s="243"/>
      <c r="C159" s="243"/>
    </row>
    <row r="160" spans="2:3" ht="15" customHeight="1">
      <c r="B160" s="243"/>
      <c r="C160" s="243"/>
    </row>
    <row r="161" spans="2:3" ht="15" customHeight="1">
      <c r="B161" s="243"/>
      <c r="C161" s="243"/>
    </row>
    <row r="162" spans="2:3" ht="15" customHeight="1">
      <c r="B162" s="243"/>
      <c r="C162" s="243"/>
    </row>
    <row r="163" spans="2:3" ht="15" customHeight="1">
      <c r="B163" s="243"/>
      <c r="C163" s="243"/>
    </row>
    <row r="164" spans="2:3" ht="15" customHeight="1">
      <c r="B164" s="243"/>
      <c r="C164" s="243"/>
    </row>
    <row r="165" spans="2:3" ht="15" customHeight="1">
      <c r="B165" s="243"/>
      <c r="C165" s="243"/>
    </row>
    <row r="166" spans="2:3" ht="15" customHeight="1">
      <c r="B166" s="243"/>
      <c r="C166" s="243"/>
    </row>
    <row r="167" spans="2:3" ht="15" customHeight="1">
      <c r="B167" s="243"/>
      <c r="C167" s="243"/>
    </row>
    <row r="168" spans="2:3" ht="15" customHeight="1">
      <c r="B168" s="243"/>
      <c r="C168" s="243"/>
    </row>
    <row r="169" spans="2:3" ht="15" customHeight="1">
      <c r="B169" s="243"/>
      <c r="C169" s="243"/>
    </row>
    <row r="170" spans="2:3" ht="15" customHeight="1">
      <c r="B170" s="243"/>
      <c r="C170" s="243"/>
    </row>
    <row r="171" spans="2:3" ht="15" customHeight="1">
      <c r="B171" s="243"/>
      <c r="C171" s="243"/>
    </row>
    <row r="172" spans="2:3" ht="15" customHeight="1">
      <c r="B172" s="243"/>
      <c r="C172" s="243"/>
    </row>
    <row r="173" spans="2:3" ht="15" customHeight="1">
      <c r="B173" s="243"/>
      <c r="C173" s="243"/>
    </row>
    <row r="174" spans="2:3" ht="15" customHeight="1">
      <c r="B174" s="243"/>
      <c r="C174" s="243"/>
    </row>
    <row r="175" spans="2:3" ht="15" customHeight="1">
      <c r="B175" s="243"/>
      <c r="C175" s="243"/>
    </row>
    <row r="176" spans="2:3" ht="15" customHeight="1">
      <c r="B176" s="243"/>
      <c r="C176" s="243"/>
    </row>
    <row r="177" spans="2:3" ht="15" customHeight="1">
      <c r="B177" s="243"/>
      <c r="C177" s="243"/>
    </row>
    <row r="178" spans="2:3" ht="15" customHeight="1">
      <c r="B178" s="243"/>
      <c r="C178" s="243"/>
    </row>
    <row r="179" spans="2:3" ht="15" customHeight="1">
      <c r="B179" s="243"/>
      <c r="C179" s="243"/>
    </row>
    <row r="180" spans="2:3" ht="15" customHeight="1">
      <c r="B180" s="243"/>
      <c r="C180" s="243"/>
    </row>
    <row r="181" spans="2:3" ht="15" customHeight="1">
      <c r="B181" s="243"/>
      <c r="C181" s="243"/>
    </row>
    <row r="182" spans="2:3" ht="15" customHeight="1">
      <c r="B182" s="243"/>
      <c r="C182" s="243"/>
    </row>
    <row r="183" spans="2:3" ht="15" customHeight="1">
      <c r="B183" s="243"/>
      <c r="C183" s="243"/>
    </row>
    <row r="184" spans="2:3" ht="15" customHeight="1">
      <c r="B184" s="243"/>
      <c r="C184" s="243"/>
    </row>
    <row r="185" spans="2:3" ht="15" customHeight="1">
      <c r="B185" s="243"/>
      <c r="C185" s="243"/>
    </row>
    <row r="186" spans="2:3" ht="15" customHeight="1">
      <c r="B186" s="243"/>
      <c r="C186" s="243"/>
    </row>
    <row r="187" spans="2:3" ht="15" customHeight="1">
      <c r="B187" s="243"/>
      <c r="C187" s="243"/>
    </row>
    <row r="188" spans="2:3" ht="15" customHeight="1">
      <c r="B188" s="243"/>
      <c r="C188" s="243"/>
    </row>
    <row r="189" spans="2:3" ht="15" customHeight="1">
      <c r="B189" s="243"/>
      <c r="C189" s="243"/>
    </row>
    <row r="190" spans="2:3" ht="15" customHeight="1">
      <c r="B190" s="243"/>
      <c r="C190" s="243"/>
    </row>
    <row r="191" spans="2:3" ht="15" customHeight="1">
      <c r="B191" s="243"/>
      <c r="C191" s="243"/>
    </row>
    <row r="192" spans="2:3" ht="15" customHeight="1">
      <c r="B192" s="243"/>
      <c r="C192" s="243"/>
    </row>
    <row r="193" spans="2:3" ht="15" customHeight="1">
      <c r="B193" s="243"/>
      <c r="C193" s="243"/>
    </row>
    <row r="194" spans="2:3" ht="15" customHeight="1">
      <c r="B194" s="243"/>
      <c r="C194" s="243"/>
    </row>
    <row r="195" spans="2:3" ht="15" customHeight="1">
      <c r="B195" s="243"/>
      <c r="C195" s="243"/>
    </row>
    <row r="196" spans="2:3" ht="15" customHeight="1">
      <c r="B196" s="243"/>
      <c r="C196" s="243"/>
    </row>
    <row r="197" spans="2:3" ht="15" customHeight="1">
      <c r="B197" s="243"/>
      <c r="C197" s="243"/>
    </row>
    <row r="198" spans="2:3" ht="15" customHeight="1">
      <c r="B198" s="243"/>
      <c r="C198" s="243"/>
    </row>
    <row r="199" spans="2:3" ht="15" customHeight="1">
      <c r="B199" s="243"/>
      <c r="C199" s="243"/>
    </row>
    <row r="200" spans="2:3" ht="15" customHeight="1">
      <c r="B200" s="243"/>
      <c r="C200" s="243"/>
    </row>
    <row r="201" spans="2:3" ht="15" customHeight="1">
      <c r="B201" s="243"/>
      <c r="C201" s="243"/>
    </row>
    <row r="202" spans="2:3" ht="15" customHeight="1">
      <c r="B202" s="243"/>
      <c r="C202" s="243"/>
    </row>
    <row r="203" spans="2:3" ht="15" customHeight="1">
      <c r="B203" s="243"/>
      <c r="C203" s="243"/>
    </row>
    <row r="204" spans="2:3" ht="15" customHeight="1">
      <c r="B204" s="243"/>
      <c r="C204" s="243"/>
    </row>
    <row r="205" spans="2:3" ht="15" customHeight="1">
      <c r="B205" s="243"/>
      <c r="C205" s="243"/>
    </row>
    <row r="206" spans="2:3" ht="15" customHeight="1">
      <c r="B206" s="243"/>
      <c r="C206" s="243"/>
    </row>
    <row r="207" spans="2:3" ht="15" customHeight="1">
      <c r="B207" s="243"/>
      <c r="C207" s="243"/>
    </row>
    <row r="208" spans="2:3" ht="15" customHeight="1">
      <c r="B208" s="243"/>
      <c r="C208" s="243"/>
    </row>
    <row r="209" spans="2:3" ht="15" customHeight="1">
      <c r="B209" s="243"/>
      <c r="C209" s="243"/>
    </row>
    <row r="210" spans="2:3" ht="15" customHeight="1">
      <c r="B210" s="243"/>
      <c r="C210" s="243"/>
    </row>
    <row r="211" spans="2:3" ht="15" customHeight="1">
      <c r="B211" s="243"/>
      <c r="C211" s="243"/>
    </row>
    <row r="212" spans="2:3" ht="15" customHeight="1">
      <c r="B212" s="243"/>
      <c r="C212" s="243"/>
    </row>
    <row r="213" spans="2:3" ht="15" customHeight="1">
      <c r="B213" s="243"/>
      <c r="C213" s="243"/>
    </row>
    <row r="214" spans="2:3" ht="15" customHeight="1">
      <c r="B214" s="243"/>
      <c r="C214" s="243"/>
    </row>
    <row r="215" spans="2:3" ht="15" customHeight="1">
      <c r="B215" s="243"/>
      <c r="C215" s="243"/>
    </row>
    <row r="216" spans="2:3" ht="15" customHeight="1">
      <c r="B216" s="243"/>
      <c r="C216" s="243"/>
    </row>
    <row r="217" spans="2:3" ht="15" customHeight="1">
      <c r="B217" s="243"/>
      <c r="C217" s="243"/>
    </row>
    <row r="218" spans="2:3" ht="15" customHeight="1">
      <c r="B218" s="243"/>
      <c r="C218" s="243"/>
    </row>
    <row r="219" spans="2:3" ht="15" customHeight="1">
      <c r="B219" s="243"/>
      <c r="C219" s="243"/>
    </row>
    <row r="220" spans="2:3" ht="15" customHeight="1">
      <c r="B220" s="243"/>
      <c r="C220" s="243"/>
    </row>
    <row r="221" spans="2:3" ht="15" customHeight="1">
      <c r="B221" s="243"/>
      <c r="C221" s="243"/>
    </row>
    <row r="222" spans="2:3" ht="15" customHeight="1">
      <c r="B222" s="243"/>
      <c r="C222" s="243"/>
    </row>
    <row r="223" spans="2:3" ht="15" customHeight="1">
      <c r="B223" s="243"/>
      <c r="C223" s="243"/>
    </row>
    <row r="224" spans="2:3" ht="15" customHeight="1">
      <c r="B224" s="243"/>
      <c r="C224" s="243"/>
    </row>
    <row r="225" spans="2:3" ht="15" customHeight="1">
      <c r="B225" s="243"/>
      <c r="C225" s="243"/>
    </row>
    <row r="226" spans="2:3" ht="15" customHeight="1">
      <c r="B226" s="243"/>
      <c r="C226" s="243"/>
    </row>
    <row r="227" spans="2:3" ht="15" customHeight="1">
      <c r="B227" s="243"/>
      <c r="C227" s="243"/>
    </row>
    <row r="228" spans="2:3" ht="15" customHeight="1">
      <c r="B228" s="243"/>
      <c r="C228" s="243"/>
    </row>
    <row r="229" spans="2:3" ht="15" customHeight="1">
      <c r="B229" s="243"/>
      <c r="C229" s="243"/>
    </row>
    <row r="230" spans="2:3" ht="15" customHeight="1">
      <c r="B230" s="243"/>
      <c r="C230" s="243"/>
    </row>
    <row r="231" spans="2:3" ht="15" customHeight="1">
      <c r="B231" s="243"/>
      <c r="C231" s="243"/>
    </row>
    <row r="232" spans="2:3" ht="15" customHeight="1">
      <c r="B232" s="243"/>
      <c r="C232" s="243"/>
    </row>
    <row r="233" spans="2:3" ht="15" customHeight="1">
      <c r="B233" s="243"/>
      <c r="C233" s="243"/>
    </row>
    <row r="234" spans="2:3" ht="15" customHeight="1">
      <c r="B234" s="243"/>
      <c r="C234" s="243"/>
    </row>
    <row r="235" spans="2:3" ht="15" customHeight="1">
      <c r="B235" s="243"/>
      <c r="C235" s="243"/>
    </row>
    <row r="236" spans="2:3" ht="15" customHeight="1">
      <c r="B236" s="243"/>
      <c r="C236" s="243"/>
    </row>
    <row r="237" spans="2:3" ht="15" customHeight="1">
      <c r="B237" s="243"/>
      <c r="C237" s="243"/>
    </row>
    <row r="238" spans="2:3" ht="15" customHeight="1">
      <c r="B238" s="243"/>
      <c r="C238" s="243"/>
    </row>
    <row r="239" spans="2:3" ht="15" customHeight="1">
      <c r="B239" s="243"/>
      <c r="C239" s="243"/>
    </row>
    <row r="240" spans="2:3" ht="15" customHeight="1">
      <c r="B240" s="243"/>
      <c r="C240" s="243"/>
    </row>
    <row r="241" spans="2:3" ht="15" customHeight="1">
      <c r="B241" s="243"/>
      <c r="C241" s="243"/>
    </row>
    <row r="242" spans="2:3" ht="15" customHeight="1">
      <c r="B242" s="243"/>
      <c r="C242" s="243"/>
    </row>
    <row r="243" spans="2:3" ht="15" customHeight="1">
      <c r="B243" s="243"/>
      <c r="C243" s="243"/>
    </row>
    <row r="244" spans="2:3" ht="15" customHeight="1">
      <c r="B244" s="243"/>
      <c r="C244" s="243"/>
    </row>
    <row r="245" spans="2:3" ht="15" customHeight="1">
      <c r="B245" s="243"/>
      <c r="C245" s="243"/>
    </row>
    <row r="246" spans="2:3" ht="15" customHeight="1">
      <c r="B246" s="243"/>
      <c r="C246" s="243"/>
    </row>
    <row r="247" spans="2:3" ht="15" customHeight="1">
      <c r="B247" s="243"/>
      <c r="C247" s="243"/>
    </row>
    <row r="248" spans="2:3" ht="15" customHeight="1">
      <c r="B248" s="243"/>
      <c r="C248" s="243"/>
    </row>
    <row r="249" spans="2:3" ht="15" customHeight="1">
      <c r="B249" s="243"/>
      <c r="C249" s="243"/>
    </row>
    <row r="250" spans="2:3" ht="15" customHeight="1">
      <c r="B250" s="243"/>
      <c r="C250" s="243"/>
    </row>
    <row r="251" spans="2:3" ht="15" customHeight="1">
      <c r="B251" s="243"/>
      <c r="C251" s="243"/>
    </row>
    <row r="252" spans="2:3" ht="15" customHeight="1">
      <c r="B252" s="243"/>
      <c r="C252" s="243"/>
    </row>
    <row r="253" spans="2:3" ht="15" customHeight="1">
      <c r="B253" s="243"/>
      <c r="C253" s="243"/>
    </row>
    <row r="254" spans="2:3" ht="15" customHeight="1">
      <c r="B254" s="243"/>
      <c r="C254" s="243"/>
    </row>
    <row r="255" spans="2:3" ht="15" customHeight="1">
      <c r="B255" s="243"/>
      <c r="C255" s="243"/>
    </row>
    <row r="256" spans="2:3" ht="15" customHeight="1">
      <c r="B256" s="243"/>
      <c r="C256" s="243"/>
    </row>
    <row r="257" spans="2:3" ht="15" customHeight="1">
      <c r="B257" s="243"/>
      <c r="C257" s="243"/>
    </row>
    <row r="258" spans="2:3" ht="15" customHeight="1">
      <c r="B258" s="243"/>
      <c r="C258" s="243"/>
    </row>
    <row r="259" spans="2:3" ht="15" customHeight="1">
      <c r="B259" s="243"/>
      <c r="C259" s="243"/>
    </row>
    <row r="260" spans="2:3" ht="15" customHeight="1">
      <c r="B260" s="243"/>
      <c r="C260" s="243"/>
    </row>
    <row r="261" spans="2:3" ht="15" customHeight="1">
      <c r="B261" s="243"/>
      <c r="C261" s="243"/>
    </row>
    <row r="262" spans="2:3" ht="15" customHeight="1">
      <c r="B262" s="243"/>
      <c r="C262" s="243"/>
    </row>
    <row r="263" spans="2:3" ht="15" customHeight="1">
      <c r="B263" s="243"/>
      <c r="C263" s="243"/>
    </row>
    <row r="264" spans="2:3" ht="15" customHeight="1">
      <c r="B264" s="243"/>
      <c r="C264" s="243"/>
    </row>
    <row r="265" spans="2:3" ht="15" customHeight="1">
      <c r="B265" s="243"/>
      <c r="C265" s="243"/>
    </row>
    <row r="266" spans="2:3" ht="15" customHeight="1">
      <c r="B266" s="243"/>
      <c r="C266" s="243"/>
    </row>
    <row r="267" spans="2:3" ht="15" customHeight="1">
      <c r="B267" s="243"/>
      <c r="C267" s="243"/>
    </row>
    <row r="268" spans="2:3" ht="15" customHeight="1">
      <c r="B268" s="243"/>
      <c r="C268" s="243"/>
    </row>
    <row r="269" spans="2:3" ht="15" customHeight="1">
      <c r="B269" s="243"/>
      <c r="C269" s="243"/>
    </row>
    <row r="270" spans="2:3" ht="15" customHeight="1">
      <c r="B270" s="243"/>
      <c r="C270" s="243"/>
    </row>
    <row r="271" spans="2:3" ht="15" customHeight="1">
      <c r="B271" s="243"/>
      <c r="C271" s="243"/>
    </row>
    <row r="272" spans="2:3" ht="15" customHeight="1">
      <c r="B272" s="243"/>
      <c r="C272" s="243"/>
    </row>
    <row r="273" spans="2:3" ht="15" customHeight="1">
      <c r="B273" s="243"/>
      <c r="C273" s="243"/>
    </row>
    <row r="274" spans="2:3" ht="15" customHeight="1">
      <c r="B274" s="243"/>
      <c r="C274" s="243"/>
    </row>
    <row r="275" spans="2:3" ht="15" customHeight="1">
      <c r="B275" s="243"/>
      <c r="C275" s="243"/>
    </row>
    <row r="276" spans="2:3" ht="15" customHeight="1">
      <c r="B276" s="243"/>
      <c r="C276" s="243"/>
    </row>
    <row r="277" spans="2:3" ht="15" customHeight="1">
      <c r="B277" s="243"/>
      <c r="C277" s="243"/>
    </row>
    <row r="278" spans="2:3" ht="15" customHeight="1">
      <c r="B278" s="243"/>
      <c r="C278" s="243"/>
    </row>
    <row r="279" spans="2:3" ht="15" customHeight="1">
      <c r="B279" s="243"/>
      <c r="C279" s="243"/>
    </row>
    <row r="280" spans="2:3" ht="15" customHeight="1">
      <c r="B280" s="243"/>
      <c r="C280" s="243"/>
    </row>
    <row r="281" spans="2:3" ht="15" customHeight="1">
      <c r="B281" s="243"/>
      <c r="C281" s="243"/>
    </row>
    <row r="282" spans="2:3" ht="15" customHeight="1">
      <c r="B282" s="243"/>
      <c r="C282" s="243"/>
    </row>
    <row r="283" spans="2:3" ht="15" customHeight="1">
      <c r="B283" s="243"/>
      <c r="C283" s="243"/>
    </row>
    <row r="284" spans="2:3" ht="15" customHeight="1">
      <c r="B284" s="243"/>
      <c r="C284" s="243"/>
    </row>
    <row r="285" spans="2:3" ht="15" customHeight="1">
      <c r="B285" s="243"/>
      <c r="C285" s="243"/>
    </row>
    <row r="286" spans="2:3" ht="15" customHeight="1">
      <c r="B286" s="243"/>
      <c r="C286" s="243"/>
    </row>
    <row r="287" spans="2:3" ht="15" customHeight="1">
      <c r="B287" s="243"/>
      <c r="C287" s="243"/>
    </row>
    <row r="288" spans="2:3" ht="15" customHeight="1">
      <c r="B288" s="243"/>
      <c r="C288" s="243"/>
    </row>
    <row r="289" spans="2:3" ht="15" customHeight="1">
      <c r="B289" s="243"/>
      <c r="C289" s="243"/>
    </row>
    <row r="290" spans="2:3" ht="15" customHeight="1">
      <c r="B290" s="243"/>
      <c r="C290" s="243"/>
    </row>
    <row r="291" spans="2:3" ht="15" customHeight="1">
      <c r="B291" s="243"/>
      <c r="C291" s="243"/>
    </row>
    <row r="292" spans="2:3" ht="15" customHeight="1">
      <c r="B292" s="243"/>
      <c r="C292" s="243"/>
    </row>
    <row r="293" spans="2:3" ht="15" customHeight="1">
      <c r="B293" s="243"/>
      <c r="C293" s="243"/>
    </row>
    <row r="294" spans="2:3" ht="15" customHeight="1">
      <c r="B294" s="243"/>
      <c r="C294" s="243"/>
    </row>
    <row r="295" spans="2:3" ht="15" customHeight="1">
      <c r="B295" s="243"/>
      <c r="C295" s="243"/>
    </row>
    <row r="296" spans="2:3" ht="15" customHeight="1">
      <c r="B296" s="243"/>
      <c r="C296" s="243"/>
    </row>
    <row r="297" spans="2:3" ht="15" customHeight="1">
      <c r="B297" s="243"/>
      <c r="C297" s="243"/>
    </row>
    <row r="298" spans="2:3" ht="15" customHeight="1">
      <c r="B298" s="243"/>
      <c r="C298" s="243"/>
    </row>
    <row r="299" spans="2:3" ht="15" customHeight="1">
      <c r="B299" s="243"/>
      <c r="C299" s="243"/>
    </row>
    <row r="300" spans="2:3" ht="15" customHeight="1">
      <c r="B300" s="243"/>
      <c r="C300" s="243"/>
    </row>
    <row r="301" spans="2:3" ht="15" customHeight="1">
      <c r="B301" s="243"/>
      <c r="C301" s="243"/>
    </row>
    <row r="302" spans="2:3" ht="15" customHeight="1">
      <c r="B302" s="243"/>
      <c r="C302" s="243"/>
    </row>
    <row r="303" spans="2:3" ht="15" customHeight="1">
      <c r="B303" s="243"/>
      <c r="C303" s="243"/>
    </row>
    <row r="304" spans="2:3" ht="15" customHeight="1">
      <c r="B304" s="243"/>
      <c r="C304" s="243"/>
    </row>
    <row r="305" spans="2:3" ht="15" customHeight="1">
      <c r="B305" s="243"/>
      <c r="C305" s="243"/>
    </row>
    <row r="306" spans="2:3" ht="15" customHeight="1">
      <c r="B306" s="243"/>
      <c r="C306" s="243"/>
    </row>
    <row r="307" spans="2:3" ht="15" customHeight="1">
      <c r="B307" s="243"/>
      <c r="C307" s="243"/>
    </row>
    <row r="308" spans="2:3" ht="15" customHeight="1">
      <c r="B308" s="243"/>
      <c r="C308" s="243"/>
    </row>
    <row r="309" spans="2:3" ht="15" customHeight="1">
      <c r="B309" s="243"/>
      <c r="C309" s="243"/>
    </row>
    <row r="310" spans="2:3" ht="15" customHeight="1">
      <c r="B310" s="243"/>
      <c r="C310" s="243"/>
    </row>
    <row r="311" spans="2:3" ht="15" customHeight="1">
      <c r="B311" s="243"/>
      <c r="C311" s="243"/>
    </row>
    <row r="312" spans="2:3" ht="15" customHeight="1">
      <c r="B312" s="243"/>
      <c r="C312" s="243"/>
    </row>
    <row r="313" spans="2:3" ht="15" customHeight="1">
      <c r="B313" s="243"/>
      <c r="C313" s="243"/>
    </row>
    <row r="314" spans="2:3" ht="15" customHeight="1">
      <c r="B314" s="243"/>
      <c r="C314" s="243"/>
    </row>
    <row r="315" spans="2:3" ht="15" customHeight="1">
      <c r="B315" s="243"/>
      <c r="C315" s="243"/>
    </row>
    <row r="316" spans="2:3" ht="15" customHeight="1">
      <c r="B316" s="243"/>
      <c r="C316" s="243"/>
    </row>
    <row r="317" spans="2:3" ht="15" customHeight="1">
      <c r="B317" s="243"/>
      <c r="C317" s="243"/>
    </row>
    <row r="318" spans="2:3" ht="15" customHeight="1">
      <c r="B318" s="243"/>
      <c r="C318" s="243"/>
    </row>
    <row r="319" spans="2:3" ht="15" customHeight="1">
      <c r="B319" s="243"/>
      <c r="C319" s="243"/>
    </row>
    <row r="320" spans="2:3" ht="15" customHeight="1">
      <c r="B320" s="243"/>
      <c r="C320" s="243"/>
    </row>
    <row r="321" spans="2:3" ht="15" customHeight="1">
      <c r="B321" s="243"/>
      <c r="C321" s="243"/>
    </row>
    <row r="322" spans="2:3" ht="15" customHeight="1">
      <c r="B322" s="243"/>
      <c r="C322" s="243"/>
    </row>
    <row r="323" spans="2:3" ht="15" customHeight="1">
      <c r="B323" s="243"/>
      <c r="C323" s="243"/>
    </row>
    <row r="324" spans="2:3" ht="15" customHeight="1">
      <c r="B324" s="243"/>
      <c r="C324" s="243"/>
    </row>
    <row r="325" spans="2:3" ht="15" customHeight="1">
      <c r="B325" s="243"/>
      <c r="C325" s="243"/>
    </row>
    <row r="326" spans="2:3" ht="15" customHeight="1">
      <c r="B326" s="243"/>
      <c r="C326" s="243"/>
    </row>
    <row r="327" spans="2:3" ht="15" customHeight="1">
      <c r="B327" s="243"/>
      <c r="C327" s="243"/>
    </row>
    <row r="328" spans="2:3" ht="15" customHeight="1">
      <c r="B328" s="243"/>
      <c r="C328" s="243"/>
    </row>
    <row r="329" spans="2:3" ht="15" customHeight="1">
      <c r="B329" s="243"/>
      <c r="C329" s="243"/>
    </row>
    <row r="330" spans="2:3" ht="15" customHeight="1">
      <c r="B330" s="243"/>
      <c r="C330" s="243"/>
    </row>
    <row r="331" spans="2:3" ht="15" customHeight="1">
      <c r="B331" s="243"/>
      <c r="C331" s="243"/>
    </row>
    <row r="332" spans="2:3" ht="15" customHeight="1">
      <c r="B332" s="243"/>
      <c r="C332" s="243"/>
    </row>
    <row r="333" spans="2:3" ht="15" customHeight="1">
      <c r="B333" s="243"/>
      <c r="C333" s="243"/>
    </row>
    <row r="334" spans="2:3" ht="15" customHeight="1">
      <c r="B334" s="243"/>
      <c r="C334" s="243"/>
    </row>
    <row r="335" spans="2:3" ht="15" customHeight="1">
      <c r="B335" s="243"/>
      <c r="C335" s="243"/>
    </row>
    <row r="336" spans="2:3" ht="15" customHeight="1">
      <c r="B336" s="243"/>
      <c r="C336" s="243"/>
    </row>
    <row r="337" spans="2:3" ht="15" customHeight="1">
      <c r="B337" s="243"/>
      <c r="C337" s="243"/>
    </row>
    <row r="338" spans="2:3" ht="15" customHeight="1">
      <c r="B338" s="243"/>
      <c r="C338" s="243"/>
    </row>
    <row r="339" spans="2:3" ht="15" customHeight="1">
      <c r="B339" s="243"/>
      <c r="C339" s="243"/>
    </row>
    <row r="340" spans="2:3" ht="15" customHeight="1">
      <c r="B340" s="243"/>
      <c r="C340" s="243"/>
    </row>
    <row r="341" spans="2:3" ht="15" customHeight="1">
      <c r="B341" s="243"/>
      <c r="C341" s="243"/>
    </row>
    <row r="342" spans="2:3" ht="15" customHeight="1">
      <c r="B342" s="243"/>
      <c r="C342" s="243"/>
    </row>
    <row r="343" spans="2:3" ht="15" customHeight="1">
      <c r="B343" s="243"/>
      <c r="C343" s="243"/>
    </row>
    <row r="344" spans="2:3" ht="15" customHeight="1">
      <c r="B344" s="243"/>
      <c r="C344" s="243"/>
    </row>
    <row r="345" spans="2:3" ht="15" customHeight="1">
      <c r="B345" s="243"/>
      <c r="C345" s="243"/>
    </row>
    <row r="346" spans="2:3" ht="15" customHeight="1">
      <c r="B346" s="243"/>
      <c r="C346" s="243"/>
    </row>
    <row r="347" spans="2:3" ht="15" customHeight="1">
      <c r="B347" s="243"/>
      <c r="C347" s="243"/>
    </row>
    <row r="348" spans="2:3" ht="15" customHeight="1">
      <c r="B348" s="243"/>
      <c r="C348" s="243"/>
    </row>
    <row r="349" spans="2:3" ht="15" customHeight="1">
      <c r="B349" s="243"/>
      <c r="C349" s="243"/>
    </row>
    <row r="350" spans="2:3" ht="15" customHeight="1">
      <c r="B350" s="243"/>
      <c r="C350" s="243"/>
    </row>
    <row r="351" spans="2:3" ht="15" customHeight="1">
      <c r="B351" s="243"/>
      <c r="C351" s="243"/>
    </row>
    <row r="352" spans="2:3" ht="15" customHeight="1">
      <c r="B352" s="243"/>
      <c r="C352" s="243"/>
    </row>
    <row r="353" spans="2:3" ht="15" customHeight="1">
      <c r="B353" s="243"/>
      <c r="C353" s="243"/>
    </row>
    <row r="354" spans="2:3" ht="15" customHeight="1">
      <c r="B354" s="243"/>
      <c r="C354" s="243"/>
    </row>
    <row r="355" spans="2:3" ht="15" customHeight="1">
      <c r="B355" s="243"/>
      <c r="C355" s="243"/>
    </row>
    <row r="356" spans="2:3" ht="15" customHeight="1">
      <c r="B356" s="243"/>
      <c r="C356" s="243"/>
    </row>
    <row r="357" spans="2:3" ht="15" customHeight="1">
      <c r="B357" s="243"/>
      <c r="C357" s="243"/>
    </row>
    <row r="358" spans="2:3" ht="15" customHeight="1">
      <c r="B358" s="243"/>
      <c r="C358" s="243"/>
    </row>
    <row r="359" spans="2:3" ht="15" customHeight="1">
      <c r="B359" s="243"/>
      <c r="C359" s="243"/>
    </row>
    <row r="360" spans="2:3" ht="15" customHeight="1">
      <c r="B360" s="243"/>
      <c r="C360" s="243"/>
    </row>
    <row r="361" spans="2:3" ht="15" customHeight="1">
      <c r="B361" s="243"/>
      <c r="C361" s="243"/>
    </row>
    <row r="362" spans="2:3" ht="15" customHeight="1">
      <c r="B362" s="243"/>
      <c r="C362" s="243"/>
    </row>
    <row r="363" spans="2:3" ht="15" customHeight="1">
      <c r="B363" s="243"/>
      <c r="C363" s="243"/>
    </row>
    <row r="364" spans="2:3" ht="15" customHeight="1">
      <c r="B364" s="243"/>
      <c r="C364" s="243"/>
    </row>
    <row r="365" spans="2:3" ht="15" customHeight="1">
      <c r="B365" s="243"/>
      <c r="C365" s="243"/>
    </row>
    <row r="366" spans="2:3" ht="15" customHeight="1">
      <c r="B366" s="243"/>
      <c r="C366" s="243"/>
    </row>
    <row r="367" spans="2:3" ht="15" customHeight="1">
      <c r="B367" s="243"/>
      <c r="C367" s="243"/>
    </row>
    <row r="368" spans="2:3" ht="15" customHeight="1">
      <c r="B368" s="243"/>
      <c r="C368" s="243"/>
    </row>
    <row r="369" spans="2:3" ht="15" customHeight="1">
      <c r="B369" s="243"/>
      <c r="C369" s="243"/>
    </row>
    <row r="370" spans="2:3" ht="15" customHeight="1">
      <c r="B370" s="243"/>
      <c r="C370" s="243"/>
    </row>
    <row r="371" spans="2:3" ht="15" customHeight="1">
      <c r="B371" s="243"/>
      <c r="C371" s="243"/>
    </row>
    <row r="372" spans="2:3" ht="15" customHeight="1">
      <c r="B372" s="243"/>
      <c r="C372" s="243"/>
    </row>
    <row r="373" spans="2:3" ht="15" customHeight="1">
      <c r="B373" s="243"/>
      <c r="C373" s="243"/>
    </row>
    <row r="374" spans="2:3" ht="15" customHeight="1">
      <c r="B374" s="243"/>
      <c r="C374" s="243"/>
    </row>
    <row r="375" spans="2:3" ht="15" customHeight="1">
      <c r="B375" s="243"/>
      <c r="C375" s="243"/>
    </row>
    <row r="376" spans="2:3" ht="15" customHeight="1">
      <c r="B376" s="243"/>
      <c r="C376" s="243"/>
    </row>
    <row r="377" spans="2:3" ht="15" customHeight="1">
      <c r="B377" s="243"/>
      <c r="C377" s="243"/>
    </row>
    <row r="378" spans="2:3" ht="15" customHeight="1">
      <c r="B378" s="243"/>
      <c r="C378" s="243"/>
    </row>
    <row r="379" spans="2:3" ht="15" customHeight="1">
      <c r="B379" s="243"/>
      <c r="C379" s="243"/>
    </row>
    <row r="380" spans="2:3" ht="15" customHeight="1">
      <c r="B380" s="243"/>
      <c r="C380" s="243"/>
    </row>
    <row r="381" spans="2:3" ht="15" customHeight="1">
      <c r="B381" s="243"/>
      <c r="C381" s="243"/>
    </row>
    <row r="382" spans="2:3" ht="15" customHeight="1">
      <c r="B382" s="243"/>
      <c r="C382" s="243"/>
    </row>
    <row r="383" spans="2:3" ht="15" customHeight="1">
      <c r="B383" s="243"/>
      <c r="C383" s="243"/>
    </row>
    <row r="384" spans="2:3" ht="15" customHeight="1">
      <c r="B384" s="243"/>
      <c r="C384" s="243"/>
    </row>
    <row r="385" spans="2:3" ht="15" customHeight="1">
      <c r="B385" s="243"/>
      <c r="C385" s="243"/>
    </row>
    <row r="386" spans="2:3" ht="15" customHeight="1">
      <c r="B386" s="243"/>
      <c r="C386" s="243"/>
    </row>
    <row r="387" spans="2:3" ht="15" customHeight="1">
      <c r="B387" s="243"/>
      <c r="C387" s="243"/>
    </row>
    <row r="388" spans="2:3" ht="15" customHeight="1">
      <c r="B388" s="243"/>
      <c r="C388" s="243"/>
    </row>
    <row r="389" spans="2:3" ht="15" customHeight="1">
      <c r="B389" s="243"/>
      <c r="C389" s="243"/>
    </row>
    <row r="390" spans="2:3" ht="15" customHeight="1">
      <c r="B390" s="243"/>
      <c r="C390" s="243"/>
    </row>
    <row r="391" spans="2:3" ht="15" customHeight="1">
      <c r="B391" s="243"/>
      <c r="C391" s="243"/>
    </row>
    <row r="392" spans="2:3" ht="15" customHeight="1">
      <c r="B392" s="243"/>
      <c r="C392" s="243"/>
    </row>
    <row r="393" spans="2:3" ht="15" customHeight="1">
      <c r="B393" s="243"/>
      <c r="C393" s="243"/>
    </row>
    <row r="394" spans="2:3" ht="15" customHeight="1">
      <c r="B394" s="243"/>
      <c r="C394" s="243"/>
    </row>
    <row r="395" spans="2:3" ht="15" customHeight="1">
      <c r="B395" s="243"/>
      <c r="C395" s="243"/>
    </row>
    <row r="396" spans="2:3" ht="15" customHeight="1">
      <c r="B396" s="243"/>
      <c r="C396" s="243"/>
    </row>
    <row r="397" spans="2:3" ht="15" customHeight="1">
      <c r="B397" s="243"/>
      <c r="C397" s="243"/>
    </row>
    <row r="398" spans="2:3" ht="15" customHeight="1">
      <c r="B398" s="243"/>
      <c r="C398" s="243"/>
    </row>
    <row r="399" spans="2:3" ht="15" customHeight="1">
      <c r="B399" s="243"/>
      <c r="C399" s="243"/>
    </row>
    <row r="400" spans="2:3" ht="15" customHeight="1">
      <c r="B400" s="243"/>
      <c r="C400" s="243"/>
    </row>
    <row r="401" spans="2:3" ht="15" customHeight="1">
      <c r="B401" s="243"/>
      <c r="C401" s="243"/>
    </row>
    <row r="402" spans="2:3" ht="15" customHeight="1">
      <c r="B402" s="243"/>
      <c r="C402" s="243"/>
    </row>
    <row r="403" spans="2:3" ht="15" customHeight="1">
      <c r="B403" s="243"/>
      <c r="C403" s="243"/>
    </row>
    <row r="404" spans="2:3" ht="15" customHeight="1">
      <c r="B404" s="243"/>
      <c r="C404" s="243"/>
    </row>
    <row r="405" spans="2:3" ht="15" customHeight="1">
      <c r="B405" s="243"/>
      <c r="C405" s="243"/>
    </row>
    <row r="406" spans="2:3" ht="15" customHeight="1">
      <c r="B406" s="243"/>
      <c r="C406" s="243"/>
    </row>
    <row r="407" spans="2:3" ht="15" customHeight="1">
      <c r="B407" s="243"/>
      <c r="C407" s="243"/>
    </row>
    <row r="408" spans="2:3" ht="15" customHeight="1">
      <c r="B408" s="243"/>
      <c r="C408" s="243"/>
    </row>
    <row r="409" spans="2:3" ht="15" customHeight="1">
      <c r="B409" s="243"/>
      <c r="C409" s="243"/>
    </row>
    <row r="410" spans="2:3" ht="15" customHeight="1">
      <c r="B410" s="243"/>
      <c r="C410" s="243"/>
    </row>
    <row r="411" spans="2:3" ht="15" customHeight="1">
      <c r="B411" s="243"/>
      <c r="C411" s="243"/>
    </row>
    <row r="412" spans="2:3" ht="15" customHeight="1">
      <c r="B412" s="243"/>
      <c r="C412" s="243"/>
    </row>
    <row r="413" spans="2:3" ht="15" customHeight="1">
      <c r="B413" s="243"/>
      <c r="C413" s="243"/>
    </row>
    <row r="414" spans="2:3" ht="15" customHeight="1">
      <c r="B414" s="243"/>
      <c r="C414" s="243"/>
    </row>
    <row r="415" spans="2:3" ht="15" customHeight="1">
      <c r="B415" s="243"/>
      <c r="C415" s="243"/>
    </row>
    <row r="416" spans="2:3" ht="15" customHeight="1">
      <c r="B416" s="243"/>
      <c r="C416" s="243"/>
    </row>
    <row r="417" spans="2:3" ht="15" customHeight="1">
      <c r="B417" s="243"/>
      <c r="C417" s="243"/>
    </row>
    <row r="418" spans="2:3" ht="15" customHeight="1">
      <c r="B418" s="243"/>
      <c r="C418" s="243"/>
    </row>
    <row r="419" spans="2:3" ht="15" customHeight="1">
      <c r="B419" s="243"/>
      <c r="C419" s="243"/>
    </row>
    <row r="420" spans="2:3" ht="15" customHeight="1">
      <c r="B420" s="243"/>
      <c r="C420" s="243"/>
    </row>
    <row r="421" spans="2:3" ht="15" customHeight="1">
      <c r="B421" s="243"/>
      <c r="C421" s="243"/>
    </row>
    <row r="422" spans="2:3" ht="15" customHeight="1">
      <c r="B422" s="243"/>
      <c r="C422" s="243"/>
    </row>
    <row r="423" spans="2:3" ht="15" customHeight="1">
      <c r="B423" s="243"/>
      <c r="C423" s="243"/>
    </row>
    <row r="424" spans="2:3" ht="15" customHeight="1">
      <c r="B424" s="243"/>
      <c r="C424" s="243"/>
    </row>
    <row r="425" spans="2:3" ht="15" customHeight="1">
      <c r="B425" s="243"/>
      <c r="C425" s="243"/>
    </row>
    <row r="426" spans="2:3" ht="15" customHeight="1">
      <c r="B426" s="243"/>
      <c r="C426" s="243"/>
    </row>
    <row r="427" spans="2:3" ht="15" customHeight="1">
      <c r="B427" s="243"/>
      <c r="C427" s="243"/>
    </row>
    <row r="428" spans="2:3" ht="15" customHeight="1">
      <c r="B428" s="243"/>
      <c r="C428" s="243"/>
    </row>
    <row r="429" spans="2:3" ht="15" customHeight="1">
      <c r="B429" s="243"/>
      <c r="C429" s="243"/>
    </row>
    <row r="430" spans="2:3" ht="15" customHeight="1">
      <c r="B430" s="243"/>
      <c r="C430" s="243"/>
    </row>
    <row r="431" spans="2:3" ht="15" customHeight="1">
      <c r="B431" s="243"/>
      <c r="C431" s="243"/>
    </row>
    <row r="432" spans="2:3" ht="15" customHeight="1">
      <c r="B432" s="243"/>
      <c r="C432" s="243"/>
    </row>
    <row r="433" spans="2:3" ht="15" customHeight="1">
      <c r="B433" s="243"/>
      <c r="C433" s="243"/>
    </row>
    <row r="434" spans="2:3" ht="15" customHeight="1">
      <c r="B434" s="243"/>
      <c r="C434" s="243"/>
    </row>
    <row r="435" spans="2:3" ht="15" customHeight="1">
      <c r="B435" s="243"/>
      <c r="C435" s="243"/>
    </row>
    <row r="436" spans="2:3" ht="15" customHeight="1">
      <c r="B436" s="243"/>
      <c r="C436" s="243"/>
    </row>
    <row r="437" spans="2:3" ht="15" customHeight="1">
      <c r="B437" s="243"/>
      <c r="C437" s="243"/>
    </row>
    <row r="438" spans="2:3" ht="15" customHeight="1">
      <c r="B438" s="243"/>
      <c r="C438" s="243"/>
    </row>
    <row r="439" spans="2:3" ht="15" customHeight="1">
      <c r="B439" s="243"/>
      <c r="C439" s="243"/>
    </row>
    <row r="440" spans="2:3" ht="15" customHeight="1">
      <c r="B440" s="243"/>
      <c r="C440" s="243"/>
    </row>
    <row r="441" spans="2:3" ht="15" customHeight="1">
      <c r="B441" s="243"/>
      <c r="C441" s="243"/>
    </row>
    <row r="442" spans="2:3" ht="15" customHeight="1">
      <c r="B442" s="243"/>
      <c r="C442" s="243"/>
    </row>
    <row r="443" spans="2:3" ht="15" customHeight="1">
      <c r="B443" s="243"/>
      <c r="C443" s="243"/>
    </row>
    <row r="444" spans="2:3" ht="15" customHeight="1">
      <c r="B444" s="243"/>
      <c r="C444" s="243"/>
    </row>
    <row r="445" spans="2:3" ht="15" customHeight="1">
      <c r="B445" s="243"/>
      <c r="C445" s="243"/>
    </row>
    <row r="446" spans="2:3" ht="15" customHeight="1">
      <c r="B446" s="243"/>
      <c r="C446" s="243"/>
    </row>
    <row r="447" spans="2:3" ht="15" customHeight="1">
      <c r="B447" s="243"/>
      <c r="C447" s="243"/>
    </row>
    <row r="448" spans="2:3" ht="15" customHeight="1">
      <c r="B448" s="243"/>
      <c r="C448" s="243"/>
    </row>
    <row r="449" spans="2:3" ht="15" customHeight="1">
      <c r="B449" s="243"/>
      <c r="C449" s="243"/>
    </row>
    <row r="450" spans="2:3" ht="15" customHeight="1">
      <c r="B450" s="243"/>
      <c r="C450" s="243"/>
    </row>
    <row r="451" spans="2:3" ht="15" customHeight="1">
      <c r="B451" s="243"/>
      <c r="C451" s="243"/>
    </row>
    <row r="452" spans="2:3" ht="15" customHeight="1">
      <c r="B452" s="243"/>
      <c r="C452" s="243"/>
    </row>
    <row r="453" spans="2:3" ht="15" customHeight="1">
      <c r="B453" s="243"/>
      <c r="C453" s="243"/>
    </row>
    <row r="454" spans="2:3" ht="15" customHeight="1">
      <c r="B454" s="243"/>
      <c r="C454" s="243"/>
    </row>
    <row r="455" spans="2:3" ht="15" customHeight="1">
      <c r="B455" s="243"/>
      <c r="C455" s="243"/>
    </row>
    <row r="456" spans="2:3" ht="15" customHeight="1">
      <c r="B456" s="243"/>
      <c r="C456" s="243"/>
    </row>
    <row r="457" spans="2:3" ht="15" customHeight="1">
      <c r="B457" s="243"/>
      <c r="C457" s="243"/>
    </row>
    <row r="458" spans="2:3" ht="15" customHeight="1">
      <c r="B458" s="243"/>
      <c r="C458" s="243"/>
    </row>
    <row r="459" spans="2:3" ht="15" customHeight="1">
      <c r="B459" s="243"/>
      <c r="C459" s="243"/>
    </row>
    <row r="460" spans="2:3" ht="15" customHeight="1">
      <c r="B460" s="243"/>
      <c r="C460" s="243"/>
    </row>
    <row r="461" spans="2:3" ht="15" customHeight="1">
      <c r="B461" s="243"/>
      <c r="C461" s="243"/>
    </row>
    <row r="462" spans="2:3" ht="15" customHeight="1">
      <c r="B462" s="243"/>
      <c r="C462" s="243"/>
    </row>
    <row r="463" spans="2:3" ht="15" customHeight="1">
      <c r="B463" s="243"/>
      <c r="C463" s="243"/>
    </row>
    <row r="464" spans="2:3" ht="15" customHeight="1">
      <c r="B464" s="243"/>
      <c r="C464" s="243"/>
    </row>
    <row r="465" spans="2:3" ht="15" customHeight="1">
      <c r="B465" s="243"/>
      <c r="C465" s="243"/>
    </row>
    <row r="466" spans="2:3" ht="15" customHeight="1">
      <c r="B466" s="243"/>
      <c r="C466" s="243"/>
    </row>
    <row r="467" spans="2:3" ht="15" customHeight="1">
      <c r="B467" s="243"/>
      <c r="C467" s="243"/>
    </row>
    <row r="468" spans="2:3" ht="15" customHeight="1">
      <c r="B468" s="243"/>
      <c r="C468" s="243"/>
    </row>
    <row r="469" spans="2:3" ht="15" customHeight="1">
      <c r="B469" s="243"/>
      <c r="C469" s="243"/>
    </row>
    <row r="470" spans="2:3" ht="15" customHeight="1">
      <c r="B470" s="243"/>
      <c r="C470" s="243"/>
    </row>
    <row r="471" spans="2:3" ht="15" customHeight="1">
      <c r="B471" s="243"/>
      <c r="C471" s="243"/>
    </row>
    <row r="472" spans="2:3" ht="15" customHeight="1">
      <c r="B472" s="243"/>
      <c r="C472" s="243"/>
    </row>
    <row r="473" spans="2:3" ht="15" customHeight="1">
      <c r="B473" s="243"/>
      <c r="C473" s="243"/>
    </row>
    <row r="474" spans="2:3" ht="15" customHeight="1">
      <c r="B474" s="243"/>
      <c r="C474" s="243"/>
    </row>
    <row r="475" spans="2:3" ht="15" customHeight="1">
      <c r="B475" s="243"/>
      <c r="C475" s="243"/>
    </row>
    <row r="476" spans="2:3" ht="15" customHeight="1">
      <c r="B476" s="243"/>
      <c r="C476" s="243"/>
    </row>
    <row r="477" spans="2:3" ht="15" customHeight="1">
      <c r="B477" s="243"/>
      <c r="C477" s="243"/>
    </row>
    <row r="478" spans="2:3" ht="15" customHeight="1">
      <c r="B478" s="243"/>
      <c r="C478" s="243"/>
    </row>
    <row r="479" spans="2:3" ht="15" customHeight="1">
      <c r="B479" s="243"/>
      <c r="C479" s="243"/>
    </row>
    <row r="480" spans="2:3" ht="15" customHeight="1">
      <c r="B480" s="243"/>
      <c r="C480" s="243"/>
    </row>
    <row r="481" spans="2:3" ht="15" customHeight="1">
      <c r="B481" s="243"/>
      <c r="C481" s="243"/>
    </row>
    <row r="482" spans="2:3" ht="15" customHeight="1">
      <c r="B482" s="243"/>
      <c r="C482" s="243"/>
    </row>
    <row r="483" spans="2:3" ht="15" customHeight="1">
      <c r="B483" s="243"/>
      <c r="C483" s="243"/>
    </row>
    <row r="484" spans="2:3" ht="15" customHeight="1">
      <c r="B484" s="243"/>
      <c r="C484" s="243"/>
    </row>
    <row r="485" spans="2:3" ht="15" customHeight="1">
      <c r="B485" s="243"/>
      <c r="C485" s="243"/>
    </row>
    <row r="486" spans="2:3" ht="15" customHeight="1">
      <c r="B486" s="243"/>
      <c r="C486" s="243"/>
    </row>
    <row r="487" spans="2:3" ht="15" customHeight="1">
      <c r="B487" s="243"/>
      <c r="C487" s="243"/>
    </row>
    <row r="488" spans="2:3" ht="15" customHeight="1">
      <c r="B488" s="243"/>
      <c r="C488" s="243"/>
    </row>
    <row r="489" spans="2:3" ht="15" customHeight="1">
      <c r="B489" s="243"/>
      <c r="C489" s="243"/>
    </row>
    <row r="490" spans="2:3" ht="15" customHeight="1">
      <c r="B490" s="243"/>
      <c r="C490" s="243"/>
    </row>
    <row r="491" spans="2:3" ht="15" customHeight="1">
      <c r="B491" s="243"/>
      <c r="C491" s="243"/>
    </row>
    <row r="492" spans="2:3" ht="15" customHeight="1">
      <c r="B492" s="243"/>
      <c r="C492" s="243"/>
    </row>
    <row r="493" spans="2:3" ht="15" customHeight="1">
      <c r="B493" s="243"/>
      <c r="C493" s="243"/>
    </row>
    <row r="494" spans="2:3" ht="15" customHeight="1">
      <c r="B494" s="243"/>
      <c r="C494" s="243"/>
    </row>
    <row r="495" spans="2:3" ht="15" customHeight="1">
      <c r="B495" s="243"/>
      <c r="C495" s="243"/>
    </row>
    <row r="496" spans="2:3" ht="15" customHeight="1">
      <c r="B496" s="243"/>
      <c r="C496" s="243"/>
    </row>
    <row r="497" spans="2:3" ht="15" customHeight="1">
      <c r="B497" s="243"/>
      <c r="C497" s="243"/>
    </row>
    <row r="498" spans="2:3" ht="15" customHeight="1">
      <c r="B498" s="243"/>
      <c r="C498" s="243"/>
    </row>
    <row r="499" spans="2:3" ht="15" customHeight="1">
      <c r="B499" s="243"/>
      <c r="C499" s="243"/>
    </row>
    <row r="500" spans="2:3" ht="15" customHeight="1">
      <c r="B500" s="243"/>
      <c r="C500" s="243"/>
    </row>
    <row r="501" spans="2:3" ht="15" customHeight="1">
      <c r="B501" s="243"/>
      <c r="C501" s="243"/>
    </row>
    <row r="502" spans="2:3" ht="15" customHeight="1">
      <c r="B502" s="243"/>
      <c r="C502" s="243"/>
    </row>
    <row r="503" spans="2:3" ht="15" customHeight="1">
      <c r="B503" s="243"/>
      <c r="C503" s="243"/>
    </row>
    <row r="504" spans="2:3" ht="15" customHeight="1">
      <c r="B504" s="243"/>
      <c r="C504" s="243"/>
    </row>
    <row r="505" spans="2:3" ht="15" customHeight="1">
      <c r="B505" s="243"/>
      <c r="C505" s="243"/>
    </row>
    <row r="506" spans="2:3" ht="15" customHeight="1">
      <c r="B506" s="243"/>
      <c r="C506" s="243"/>
    </row>
    <row r="507" spans="2:3" ht="15" customHeight="1">
      <c r="B507" s="243"/>
      <c r="C507" s="243"/>
    </row>
    <row r="508" spans="2:3" ht="15" customHeight="1">
      <c r="B508" s="243"/>
      <c r="C508" s="243"/>
    </row>
    <row r="509" spans="2:3" ht="15" customHeight="1">
      <c r="B509" s="243"/>
      <c r="C509" s="243"/>
    </row>
    <row r="510" spans="2:3" ht="15" customHeight="1">
      <c r="B510" s="243"/>
      <c r="C510" s="243"/>
    </row>
    <row r="511" spans="2:3" ht="15" customHeight="1">
      <c r="B511" s="243"/>
      <c r="C511" s="243"/>
    </row>
    <row r="512" spans="2:3" ht="15" customHeight="1">
      <c r="B512" s="243"/>
      <c r="C512" s="243"/>
    </row>
    <row r="513" spans="2:3" ht="15" customHeight="1">
      <c r="B513" s="243"/>
      <c r="C513" s="243"/>
    </row>
    <row r="514" spans="2:3" ht="15" customHeight="1">
      <c r="B514" s="243"/>
      <c r="C514" s="243"/>
    </row>
    <row r="515" spans="2:3" ht="15" customHeight="1">
      <c r="B515" s="243"/>
      <c r="C515" s="243"/>
    </row>
    <row r="516" spans="2:3" ht="15" customHeight="1">
      <c r="B516" s="243"/>
      <c r="C516" s="243"/>
    </row>
    <row r="517" spans="2:3" ht="15" customHeight="1">
      <c r="B517" s="243"/>
      <c r="C517" s="243"/>
    </row>
    <row r="518" spans="2:3" ht="15" customHeight="1">
      <c r="B518" s="243"/>
      <c r="C518" s="243"/>
    </row>
    <row r="519" spans="2:3" ht="15" customHeight="1">
      <c r="B519" s="243"/>
      <c r="C519" s="243"/>
    </row>
    <row r="520" spans="2:3" ht="15" customHeight="1">
      <c r="B520" s="243"/>
      <c r="C520" s="243"/>
    </row>
    <row r="521" spans="2:3" ht="15" customHeight="1">
      <c r="B521" s="243"/>
      <c r="C521" s="243"/>
    </row>
    <row r="522" spans="2:3" ht="15" customHeight="1">
      <c r="B522" s="243"/>
      <c r="C522" s="243"/>
    </row>
    <row r="523" spans="2:3" ht="15" customHeight="1">
      <c r="B523" s="243"/>
      <c r="C523" s="243"/>
    </row>
    <row r="524" spans="2:3" ht="15" customHeight="1">
      <c r="B524" s="243"/>
      <c r="C524" s="243"/>
    </row>
    <row r="525" spans="2:3" ht="15" customHeight="1">
      <c r="B525" s="243"/>
      <c r="C525" s="243"/>
    </row>
    <row r="526" spans="2:3" ht="15" customHeight="1">
      <c r="B526" s="243"/>
      <c r="C526" s="243"/>
    </row>
    <row r="527" spans="2:3" ht="15" customHeight="1">
      <c r="B527" s="243"/>
      <c r="C527" s="243"/>
    </row>
    <row r="528" spans="2:3" ht="15" customHeight="1">
      <c r="B528" s="243"/>
      <c r="C528" s="243"/>
    </row>
    <row r="529" spans="2:3" ht="15" customHeight="1">
      <c r="B529" s="243"/>
      <c r="C529" s="243"/>
    </row>
    <row r="530" spans="2:3" ht="15" customHeight="1">
      <c r="B530" s="243"/>
      <c r="C530" s="243"/>
    </row>
    <row r="531" spans="2:3" ht="15" customHeight="1">
      <c r="B531" s="243"/>
      <c r="C531" s="243"/>
    </row>
    <row r="532" spans="2:3" ht="15" customHeight="1">
      <c r="B532" s="243"/>
      <c r="C532" s="243"/>
    </row>
    <row r="533" spans="2:3" ht="15" customHeight="1">
      <c r="B533" s="243"/>
      <c r="C533" s="243"/>
    </row>
    <row r="534" spans="2:3" ht="15" customHeight="1">
      <c r="B534" s="243"/>
      <c r="C534" s="243"/>
    </row>
    <row r="535" spans="2:3" ht="15" customHeight="1">
      <c r="B535" s="243"/>
      <c r="C535" s="243"/>
    </row>
    <row r="536" spans="2:3" ht="15" customHeight="1">
      <c r="B536" s="243"/>
      <c r="C536" s="243"/>
    </row>
    <row r="537" spans="2:3" ht="15" customHeight="1">
      <c r="B537" s="243"/>
      <c r="C537" s="243"/>
    </row>
    <row r="538" spans="2:3" ht="15" customHeight="1">
      <c r="B538" s="243"/>
      <c r="C538" s="243"/>
    </row>
    <row r="539" spans="2:3" ht="15" customHeight="1">
      <c r="B539" s="243"/>
      <c r="C539" s="243"/>
    </row>
    <row r="540" spans="2:3" ht="15" customHeight="1">
      <c r="B540" s="243"/>
      <c r="C540" s="243"/>
    </row>
    <row r="541" spans="2:3" ht="15" customHeight="1">
      <c r="B541" s="243"/>
      <c r="C541" s="243"/>
    </row>
    <row r="542" spans="2:3" ht="15" customHeight="1">
      <c r="B542" s="243"/>
      <c r="C542" s="243"/>
    </row>
    <row r="543" spans="2:3" ht="15" customHeight="1">
      <c r="B543" s="243"/>
      <c r="C543" s="243"/>
    </row>
    <row r="544" spans="2:3" ht="15" customHeight="1">
      <c r="B544" s="243"/>
      <c r="C544" s="243"/>
    </row>
    <row r="545" spans="2:3" ht="15" customHeight="1">
      <c r="B545" s="243"/>
      <c r="C545" s="243"/>
    </row>
    <row r="546" spans="2:3" ht="15" customHeight="1">
      <c r="B546" s="243"/>
      <c r="C546" s="243"/>
    </row>
    <row r="547" spans="2:3" ht="15" customHeight="1">
      <c r="B547" s="243"/>
      <c r="C547" s="243"/>
    </row>
    <row r="548" spans="2:3" ht="15" customHeight="1">
      <c r="B548" s="243"/>
      <c r="C548" s="243"/>
    </row>
    <row r="549" spans="2:3" ht="15" customHeight="1">
      <c r="B549" s="243"/>
      <c r="C549" s="243"/>
    </row>
    <row r="550" spans="2:3" ht="15" customHeight="1">
      <c r="B550" s="243"/>
      <c r="C550" s="243"/>
    </row>
    <row r="551" spans="2:3" ht="15" customHeight="1">
      <c r="B551" s="243"/>
      <c r="C551" s="243"/>
    </row>
    <row r="552" spans="2:3" ht="15" customHeight="1">
      <c r="B552" s="243"/>
      <c r="C552" s="243"/>
    </row>
    <row r="553" spans="2:3" ht="15" customHeight="1">
      <c r="B553" s="243"/>
      <c r="C553" s="243"/>
    </row>
    <row r="554" spans="2:3" ht="15" customHeight="1">
      <c r="B554" s="243"/>
      <c r="C554" s="243"/>
    </row>
    <row r="555" spans="2:3" ht="15" customHeight="1">
      <c r="B555" s="243"/>
      <c r="C555" s="243"/>
    </row>
    <row r="556" spans="2:3" ht="15" customHeight="1">
      <c r="B556" s="243"/>
      <c r="C556" s="243"/>
    </row>
    <row r="557" spans="2:3" ht="15" customHeight="1">
      <c r="B557" s="243"/>
      <c r="C557" s="243"/>
    </row>
    <row r="558" spans="2:3" ht="15" customHeight="1">
      <c r="B558" s="243"/>
      <c r="C558" s="243"/>
    </row>
    <row r="559" spans="2:3" ht="15" customHeight="1">
      <c r="B559" s="243"/>
      <c r="C559" s="243"/>
    </row>
    <row r="560" spans="2:3" ht="15" customHeight="1">
      <c r="B560" s="243"/>
      <c r="C560" s="243"/>
    </row>
    <row r="561" spans="2:3" ht="15" customHeight="1">
      <c r="B561" s="243"/>
      <c r="C561" s="243"/>
    </row>
    <row r="562" spans="2:3" ht="15" customHeight="1">
      <c r="B562" s="243"/>
      <c r="C562" s="243"/>
    </row>
    <row r="563" spans="2:3" ht="15" customHeight="1">
      <c r="B563" s="243"/>
      <c r="C563" s="243"/>
    </row>
    <row r="564" spans="2:3" ht="15" customHeight="1">
      <c r="B564" s="243"/>
      <c r="C564" s="243"/>
    </row>
    <row r="565" spans="2:3" ht="15" customHeight="1">
      <c r="B565" s="243"/>
      <c r="C565" s="243"/>
    </row>
    <row r="566" spans="2:3" ht="15" customHeight="1">
      <c r="B566" s="243"/>
      <c r="C566" s="243"/>
    </row>
    <row r="567" spans="2:3" ht="15" customHeight="1">
      <c r="B567" s="243"/>
      <c r="C567" s="243"/>
    </row>
    <row r="568" spans="2:3" ht="15" customHeight="1">
      <c r="B568" s="243"/>
      <c r="C568" s="243"/>
    </row>
    <row r="569" spans="2:3" ht="15" customHeight="1">
      <c r="B569" s="243"/>
      <c r="C569" s="243"/>
    </row>
    <row r="570" spans="2:3" ht="15" customHeight="1">
      <c r="B570" s="243"/>
      <c r="C570" s="243"/>
    </row>
    <row r="571" spans="2:3" ht="15" customHeight="1">
      <c r="B571" s="243"/>
      <c r="C571" s="243"/>
    </row>
    <row r="572" spans="2:3" ht="15" customHeight="1">
      <c r="B572" s="243"/>
      <c r="C572" s="243"/>
    </row>
    <row r="573" spans="2:3" ht="15" customHeight="1">
      <c r="B573" s="243"/>
      <c r="C573" s="243"/>
    </row>
    <row r="574" spans="2:3" ht="15" customHeight="1">
      <c r="B574" s="243"/>
      <c r="C574" s="243"/>
    </row>
    <row r="575" spans="2:3" ht="15" customHeight="1">
      <c r="B575" s="243"/>
      <c r="C575" s="243"/>
    </row>
    <row r="576" spans="2:3" ht="15" customHeight="1">
      <c r="B576" s="243"/>
      <c r="C576" s="243"/>
    </row>
    <row r="577" spans="2:3" ht="15" customHeight="1">
      <c r="B577" s="243"/>
      <c r="C577" s="243"/>
    </row>
    <row r="578" spans="2:3" ht="15" customHeight="1">
      <c r="B578" s="243"/>
      <c r="C578" s="243"/>
    </row>
    <row r="579" spans="2:3" ht="15" customHeight="1">
      <c r="B579" s="243"/>
      <c r="C579" s="243"/>
    </row>
    <row r="580" spans="2:3" ht="15" customHeight="1">
      <c r="B580" s="243"/>
      <c r="C580" s="243"/>
    </row>
    <row r="581" spans="2:3" ht="15" customHeight="1">
      <c r="B581" s="243"/>
      <c r="C581" s="243"/>
    </row>
    <row r="582" spans="2:3" ht="15" customHeight="1">
      <c r="B582" s="243"/>
      <c r="C582" s="243"/>
    </row>
    <row r="583" spans="2:3" ht="15" customHeight="1">
      <c r="B583" s="243"/>
      <c r="C583" s="243"/>
    </row>
    <row r="584" spans="2:3" ht="15" customHeight="1">
      <c r="B584" s="243"/>
      <c r="C584" s="243"/>
    </row>
    <row r="585" spans="2:3" ht="15" customHeight="1">
      <c r="B585" s="243"/>
      <c r="C585" s="243"/>
    </row>
    <row r="586" spans="2:3" ht="15" customHeight="1">
      <c r="B586" s="243"/>
      <c r="C586" s="243"/>
    </row>
    <row r="587" spans="2:3" ht="15" customHeight="1">
      <c r="B587" s="243"/>
      <c r="C587" s="243"/>
    </row>
    <row r="588" spans="2:3" ht="15" customHeight="1">
      <c r="B588" s="243"/>
      <c r="C588" s="243"/>
    </row>
    <row r="589" spans="2:3" ht="15" customHeight="1">
      <c r="B589" s="243"/>
      <c r="C589" s="243"/>
    </row>
    <row r="590" spans="2:3" ht="15" customHeight="1">
      <c r="B590" s="243"/>
      <c r="C590" s="243"/>
    </row>
    <row r="591" spans="2:3" ht="15" customHeight="1">
      <c r="B591" s="243"/>
      <c r="C591" s="243"/>
    </row>
    <row r="592" spans="2:3" ht="15" customHeight="1">
      <c r="B592" s="243"/>
      <c r="C592" s="243"/>
    </row>
    <row r="593" spans="2:3" ht="15" customHeight="1">
      <c r="B593" s="243"/>
      <c r="C593" s="243"/>
    </row>
    <row r="594" spans="2:3" ht="15" customHeight="1">
      <c r="B594" s="243"/>
      <c r="C594" s="243"/>
    </row>
    <row r="595" spans="2:3" ht="15" customHeight="1">
      <c r="B595" s="243"/>
      <c r="C595" s="243"/>
    </row>
    <row r="596" spans="2:3" ht="15" customHeight="1">
      <c r="B596" s="243"/>
      <c r="C596" s="243"/>
    </row>
    <row r="597" spans="2:3" ht="15" customHeight="1">
      <c r="B597" s="243"/>
      <c r="C597" s="243"/>
    </row>
    <row r="598" spans="2:3" ht="15" customHeight="1">
      <c r="B598" s="243"/>
      <c r="C598" s="243"/>
    </row>
    <row r="599" spans="2:3" ht="15" customHeight="1">
      <c r="B599" s="243"/>
      <c r="C599" s="243"/>
    </row>
    <row r="600" spans="2:3" ht="15" customHeight="1">
      <c r="B600" s="243"/>
      <c r="C600" s="243"/>
    </row>
    <row r="601" spans="2:3" ht="15" customHeight="1">
      <c r="B601" s="243"/>
      <c r="C601" s="243"/>
    </row>
    <row r="602" spans="2:3" ht="15" customHeight="1">
      <c r="B602" s="243"/>
      <c r="C602" s="243"/>
    </row>
    <row r="603" spans="2:3" ht="15" customHeight="1">
      <c r="B603" s="243"/>
      <c r="C603" s="243"/>
    </row>
    <row r="604" spans="2:3" ht="15" customHeight="1">
      <c r="B604" s="243"/>
      <c r="C604" s="243"/>
    </row>
    <row r="605" spans="2:3" ht="15" customHeight="1">
      <c r="B605" s="243"/>
      <c r="C605" s="243"/>
    </row>
    <row r="606" spans="2:3" ht="15" customHeight="1">
      <c r="B606" s="243"/>
      <c r="C606" s="243"/>
    </row>
    <row r="607" spans="2:3" ht="15" customHeight="1">
      <c r="B607" s="243"/>
      <c r="C607" s="243"/>
    </row>
    <row r="608" spans="2:3" ht="15" customHeight="1">
      <c r="B608" s="243"/>
      <c r="C608" s="243"/>
    </row>
    <row r="609" spans="2:3" ht="15" customHeight="1">
      <c r="B609" s="243"/>
      <c r="C609" s="243"/>
    </row>
    <row r="610" spans="2:3" ht="15" customHeight="1">
      <c r="B610" s="243"/>
      <c r="C610" s="243"/>
    </row>
    <row r="611" spans="2:3" ht="15" customHeight="1">
      <c r="B611" s="243"/>
      <c r="C611" s="243"/>
    </row>
    <row r="612" spans="2:3" ht="15" customHeight="1">
      <c r="B612" s="243"/>
      <c r="C612" s="243"/>
    </row>
    <row r="613" spans="2:3" ht="15" customHeight="1">
      <c r="B613" s="243"/>
      <c r="C613" s="243"/>
    </row>
    <row r="614" spans="2:3" ht="15" customHeight="1">
      <c r="B614" s="243"/>
      <c r="C614" s="243"/>
    </row>
    <row r="615" spans="2:3" ht="15" customHeight="1">
      <c r="B615" s="243"/>
      <c r="C615" s="243"/>
    </row>
    <row r="616" spans="2:3" ht="15" customHeight="1">
      <c r="B616" s="243"/>
      <c r="C616" s="243"/>
    </row>
    <row r="617" spans="2:3" ht="15" customHeight="1">
      <c r="B617" s="243"/>
      <c r="C617" s="243"/>
    </row>
    <row r="618" spans="2:3" ht="15" customHeight="1">
      <c r="B618" s="243"/>
      <c r="C618" s="243"/>
    </row>
    <row r="619" spans="2:3" ht="15" customHeight="1">
      <c r="B619" s="243"/>
      <c r="C619" s="243"/>
    </row>
    <row r="620" spans="2:3" ht="15" customHeight="1">
      <c r="B620" s="243"/>
      <c r="C620" s="243"/>
    </row>
    <row r="621" spans="2:3" ht="15" customHeight="1">
      <c r="B621" s="243"/>
      <c r="C621" s="243"/>
    </row>
    <row r="622" spans="2:3" ht="15" customHeight="1">
      <c r="B622" s="243"/>
      <c r="C622" s="243"/>
    </row>
    <row r="623" spans="2:3" ht="15" customHeight="1">
      <c r="B623" s="243"/>
      <c r="C623" s="243"/>
    </row>
    <row r="624" spans="2:3" ht="15" customHeight="1">
      <c r="B624" s="243"/>
      <c r="C624" s="243"/>
    </row>
    <row r="625" spans="2:3" ht="15" customHeight="1">
      <c r="B625" s="243"/>
      <c r="C625" s="243"/>
    </row>
    <row r="626" spans="2:3" ht="15" customHeight="1">
      <c r="B626" s="243"/>
      <c r="C626" s="243"/>
    </row>
    <row r="627" spans="2:3" ht="15" customHeight="1">
      <c r="B627" s="243"/>
      <c r="C627" s="243"/>
    </row>
    <row r="628" spans="2:3" ht="15" customHeight="1">
      <c r="B628" s="243"/>
      <c r="C628" s="243"/>
    </row>
    <row r="629" spans="2:3" ht="15" customHeight="1">
      <c r="B629" s="243"/>
      <c r="C629" s="243"/>
    </row>
    <row r="630" spans="2:3" ht="15" customHeight="1">
      <c r="B630" s="243"/>
      <c r="C630" s="243"/>
    </row>
    <row r="631" spans="2:3" ht="15" customHeight="1">
      <c r="B631" s="243"/>
      <c r="C631" s="243"/>
    </row>
    <row r="632" spans="2:3" ht="15" customHeight="1">
      <c r="B632" s="243"/>
      <c r="C632" s="243"/>
    </row>
    <row r="633" spans="2:3" ht="15" customHeight="1">
      <c r="B633" s="243"/>
      <c r="C633" s="243"/>
    </row>
    <row r="634" spans="2:3" ht="15" customHeight="1">
      <c r="B634" s="243"/>
      <c r="C634" s="243"/>
    </row>
    <row r="635" spans="2:3" ht="15" customHeight="1">
      <c r="B635" s="243"/>
      <c r="C635" s="243"/>
    </row>
    <row r="636" spans="2:3" ht="15" customHeight="1">
      <c r="B636" s="243"/>
      <c r="C636" s="243"/>
    </row>
    <row r="637" spans="2:3" ht="15" customHeight="1">
      <c r="B637" s="243"/>
      <c r="C637" s="243"/>
    </row>
    <row r="638" spans="2:3" ht="15" customHeight="1">
      <c r="B638" s="243"/>
      <c r="C638" s="243"/>
    </row>
    <row r="639" spans="2:3" ht="15" customHeight="1">
      <c r="B639" s="243"/>
      <c r="C639" s="243"/>
    </row>
    <row r="640" spans="2:3" ht="15" customHeight="1">
      <c r="B640" s="243"/>
      <c r="C640" s="243"/>
    </row>
    <row r="641" spans="2:3" ht="15" customHeight="1">
      <c r="B641" s="243"/>
      <c r="C641" s="243"/>
    </row>
    <row r="642" spans="2:3" ht="15" customHeight="1">
      <c r="B642" s="243"/>
      <c r="C642" s="243"/>
    </row>
    <row r="643" spans="2:3" ht="15" customHeight="1">
      <c r="B643" s="243"/>
      <c r="C643" s="243"/>
    </row>
    <row r="644" spans="2:3" ht="15" customHeight="1">
      <c r="B644" s="243"/>
      <c r="C644" s="243"/>
    </row>
    <row r="645" spans="2:3" ht="15" customHeight="1">
      <c r="B645" s="243"/>
      <c r="C645" s="243"/>
    </row>
    <row r="646" spans="2:3" ht="15" customHeight="1">
      <c r="B646" s="243"/>
      <c r="C646" s="243"/>
    </row>
    <row r="647" spans="2:3" ht="15" customHeight="1">
      <c r="B647" s="243"/>
      <c r="C647" s="243"/>
    </row>
    <row r="648" spans="2:3" ht="15" customHeight="1">
      <c r="B648" s="243"/>
      <c r="C648" s="243"/>
    </row>
    <row r="649" spans="2:3" ht="15" customHeight="1">
      <c r="B649" s="243"/>
      <c r="C649" s="243"/>
    </row>
    <row r="650" spans="2:3" ht="15" customHeight="1">
      <c r="B650" s="243"/>
      <c r="C650" s="243"/>
    </row>
    <row r="651" spans="2:3" ht="15" customHeight="1">
      <c r="B651" s="243"/>
      <c r="C651" s="243"/>
    </row>
    <row r="652" spans="2:3" ht="15" customHeight="1">
      <c r="B652" s="243"/>
      <c r="C652" s="243"/>
    </row>
    <row r="653" spans="2:3" ht="15" customHeight="1">
      <c r="B653" s="243"/>
      <c r="C653" s="243"/>
    </row>
    <row r="654" spans="2:3" ht="15" customHeight="1">
      <c r="B654" s="243"/>
      <c r="C654" s="243"/>
    </row>
    <row r="655" spans="2:3" ht="15" customHeight="1">
      <c r="B655" s="243"/>
      <c r="C655" s="243"/>
    </row>
    <row r="656" spans="2:3" ht="15" customHeight="1">
      <c r="B656" s="243"/>
      <c r="C656" s="243"/>
    </row>
    <row r="657" spans="2:3" ht="15" customHeight="1">
      <c r="B657" s="243"/>
      <c r="C657" s="243"/>
    </row>
    <row r="658" spans="2:3" ht="15" customHeight="1">
      <c r="B658" s="243"/>
      <c r="C658" s="243"/>
    </row>
    <row r="659" spans="2:3" ht="15" customHeight="1">
      <c r="B659" s="243"/>
      <c r="C659" s="243"/>
    </row>
    <row r="660" spans="2:3" ht="15" customHeight="1">
      <c r="B660" s="243"/>
      <c r="C660" s="243"/>
    </row>
    <row r="661" spans="2:3" ht="15" customHeight="1">
      <c r="B661" s="243"/>
      <c r="C661" s="243"/>
    </row>
    <row r="662" spans="2:3" ht="15" customHeight="1">
      <c r="B662" s="243"/>
      <c r="C662" s="243"/>
    </row>
    <row r="663" spans="2:3" ht="15" customHeight="1">
      <c r="B663" s="243"/>
      <c r="C663" s="243"/>
    </row>
    <row r="664" spans="2:3" ht="15" customHeight="1">
      <c r="B664" s="243"/>
      <c r="C664" s="243"/>
    </row>
    <row r="665" spans="2:3" ht="15" customHeight="1">
      <c r="B665" s="243"/>
      <c r="C665" s="243"/>
    </row>
    <row r="666" spans="2:3" ht="15" customHeight="1">
      <c r="B666" s="243"/>
      <c r="C666" s="243"/>
    </row>
    <row r="667" spans="2:3" ht="15" customHeight="1">
      <c r="B667" s="243"/>
      <c r="C667" s="243"/>
    </row>
    <row r="668" spans="2:3" ht="15" customHeight="1">
      <c r="B668" s="243"/>
      <c r="C668" s="243"/>
    </row>
    <row r="669" spans="2:3" ht="15" customHeight="1">
      <c r="B669" s="243"/>
      <c r="C669" s="243"/>
    </row>
    <row r="670" spans="2:3" ht="15" customHeight="1">
      <c r="B670" s="243"/>
      <c r="C670" s="243"/>
    </row>
    <row r="671" spans="2:3" ht="15" customHeight="1">
      <c r="B671" s="243"/>
      <c r="C671" s="243"/>
    </row>
    <row r="672" spans="2:3" ht="15" customHeight="1">
      <c r="B672" s="243"/>
      <c r="C672" s="243"/>
    </row>
    <row r="673" spans="2:3" ht="15" customHeight="1">
      <c r="B673" s="243"/>
      <c r="C673" s="243"/>
    </row>
    <row r="674" spans="2:3" ht="15" customHeight="1">
      <c r="B674" s="243"/>
      <c r="C674" s="243"/>
    </row>
    <row r="675" spans="2:3" ht="15" customHeight="1">
      <c r="B675" s="243"/>
      <c r="C675" s="243"/>
    </row>
    <row r="676" spans="2:3" ht="15" customHeight="1">
      <c r="B676" s="243"/>
      <c r="C676" s="243"/>
    </row>
    <row r="677" spans="2:3" ht="15" customHeight="1">
      <c r="B677" s="243"/>
      <c r="C677" s="243"/>
    </row>
    <row r="678" spans="2:3" ht="15" customHeight="1">
      <c r="B678" s="243"/>
      <c r="C678" s="243"/>
    </row>
    <row r="679" spans="2:3" ht="15" customHeight="1">
      <c r="B679" s="243"/>
      <c r="C679" s="243"/>
    </row>
    <row r="680" spans="2:3" ht="15" customHeight="1">
      <c r="B680" s="243"/>
      <c r="C680" s="243"/>
    </row>
    <row r="681" spans="2:3" ht="15" customHeight="1">
      <c r="B681" s="243"/>
      <c r="C681" s="243"/>
    </row>
    <row r="682" spans="2:3" ht="15" customHeight="1">
      <c r="B682" s="243"/>
      <c r="C682" s="243"/>
    </row>
    <row r="683" spans="2:3" ht="15" customHeight="1">
      <c r="B683" s="243"/>
      <c r="C683" s="243"/>
    </row>
    <row r="684" spans="2:3" ht="15" customHeight="1">
      <c r="B684" s="243"/>
      <c r="C684" s="243"/>
    </row>
    <row r="685" spans="2:3" ht="15" customHeight="1">
      <c r="B685" s="243"/>
      <c r="C685" s="243"/>
    </row>
    <row r="686" spans="2:3" ht="15" customHeight="1">
      <c r="B686" s="243"/>
      <c r="C686" s="243"/>
    </row>
    <row r="687" spans="2:3" ht="15" customHeight="1">
      <c r="B687" s="243"/>
      <c r="C687" s="243"/>
    </row>
    <row r="688" spans="2:3" ht="15" customHeight="1">
      <c r="B688" s="243"/>
      <c r="C688" s="243"/>
    </row>
    <row r="689" spans="2:3" ht="15" customHeight="1">
      <c r="B689" s="243"/>
      <c r="C689" s="243"/>
    </row>
    <row r="690" spans="2:3" ht="15" customHeight="1">
      <c r="B690" s="243"/>
      <c r="C690" s="243"/>
    </row>
    <row r="691" spans="2:3" ht="15" customHeight="1">
      <c r="B691" s="243"/>
      <c r="C691" s="243"/>
    </row>
    <row r="692" spans="2:3" ht="15" customHeight="1">
      <c r="B692" s="243"/>
      <c r="C692" s="243"/>
    </row>
    <row r="693" spans="2:3" ht="15" customHeight="1">
      <c r="B693" s="243"/>
      <c r="C693" s="243"/>
    </row>
    <row r="694" spans="2:3" ht="15" customHeight="1">
      <c r="B694" s="243"/>
      <c r="C694" s="243"/>
    </row>
    <row r="695" spans="2:3" ht="15" customHeight="1">
      <c r="B695" s="243"/>
      <c r="C695" s="243"/>
    </row>
    <row r="696" spans="2:3" ht="15" customHeight="1">
      <c r="B696" s="243"/>
      <c r="C696" s="243"/>
    </row>
    <row r="697" spans="2:3" ht="15" customHeight="1">
      <c r="B697" s="243"/>
      <c r="C697" s="243"/>
    </row>
    <row r="698" spans="2:3" ht="15" customHeight="1">
      <c r="B698" s="243"/>
      <c r="C698" s="243"/>
    </row>
    <row r="699" spans="2:3" ht="15" customHeight="1">
      <c r="B699" s="243"/>
      <c r="C699" s="243"/>
    </row>
    <row r="700" spans="2:3" ht="15" customHeight="1">
      <c r="B700" s="243"/>
      <c r="C700" s="243"/>
    </row>
    <row r="701" spans="2:3" ht="15" customHeight="1">
      <c r="B701" s="243"/>
      <c r="C701" s="243"/>
    </row>
    <row r="702" spans="2:3" ht="15" customHeight="1">
      <c r="B702" s="243"/>
      <c r="C702" s="243"/>
    </row>
    <row r="703" spans="2:3" ht="15" customHeight="1">
      <c r="B703" s="243"/>
      <c r="C703" s="243"/>
    </row>
    <row r="704" spans="2:3" ht="15" customHeight="1">
      <c r="B704" s="243"/>
      <c r="C704" s="243"/>
    </row>
    <row r="705" spans="2:3" ht="15" customHeight="1">
      <c r="B705" s="243"/>
      <c r="C705" s="243"/>
    </row>
    <row r="706" spans="2:3" ht="15" customHeight="1">
      <c r="B706" s="243"/>
      <c r="C706" s="243"/>
    </row>
    <row r="707" spans="2:3" ht="15" customHeight="1">
      <c r="B707" s="243"/>
      <c r="C707" s="243"/>
    </row>
    <row r="708" spans="2:3" ht="15" customHeight="1">
      <c r="B708" s="243"/>
      <c r="C708" s="243"/>
    </row>
    <row r="709" spans="2:3" ht="15" customHeight="1">
      <c r="B709" s="243"/>
      <c r="C709" s="243"/>
    </row>
    <row r="710" spans="2:3" ht="15" customHeight="1">
      <c r="B710" s="243"/>
      <c r="C710" s="243"/>
    </row>
    <row r="711" spans="2:3" ht="15" customHeight="1">
      <c r="B711" s="243"/>
      <c r="C711" s="243"/>
    </row>
    <row r="712" spans="2:3" ht="15" customHeight="1">
      <c r="B712" s="243"/>
      <c r="C712" s="243"/>
    </row>
    <row r="713" spans="2:3" ht="15" customHeight="1">
      <c r="B713" s="243"/>
      <c r="C713" s="243"/>
    </row>
    <row r="714" spans="2:3" ht="15" customHeight="1">
      <c r="B714" s="243"/>
      <c r="C714" s="243"/>
    </row>
    <row r="715" spans="2:3" ht="15" customHeight="1">
      <c r="B715" s="243"/>
      <c r="C715" s="243"/>
    </row>
    <row r="716" spans="2:3" ht="15" customHeight="1">
      <c r="B716" s="243"/>
      <c r="C716" s="243"/>
    </row>
    <row r="717" spans="2:3" ht="15" customHeight="1">
      <c r="B717" s="243"/>
      <c r="C717" s="243"/>
    </row>
    <row r="718" spans="2:3" ht="15" customHeight="1">
      <c r="B718" s="243"/>
      <c r="C718" s="243"/>
    </row>
    <row r="719" spans="2:3" ht="15" customHeight="1">
      <c r="B719" s="243"/>
      <c r="C719" s="243"/>
    </row>
    <row r="720" spans="2:3" ht="15" customHeight="1">
      <c r="B720" s="243"/>
      <c r="C720" s="243"/>
    </row>
    <row r="721" spans="2:3" ht="15" customHeight="1">
      <c r="B721" s="243"/>
      <c r="C721" s="243"/>
    </row>
    <row r="722" spans="2:3" ht="15" customHeight="1">
      <c r="B722" s="243"/>
      <c r="C722" s="243"/>
    </row>
    <row r="723" spans="2:3" ht="15" customHeight="1">
      <c r="B723" s="243"/>
      <c r="C723" s="243"/>
    </row>
    <row r="724" spans="2:3" ht="15" customHeight="1">
      <c r="B724" s="243"/>
      <c r="C724" s="243"/>
    </row>
    <row r="725" spans="2:3" ht="15" customHeight="1">
      <c r="B725" s="243"/>
      <c r="C725" s="243"/>
    </row>
    <row r="726" spans="2:3" ht="15" customHeight="1">
      <c r="B726" s="243"/>
      <c r="C726" s="243"/>
    </row>
    <row r="727" spans="2:3" ht="15" customHeight="1">
      <c r="B727" s="243"/>
      <c r="C727" s="243"/>
    </row>
    <row r="728" spans="2:3" ht="15" customHeight="1">
      <c r="B728" s="243"/>
      <c r="C728" s="243"/>
    </row>
    <row r="729" spans="2:3" ht="15" customHeight="1">
      <c r="B729" s="243"/>
      <c r="C729" s="243"/>
    </row>
    <row r="730" spans="2:3" ht="15" customHeight="1">
      <c r="B730" s="243"/>
      <c r="C730" s="243"/>
    </row>
    <row r="731" spans="2:3" ht="15" customHeight="1">
      <c r="B731" s="243"/>
      <c r="C731" s="243"/>
    </row>
    <row r="732" spans="2:3" ht="15" customHeight="1">
      <c r="B732" s="243"/>
      <c r="C732" s="243"/>
    </row>
    <row r="733" spans="2:3" ht="15" customHeight="1">
      <c r="B733" s="243"/>
      <c r="C733" s="243"/>
    </row>
    <row r="734" spans="2:3" ht="15" customHeight="1">
      <c r="B734" s="243"/>
      <c r="C734" s="243"/>
    </row>
    <row r="735" spans="2:3" ht="15" customHeight="1">
      <c r="B735" s="243"/>
      <c r="C735" s="243"/>
    </row>
    <row r="736" spans="2:3" ht="15" customHeight="1">
      <c r="B736" s="243"/>
      <c r="C736" s="243"/>
    </row>
    <row r="737" spans="2:3" ht="15" customHeight="1">
      <c r="B737" s="243"/>
      <c r="C737" s="243"/>
    </row>
    <row r="738" spans="2:3" ht="15" customHeight="1">
      <c r="B738" s="243"/>
      <c r="C738" s="243"/>
    </row>
    <row r="739" spans="2:3" ht="15" customHeight="1">
      <c r="B739" s="243"/>
      <c r="C739" s="243"/>
    </row>
    <row r="740" spans="2:3" ht="15" customHeight="1">
      <c r="B740" s="243"/>
      <c r="C740" s="243"/>
    </row>
    <row r="741" spans="2:3" ht="15" customHeight="1">
      <c r="B741" s="243"/>
      <c r="C741" s="243"/>
    </row>
    <row r="742" spans="2:3" ht="15" customHeight="1">
      <c r="B742" s="243"/>
      <c r="C742" s="243"/>
    </row>
    <row r="743" spans="2:3" ht="15" customHeight="1">
      <c r="B743" s="243"/>
      <c r="C743" s="243"/>
    </row>
    <row r="744" spans="2:3" ht="15" customHeight="1">
      <c r="B744" s="243"/>
      <c r="C744" s="243"/>
    </row>
    <row r="745" spans="2:3" ht="15" customHeight="1">
      <c r="B745" s="243"/>
      <c r="C745" s="243"/>
    </row>
    <row r="746" spans="2:3" ht="15" customHeight="1">
      <c r="B746" s="243"/>
      <c r="C746" s="243"/>
    </row>
    <row r="747" spans="2:3" ht="15" customHeight="1">
      <c r="B747" s="243"/>
      <c r="C747" s="243"/>
    </row>
    <row r="748" spans="2:3" ht="15" customHeight="1">
      <c r="B748" s="243"/>
      <c r="C748" s="243"/>
    </row>
    <row r="749" spans="2:3" ht="15" customHeight="1">
      <c r="B749" s="243"/>
      <c r="C749" s="243"/>
    </row>
    <row r="750" spans="2:3" ht="15" customHeight="1">
      <c r="B750" s="243"/>
      <c r="C750" s="243"/>
    </row>
    <row r="751" spans="2:3" ht="15" customHeight="1">
      <c r="B751" s="243"/>
      <c r="C751" s="243"/>
    </row>
    <row r="752" spans="2:3" ht="15" customHeight="1">
      <c r="B752" s="243"/>
      <c r="C752" s="243"/>
    </row>
    <row r="753" spans="2:3" ht="15" customHeight="1">
      <c r="B753" s="243"/>
      <c r="C753" s="243"/>
    </row>
    <row r="754" spans="2:3" ht="15" customHeight="1">
      <c r="B754" s="243"/>
      <c r="C754" s="243"/>
    </row>
    <row r="755" spans="2:3" ht="15" customHeight="1">
      <c r="B755" s="243"/>
      <c r="C755" s="243"/>
    </row>
    <row r="756" spans="2:3" ht="15" customHeight="1">
      <c r="B756" s="243"/>
      <c r="C756" s="243"/>
    </row>
    <row r="757" spans="2:3" ht="15" customHeight="1">
      <c r="B757" s="243"/>
      <c r="C757" s="243"/>
    </row>
    <row r="758" spans="2:3" ht="15" customHeight="1">
      <c r="B758" s="243"/>
      <c r="C758" s="243"/>
    </row>
    <row r="759" spans="2:3" ht="15" customHeight="1">
      <c r="B759" s="243"/>
      <c r="C759" s="243"/>
    </row>
    <row r="760" spans="2:3" ht="15" customHeight="1">
      <c r="B760" s="243"/>
      <c r="C760" s="243"/>
    </row>
    <row r="761" spans="2:3" ht="15" customHeight="1">
      <c r="B761" s="243"/>
      <c r="C761" s="243"/>
    </row>
    <row r="762" spans="2:3" ht="15" customHeight="1">
      <c r="B762" s="243"/>
      <c r="C762" s="243"/>
    </row>
    <row r="763" spans="2:3" ht="15" customHeight="1">
      <c r="B763" s="243"/>
      <c r="C763" s="243"/>
    </row>
    <row r="764" spans="2:3" ht="15" customHeight="1">
      <c r="B764" s="243"/>
      <c r="C764" s="243"/>
    </row>
    <row r="765" spans="2:3" ht="15" customHeight="1">
      <c r="B765" s="243"/>
      <c r="C765" s="243"/>
    </row>
    <row r="766" spans="2:3" ht="15" customHeight="1">
      <c r="B766" s="243"/>
      <c r="C766" s="243"/>
    </row>
    <row r="767" spans="2:3" ht="15" customHeight="1">
      <c r="B767" s="243"/>
      <c r="C767" s="243"/>
    </row>
    <row r="768" spans="2:3" ht="15" customHeight="1">
      <c r="B768" s="243"/>
      <c r="C768" s="243"/>
    </row>
    <row r="769" spans="2:3" ht="15" customHeight="1">
      <c r="B769" s="243"/>
      <c r="C769" s="243"/>
    </row>
    <row r="770" spans="2:3" ht="15" customHeight="1">
      <c r="B770" s="243"/>
      <c r="C770" s="243"/>
    </row>
    <row r="771" spans="2:3" ht="15" customHeight="1">
      <c r="B771" s="243"/>
      <c r="C771" s="243"/>
    </row>
    <row r="772" spans="2:3" ht="15" customHeight="1">
      <c r="B772" s="243"/>
      <c r="C772" s="243"/>
    </row>
    <row r="773" spans="2:3" ht="15" customHeight="1">
      <c r="B773" s="243"/>
      <c r="C773" s="243"/>
    </row>
    <row r="774" spans="2:3" ht="15" customHeight="1">
      <c r="B774" s="243"/>
      <c r="C774" s="243"/>
    </row>
    <row r="775" spans="2:3" ht="15" customHeight="1">
      <c r="B775" s="243"/>
      <c r="C775" s="243"/>
    </row>
    <row r="776" spans="2:3" ht="15" customHeight="1">
      <c r="B776" s="243"/>
      <c r="C776" s="243"/>
    </row>
    <row r="777" spans="2:3" ht="15" customHeight="1">
      <c r="B777" s="243"/>
      <c r="C777" s="243"/>
    </row>
    <row r="778" spans="2:3" ht="15" customHeight="1">
      <c r="B778" s="243"/>
      <c r="C778" s="243"/>
    </row>
    <row r="779" spans="2:3" ht="15" customHeight="1">
      <c r="B779" s="243"/>
      <c r="C779" s="243"/>
    </row>
    <row r="780" spans="2:3" ht="15" customHeight="1">
      <c r="B780" s="243"/>
      <c r="C780" s="243"/>
    </row>
    <row r="781" spans="2:3" ht="15" customHeight="1">
      <c r="B781" s="243"/>
      <c r="C781" s="243"/>
    </row>
    <row r="782" spans="2:3" ht="15" customHeight="1">
      <c r="B782" s="243"/>
      <c r="C782" s="243"/>
    </row>
    <row r="783" spans="2:3" ht="15" customHeight="1">
      <c r="B783" s="243"/>
      <c r="C783" s="243"/>
    </row>
    <row r="784" spans="2:3" ht="15" customHeight="1">
      <c r="B784" s="243"/>
      <c r="C784" s="243"/>
    </row>
    <row r="785" spans="2:3" ht="15" customHeight="1">
      <c r="B785" s="243"/>
      <c r="C785" s="243"/>
    </row>
    <row r="786" spans="2:3" ht="15" customHeight="1">
      <c r="B786" s="243"/>
      <c r="C786" s="243"/>
    </row>
    <row r="787" spans="2:3" ht="15" customHeight="1">
      <c r="B787" s="243"/>
      <c r="C787" s="243"/>
    </row>
    <row r="788" spans="2:3" ht="15" customHeight="1">
      <c r="B788" s="243"/>
      <c r="C788" s="243"/>
    </row>
    <row r="789" spans="2:3" ht="15" customHeight="1">
      <c r="B789" s="243"/>
      <c r="C789" s="243"/>
    </row>
    <row r="790" spans="2:3" ht="15" customHeight="1">
      <c r="B790" s="243"/>
      <c r="C790" s="243"/>
    </row>
    <row r="791" spans="2:3" ht="15" customHeight="1">
      <c r="B791" s="243"/>
      <c r="C791" s="243"/>
    </row>
    <row r="792" spans="2:3" ht="15" customHeight="1">
      <c r="B792" s="243"/>
      <c r="C792" s="243"/>
    </row>
    <row r="793" spans="2:3" ht="15" customHeight="1">
      <c r="B793" s="243"/>
      <c r="C793" s="243"/>
    </row>
    <row r="794" spans="2:3" ht="15" customHeight="1">
      <c r="B794" s="243"/>
      <c r="C794" s="243"/>
    </row>
    <row r="795" spans="2:3" ht="15" customHeight="1">
      <c r="B795" s="243"/>
      <c r="C795" s="243"/>
    </row>
    <row r="796" spans="2:3" ht="15" customHeight="1">
      <c r="B796" s="243"/>
      <c r="C796" s="243"/>
    </row>
    <row r="797" spans="2:3" ht="15" customHeight="1">
      <c r="B797" s="243"/>
      <c r="C797" s="243"/>
    </row>
    <row r="798" spans="2:3" ht="15" customHeight="1">
      <c r="B798" s="243"/>
      <c r="C798" s="243"/>
    </row>
    <row r="799" spans="2:3" ht="15" customHeight="1">
      <c r="B799" s="243"/>
      <c r="C799" s="243"/>
    </row>
    <row r="800" spans="2:3" ht="15" customHeight="1">
      <c r="B800" s="243"/>
      <c r="C800" s="243"/>
    </row>
    <row r="801" spans="2:3" ht="15" customHeight="1">
      <c r="B801" s="243"/>
      <c r="C801" s="243"/>
    </row>
    <row r="802" spans="2:3" ht="15" customHeight="1">
      <c r="B802" s="243"/>
      <c r="C802" s="243"/>
    </row>
    <row r="803" spans="2:3" ht="15" customHeight="1">
      <c r="B803" s="243"/>
      <c r="C803" s="243"/>
    </row>
    <row r="804" spans="2:3" ht="15" customHeight="1">
      <c r="B804" s="243"/>
      <c r="C804" s="243"/>
    </row>
    <row r="805" spans="2:3" ht="15" customHeight="1">
      <c r="B805" s="243"/>
      <c r="C805" s="243"/>
    </row>
    <row r="806" spans="2:3" ht="15" customHeight="1">
      <c r="B806" s="243"/>
      <c r="C806" s="243"/>
    </row>
    <row r="807" spans="2:3" ht="15" customHeight="1">
      <c r="B807" s="243"/>
      <c r="C807" s="243"/>
    </row>
    <row r="808" spans="2:3" ht="15" customHeight="1">
      <c r="B808" s="243"/>
      <c r="C808" s="243"/>
    </row>
    <row r="809" spans="2:3" ht="15" customHeight="1">
      <c r="B809" s="243"/>
      <c r="C809" s="243"/>
    </row>
    <row r="810" spans="2:3" ht="15" customHeight="1">
      <c r="B810" s="243"/>
      <c r="C810" s="243"/>
    </row>
    <row r="811" spans="2:3" ht="15" customHeight="1">
      <c r="B811" s="243"/>
      <c r="C811" s="243"/>
    </row>
    <row r="812" spans="2:3" ht="15" customHeight="1">
      <c r="B812" s="243"/>
      <c r="C812" s="243"/>
    </row>
    <row r="813" spans="2:3" ht="15" customHeight="1">
      <c r="B813" s="243"/>
      <c r="C813" s="243"/>
    </row>
    <row r="814" spans="2:3" ht="15" customHeight="1">
      <c r="B814" s="243"/>
      <c r="C814" s="243"/>
    </row>
    <row r="815" spans="2:3" ht="15" customHeight="1">
      <c r="B815" s="243"/>
      <c r="C815" s="243"/>
    </row>
    <row r="816" spans="2:3" ht="15" customHeight="1">
      <c r="B816" s="243"/>
      <c r="C816" s="243"/>
    </row>
    <row r="817" spans="2:3" ht="15" customHeight="1">
      <c r="B817" s="243"/>
      <c r="C817" s="243"/>
    </row>
    <row r="818" spans="2:3" ht="15" customHeight="1">
      <c r="B818" s="243"/>
      <c r="C818" s="243"/>
    </row>
    <row r="819" spans="2:3" ht="15" customHeight="1">
      <c r="B819" s="243"/>
      <c r="C819" s="243"/>
    </row>
    <row r="820" spans="2:3" ht="15" customHeight="1">
      <c r="B820" s="243"/>
      <c r="C820" s="243"/>
    </row>
    <row r="821" spans="2:3" ht="15" customHeight="1">
      <c r="B821" s="243"/>
      <c r="C821" s="243"/>
    </row>
    <row r="822" spans="2:3" ht="15" customHeight="1">
      <c r="B822" s="243"/>
      <c r="C822" s="243"/>
    </row>
    <row r="823" spans="2:3" ht="15" customHeight="1">
      <c r="B823" s="243"/>
      <c r="C823" s="243"/>
    </row>
    <row r="824" spans="2:3" ht="15" customHeight="1">
      <c r="B824" s="243"/>
      <c r="C824" s="243"/>
    </row>
    <row r="825" spans="2:3" ht="15" customHeight="1">
      <c r="B825" s="243"/>
      <c r="C825" s="243"/>
    </row>
    <row r="826" spans="2:3" ht="15" customHeight="1">
      <c r="B826" s="243"/>
      <c r="C826" s="243"/>
    </row>
    <row r="827" spans="2:3" ht="15" customHeight="1">
      <c r="B827" s="243"/>
      <c r="C827" s="243"/>
    </row>
    <row r="828" spans="2:3" ht="15" customHeight="1">
      <c r="B828" s="243"/>
      <c r="C828" s="243"/>
    </row>
    <row r="829" spans="2:3" ht="15" customHeight="1">
      <c r="B829" s="243"/>
      <c r="C829" s="243"/>
    </row>
    <row r="830" spans="2:3" ht="15" customHeight="1">
      <c r="B830" s="243"/>
      <c r="C830" s="243"/>
    </row>
    <row r="831" spans="2:3" ht="15" customHeight="1">
      <c r="B831" s="243"/>
      <c r="C831" s="243"/>
    </row>
    <row r="832" spans="2:3" ht="15" customHeight="1">
      <c r="B832" s="243"/>
      <c r="C832" s="243"/>
    </row>
    <row r="833" spans="2:3" ht="15" customHeight="1">
      <c r="B833" s="243"/>
      <c r="C833" s="243"/>
    </row>
    <row r="834" spans="2:3" ht="15" customHeight="1">
      <c r="B834" s="243"/>
      <c r="C834" s="243"/>
    </row>
    <row r="835" spans="2:3" ht="15" customHeight="1">
      <c r="B835" s="243"/>
      <c r="C835" s="243"/>
    </row>
    <row r="836" spans="2:3" ht="15" customHeight="1">
      <c r="B836" s="243"/>
      <c r="C836" s="243"/>
    </row>
    <row r="837" spans="2:3" ht="15" customHeight="1">
      <c r="B837" s="243"/>
      <c r="C837" s="243"/>
    </row>
    <row r="838" spans="2:3" ht="15" customHeight="1">
      <c r="B838" s="243"/>
      <c r="C838" s="243"/>
    </row>
    <row r="839" spans="2:3" ht="15" customHeight="1">
      <c r="B839" s="243"/>
      <c r="C839" s="243"/>
    </row>
    <row r="840" spans="2:3" ht="15" customHeight="1">
      <c r="B840" s="243"/>
      <c r="C840" s="243"/>
    </row>
    <row r="841" spans="2:3" ht="15" customHeight="1">
      <c r="B841" s="243"/>
      <c r="C841" s="243"/>
    </row>
    <row r="842" spans="2:3" ht="15" customHeight="1">
      <c r="B842" s="243"/>
      <c r="C842" s="243"/>
    </row>
    <row r="843" spans="2:3" ht="15" customHeight="1">
      <c r="B843" s="243"/>
      <c r="C843" s="243"/>
    </row>
    <row r="844" spans="2:3" ht="15" customHeight="1">
      <c r="B844" s="243"/>
      <c r="C844" s="243"/>
    </row>
    <row r="845" spans="2:3" ht="15" customHeight="1">
      <c r="B845" s="243"/>
      <c r="C845" s="243"/>
    </row>
    <row r="846" spans="2:3" ht="15" customHeight="1">
      <c r="B846" s="243"/>
      <c r="C846" s="243"/>
    </row>
    <row r="847" spans="2:3" ht="15" customHeight="1">
      <c r="B847" s="243"/>
      <c r="C847" s="243"/>
    </row>
    <row r="848" spans="2:3" ht="15" customHeight="1">
      <c r="B848" s="243"/>
      <c r="C848" s="243"/>
    </row>
    <row r="849" spans="2:3" ht="15" customHeight="1">
      <c r="B849" s="243"/>
      <c r="C849" s="243"/>
    </row>
    <row r="850" spans="2:3" ht="15" customHeight="1">
      <c r="B850" s="243"/>
      <c r="C850" s="243"/>
    </row>
    <row r="851" spans="2:3" ht="15" customHeight="1">
      <c r="B851" s="243"/>
      <c r="C851" s="243"/>
    </row>
    <row r="852" spans="2:3" ht="15" customHeight="1">
      <c r="B852" s="243"/>
      <c r="C852" s="243"/>
    </row>
    <row r="853" spans="2:3" ht="15" customHeight="1">
      <c r="B853" s="243"/>
      <c r="C853" s="243"/>
    </row>
    <row r="854" spans="2:3" ht="15" customHeight="1">
      <c r="B854" s="243"/>
      <c r="C854" s="243"/>
    </row>
    <row r="855" spans="2:3" ht="15" customHeight="1">
      <c r="B855" s="243"/>
      <c r="C855" s="243"/>
    </row>
    <row r="856" spans="2:3" ht="15" customHeight="1">
      <c r="B856" s="243"/>
      <c r="C856" s="243"/>
    </row>
    <row r="857" spans="2:3" ht="15" customHeight="1">
      <c r="B857" s="243"/>
      <c r="C857" s="243"/>
    </row>
    <row r="858" spans="2:3" ht="15" customHeight="1">
      <c r="B858" s="243"/>
      <c r="C858" s="243"/>
    </row>
    <row r="859" spans="2:3" ht="15" customHeight="1">
      <c r="B859" s="243"/>
      <c r="C859" s="243"/>
    </row>
    <row r="860" spans="2:3" ht="15" customHeight="1">
      <c r="B860" s="243"/>
      <c r="C860" s="243"/>
    </row>
    <row r="861" spans="2:3" ht="15" customHeight="1">
      <c r="B861" s="243"/>
      <c r="C861" s="243"/>
    </row>
    <row r="862" spans="2:3" ht="15" customHeight="1">
      <c r="B862" s="243"/>
      <c r="C862" s="243"/>
    </row>
    <row r="863" spans="2:3" ht="15" customHeight="1">
      <c r="B863" s="243"/>
      <c r="C863" s="243"/>
    </row>
    <row r="864" spans="2:3" ht="15" customHeight="1">
      <c r="B864" s="243"/>
      <c r="C864" s="243"/>
    </row>
    <row r="865" spans="2:3" ht="15" customHeight="1">
      <c r="B865" s="243"/>
      <c r="C865" s="243"/>
    </row>
    <row r="866" spans="2:3" ht="15" customHeight="1">
      <c r="B866" s="243"/>
      <c r="C866" s="243"/>
    </row>
    <row r="867" spans="2:3" ht="15" customHeight="1">
      <c r="B867" s="243"/>
      <c r="C867" s="243"/>
    </row>
    <row r="868" spans="2:3" ht="15" customHeight="1">
      <c r="B868" s="243"/>
      <c r="C868" s="243"/>
    </row>
    <row r="869" spans="2:3" ht="15" customHeight="1">
      <c r="B869" s="243"/>
      <c r="C869" s="243"/>
    </row>
    <row r="870" spans="2:3" ht="15" customHeight="1">
      <c r="B870" s="243"/>
      <c r="C870" s="243"/>
    </row>
    <row r="871" spans="2:3" ht="15" customHeight="1">
      <c r="B871" s="243"/>
      <c r="C871" s="243"/>
    </row>
    <row r="872" spans="2:3" ht="15" customHeight="1">
      <c r="B872" s="243"/>
      <c r="C872" s="243"/>
    </row>
    <row r="873" spans="2:3" ht="15" customHeight="1">
      <c r="B873" s="243"/>
      <c r="C873" s="243"/>
    </row>
    <row r="874" spans="2:3" ht="15" customHeight="1">
      <c r="B874" s="243"/>
      <c r="C874" s="243"/>
    </row>
    <row r="875" spans="2:3" ht="15" customHeight="1">
      <c r="B875" s="243"/>
      <c r="C875" s="243"/>
    </row>
    <row r="876" spans="2:3" ht="15" customHeight="1">
      <c r="B876" s="243"/>
      <c r="C876" s="243"/>
    </row>
    <row r="877" spans="2:3" ht="15" customHeight="1">
      <c r="B877" s="243"/>
      <c r="C877" s="243"/>
    </row>
    <row r="878" spans="2:3" ht="15" customHeight="1">
      <c r="B878" s="243"/>
      <c r="C878" s="243"/>
    </row>
    <row r="879" spans="2:3" ht="15" customHeight="1">
      <c r="B879" s="243"/>
      <c r="C879" s="243"/>
    </row>
    <row r="880" spans="2:3" ht="15" customHeight="1">
      <c r="B880" s="243"/>
      <c r="C880" s="243"/>
    </row>
    <row r="881" spans="2:3" ht="15" customHeight="1">
      <c r="B881" s="243"/>
      <c r="C881" s="243"/>
    </row>
    <row r="882" spans="2:3" ht="15" customHeight="1">
      <c r="B882" s="243"/>
      <c r="C882" s="243"/>
    </row>
    <row r="883" spans="2:3" ht="15" customHeight="1">
      <c r="B883" s="243"/>
      <c r="C883" s="243"/>
    </row>
    <row r="884" spans="2:3" ht="15" customHeight="1">
      <c r="B884" s="243"/>
      <c r="C884" s="243"/>
    </row>
    <row r="885" spans="2:3" ht="15" customHeight="1">
      <c r="B885" s="243"/>
      <c r="C885" s="243"/>
    </row>
    <row r="886" spans="2:3" ht="15" customHeight="1">
      <c r="B886" s="243"/>
      <c r="C886" s="243"/>
    </row>
    <row r="887" spans="2:3" ht="15" customHeight="1">
      <c r="B887" s="243"/>
      <c r="C887" s="243"/>
    </row>
    <row r="888" spans="2:3" ht="15" customHeight="1">
      <c r="B888" s="243"/>
      <c r="C888" s="243"/>
    </row>
    <row r="889" spans="2:3" ht="15" customHeight="1">
      <c r="B889" s="243"/>
      <c r="C889" s="243"/>
    </row>
    <row r="890" spans="2:3" ht="15" customHeight="1">
      <c r="B890" s="243"/>
      <c r="C890" s="243"/>
    </row>
    <row r="891" spans="2:3" ht="15" customHeight="1">
      <c r="B891" s="243"/>
      <c r="C891" s="243"/>
    </row>
    <row r="892" spans="2:3" ht="15" customHeight="1">
      <c r="B892" s="243"/>
      <c r="C892" s="243"/>
    </row>
    <row r="893" spans="2:3" ht="15" customHeight="1">
      <c r="B893" s="243"/>
      <c r="C893" s="243"/>
    </row>
    <row r="894" spans="2:3" ht="15" customHeight="1">
      <c r="B894" s="243"/>
      <c r="C894" s="243"/>
    </row>
    <row r="895" spans="2:3" ht="15" customHeight="1">
      <c r="B895" s="243"/>
      <c r="C895" s="243"/>
    </row>
    <row r="896" spans="2:3" ht="15" customHeight="1">
      <c r="B896" s="243"/>
      <c r="C896" s="243"/>
    </row>
    <row r="897" spans="2:3" ht="15" customHeight="1">
      <c r="B897" s="243"/>
      <c r="C897" s="243"/>
    </row>
    <row r="898" spans="2:3" ht="15" customHeight="1">
      <c r="B898" s="243"/>
      <c r="C898" s="243"/>
    </row>
    <row r="899" spans="2:3" ht="15" customHeight="1">
      <c r="B899" s="243"/>
      <c r="C899" s="243"/>
    </row>
    <row r="900" spans="2:3" ht="15" customHeight="1">
      <c r="B900" s="243"/>
      <c r="C900" s="243"/>
    </row>
    <row r="901" spans="2:3" ht="15" customHeight="1">
      <c r="B901" s="243"/>
      <c r="C901" s="243"/>
    </row>
    <row r="902" spans="2:3" ht="15" customHeight="1">
      <c r="B902" s="243"/>
      <c r="C902" s="243"/>
    </row>
    <row r="903" spans="2:3" ht="15" customHeight="1">
      <c r="B903" s="243"/>
      <c r="C903" s="243"/>
    </row>
    <row r="904" spans="2:3" ht="15" customHeight="1">
      <c r="B904" s="243"/>
      <c r="C904" s="243"/>
    </row>
    <row r="905" spans="2:3" ht="15" customHeight="1">
      <c r="B905" s="243"/>
      <c r="C905" s="243"/>
    </row>
    <row r="906" spans="2:3" ht="15" customHeight="1">
      <c r="B906" s="243"/>
      <c r="C906" s="243"/>
    </row>
    <row r="907" spans="2:3" ht="15" customHeight="1">
      <c r="B907" s="243"/>
      <c r="C907" s="243"/>
    </row>
    <row r="908" spans="2:3" ht="15" customHeight="1">
      <c r="B908" s="243"/>
      <c r="C908" s="243"/>
    </row>
    <row r="909" spans="2:3" ht="15" customHeight="1">
      <c r="B909" s="243"/>
      <c r="C909" s="243"/>
    </row>
    <row r="910" spans="2:3" ht="15" customHeight="1">
      <c r="B910" s="243"/>
      <c r="C910" s="243"/>
    </row>
    <row r="911" spans="2:3" ht="15" customHeight="1">
      <c r="B911" s="243"/>
      <c r="C911" s="243"/>
    </row>
    <row r="912" spans="2:3" ht="15" customHeight="1">
      <c r="B912" s="243"/>
      <c r="C912" s="243"/>
    </row>
    <row r="913" spans="2:3" ht="15" customHeight="1">
      <c r="B913" s="243"/>
      <c r="C913" s="243"/>
    </row>
    <row r="914" spans="2:3" ht="15" customHeight="1">
      <c r="B914" s="243"/>
      <c r="C914" s="243"/>
    </row>
    <row r="915" spans="2:3" ht="15" customHeight="1">
      <c r="B915" s="243"/>
      <c r="C915" s="243"/>
    </row>
    <row r="916" spans="2:3" ht="15" customHeight="1">
      <c r="B916" s="243"/>
      <c r="C916" s="243"/>
    </row>
    <row r="917" spans="2:3" ht="15" customHeight="1">
      <c r="B917" s="243"/>
      <c r="C917" s="243"/>
    </row>
    <row r="918" spans="2:3" ht="15" customHeight="1">
      <c r="B918" s="243"/>
      <c r="C918" s="243"/>
    </row>
    <row r="919" spans="2:3" ht="15" customHeight="1">
      <c r="B919" s="243"/>
      <c r="C919" s="243"/>
    </row>
    <row r="920" spans="2:3" ht="15" customHeight="1">
      <c r="B920" s="243"/>
      <c r="C920" s="243"/>
    </row>
    <row r="921" spans="2:3" ht="15" customHeight="1">
      <c r="B921" s="243"/>
      <c r="C921" s="243"/>
    </row>
    <row r="922" spans="2:3" ht="15" customHeight="1">
      <c r="B922" s="243"/>
      <c r="C922" s="243"/>
    </row>
    <row r="923" spans="2:3" ht="15" customHeight="1">
      <c r="B923" s="243"/>
      <c r="C923" s="243"/>
    </row>
    <row r="924" spans="2:3" ht="15" customHeight="1">
      <c r="B924" s="243"/>
      <c r="C924" s="243"/>
    </row>
    <row r="925" spans="2:3" ht="15" customHeight="1">
      <c r="B925" s="243"/>
      <c r="C925" s="243"/>
    </row>
    <row r="926" spans="2:3" ht="15" customHeight="1">
      <c r="B926" s="243"/>
      <c r="C926" s="243"/>
    </row>
    <row r="927" spans="2:3" ht="15" customHeight="1">
      <c r="B927" s="243"/>
      <c r="C927" s="243"/>
    </row>
    <row r="928" spans="2:3" ht="15" customHeight="1">
      <c r="B928" s="243"/>
      <c r="C928" s="243"/>
    </row>
    <row r="929" spans="2:3" ht="15" customHeight="1">
      <c r="B929" s="243"/>
      <c r="C929" s="243"/>
    </row>
    <row r="930" spans="2:3" ht="15" customHeight="1">
      <c r="B930" s="243"/>
      <c r="C930" s="243"/>
    </row>
    <row r="931" spans="2:3" ht="15" customHeight="1">
      <c r="B931" s="243"/>
      <c r="C931" s="243"/>
    </row>
    <row r="932" spans="2:3" ht="15" customHeight="1">
      <c r="B932" s="243"/>
      <c r="C932" s="243"/>
    </row>
    <row r="933" spans="2:3" ht="15" customHeight="1">
      <c r="B933" s="243"/>
      <c r="C933" s="243"/>
    </row>
    <row r="934" spans="2:3" ht="15" customHeight="1">
      <c r="B934" s="243"/>
      <c r="C934" s="243"/>
    </row>
    <row r="935" spans="2:3" ht="15" customHeight="1">
      <c r="B935" s="243"/>
      <c r="C935" s="243"/>
    </row>
    <row r="936" spans="2:3" ht="15" customHeight="1">
      <c r="B936" s="243"/>
      <c r="C936" s="243"/>
    </row>
    <row r="937" spans="2:3" ht="15" customHeight="1">
      <c r="B937" s="243"/>
      <c r="C937" s="243"/>
    </row>
    <row r="938" spans="2:3" ht="15" customHeight="1">
      <c r="B938" s="243"/>
      <c r="C938" s="243"/>
    </row>
    <row r="939" spans="2:3" ht="15" customHeight="1">
      <c r="B939" s="243"/>
      <c r="C939" s="243"/>
    </row>
    <row r="940" spans="2:3" ht="15" customHeight="1">
      <c r="B940" s="243"/>
      <c r="C940" s="243"/>
    </row>
    <row r="941" spans="2:3" ht="15" customHeight="1">
      <c r="B941" s="243"/>
      <c r="C941" s="243"/>
    </row>
    <row r="942" spans="2:3" ht="15" customHeight="1">
      <c r="B942" s="243"/>
      <c r="C942" s="243"/>
    </row>
    <row r="943" spans="2:3" ht="15" customHeight="1">
      <c r="B943" s="243"/>
      <c r="C943" s="243"/>
    </row>
    <row r="944" spans="2:3" ht="15" customHeight="1">
      <c r="B944" s="243"/>
      <c r="C944" s="243"/>
    </row>
    <row r="945" spans="2:3" ht="15" customHeight="1">
      <c r="B945" s="243"/>
      <c r="C945" s="243"/>
    </row>
    <row r="946" spans="2:3" ht="15" customHeight="1">
      <c r="B946" s="243"/>
      <c r="C946" s="243"/>
    </row>
    <row r="947" spans="2:3" ht="15" customHeight="1">
      <c r="B947" s="243"/>
      <c r="C947" s="243"/>
    </row>
    <row r="948" spans="2:3" ht="15" customHeight="1">
      <c r="B948" s="243"/>
      <c r="C948" s="243"/>
    </row>
    <row r="949" spans="2:3" ht="15" customHeight="1">
      <c r="B949" s="243"/>
      <c r="C949" s="243"/>
    </row>
    <row r="950" spans="2:3" ht="15" customHeight="1">
      <c r="B950" s="243"/>
      <c r="C950" s="243"/>
    </row>
    <row r="951" spans="2:3" ht="15" customHeight="1">
      <c r="B951" s="243"/>
      <c r="C951" s="243"/>
    </row>
    <row r="952" spans="2:3" ht="15" customHeight="1">
      <c r="B952" s="243"/>
      <c r="C952" s="243"/>
    </row>
    <row r="953" spans="2:3" ht="15" customHeight="1">
      <c r="B953" s="243"/>
      <c r="C953" s="243"/>
    </row>
    <row r="954" spans="2:3" ht="15" customHeight="1">
      <c r="B954" s="243"/>
      <c r="C954" s="243"/>
    </row>
    <row r="955" spans="2:3" ht="15" customHeight="1">
      <c r="B955" s="243"/>
      <c r="C955" s="243"/>
    </row>
    <row r="956" spans="2:3" ht="15" customHeight="1">
      <c r="B956" s="243"/>
      <c r="C956" s="243"/>
    </row>
    <row r="957" spans="2:3" ht="15" customHeight="1">
      <c r="B957" s="243"/>
      <c r="C957" s="243"/>
    </row>
    <row r="958" spans="2:3" ht="15" customHeight="1">
      <c r="B958" s="243"/>
      <c r="C958" s="243"/>
    </row>
    <row r="959" spans="2:3" ht="15" customHeight="1">
      <c r="B959" s="243"/>
      <c r="C959" s="243"/>
    </row>
    <row r="960" spans="2:3" ht="15" customHeight="1">
      <c r="B960" s="243"/>
      <c r="C960" s="243"/>
    </row>
    <row r="961" spans="2:3" ht="15" customHeight="1">
      <c r="B961" s="243"/>
      <c r="C961" s="243"/>
    </row>
    <row r="962" spans="2:3" ht="15" customHeight="1">
      <c r="B962" s="243"/>
      <c r="C962" s="243"/>
    </row>
    <row r="963" spans="2:3" ht="15" customHeight="1">
      <c r="B963" s="243"/>
      <c r="C963" s="243"/>
    </row>
    <row r="964" spans="2:3" ht="15" customHeight="1">
      <c r="B964" s="243"/>
      <c r="C964" s="243"/>
    </row>
    <row r="965" spans="2:3" ht="15" customHeight="1">
      <c r="B965" s="243"/>
      <c r="C965" s="243"/>
    </row>
    <row r="966" spans="2:3" ht="15" customHeight="1">
      <c r="B966" s="243"/>
      <c r="C966" s="243"/>
    </row>
    <row r="967" spans="2:3" ht="15" customHeight="1">
      <c r="B967" s="243"/>
      <c r="C967" s="243"/>
    </row>
    <row r="968" spans="2:3" ht="15" customHeight="1">
      <c r="B968" s="243"/>
      <c r="C968" s="243"/>
    </row>
    <row r="969" spans="2:3" ht="15" customHeight="1">
      <c r="B969" s="243"/>
      <c r="C969" s="243"/>
    </row>
    <row r="970" spans="2:3" ht="15" customHeight="1">
      <c r="B970" s="243"/>
      <c r="C970" s="243"/>
    </row>
    <row r="971" spans="2:3" ht="15" customHeight="1">
      <c r="B971" s="243"/>
      <c r="C971" s="243"/>
    </row>
    <row r="972" spans="2:3" ht="15" customHeight="1">
      <c r="B972" s="243"/>
      <c r="C972" s="243"/>
    </row>
    <row r="973" spans="2:3" ht="15" customHeight="1">
      <c r="B973" s="243"/>
      <c r="C973" s="243"/>
    </row>
    <row r="974" spans="2:3" ht="15" customHeight="1">
      <c r="B974" s="243"/>
      <c r="C974" s="243"/>
    </row>
    <row r="975" spans="2:3" ht="15" customHeight="1">
      <c r="B975" s="243"/>
      <c r="C975" s="243"/>
    </row>
    <row r="976" spans="2:3" ht="15" customHeight="1">
      <c r="B976" s="243"/>
      <c r="C976" s="243"/>
    </row>
    <row r="977" spans="2:3" ht="15" customHeight="1">
      <c r="B977" s="243"/>
      <c r="C977" s="243"/>
    </row>
    <row r="978" spans="2:3" ht="15" customHeight="1">
      <c r="B978" s="243"/>
      <c r="C978" s="243"/>
    </row>
    <row r="979" spans="2:3" ht="15" customHeight="1">
      <c r="B979" s="243"/>
      <c r="C979" s="243"/>
    </row>
    <row r="980" spans="2:3" ht="15" customHeight="1">
      <c r="B980" s="243"/>
      <c r="C980" s="243"/>
    </row>
    <row r="981" spans="2:3" ht="15" customHeight="1">
      <c r="B981" s="243"/>
      <c r="C981" s="243"/>
    </row>
    <row r="982" spans="2:3" ht="15" customHeight="1">
      <c r="B982" s="243"/>
      <c r="C982" s="243"/>
    </row>
    <row r="983" spans="2:3" ht="15" customHeight="1">
      <c r="B983" s="243"/>
      <c r="C983" s="243"/>
    </row>
    <row r="984" spans="2:3" ht="15" customHeight="1">
      <c r="B984" s="243"/>
      <c r="C984" s="243"/>
    </row>
    <row r="985" spans="2:3" ht="15" customHeight="1">
      <c r="B985" s="243"/>
      <c r="C985" s="243"/>
    </row>
    <row r="986" spans="2:3" ht="15" customHeight="1">
      <c r="B986" s="243"/>
      <c r="C986" s="243"/>
    </row>
    <row r="987" spans="2:3" ht="15" customHeight="1">
      <c r="B987" s="243"/>
      <c r="C987" s="243"/>
    </row>
    <row r="988" spans="2:3" ht="15" customHeight="1">
      <c r="B988" s="243"/>
      <c r="C988" s="243"/>
    </row>
    <row r="989" spans="2:3" ht="15" customHeight="1">
      <c r="B989" s="243"/>
      <c r="C989" s="243"/>
    </row>
    <row r="990" spans="2:3" ht="15" customHeight="1">
      <c r="B990" s="243"/>
      <c r="C990" s="243"/>
    </row>
    <row r="991" spans="2:3" ht="15" customHeight="1">
      <c r="B991" s="243"/>
      <c r="C991" s="243"/>
    </row>
    <row r="992" spans="2:3" ht="15" customHeight="1">
      <c r="B992" s="243"/>
      <c r="C992" s="243"/>
    </row>
    <row r="993" spans="2:3" ht="15" customHeight="1">
      <c r="B993" s="243"/>
      <c r="C993" s="243"/>
    </row>
    <row r="994" spans="2:3" ht="15" customHeight="1">
      <c r="B994" s="243"/>
      <c r="C994" s="243"/>
    </row>
    <row r="995" spans="2:3" ht="15" customHeight="1">
      <c r="B995" s="243"/>
      <c r="C995" s="243"/>
    </row>
    <row r="996" spans="2:3" ht="15" customHeight="1">
      <c r="B996" s="243"/>
      <c r="C996" s="243"/>
    </row>
    <row r="997" spans="2:3" ht="15" customHeight="1">
      <c r="B997" s="243"/>
      <c r="C997" s="243"/>
    </row>
    <row r="998" spans="2:3" ht="15" customHeight="1">
      <c r="B998" s="243"/>
      <c r="C998" s="243"/>
    </row>
    <row r="999" spans="2:3" ht="15" customHeight="1">
      <c r="B999" s="243"/>
      <c r="C999" s="243"/>
    </row>
    <row r="1000" spans="2:3" ht="15" customHeight="1">
      <c r="B1000" s="243"/>
      <c r="C1000" s="243"/>
    </row>
    <row r="1001" spans="2:3" ht="15" customHeight="1">
      <c r="B1001" s="243"/>
      <c r="C1001" s="243"/>
    </row>
    <row r="1002" spans="2:3" ht="15" customHeight="1">
      <c r="B1002" s="243"/>
      <c r="C1002" s="243"/>
    </row>
    <row r="1003" spans="2:3" ht="15" customHeight="1">
      <c r="B1003" s="243"/>
      <c r="C1003" s="243"/>
    </row>
    <row r="1004" spans="2:3" ht="15" customHeight="1">
      <c r="B1004" s="243"/>
      <c r="C1004" s="243"/>
    </row>
    <row r="1005" spans="2:3" ht="15" customHeight="1">
      <c r="B1005" s="243"/>
      <c r="C1005" s="243"/>
    </row>
    <row r="1006" spans="2:3" ht="15" customHeight="1">
      <c r="B1006" s="243"/>
      <c r="C1006" s="243"/>
    </row>
    <row r="1007" spans="2:3" ht="15" customHeight="1">
      <c r="B1007" s="243"/>
      <c r="C1007" s="243"/>
    </row>
    <row r="1008" spans="2:3" ht="15" customHeight="1">
      <c r="B1008" s="243"/>
      <c r="C1008" s="243"/>
    </row>
    <row r="1009" spans="2:3" ht="15" customHeight="1">
      <c r="B1009" s="243"/>
      <c r="C1009" s="243"/>
    </row>
    <row r="1010" spans="2:3" ht="15" customHeight="1">
      <c r="B1010" s="243"/>
      <c r="C1010" s="243"/>
    </row>
    <row r="1011" spans="2:3" ht="15" customHeight="1">
      <c r="B1011" s="243"/>
      <c r="C1011" s="243"/>
    </row>
    <row r="1012" spans="2:3" ht="15" customHeight="1">
      <c r="B1012" s="243"/>
      <c r="C1012" s="243"/>
    </row>
    <row r="1013" spans="2:3" ht="15" customHeight="1">
      <c r="B1013" s="243"/>
      <c r="C1013" s="243"/>
    </row>
    <row r="1014" spans="2:3" ht="15" customHeight="1">
      <c r="B1014" s="243"/>
      <c r="C1014" s="243"/>
    </row>
    <row r="1015" spans="2:3" ht="15" customHeight="1">
      <c r="B1015" s="243"/>
      <c r="C1015" s="243"/>
    </row>
    <row r="1016" spans="2:3" ht="15" customHeight="1">
      <c r="B1016" s="243"/>
      <c r="C1016" s="243"/>
    </row>
    <row r="1017" spans="2:3" ht="15" customHeight="1">
      <c r="B1017" s="243"/>
      <c r="C1017" s="243"/>
    </row>
    <row r="1018" spans="2:3" ht="15" customHeight="1">
      <c r="B1018" s="243"/>
      <c r="C1018" s="243"/>
    </row>
    <row r="1019" spans="2:3" ht="15" customHeight="1">
      <c r="B1019" s="243"/>
      <c r="C1019" s="243"/>
    </row>
    <row r="1020" spans="2:3" ht="15" customHeight="1">
      <c r="B1020" s="243"/>
      <c r="C1020" s="243"/>
    </row>
    <row r="1021" spans="2:3" ht="15" customHeight="1">
      <c r="B1021" s="243"/>
      <c r="C1021" s="243"/>
    </row>
    <row r="1022" spans="2:3" ht="15" customHeight="1">
      <c r="B1022" s="243"/>
      <c r="C1022" s="243"/>
    </row>
    <row r="1023" spans="2:3" ht="15" customHeight="1">
      <c r="B1023" s="243"/>
      <c r="C1023" s="243"/>
    </row>
    <row r="1024" spans="2:3" ht="15" customHeight="1">
      <c r="B1024" s="243"/>
      <c r="C1024" s="243"/>
    </row>
    <row r="1025" spans="2:3" ht="15" customHeight="1">
      <c r="B1025" s="243"/>
      <c r="C1025" s="243"/>
    </row>
    <row r="1026" spans="2:3" ht="15" customHeight="1">
      <c r="B1026" s="243"/>
      <c r="C1026" s="243"/>
    </row>
    <row r="1027" spans="2:3" ht="15" customHeight="1">
      <c r="B1027" s="243"/>
      <c r="C1027" s="243"/>
    </row>
    <row r="1028" spans="2:3" ht="15" customHeight="1">
      <c r="B1028" s="243"/>
      <c r="C1028" s="243"/>
    </row>
    <row r="1029" spans="2:3" ht="15" customHeight="1">
      <c r="B1029" s="243"/>
      <c r="C1029" s="243"/>
    </row>
    <row r="1030" spans="2:3" ht="15" customHeight="1">
      <c r="B1030" s="243"/>
      <c r="C1030" s="243"/>
    </row>
    <row r="1031" spans="2:3" ht="15" customHeight="1">
      <c r="B1031" s="243"/>
      <c r="C1031" s="243"/>
    </row>
    <row r="1032" spans="2:3" ht="15" customHeight="1">
      <c r="B1032" s="243"/>
      <c r="C1032" s="243"/>
    </row>
    <row r="1033" spans="2:3" ht="15" customHeight="1">
      <c r="B1033" s="243"/>
      <c r="C1033" s="243"/>
    </row>
    <row r="1034" spans="2:3" ht="15" customHeight="1">
      <c r="B1034" s="243"/>
      <c r="C1034" s="243"/>
    </row>
    <row r="1035" spans="2:3" ht="15" customHeight="1">
      <c r="B1035" s="243"/>
      <c r="C1035" s="243"/>
    </row>
    <row r="1036" spans="2:3" ht="15" customHeight="1">
      <c r="B1036" s="243"/>
      <c r="C1036" s="243"/>
    </row>
    <row r="1037" spans="2:3" ht="15" customHeight="1">
      <c r="B1037" s="243"/>
      <c r="C1037" s="243"/>
    </row>
    <row r="1038" spans="2:3" ht="15" customHeight="1">
      <c r="B1038" s="243"/>
      <c r="C1038" s="243"/>
    </row>
    <row r="1039" spans="2:3" ht="15" customHeight="1">
      <c r="B1039" s="243"/>
      <c r="C1039" s="243"/>
    </row>
    <row r="1040" spans="2:3" ht="15" customHeight="1">
      <c r="B1040" s="243"/>
      <c r="C1040" s="243"/>
    </row>
    <row r="1041" spans="2:3" ht="15" customHeight="1">
      <c r="B1041" s="243"/>
      <c r="C1041" s="243"/>
    </row>
    <row r="1042" spans="2:3" ht="15" customHeight="1">
      <c r="B1042" s="243"/>
      <c r="C1042" s="243"/>
    </row>
    <row r="1043" spans="2:3" ht="15" customHeight="1">
      <c r="B1043" s="243"/>
      <c r="C1043" s="243"/>
    </row>
    <row r="1044" spans="2:3" ht="15" customHeight="1">
      <c r="B1044" s="243"/>
      <c r="C1044" s="243"/>
    </row>
    <row r="1045" spans="2:3" ht="15" customHeight="1">
      <c r="B1045" s="243"/>
      <c r="C1045" s="243"/>
    </row>
    <row r="1046" spans="2:3" ht="15" customHeight="1">
      <c r="B1046" s="243"/>
      <c r="C1046" s="243"/>
    </row>
    <row r="1047" spans="2:3" ht="15" customHeight="1">
      <c r="B1047" s="243"/>
      <c r="C1047" s="243"/>
    </row>
    <row r="1048" spans="2:3" ht="15" customHeight="1">
      <c r="B1048" s="243"/>
      <c r="C1048" s="243"/>
    </row>
    <row r="1049" spans="2:3" ht="15" customHeight="1">
      <c r="B1049" s="243"/>
      <c r="C1049" s="243"/>
    </row>
    <row r="1050" spans="2:3" ht="15" customHeight="1">
      <c r="B1050" s="243"/>
      <c r="C1050" s="243"/>
    </row>
    <row r="1051" spans="2:3" ht="15" customHeight="1">
      <c r="B1051" s="243"/>
      <c r="C1051" s="243"/>
    </row>
    <row r="1052" spans="2:3" ht="15" customHeight="1">
      <c r="B1052" s="243"/>
      <c r="C1052" s="243"/>
    </row>
    <row r="1053" spans="2:3" ht="15" customHeight="1">
      <c r="B1053" s="243"/>
      <c r="C1053" s="243"/>
    </row>
    <row r="1054" spans="2:3" ht="15" customHeight="1">
      <c r="B1054" s="243"/>
      <c r="C1054" s="243"/>
    </row>
    <row r="1055" spans="2:3" ht="15" customHeight="1">
      <c r="B1055" s="243"/>
      <c r="C1055" s="243"/>
    </row>
    <row r="1056" spans="2:3" ht="15" customHeight="1">
      <c r="B1056" s="243"/>
      <c r="C1056" s="243"/>
    </row>
    <row r="1057" spans="2:3" ht="15" customHeight="1">
      <c r="B1057" s="243"/>
      <c r="C1057" s="243"/>
    </row>
    <row r="1058" spans="2:3" ht="15" customHeight="1">
      <c r="B1058" s="243"/>
      <c r="C1058" s="243"/>
    </row>
    <row r="1059" spans="2:3" ht="15" customHeight="1">
      <c r="B1059" s="243"/>
      <c r="C1059" s="243"/>
    </row>
    <row r="1060" spans="2:3" ht="15" customHeight="1">
      <c r="B1060" s="243"/>
      <c r="C1060" s="243"/>
    </row>
    <row r="1061" spans="2:3" ht="15" customHeight="1">
      <c r="B1061" s="243"/>
      <c r="C1061" s="243"/>
    </row>
    <row r="1062" spans="2:3" ht="15" customHeight="1">
      <c r="B1062" s="243"/>
      <c r="C1062" s="243"/>
    </row>
    <row r="1063" spans="2:3" ht="15" customHeight="1">
      <c r="B1063" s="243"/>
      <c r="C1063" s="243"/>
    </row>
    <row r="1064" spans="2:3" ht="15" customHeight="1">
      <c r="B1064" s="243"/>
      <c r="C1064" s="243"/>
    </row>
    <row r="1065" spans="2:3" ht="15" customHeight="1">
      <c r="B1065" s="243"/>
      <c r="C1065" s="243"/>
    </row>
    <row r="1066" spans="2:3" ht="15" customHeight="1">
      <c r="B1066" s="243"/>
      <c r="C1066" s="243"/>
    </row>
    <row r="1067" spans="2:3" ht="15" customHeight="1">
      <c r="B1067" s="243"/>
      <c r="C1067" s="243"/>
    </row>
    <row r="1068" spans="2:3" ht="15" customHeight="1">
      <c r="B1068" s="243"/>
      <c r="C1068" s="243"/>
    </row>
    <row r="1069" spans="2:3" ht="15" customHeight="1">
      <c r="B1069" s="243"/>
      <c r="C1069" s="243"/>
    </row>
    <row r="1070" spans="2:3" ht="15" customHeight="1">
      <c r="B1070" s="243"/>
      <c r="C1070" s="243"/>
    </row>
    <row r="1071" spans="2:3" ht="15" customHeight="1">
      <c r="B1071" s="243"/>
      <c r="C1071" s="243"/>
    </row>
    <row r="1072" spans="2:3" ht="15" customHeight="1">
      <c r="B1072" s="243"/>
      <c r="C1072" s="243"/>
    </row>
    <row r="1073" spans="2:3" ht="15" customHeight="1">
      <c r="B1073" s="243"/>
      <c r="C1073" s="243"/>
    </row>
    <row r="1074" spans="2:3" ht="15" customHeight="1">
      <c r="B1074" s="243"/>
      <c r="C1074" s="243"/>
    </row>
    <row r="1075" spans="2:3" ht="15" customHeight="1">
      <c r="B1075" s="243"/>
      <c r="C1075" s="243"/>
    </row>
    <row r="1076" spans="2:3" ht="15" customHeight="1">
      <c r="B1076" s="243"/>
      <c r="C1076" s="243"/>
    </row>
    <row r="1077" spans="2:3" ht="15" customHeight="1">
      <c r="B1077" s="243"/>
      <c r="C1077" s="243"/>
    </row>
    <row r="1078" spans="2:3" ht="15" customHeight="1">
      <c r="B1078" s="243"/>
      <c r="C1078" s="243"/>
    </row>
    <row r="1079" spans="2:3" ht="15" customHeight="1">
      <c r="B1079" s="243"/>
      <c r="C1079" s="243"/>
    </row>
    <row r="1080" spans="2:3" ht="15" customHeight="1">
      <c r="B1080" s="243"/>
      <c r="C1080" s="243"/>
    </row>
    <row r="1081" spans="2:3" ht="15" customHeight="1">
      <c r="B1081" s="243"/>
      <c r="C1081" s="243"/>
    </row>
    <row r="1082" spans="2:3" ht="15" customHeight="1">
      <c r="B1082" s="243"/>
      <c r="C1082" s="243"/>
    </row>
    <row r="1083" spans="2:3" ht="15" customHeight="1">
      <c r="B1083" s="243"/>
      <c r="C1083" s="243"/>
    </row>
    <row r="1084" spans="2:3" ht="15" customHeight="1">
      <c r="B1084" s="243"/>
      <c r="C1084" s="243"/>
    </row>
    <row r="1085" spans="2:3" ht="15" customHeight="1">
      <c r="B1085" s="243"/>
      <c r="C1085" s="243"/>
    </row>
    <row r="1086" spans="2:3" ht="15" customHeight="1">
      <c r="B1086" s="243"/>
      <c r="C1086" s="243"/>
    </row>
    <row r="1087" spans="2:3" ht="15" customHeight="1">
      <c r="B1087" s="243"/>
      <c r="C1087" s="243"/>
    </row>
    <row r="1088" spans="2:3" ht="15" customHeight="1">
      <c r="B1088" s="243"/>
      <c r="C1088" s="243"/>
    </row>
    <row r="1089" spans="2:3" ht="15" customHeight="1">
      <c r="B1089" s="243"/>
      <c r="C1089" s="243"/>
    </row>
    <row r="1090" spans="2:3" ht="15" customHeight="1">
      <c r="B1090" s="243"/>
      <c r="C1090" s="243"/>
    </row>
    <row r="1091" spans="2:3" ht="15" customHeight="1">
      <c r="B1091" s="243"/>
      <c r="C1091" s="243"/>
    </row>
    <row r="1092" spans="2:3" ht="15" customHeight="1">
      <c r="B1092" s="243"/>
      <c r="C1092" s="243"/>
    </row>
    <row r="1093" spans="2:3" ht="15" customHeight="1">
      <c r="B1093" s="243"/>
      <c r="C1093" s="243"/>
    </row>
    <row r="1094" spans="2:3" ht="15" customHeight="1">
      <c r="B1094" s="243"/>
      <c r="C1094" s="243"/>
    </row>
    <row r="1095" spans="2:3" ht="15" customHeight="1">
      <c r="B1095" s="243"/>
      <c r="C1095" s="243"/>
    </row>
    <row r="1096" spans="2:3" ht="15" customHeight="1">
      <c r="B1096" s="243"/>
      <c r="C1096" s="243"/>
    </row>
    <row r="1097" spans="2:3" ht="15" customHeight="1">
      <c r="B1097" s="243"/>
      <c r="C1097" s="243"/>
    </row>
    <row r="1098" spans="2:3" ht="15" customHeight="1">
      <c r="B1098" s="243"/>
      <c r="C1098" s="243"/>
    </row>
    <row r="1099" spans="2:3" ht="15" customHeight="1">
      <c r="B1099" s="243"/>
      <c r="C1099" s="243"/>
    </row>
    <row r="1100" spans="2:3" ht="15" customHeight="1">
      <c r="B1100" s="243"/>
      <c r="C1100" s="243"/>
    </row>
    <row r="1101" spans="2:3" ht="15" customHeight="1">
      <c r="B1101" s="243"/>
      <c r="C1101" s="243"/>
    </row>
    <row r="1102" spans="2:3" ht="15" customHeight="1">
      <c r="B1102" s="243"/>
      <c r="C1102" s="243"/>
    </row>
    <row r="1103" spans="2:3" ht="15" customHeight="1">
      <c r="B1103" s="243"/>
      <c r="C1103" s="243"/>
    </row>
    <row r="1104" spans="2:3" ht="15" customHeight="1">
      <c r="B1104" s="243"/>
      <c r="C1104" s="243"/>
    </row>
    <row r="1105" spans="2:3" ht="15" customHeight="1">
      <c r="B1105" s="243"/>
      <c r="C1105" s="243"/>
    </row>
    <row r="1106" spans="2:3" ht="15" customHeight="1">
      <c r="B1106" s="243"/>
      <c r="C1106" s="243"/>
    </row>
    <row r="1107" spans="2:3" ht="15" customHeight="1">
      <c r="B1107" s="243"/>
      <c r="C1107" s="243"/>
    </row>
    <row r="1108" spans="2:3" ht="15" customHeight="1">
      <c r="B1108" s="243"/>
      <c r="C1108" s="243"/>
    </row>
    <row r="1109" spans="2:3" ht="15" customHeight="1">
      <c r="B1109" s="243"/>
      <c r="C1109" s="243"/>
    </row>
    <row r="1110" spans="2:3" ht="15" customHeight="1">
      <c r="B1110" s="243"/>
      <c r="C1110" s="243"/>
    </row>
    <row r="1111" spans="2:3" ht="15" customHeight="1">
      <c r="B1111" s="243"/>
      <c r="C1111" s="243"/>
    </row>
    <row r="1112" spans="2:3" ht="15" customHeight="1">
      <c r="B1112" s="243"/>
      <c r="C1112" s="243"/>
    </row>
    <row r="1113" spans="2:3" ht="15" customHeight="1">
      <c r="B1113" s="243"/>
      <c r="C1113" s="243"/>
    </row>
    <row r="1114" spans="2:3" ht="15" customHeight="1">
      <c r="B1114" s="243"/>
      <c r="C1114" s="243"/>
    </row>
    <row r="1115" spans="2:3" ht="15" customHeight="1">
      <c r="B1115" s="243"/>
      <c r="C1115" s="243"/>
    </row>
    <row r="1116" spans="2:3" ht="15" customHeight="1">
      <c r="B1116" s="243"/>
      <c r="C1116" s="243"/>
    </row>
    <row r="1117" spans="2:3" ht="15" customHeight="1">
      <c r="B1117" s="243"/>
      <c r="C1117" s="243"/>
    </row>
    <row r="1118" spans="2:3" ht="15" customHeight="1">
      <c r="B1118" s="243"/>
      <c r="C1118" s="243"/>
    </row>
    <row r="1119" spans="2:3" ht="15" customHeight="1">
      <c r="B1119" s="243"/>
      <c r="C1119" s="243"/>
    </row>
    <row r="1120" spans="2:3" ht="15" customHeight="1">
      <c r="B1120" s="243"/>
      <c r="C1120" s="243"/>
    </row>
    <row r="1121" spans="2:3" ht="15" customHeight="1">
      <c r="B1121" s="243"/>
      <c r="C1121" s="243"/>
    </row>
    <row r="1122" spans="2:3" ht="15" customHeight="1">
      <c r="B1122" s="243"/>
      <c r="C1122" s="243"/>
    </row>
    <row r="1123" spans="2:3" ht="15" customHeight="1">
      <c r="B1123" s="243"/>
      <c r="C1123" s="243"/>
    </row>
    <row r="1124" spans="2:3" ht="15" customHeight="1">
      <c r="B1124" s="243"/>
      <c r="C1124" s="243"/>
    </row>
    <row r="1125" spans="2:3" ht="15" customHeight="1">
      <c r="B1125" s="243"/>
      <c r="C1125" s="243"/>
    </row>
    <row r="1126" spans="2:3" ht="15" customHeight="1">
      <c r="B1126" s="243"/>
      <c r="C1126" s="243"/>
    </row>
    <row r="1127" spans="2:3" ht="15" customHeight="1">
      <c r="B1127" s="243"/>
      <c r="C1127" s="243"/>
    </row>
    <row r="1128" spans="2:3" ht="15" customHeight="1">
      <c r="B1128" s="243"/>
      <c r="C1128" s="243"/>
    </row>
    <row r="1129" spans="2:3" ht="15" customHeight="1">
      <c r="B1129" s="243"/>
      <c r="C1129" s="243"/>
    </row>
    <row r="1130" spans="2:3" ht="15" customHeight="1">
      <c r="B1130" s="243"/>
      <c r="C1130" s="243"/>
    </row>
    <row r="1131" spans="2:3" ht="15" customHeight="1">
      <c r="B1131" s="243"/>
      <c r="C1131" s="243"/>
    </row>
    <row r="1132" spans="2:3" ht="15" customHeight="1">
      <c r="B1132" s="243"/>
      <c r="C1132" s="243"/>
    </row>
    <row r="1133" spans="2:3" ht="15" customHeight="1">
      <c r="B1133" s="243"/>
      <c r="C1133" s="243"/>
    </row>
    <row r="1134" spans="2:3" ht="15" customHeight="1">
      <c r="B1134" s="243"/>
      <c r="C1134" s="243"/>
    </row>
    <row r="1135" spans="2:3" ht="15" customHeight="1">
      <c r="B1135" s="243"/>
      <c r="C1135" s="243"/>
    </row>
    <row r="1136" spans="2:3" ht="15" customHeight="1">
      <c r="B1136" s="243"/>
      <c r="C1136" s="243"/>
    </row>
    <row r="1137" spans="2:3" ht="15" customHeight="1">
      <c r="B1137" s="243"/>
      <c r="C1137" s="243"/>
    </row>
    <row r="1138" spans="2:3" ht="15" customHeight="1">
      <c r="B1138" s="243"/>
      <c r="C1138" s="243"/>
    </row>
    <row r="1139" spans="2:3" ht="15" customHeight="1">
      <c r="B1139" s="243"/>
      <c r="C1139" s="243"/>
    </row>
    <row r="1140" spans="2:3" ht="15" customHeight="1">
      <c r="B1140" s="243"/>
      <c r="C1140" s="243"/>
    </row>
    <row r="1141" spans="2:3" ht="15" customHeight="1">
      <c r="B1141" s="243"/>
      <c r="C1141" s="243"/>
    </row>
    <row r="1142" spans="2:3" ht="15" customHeight="1">
      <c r="B1142" s="243"/>
      <c r="C1142" s="243"/>
    </row>
    <row r="1143" spans="2:3" ht="15" customHeight="1">
      <c r="B1143" s="243"/>
      <c r="C1143" s="243"/>
    </row>
    <row r="1144" spans="2:3" ht="15" customHeight="1">
      <c r="B1144" s="243"/>
      <c r="C1144" s="243"/>
    </row>
    <row r="1145" spans="2:3" ht="15" customHeight="1">
      <c r="B1145" s="243"/>
      <c r="C1145" s="243"/>
    </row>
    <row r="1146" spans="2:3" ht="15" customHeight="1">
      <c r="B1146" s="243"/>
      <c r="C1146" s="243"/>
    </row>
    <row r="1147" spans="2:3" ht="15" customHeight="1">
      <c r="B1147" s="243"/>
      <c r="C1147" s="243"/>
    </row>
    <row r="1148" spans="2:3" ht="15" customHeight="1">
      <c r="B1148" s="243"/>
      <c r="C1148" s="243"/>
    </row>
    <row r="1149" spans="2:3" ht="15" customHeight="1">
      <c r="B1149" s="243"/>
      <c r="C1149" s="243"/>
    </row>
    <row r="1150" spans="2:3" ht="15" customHeight="1">
      <c r="B1150" s="243"/>
      <c r="C1150" s="243"/>
    </row>
    <row r="1151" spans="2:3" ht="15" customHeight="1">
      <c r="B1151" s="243"/>
      <c r="C1151" s="243"/>
    </row>
    <row r="1152" spans="2:3" ht="15" customHeight="1">
      <c r="B1152" s="243"/>
      <c r="C1152" s="243"/>
    </row>
    <row r="1153" spans="2:3" ht="15" customHeight="1">
      <c r="B1153" s="243"/>
      <c r="C1153" s="243"/>
    </row>
    <row r="1154" spans="2:3" ht="15" customHeight="1">
      <c r="B1154" s="243"/>
      <c r="C1154" s="243"/>
    </row>
    <row r="1155" spans="2:3" ht="15" customHeight="1">
      <c r="B1155" s="243"/>
      <c r="C1155" s="243"/>
    </row>
    <row r="1156" spans="2:3" ht="15" customHeight="1">
      <c r="B1156" s="243"/>
      <c r="C1156" s="243"/>
    </row>
    <row r="1157" spans="2:3" ht="15" customHeight="1">
      <c r="B1157" s="243"/>
      <c r="C1157" s="243"/>
    </row>
    <row r="1158" spans="2:3" ht="15" customHeight="1">
      <c r="B1158" s="243"/>
      <c r="C1158" s="243"/>
    </row>
    <row r="1159" spans="2:3" ht="15" customHeight="1">
      <c r="B1159" s="243"/>
      <c r="C1159" s="243"/>
    </row>
    <row r="1160" spans="2:3" ht="15" customHeight="1">
      <c r="B1160" s="243"/>
      <c r="C1160" s="243"/>
    </row>
    <row r="1161" spans="2:3" ht="15" customHeight="1">
      <c r="B1161" s="243"/>
      <c r="C1161" s="243"/>
    </row>
    <row r="1162" spans="2:3" ht="15" customHeight="1">
      <c r="B1162" s="243"/>
      <c r="C1162" s="243"/>
    </row>
    <row r="1163" spans="2:3" ht="15" customHeight="1">
      <c r="B1163" s="243"/>
      <c r="C1163" s="243"/>
    </row>
    <row r="1164" spans="2:3" ht="15" customHeight="1">
      <c r="B1164" s="243"/>
      <c r="C1164" s="243"/>
    </row>
    <row r="1165" spans="2:3" ht="15" customHeight="1">
      <c r="B1165" s="243"/>
      <c r="C1165" s="243"/>
    </row>
    <row r="1166" spans="2:3" ht="15" customHeight="1">
      <c r="B1166" s="243"/>
      <c r="C1166" s="243"/>
    </row>
    <row r="1167" spans="2:3" ht="15" customHeight="1">
      <c r="B1167" s="243"/>
      <c r="C1167" s="243"/>
    </row>
    <row r="1168" spans="2:3" ht="15" customHeight="1">
      <c r="B1168" s="243"/>
      <c r="C1168" s="243"/>
    </row>
    <row r="1169" spans="2:3" ht="15" customHeight="1">
      <c r="B1169" s="243"/>
      <c r="C1169" s="243"/>
    </row>
    <row r="1170" spans="2:3" ht="15" customHeight="1">
      <c r="B1170" s="243"/>
      <c r="C1170" s="243"/>
    </row>
    <row r="1171" spans="2:3" ht="15" customHeight="1">
      <c r="B1171" s="243"/>
      <c r="C1171" s="243"/>
    </row>
    <row r="1172" spans="2:3" ht="15" customHeight="1">
      <c r="B1172" s="243"/>
      <c r="C1172" s="243"/>
    </row>
    <row r="1173" spans="2:3" ht="15" customHeight="1">
      <c r="B1173" s="243"/>
      <c r="C1173" s="243"/>
    </row>
    <row r="1174" spans="2:3" ht="15" customHeight="1">
      <c r="B1174" s="243"/>
      <c r="C1174" s="243"/>
    </row>
    <row r="1175" spans="2:3" ht="15" customHeight="1">
      <c r="B1175" s="243"/>
      <c r="C1175" s="243"/>
    </row>
    <row r="1176" spans="2:3" ht="15" customHeight="1">
      <c r="B1176" s="243"/>
      <c r="C1176" s="243"/>
    </row>
    <row r="1177" spans="2:3" ht="15" customHeight="1">
      <c r="B1177" s="243"/>
      <c r="C1177" s="243"/>
    </row>
    <row r="1178" spans="2:3" ht="15" customHeight="1">
      <c r="B1178" s="243"/>
      <c r="C1178" s="243"/>
    </row>
    <row r="1179" spans="2:3" ht="15" customHeight="1">
      <c r="B1179" s="243"/>
      <c r="C1179" s="243"/>
    </row>
    <row r="1180" spans="2:3" ht="15" customHeight="1">
      <c r="B1180" s="243"/>
      <c r="C1180" s="243"/>
    </row>
    <row r="1181" spans="2:3" ht="15" customHeight="1">
      <c r="B1181" s="243"/>
      <c r="C1181" s="243"/>
    </row>
    <row r="1182" spans="2:3" ht="15" customHeight="1">
      <c r="B1182" s="243"/>
      <c r="C1182" s="243"/>
    </row>
    <row r="1183" spans="2:3" ht="15" customHeight="1">
      <c r="B1183" s="243"/>
      <c r="C1183" s="243"/>
    </row>
    <row r="1184" spans="2:3" ht="15" customHeight="1">
      <c r="B1184" s="243"/>
      <c r="C1184" s="243"/>
    </row>
    <row r="1185" spans="2:3" ht="15" customHeight="1">
      <c r="B1185" s="243"/>
      <c r="C1185" s="243"/>
    </row>
    <row r="1186" spans="2:3" ht="15" customHeight="1">
      <c r="B1186" s="243"/>
      <c r="C1186" s="243"/>
    </row>
    <row r="1187" spans="2:3" ht="15" customHeight="1">
      <c r="B1187" s="243"/>
      <c r="C1187" s="243"/>
    </row>
    <row r="1188" spans="2:3" ht="15" customHeight="1">
      <c r="B1188" s="243"/>
      <c r="C1188" s="243"/>
    </row>
    <row r="1189" spans="2:3" ht="15" customHeight="1">
      <c r="B1189" s="243"/>
      <c r="C1189" s="243"/>
    </row>
    <row r="1190" spans="2:3" ht="15" customHeight="1">
      <c r="B1190" s="243"/>
      <c r="C1190" s="243"/>
    </row>
    <row r="1191" spans="2:3" ht="15" customHeight="1">
      <c r="B1191" s="243"/>
      <c r="C1191" s="243"/>
    </row>
    <row r="1192" spans="2:3" ht="15" customHeight="1">
      <c r="B1192" s="243"/>
      <c r="C1192" s="243"/>
    </row>
    <row r="1193" spans="2:3" ht="15" customHeight="1">
      <c r="B1193" s="243"/>
      <c r="C1193" s="243"/>
    </row>
    <row r="1194" spans="2:3" ht="15" customHeight="1">
      <c r="B1194" s="243"/>
      <c r="C1194" s="243"/>
    </row>
    <row r="1195" spans="2:3" ht="15" customHeight="1">
      <c r="B1195" s="243"/>
      <c r="C1195" s="243"/>
    </row>
    <row r="1196" spans="2:3" ht="15" customHeight="1">
      <c r="B1196" s="243"/>
      <c r="C1196" s="243"/>
    </row>
    <row r="1197" spans="2:3" ht="15" customHeight="1">
      <c r="B1197" s="243"/>
      <c r="C1197" s="243"/>
    </row>
    <row r="1198" spans="2:3" ht="15" customHeight="1">
      <c r="B1198" s="243"/>
      <c r="C1198" s="243"/>
    </row>
    <row r="1199" spans="2:3" ht="15" customHeight="1">
      <c r="B1199" s="243"/>
      <c r="C1199" s="243"/>
    </row>
    <row r="1200" spans="2:3" ht="15" customHeight="1">
      <c r="B1200" s="243"/>
      <c r="C1200" s="243"/>
    </row>
    <row r="1201" spans="2:3" ht="15" customHeight="1">
      <c r="B1201" s="243"/>
      <c r="C1201" s="243"/>
    </row>
    <row r="1202" spans="2:3" ht="15" customHeight="1">
      <c r="B1202" s="243"/>
      <c r="C1202" s="243"/>
    </row>
    <row r="1203" spans="2:3" ht="15" customHeight="1">
      <c r="B1203" s="243"/>
      <c r="C1203" s="243"/>
    </row>
    <row r="1204" spans="2:3" ht="15" customHeight="1">
      <c r="B1204" s="243"/>
      <c r="C1204" s="243"/>
    </row>
    <row r="1205" spans="2:3" ht="15" customHeight="1">
      <c r="B1205" s="243"/>
      <c r="C1205" s="243"/>
    </row>
    <row r="1206" spans="2:3" ht="15" customHeight="1">
      <c r="B1206" s="243"/>
      <c r="C1206" s="243"/>
    </row>
    <row r="1207" spans="2:3" ht="15" customHeight="1">
      <c r="B1207" s="243"/>
      <c r="C1207" s="243"/>
    </row>
    <row r="1208" spans="2:3" ht="15" customHeight="1">
      <c r="B1208" s="243"/>
      <c r="C1208" s="243"/>
    </row>
    <row r="1209" spans="2:3" ht="15" customHeight="1">
      <c r="B1209" s="243"/>
      <c r="C1209" s="243"/>
    </row>
    <row r="1210" spans="2:3" ht="15" customHeight="1">
      <c r="B1210" s="243"/>
      <c r="C1210" s="243"/>
    </row>
    <row r="1211" spans="2:3" ht="15" customHeight="1">
      <c r="B1211" s="243"/>
      <c r="C1211" s="243"/>
    </row>
    <row r="1212" spans="2:3" ht="15" customHeight="1">
      <c r="B1212" s="243"/>
      <c r="C1212" s="243"/>
    </row>
    <row r="1213" spans="2:3" ht="15" customHeight="1">
      <c r="B1213" s="243"/>
      <c r="C1213" s="243"/>
    </row>
    <row r="1214" spans="2:3" ht="15" customHeight="1">
      <c r="B1214" s="243"/>
      <c r="C1214" s="243"/>
    </row>
    <row r="1215" spans="2:3" ht="15" customHeight="1">
      <c r="B1215" s="243"/>
      <c r="C1215" s="243"/>
    </row>
    <row r="1216" spans="2:3" ht="15" customHeight="1">
      <c r="B1216" s="243"/>
      <c r="C1216" s="243"/>
    </row>
    <row r="1217" spans="2:3" ht="15" customHeight="1">
      <c r="B1217" s="243"/>
      <c r="C1217" s="243"/>
    </row>
    <row r="1218" spans="2:3" ht="15" customHeight="1">
      <c r="B1218" s="243"/>
      <c r="C1218" s="243"/>
    </row>
    <row r="1219" spans="2:3" ht="15" customHeight="1">
      <c r="B1219" s="243"/>
      <c r="C1219" s="243"/>
    </row>
    <row r="1220" spans="2:3" ht="15" customHeight="1">
      <c r="B1220" s="243"/>
      <c r="C1220" s="243"/>
    </row>
    <row r="1221" spans="2:3" ht="15" customHeight="1">
      <c r="B1221" s="243"/>
      <c r="C1221" s="243"/>
    </row>
    <row r="1222" spans="2:3" ht="15" customHeight="1">
      <c r="B1222" s="243"/>
      <c r="C1222" s="243"/>
    </row>
    <row r="1223" spans="2:3" ht="15" customHeight="1">
      <c r="B1223" s="243"/>
      <c r="C1223" s="243"/>
    </row>
    <row r="1224" spans="2:3" ht="15" customHeight="1">
      <c r="B1224" s="243"/>
      <c r="C1224" s="243"/>
    </row>
    <row r="1225" spans="2:3" ht="15" customHeight="1">
      <c r="B1225" s="243"/>
      <c r="C1225" s="243"/>
    </row>
    <row r="1226" spans="2:3" ht="15" customHeight="1">
      <c r="B1226" s="243"/>
      <c r="C1226" s="243"/>
    </row>
    <row r="1227" spans="2:3" ht="15" customHeight="1">
      <c r="B1227" s="243"/>
      <c r="C1227" s="243"/>
    </row>
    <row r="1228" spans="2:3" ht="15" customHeight="1">
      <c r="B1228" s="243"/>
      <c r="C1228" s="243"/>
    </row>
    <row r="1229" spans="2:3" ht="15" customHeight="1">
      <c r="B1229" s="243"/>
      <c r="C1229" s="243"/>
    </row>
    <row r="1230" spans="2:3" ht="15" customHeight="1">
      <c r="B1230" s="243"/>
      <c r="C1230" s="243"/>
    </row>
    <row r="1231" spans="2:3" ht="15" customHeight="1">
      <c r="B1231" s="243"/>
      <c r="C1231" s="243"/>
    </row>
    <row r="1232" spans="2:3" ht="15" customHeight="1">
      <c r="B1232" s="243"/>
      <c r="C1232" s="243"/>
    </row>
    <row r="1233" spans="2:3" ht="15" customHeight="1">
      <c r="B1233" s="243"/>
      <c r="C1233" s="243"/>
    </row>
    <row r="1234" spans="2:3" ht="15" customHeight="1">
      <c r="B1234" s="243"/>
      <c r="C1234" s="243"/>
    </row>
    <row r="1235" spans="2:3" ht="15" customHeight="1">
      <c r="B1235" s="243"/>
      <c r="C1235" s="243"/>
    </row>
    <row r="1236" spans="2:3" ht="15" customHeight="1">
      <c r="B1236" s="243"/>
      <c r="C1236" s="243"/>
    </row>
    <row r="1237" spans="2:3" ht="15" customHeight="1">
      <c r="B1237" s="243"/>
      <c r="C1237" s="243"/>
    </row>
    <row r="1238" spans="2:3" ht="15" customHeight="1">
      <c r="B1238" s="243"/>
      <c r="C1238" s="243"/>
    </row>
    <row r="1239" spans="2:3" ht="15" customHeight="1">
      <c r="B1239" s="243"/>
      <c r="C1239" s="243"/>
    </row>
    <row r="1240" spans="2:3" ht="15" customHeight="1">
      <c r="B1240" s="243"/>
      <c r="C1240" s="243"/>
    </row>
    <row r="1241" spans="2:3" ht="15" customHeight="1">
      <c r="B1241" s="243"/>
      <c r="C1241" s="243"/>
    </row>
    <row r="1242" spans="2:3" ht="15" customHeight="1">
      <c r="B1242" s="243"/>
      <c r="C1242" s="243"/>
    </row>
    <row r="1243" spans="2:3" ht="15" customHeight="1">
      <c r="B1243" s="243"/>
      <c r="C1243" s="243"/>
    </row>
    <row r="1244" spans="2:3" ht="15" customHeight="1">
      <c r="B1244" s="243"/>
      <c r="C1244" s="243"/>
    </row>
    <row r="1245" spans="2:3" ht="15" customHeight="1">
      <c r="B1245" s="243"/>
      <c r="C1245" s="243"/>
    </row>
    <row r="1246" spans="2:3" ht="15" customHeight="1">
      <c r="B1246" s="243"/>
      <c r="C1246" s="243"/>
    </row>
    <row r="1247" spans="2:3" ht="15" customHeight="1">
      <c r="B1247" s="243"/>
      <c r="C1247" s="243"/>
    </row>
    <row r="1248" spans="2:3" ht="15" customHeight="1">
      <c r="B1248" s="243"/>
      <c r="C1248" s="243"/>
    </row>
    <row r="1249" spans="2:3" ht="15" customHeight="1">
      <c r="B1249" s="243"/>
      <c r="C1249" s="243"/>
    </row>
    <row r="1250" spans="2:3" ht="15" customHeight="1">
      <c r="B1250" s="243"/>
      <c r="C1250" s="243"/>
    </row>
    <row r="1251" spans="2:3" ht="15" customHeight="1">
      <c r="B1251" s="243"/>
      <c r="C1251" s="243"/>
    </row>
    <row r="1252" spans="2:3" ht="15" customHeight="1">
      <c r="B1252" s="243"/>
      <c r="C1252" s="243"/>
    </row>
    <row r="1253" spans="2:3" ht="15" customHeight="1">
      <c r="B1253" s="243"/>
      <c r="C1253" s="243"/>
    </row>
    <row r="1254" spans="2:3" ht="15" customHeight="1">
      <c r="B1254" s="243"/>
      <c r="C1254" s="243"/>
    </row>
    <row r="1255" spans="2:3" ht="15" customHeight="1">
      <c r="B1255" s="243"/>
      <c r="C1255" s="243"/>
    </row>
    <row r="1256" spans="2:3" ht="15" customHeight="1">
      <c r="B1256" s="243"/>
      <c r="C1256" s="243"/>
    </row>
    <row r="1257" spans="2:3" ht="15" customHeight="1">
      <c r="B1257" s="243"/>
      <c r="C1257" s="243"/>
    </row>
    <row r="1258" spans="2:3" ht="15" customHeight="1">
      <c r="B1258" s="243"/>
      <c r="C1258" s="243"/>
    </row>
    <row r="1259" spans="2:3" ht="15" customHeight="1">
      <c r="B1259" s="243"/>
      <c r="C1259" s="243"/>
    </row>
    <row r="1260" spans="2:3" ht="15" customHeight="1">
      <c r="B1260" s="243"/>
      <c r="C1260" s="243"/>
    </row>
    <row r="1261" spans="2:3" ht="15" customHeight="1">
      <c r="B1261" s="243"/>
      <c r="C1261" s="243"/>
    </row>
    <row r="1262" spans="2:3" ht="15" customHeight="1">
      <c r="B1262" s="243"/>
      <c r="C1262" s="243"/>
    </row>
    <row r="1263" spans="2:3" ht="15" customHeight="1">
      <c r="B1263" s="243"/>
      <c r="C1263" s="243"/>
    </row>
    <row r="1264" spans="2:3" ht="15" customHeight="1">
      <c r="B1264" s="243"/>
      <c r="C1264" s="243"/>
    </row>
    <row r="1265" spans="2:3" ht="15" customHeight="1">
      <c r="B1265" s="243"/>
      <c r="C1265" s="243"/>
    </row>
    <row r="1266" spans="2:3" ht="15" customHeight="1">
      <c r="B1266" s="243"/>
      <c r="C1266" s="243"/>
    </row>
    <row r="1267" spans="2:3" ht="15" customHeight="1">
      <c r="B1267" s="243"/>
      <c r="C1267" s="243"/>
    </row>
    <row r="1268" spans="2:3" ht="15" customHeight="1">
      <c r="B1268" s="243"/>
      <c r="C1268" s="243"/>
    </row>
    <row r="1269" spans="2:3" ht="15" customHeight="1">
      <c r="B1269" s="243"/>
      <c r="C1269" s="243"/>
    </row>
    <row r="1270" spans="2:3" ht="15" customHeight="1">
      <c r="B1270" s="243"/>
      <c r="C1270" s="243"/>
    </row>
    <row r="1271" spans="2:3" ht="15" customHeight="1">
      <c r="B1271" s="243"/>
      <c r="C1271" s="243"/>
    </row>
    <row r="1272" spans="2:3" ht="15" customHeight="1">
      <c r="B1272" s="243"/>
      <c r="C1272" s="243"/>
    </row>
    <row r="1273" spans="2:3" ht="15" customHeight="1">
      <c r="B1273" s="243"/>
      <c r="C1273" s="243"/>
    </row>
    <row r="1274" spans="2:3" ht="15" customHeight="1">
      <c r="B1274" s="243"/>
      <c r="C1274" s="243"/>
    </row>
    <row r="1275" spans="2:3" ht="15" customHeight="1">
      <c r="B1275" s="243"/>
      <c r="C1275" s="243"/>
    </row>
    <row r="1276" spans="2:3" ht="15" customHeight="1">
      <c r="B1276" s="243"/>
      <c r="C1276" s="243"/>
    </row>
    <row r="1277" spans="2:3" ht="15" customHeight="1">
      <c r="B1277" s="243"/>
      <c r="C1277" s="243"/>
    </row>
    <row r="1278" spans="2:3" ht="15" customHeight="1">
      <c r="B1278" s="243"/>
      <c r="C1278" s="243"/>
    </row>
    <row r="1279" spans="2:3" ht="15" customHeight="1">
      <c r="B1279" s="243"/>
      <c r="C1279" s="243"/>
    </row>
    <row r="1280" spans="2:3" ht="15" customHeight="1">
      <c r="B1280" s="243"/>
      <c r="C1280" s="243"/>
    </row>
    <row r="1281" spans="2:3" ht="15" customHeight="1">
      <c r="B1281" s="243"/>
      <c r="C1281" s="243"/>
    </row>
    <row r="1282" spans="2:3" ht="15" customHeight="1">
      <c r="B1282" s="243"/>
      <c r="C1282" s="243"/>
    </row>
    <row r="1283" spans="2:3" ht="15" customHeight="1">
      <c r="B1283" s="243"/>
      <c r="C1283" s="243"/>
    </row>
    <row r="1284" spans="2:3" ht="15" customHeight="1">
      <c r="B1284" s="243"/>
      <c r="C1284" s="243"/>
    </row>
    <row r="1285" spans="2:3" ht="15" customHeight="1">
      <c r="B1285" s="243"/>
      <c r="C1285" s="243"/>
    </row>
    <row r="1286" spans="2:3" ht="15" customHeight="1">
      <c r="B1286" s="243"/>
      <c r="C1286" s="243"/>
    </row>
    <row r="1287" spans="2:3" ht="15" customHeight="1">
      <c r="B1287" s="243"/>
      <c r="C1287" s="243"/>
    </row>
    <row r="1288" spans="2:3" ht="15" customHeight="1">
      <c r="B1288" s="243"/>
      <c r="C1288" s="243"/>
    </row>
    <row r="1289" spans="2:3" ht="15" customHeight="1">
      <c r="B1289" s="243"/>
      <c r="C1289" s="243"/>
    </row>
    <row r="1290" spans="2:3" ht="15" customHeight="1">
      <c r="B1290" s="243"/>
      <c r="C1290" s="243"/>
    </row>
    <row r="1291" spans="2:3" ht="15" customHeight="1">
      <c r="B1291" s="243"/>
      <c r="C1291" s="243"/>
    </row>
    <row r="1292" spans="2:3" ht="15" customHeight="1">
      <c r="B1292" s="243"/>
      <c r="C1292" s="243"/>
    </row>
    <row r="1293" spans="2:3" ht="15" customHeight="1">
      <c r="B1293" s="243"/>
      <c r="C1293" s="243"/>
    </row>
    <row r="1294" spans="2:3" ht="15" customHeight="1">
      <c r="B1294" s="243"/>
      <c r="C1294" s="243"/>
    </row>
    <row r="1295" spans="2:3" ht="15" customHeight="1">
      <c r="B1295" s="243"/>
      <c r="C1295" s="243"/>
    </row>
    <row r="1296" spans="2:3" ht="15" customHeight="1">
      <c r="B1296" s="243"/>
      <c r="C1296" s="243"/>
    </row>
    <row r="1297" spans="2:3" ht="15" customHeight="1">
      <c r="B1297" s="243"/>
      <c r="C1297" s="243"/>
    </row>
    <row r="1298" spans="2:3" ht="15" customHeight="1">
      <c r="B1298" s="243"/>
      <c r="C1298" s="243"/>
    </row>
    <row r="1299" spans="2:3" ht="15" customHeight="1">
      <c r="B1299" s="243"/>
      <c r="C1299" s="243"/>
    </row>
    <row r="1300" spans="2:3" ht="15" customHeight="1">
      <c r="B1300" s="243"/>
      <c r="C1300" s="243"/>
    </row>
    <row r="1301" spans="2:3" ht="15" customHeight="1">
      <c r="B1301" s="243"/>
      <c r="C1301" s="243"/>
    </row>
    <row r="1302" spans="2:3" ht="15" customHeight="1">
      <c r="B1302" s="243"/>
      <c r="C1302" s="243"/>
    </row>
    <row r="1303" spans="2:3" ht="15" customHeight="1">
      <c r="B1303" s="243"/>
      <c r="C1303" s="243"/>
    </row>
    <row r="1304" spans="2:3" ht="15" customHeight="1">
      <c r="B1304" s="243"/>
      <c r="C1304" s="243"/>
    </row>
    <row r="1305" spans="2:3" ht="15" customHeight="1">
      <c r="B1305" s="243"/>
      <c r="C1305" s="243"/>
    </row>
    <row r="1306" spans="2:3" ht="15" customHeight="1">
      <c r="B1306" s="243"/>
      <c r="C1306" s="243"/>
    </row>
    <row r="1307" spans="2:3" ht="15" customHeight="1">
      <c r="B1307" s="243"/>
      <c r="C1307" s="243"/>
    </row>
    <row r="1308" spans="2:3" ht="15" customHeight="1">
      <c r="B1308" s="243"/>
      <c r="C1308" s="243"/>
    </row>
    <row r="1309" spans="2:3" ht="15" customHeight="1">
      <c r="B1309" s="243"/>
      <c r="C1309" s="243"/>
    </row>
    <row r="1310" spans="2:3" ht="15" customHeight="1">
      <c r="B1310" s="243"/>
      <c r="C1310" s="243"/>
    </row>
    <row r="1311" spans="2:3" ht="15" customHeight="1">
      <c r="B1311" s="243"/>
      <c r="C1311" s="243"/>
    </row>
    <row r="1312" spans="2:3" ht="15" customHeight="1">
      <c r="B1312" s="243"/>
      <c r="C1312" s="243"/>
    </row>
    <row r="1313" spans="2:3" ht="15" customHeight="1">
      <c r="B1313" s="243"/>
      <c r="C1313" s="243"/>
    </row>
    <row r="1314" spans="2:3" ht="15" customHeight="1">
      <c r="B1314" s="243"/>
      <c r="C1314" s="243"/>
    </row>
    <row r="1315" spans="2:3" ht="15" customHeight="1">
      <c r="B1315" s="243"/>
      <c r="C1315" s="243"/>
    </row>
    <row r="1316" spans="2:3" ht="15" customHeight="1">
      <c r="B1316" s="243"/>
      <c r="C1316" s="243"/>
    </row>
    <row r="1317" spans="2:3" ht="15" customHeight="1">
      <c r="B1317" s="243"/>
      <c r="C1317" s="243"/>
    </row>
    <row r="1318" spans="2:3" ht="15" customHeight="1">
      <c r="B1318" s="243"/>
      <c r="C1318" s="243"/>
    </row>
    <row r="1319" spans="2:3" ht="15" customHeight="1">
      <c r="B1319" s="243"/>
      <c r="C1319" s="243"/>
    </row>
    <row r="1320" spans="2:3" ht="15" customHeight="1">
      <c r="B1320" s="243"/>
      <c r="C1320" s="243"/>
    </row>
    <row r="1321" spans="2:3" ht="15" customHeight="1">
      <c r="B1321" s="243"/>
      <c r="C1321" s="243"/>
    </row>
    <row r="1322" spans="2:3" ht="15" customHeight="1">
      <c r="B1322" s="243"/>
      <c r="C1322" s="243"/>
    </row>
    <row r="1323" spans="2:3" ht="15" customHeight="1">
      <c r="B1323" s="243"/>
      <c r="C1323" s="243"/>
    </row>
    <row r="1324" spans="2:3" ht="15" customHeight="1">
      <c r="B1324" s="243"/>
      <c r="C1324" s="243"/>
    </row>
    <row r="1325" spans="2:3" ht="15" customHeight="1">
      <c r="B1325" s="243"/>
      <c r="C1325" s="243"/>
    </row>
    <row r="1326" spans="2:3" ht="15" customHeight="1">
      <c r="B1326" s="243"/>
      <c r="C1326" s="243"/>
    </row>
    <row r="1327" spans="2:3" ht="15" customHeight="1">
      <c r="B1327" s="243"/>
      <c r="C1327" s="243"/>
    </row>
    <row r="1328" spans="2:3" ht="15" customHeight="1">
      <c r="B1328" s="243"/>
      <c r="C1328" s="243"/>
    </row>
    <row r="1329" spans="2:3" ht="15" customHeight="1">
      <c r="B1329" s="243"/>
      <c r="C1329" s="243"/>
    </row>
    <row r="1330" spans="2:3" ht="15" customHeight="1">
      <c r="B1330" s="243"/>
      <c r="C1330" s="243"/>
    </row>
    <row r="1331" spans="2:3" ht="15" customHeight="1">
      <c r="B1331" s="243"/>
      <c r="C1331" s="243"/>
    </row>
    <row r="1332" spans="2:3" ht="15" customHeight="1">
      <c r="B1332" s="243"/>
      <c r="C1332" s="243"/>
    </row>
    <row r="1333" spans="2:3" ht="15" customHeight="1">
      <c r="B1333" s="243"/>
      <c r="C1333" s="243"/>
    </row>
    <row r="1334" spans="2:3" ht="15" customHeight="1">
      <c r="B1334" s="243"/>
      <c r="C1334" s="243"/>
    </row>
    <row r="1335" spans="2:3" ht="15" customHeight="1">
      <c r="B1335" s="243"/>
      <c r="C1335" s="243"/>
    </row>
    <row r="1336" spans="2:3" ht="15" customHeight="1">
      <c r="B1336" s="243"/>
      <c r="C1336" s="243"/>
    </row>
    <row r="1337" spans="2:3" ht="15" customHeight="1">
      <c r="B1337" s="243"/>
      <c r="C1337" s="243"/>
    </row>
    <row r="1338" spans="2:3" ht="15" customHeight="1">
      <c r="B1338" s="243"/>
      <c r="C1338" s="243"/>
    </row>
    <row r="1339" spans="2:3" ht="15" customHeight="1">
      <c r="B1339" s="243"/>
      <c r="C1339" s="243"/>
    </row>
    <row r="1340" spans="2:3" ht="15" customHeight="1">
      <c r="B1340" s="243"/>
      <c r="C1340" s="243"/>
    </row>
    <row r="1341" spans="2:3" ht="15" customHeight="1">
      <c r="B1341" s="243"/>
      <c r="C1341" s="243"/>
    </row>
    <row r="1342" spans="2:3" ht="15" customHeight="1">
      <c r="B1342" s="243"/>
      <c r="C1342" s="243"/>
    </row>
    <row r="1343" spans="2:3" ht="15" customHeight="1">
      <c r="B1343" s="243"/>
      <c r="C1343" s="243"/>
    </row>
    <row r="1344" spans="2:3" ht="15" customHeight="1">
      <c r="B1344" s="243"/>
      <c r="C1344" s="243"/>
    </row>
    <row r="1345" spans="2:3" ht="15" customHeight="1">
      <c r="B1345" s="243"/>
      <c r="C1345" s="243"/>
    </row>
    <row r="1346" spans="2:3" ht="15" customHeight="1">
      <c r="B1346" s="243"/>
      <c r="C1346" s="243"/>
    </row>
    <row r="1347" spans="2:3" ht="15" customHeight="1">
      <c r="B1347" s="243"/>
      <c r="C1347" s="243"/>
    </row>
    <row r="1348" spans="2:3" ht="15" customHeight="1">
      <c r="B1348" s="243"/>
      <c r="C1348" s="243"/>
    </row>
    <row r="1349" spans="2:3" ht="15" customHeight="1">
      <c r="B1349" s="243"/>
      <c r="C1349" s="243"/>
    </row>
    <row r="1350" spans="2:3" ht="15" customHeight="1">
      <c r="B1350" s="243"/>
      <c r="C1350" s="243"/>
    </row>
    <row r="1351" spans="2:3" ht="15" customHeight="1">
      <c r="B1351" s="243"/>
      <c r="C1351" s="243"/>
    </row>
    <row r="1352" spans="2:3" ht="15" customHeight="1">
      <c r="B1352" s="243"/>
      <c r="C1352" s="243"/>
    </row>
    <row r="1353" spans="2:3" ht="15" customHeight="1">
      <c r="B1353" s="243"/>
      <c r="C1353" s="243"/>
    </row>
    <row r="1354" spans="2:3" ht="15" customHeight="1">
      <c r="B1354" s="243"/>
      <c r="C1354" s="243"/>
    </row>
    <row r="1355" spans="2:3" ht="15" customHeight="1">
      <c r="B1355" s="243"/>
      <c r="C1355" s="243"/>
    </row>
    <row r="1356" spans="2:3" ht="15" customHeight="1">
      <c r="B1356" s="243"/>
      <c r="C1356" s="243"/>
    </row>
    <row r="1357" spans="2:3" ht="15" customHeight="1">
      <c r="B1357" s="243"/>
      <c r="C1357" s="243"/>
    </row>
    <row r="1358" spans="2:3" ht="15" customHeight="1">
      <c r="B1358" s="243"/>
      <c r="C1358" s="243"/>
    </row>
    <row r="1359" spans="2:3" ht="15" customHeight="1">
      <c r="B1359" s="243"/>
      <c r="C1359" s="243"/>
    </row>
    <row r="1360" spans="2:3" ht="15" customHeight="1">
      <c r="B1360" s="243"/>
      <c r="C1360" s="243"/>
    </row>
    <row r="1361" spans="2:3" ht="15" customHeight="1">
      <c r="B1361" s="243"/>
      <c r="C1361" s="243"/>
    </row>
    <row r="1362" spans="2:3" ht="15" customHeight="1">
      <c r="B1362" s="243"/>
      <c r="C1362" s="243"/>
    </row>
    <row r="1363" spans="2:3" ht="15" customHeight="1">
      <c r="B1363" s="243"/>
      <c r="C1363" s="243"/>
    </row>
    <row r="1364" spans="2:3" ht="15" customHeight="1">
      <c r="B1364" s="243"/>
      <c r="C1364" s="243"/>
    </row>
    <row r="1365" spans="2:3" ht="15" customHeight="1">
      <c r="B1365" s="243"/>
      <c r="C1365" s="243"/>
    </row>
    <row r="1366" spans="2:3" ht="15" customHeight="1">
      <c r="B1366" s="243"/>
      <c r="C1366" s="243"/>
    </row>
    <row r="1367" spans="2:3" ht="15" customHeight="1">
      <c r="B1367" s="243"/>
      <c r="C1367" s="243"/>
    </row>
    <row r="1368" spans="2:3" ht="15" customHeight="1">
      <c r="B1368" s="243"/>
      <c r="C1368" s="243"/>
    </row>
    <row r="1369" spans="2:3" ht="15" customHeight="1">
      <c r="B1369" s="243"/>
      <c r="C1369" s="243"/>
    </row>
    <row r="1370" spans="2:3" ht="15" customHeight="1">
      <c r="B1370" s="243"/>
      <c r="C1370" s="243"/>
    </row>
    <row r="1371" spans="2:3" ht="15" customHeight="1">
      <c r="B1371" s="243"/>
      <c r="C1371" s="243"/>
    </row>
    <row r="1372" spans="2:3" ht="15" customHeight="1">
      <c r="B1372" s="243"/>
      <c r="C1372" s="243"/>
    </row>
    <row r="1373" spans="2:3" ht="15" customHeight="1">
      <c r="B1373" s="243"/>
      <c r="C1373" s="243"/>
    </row>
    <row r="1374" spans="2:3" ht="15" customHeight="1">
      <c r="B1374" s="243"/>
      <c r="C1374" s="243"/>
    </row>
    <row r="1375" spans="2:3" ht="15" customHeight="1">
      <c r="B1375" s="243"/>
      <c r="C1375" s="243"/>
    </row>
    <row r="1376" spans="2:3" ht="15" customHeight="1">
      <c r="B1376" s="243"/>
      <c r="C1376" s="243"/>
    </row>
    <row r="1377" spans="2:3" ht="15" customHeight="1">
      <c r="B1377" s="243"/>
      <c r="C1377" s="243"/>
    </row>
    <row r="1378" spans="2:3" ht="15" customHeight="1">
      <c r="B1378" s="243"/>
      <c r="C1378" s="243"/>
    </row>
    <row r="1379" spans="2:3" ht="15" customHeight="1">
      <c r="B1379" s="243"/>
      <c r="C1379" s="243"/>
    </row>
    <row r="1380" spans="2:3" ht="15" customHeight="1">
      <c r="B1380" s="243"/>
      <c r="C1380" s="243"/>
    </row>
    <row r="1381" spans="2:3" ht="15" customHeight="1">
      <c r="B1381" s="243"/>
      <c r="C1381" s="243"/>
    </row>
    <row r="1382" spans="2:3" ht="15" customHeight="1">
      <c r="B1382" s="243"/>
      <c r="C1382" s="243"/>
    </row>
    <row r="1383" spans="2:3" ht="15" customHeight="1">
      <c r="B1383" s="243"/>
      <c r="C1383" s="243"/>
    </row>
    <row r="1384" spans="2:3" ht="15" customHeight="1">
      <c r="B1384" s="243"/>
      <c r="C1384" s="243"/>
    </row>
    <row r="1385" spans="2:3" ht="15" customHeight="1">
      <c r="B1385" s="243"/>
      <c r="C1385" s="243"/>
    </row>
    <row r="1386" spans="2:3" ht="15" customHeight="1">
      <c r="B1386" s="243"/>
      <c r="C1386" s="243"/>
    </row>
    <row r="1387" spans="2:3" ht="15" customHeight="1">
      <c r="B1387" s="243"/>
      <c r="C1387" s="243"/>
    </row>
    <row r="1388" spans="2:3" ht="15" customHeight="1">
      <c r="B1388" s="243"/>
      <c r="C1388" s="243"/>
    </row>
    <row r="1389" spans="2:3" ht="15" customHeight="1">
      <c r="B1389" s="243"/>
      <c r="C1389" s="243"/>
    </row>
    <row r="1390" spans="2:3" ht="15" customHeight="1">
      <c r="B1390" s="243"/>
      <c r="C1390" s="243"/>
    </row>
    <row r="1391" spans="2:3" ht="15" customHeight="1">
      <c r="B1391" s="243"/>
      <c r="C1391" s="243"/>
    </row>
    <row r="1392" spans="2:3" ht="15" customHeight="1">
      <c r="B1392" s="243"/>
      <c r="C1392" s="243"/>
    </row>
    <row r="1393" spans="2:3" ht="15" customHeight="1">
      <c r="B1393" s="243"/>
      <c r="C1393" s="243"/>
    </row>
    <row r="1394" spans="2:3" ht="15" customHeight="1">
      <c r="B1394" s="243"/>
      <c r="C1394" s="243"/>
    </row>
    <row r="1395" spans="2:3" ht="15" customHeight="1">
      <c r="B1395" s="243"/>
      <c r="C1395" s="243"/>
    </row>
    <row r="1396" spans="2:3" ht="15" customHeight="1">
      <c r="B1396" s="243"/>
      <c r="C1396" s="243"/>
    </row>
    <row r="1397" spans="2:3" ht="15" customHeight="1">
      <c r="B1397" s="243"/>
      <c r="C1397" s="243"/>
    </row>
    <row r="1398" spans="2:3" ht="15" customHeight="1">
      <c r="B1398" s="243"/>
      <c r="C1398" s="243"/>
    </row>
    <row r="1399" spans="2:3" ht="15" customHeight="1">
      <c r="B1399" s="243"/>
      <c r="C1399" s="243"/>
    </row>
    <row r="1400" spans="2:3" ht="15" customHeight="1">
      <c r="B1400" s="243"/>
      <c r="C1400" s="243"/>
    </row>
    <row r="1401" spans="2:3" ht="15" customHeight="1">
      <c r="B1401" s="243"/>
      <c r="C1401" s="243"/>
    </row>
    <row r="1402" spans="2:3" ht="15" customHeight="1">
      <c r="B1402" s="243"/>
      <c r="C1402" s="243"/>
    </row>
    <row r="1403" spans="2:3" ht="15" customHeight="1">
      <c r="B1403" s="243"/>
      <c r="C1403" s="243"/>
    </row>
    <row r="1404" spans="2:3" ht="15" customHeight="1">
      <c r="B1404" s="243"/>
      <c r="C1404" s="243"/>
    </row>
    <row r="1405" spans="2:3" ht="15" customHeight="1">
      <c r="B1405" s="243"/>
      <c r="C1405" s="243"/>
    </row>
    <row r="1406" spans="2:3" ht="15" customHeight="1">
      <c r="B1406" s="243"/>
      <c r="C1406" s="243"/>
    </row>
    <row r="1407" spans="2:3" ht="15" customHeight="1">
      <c r="B1407" s="243"/>
      <c r="C1407" s="243"/>
    </row>
    <row r="1408" spans="2:3" ht="15" customHeight="1">
      <c r="B1408" s="243"/>
      <c r="C1408" s="243"/>
    </row>
    <row r="1409" spans="2:3" ht="15" customHeight="1">
      <c r="B1409" s="243"/>
      <c r="C1409" s="243"/>
    </row>
    <row r="1410" spans="2:3" ht="15" customHeight="1">
      <c r="B1410" s="243"/>
      <c r="C1410" s="243"/>
    </row>
    <row r="1411" spans="2:3" ht="15" customHeight="1">
      <c r="B1411" s="243"/>
      <c r="C1411" s="243"/>
    </row>
    <row r="1412" spans="2:3" ht="15" customHeight="1">
      <c r="B1412" s="243"/>
      <c r="C1412" s="243"/>
    </row>
    <row r="1413" spans="2:3" ht="15" customHeight="1">
      <c r="B1413" s="243"/>
      <c r="C1413" s="243"/>
    </row>
    <row r="1414" spans="2:3" ht="15" customHeight="1">
      <c r="B1414" s="243"/>
      <c r="C1414" s="243"/>
    </row>
    <row r="1415" spans="2:3" ht="15" customHeight="1">
      <c r="B1415" s="243"/>
      <c r="C1415" s="243"/>
    </row>
    <row r="1416" spans="2:3" ht="15" customHeight="1">
      <c r="B1416" s="243"/>
      <c r="C1416" s="243"/>
    </row>
    <row r="1417" spans="2:3" ht="15" customHeight="1">
      <c r="B1417" s="243"/>
      <c r="C1417" s="243"/>
    </row>
    <row r="1418" spans="2:3" ht="15" customHeight="1">
      <c r="B1418" s="243"/>
      <c r="C1418" s="243"/>
    </row>
    <row r="1419" spans="2:3" ht="15" customHeight="1">
      <c r="B1419" s="243"/>
      <c r="C1419" s="243"/>
    </row>
    <row r="1420" spans="2:3" ht="15" customHeight="1">
      <c r="B1420" s="243"/>
      <c r="C1420" s="243"/>
    </row>
    <row r="1421" spans="2:3" ht="15" customHeight="1">
      <c r="B1421" s="243"/>
      <c r="C1421" s="243"/>
    </row>
    <row r="1422" spans="2:3" ht="15" customHeight="1">
      <c r="B1422" s="243"/>
      <c r="C1422" s="243"/>
    </row>
    <row r="1423" spans="2:3" ht="15" customHeight="1">
      <c r="B1423" s="243"/>
      <c r="C1423" s="243"/>
    </row>
    <row r="1424" spans="2:3" ht="15" customHeight="1">
      <c r="B1424" s="243"/>
      <c r="C1424" s="243"/>
    </row>
    <row r="1425" spans="2:3" ht="15" customHeight="1">
      <c r="B1425" s="243"/>
      <c r="C1425" s="243"/>
    </row>
    <row r="1426" spans="2:3" ht="15" customHeight="1">
      <c r="B1426" s="243"/>
      <c r="C1426" s="243"/>
    </row>
    <row r="1427" spans="2:3" ht="15" customHeight="1">
      <c r="B1427" s="243"/>
      <c r="C1427" s="243"/>
    </row>
    <row r="1428" spans="2:3" ht="15" customHeight="1">
      <c r="B1428" s="243"/>
      <c r="C1428" s="243"/>
    </row>
    <row r="1429" spans="2:3" ht="15" customHeight="1">
      <c r="B1429" s="243"/>
      <c r="C1429" s="243"/>
    </row>
    <row r="1430" spans="2:3" ht="15" customHeight="1">
      <c r="B1430" s="243"/>
      <c r="C1430" s="243"/>
    </row>
    <row r="1431" spans="2:3" ht="15" customHeight="1">
      <c r="B1431" s="243"/>
      <c r="C1431" s="243"/>
    </row>
    <row r="1432" spans="2:3" ht="15" customHeight="1">
      <c r="B1432" s="243"/>
      <c r="C1432" s="243"/>
    </row>
    <row r="1433" spans="2:3" ht="15" customHeight="1">
      <c r="B1433" s="243"/>
      <c r="C1433" s="243"/>
    </row>
    <row r="1434" spans="2:3" ht="15" customHeight="1">
      <c r="B1434" s="243"/>
      <c r="C1434" s="243"/>
    </row>
    <row r="1435" spans="2:3" ht="15" customHeight="1">
      <c r="B1435" s="243"/>
      <c r="C1435" s="243"/>
    </row>
    <row r="1436" spans="2:3" ht="15" customHeight="1">
      <c r="B1436" s="243"/>
      <c r="C1436" s="243"/>
    </row>
    <row r="1437" spans="2:3" ht="15" customHeight="1">
      <c r="B1437" s="243"/>
      <c r="C1437" s="243"/>
    </row>
    <row r="1438" spans="2:3" ht="15" customHeight="1">
      <c r="B1438" s="243"/>
      <c r="C1438" s="243"/>
    </row>
    <row r="1439" spans="2:3" ht="15" customHeight="1">
      <c r="B1439" s="243"/>
      <c r="C1439" s="243"/>
    </row>
    <row r="1440" spans="2:3" ht="15" customHeight="1">
      <c r="B1440" s="243"/>
      <c r="C1440" s="243"/>
    </row>
    <row r="1441" spans="2:3" ht="15" customHeight="1">
      <c r="B1441" s="243"/>
      <c r="C1441" s="243"/>
    </row>
    <row r="1442" spans="2:3" ht="15" customHeight="1">
      <c r="B1442" s="243"/>
      <c r="C1442" s="243"/>
    </row>
    <row r="1443" spans="2:3" ht="15" customHeight="1">
      <c r="B1443" s="243"/>
      <c r="C1443" s="243"/>
    </row>
    <row r="1444" spans="2:3" ht="15" customHeight="1">
      <c r="B1444" s="243"/>
      <c r="C1444" s="243"/>
    </row>
    <row r="1445" spans="2:3" ht="15" customHeight="1">
      <c r="B1445" s="243"/>
      <c r="C1445" s="243"/>
    </row>
    <row r="1446" spans="2:3" ht="15" customHeight="1">
      <c r="B1446" s="243"/>
      <c r="C1446" s="243"/>
    </row>
    <row r="1447" spans="2:3" ht="15" customHeight="1">
      <c r="B1447" s="243"/>
      <c r="C1447" s="243"/>
    </row>
    <row r="1448" spans="2:3" ht="15" customHeight="1">
      <c r="B1448" s="243"/>
      <c r="C1448" s="243"/>
    </row>
    <row r="1449" spans="2:3" ht="15" customHeight="1">
      <c r="B1449" s="243"/>
      <c r="C1449" s="243"/>
    </row>
    <row r="1450" spans="2:3" ht="15" customHeight="1">
      <c r="B1450" s="243"/>
      <c r="C1450" s="243"/>
    </row>
    <row r="1451" spans="2:3" ht="15" customHeight="1">
      <c r="B1451" s="243"/>
      <c r="C1451" s="243"/>
    </row>
    <row r="1452" spans="2:3" ht="15" customHeight="1">
      <c r="B1452" s="243"/>
      <c r="C1452" s="243"/>
    </row>
    <row r="1453" spans="2:3" ht="15" customHeight="1">
      <c r="B1453" s="243"/>
      <c r="C1453" s="243"/>
    </row>
    <row r="1454" spans="2:3" ht="15" customHeight="1">
      <c r="B1454" s="243"/>
      <c r="C1454" s="243"/>
    </row>
    <row r="1455" spans="2:3" ht="15" customHeight="1">
      <c r="B1455" s="243"/>
      <c r="C1455" s="243"/>
    </row>
    <row r="1456" spans="2:3" ht="15" customHeight="1">
      <c r="B1456" s="243"/>
      <c r="C1456" s="243"/>
    </row>
    <row r="1457" spans="2:3" ht="15" customHeight="1">
      <c r="B1457" s="243"/>
      <c r="C1457" s="243"/>
    </row>
    <row r="1458" spans="2:3" ht="15" customHeight="1">
      <c r="B1458" s="243"/>
      <c r="C1458" s="243"/>
    </row>
    <row r="1459" spans="2:3" ht="15" customHeight="1">
      <c r="B1459" s="243"/>
      <c r="C1459" s="243"/>
    </row>
    <row r="1460" spans="2:3" ht="15" customHeight="1">
      <c r="B1460" s="243"/>
      <c r="C1460" s="243"/>
    </row>
    <row r="1461" spans="2:3" ht="15" customHeight="1">
      <c r="B1461" s="243"/>
      <c r="C1461" s="243"/>
    </row>
    <row r="1462" spans="2:3" ht="15" customHeight="1">
      <c r="B1462" s="243"/>
      <c r="C1462" s="243"/>
    </row>
    <row r="1463" spans="2:3" ht="15" customHeight="1">
      <c r="B1463" s="243"/>
      <c r="C1463" s="243"/>
    </row>
    <row r="1464" spans="2:3" ht="15" customHeight="1">
      <c r="B1464" s="243"/>
      <c r="C1464" s="243"/>
    </row>
    <row r="1465" spans="2:3" ht="15" customHeight="1">
      <c r="B1465" s="243"/>
      <c r="C1465" s="243"/>
    </row>
    <row r="1466" spans="2:3" ht="15" customHeight="1">
      <c r="B1466" s="243"/>
      <c r="C1466" s="243"/>
    </row>
    <row r="1467" spans="2:3" ht="15" customHeight="1">
      <c r="B1467" s="243"/>
      <c r="C1467" s="243"/>
    </row>
    <row r="1468" spans="2:3" ht="15" customHeight="1">
      <c r="B1468" s="243"/>
      <c r="C1468" s="243"/>
    </row>
    <row r="1469" spans="2:3" ht="15" customHeight="1">
      <c r="B1469" s="243"/>
      <c r="C1469" s="243"/>
    </row>
    <row r="1470" spans="2:3" ht="15" customHeight="1">
      <c r="B1470" s="243"/>
      <c r="C1470" s="243"/>
    </row>
    <row r="1471" spans="2:3" ht="15" customHeight="1">
      <c r="B1471" s="243"/>
      <c r="C1471" s="243"/>
    </row>
    <row r="1472" spans="2:3" ht="15" customHeight="1">
      <c r="B1472" s="243"/>
      <c r="C1472" s="243"/>
    </row>
    <row r="1473" spans="2:3" ht="15" customHeight="1">
      <c r="B1473" s="243"/>
      <c r="C1473" s="243"/>
    </row>
    <row r="1474" spans="2:3" ht="15" customHeight="1">
      <c r="B1474" s="243"/>
      <c r="C1474" s="243"/>
    </row>
    <row r="1475" spans="2:3" ht="15" customHeight="1">
      <c r="B1475" s="243"/>
      <c r="C1475" s="243"/>
    </row>
    <row r="1476" spans="2:3" ht="15" customHeight="1">
      <c r="B1476" s="243"/>
      <c r="C1476" s="243"/>
    </row>
    <row r="1477" spans="2:3" ht="15" customHeight="1">
      <c r="B1477" s="243"/>
      <c r="C1477" s="243"/>
    </row>
    <row r="1478" spans="2:3" ht="15" customHeight="1">
      <c r="B1478" s="243"/>
      <c r="C1478" s="243"/>
    </row>
    <row r="1479" spans="2:3" ht="15" customHeight="1">
      <c r="B1479" s="243"/>
      <c r="C1479" s="243"/>
    </row>
    <row r="1480" spans="2:3" ht="15" customHeight="1">
      <c r="B1480" s="243"/>
      <c r="C1480" s="243"/>
    </row>
    <row r="1481" spans="2:3" ht="15" customHeight="1">
      <c r="B1481" s="243"/>
      <c r="C1481" s="243"/>
    </row>
    <row r="1482" spans="2:3" ht="15" customHeight="1">
      <c r="B1482" s="243"/>
      <c r="C1482" s="243"/>
    </row>
    <row r="1483" spans="2:3" ht="15" customHeight="1">
      <c r="B1483" s="243"/>
      <c r="C1483" s="243"/>
    </row>
    <row r="1484" spans="2:3" ht="15" customHeight="1">
      <c r="B1484" s="243"/>
      <c r="C1484" s="243"/>
    </row>
    <row r="1485" spans="2:3" ht="15" customHeight="1">
      <c r="B1485" s="243"/>
      <c r="C1485" s="243"/>
    </row>
    <row r="1486" spans="2:3" ht="15" customHeight="1">
      <c r="B1486" s="243"/>
      <c r="C1486" s="243"/>
    </row>
    <row r="1487" spans="2:3" ht="15" customHeight="1">
      <c r="B1487" s="243"/>
      <c r="C1487" s="243"/>
    </row>
    <row r="1488" spans="2:3" ht="15" customHeight="1">
      <c r="B1488" s="243"/>
      <c r="C1488" s="243"/>
    </row>
    <row r="1489" spans="2:3" ht="15" customHeight="1">
      <c r="B1489" s="243"/>
      <c r="C1489" s="243"/>
    </row>
    <row r="1490" spans="2:3" ht="15" customHeight="1">
      <c r="B1490" s="243"/>
      <c r="C1490" s="243"/>
    </row>
    <row r="1491" spans="2:3" ht="15" customHeight="1">
      <c r="B1491" s="243"/>
      <c r="C1491" s="243"/>
    </row>
    <row r="1492" spans="2:3" ht="15" customHeight="1">
      <c r="B1492" s="243"/>
      <c r="C1492" s="243"/>
    </row>
    <row r="1493" spans="2:3" ht="15" customHeight="1">
      <c r="B1493" s="243"/>
      <c r="C1493" s="243"/>
    </row>
    <row r="1494" spans="2:3" ht="15" customHeight="1">
      <c r="B1494" s="243"/>
      <c r="C1494" s="243"/>
    </row>
    <row r="1495" spans="2:3" ht="15" customHeight="1">
      <c r="B1495" s="243"/>
      <c r="C1495" s="243"/>
    </row>
    <row r="1496" spans="2:3" ht="15" customHeight="1">
      <c r="B1496" s="243"/>
      <c r="C1496" s="243"/>
    </row>
    <row r="1497" spans="2:3" ht="15" customHeight="1">
      <c r="B1497" s="243"/>
      <c r="C1497" s="243"/>
    </row>
    <row r="1498" spans="2:3" ht="15" customHeight="1">
      <c r="B1498" s="243"/>
      <c r="C1498" s="243"/>
    </row>
    <row r="1499" spans="2:3" ht="15" customHeight="1">
      <c r="B1499" s="243"/>
      <c r="C1499" s="243"/>
    </row>
    <row r="1500" spans="2:3" ht="15" customHeight="1">
      <c r="B1500" s="243"/>
      <c r="C1500" s="243"/>
    </row>
    <row r="1501" spans="2:3" ht="15" customHeight="1">
      <c r="B1501" s="243"/>
      <c r="C1501" s="243"/>
    </row>
    <row r="1502" spans="2:3" ht="15" customHeight="1">
      <c r="B1502" s="243"/>
      <c r="C1502" s="243"/>
    </row>
    <row r="1503" spans="2:3" ht="15" customHeight="1">
      <c r="B1503" s="243"/>
      <c r="C1503" s="243"/>
    </row>
    <row r="1504" spans="2:3" ht="15" customHeight="1">
      <c r="B1504" s="243"/>
      <c r="C1504" s="243"/>
    </row>
    <row r="1505" spans="2:3" ht="15" customHeight="1">
      <c r="B1505" s="243"/>
      <c r="C1505" s="243"/>
    </row>
    <row r="1506" spans="2:3" ht="15" customHeight="1">
      <c r="B1506" s="243"/>
      <c r="C1506" s="243"/>
    </row>
    <row r="1507" spans="2:3" ht="15" customHeight="1">
      <c r="B1507" s="243"/>
      <c r="C1507" s="243"/>
    </row>
    <row r="1508" spans="2:3" ht="15" customHeight="1">
      <c r="B1508" s="243"/>
      <c r="C1508" s="243"/>
    </row>
    <row r="1509" spans="2:3" ht="15" customHeight="1">
      <c r="B1509" s="243"/>
      <c r="C1509" s="243"/>
    </row>
    <row r="1510" spans="2:3" ht="15" customHeight="1">
      <c r="B1510" s="243"/>
      <c r="C1510" s="243"/>
    </row>
    <row r="1511" spans="2:3" ht="15" customHeight="1">
      <c r="B1511" s="243"/>
      <c r="C1511" s="243"/>
    </row>
    <row r="1512" spans="2:3" ht="15" customHeight="1">
      <c r="B1512" s="243"/>
      <c r="C1512" s="243"/>
    </row>
    <row r="1513" spans="2:3" ht="15" customHeight="1">
      <c r="B1513" s="243"/>
      <c r="C1513" s="243"/>
    </row>
    <row r="1514" spans="2:3" ht="15" customHeight="1">
      <c r="B1514" s="243"/>
      <c r="C1514" s="243"/>
    </row>
    <row r="1515" spans="2:3" ht="15" customHeight="1">
      <c r="B1515" s="243"/>
      <c r="C1515" s="243"/>
    </row>
    <row r="1516" spans="2:3" ht="15" customHeight="1">
      <c r="B1516" s="243"/>
      <c r="C1516" s="243"/>
    </row>
    <row r="1517" spans="2:3" ht="15" customHeight="1">
      <c r="B1517" s="243"/>
      <c r="C1517" s="243"/>
    </row>
    <row r="1518" spans="2:3" ht="15" customHeight="1">
      <c r="B1518" s="243"/>
      <c r="C1518" s="243"/>
    </row>
    <row r="1519" spans="2:3" ht="15" customHeight="1">
      <c r="B1519" s="243"/>
      <c r="C1519" s="243"/>
    </row>
    <row r="1520" spans="2:3" ht="15" customHeight="1">
      <c r="B1520" s="243"/>
      <c r="C1520" s="243"/>
    </row>
    <row r="1521" spans="2:3" ht="15" customHeight="1">
      <c r="B1521" s="243"/>
      <c r="C1521" s="243"/>
    </row>
    <row r="1522" spans="2:3" ht="15" customHeight="1">
      <c r="B1522" s="243"/>
      <c r="C1522" s="243"/>
    </row>
    <row r="1523" spans="2:3" ht="15" customHeight="1">
      <c r="B1523" s="243"/>
      <c r="C1523" s="243"/>
    </row>
    <row r="1524" spans="2:3" ht="15" customHeight="1">
      <c r="B1524" s="243"/>
      <c r="C1524" s="243"/>
    </row>
    <row r="1525" spans="2:3" ht="15" customHeight="1">
      <c r="B1525" s="243"/>
      <c r="C1525" s="243"/>
    </row>
    <row r="1526" spans="2:3" ht="15" customHeight="1">
      <c r="B1526" s="243"/>
      <c r="C1526" s="243"/>
    </row>
    <row r="1527" spans="2:3" ht="15" customHeight="1">
      <c r="B1527" s="243"/>
      <c r="C1527" s="243"/>
    </row>
    <row r="1528" spans="2:3" ht="15" customHeight="1">
      <c r="B1528" s="243"/>
      <c r="C1528" s="243"/>
    </row>
    <row r="1529" spans="2:3" ht="15" customHeight="1">
      <c r="B1529" s="243"/>
      <c r="C1529" s="243"/>
    </row>
    <row r="1530" spans="2:3" ht="15" customHeight="1">
      <c r="B1530" s="243"/>
      <c r="C1530" s="243"/>
    </row>
    <row r="1531" spans="2:3" ht="15" customHeight="1">
      <c r="B1531" s="243"/>
      <c r="C1531" s="243"/>
    </row>
    <row r="1532" spans="2:3" ht="15" customHeight="1">
      <c r="B1532" s="243"/>
      <c r="C1532" s="243"/>
    </row>
    <row r="1533" spans="2:3" ht="15" customHeight="1">
      <c r="B1533" s="243"/>
      <c r="C1533" s="243"/>
    </row>
    <row r="1534" spans="2:3" ht="15" customHeight="1">
      <c r="B1534" s="243"/>
      <c r="C1534" s="243"/>
    </row>
    <row r="1535" spans="2:3" ht="15" customHeight="1">
      <c r="B1535" s="243"/>
      <c r="C1535" s="243"/>
    </row>
    <row r="1536" spans="2:3" ht="15" customHeight="1">
      <c r="B1536" s="243"/>
      <c r="C1536" s="243"/>
    </row>
    <row r="1537" spans="2:3" ht="15" customHeight="1">
      <c r="B1537" s="243"/>
      <c r="C1537" s="243"/>
    </row>
    <row r="1538" spans="2:3" ht="15" customHeight="1">
      <c r="B1538" s="243"/>
      <c r="C1538" s="243"/>
    </row>
    <row r="1539" spans="2:3" ht="15" customHeight="1">
      <c r="B1539" s="243"/>
      <c r="C1539" s="243"/>
    </row>
    <row r="1540" spans="2:3" ht="15" customHeight="1">
      <c r="B1540" s="243"/>
      <c r="C1540" s="243"/>
    </row>
    <row r="1541" spans="2:3" ht="15" customHeight="1">
      <c r="B1541" s="243"/>
      <c r="C1541" s="243"/>
    </row>
    <row r="1542" spans="2:3" ht="15" customHeight="1">
      <c r="B1542" s="243"/>
      <c r="C1542" s="243"/>
    </row>
    <row r="1543" spans="2:3" ht="15" customHeight="1">
      <c r="B1543" s="243"/>
      <c r="C1543" s="243"/>
    </row>
    <row r="1544" spans="2:3" ht="15" customHeight="1">
      <c r="B1544" s="243"/>
      <c r="C1544" s="243"/>
    </row>
    <row r="1545" spans="2:3" ht="15" customHeight="1">
      <c r="B1545" s="243"/>
      <c r="C1545" s="243"/>
    </row>
    <row r="1546" spans="2:3" ht="15" customHeight="1">
      <c r="B1546" s="243"/>
      <c r="C1546" s="243"/>
    </row>
    <row r="1547" spans="2:3" ht="15" customHeight="1">
      <c r="B1547" s="243"/>
      <c r="C1547" s="243"/>
    </row>
    <row r="1548" spans="2:3" ht="15" customHeight="1">
      <c r="B1548" s="243"/>
      <c r="C1548" s="243"/>
    </row>
    <row r="1549" spans="2:3" ht="15" customHeight="1">
      <c r="B1549" s="243"/>
      <c r="C1549" s="243"/>
    </row>
    <row r="1550" spans="2:3" ht="15" customHeight="1">
      <c r="B1550" s="243"/>
      <c r="C1550" s="243"/>
    </row>
    <row r="1551" spans="2:3" ht="15" customHeight="1">
      <c r="B1551" s="243"/>
      <c r="C1551" s="243"/>
    </row>
    <row r="1552" spans="2:3" ht="15" customHeight="1">
      <c r="B1552" s="243"/>
      <c r="C1552" s="243"/>
    </row>
    <row r="1553" spans="2:3" ht="15" customHeight="1">
      <c r="B1553" s="243"/>
      <c r="C1553" s="243"/>
    </row>
    <row r="1554" spans="2:3" ht="15" customHeight="1">
      <c r="B1554" s="243"/>
      <c r="C1554" s="243"/>
    </row>
    <row r="1555" spans="2:3" ht="15" customHeight="1">
      <c r="B1555" s="243"/>
      <c r="C1555" s="243"/>
    </row>
    <row r="1556" spans="2:3" ht="15" customHeight="1">
      <c r="B1556" s="243"/>
      <c r="C1556" s="243"/>
    </row>
    <row r="1557" spans="2:3" ht="15" customHeight="1">
      <c r="B1557" s="243"/>
      <c r="C1557" s="243"/>
    </row>
    <row r="1558" spans="2:3" ht="15" customHeight="1">
      <c r="B1558" s="243"/>
      <c r="C1558" s="243"/>
    </row>
    <row r="1559" spans="2:3" ht="15" customHeight="1">
      <c r="B1559" s="243"/>
      <c r="C1559" s="243"/>
    </row>
    <row r="1560" spans="2:3" ht="15" customHeight="1">
      <c r="B1560" s="243"/>
      <c r="C1560" s="243"/>
    </row>
    <row r="1561" spans="2:3" ht="15" customHeight="1">
      <c r="B1561" s="243"/>
      <c r="C1561" s="243"/>
    </row>
    <row r="1562" spans="2:3" ht="15" customHeight="1">
      <c r="B1562" s="243"/>
      <c r="C1562" s="243"/>
    </row>
    <row r="1563" spans="2:3" ht="15" customHeight="1">
      <c r="B1563" s="243"/>
      <c r="C1563" s="243"/>
    </row>
    <row r="1564" spans="2:3" ht="15" customHeight="1">
      <c r="B1564" s="243"/>
      <c r="C1564" s="243"/>
    </row>
    <row r="1565" spans="2:3" ht="15" customHeight="1">
      <c r="B1565" s="243"/>
      <c r="C1565" s="243"/>
    </row>
    <row r="1566" spans="2:3" ht="15" customHeight="1">
      <c r="B1566" s="243"/>
      <c r="C1566" s="243"/>
    </row>
    <row r="1567" spans="2:3" ht="15" customHeight="1">
      <c r="B1567" s="243"/>
      <c r="C1567" s="243"/>
    </row>
    <row r="1568" spans="2:3" ht="15" customHeight="1">
      <c r="B1568" s="243"/>
      <c r="C1568" s="243"/>
    </row>
    <row r="1569" spans="2:3" ht="15" customHeight="1">
      <c r="B1569" s="243"/>
      <c r="C1569" s="243"/>
    </row>
    <row r="1570" spans="2:3" ht="15" customHeight="1">
      <c r="B1570" s="243"/>
      <c r="C1570" s="243"/>
    </row>
    <row r="1571" spans="2:3" ht="15" customHeight="1">
      <c r="B1571" s="243"/>
      <c r="C1571" s="243"/>
    </row>
    <row r="1572" spans="2:3" ht="15" customHeight="1">
      <c r="B1572" s="243"/>
      <c r="C1572" s="243"/>
    </row>
    <row r="1573" spans="2:3" ht="15" customHeight="1">
      <c r="B1573" s="243"/>
      <c r="C1573" s="243"/>
    </row>
    <row r="1574" spans="2:3" ht="15" customHeight="1">
      <c r="B1574" s="243"/>
      <c r="C1574" s="243"/>
    </row>
    <row r="1575" spans="2:3" ht="15" customHeight="1">
      <c r="B1575" s="243"/>
      <c r="C1575" s="243"/>
    </row>
    <row r="1576" spans="2:3" ht="15" customHeight="1">
      <c r="B1576" s="243"/>
      <c r="C1576" s="243"/>
    </row>
    <row r="1577" spans="2:3" ht="15" customHeight="1">
      <c r="B1577" s="243"/>
      <c r="C1577" s="243"/>
    </row>
    <row r="1578" spans="2:3" ht="15" customHeight="1">
      <c r="B1578" s="243"/>
      <c r="C1578" s="243"/>
    </row>
    <row r="1579" spans="2:3" ht="15" customHeight="1">
      <c r="B1579" s="243"/>
      <c r="C1579" s="243"/>
    </row>
    <row r="1580" spans="2:3" ht="15" customHeight="1">
      <c r="B1580" s="243"/>
      <c r="C1580" s="243"/>
    </row>
    <row r="1581" spans="2:3" ht="15" customHeight="1">
      <c r="B1581" s="243"/>
      <c r="C1581" s="243"/>
    </row>
    <row r="1582" spans="2:3" ht="15" customHeight="1">
      <c r="B1582" s="243"/>
      <c r="C1582" s="243"/>
    </row>
    <row r="1583" spans="2:3" ht="15" customHeight="1">
      <c r="B1583" s="243"/>
      <c r="C1583" s="243"/>
    </row>
    <row r="1584" spans="2:3" ht="15" customHeight="1">
      <c r="B1584" s="243"/>
      <c r="C1584" s="243"/>
    </row>
    <row r="1585" spans="2:3" ht="15" customHeight="1">
      <c r="B1585" s="243"/>
      <c r="C1585" s="243"/>
    </row>
    <row r="1586" spans="2:3" ht="15" customHeight="1">
      <c r="B1586" s="243"/>
      <c r="C1586" s="243"/>
    </row>
    <row r="1587" spans="2:3" ht="15" customHeight="1">
      <c r="B1587" s="243"/>
      <c r="C1587" s="243"/>
    </row>
    <row r="1588" spans="2:3" ht="15" customHeight="1">
      <c r="B1588" s="243"/>
      <c r="C1588" s="243"/>
    </row>
    <row r="1589" spans="2:3" ht="15" customHeight="1">
      <c r="B1589" s="243"/>
      <c r="C1589" s="243"/>
    </row>
    <row r="1590" spans="2:3" ht="15" customHeight="1">
      <c r="B1590" s="243"/>
      <c r="C1590" s="243"/>
    </row>
    <row r="1591" spans="2:3" ht="15" customHeight="1">
      <c r="B1591" s="243"/>
      <c r="C1591" s="243"/>
    </row>
    <row r="1592" spans="2:3" ht="15" customHeight="1">
      <c r="B1592" s="243"/>
      <c r="C1592" s="243"/>
    </row>
    <row r="1593" spans="2:3" ht="15" customHeight="1">
      <c r="B1593" s="243"/>
      <c r="C1593" s="243"/>
    </row>
    <row r="1594" spans="2:3" ht="15" customHeight="1">
      <c r="B1594" s="243"/>
      <c r="C1594" s="243"/>
    </row>
    <row r="1595" spans="2:3" ht="15" customHeight="1">
      <c r="B1595" s="243"/>
      <c r="C1595" s="243"/>
    </row>
    <row r="1596" spans="2:3" ht="15" customHeight="1">
      <c r="B1596" s="243"/>
      <c r="C1596" s="243"/>
    </row>
    <row r="1597" spans="2:3" ht="15" customHeight="1">
      <c r="B1597" s="243"/>
      <c r="C1597" s="243"/>
    </row>
    <row r="1598" spans="2:3" ht="15" customHeight="1">
      <c r="B1598" s="243"/>
      <c r="C1598" s="243"/>
    </row>
    <row r="1599" spans="2:3" ht="15" customHeight="1">
      <c r="B1599" s="243"/>
      <c r="C1599" s="243"/>
    </row>
    <row r="1600" spans="2:3" ht="15" customHeight="1">
      <c r="B1600" s="243"/>
      <c r="C1600" s="243"/>
    </row>
    <row r="1601" spans="2:3" ht="15" customHeight="1">
      <c r="B1601" s="243"/>
      <c r="C1601" s="243"/>
    </row>
    <row r="1602" spans="2:3" ht="15" customHeight="1">
      <c r="B1602" s="243"/>
      <c r="C1602" s="243"/>
    </row>
    <row r="1603" spans="2:3" ht="15" customHeight="1">
      <c r="B1603" s="243"/>
      <c r="C1603" s="243"/>
    </row>
    <row r="1604" spans="2:3" ht="15" customHeight="1">
      <c r="B1604" s="243"/>
      <c r="C1604" s="243"/>
    </row>
    <row r="1605" spans="2:3" ht="15" customHeight="1">
      <c r="B1605" s="243"/>
      <c r="C1605" s="243"/>
    </row>
    <row r="1606" spans="2:3" ht="15" customHeight="1">
      <c r="B1606" s="243"/>
      <c r="C1606" s="243"/>
    </row>
    <row r="1607" spans="2:3" ht="15" customHeight="1">
      <c r="B1607" s="243"/>
      <c r="C1607" s="243"/>
    </row>
    <row r="1608" spans="2:3" ht="15" customHeight="1">
      <c r="B1608" s="243"/>
      <c r="C1608" s="243"/>
    </row>
    <row r="1609" spans="2:3" ht="15" customHeight="1">
      <c r="B1609" s="243"/>
      <c r="C1609" s="243"/>
    </row>
    <row r="1610" spans="2:3" ht="15" customHeight="1">
      <c r="B1610" s="243"/>
      <c r="C1610" s="243"/>
    </row>
    <row r="1611" spans="2:3" ht="15" customHeight="1">
      <c r="B1611" s="243"/>
      <c r="C1611" s="243"/>
    </row>
    <row r="1612" spans="2:3" ht="15" customHeight="1">
      <c r="B1612" s="243"/>
      <c r="C1612" s="243"/>
    </row>
    <row r="1613" spans="2:3" ht="15" customHeight="1">
      <c r="B1613" s="243"/>
      <c r="C1613" s="243"/>
    </row>
    <row r="1614" spans="2:3" ht="15" customHeight="1">
      <c r="B1614" s="243"/>
      <c r="C1614" s="243"/>
    </row>
    <row r="1615" spans="2:3" ht="15" customHeight="1">
      <c r="B1615" s="243"/>
      <c r="C1615" s="243"/>
    </row>
    <row r="1616" spans="2:3" ht="15" customHeight="1">
      <c r="B1616" s="243"/>
      <c r="C1616" s="243"/>
    </row>
    <row r="1617" spans="2:3" ht="15" customHeight="1">
      <c r="B1617" s="243"/>
      <c r="C1617" s="243"/>
    </row>
    <row r="1618" spans="2:3" ht="15" customHeight="1">
      <c r="B1618" s="243"/>
      <c r="C1618" s="243"/>
    </row>
    <row r="1619" spans="2:3" ht="15" customHeight="1">
      <c r="B1619" s="243"/>
      <c r="C1619" s="243"/>
    </row>
    <row r="1620" spans="2:3" ht="15" customHeight="1">
      <c r="B1620" s="243"/>
      <c r="C1620" s="243"/>
    </row>
    <row r="1621" spans="2:3" ht="15" customHeight="1">
      <c r="B1621" s="243"/>
      <c r="C1621" s="243"/>
    </row>
    <row r="1622" spans="2:3" ht="15" customHeight="1">
      <c r="B1622" s="243"/>
      <c r="C1622" s="243"/>
    </row>
    <row r="1623" spans="2:3" ht="15" customHeight="1">
      <c r="B1623" s="243"/>
      <c r="C1623" s="243"/>
    </row>
    <row r="1624" spans="2:3" ht="15" customHeight="1">
      <c r="B1624" s="243"/>
      <c r="C1624" s="243"/>
    </row>
    <row r="1625" spans="2:3" ht="15" customHeight="1">
      <c r="B1625" s="243"/>
      <c r="C1625" s="243"/>
    </row>
    <row r="1626" spans="2:3" ht="15" customHeight="1">
      <c r="B1626" s="243"/>
      <c r="C1626" s="243"/>
    </row>
    <row r="1627" spans="2:3" ht="15" customHeight="1">
      <c r="B1627" s="243"/>
      <c r="C1627" s="243"/>
    </row>
    <row r="1628" spans="2:3" ht="15" customHeight="1">
      <c r="B1628" s="243"/>
      <c r="C1628" s="243"/>
    </row>
    <row r="1629" spans="2:3" ht="15" customHeight="1">
      <c r="B1629" s="243"/>
      <c r="C1629" s="243"/>
    </row>
    <row r="1630" spans="2:3" ht="15" customHeight="1">
      <c r="B1630" s="243"/>
      <c r="C1630" s="243"/>
    </row>
    <row r="1631" spans="2:3" ht="15" customHeight="1">
      <c r="B1631" s="243"/>
      <c r="C1631" s="243"/>
    </row>
    <row r="1632" spans="2:3" ht="15" customHeight="1">
      <c r="B1632" s="243"/>
      <c r="C1632" s="243"/>
    </row>
    <row r="1633" spans="2:3" ht="15" customHeight="1">
      <c r="B1633" s="243"/>
      <c r="C1633" s="243"/>
    </row>
    <row r="1634" spans="2:3" ht="15" customHeight="1">
      <c r="B1634" s="243"/>
      <c r="C1634" s="243"/>
    </row>
    <row r="1635" spans="2:3" ht="15" customHeight="1">
      <c r="B1635" s="243"/>
      <c r="C1635" s="243"/>
    </row>
    <row r="1636" spans="2:3" ht="15" customHeight="1">
      <c r="B1636" s="243"/>
      <c r="C1636" s="243"/>
    </row>
    <row r="1637" spans="2:3" ht="15" customHeight="1">
      <c r="B1637" s="243"/>
      <c r="C1637" s="243"/>
    </row>
    <row r="1638" spans="2:3" ht="15" customHeight="1">
      <c r="B1638" s="243"/>
      <c r="C1638" s="243"/>
    </row>
    <row r="1639" spans="2:3" ht="15" customHeight="1">
      <c r="B1639" s="243"/>
      <c r="C1639" s="243"/>
    </row>
    <row r="1640" spans="2:3" ht="15" customHeight="1">
      <c r="B1640" s="243"/>
      <c r="C1640" s="243"/>
    </row>
    <row r="1641" spans="2:3" ht="15" customHeight="1">
      <c r="B1641" s="243"/>
      <c r="C1641" s="243"/>
    </row>
    <row r="1642" spans="2:3" ht="15" customHeight="1">
      <c r="B1642" s="243"/>
      <c r="C1642" s="243"/>
    </row>
    <row r="1643" spans="2:3" ht="15" customHeight="1">
      <c r="B1643" s="243"/>
      <c r="C1643" s="243"/>
    </row>
    <row r="1644" spans="2:3" ht="15" customHeight="1">
      <c r="B1644" s="243"/>
      <c r="C1644" s="243"/>
    </row>
    <row r="1645" spans="2:3" ht="15" customHeight="1">
      <c r="B1645" s="243"/>
      <c r="C1645" s="243"/>
    </row>
    <row r="1646" spans="2:3" ht="15" customHeight="1">
      <c r="B1646" s="243"/>
      <c r="C1646" s="243"/>
    </row>
    <row r="1647" spans="2:3" ht="15" customHeight="1">
      <c r="B1647" s="243"/>
      <c r="C1647" s="243"/>
    </row>
    <row r="1648" spans="2:3" ht="15" customHeight="1">
      <c r="B1648" s="243"/>
      <c r="C1648" s="243"/>
    </row>
    <row r="1649" spans="2:3" ht="15" customHeight="1">
      <c r="B1649" s="243"/>
      <c r="C1649" s="243"/>
    </row>
    <row r="1650" spans="2:3" ht="15" customHeight="1">
      <c r="B1650" s="243"/>
      <c r="C1650" s="243"/>
    </row>
    <row r="1651" spans="2:3" ht="15" customHeight="1">
      <c r="B1651" s="243"/>
      <c r="C1651" s="243"/>
    </row>
    <row r="1652" spans="2:3" ht="15" customHeight="1">
      <c r="B1652" s="243"/>
      <c r="C1652" s="243"/>
    </row>
    <row r="1653" spans="2:3" ht="15" customHeight="1">
      <c r="B1653" s="243"/>
      <c r="C1653" s="243"/>
    </row>
    <row r="1654" spans="2:3" ht="15" customHeight="1">
      <c r="B1654" s="243"/>
      <c r="C1654" s="243"/>
    </row>
    <row r="1655" spans="2:3" ht="15" customHeight="1">
      <c r="B1655" s="243"/>
      <c r="C1655" s="243"/>
    </row>
    <row r="1656" spans="2:3" ht="15" customHeight="1">
      <c r="B1656" s="243"/>
      <c r="C1656" s="243"/>
    </row>
    <row r="1657" spans="2:3" ht="15" customHeight="1">
      <c r="B1657" s="243"/>
      <c r="C1657" s="243"/>
    </row>
    <row r="1658" spans="2:3" ht="15" customHeight="1">
      <c r="B1658" s="243"/>
      <c r="C1658" s="243"/>
    </row>
    <row r="1659" spans="2:3" ht="15" customHeight="1">
      <c r="B1659" s="243"/>
      <c r="C1659" s="243"/>
    </row>
    <row r="1660" spans="2:3" ht="15" customHeight="1">
      <c r="B1660" s="243"/>
      <c r="C1660" s="243"/>
    </row>
    <row r="1661" spans="2:3" ht="15" customHeight="1">
      <c r="B1661" s="243"/>
      <c r="C1661" s="243"/>
    </row>
    <row r="1662" spans="2:3" ht="15" customHeight="1">
      <c r="B1662" s="243"/>
      <c r="C1662" s="243"/>
    </row>
    <row r="1663" spans="2:3" ht="15" customHeight="1">
      <c r="B1663" s="243"/>
      <c r="C1663" s="243"/>
    </row>
    <row r="1664" spans="2:3" ht="15" customHeight="1">
      <c r="B1664" s="243"/>
      <c r="C1664" s="243"/>
    </row>
    <row r="1665" spans="2:3" ht="15" customHeight="1">
      <c r="B1665" s="243"/>
      <c r="C1665" s="243"/>
    </row>
    <row r="1666" spans="2:3" ht="15" customHeight="1">
      <c r="B1666" s="243"/>
      <c r="C1666" s="243"/>
    </row>
    <row r="1667" spans="2:3" ht="15" customHeight="1">
      <c r="B1667" s="243"/>
      <c r="C1667" s="243"/>
    </row>
    <row r="1668" spans="2:3" ht="15" customHeight="1">
      <c r="B1668" s="243"/>
      <c r="C1668" s="243"/>
    </row>
    <row r="1669" spans="2:3" ht="15" customHeight="1">
      <c r="B1669" s="243"/>
      <c r="C1669" s="243"/>
    </row>
    <row r="1670" spans="2:3" ht="15" customHeight="1">
      <c r="B1670" s="243"/>
      <c r="C1670" s="243"/>
    </row>
    <row r="1671" spans="2:3" ht="15" customHeight="1">
      <c r="B1671" s="243"/>
      <c r="C1671" s="243"/>
    </row>
    <row r="1672" spans="2:3" ht="15" customHeight="1">
      <c r="B1672" s="243"/>
      <c r="C1672" s="243"/>
    </row>
    <row r="1673" spans="2:3" ht="15" customHeight="1">
      <c r="B1673" s="243"/>
      <c r="C1673" s="243"/>
    </row>
    <row r="1674" spans="2:3" ht="15" customHeight="1">
      <c r="B1674" s="243"/>
      <c r="C1674" s="243"/>
    </row>
    <row r="1675" spans="2:3" ht="15" customHeight="1">
      <c r="B1675" s="243"/>
      <c r="C1675" s="243"/>
    </row>
    <row r="1676" spans="2:3" ht="15" customHeight="1">
      <c r="B1676" s="243"/>
      <c r="C1676" s="243"/>
    </row>
    <row r="1677" spans="2:3" ht="15" customHeight="1">
      <c r="B1677" s="243"/>
      <c r="C1677" s="243"/>
    </row>
    <row r="1678" spans="2:3" ht="15" customHeight="1">
      <c r="B1678" s="243"/>
      <c r="C1678" s="243"/>
    </row>
    <row r="1679" spans="2:3" ht="15" customHeight="1">
      <c r="B1679" s="243"/>
      <c r="C1679" s="243"/>
    </row>
    <row r="1680" spans="2:3" ht="15" customHeight="1">
      <c r="B1680" s="243"/>
      <c r="C1680" s="243"/>
    </row>
    <row r="1681" spans="2:3" ht="15" customHeight="1">
      <c r="B1681" s="243"/>
      <c r="C1681" s="243"/>
    </row>
    <row r="1682" spans="2:3" ht="15" customHeight="1">
      <c r="B1682" s="243"/>
      <c r="C1682" s="243"/>
    </row>
    <row r="1683" spans="2:3" ht="15" customHeight="1">
      <c r="B1683" s="243"/>
      <c r="C1683" s="243"/>
    </row>
    <row r="1684" spans="2:3" ht="15" customHeight="1">
      <c r="B1684" s="243"/>
      <c r="C1684" s="243"/>
    </row>
    <row r="1685" spans="2:3" ht="15" customHeight="1">
      <c r="B1685" s="243"/>
      <c r="C1685" s="243"/>
    </row>
    <row r="1686" spans="2:3" ht="15" customHeight="1">
      <c r="B1686" s="243"/>
      <c r="C1686" s="243"/>
    </row>
    <row r="1687" spans="2:3" ht="15" customHeight="1">
      <c r="B1687" s="243"/>
      <c r="C1687" s="243"/>
    </row>
    <row r="1688" spans="2:3" ht="15" customHeight="1">
      <c r="B1688" s="243"/>
      <c r="C1688" s="243"/>
    </row>
    <row r="1689" spans="2:3" ht="15" customHeight="1">
      <c r="B1689" s="243"/>
      <c r="C1689" s="243"/>
    </row>
    <row r="1690" spans="2:3" ht="15" customHeight="1">
      <c r="B1690" s="243"/>
      <c r="C1690" s="243"/>
    </row>
    <row r="1691" spans="2:3" ht="15" customHeight="1">
      <c r="B1691" s="243"/>
      <c r="C1691" s="243"/>
    </row>
    <row r="1692" spans="2:3" ht="15" customHeight="1">
      <c r="B1692" s="243"/>
      <c r="C1692" s="243"/>
    </row>
    <row r="1693" spans="2:3" ht="15" customHeight="1">
      <c r="B1693" s="243"/>
      <c r="C1693" s="243"/>
    </row>
    <row r="1694" spans="2:3" ht="15" customHeight="1">
      <c r="B1694" s="243"/>
      <c r="C1694" s="243"/>
    </row>
    <row r="1695" spans="2:3" ht="15" customHeight="1">
      <c r="B1695" s="243"/>
      <c r="C1695" s="243"/>
    </row>
    <row r="1696" spans="2:3" ht="15" customHeight="1">
      <c r="B1696" s="243"/>
      <c r="C1696" s="243"/>
    </row>
    <row r="1697" spans="2:3" ht="15" customHeight="1">
      <c r="B1697" s="243"/>
      <c r="C1697" s="243"/>
    </row>
    <row r="1698" spans="2:3" ht="15" customHeight="1">
      <c r="B1698" s="243"/>
      <c r="C1698" s="243"/>
    </row>
    <row r="1699" spans="2:3" ht="15" customHeight="1">
      <c r="B1699" s="243"/>
      <c r="C1699" s="243"/>
    </row>
    <row r="1700" spans="2:3" ht="15" customHeight="1">
      <c r="B1700" s="243"/>
      <c r="C1700" s="243"/>
    </row>
    <row r="1701" spans="2:3" ht="15" customHeight="1">
      <c r="B1701" s="243"/>
      <c r="C1701" s="243"/>
    </row>
    <row r="1702" spans="2:3" ht="15" customHeight="1">
      <c r="B1702" s="243"/>
      <c r="C1702" s="243"/>
    </row>
    <row r="1703" spans="2:3" ht="15" customHeight="1">
      <c r="B1703" s="243"/>
      <c r="C1703" s="243"/>
    </row>
    <row r="1704" spans="2:3" ht="15" customHeight="1">
      <c r="B1704" s="243"/>
      <c r="C1704" s="243"/>
    </row>
    <row r="1705" spans="2:3" ht="15" customHeight="1">
      <c r="B1705" s="243"/>
      <c r="C1705" s="243"/>
    </row>
    <row r="1706" spans="2:3" ht="15" customHeight="1">
      <c r="B1706" s="243"/>
      <c r="C1706" s="243"/>
    </row>
    <row r="1707" spans="2:3" ht="15" customHeight="1">
      <c r="B1707" s="243"/>
      <c r="C1707" s="243"/>
    </row>
    <row r="1708" spans="2:3" ht="15" customHeight="1">
      <c r="B1708" s="243"/>
      <c r="C1708" s="243"/>
    </row>
    <row r="1709" spans="2:3" ht="15" customHeight="1">
      <c r="B1709" s="243"/>
      <c r="C1709" s="243"/>
    </row>
    <row r="1710" spans="2:3" ht="15" customHeight="1">
      <c r="B1710" s="243"/>
      <c r="C1710" s="243"/>
    </row>
    <row r="1711" spans="2:3" ht="15" customHeight="1">
      <c r="B1711" s="243"/>
      <c r="C1711" s="243"/>
    </row>
    <row r="1712" spans="2:3" ht="15" customHeight="1">
      <c r="B1712" s="243"/>
      <c r="C1712" s="243"/>
    </row>
    <row r="1713" spans="2:3" ht="15" customHeight="1">
      <c r="B1713" s="243"/>
      <c r="C1713" s="243"/>
    </row>
    <row r="1714" spans="2:3" ht="15" customHeight="1">
      <c r="B1714" s="243"/>
      <c r="C1714" s="243"/>
    </row>
    <row r="1715" spans="2:3" ht="15" customHeight="1">
      <c r="B1715" s="243"/>
      <c r="C1715" s="243"/>
    </row>
    <row r="1716" spans="2:3" ht="15" customHeight="1">
      <c r="B1716" s="243"/>
      <c r="C1716" s="243"/>
    </row>
    <row r="1717" spans="2:3" ht="15" customHeight="1">
      <c r="B1717" s="243"/>
      <c r="C1717" s="243"/>
    </row>
    <row r="1718" spans="2:3" ht="15" customHeight="1">
      <c r="B1718" s="243"/>
      <c r="C1718" s="243"/>
    </row>
    <row r="1719" spans="2:3" ht="15" customHeight="1">
      <c r="B1719" s="243"/>
      <c r="C1719" s="243"/>
    </row>
    <row r="1720" spans="2:3" ht="15" customHeight="1">
      <c r="B1720" s="243"/>
      <c r="C1720" s="243"/>
    </row>
    <row r="1721" spans="2:3" ht="15" customHeight="1">
      <c r="B1721" s="243"/>
      <c r="C1721" s="243"/>
    </row>
    <row r="1722" spans="2:3" ht="15" customHeight="1">
      <c r="B1722" s="243"/>
      <c r="C1722" s="243"/>
    </row>
    <row r="1723" spans="2:3" ht="15" customHeight="1">
      <c r="B1723" s="243"/>
      <c r="C1723" s="243"/>
    </row>
    <row r="1724" spans="2:3" ht="15" customHeight="1">
      <c r="B1724" s="243"/>
      <c r="C1724" s="243"/>
    </row>
    <row r="1725" spans="2:3" ht="15" customHeight="1">
      <c r="B1725" s="243"/>
      <c r="C1725" s="243"/>
    </row>
    <row r="1726" spans="2:3" ht="15" customHeight="1">
      <c r="B1726" s="243"/>
      <c r="C1726" s="243"/>
    </row>
    <row r="1727" spans="2:3" ht="15" customHeight="1">
      <c r="B1727" s="243"/>
      <c r="C1727" s="243"/>
    </row>
    <row r="1728" spans="2:3" ht="15" customHeight="1">
      <c r="B1728" s="243"/>
      <c r="C1728" s="243"/>
    </row>
    <row r="1729" spans="2:3" ht="15" customHeight="1">
      <c r="B1729" s="243"/>
      <c r="C1729" s="243"/>
    </row>
    <row r="1730" spans="2:3" ht="15" customHeight="1">
      <c r="B1730" s="243"/>
      <c r="C1730" s="243"/>
    </row>
    <row r="1731" spans="2:3" ht="15" customHeight="1">
      <c r="B1731" s="243"/>
      <c r="C1731" s="243"/>
    </row>
    <row r="1732" spans="2:3" ht="15" customHeight="1">
      <c r="B1732" s="243"/>
      <c r="C1732" s="243"/>
    </row>
    <row r="1733" spans="2:3" ht="15" customHeight="1">
      <c r="B1733" s="243"/>
      <c r="C1733" s="243"/>
    </row>
    <row r="1734" spans="2:3" ht="15" customHeight="1">
      <c r="B1734" s="243"/>
      <c r="C1734" s="243"/>
    </row>
    <row r="1735" spans="2:3" ht="15" customHeight="1">
      <c r="B1735" s="243"/>
      <c r="C1735" s="243"/>
    </row>
    <row r="1736" spans="2:3" ht="15" customHeight="1">
      <c r="B1736" s="243"/>
      <c r="C1736" s="243"/>
    </row>
    <row r="1737" spans="2:3" ht="15" customHeight="1">
      <c r="B1737" s="243"/>
      <c r="C1737" s="243"/>
    </row>
    <row r="1738" spans="2:3" ht="15" customHeight="1">
      <c r="B1738" s="243"/>
      <c r="C1738" s="243"/>
    </row>
    <row r="1739" spans="2:3" ht="15" customHeight="1">
      <c r="B1739" s="243"/>
      <c r="C1739" s="243"/>
    </row>
    <row r="1740" spans="2:3" ht="15" customHeight="1">
      <c r="B1740" s="243"/>
      <c r="C1740" s="243"/>
    </row>
    <row r="1741" spans="2:3" ht="15" customHeight="1">
      <c r="B1741" s="243"/>
      <c r="C1741" s="243"/>
    </row>
    <row r="1742" spans="2:3" ht="15" customHeight="1">
      <c r="B1742" s="243"/>
      <c r="C1742" s="243"/>
    </row>
    <row r="1743" spans="2:3" ht="15" customHeight="1">
      <c r="B1743" s="243"/>
      <c r="C1743" s="243"/>
    </row>
    <row r="1744" spans="2:3" ht="15" customHeight="1">
      <c r="B1744" s="243"/>
      <c r="C1744" s="243"/>
    </row>
    <row r="1745" spans="2:3" ht="15" customHeight="1">
      <c r="B1745" s="243"/>
      <c r="C1745" s="243"/>
    </row>
    <row r="1746" spans="2:3" ht="15" customHeight="1">
      <c r="B1746" s="243"/>
      <c r="C1746" s="243"/>
    </row>
    <row r="1747" spans="2:3" ht="15" customHeight="1">
      <c r="B1747" s="243"/>
      <c r="C1747" s="243"/>
    </row>
    <row r="1748" spans="2:3" ht="15" customHeight="1">
      <c r="B1748" s="243"/>
      <c r="C1748" s="243"/>
    </row>
    <row r="1749" spans="2:3" ht="15" customHeight="1">
      <c r="B1749" s="243"/>
      <c r="C1749" s="243"/>
    </row>
    <row r="1750" spans="2:3" ht="15" customHeight="1">
      <c r="B1750" s="243"/>
      <c r="C1750" s="243"/>
    </row>
    <row r="1751" spans="2:3" ht="15" customHeight="1">
      <c r="B1751" s="243"/>
      <c r="C1751" s="243"/>
    </row>
    <row r="1752" spans="2:3" ht="15" customHeight="1">
      <c r="B1752" s="243"/>
      <c r="C1752" s="243"/>
    </row>
    <row r="1753" spans="2:3" ht="15" customHeight="1">
      <c r="B1753" s="243"/>
      <c r="C1753" s="243"/>
    </row>
    <row r="1754" spans="2:3" ht="15" customHeight="1">
      <c r="B1754" s="243"/>
      <c r="C1754" s="243"/>
    </row>
    <row r="1755" spans="2:3" ht="15" customHeight="1">
      <c r="B1755" s="243"/>
      <c r="C1755" s="243"/>
    </row>
    <row r="1756" spans="2:3" ht="15" customHeight="1">
      <c r="B1756" s="243"/>
      <c r="C1756" s="243"/>
    </row>
    <row r="1757" spans="2:3" ht="15" customHeight="1">
      <c r="B1757" s="243"/>
      <c r="C1757" s="243"/>
    </row>
    <row r="1758" spans="2:3" ht="15" customHeight="1">
      <c r="B1758" s="243"/>
      <c r="C1758" s="243"/>
    </row>
    <row r="1759" spans="2:3" ht="15" customHeight="1">
      <c r="B1759" s="243"/>
      <c r="C1759" s="243"/>
    </row>
    <row r="1760" spans="2:3" ht="15" customHeight="1">
      <c r="B1760" s="243"/>
      <c r="C1760" s="243"/>
    </row>
    <row r="1761" spans="2:3" ht="15" customHeight="1">
      <c r="B1761" s="243"/>
      <c r="C1761" s="243"/>
    </row>
    <row r="1762" spans="2:3" ht="15" customHeight="1">
      <c r="B1762" s="243"/>
      <c r="C1762" s="243"/>
    </row>
    <row r="1763" spans="2:3" ht="15" customHeight="1">
      <c r="B1763" s="243"/>
      <c r="C1763" s="243"/>
    </row>
    <row r="1764" spans="2:3" ht="15" customHeight="1">
      <c r="B1764" s="243"/>
      <c r="C1764" s="243"/>
    </row>
    <row r="1765" spans="2:3" ht="15" customHeight="1">
      <c r="B1765" s="243"/>
      <c r="C1765" s="243"/>
    </row>
    <row r="1766" spans="2:3" ht="15" customHeight="1">
      <c r="B1766" s="243"/>
      <c r="C1766" s="243"/>
    </row>
    <row r="1767" spans="2:3" ht="15" customHeight="1">
      <c r="B1767" s="243"/>
      <c r="C1767" s="243"/>
    </row>
    <row r="1768" spans="2:3" ht="15" customHeight="1">
      <c r="B1768" s="243"/>
      <c r="C1768" s="243"/>
    </row>
    <row r="1769" spans="2:3" ht="15" customHeight="1">
      <c r="B1769" s="243"/>
      <c r="C1769" s="243"/>
    </row>
    <row r="1770" spans="2:3" ht="15" customHeight="1">
      <c r="B1770" s="243"/>
      <c r="C1770" s="243"/>
    </row>
    <row r="1771" spans="2:3" ht="15" customHeight="1">
      <c r="B1771" s="243"/>
      <c r="C1771" s="243"/>
    </row>
    <row r="1772" spans="2:3" ht="15" customHeight="1">
      <c r="B1772" s="243"/>
      <c r="C1772" s="243"/>
    </row>
    <row r="1773" spans="2:3" ht="15" customHeight="1">
      <c r="B1773" s="243"/>
      <c r="C1773" s="243"/>
    </row>
    <row r="1774" spans="2:3" ht="15" customHeight="1">
      <c r="B1774" s="243"/>
      <c r="C1774" s="243"/>
    </row>
    <row r="1775" spans="2:3" ht="15" customHeight="1">
      <c r="B1775" s="243"/>
      <c r="C1775" s="243"/>
    </row>
    <row r="1776" spans="2:3" ht="15" customHeight="1">
      <c r="B1776" s="243"/>
      <c r="C1776" s="243"/>
    </row>
    <row r="1777" spans="2:3" ht="15" customHeight="1">
      <c r="B1777" s="243"/>
      <c r="C1777" s="243"/>
    </row>
    <row r="1778" spans="2:3" ht="15" customHeight="1">
      <c r="B1778" s="243"/>
      <c r="C1778" s="243"/>
    </row>
    <row r="1779" spans="2:3" ht="15" customHeight="1">
      <c r="B1779" s="243"/>
      <c r="C1779" s="243"/>
    </row>
    <row r="1780" spans="2:3" ht="15" customHeight="1">
      <c r="B1780" s="243"/>
      <c r="C1780" s="243"/>
    </row>
    <row r="1781" spans="2:3" ht="15" customHeight="1">
      <c r="B1781" s="243"/>
      <c r="C1781" s="243"/>
    </row>
    <row r="1782" spans="2:3" ht="15" customHeight="1">
      <c r="B1782" s="243"/>
      <c r="C1782" s="243"/>
    </row>
    <row r="1783" spans="2:3" ht="15" customHeight="1">
      <c r="B1783" s="243"/>
      <c r="C1783" s="243"/>
    </row>
    <row r="1784" spans="2:3" ht="15" customHeight="1">
      <c r="B1784" s="243"/>
      <c r="C1784" s="243"/>
    </row>
    <row r="1785" spans="2:3" ht="15" customHeight="1">
      <c r="B1785" s="243"/>
      <c r="C1785" s="243"/>
    </row>
    <row r="1786" spans="2:3" ht="15" customHeight="1">
      <c r="B1786" s="243"/>
      <c r="C1786" s="243"/>
    </row>
    <row r="1787" spans="2:3" ht="15" customHeight="1">
      <c r="B1787" s="243"/>
      <c r="C1787" s="243"/>
    </row>
    <row r="1788" spans="2:3" ht="15" customHeight="1">
      <c r="B1788" s="243"/>
      <c r="C1788" s="243"/>
    </row>
    <row r="1789" spans="2:3" ht="15" customHeight="1">
      <c r="B1789" s="243"/>
      <c r="C1789" s="243"/>
    </row>
    <row r="1790" spans="2:3" ht="15" customHeight="1">
      <c r="B1790" s="243"/>
      <c r="C1790" s="243"/>
    </row>
    <row r="1791" spans="2:3" ht="15" customHeight="1">
      <c r="B1791" s="243"/>
      <c r="C1791" s="243"/>
    </row>
    <row r="1792" spans="2:3" ht="15" customHeight="1">
      <c r="B1792" s="243"/>
      <c r="C1792" s="243"/>
    </row>
    <row r="1793" spans="2:3" ht="15" customHeight="1">
      <c r="B1793" s="243"/>
      <c r="C1793" s="243"/>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ETF_PROFILE</vt:lpstr>
      <vt:lpstr>MUTUAL_FUND_PROFILE</vt:lpstr>
      <vt:lpstr>MORNINGSTAR_ATTRIBUTES</vt:lpstr>
      <vt:lpstr>MUTUAL_FUND_RANKING</vt:lpstr>
      <vt:lpstr>MORNINGSTAR TOTAL RETURN</vt:lpstr>
      <vt:lpstr>MF_FRAME</vt:lpstr>
      <vt:lpstr>POSITION</vt:lpstr>
    </vt:vector>
  </TitlesOfParts>
  <Company>NICO</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dc:creator>
  <cp:lastModifiedBy>Windows User</cp:lastModifiedBy>
  <dcterms:created xsi:type="dcterms:W3CDTF">2008-05-08T14:07:52Z</dcterms:created>
  <dcterms:modified xsi:type="dcterms:W3CDTF">2013-02-28T04:09:12Z</dcterms:modified>
</cp:coreProperties>
</file>