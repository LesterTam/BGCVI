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75" windowWidth="14715" windowHeight="7935" activeTab="2"/>
  </bookViews>
  <sheets>
    <sheet name="CONTROL" sheetId="1" r:id="rId1"/>
    <sheet name="DATA" sheetId="3" r:id="rId2"/>
    <sheet name="TREND_CHART" sheetId="2" r:id="rId3"/>
  </sheets>
  <externalReferences>
    <externalReference r:id="rId4"/>
  </externalReferences>
  <definedNames>
    <definedName name="HIST_DATA">DATA!$A$2:$AE$64</definedName>
    <definedName name="INDEX">CONTROL!$F$4</definedName>
    <definedName name="INPUTS">CONTROL!$C$13</definedName>
    <definedName name="NO_PERIODS">CONTROL!$F$3</definedName>
    <definedName name="PARAMETERS">CONTROL!$C$2:$C$5</definedName>
    <definedName name="X_AXIS">INDEX(HIST_DATA,0,1)</definedName>
    <definedName name="Y_AXIS">INDEX(HIST_DATA,0,INDEX+1)</definedName>
  </definedNames>
  <calcPr calcId="145621"/>
</workbook>
</file>

<file path=xl/calcChain.xml><?xml version="1.0" encoding="utf-8"?>
<calcChain xmlns="http://schemas.openxmlformats.org/spreadsheetml/2006/main">
  <c r="G8" i="1" l="1"/>
  <c r="C3" i="1"/>
  <c r="C2" i="1" s="1"/>
  <c r="E5" i="1" l="1"/>
  <c r="I8" i="1" l="1"/>
  <c r="H8" i="1"/>
  <c r="E13" i="1"/>
  <c r="G11" i="1"/>
  <c r="I11" i="1" s="1"/>
  <c r="F11" i="1"/>
  <c r="H11" i="1" s="1"/>
  <c r="E12" i="1"/>
  <c r="E10" i="1" l="1"/>
  <c r="F2" i="1"/>
  <c r="E7" i="1" s="1"/>
  <c r="E9" i="1"/>
  <c r="H9" i="1" s="1"/>
  <c r="H10" i="1" s="1"/>
  <c r="H12" i="1"/>
  <c r="H13" i="1" s="1"/>
  <c r="G7" i="1"/>
  <c r="G6" i="1"/>
  <c r="E6" i="1"/>
  <c r="F6" i="1" l="1"/>
  <c r="F12" i="1" s="1"/>
  <c r="F13" i="1" s="1"/>
  <c r="F7" i="1"/>
  <c r="G12" i="1"/>
  <c r="G13" i="1" s="1"/>
  <c r="I13" i="1" s="1"/>
  <c r="G9" i="1"/>
  <c r="G10" i="1" s="1"/>
  <c r="H6" i="1"/>
  <c r="H7" i="1" s="1"/>
  <c r="F9" i="1"/>
  <c r="F10" i="1" s="1"/>
  <c r="I12" i="1"/>
  <c r="I10" i="1" l="1"/>
  <c r="I9" i="1"/>
</calcChain>
</file>

<file path=xl/comments1.xml><?xml version="1.0" encoding="utf-8"?>
<comments xmlns="http://schemas.openxmlformats.org/spreadsheetml/2006/main">
  <authors>
    <author>Nico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(1)Open; (2)High; (3)Low; (4)Close; (5) Volume; (6)Adj.Close</t>
        </r>
      </text>
    </comment>
  </commentList>
</comments>
</file>

<file path=xl/sharedStrings.xml><?xml version="1.0" encoding="utf-8"?>
<sst xmlns="http://schemas.openxmlformats.org/spreadsheetml/2006/main" count="105" uniqueCount="75">
  <si>
    <t>Actuals</t>
  </si>
  <si>
    <t>Down</t>
  </si>
  <si>
    <t>Up</t>
  </si>
  <si>
    <t>Hor Line from St Date</t>
  </si>
  <si>
    <t>Ref Day</t>
  </si>
  <si>
    <t>No Periods</t>
  </si>
  <si>
    <t>START DATE</t>
  </si>
  <si>
    <t>END DATE</t>
  </si>
  <si>
    <t>NAME</t>
  </si>
  <si>
    <t>TICKER</t>
  </si>
  <si>
    <t>ALCOAINC</t>
  </si>
  <si>
    <t>AA</t>
  </si>
  <si>
    <t>AMEREXPRESSINC</t>
  </si>
  <si>
    <t>AXP</t>
  </si>
  <si>
    <t>BOEINGCO</t>
  </si>
  <si>
    <t>BA</t>
  </si>
  <si>
    <t>BKOFAMERICACP</t>
  </si>
  <si>
    <t>BAC</t>
  </si>
  <si>
    <t>CATERPILLARINC</t>
  </si>
  <si>
    <t>CAT</t>
  </si>
  <si>
    <t>CiscoSystems,In</t>
  </si>
  <si>
    <t>CSCO</t>
  </si>
  <si>
    <t>CHEVRONCORP</t>
  </si>
  <si>
    <t>CVX</t>
  </si>
  <si>
    <t>DUPONTEIDENE</t>
  </si>
  <si>
    <t>DD</t>
  </si>
  <si>
    <t>WALTDISNEY-DISNE</t>
  </si>
  <si>
    <t>DIS</t>
  </si>
  <si>
    <t>GENELECTRICCO</t>
  </si>
  <si>
    <t>GE</t>
  </si>
  <si>
    <t>HOMEDEPOTINC</t>
  </si>
  <si>
    <t>HD</t>
  </si>
  <si>
    <t>HEWLETTPACKARDC</t>
  </si>
  <si>
    <t>HPQ</t>
  </si>
  <si>
    <t>INTLBUSINESSMAC</t>
  </si>
  <si>
    <t>IBM</t>
  </si>
  <si>
    <t>IntelCorporation</t>
  </si>
  <si>
    <t>INTC</t>
  </si>
  <si>
    <t>JOHNSONANDJOHNS</t>
  </si>
  <si>
    <t>JNJ</t>
  </si>
  <si>
    <t>JPMORGANCHASEC</t>
  </si>
  <si>
    <t>JPM</t>
  </si>
  <si>
    <t>KRAFTFOODSINC</t>
  </si>
  <si>
    <t>KFT</t>
  </si>
  <si>
    <t>COCACOLACOTHE</t>
  </si>
  <si>
    <t>KO</t>
  </si>
  <si>
    <t>MCDONALDSCP</t>
  </si>
  <si>
    <t>MCD</t>
  </si>
  <si>
    <t>3MCOMPANY</t>
  </si>
  <si>
    <t>MMM</t>
  </si>
  <si>
    <t>MERCKCOINC</t>
  </si>
  <si>
    <t>MRK</t>
  </si>
  <si>
    <t>MicrosoftCorpora</t>
  </si>
  <si>
    <t>MSFT</t>
  </si>
  <si>
    <t>PFIZERINC</t>
  </si>
  <si>
    <t>PFE</t>
  </si>
  <si>
    <t>PROCTERGAMBLE</t>
  </si>
  <si>
    <t>PG</t>
  </si>
  <si>
    <t>AT&amp;TINC.</t>
  </si>
  <si>
    <t>T</t>
  </si>
  <si>
    <t>THETRAVELERSCO</t>
  </si>
  <si>
    <t>TRV</t>
  </si>
  <si>
    <t>UNITEDTECH</t>
  </si>
  <si>
    <t>UTX</t>
  </si>
  <si>
    <t>VERIZONCOMMUN</t>
  </si>
  <si>
    <t>VZ</t>
  </si>
  <si>
    <t>WALMARTSTORES</t>
  </si>
  <si>
    <t>WMT</t>
  </si>
  <si>
    <t>EXXONMOBILCP</t>
  </si>
  <si>
    <t>XOM</t>
  </si>
  <si>
    <t>ELEMENT</t>
  </si>
  <si>
    <t>PERIOD</t>
  </si>
  <si>
    <t>d</t>
  </si>
  <si>
    <t>DATES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</si>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</sst>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0\ &quot;bps&quot;"/>
  </numFmts>
  <fonts count="11" x14ac:knownFonts="1">
    <font>
      <sz val="10"/>
      <name val="Verdana"/>
    </font>
    <font>
      <sz val="10"/>
      <name val="Verdana"/>
      <family val="2"/>
    </font>
    <font>
      <sz val="8"/>
      <name val="Verdana"/>
      <family val="2"/>
    </font>
    <font>
      <b/>
      <sz val="10"/>
      <name val="Courier New"/>
      <family val="3"/>
    </font>
    <font>
      <sz val="10"/>
      <name val="Courier New"/>
      <family val="3"/>
    </font>
    <font>
      <b/>
      <sz val="10"/>
      <color rgb="FF0070C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4" fillId="0" borderId="0" xfId="0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65" fontId="4" fillId="0" borderId="5" xfId="0" applyNumberFormat="1" applyFont="1" applyFill="1" applyBorder="1" applyAlignment="1">
      <alignment horizontal="center"/>
    </xf>
    <xf numFmtId="165" fontId="4" fillId="0" borderId="7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4" fillId="2" borderId="4" xfId="1" applyNumberFormat="1" applyFont="1" applyFill="1" applyBorder="1" applyAlignment="1">
      <alignment horizontal="centerContinuous"/>
    </xf>
    <xf numFmtId="0" fontId="3" fillId="2" borderId="1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Continuous"/>
    </xf>
    <xf numFmtId="0" fontId="4" fillId="2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7" fillId="0" borderId="4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166" fontId="5" fillId="3" borderId="3" xfId="2" applyNumberFormat="1" applyFont="1" applyFill="1" applyBorder="1" applyAlignment="1">
      <alignment horizontal="center"/>
    </xf>
    <xf numFmtId="166" fontId="5" fillId="3" borderId="10" xfId="2" applyNumberFormat="1" applyFont="1" applyFill="1" applyBorder="1" applyAlignment="1">
      <alignment horizontal="center"/>
    </xf>
    <xf numFmtId="166" fontId="4" fillId="3" borderId="3" xfId="2" applyNumberFormat="1" applyFont="1" applyFill="1" applyBorder="1" applyAlignment="1">
      <alignment horizontal="center"/>
    </xf>
    <xf numFmtId="166" fontId="4" fillId="3" borderId="10" xfId="2" applyNumberFormat="1" applyFont="1" applyFill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Fill="1" applyBorder="1" applyAlignment="1">
      <alignment horizontal="left"/>
    </xf>
    <xf numFmtId="0" fontId="7" fillId="0" borderId="1" xfId="0" applyNumberFormat="1" applyFont="1" applyBorder="1" applyAlignment="1">
      <alignment horizontal="center"/>
    </xf>
    <xf numFmtId="4" fontId="10" fillId="4" borderId="1" xfId="0" applyNumberFormat="1" applyFon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65" fontId="10" fillId="5" borderId="1" xfId="0" applyNumberFormat="1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43" fontId="4" fillId="0" borderId="11" xfId="1" applyNumberFormat="1" applyFont="1" applyFill="1" applyBorder="1" applyAlignment="1">
      <alignment horizontal="center"/>
    </xf>
    <xf numFmtId="43" fontId="4" fillId="0" borderId="12" xfId="1" applyNumberFormat="1" applyFont="1" applyFill="1" applyBorder="1" applyAlignment="1">
      <alignment horizontal="center"/>
    </xf>
    <xf numFmtId="43" fontId="4" fillId="0" borderId="1" xfId="1" applyNumberFormat="1" applyFont="1" applyFill="1" applyBorder="1" applyAlignment="1">
      <alignment horizontal="center"/>
    </xf>
    <xf numFmtId="43" fontId="4" fillId="0" borderId="8" xfId="1" applyNumberFormat="1" applyFont="1" applyFill="1" applyBorder="1" applyAlignment="1">
      <alignment horizontal="center"/>
    </xf>
    <xf numFmtId="43" fontId="4" fillId="0" borderId="6" xfId="1" applyNumberFormat="1" applyFont="1" applyFill="1" applyBorder="1" applyAlignment="1">
      <alignment horizontal="center"/>
    </xf>
    <xf numFmtId="43" fontId="4" fillId="0" borderId="9" xfId="1" applyNumberFormat="1" applyFont="1" applyFill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HD</c:v>
            </c:pt>
          </c:strCache>
        </c:strRef>
      </c:tx>
      <c:layout/>
      <c:overlay val="1"/>
      <c:txPr>
        <a:bodyPr/>
        <a:lstStyle/>
        <a:p>
          <a:pPr>
            <a:defRPr b="1">
              <a:solidFill>
                <a:srgbClr val="0070C0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26837984147686"/>
          <c:y val="8.8082386266756144E-2"/>
          <c:w val="0.82893715888814479"/>
          <c:h val="0.7318645956638626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[0]!X_AXIS</c:f>
              <c:numCache>
                <c:formatCode>[$-409]d\-mmm\-yy;@</c:formatCode>
                <c:ptCount val="63"/>
                <c:pt idx="0">
                  <c:v>41240</c:v>
                </c:pt>
                <c:pt idx="1">
                  <c:v>41241</c:v>
                </c:pt>
                <c:pt idx="2">
                  <c:v>41242</c:v>
                </c:pt>
                <c:pt idx="3">
                  <c:v>41243</c:v>
                </c:pt>
                <c:pt idx="4">
                  <c:v>41246</c:v>
                </c:pt>
                <c:pt idx="5">
                  <c:v>41247</c:v>
                </c:pt>
                <c:pt idx="6">
                  <c:v>41248</c:v>
                </c:pt>
                <c:pt idx="7">
                  <c:v>41249</c:v>
                </c:pt>
                <c:pt idx="8">
                  <c:v>41250</c:v>
                </c:pt>
                <c:pt idx="9">
                  <c:v>41253</c:v>
                </c:pt>
                <c:pt idx="10">
                  <c:v>41254</c:v>
                </c:pt>
                <c:pt idx="11">
                  <c:v>41255</c:v>
                </c:pt>
                <c:pt idx="12">
                  <c:v>41256</c:v>
                </c:pt>
                <c:pt idx="13">
                  <c:v>41257</c:v>
                </c:pt>
                <c:pt idx="14">
                  <c:v>41260</c:v>
                </c:pt>
                <c:pt idx="15">
                  <c:v>41261</c:v>
                </c:pt>
                <c:pt idx="16">
                  <c:v>41262</c:v>
                </c:pt>
                <c:pt idx="17">
                  <c:v>41263</c:v>
                </c:pt>
                <c:pt idx="18">
                  <c:v>41264</c:v>
                </c:pt>
                <c:pt idx="19">
                  <c:v>41267</c:v>
                </c:pt>
                <c:pt idx="20">
                  <c:v>41269</c:v>
                </c:pt>
                <c:pt idx="21">
                  <c:v>41270</c:v>
                </c:pt>
                <c:pt idx="22">
                  <c:v>41271</c:v>
                </c:pt>
                <c:pt idx="23">
                  <c:v>41274</c:v>
                </c:pt>
                <c:pt idx="24">
                  <c:v>41276</c:v>
                </c:pt>
                <c:pt idx="25">
                  <c:v>41277</c:v>
                </c:pt>
                <c:pt idx="26">
                  <c:v>41278</c:v>
                </c:pt>
                <c:pt idx="27">
                  <c:v>41281</c:v>
                </c:pt>
                <c:pt idx="28">
                  <c:v>41282</c:v>
                </c:pt>
                <c:pt idx="29">
                  <c:v>41283</c:v>
                </c:pt>
                <c:pt idx="30">
                  <c:v>41284</c:v>
                </c:pt>
                <c:pt idx="31">
                  <c:v>41285</c:v>
                </c:pt>
                <c:pt idx="32">
                  <c:v>41288</c:v>
                </c:pt>
                <c:pt idx="33">
                  <c:v>41289</c:v>
                </c:pt>
                <c:pt idx="34">
                  <c:v>41290</c:v>
                </c:pt>
                <c:pt idx="35">
                  <c:v>41291</c:v>
                </c:pt>
                <c:pt idx="36">
                  <c:v>41292</c:v>
                </c:pt>
                <c:pt idx="37">
                  <c:v>41296</c:v>
                </c:pt>
                <c:pt idx="38">
                  <c:v>41297</c:v>
                </c:pt>
                <c:pt idx="39">
                  <c:v>41298</c:v>
                </c:pt>
                <c:pt idx="40">
                  <c:v>41299</c:v>
                </c:pt>
                <c:pt idx="41">
                  <c:v>41302</c:v>
                </c:pt>
                <c:pt idx="42">
                  <c:v>41303</c:v>
                </c:pt>
                <c:pt idx="43">
                  <c:v>41304</c:v>
                </c:pt>
                <c:pt idx="44">
                  <c:v>41305</c:v>
                </c:pt>
                <c:pt idx="45">
                  <c:v>41306</c:v>
                </c:pt>
                <c:pt idx="46">
                  <c:v>41309</c:v>
                </c:pt>
                <c:pt idx="47">
                  <c:v>41310</c:v>
                </c:pt>
                <c:pt idx="48">
                  <c:v>41311</c:v>
                </c:pt>
                <c:pt idx="49">
                  <c:v>41312</c:v>
                </c:pt>
                <c:pt idx="50">
                  <c:v>41313</c:v>
                </c:pt>
                <c:pt idx="51">
                  <c:v>41316</c:v>
                </c:pt>
                <c:pt idx="52">
                  <c:v>41317</c:v>
                </c:pt>
                <c:pt idx="53">
                  <c:v>41318</c:v>
                </c:pt>
                <c:pt idx="54">
                  <c:v>41319</c:v>
                </c:pt>
                <c:pt idx="55">
                  <c:v>41320</c:v>
                </c:pt>
                <c:pt idx="56">
                  <c:v>41324</c:v>
                </c:pt>
                <c:pt idx="57">
                  <c:v>41325</c:v>
                </c:pt>
                <c:pt idx="58">
                  <c:v>41326</c:v>
                </c:pt>
                <c:pt idx="59">
                  <c:v>41327</c:v>
                </c:pt>
                <c:pt idx="60">
                  <c:v>41330</c:v>
                </c:pt>
                <c:pt idx="61">
                  <c:v>41331</c:v>
                </c:pt>
                <c:pt idx="62">
                  <c:v>41332</c:v>
                </c:pt>
              </c:numCache>
            </c:numRef>
          </c:xVal>
          <c:yVal>
            <c:numRef>
              <c:f>[0]!Y_AXIS</c:f>
              <c:numCache>
                <c:formatCode>#,##0.00</c:formatCode>
                <c:ptCount val="63"/>
                <c:pt idx="0">
                  <c:v>64.16</c:v>
                </c:pt>
                <c:pt idx="1">
                  <c:v>64.83</c:v>
                </c:pt>
                <c:pt idx="2">
                  <c:v>64.239999999999995</c:v>
                </c:pt>
                <c:pt idx="3">
                  <c:v>65.069999999999993</c:v>
                </c:pt>
                <c:pt idx="4">
                  <c:v>64.98</c:v>
                </c:pt>
                <c:pt idx="5">
                  <c:v>64.239999999999995</c:v>
                </c:pt>
                <c:pt idx="6">
                  <c:v>64.02</c:v>
                </c:pt>
                <c:pt idx="7">
                  <c:v>64.34</c:v>
                </c:pt>
                <c:pt idx="8">
                  <c:v>64.45</c:v>
                </c:pt>
                <c:pt idx="9">
                  <c:v>63.04</c:v>
                </c:pt>
                <c:pt idx="10">
                  <c:v>62.89</c:v>
                </c:pt>
                <c:pt idx="11">
                  <c:v>62.93</c:v>
                </c:pt>
                <c:pt idx="12">
                  <c:v>62.41</c:v>
                </c:pt>
                <c:pt idx="13">
                  <c:v>62.06</c:v>
                </c:pt>
                <c:pt idx="14">
                  <c:v>63.31</c:v>
                </c:pt>
                <c:pt idx="15">
                  <c:v>63</c:v>
                </c:pt>
                <c:pt idx="16">
                  <c:v>61.77</c:v>
                </c:pt>
                <c:pt idx="17">
                  <c:v>61.97</c:v>
                </c:pt>
                <c:pt idx="18">
                  <c:v>61.32</c:v>
                </c:pt>
                <c:pt idx="19">
                  <c:v>61.57</c:v>
                </c:pt>
                <c:pt idx="20">
                  <c:v>61.14</c:v>
                </c:pt>
                <c:pt idx="21">
                  <c:v>61.07</c:v>
                </c:pt>
                <c:pt idx="22">
                  <c:v>60.65</c:v>
                </c:pt>
                <c:pt idx="23">
                  <c:v>61.85</c:v>
                </c:pt>
                <c:pt idx="24">
                  <c:v>63.48</c:v>
                </c:pt>
                <c:pt idx="25">
                  <c:v>63.3</c:v>
                </c:pt>
                <c:pt idx="26">
                  <c:v>63.18</c:v>
                </c:pt>
                <c:pt idx="27">
                  <c:v>62.84</c:v>
                </c:pt>
                <c:pt idx="28">
                  <c:v>63.22</c:v>
                </c:pt>
                <c:pt idx="29">
                  <c:v>63.17</c:v>
                </c:pt>
                <c:pt idx="30">
                  <c:v>63.62</c:v>
                </c:pt>
                <c:pt idx="31">
                  <c:v>63.7</c:v>
                </c:pt>
                <c:pt idx="32">
                  <c:v>63.48</c:v>
                </c:pt>
                <c:pt idx="33">
                  <c:v>63.95</c:v>
                </c:pt>
                <c:pt idx="34">
                  <c:v>63.86</c:v>
                </c:pt>
                <c:pt idx="35">
                  <c:v>65.05</c:v>
                </c:pt>
                <c:pt idx="36">
                  <c:v>65.47</c:v>
                </c:pt>
                <c:pt idx="37">
                  <c:v>65.75</c:v>
                </c:pt>
                <c:pt idx="38">
                  <c:v>66.459999999999994</c:v>
                </c:pt>
                <c:pt idx="39">
                  <c:v>67.349999999999994</c:v>
                </c:pt>
                <c:pt idx="40">
                  <c:v>67.819999999999993</c:v>
                </c:pt>
                <c:pt idx="41">
                  <c:v>67.58</c:v>
                </c:pt>
                <c:pt idx="42">
                  <c:v>67.2</c:v>
                </c:pt>
                <c:pt idx="43">
                  <c:v>67.239999999999995</c:v>
                </c:pt>
                <c:pt idx="44">
                  <c:v>66.92</c:v>
                </c:pt>
                <c:pt idx="45">
                  <c:v>67.3</c:v>
                </c:pt>
                <c:pt idx="46">
                  <c:v>66.36</c:v>
                </c:pt>
                <c:pt idx="47">
                  <c:v>66.39</c:v>
                </c:pt>
                <c:pt idx="48">
                  <c:v>66.67</c:v>
                </c:pt>
                <c:pt idx="49">
                  <c:v>66.31</c:v>
                </c:pt>
                <c:pt idx="50">
                  <c:v>67.010000000000005</c:v>
                </c:pt>
                <c:pt idx="51">
                  <c:v>66.38</c:v>
                </c:pt>
                <c:pt idx="52">
                  <c:v>67.319999999999993</c:v>
                </c:pt>
                <c:pt idx="53">
                  <c:v>67.45</c:v>
                </c:pt>
                <c:pt idx="54">
                  <c:v>67.34</c:v>
                </c:pt>
                <c:pt idx="55">
                  <c:v>67.52</c:v>
                </c:pt>
                <c:pt idx="56">
                  <c:v>67.55</c:v>
                </c:pt>
                <c:pt idx="57">
                  <c:v>66.44</c:v>
                </c:pt>
                <c:pt idx="58">
                  <c:v>64.38</c:v>
                </c:pt>
                <c:pt idx="59">
                  <c:v>65.58</c:v>
                </c:pt>
                <c:pt idx="60">
                  <c:v>63.92</c:v>
                </c:pt>
                <c:pt idx="61">
                  <c:v>67.56</c:v>
                </c:pt>
                <c:pt idx="62">
                  <c:v>68.06</c:v>
                </c:pt>
              </c:numCache>
            </c:numRef>
          </c:yVal>
          <c:smooth val="0"/>
        </c:ser>
        <c:ser>
          <c:idx val="1"/>
          <c:order val="1"/>
          <c:tx>
            <c:v>First Day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CONTROL!$E$6</c:f>
              <c:numCache>
                <c:formatCode>[$-409]d\-mmm\-yy;@</c:formatCode>
                <c:ptCount val="1"/>
                <c:pt idx="0">
                  <c:v>41262</c:v>
                </c:pt>
              </c:numCache>
            </c:numRef>
          </c:xVal>
          <c:yVal>
            <c:numRef>
              <c:f>CONTROL!$F$6</c:f>
              <c:numCache>
                <c:formatCode>_(* #,##0.00_);_(* \(#,##0.00\);_(* "-"??_);_(@_)</c:formatCode>
                <c:ptCount val="1"/>
                <c:pt idx="0">
                  <c:v>61.77</c:v>
                </c:pt>
              </c:numCache>
            </c:numRef>
          </c:yVal>
          <c:smooth val="0"/>
        </c:ser>
        <c:ser>
          <c:idx val="2"/>
          <c:order val="2"/>
          <c:tx>
            <c:v>90 Days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square"/>
            <c:size val="8"/>
            <c:spPr>
              <a:solidFill>
                <a:srgbClr val="00B0F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CONTROL!$E$7</c:f>
              <c:numCache>
                <c:formatCode>[$-409]d\-mmm\-yy;@</c:formatCode>
                <c:ptCount val="1"/>
                <c:pt idx="0">
                  <c:v>41332</c:v>
                </c:pt>
              </c:numCache>
            </c:numRef>
          </c:xVal>
          <c:yVal>
            <c:numRef>
              <c:f>CONTROL!$F$7</c:f>
              <c:numCache>
                <c:formatCode>_(* #,##0.00_);_(* \(#,##0.00\);_(* "-"??_);_(@_)</c:formatCode>
                <c:ptCount val="1"/>
                <c:pt idx="0">
                  <c:v>68.06</c:v>
                </c:pt>
              </c:numCache>
            </c:numRef>
          </c:yVal>
          <c:smooth val="0"/>
        </c:ser>
        <c:ser>
          <c:idx val="3"/>
          <c:order val="3"/>
          <c:tx>
            <c:v>Down 2nd %</c:v>
          </c:tx>
          <c:spPr>
            <a:ln w="3175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CONTROL!$E$9:$E$10</c:f>
              <c:numCache>
                <c:formatCode>[$-409]d\-mmm\-yy;@</c:formatCode>
                <c:ptCount val="2"/>
                <c:pt idx="0">
                  <c:v>41262</c:v>
                </c:pt>
                <c:pt idx="1">
                  <c:v>41332</c:v>
                </c:pt>
              </c:numCache>
            </c:numRef>
          </c:xVal>
          <c:yVal>
            <c:numRef>
              <c:f>CONTROL!$G$9:$G$10</c:f>
              <c:numCache>
                <c:formatCode>_(* #,##0.00_);_(* \(#,##0.00\);_(* "-"??_);_(@_)</c:formatCode>
                <c:ptCount val="2"/>
                <c:pt idx="0">
                  <c:v>61.77</c:v>
                </c:pt>
                <c:pt idx="1">
                  <c:v>52.5045</c:v>
                </c:pt>
              </c:numCache>
            </c:numRef>
          </c:yVal>
          <c:smooth val="0"/>
        </c:ser>
        <c:ser>
          <c:idx val="4"/>
          <c:order val="4"/>
          <c:tx>
            <c:v>Down 1st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CONTROL!$E$9:$E$10</c:f>
              <c:numCache>
                <c:formatCode>[$-409]d\-mmm\-yy;@</c:formatCode>
                <c:ptCount val="2"/>
                <c:pt idx="0">
                  <c:v>41262</c:v>
                </c:pt>
                <c:pt idx="1">
                  <c:v>41332</c:v>
                </c:pt>
              </c:numCache>
            </c:numRef>
          </c:xVal>
          <c:yVal>
            <c:numRef>
              <c:f>CONTROL!$F$9:$F$10</c:f>
              <c:numCache>
                <c:formatCode>_(* #,##0.00_);_(* \(#,##0.00\);_(* "-"??_);_(@_)</c:formatCode>
                <c:ptCount val="2"/>
                <c:pt idx="0">
                  <c:v>61.77</c:v>
                </c:pt>
                <c:pt idx="1">
                  <c:v>57.137250000000009</c:v>
                </c:pt>
              </c:numCache>
            </c:numRef>
          </c:yVal>
          <c:smooth val="0"/>
        </c:ser>
        <c:ser>
          <c:idx val="5"/>
          <c:order val="5"/>
          <c:tx>
            <c:v>Up 1st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CONTROL!$E$12:$E$13</c:f>
              <c:numCache>
                <c:formatCode>[$-409]d\-mmm\-yy;@</c:formatCode>
                <c:ptCount val="2"/>
                <c:pt idx="0">
                  <c:v>41262</c:v>
                </c:pt>
                <c:pt idx="1">
                  <c:v>41332</c:v>
                </c:pt>
              </c:numCache>
            </c:numRef>
          </c:xVal>
          <c:yVal>
            <c:numRef>
              <c:f>CONTROL!$F$12:$F$13</c:f>
              <c:numCache>
                <c:formatCode>_(* #,##0.00_);_(* \(#,##0.00\);_(* "-"??_);_(@_)</c:formatCode>
                <c:ptCount val="2"/>
                <c:pt idx="0">
                  <c:v>61.77</c:v>
                </c:pt>
                <c:pt idx="1">
                  <c:v>66.402749999999997</c:v>
                </c:pt>
              </c:numCache>
            </c:numRef>
          </c:yVal>
          <c:smooth val="0"/>
        </c:ser>
        <c:ser>
          <c:idx val="6"/>
          <c:order val="6"/>
          <c:tx>
            <c:v>Up 2nd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CONTROL!$E$12:$E$13</c:f>
              <c:numCache>
                <c:formatCode>[$-409]d\-mmm\-yy;@</c:formatCode>
                <c:ptCount val="2"/>
                <c:pt idx="0">
                  <c:v>41262</c:v>
                </c:pt>
                <c:pt idx="1">
                  <c:v>41332</c:v>
                </c:pt>
              </c:numCache>
            </c:numRef>
          </c:xVal>
          <c:yVal>
            <c:numRef>
              <c:f>CONTROL!$G$12:$G$13</c:f>
              <c:numCache>
                <c:formatCode>_(* #,##0.00_);_(* \(#,##0.00\);_(* "-"??_);_(@_)</c:formatCode>
                <c:ptCount val="2"/>
                <c:pt idx="0">
                  <c:v>61.77</c:v>
                </c:pt>
                <c:pt idx="1">
                  <c:v>71.035499999999999</c:v>
                </c:pt>
              </c:numCache>
            </c:numRef>
          </c:yVal>
          <c:smooth val="0"/>
        </c:ser>
        <c:ser>
          <c:idx val="7"/>
          <c:order val="7"/>
          <c:tx>
            <c:v>Hor Line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CONTROL!$G$6:$G$7</c:f>
              <c:numCache>
                <c:formatCode>[$-409]d\-mmm\-yy;@</c:formatCode>
                <c:ptCount val="2"/>
                <c:pt idx="0">
                  <c:v>41262</c:v>
                </c:pt>
                <c:pt idx="1">
                  <c:v>41332</c:v>
                </c:pt>
              </c:numCache>
            </c:numRef>
          </c:xVal>
          <c:yVal>
            <c:numRef>
              <c:f>CONTROL!$H$6:$H$7</c:f>
              <c:numCache>
                <c:formatCode>_(* #,##0.00_);_(* \(#,##0.00\);_(* "-"??_);_(@_)</c:formatCode>
                <c:ptCount val="2"/>
                <c:pt idx="0">
                  <c:v>61.77</c:v>
                </c:pt>
                <c:pt idx="1">
                  <c:v>61.77</c:v>
                </c:pt>
              </c:numCache>
            </c:numRef>
          </c:yVal>
          <c:smooth val="0"/>
        </c:ser>
        <c:ser>
          <c:idx val="8"/>
          <c:order val="8"/>
          <c:tx>
            <c:v>Down 1st % Label</c:v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CONTROL!$H$8</c:f>
                  <c:strCache>
                    <c:ptCount val="1"/>
                    <c:pt idx="0">
                      <c:v>Down: 750 bps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CONTROL!$H$9</c:f>
              <c:numCache>
                <c:formatCode>[$-409]d\-mmm\-yy;@</c:formatCode>
                <c:ptCount val="1"/>
                <c:pt idx="0">
                  <c:v>41297</c:v>
                </c:pt>
              </c:numCache>
            </c:numRef>
          </c:xVal>
          <c:yVal>
            <c:numRef>
              <c:f>CONTROL!$I$9</c:f>
              <c:numCache>
                <c:formatCode>_(* #,##0.00_);_(* \(#,##0.00\);_(* "-"??_);_(@_)</c:formatCode>
                <c:ptCount val="1"/>
                <c:pt idx="0">
                  <c:v>59.453625000000002</c:v>
                </c:pt>
              </c:numCache>
            </c:numRef>
          </c:yVal>
          <c:smooth val="0"/>
        </c:ser>
        <c:ser>
          <c:idx val="9"/>
          <c:order val="9"/>
          <c:tx>
            <c:v>Down 2nd % label</c:v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CONTROL!$I$8</c:f>
                  <c:strCache>
                    <c:ptCount val="1"/>
                    <c:pt idx="0">
                      <c:v>Down: 1500 bps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CONTROL!$H$10</c:f>
              <c:numCache>
                <c:formatCode>[$-409]d\-mmm\-yy;@</c:formatCode>
                <c:ptCount val="1"/>
                <c:pt idx="0">
                  <c:v>41297</c:v>
                </c:pt>
              </c:numCache>
            </c:numRef>
          </c:xVal>
          <c:yVal>
            <c:numRef>
              <c:f>CONTROL!$I$10</c:f>
              <c:numCache>
                <c:formatCode>_(* #,##0.00_);_(* \(#,##0.00\);_(* "-"??_);_(@_)</c:formatCode>
                <c:ptCount val="1"/>
                <c:pt idx="0">
                  <c:v>57.137250000000002</c:v>
                </c:pt>
              </c:numCache>
            </c:numRef>
          </c:yVal>
          <c:smooth val="0"/>
        </c:ser>
        <c:ser>
          <c:idx val="10"/>
          <c:order val="10"/>
          <c:tx>
            <c:v>Up 1st % label</c:v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CONTROL!$H$11</c:f>
                  <c:strCache>
                    <c:ptCount val="1"/>
                    <c:pt idx="0">
                      <c:v>Up: 750 bps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CONTROL!$H$12</c:f>
              <c:numCache>
                <c:formatCode>[$-409]d\-mmm\-yy;@</c:formatCode>
                <c:ptCount val="1"/>
                <c:pt idx="0">
                  <c:v>41297</c:v>
                </c:pt>
              </c:numCache>
            </c:numRef>
          </c:xVal>
          <c:yVal>
            <c:numRef>
              <c:f>CONTROL!$I$12</c:f>
              <c:numCache>
                <c:formatCode>_(* #,##0.00_);_(* \(#,##0.00\);_(* "-"??_);_(@_)</c:formatCode>
                <c:ptCount val="1"/>
                <c:pt idx="0">
                  <c:v>64.086375000000004</c:v>
                </c:pt>
              </c:numCache>
            </c:numRef>
          </c:yVal>
          <c:smooth val="0"/>
        </c:ser>
        <c:ser>
          <c:idx val="11"/>
          <c:order val="11"/>
          <c:tx>
            <c:v>Up 2nd % Label</c:v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CONTROL!$I$11</c:f>
                  <c:strCache>
                    <c:ptCount val="1"/>
                    <c:pt idx="0">
                      <c:v>Up: 1500 bps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CONTROL!$H$13</c:f>
              <c:numCache>
                <c:formatCode>[$-409]d\-mmm\-yy;@</c:formatCode>
                <c:ptCount val="1"/>
                <c:pt idx="0">
                  <c:v>41297</c:v>
                </c:pt>
              </c:numCache>
            </c:numRef>
          </c:xVal>
          <c:yVal>
            <c:numRef>
              <c:f>CONTROL!$I$13</c:f>
              <c:numCache>
                <c:formatCode>_(* #,##0.00_);_(* \(#,##0.00\);_(* "-"??_);_(@_)</c:formatCode>
                <c:ptCount val="1"/>
                <c:pt idx="0">
                  <c:v>66.402749999999997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76768"/>
        <c:axId val="85978496"/>
      </c:scatterChart>
      <c:valAx>
        <c:axId val="85976768"/>
        <c:scaling>
          <c:orientation val="minMax"/>
          <c:max val="41332"/>
          <c:min val="41240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5978496"/>
        <c:crosses val="autoZero"/>
        <c:crossBetween val="midCat"/>
      </c:valAx>
      <c:valAx>
        <c:axId val="85978496"/>
        <c:scaling>
          <c:orientation val="minMax"/>
          <c:max val="74.866000000000014"/>
          <c:min val="54.585000000000001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59767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>
    <tabColor rgb="FFFFFF00"/>
  </sheetPr>
  <sheetViews>
    <sheetView tabSelected="1" zoomScale="80" workbookViewId="0"/>
  </sheetViews>
  <pageMargins left="0.7" right="0.7" top="0.75" bottom="0.75" header="0.3" footer="0.3"/>
  <drawing r:id="rId1"/>
  <legacy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6</xdr:row>
      <xdr:rowOff>9525</xdr:rowOff>
    </xdr:from>
    <xdr:to>
      <xdr:col>2</xdr:col>
      <xdr:colOff>904875</xdr:colOff>
      <xdr:row>9</xdr:row>
      <xdr:rowOff>114299</xdr:rowOff>
    </xdr:to>
    <xdr:sp macro="[0]!PRINT_MODEL" textlink="">
      <xdr:nvSpPr>
        <xdr:cNvPr id="4" name="AutoShape 2"/>
        <xdr:cNvSpPr>
          <a:spLocks noChangeArrowheads="1"/>
        </xdr:cNvSpPr>
      </xdr:nvSpPr>
      <xdr:spPr bwMode="auto">
        <a:xfrm>
          <a:off x="476250" y="1057275"/>
          <a:ext cx="1895475" cy="628649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9656" cy="63103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0.01309</cdr:x>
      <cdr:y>0.00719</cdr:y>
    </cdr:from>
    <cdr:to>
      <cdr:x>0.18586</cdr:x>
      <cdr:y>0.07194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113393" y="45357"/>
          <a:ext cx="1496743" cy="40822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Folders/Desktop/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ORKDAY2_FUN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43"/>
  <sheetViews>
    <sheetView showGridLines="0" workbookViewId="0">
      <selection activeCell="B42" sqref="B42"/>
    </sheetView>
  </sheetViews>
  <sheetFormatPr defaultColWidth="9" defaultRowHeight="13.5" x14ac:dyDescent="0.25"/>
  <cols>
    <col min="1" max="1" width="3.625" style="2" customWidth="1"/>
    <col min="2" max="3" width="15.625" style="1" customWidth="1"/>
    <col min="4" max="4" width="3.625" style="1" customWidth="1"/>
    <col min="5" max="255" width="15.625" style="1" customWidth="1"/>
    <col min="256" max="16384" width="9" style="1"/>
  </cols>
  <sheetData>
    <row r="1" spans="2:9" ht="14.25" thickBot="1" x14ac:dyDescent="0.3"/>
    <row r="2" spans="2:9" x14ac:dyDescent="0.25">
      <c r="B2" s="3" t="s">
        <v>6</v>
      </c>
      <c r="C2" s="21">
        <f ca="1">DATE(YEAR(C3)-0,MONTH(C3)-3,DAY(C3)-0)</f>
        <v>41240</v>
      </c>
      <c r="E2" s="14" t="s">
        <v>4</v>
      </c>
      <c r="F2" s="15">
        <f>E13</f>
        <v>41332</v>
      </c>
    </row>
    <row r="3" spans="2:9" x14ac:dyDescent="0.25">
      <c r="B3" s="3" t="s">
        <v>7</v>
      </c>
      <c r="C3" s="21">
        <f ca="1">TODAY()</f>
        <v>41332</v>
      </c>
      <c r="E3" s="31" t="s">
        <v>5</v>
      </c>
      <c r="F3" s="32">
        <v>50</v>
      </c>
    </row>
    <row r="4" spans="2:9" ht="14.25" thickBot="1" x14ac:dyDescent="0.3">
      <c r="B4" s="3" t="s">
        <v>70</v>
      </c>
      <c r="C4" s="25">
        <v>4</v>
      </c>
      <c r="E4" s="29" t="s">
        <v>74</v>
      </c>
      <c r="F4" s="30">
        <v>11</v>
      </c>
    </row>
    <row r="5" spans="2:9" x14ac:dyDescent="0.25">
      <c r="B5" s="3" t="s">
        <v>71</v>
      </c>
      <c r="C5" s="39" t="s">
        <v>72</v>
      </c>
      <c r="E5" s="8" t="str">
        <f ca="1">OFFSET(HIST_DATA,-1,INDEX,1,1)</f>
        <v>HD</v>
      </c>
      <c r="F5" s="10" t="s">
        <v>0</v>
      </c>
      <c r="G5" s="11" t="s">
        <v>3</v>
      </c>
      <c r="H5" s="9"/>
    </row>
    <row r="6" spans="2:9" x14ac:dyDescent="0.25">
      <c r="B6" s="22"/>
      <c r="C6" s="22"/>
      <c r="E6" s="6">
        <f>[1]!WORKDAY2_FUNC(E7,-F3)</f>
        <v>41262</v>
      </c>
      <c r="F6" s="33">
        <f>INDEX(Y_AXIS,MATCH(E6,X_AXIS,0))</f>
        <v>61.77</v>
      </c>
      <c r="G6" s="6">
        <f>E12</f>
        <v>41262</v>
      </c>
      <c r="H6" s="37">
        <f>F6</f>
        <v>61.77</v>
      </c>
    </row>
    <row r="7" spans="2:9" ht="14.25" thickBot="1" x14ac:dyDescent="0.3">
      <c r="E7" s="7">
        <f>F2</f>
        <v>41332</v>
      </c>
      <c r="F7" s="34">
        <f>INDEX(Y_AXIS,MATCH(E7,X_AXIS,0))</f>
        <v>68.06</v>
      </c>
      <c r="G7" s="7">
        <f>E13</f>
        <v>41332</v>
      </c>
      <c r="H7" s="38">
        <f>H6</f>
        <v>61.77</v>
      </c>
    </row>
    <row r="8" spans="2:9" x14ac:dyDescent="0.25">
      <c r="E8" s="4" t="s">
        <v>1</v>
      </c>
      <c r="F8" s="17">
        <v>750</v>
      </c>
      <c r="G8" s="18">
        <f>F8*2</f>
        <v>1500</v>
      </c>
      <c r="H8" s="12" t="str">
        <f>$E$8 &amp; ": " &amp;F8&amp;" bps"</f>
        <v>Down: 750 bps</v>
      </c>
      <c r="I8" s="5" t="str">
        <f>E8 &amp; ": " &amp;G8&amp;" bps"</f>
        <v>Down: 1500 bps</v>
      </c>
    </row>
    <row r="9" spans="2:9" x14ac:dyDescent="0.25">
      <c r="E9" s="6">
        <f>E12</f>
        <v>41262</v>
      </c>
      <c r="F9" s="35">
        <f>F6</f>
        <v>61.77</v>
      </c>
      <c r="G9" s="33">
        <f>F6</f>
        <v>61.77</v>
      </c>
      <c r="H9" s="6">
        <f>AVERAGE(E9:E10)</f>
        <v>41297</v>
      </c>
      <c r="I9" s="37">
        <f>AVERAGE(F9:F10)</f>
        <v>59.453625000000002</v>
      </c>
    </row>
    <row r="10" spans="2:9" ht="14.25" thickBot="1" x14ac:dyDescent="0.3">
      <c r="E10" s="7">
        <f>E13</f>
        <v>41332</v>
      </c>
      <c r="F10" s="36">
        <f>(1-F8/10000)*F9</f>
        <v>57.137250000000009</v>
      </c>
      <c r="G10" s="34">
        <f>(1-G8/10000)*G9</f>
        <v>52.5045</v>
      </c>
      <c r="H10" s="7">
        <f>H9</f>
        <v>41297</v>
      </c>
      <c r="I10" s="38">
        <f>AVERAGE(G9:G10)</f>
        <v>57.137250000000002</v>
      </c>
    </row>
    <row r="11" spans="2:9" x14ac:dyDescent="0.25">
      <c r="E11" s="4" t="s">
        <v>2</v>
      </c>
      <c r="F11" s="19">
        <f>F8</f>
        <v>750</v>
      </c>
      <c r="G11" s="20">
        <f>G8</f>
        <v>1500</v>
      </c>
      <c r="H11" s="12" t="str">
        <f>$E$11 &amp; ": " &amp;F11&amp;" bps"</f>
        <v>Up: 750 bps</v>
      </c>
      <c r="I11" s="5" t="str">
        <f>E11 &amp; ": " &amp;G11&amp;" bps"</f>
        <v>Up: 1500 bps</v>
      </c>
    </row>
    <row r="12" spans="2:9" x14ac:dyDescent="0.25">
      <c r="B12" s="13" t="s">
        <v>8</v>
      </c>
      <c r="C12" s="13" t="s">
        <v>9</v>
      </c>
      <c r="E12" s="6">
        <f>[1]!WORKDAY2_FUNC(E13,-F3)</f>
        <v>41262</v>
      </c>
      <c r="F12" s="35">
        <f>F6</f>
        <v>61.77</v>
      </c>
      <c r="G12" s="33">
        <f>F6</f>
        <v>61.77</v>
      </c>
      <c r="H12" s="6">
        <f>AVERAGE(E12:E13)</f>
        <v>41297</v>
      </c>
      <c r="I12" s="37">
        <f>AVERAGE(F12:F13)</f>
        <v>64.086375000000004</v>
      </c>
    </row>
    <row r="13" spans="2:9" ht="14.25" thickBot="1" x14ac:dyDescent="0.3">
      <c r="B13" s="23" t="s">
        <v>10</v>
      </c>
      <c r="C13" s="23" t="s">
        <v>11</v>
      </c>
      <c r="E13" s="16">
        <f>MAX(X_AXIS)</f>
        <v>41332</v>
      </c>
      <c r="F13" s="36">
        <f>(1+F11/10000)*F12</f>
        <v>66.402749999999997</v>
      </c>
      <c r="G13" s="34">
        <f>(1+G11/10000)*G12</f>
        <v>71.035499999999999</v>
      </c>
      <c r="H13" s="7">
        <f>H12</f>
        <v>41297</v>
      </c>
      <c r="I13" s="38">
        <f>AVERAGE(G12:G13)</f>
        <v>66.402749999999997</v>
      </c>
    </row>
    <row r="14" spans="2:9" x14ac:dyDescent="0.25">
      <c r="B14" s="23" t="s">
        <v>12</v>
      </c>
      <c r="C14" s="23" t="s">
        <v>13</v>
      </c>
    </row>
    <row r="15" spans="2:9" x14ac:dyDescent="0.25">
      <c r="B15" s="23" t="s">
        <v>14</v>
      </c>
      <c r="C15" s="23" t="s">
        <v>15</v>
      </c>
    </row>
    <row r="16" spans="2:9" x14ac:dyDescent="0.25">
      <c r="B16" s="23" t="s">
        <v>16</v>
      </c>
      <c r="C16" s="23" t="s">
        <v>17</v>
      </c>
    </row>
    <row r="17" spans="2:8" x14ac:dyDescent="0.25">
      <c r="B17" s="23" t="s">
        <v>18</v>
      </c>
      <c r="C17" s="23" t="s">
        <v>19</v>
      </c>
      <c r="H17" s="24"/>
    </row>
    <row r="18" spans="2:8" x14ac:dyDescent="0.25">
      <c r="B18" s="23" t="s">
        <v>20</v>
      </c>
      <c r="C18" s="23" t="s">
        <v>21</v>
      </c>
      <c r="H18" s="24"/>
    </row>
    <row r="19" spans="2:8" x14ac:dyDescent="0.25">
      <c r="B19" s="23" t="s">
        <v>22</v>
      </c>
      <c r="C19" s="23" t="s">
        <v>23</v>
      </c>
      <c r="H19" s="24"/>
    </row>
    <row r="20" spans="2:8" x14ac:dyDescent="0.25">
      <c r="B20" s="23" t="s">
        <v>24</v>
      </c>
      <c r="C20" s="23" t="s">
        <v>25</v>
      </c>
      <c r="H20" s="24"/>
    </row>
    <row r="21" spans="2:8" x14ac:dyDescent="0.25">
      <c r="B21" s="23" t="s">
        <v>26</v>
      </c>
      <c r="C21" s="23" t="s">
        <v>27</v>
      </c>
      <c r="H21" s="24"/>
    </row>
    <row r="22" spans="2:8" x14ac:dyDescent="0.25">
      <c r="B22" s="23" t="s">
        <v>28</v>
      </c>
      <c r="C22" s="23" t="s">
        <v>29</v>
      </c>
      <c r="H22" s="24"/>
    </row>
    <row r="23" spans="2:8" x14ac:dyDescent="0.25">
      <c r="B23" s="23" t="s">
        <v>30</v>
      </c>
      <c r="C23" s="23" t="s">
        <v>31</v>
      </c>
      <c r="H23" s="24"/>
    </row>
    <row r="24" spans="2:8" x14ac:dyDescent="0.25">
      <c r="B24" s="23" t="s">
        <v>32</v>
      </c>
      <c r="C24" s="23" t="s">
        <v>33</v>
      </c>
      <c r="H24" s="24"/>
    </row>
    <row r="25" spans="2:8" x14ac:dyDescent="0.25">
      <c r="B25" s="23" t="s">
        <v>34</v>
      </c>
      <c r="C25" s="23" t="s">
        <v>35</v>
      </c>
      <c r="H25" s="24"/>
    </row>
    <row r="26" spans="2:8" x14ac:dyDescent="0.25">
      <c r="B26" s="23" t="s">
        <v>36</v>
      </c>
      <c r="C26" s="23" t="s">
        <v>37</v>
      </c>
      <c r="H26" s="24"/>
    </row>
    <row r="27" spans="2:8" x14ac:dyDescent="0.25">
      <c r="B27" s="23" t="s">
        <v>38</v>
      </c>
      <c r="C27" s="23" t="s">
        <v>39</v>
      </c>
    </row>
    <row r="28" spans="2:8" x14ac:dyDescent="0.25">
      <c r="B28" s="23" t="s">
        <v>40</v>
      </c>
      <c r="C28" s="23" t="s">
        <v>41</v>
      </c>
    </row>
    <row r="29" spans="2:8" x14ac:dyDescent="0.25">
      <c r="B29" s="23" t="s">
        <v>42</v>
      </c>
      <c r="C29" s="23" t="s">
        <v>43</v>
      </c>
    </row>
    <row r="30" spans="2:8" x14ac:dyDescent="0.25">
      <c r="B30" s="23" t="s">
        <v>44</v>
      </c>
      <c r="C30" s="23" t="s">
        <v>45</v>
      </c>
    </row>
    <row r="31" spans="2:8" x14ac:dyDescent="0.25">
      <c r="B31" s="23" t="s">
        <v>46</v>
      </c>
      <c r="C31" s="23" t="s">
        <v>47</v>
      </c>
    </row>
    <row r="32" spans="2:8" x14ac:dyDescent="0.25">
      <c r="B32" s="23" t="s">
        <v>48</v>
      </c>
      <c r="C32" s="23" t="s">
        <v>49</v>
      </c>
    </row>
    <row r="33" spans="2:3" x14ac:dyDescent="0.25">
      <c r="B33" s="23" t="s">
        <v>50</v>
      </c>
      <c r="C33" s="23" t="s">
        <v>51</v>
      </c>
    </row>
    <row r="34" spans="2:3" x14ac:dyDescent="0.25">
      <c r="B34" s="23" t="s">
        <v>52</v>
      </c>
      <c r="C34" s="23" t="s">
        <v>53</v>
      </c>
    </row>
    <row r="35" spans="2:3" x14ac:dyDescent="0.25">
      <c r="B35" s="23" t="s">
        <v>54</v>
      </c>
      <c r="C35" s="23" t="s">
        <v>55</v>
      </c>
    </row>
    <row r="36" spans="2:3" x14ac:dyDescent="0.25">
      <c r="B36" s="23" t="s">
        <v>56</v>
      </c>
      <c r="C36" s="23" t="s">
        <v>57</v>
      </c>
    </row>
    <row r="37" spans="2:3" x14ac:dyDescent="0.25">
      <c r="B37" s="23" t="s">
        <v>58</v>
      </c>
      <c r="C37" s="23" t="s">
        <v>59</v>
      </c>
    </row>
    <row r="38" spans="2:3" x14ac:dyDescent="0.25">
      <c r="B38" s="23" t="s">
        <v>60</v>
      </c>
      <c r="C38" s="23" t="s">
        <v>61</v>
      </c>
    </row>
    <row r="39" spans="2:3" x14ac:dyDescent="0.25">
      <c r="B39" s="23" t="s">
        <v>62</v>
      </c>
      <c r="C39" s="23" t="s">
        <v>63</v>
      </c>
    </row>
    <row r="40" spans="2:3" x14ac:dyDescent="0.25">
      <c r="B40" s="23" t="s">
        <v>64</v>
      </c>
      <c r="C40" s="23" t="s">
        <v>65</v>
      </c>
    </row>
    <row r="41" spans="2:3" x14ac:dyDescent="0.25">
      <c r="B41" s="23" t="s">
        <v>66</v>
      </c>
      <c r="C41" s="23" t="s">
        <v>67</v>
      </c>
    </row>
    <row r="42" spans="2:3" x14ac:dyDescent="0.25">
      <c r="B42" s="23" t="s">
        <v>68</v>
      </c>
      <c r="C42" s="23" t="s">
        <v>69</v>
      </c>
    </row>
    <row r="43" spans="2:3" x14ac:dyDescent="0.25">
      <c r="B43" s="23"/>
      <c r="C43" s="23"/>
    </row>
  </sheetData>
  <phoneticPr fontId="2" type="noConversion"/>
  <dataValidations count="4">
    <dataValidation type="list" allowBlank="1" sqref="E13">
      <formula1>X_AXIS</formula1>
    </dataValidation>
    <dataValidation type="list" allowBlank="1" showInputMessage="1" showErrorMessage="1" sqref="F2">
      <formula1>X_AXIS</formula1>
    </dataValidation>
    <dataValidation type="list" allowBlank="1" showInputMessage="1" showErrorMessage="1" sqref="C4">
      <formula1>"1,2,3,4,5,6"</formula1>
    </dataValidation>
    <dataValidation type="list" allowBlank="1" showInputMessage="1" showErrorMessage="1" sqref="C5">
      <formula1>"d,w,m"</formula1>
    </dataValidation>
  </dataValidations>
  <pageMargins left="0.75" right="0.75" top="1" bottom="1" header="0.5" footer="0.5"/>
  <pageSetup orientation="portrait" horizontalDpi="4294967293" verticalDpi="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E1261"/>
  <sheetViews>
    <sheetView workbookViewId="0">
      <selection activeCell="B21" sqref="B21"/>
    </sheetView>
  </sheetViews>
  <sheetFormatPr defaultRowHeight="12.75" x14ac:dyDescent="0.2"/>
  <cols>
    <col min="1" max="32" width="15.625" customWidth="1"/>
  </cols>
  <sheetData>
    <row r="1" spans="1:31" ht="15" customHeight="1" x14ac:dyDescent="0.2">
      <c r="A1" s="28" t="s">
        <v>73</v>
      </c>
      <c r="B1" s="26" t="s">
        <v>11</v>
      </c>
      <c r="C1" s="26" t="s">
        <v>13</v>
      </c>
      <c r="D1" s="26" t="s">
        <v>15</v>
      </c>
      <c r="E1" s="26" t="s">
        <v>17</v>
      </c>
      <c r="F1" s="26" t="s">
        <v>19</v>
      </c>
      <c r="G1" s="26" t="s">
        <v>21</v>
      </c>
      <c r="H1" s="26" t="s">
        <v>23</v>
      </c>
      <c r="I1" s="26" t="s">
        <v>25</v>
      </c>
      <c r="J1" s="26" t="s">
        <v>27</v>
      </c>
      <c r="K1" s="26" t="s">
        <v>29</v>
      </c>
      <c r="L1" s="26" t="s">
        <v>31</v>
      </c>
      <c r="M1" s="26" t="s">
        <v>33</v>
      </c>
      <c r="N1" s="26" t="s">
        <v>35</v>
      </c>
      <c r="O1" s="26" t="s">
        <v>37</v>
      </c>
      <c r="P1" s="26" t="s">
        <v>39</v>
      </c>
      <c r="Q1" s="26" t="s">
        <v>41</v>
      </c>
      <c r="R1" s="26" t="s">
        <v>43</v>
      </c>
      <c r="S1" s="26" t="s">
        <v>45</v>
      </c>
      <c r="T1" s="26" t="s">
        <v>47</v>
      </c>
      <c r="U1" s="26" t="s">
        <v>49</v>
      </c>
      <c r="V1" s="26" t="s">
        <v>51</v>
      </c>
      <c r="W1" s="26" t="s">
        <v>53</v>
      </c>
      <c r="X1" s="26" t="s">
        <v>55</v>
      </c>
      <c r="Y1" s="26" t="s">
        <v>57</v>
      </c>
      <c r="Z1" s="26" t="s">
        <v>59</v>
      </c>
      <c r="AA1" s="26" t="s">
        <v>61</v>
      </c>
      <c r="AB1" s="26" t="s">
        <v>63</v>
      </c>
      <c r="AC1" s="26" t="s">
        <v>65</v>
      </c>
      <c r="AD1" s="26" t="s">
        <v>67</v>
      </c>
      <c r="AE1" s="26" t="s">
        <v>69</v>
      </c>
    </row>
    <row r="2" spans="1:31" ht="15" customHeight="1" x14ac:dyDescent="0.2">
      <c r="A2" s="28">
        <v>41240</v>
      </c>
      <c r="B2" s="27">
        <v>8.2799999999999994</v>
      </c>
      <c r="C2" s="27">
        <v>54.44</v>
      </c>
      <c r="D2" s="27">
        <v>74.489999999999995</v>
      </c>
      <c r="E2" s="27">
        <v>9.66</v>
      </c>
      <c r="F2" s="27">
        <v>84.01</v>
      </c>
      <c r="G2" s="27">
        <v>18.96</v>
      </c>
      <c r="H2" s="27">
        <v>103.38</v>
      </c>
      <c r="I2" s="27">
        <v>43.44</v>
      </c>
      <c r="J2" s="27">
        <v>48.6</v>
      </c>
      <c r="K2" s="27">
        <v>20.87</v>
      </c>
      <c r="L2" s="27">
        <v>64.16</v>
      </c>
      <c r="M2" s="27">
        <v>12.36</v>
      </c>
      <c r="N2" s="27">
        <v>191.23</v>
      </c>
      <c r="O2" s="27">
        <v>19.93</v>
      </c>
      <c r="P2" s="27">
        <v>68.81</v>
      </c>
      <c r="Q2" s="27">
        <v>40.75</v>
      </c>
      <c r="R2" s="27">
        <v>0</v>
      </c>
      <c r="S2" s="27">
        <v>37.42</v>
      </c>
      <c r="T2" s="27">
        <v>85.92</v>
      </c>
      <c r="U2" s="27">
        <v>90.31</v>
      </c>
      <c r="V2" s="27">
        <v>43.88</v>
      </c>
      <c r="W2" s="27">
        <v>27.08</v>
      </c>
      <c r="X2" s="27">
        <v>24.25</v>
      </c>
      <c r="Y2" s="27">
        <v>68.989999999999995</v>
      </c>
      <c r="Z2" s="27">
        <v>33.619999999999997</v>
      </c>
      <c r="AA2" s="27">
        <v>70.83</v>
      </c>
      <c r="AB2" s="27">
        <v>78.83</v>
      </c>
      <c r="AC2" s="27">
        <v>42.98</v>
      </c>
      <c r="AD2" s="27">
        <v>69.5</v>
      </c>
      <c r="AE2" s="27">
        <v>87.35</v>
      </c>
    </row>
    <row r="3" spans="1:31" ht="15" customHeight="1" x14ac:dyDescent="0.2">
      <c r="A3" s="28">
        <v>41241</v>
      </c>
      <c r="B3" s="27">
        <v>8.4</v>
      </c>
      <c r="C3" s="27">
        <v>55.51</v>
      </c>
      <c r="D3" s="27">
        <v>74.09</v>
      </c>
      <c r="E3" s="27">
        <v>9.76</v>
      </c>
      <c r="F3" s="27">
        <v>84.94</v>
      </c>
      <c r="G3" s="27">
        <v>18.829999999999998</v>
      </c>
      <c r="H3" s="27">
        <v>105.58</v>
      </c>
      <c r="I3" s="27">
        <v>43.24</v>
      </c>
      <c r="J3" s="27">
        <v>49.2</v>
      </c>
      <c r="K3" s="27">
        <v>21.14</v>
      </c>
      <c r="L3" s="27">
        <v>64.83</v>
      </c>
      <c r="M3" s="27">
        <v>12.73</v>
      </c>
      <c r="N3" s="27">
        <v>191.98</v>
      </c>
      <c r="O3" s="27">
        <v>20.09</v>
      </c>
      <c r="P3" s="27">
        <v>69.290000000000006</v>
      </c>
      <c r="Q3" s="27">
        <v>40.83</v>
      </c>
      <c r="R3" s="27">
        <v>0</v>
      </c>
      <c r="S3" s="27">
        <v>37.56</v>
      </c>
      <c r="T3" s="27">
        <v>86.52</v>
      </c>
      <c r="U3" s="27">
        <v>90.93</v>
      </c>
      <c r="V3" s="27">
        <v>44.6</v>
      </c>
      <c r="W3" s="27">
        <v>27.36</v>
      </c>
      <c r="X3" s="27">
        <v>24.67</v>
      </c>
      <c r="Y3" s="27">
        <v>69.44</v>
      </c>
      <c r="Z3" s="27">
        <v>33.619999999999997</v>
      </c>
      <c r="AA3" s="27">
        <v>70.959999999999994</v>
      </c>
      <c r="AB3" s="27">
        <v>79.8</v>
      </c>
      <c r="AC3" s="27">
        <v>43.56</v>
      </c>
      <c r="AD3" s="27">
        <v>70.56</v>
      </c>
      <c r="AE3" s="27">
        <v>88.1</v>
      </c>
    </row>
    <row r="4" spans="1:31" ht="15" customHeight="1" x14ac:dyDescent="0.2">
      <c r="A4" s="28">
        <v>41242</v>
      </c>
      <c r="B4" s="27">
        <v>8.4</v>
      </c>
      <c r="C4" s="27">
        <v>55.92</v>
      </c>
      <c r="D4" s="27">
        <v>74.12</v>
      </c>
      <c r="E4" s="27">
        <v>9.83</v>
      </c>
      <c r="F4" s="27">
        <v>86.25</v>
      </c>
      <c r="G4" s="27">
        <v>19.010000000000002</v>
      </c>
      <c r="H4" s="27">
        <v>105.79</v>
      </c>
      <c r="I4" s="27">
        <v>43.54</v>
      </c>
      <c r="J4" s="27">
        <v>49.72</v>
      </c>
      <c r="K4" s="27">
        <v>21.13</v>
      </c>
      <c r="L4" s="27">
        <v>64.239999999999995</v>
      </c>
      <c r="M4" s="27">
        <v>12.89</v>
      </c>
      <c r="N4" s="27">
        <v>191.53</v>
      </c>
      <c r="O4" s="27">
        <v>19.53</v>
      </c>
      <c r="P4" s="27">
        <v>69.22</v>
      </c>
      <c r="Q4" s="27">
        <v>41.22</v>
      </c>
      <c r="R4" s="27">
        <v>0</v>
      </c>
      <c r="S4" s="27">
        <v>37.97</v>
      </c>
      <c r="T4" s="27">
        <v>86.49</v>
      </c>
      <c r="U4" s="27">
        <v>90.65</v>
      </c>
      <c r="V4" s="27">
        <v>44.71</v>
      </c>
      <c r="W4" s="27">
        <v>26.95</v>
      </c>
      <c r="X4" s="27">
        <v>24.85</v>
      </c>
      <c r="Y4" s="27">
        <v>69.5</v>
      </c>
      <c r="Z4" s="27">
        <v>33.93</v>
      </c>
      <c r="AA4" s="27">
        <v>71.180000000000007</v>
      </c>
      <c r="AB4" s="27">
        <v>79.760000000000005</v>
      </c>
      <c r="AC4" s="27">
        <v>44.01</v>
      </c>
      <c r="AD4" s="27">
        <v>70.83</v>
      </c>
      <c r="AE4" s="27">
        <v>88.12</v>
      </c>
    </row>
    <row r="5" spans="1:31" ht="15" customHeight="1" x14ac:dyDescent="0.2">
      <c r="A5" s="28">
        <v>41243</v>
      </c>
      <c r="B5" s="27">
        <v>8.41</v>
      </c>
      <c r="C5" s="27">
        <v>55.9</v>
      </c>
      <c r="D5" s="27">
        <v>74.28</v>
      </c>
      <c r="E5" s="27">
        <v>9.86</v>
      </c>
      <c r="F5" s="27">
        <v>85.24</v>
      </c>
      <c r="G5" s="27">
        <v>18.91</v>
      </c>
      <c r="H5" s="27">
        <v>105.69</v>
      </c>
      <c r="I5" s="27">
        <v>43.14</v>
      </c>
      <c r="J5" s="27">
        <v>49.66</v>
      </c>
      <c r="K5" s="27">
        <v>21.13</v>
      </c>
      <c r="L5" s="27">
        <v>65.069999999999993</v>
      </c>
      <c r="M5" s="27">
        <v>12.99</v>
      </c>
      <c r="N5" s="27">
        <v>190.07</v>
      </c>
      <c r="O5" s="27">
        <v>19.57</v>
      </c>
      <c r="P5" s="27">
        <v>69.73</v>
      </c>
      <c r="Q5" s="27">
        <v>41.08</v>
      </c>
      <c r="R5" s="27">
        <v>0</v>
      </c>
      <c r="S5" s="27">
        <v>37.92</v>
      </c>
      <c r="T5" s="27">
        <v>87.04</v>
      </c>
      <c r="U5" s="27">
        <v>90.95</v>
      </c>
      <c r="V5" s="27">
        <v>44.3</v>
      </c>
      <c r="W5" s="27">
        <v>26.62</v>
      </c>
      <c r="X5" s="27">
        <v>25.02</v>
      </c>
      <c r="Y5" s="27">
        <v>69.83</v>
      </c>
      <c r="Z5" s="27">
        <v>34.130000000000003</v>
      </c>
      <c r="AA5" s="27">
        <v>70.819999999999993</v>
      </c>
      <c r="AB5" s="27">
        <v>80.11</v>
      </c>
      <c r="AC5" s="27">
        <v>44.12</v>
      </c>
      <c r="AD5" s="27">
        <v>72.02</v>
      </c>
      <c r="AE5" s="27">
        <v>88.14</v>
      </c>
    </row>
    <row r="6" spans="1:31" ht="15" customHeight="1" x14ac:dyDescent="0.2">
      <c r="A6" s="28">
        <v>41246</v>
      </c>
      <c r="B6" s="27">
        <v>8.41</v>
      </c>
      <c r="C6" s="27">
        <v>55.99</v>
      </c>
      <c r="D6" s="27">
        <v>74.02</v>
      </c>
      <c r="E6" s="27">
        <v>9.8000000000000007</v>
      </c>
      <c r="F6" s="27">
        <v>84.49</v>
      </c>
      <c r="G6" s="27">
        <v>19.03</v>
      </c>
      <c r="H6" s="27">
        <v>104.66</v>
      </c>
      <c r="I6" s="27">
        <v>42.39</v>
      </c>
      <c r="J6" s="27">
        <v>49.29</v>
      </c>
      <c r="K6" s="27">
        <v>20.82</v>
      </c>
      <c r="L6" s="27">
        <v>64.98</v>
      </c>
      <c r="M6" s="27">
        <v>12.87</v>
      </c>
      <c r="N6" s="27">
        <v>189.48</v>
      </c>
      <c r="O6" s="27">
        <v>19.54</v>
      </c>
      <c r="P6" s="27">
        <v>69.650000000000006</v>
      </c>
      <c r="Q6" s="27">
        <v>40.81</v>
      </c>
      <c r="R6" s="27">
        <v>0</v>
      </c>
      <c r="S6" s="27">
        <v>37.380000000000003</v>
      </c>
      <c r="T6" s="27">
        <v>87.06</v>
      </c>
      <c r="U6" s="27">
        <v>90.3</v>
      </c>
      <c r="V6" s="27">
        <v>44.44</v>
      </c>
      <c r="W6" s="27">
        <v>26.43</v>
      </c>
      <c r="X6" s="27">
        <v>25.09</v>
      </c>
      <c r="Y6" s="27">
        <v>69.58</v>
      </c>
      <c r="Z6" s="27">
        <v>34.14</v>
      </c>
      <c r="AA6" s="27">
        <v>70.95</v>
      </c>
      <c r="AB6" s="27">
        <v>79.8</v>
      </c>
      <c r="AC6" s="27">
        <v>44.1</v>
      </c>
      <c r="AD6" s="27">
        <v>71.34</v>
      </c>
      <c r="AE6" s="27">
        <v>87.61</v>
      </c>
    </row>
    <row r="7" spans="1:31" ht="15" customHeight="1" x14ac:dyDescent="0.2">
      <c r="A7" s="28">
        <v>41247</v>
      </c>
      <c r="B7" s="27">
        <v>8.42</v>
      </c>
      <c r="C7" s="27">
        <v>55.84</v>
      </c>
      <c r="D7" s="27">
        <v>74.05</v>
      </c>
      <c r="E7" s="27">
        <v>9.91</v>
      </c>
      <c r="F7" s="27">
        <v>84.16</v>
      </c>
      <c r="G7" s="27">
        <v>19.170000000000002</v>
      </c>
      <c r="H7" s="27">
        <v>103.96</v>
      </c>
      <c r="I7" s="27">
        <v>42.48</v>
      </c>
      <c r="J7" s="27">
        <v>49.3</v>
      </c>
      <c r="K7" s="27">
        <v>20.86</v>
      </c>
      <c r="L7" s="27">
        <v>64.239999999999995</v>
      </c>
      <c r="M7" s="27">
        <v>13.53</v>
      </c>
      <c r="N7" s="27">
        <v>189.36</v>
      </c>
      <c r="O7" s="27">
        <v>19.97</v>
      </c>
      <c r="P7" s="27">
        <v>69.86</v>
      </c>
      <c r="Q7" s="27">
        <v>40.57</v>
      </c>
      <c r="R7" s="27">
        <v>0</v>
      </c>
      <c r="S7" s="27">
        <v>37.15</v>
      </c>
      <c r="T7" s="27">
        <v>87.2</v>
      </c>
      <c r="U7" s="27">
        <v>90.12</v>
      </c>
      <c r="V7" s="27">
        <v>44.4</v>
      </c>
      <c r="W7" s="27">
        <v>26.37</v>
      </c>
      <c r="X7" s="27">
        <v>25.17</v>
      </c>
      <c r="Y7" s="27">
        <v>69.31</v>
      </c>
      <c r="Z7" s="27">
        <v>33.92</v>
      </c>
      <c r="AA7" s="27">
        <v>70.53</v>
      </c>
      <c r="AB7" s="27">
        <v>80.14</v>
      </c>
      <c r="AC7" s="27">
        <v>43.67</v>
      </c>
      <c r="AD7" s="27">
        <v>72.12</v>
      </c>
      <c r="AE7" s="27">
        <v>87.19</v>
      </c>
    </row>
    <row r="8" spans="1:31" ht="15" customHeight="1" x14ac:dyDescent="0.2">
      <c r="A8" s="28">
        <v>41248</v>
      </c>
      <c r="B8" s="27">
        <v>8.57</v>
      </c>
      <c r="C8" s="27">
        <v>56.4</v>
      </c>
      <c r="D8" s="27">
        <v>73.87</v>
      </c>
      <c r="E8" s="27">
        <v>10.46</v>
      </c>
      <c r="F8" s="27">
        <v>86.05</v>
      </c>
      <c r="G8" s="27">
        <v>19.21</v>
      </c>
      <c r="H8" s="27">
        <v>105.17</v>
      </c>
      <c r="I8" s="27">
        <v>42.62</v>
      </c>
      <c r="J8" s="27">
        <v>49.59</v>
      </c>
      <c r="K8" s="27">
        <v>21.23</v>
      </c>
      <c r="L8" s="27">
        <v>64.02</v>
      </c>
      <c r="M8" s="27">
        <v>13.82</v>
      </c>
      <c r="N8" s="27">
        <v>188.65</v>
      </c>
      <c r="O8" s="27">
        <v>19.850000000000001</v>
      </c>
      <c r="P8" s="27">
        <v>69.97</v>
      </c>
      <c r="Q8" s="27">
        <v>41.2</v>
      </c>
      <c r="R8" s="27">
        <v>0</v>
      </c>
      <c r="S8" s="27">
        <v>37.31</v>
      </c>
      <c r="T8" s="27">
        <v>86.97</v>
      </c>
      <c r="U8" s="27">
        <v>90.76</v>
      </c>
      <c r="V8" s="27">
        <v>44.39</v>
      </c>
      <c r="W8" s="27">
        <v>26.67</v>
      </c>
      <c r="X8" s="27">
        <v>25.64</v>
      </c>
      <c r="Y8" s="27">
        <v>69.41</v>
      </c>
      <c r="Z8" s="27">
        <v>33.909999999999997</v>
      </c>
      <c r="AA8" s="27">
        <v>74</v>
      </c>
      <c r="AB8" s="27">
        <v>80.23</v>
      </c>
      <c r="AC8" s="27">
        <v>44.1</v>
      </c>
      <c r="AD8" s="27">
        <v>71.650000000000006</v>
      </c>
      <c r="AE8" s="27">
        <v>87.73</v>
      </c>
    </row>
    <row r="9" spans="1:31" ht="15" customHeight="1" x14ac:dyDescent="0.2">
      <c r="A9" s="28">
        <v>41249</v>
      </c>
      <c r="B9" s="27">
        <v>8.57</v>
      </c>
      <c r="C9" s="27">
        <v>56.12</v>
      </c>
      <c r="D9" s="27">
        <v>73.98</v>
      </c>
      <c r="E9" s="27">
        <v>10.46</v>
      </c>
      <c r="F9" s="27">
        <v>85.95</v>
      </c>
      <c r="G9" s="27">
        <v>19.48</v>
      </c>
      <c r="H9" s="27">
        <v>106.45</v>
      </c>
      <c r="I9" s="27">
        <v>42.87</v>
      </c>
      <c r="J9" s="27">
        <v>49.06</v>
      </c>
      <c r="K9" s="27">
        <v>21.37</v>
      </c>
      <c r="L9" s="27">
        <v>64.34</v>
      </c>
      <c r="M9" s="27">
        <v>13.83</v>
      </c>
      <c r="N9" s="27">
        <v>189.7</v>
      </c>
      <c r="O9" s="27">
        <v>20.16</v>
      </c>
      <c r="P9" s="27">
        <v>70.05</v>
      </c>
      <c r="Q9" s="27">
        <v>41.47</v>
      </c>
      <c r="R9" s="27">
        <v>0</v>
      </c>
      <c r="S9" s="27">
        <v>37.380000000000003</v>
      </c>
      <c r="T9" s="27">
        <v>88.09</v>
      </c>
      <c r="U9" s="27">
        <v>90.95</v>
      </c>
      <c r="V9" s="27">
        <v>44.51</v>
      </c>
      <c r="W9" s="27">
        <v>26.73</v>
      </c>
      <c r="X9" s="27">
        <v>25.61</v>
      </c>
      <c r="Y9" s="27">
        <v>69.95</v>
      </c>
      <c r="Z9" s="27">
        <v>33.65</v>
      </c>
      <c r="AA9" s="27">
        <v>73.150000000000006</v>
      </c>
      <c r="AB9" s="27">
        <v>80.87</v>
      </c>
      <c r="AC9" s="27">
        <v>44.45</v>
      </c>
      <c r="AD9" s="27">
        <v>71.59</v>
      </c>
      <c r="AE9" s="27">
        <v>88</v>
      </c>
    </row>
    <row r="10" spans="1:31" ht="15" customHeight="1" x14ac:dyDescent="0.2">
      <c r="A10" s="28">
        <v>41250</v>
      </c>
      <c r="B10" s="27">
        <v>8.5</v>
      </c>
      <c r="C10" s="27">
        <v>56.61</v>
      </c>
      <c r="D10" s="27">
        <v>74.64</v>
      </c>
      <c r="E10" s="27">
        <v>10.64</v>
      </c>
      <c r="F10" s="27">
        <v>86.99</v>
      </c>
      <c r="G10" s="27">
        <v>19.34</v>
      </c>
      <c r="H10" s="27">
        <v>106.99</v>
      </c>
      <c r="I10" s="27">
        <v>43.18</v>
      </c>
      <c r="J10" s="27">
        <v>49.24</v>
      </c>
      <c r="K10" s="27">
        <v>21.46</v>
      </c>
      <c r="L10" s="27">
        <v>64.45</v>
      </c>
      <c r="M10" s="27">
        <v>13.94</v>
      </c>
      <c r="N10" s="27">
        <v>191.95</v>
      </c>
      <c r="O10" s="27">
        <v>20.16</v>
      </c>
      <c r="P10" s="27">
        <v>70.45</v>
      </c>
      <c r="Q10" s="27">
        <v>42.56</v>
      </c>
      <c r="R10" s="27">
        <v>0</v>
      </c>
      <c r="S10" s="27">
        <v>37.71</v>
      </c>
      <c r="T10" s="27">
        <v>88.48</v>
      </c>
      <c r="U10" s="27">
        <v>91.51</v>
      </c>
      <c r="V10" s="27">
        <v>44.63</v>
      </c>
      <c r="W10" s="27">
        <v>26.46</v>
      </c>
      <c r="X10" s="27">
        <v>25.56</v>
      </c>
      <c r="Y10" s="27">
        <v>70.290000000000006</v>
      </c>
      <c r="Z10" s="27">
        <v>33.74</v>
      </c>
      <c r="AA10" s="27">
        <v>73.39</v>
      </c>
      <c r="AB10" s="27">
        <v>80.989999999999995</v>
      </c>
      <c r="AC10" s="27">
        <v>44.41</v>
      </c>
      <c r="AD10" s="27">
        <v>72.290000000000006</v>
      </c>
      <c r="AE10" s="27">
        <v>88.6</v>
      </c>
    </row>
    <row r="11" spans="1:31" ht="15" customHeight="1" x14ac:dyDescent="0.2">
      <c r="A11" s="28">
        <v>41253</v>
      </c>
      <c r="B11" s="27">
        <v>8.57</v>
      </c>
      <c r="C11" s="27">
        <v>56.75</v>
      </c>
      <c r="D11" s="27">
        <v>75.53</v>
      </c>
      <c r="E11" s="27">
        <v>10.57</v>
      </c>
      <c r="F11" s="27">
        <v>87.23</v>
      </c>
      <c r="G11" s="27">
        <v>19.79</v>
      </c>
      <c r="H11" s="27">
        <v>106.96</v>
      </c>
      <c r="I11" s="27">
        <v>43.22</v>
      </c>
      <c r="J11" s="27">
        <v>49.3</v>
      </c>
      <c r="K11" s="27">
        <v>21.39</v>
      </c>
      <c r="L11" s="27">
        <v>63.04</v>
      </c>
      <c r="M11" s="27">
        <v>14.16</v>
      </c>
      <c r="N11" s="27">
        <v>192.62</v>
      </c>
      <c r="O11" s="27">
        <v>20.079999999999998</v>
      </c>
      <c r="P11" s="27">
        <v>70.599999999999994</v>
      </c>
      <c r="Q11" s="27">
        <v>42.31</v>
      </c>
      <c r="R11" s="27">
        <v>0</v>
      </c>
      <c r="S11" s="27">
        <v>37.64</v>
      </c>
      <c r="T11" s="27">
        <v>89.41</v>
      </c>
      <c r="U11" s="27">
        <v>91.87</v>
      </c>
      <c r="V11" s="27">
        <v>44.48</v>
      </c>
      <c r="W11" s="27">
        <v>26.94</v>
      </c>
      <c r="X11" s="27">
        <v>25.41</v>
      </c>
      <c r="Y11" s="27">
        <v>70.22</v>
      </c>
      <c r="Z11" s="27">
        <v>33.729999999999997</v>
      </c>
      <c r="AA11" s="27">
        <v>73.34</v>
      </c>
      <c r="AB11" s="27">
        <v>81.010000000000005</v>
      </c>
      <c r="AC11" s="27">
        <v>44.03</v>
      </c>
      <c r="AD11" s="27">
        <v>72.150000000000006</v>
      </c>
      <c r="AE11" s="27">
        <v>88.41</v>
      </c>
    </row>
    <row r="12" spans="1:31" ht="15" customHeight="1" x14ac:dyDescent="0.2">
      <c r="A12" s="28">
        <v>41254</v>
      </c>
      <c r="B12" s="27">
        <v>8.68</v>
      </c>
      <c r="C12" s="27">
        <v>57.06</v>
      </c>
      <c r="D12" s="27">
        <v>75.819999999999993</v>
      </c>
      <c r="E12" s="27">
        <v>10.51</v>
      </c>
      <c r="F12" s="27">
        <v>87.33</v>
      </c>
      <c r="G12" s="27">
        <v>19.78</v>
      </c>
      <c r="H12" s="27">
        <v>107.74</v>
      </c>
      <c r="I12" s="27">
        <v>43.69</v>
      </c>
      <c r="J12" s="27">
        <v>49.48</v>
      </c>
      <c r="K12" s="27">
        <v>21.51</v>
      </c>
      <c r="L12" s="27">
        <v>62.89</v>
      </c>
      <c r="M12" s="27">
        <v>14.26</v>
      </c>
      <c r="N12" s="27">
        <v>194.2</v>
      </c>
      <c r="O12" s="27">
        <v>20.65</v>
      </c>
      <c r="P12" s="27">
        <v>71.099999999999994</v>
      </c>
      <c r="Q12" s="27">
        <v>42.64</v>
      </c>
      <c r="R12" s="27">
        <v>0</v>
      </c>
      <c r="S12" s="27">
        <v>37.86</v>
      </c>
      <c r="T12" s="27">
        <v>89.62</v>
      </c>
      <c r="U12" s="27">
        <v>93.68</v>
      </c>
      <c r="V12" s="27">
        <v>45.19</v>
      </c>
      <c r="W12" s="27">
        <v>27.32</v>
      </c>
      <c r="X12" s="27">
        <v>25.64</v>
      </c>
      <c r="Y12" s="27">
        <v>70.66</v>
      </c>
      <c r="Z12" s="27">
        <v>34.15</v>
      </c>
      <c r="AA12" s="27">
        <v>73.430000000000007</v>
      </c>
      <c r="AB12" s="27">
        <v>81.19</v>
      </c>
      <c r="AC12" s="27">
        <v>44.44</v>
      </c>
      <c r="AD12" s="27">
        <v>70.89</v>
      </c>
      <c r="AE12" s="27">
        <v>88.99</v>
      </c>
    </row>
    <row r="13" spans="1:31" ht="15" customHeight="1" x14ac:dyDescent="0.2">
      <c r="A13" s="28">
        <v>41255</v>
      </c>
      <c r="B13" s="27">
        <v>8.65</v>
      </c>
      <c r="C13" s="27">
        <v>57.67</v>
      </c>
      <c r="D13" s="27">
        <v>75.47</v>
      </c>
      <c r="E13" s="27">
        <v>10.61</v>
      </c>
      <c r="F13" s="27">
        <v>87.95</v>
      </c>
      <c r="G13" s="27">
        <v>19.73</v>
      </c>
      <c r="H13" s="27">
        <v>108.08</v>
      </c>
      <c r="I13" s="27">
        <v>44.3</v>
      </c>
      <c r="J13" s="27">
        <v>49.64</v>
      </c>
      <c r="K13" s="27">
        <v>21.78</v>
      </c>
      <c r="L13" s="27">
        <v>62.93</v>
      </c>
      <c r="M13" s="27">
        <v>14.53</v>
      </c>
      <c r="N13" s="27">
        <v>192.95</v>
      </c>
      <c r="O13" s="27">
        <v>20.67</v>
      </c>
      <c r="P13" s="27">
        <v>70.959999999999994</v>
      </c>
      <c r="Q13" s="27">
        <v>42.77</v>
      </c>
      <c r="R13" s="27">
        <v>0</v>
      </c>
      <c r="S13" s="27">
        <v>37.64</v>
      </c>
      <c r="T13" s="27">
        <v>89.31</v>
      </c>
      <c r="U13" s="27">
        <v>93.12</v>
      </c>
      <c r="V13" s="27">
        <v>45.26</v>
      </c>
      <c r="W13" s="27">
        <v>27.24</v>
      </c>
      <c r="X13" s="27">
        <v>25.51</v>
      </c>
      <c r="Y13" s="27">
        <v>70.760000000000005</v>
      </c>
      <c r="Z13" s="27">
        <v>34.49</v>
      </c>
      <c r="AA13" s="27">
        <v>73.31</v>
      </c>
      <c r="AB13" s="27">
        <v>81</v>
      </c>
      <c r="AC13" s="27">
        <v>44.79</v>
      </c>
      <c r="AD13" s="27">
        <v>68.94</v>
      </c>
      <c r="AE13" s="27">
        <v>89.45</v>
      </c>
    </row>
    <row r="14" spans="1:31" ht="15" customHeight="1" x14ac:dyDescent="0.2">
      <c r="A14" s="28">
        <v>41256</v>
      </c>
      <c r="B14" s="27">
        <v>8.59</v>
      </c>
      <c r="C14" s="27">
        <v>57.72</v>
      </c>
      <c r="D14" s="27">
        <v>74.319999999999993</v>
      </c>
      <c r="E14" s="27">
        <v>10.54</v>
      </c>
      <c r="F14" s="27">
        <v>88.36</v>
      </c>
      <c r="G14" s="27">
        <v>19.739999999999998</v>
      </c>
      <c r="H14" s="27">
        <v>107.91</v>
      </c>
      <c r="I14" s="27">
        <v>43.98</v>
      </c>
      <c r="J14" s="27">
        <v>49.11</v>
      </c>
      <c r="K14" s="27">
        <v>21.62</v>
      </c>
      <c r="L14" s="27">
        <v>62.41</v>
      </c>
      <c r="M14" s="27">
        <v>14.5</v>
      </c>
      <c r="N14" s="27">
        <v>191.99</v>
      </c>
      <c r="O14" s="27">
        <v>20.49</v>
      </c>
      <c r="P14" s="27">
        <v>70.75</v>
      </c>
      <c r="Q14" s="27">
        <v>42.78</v>
      </c>
      <c r="R14" s="27">
        <v>0</v>
      </c>
      <c r="S14" s="27">
        <v>37.6</v>
      </c>
      <c r="T14" s="27">
        <v>89.17</v>
      </c>
      <c r="U14" s="27">
        <v>92.5</v>
      </c>
      <c r="V14" s="27">
        <v>43.95</v>
      </c>
      <c r="W14" s="27">
        <v>27.11</v>
      </c>
      <c r="X14" s="27">
        <v>25.33</v>
      </c>
      <c r="Y14" s="27">
        <v>70.13</v>
      </c>
      <c r="Z14" s="27">
        <v>34.32</v>
      </c>
      <c r="AA14" s="27">
        <v>73.23</v>
      </c>
      <c r="AB14" s="27">
        <v>80.37</v>
      </c>
      <c r="AC14" s="27">
        <v>44.52</v>
      </c>
      <c r="AD14" s="27">
        <v>69.040000000000006</v>
      </c>
      <c r="AE14" s="27">
        <v>88.58</v>
      </c>
    </row>
    <row r="15" spans="1:31" ht="15" customHeight="1" x14ac:dyDescent="0.2">
      <c r="A15" s="28">
        <v>41257</v>
      </c>
      <c r="B15" s="27">
        <v>8.74</v>
      </c>
      <c r="C15" s="27">
        <v>56.65</v>
      </c>
      <c r="D15" s="27">
        <v>74.02</v>
      </c>
      <c r="E15" s="27">
        <v>10.58</v>
      </c>
      <c r="F15" s="27">
        <v>89</v>
      </c>
      <c r="G15" s="27">
        <v>19.86</v>
      </c>
      <c r="H15" s="27">
        <v>107.82</v>
      </c>
      <c r="I15" s="27">
        <v>44.09</v>
      </c>
      <c r="J15" s="27">
        <v>48.67</v>
      </c>
      <c r="K15" s="27">
        <v>21.62</v>
      </c>
      <c r="L15" s="27">
        <v>62.06</v>
      </c>
      <c r="M15" s="27">
        <v>14.75</v>
      </c>
      <c r="N15" s="27">
        <v>191.76</v>
      </c>
      <c r="O15" s="27">
        <v>20.53</v>
      </c>
      <c r="P15" s="27">
        <v>70.69</v>
      </c>
      <c r="Q15" s="27">
        <v>42.81</v>
      </c>
      <c r="R15" s="27">
        <v>0</v>
      </c>
      <c r="S15" s="27">
        <v>37.659999999999997</v>
      </c>
      <c r="T15" s="27">
        <v>88.88</v>
      </c>
      <c r="U15" s="27">
        <v>92.28</v>
      </c>
      <c r="V15" s="27">
        <v>43.54</v>
      </c>
      <c r="W15" s="27">
        <v>26.81</v>
      </c>
      <c r="X15" s="27">
        <v>25.18</v>
      </c>
      <c r="Y15" s="27">
        <v>69.930000000000007</v>
      </c>
      <c r="Z15" s="27">
        <v>34.01</v>
      </c>
      <c r="AA15" s="27">
        <v>73.37</v>
      </c>
      <c r="AB15" s="27">
        <v>79.98</v>
      </c>
      <c r="AC15" s="27">
        <v>44.21</v>
      </c>
      <c r="AD15" s="27">
        <v>68.75</v>
      </c>
      <c r="AE15" s="27">
        <v>88.08</v>
      </c>
    </row>
    <row r="16" spans="1:31" ht="15" customHeight="1" x14ac:dyDescent="0.2">
      <c r="A16" s="28">
        <v>41260</v>
      </c>
      <c r="B16" s="27">
        <v>8.75</v>
      </c>
      <c r="C16" s="27">
        <v>57.27</v>
      </c>
      <c r="D16" s="27">
        <v>74.650000000000006</v>
      </c>
      <c r="E16" s="27">
        <v>11</v>
      </c>
      <c r="F16" s="27">
        <v>89.64</v>
      </c>
      <c r="G16" s="27">
        <v>20.11</v>
      </c>
      <c r="H16" s="27">
        <v>108.68</v>
      </c>
      <c r="I16" s="27">
        <v>44.63</v>
      </c>
      <c r="J16" s="27">
        <v>49.28</v>
      </c>
      <c r="K16" s="27">
        <v>21.93</v>
      </c>
      <c r="L16" s="27">
        <v>63.31</v>
      </c>
      <c r="M16" s="27">
        <v>14.21</v>
      </c>
      <c r="N16" s="27">
        <v>193.62</v>
      </c>
      <c r="O16" s="27">
        <v>20.57</v>
      </c>
      <c r="P16" s="27">
        <v>70.94</v>
      </c>
      <c r="Q16" s="27">
        <v>43.48</v>
      </c>
      <c r="R16" s="27">
        <v>0</v>
      </c>
      <c r="S16" s="27">
        <v>37.5</v>
      </c>
      <c r="T16" s="27">
        <v>89.91</v>
      </c>
      <c r="U16" s="27">
        <v>93.03</v>
      </c>
      <c r="V16" s="27">
        <v>43.63</v>
      </c>
      <c r="W16" s="27">
        <v>27.1</v>
      </c>
      <c r="X16" s="27">
        <v>25.36</v>
      </c>
      <c r="Y16" s="27">
        <v>69.930000000000007</v>
      </c>
      <c r="Z16" s="27">
        <v>34.229999999999997</v>
      </c>
      <c r="AA16" s="27">
        <v>74.19</v>
      </c>
      <c r="AB16" s="27">
        <v>79.989999999999995</v>
      </c>
      <c r="AC16" s="27">
        <v>44.12</v>
      </c>
      <c r="AD16" s="27">
        <v>69.2</v>
      </c>
      <c r="AE16" s="27">
        <v>88.87</v>
      </c>
    </row>
    <row r="17" spans="1:31" ht="15" customHeight="1" x14ac:dyDescent="0.2">
      <c r="A17" s="28">
        <v>41261</v>
      </c>
      <c r="B17" s="27">
        <v>8.91</v>
      </c>
      <c r="C17" s="27">
        <v>57.82</v>
      </c>
      <c r="D17" s="27">
        <v>75.52</v>
      </c>
      <c r="E17" s="27">
        <v>11.36</v>
      </c>
      <c r="F17" s="27">
        <v>90.77</v>
      </c>
      <c r="G17" s="27">
        <v>20.38</v>
      </c>
      <c r="H17" s="27">
        <v>110.1</v>
      </c>
      <c r="I17" s="27">
        <v>44.89</v>
      </c>
      <c r="J17" s="27">
        <v>50.22</v>
      </c>
      <c r="K17" s="27">
        <v>21.69</v>
      </c>
      <c r="L17" s="27">
        <v>63</v>
      </c>
      <c r="M17" s="27">
        <v>14.53</v>
      </c>
      <c r="N17" s="27">
        <v>195.69</v>
      </c>
      <c r="O17" s="27">
        <v>20.96</v>
      </c>
      <c r="P17" s="27">
        <v>70.95</v>
      </c>
      <c r="Q17" s="27">
        <v>43.87</v>
      </c>
      <c r="R17" s="27">
        <v>0</v>
      </c>
      <c r="S17" s="27">
        <v>37.28</v>
      </c>
      <c r="T17" s="27">
        <v>90.52</v>
      </c>
      <c r="U17" s="27">
        <v>93.85</v>
      </c>
      <c r="V17" s="27">
        <v>44.24</v>
      </c>
      <c r="W17" s="27">
        <v>27.56</v>
      </c>
      <c r="X17" s="27">
        <v>25.64</v>
      </c>
      <c r="Y17" s="27">
        <v>69.97</v>
      </c>
      <c r="Z17" s="27">
        <v>34.340000000000003</v>
      </c>
      <c r="AA17" s="27">
        <v>74.33</v>
      </c>
      <c r="AB17" s="27">
        <v>82.23</v>
      </c>
      <c r="AC17" s="27">
        <v>43.87</v>
      </c>
      <c r="AD17" s="27">
        <v>69.5</v>
      </c>
      <c r="AE17" s="27">
        <v>89.56</v>
      </c>
    </row>
    <row r="18" spans="1:31" ht="15" customHeight="1" x14ac:dyDescent="0.2">
      <c r="A18" s="28">
        <v>41262</v>
      </c>
      <c r="B18" s="27">
        <v>8.64</v>
      </c>
      <c r="C18" s="27">
        <v>56.79</v>
      </c>
      <c r="D18" s="27">
        <v>75.510000000000005</v>
      </c>
      <c r="E18" s="27">
        <v>11.19</v>
      </c>
      <c r="F18" s="27">
        <v>90.79</v>
      </c>
      <c r="G18" s="27">
        <v>20.27</v>
      </c>
      <c r="H18" s="27">
        <v>109.91</v>
      </c>
      <c r="I18" s="27">
        <v>44.85</v>
      </c>
      <c r="J18" s="27">
        <v>49.94</v>
      </c>
      <c r="K18" s="27">
        <v>21.01</v>
      </c>
      <c r="L18" s="27">
        <v>61.77</v>
      </c>
      <c r="M18" s="27">
        <v>14.38</v>
      </c>
      <c r="N18" s="27">
        <v>195.08</v>
      </c>
      <c r="O18" s="27">
        <v>21.1</v>
      </c>
      <c r="P18" s="27">
        <v>70.63</v>
      </c>
      <c r="Q18" s="27">
        <v>43.53</v>
      </c>
      <c r="R18" s="27">
        <v>0</v>
      </c>
      <c r="S18" s="27">
        <v>36.78</v>
      </c>
      <c r="T18" s="27">
        <v>89.71</v>
      </c>
      <c r="U18" s="27">
        <v>93.02</v>
      </c>
      <c r="V18" s="27">
        <v>43.66</v>
      </c>
      <c r="W18" s="27">
        <v>27.31</v>
      </c>
      <c r="X18" s="27">
        <v>25.35</v>
      </c>
      <c r="Y18" s="27">
        <v>69.34</v>
      </c>
      <c r="Z18" s="27">
        <v>33.909999999999997</v>
      </c>
      <c r="AA18" s="27">
        <v>73.430000000000007</v>
      </c>
      <c r="AB18" s="27">
        <v>83.03</v>
      </c>
      <c r="AC18" s="27">
        <v>43.38</v>
      </c>
      <c r="AD18" s="27">
        <v>68.52</v>
      </c>
      <c r="AE18" s="27">
        <v>88.44</v>
      </c>
    </row>
    <row r="19" spans="1:31" ht="15" customHeight="1" x14ac:dyDescent="0.2">
      <c r="A19" s="28">
        <v>41263</v>
      </c>
      <c r="B19" s="27">
        <v>8.6999999999999993</v>
      </c>
      <c r="C19" s="27">
        <v>57.4</v>
      </c>
      <c r="D19" s="27">
        <v>76.2</v>
      </c>
      <c r="E19" s="27">
        <v>11.52</v>
      </c>
      <c r="F19" s="27">
        <v>89.5</v>
      </c>
      <c r="G19" s="27">
        <v>20.239999999999998</v>
      </c>
      <c r="H19" s="27">
        <v>110.38</v>
      </c>
      <c r="I19" s="27">
        <v>45.33</v>
      </c>
      <c r="J19" s="27">
        <v>50.93</v>
      </c>
      <c r="K19" s="27">
        <v>21.05</v>
      </c>
      <c r="L19" s="27">
        <v>61.97</v>
      </c>
      <c r="M19" s="27">
        <v>14.43</v>
      </c>
      <c r="N19" s="27">
        <v>194.77</v>
      </c>
      <c r="O19" s="27">
        <v>21.03</v>
      </c>
      <c r="P19" s="27">
        <v>70.75</v>
      </c>
      <c r="Q19" s="27">
        <v>44.53</v>
      </c>
      <c r="R19" s="27">
        <v>0</v>
      </c>
      <c r="S19" s="27">
        <v>37.049999999999997</v>
      </c>
      <c r="T19" s="27">
        <v>90.04</v>
      </c>
      <c r="U19" s="27">
        <v>94.13</v>
      </c>
      <c r="V19" s="27">
        <v>42.16</v>
      </c>
      <c r="W19" s="27">
        <v>27.68</v>
      </c>
      <c r="X19" s="27">
        <v>25.43</v>
      </c>
      <c r="Y19" s="27">
        <v>69.819999999999993</v>
      </c>
      <c r="Z19" s="27">
        <v>34.17</v>
      </c>
      <c r="AA19" s="27">
        <v>73.819999999999993</v>
      </c>
      <c r="AB19" s="27">
        <v>83.17</v>
      </c>
      <c r="AC19" s="27">
        <v>43.81</v>
      </c>
      <c r="AD19" s="27">
        <v>69</v>
      </c>
      <c r="AE19" s="27">
        <v>88.89</v>
      </c>
    </row>
    <row r="20" spans="1:31" ht="15" customHeight="1" x14ac:dyDescent="0.2">
      <c r="A20" s="28">
        <v>41264</v>
      </c>
      <c r="B20" s="27">
        <v>8.57</v>
      </c>
      <c r="C20" s="27">
        <v>57.65</v>
      </c>
      <c r="D20" s="27">
        <v>76.17</v>
      </c>
      <c r="E20" s="27">
        <v>11.29</v>
      </c>
      <c r="F20" s="27">
        <v>87.9</v>
      </c>
      <c r="G20" s="27">
        <v>19.96</v>
      </c>
      <c r="H20" s="27">
        <v>109.71</v>
      </c>
      <c r="I20" s="27">
        <v>44.93</v>
      </c>
      <c r="J20" s="27">
        <v>50</v>
      </c>
      <c r="K20" s="27">
        <v>20.88</v>
      </c>
      <c r="L20" s="27">
        <v>61.32</v>
      </c>
      <c r="M20" s="27">
        <v>14.34</v>
      </c>
      <c r="N20" s="27">
        <v>193.42</v>
      </c>
      <c r="O20" s="27">
        <v>20.77</v>
      </c>
      <c r="P20" s="27">
        <v>70.27</v>
      </c>
      <c r="Q20" s="27">
        <v>44</v>
      </c>
      <c r="R20" s="27">
        <v>0</v>
      </c>
      <c r="S20" s="27">
        <v>36.89</v>
      </c>
      <c r="T20" s="27">
        <v>90.18</v>
      </c>
      <c r="U20" s="27">
        <v>93.1</v>
      </c>
      <c r="V20" s="27">
        <v>41.52</v>
      </c>
      <c r="W20" s="27">
        <v>27.45</v>
      </c>
      <c r="X20" s="27">
        <v>25.08</v>
      </c>
      <c r="Y20" s="27">
        <v>68.72</v>
      </c>
      <c r="Z20" s="27">
        <v>33.67</v>
      </c>
      <c r="AA20" s="27">
        <v>72.819999999999993</v>
      </c>
      <c r="AB20" s="27">
        <v>82.54</v>
      </c>
      <c r="AC20" s="27">
        <v>43.57</v>
      </c>
      <c r="AD20" s="27">
        <v>68.650000000000006</v>
      </c>
      <c r="AE20" s="27">
        <v>87.23</v>
      </c>
    </row>
    <row r="21" spans="1:31" ht="15" customHeight="1" x14ac:dyDescent="0.2">
      <c r="A21" s="28">
        <v>41267</v>
      </c>
      <c r="B21" s="27">
        <v>8.6199999999999992</v>
      </c>
      <c r="C21" s="27">
        <v>57.53</v>
      </c>
      <c r="D21" s="27">
        <v>75.97</v>
      </c>
      <c r="E21" s="27">
        <v>11.25</v>
      </c>
      <c r="F21" s="27">
        <v>87.48</v>
      </c>
      <c r="G21" s="27">
        <v>19.829999999999998</v>
      </c>
      <c r="H21" s="27">
        <v>108.63</v>
      </c>
      <c r="I21" s="27">
        <v>44.84</v>
      </c>
      <c r="J21" s="27">
        <v>49.88</v>
      </c>
      <c r="K21" s="27">
        <v>20.82</v>
      </c>
      <c r="L21" s="27">
        <v>61.57</v>
      </c>
      <c r="M21" s="27">
        <v>14.01</v>
      </c>
      <c r="N21" s="27">
        <v>192.4</v>
      </c>
      <c r="O21" s="27">
        <v>20.64</v>
      </c>
      <c r="P21" s="27">
        <v>70.02</v>
      </c>
      <c r="Q21" s="27">
        <v>43.92</v>
      </c>
      <c r="R21" s="27">
        <v>0</v>
      </c>
      <c r="S21" s="27">
        <v>36.729999999999997</v>
      </c>
      <c r="T21" s="27">
        <v>89.29</v>
      </c>
      <c r="U21" s="27">
        <v>93.19</v>
      </c>
      <c r="V21" s="27">
        <v>41.42</v>
      </c>
      <c r="W21" s="27">
        <v>27.06</v>
      </c>
      <c r="X21" s="27">
        <v>25.08</v>
      </c>
      <c r="Y21" s="27">
        <v>68.52</v>
      </c>
      <c r="Z21" s="27">
        <v>33.74</v>
      </c>
      <c r="AA21" s="27">
        <v>72.36</v>
      </c>
      <c r="AB21" s="27">
        <v>82.24</v>
      </c>
      <c r="AC21" s="27">
        <v>43.54</v>
      </c>
      <c r="AD21" s="27">
        <v>68.569999999999993</v>
      </c>
      <c r="AE21" s="27">
        <v>86.92</v>
      </c>
    </row>
    <row r="22" spans="1:31" ht="15" customHeight="1" x14ac:dyDescent="0.2">
      <c r="A22" s="28">
        <v>41269</v>
      </c>
      <c r="B22" s="27">
        <v>8.73</v>
      </c>
      <c r="C22" s="27">
        <v>57.13</v>
      </c>
      <c r="D22" s="27">
        <v>76.02</v>
      </c>
      <c r="E22" s="27">
        <v>11.54</v>
      </c>
      <c r="F22" s="27">
        <v>87.67</v>
      </c>
      <c r="G22" s="27">
        <v>19.920000000000002</v>
      </c>
      <c r="H22" s="27">
        <v>108.46</v>
      </c>
      <c r="I22" s="27">
        <v>45.09</v>
      </c>
      <c r="J22" s="27">
        <v>49.85</v>
      </c>
      <c r="K22" s="27">
        <v>20.77</v>
      </c>
      <c r="L22" s="27">
        <v>61.14</v>
      </c>
      <c r="M22" s="27">
        <v>14.12</v>
      </c>
      <c r="N22" s="27">
        <v>191.95</v>
      </c>
      <c r="O22" s="27">
        <v>20.65</v>
      </c>
      <c r="P22" s="27">
        <v>70.17</v>
      </c>
      <c r="Q22" s="27">
        <v>43.96</v>
      </c>
      <c r="R22" s="27">
        <v>0</v>
      </c>
      <c r="S22" s="27">
        <v>36.42</v>
      </c>
      <c r="T22" s="27">
        <v>88.74</v>
      </c>
      <c r="U22" s="27">
        <v>93.07</v>
      </c>
      <c r="V22" s="27">
        <v>41.34</v>
      </c>
      <c r="W22" s="27">
        <v>26.86</v>
      </c>
      <c r="X22" s="27">
        <v>25.24</v>
      </c>
      <c r="Y22" s="27">
        <v>68</v>
      </c>
      <c r="Z22" s="27">
        <v>33.78</v>
      </c>
      <c r="AA22" s="27">
        <v>72.27</v>
      </c>
      <c r="AB22" s="27">
        <v>82.11</v>
      </c>
      <c r="AC22" s="27">
        <v>43.45</v>
      </c>
      <c r="AD22" s="27">
        <v>67.989999999999995</v>
      </c>
      <c r="AE22" s="27">
        <v>87.07</v>
      </c>
    </row>
    <row r="23" spans="1:31" ht="15" customHeight="1" x14ac:dyDescent="0.2">
      <c r="A23" s="28">
        <v>41270</v>
      </c>
      <c r="B23" s="27">
        <v>8.6199999999999992</v>
      </c>
      <c r="C23" s="27">
        <v>56.69</v>
      </c>
      <c r="D23" s="27">
        <v>75.83</v>
      </c>
      <c r="E23" s="27">
        <v>11.47</v>
      </c>
      <c r="F23" s="27">
        <v>87.66</v>
      </c>
      <c r="G23" s="27">
        <v>19.649999999999999</v>
      </c>
      <c r="H23" s="27">
        <v>108.52</v>
      </c>
      <c r="I23" s="27">
        <v>45.07</v>
      </c>
      <c r="J23" s="27">
        <v>49.53</v>
      </c>
      <c r="K23" s="27">
        <v>20.69</v>
      </c>
      <c r="L23" s="27">
        <v>61.07</v>
      </c>
      <c r="M23" s="27">
        <v>14.04</v>
      </c>
      <c r="N23" s="27">
        <v>192.71</v>
      </c>
      <c r="O23" s="27">
        <v>20.51</v>
      </c>
      <c r="P23" s="27">
        <v>70.09</v>
      </c>
      <c r="Q23" s="27">
        <v>43.63</v>
      </c>
      <c r="R23" s="27">
        <v>0</v>
      </c>
      <c r="S23" s="27">
        <v>36.42</v>
      </c>
      <c r="T23" s="27">
        <v>88.72</v>
      </c>
      <c r="U23" s="27">
        <v>92.64</v>
      </c>
      <c r="V23" s="27">
        <v>41.2</v>
      </c>
      <c r="W23" s="27">
        <v>26.96</v>
      </c>
      <c r="X23" s="27">
        <v>25.14</v>
      </c>
      <c r="Y23" s="27">
        <v>67.97</v>
      </c>
      <c r="Z23" s="27">
        <v>33.659999999999997</v>
      </c>
      <c r="AA23" s="27">
        <v>71.819999999999993</v>
      </c>
      <c r="AB23" s="27">
        <v>82.07</v>
      </c>
      <c r="AC23" s="27">
        <v>43.48</v>
      </c>
      <c r="AD23" s="27">
        <v>68.19</v>
      </c>
      <c r="AE23" s="27">
        <v>86.86</v>
      </c>
    </row>
    <row r="24" spans="1:31" ht="15" customHeight="1" x14ac:dyDescent="0.2">
      <c r="A24" s="28">
        <v>41271</v>
      </c>
      <c r="B24" s="27">
        <v>8.5</v>
      </c>
      <c r="C24" s="27">
        <v>56.67</v>
      </c>
      <c r="D24" s="27">
        <v>74.69</v>
      </c>
      <c r="E24" s="27">
        <v>11.36</v>
      </c>
      <c r="F24" s="27">
        <v>86.81</v>
      </c>
      <c r="G24" s="27">
        <v>19.45</v>
      </c>
      <c r="H24" s="27">
        <v>106.45</v>
      </c>
      <c r="I24" s="27">
        <v>44.71</v>
      </c>
      <c r="J24" s="27">
        <v>49.15</v>
      </c>
      <c r="K24" s="27">
        <v>20.440000000000001</v>
      </c>
      <c r="L24" s="27">
        <v>60.65</v>
      </c>
      <c r="M24" s="27">
        <v>13.68</v>
      </c>
      <c r="N24" s="27">
        <v>189.83</v>
      </c>
      <c r="O24" s="27">
        <v>20.23</v>
      </c>
      <c r="P24" s="27">
        <v>69.48</v>
      </c>
      <c r="Q24" s="27">
        <v>43.24</v>
      </c>
      <c r="R24" s="27">
        <v>0</v>
      </c>
      <c r="S24" s="27">
        <v>35.97</v>
      </c>
      <c r="T24" s="27">
        <v>87.58</v>
      </c>
      <c r="U24" s="27">
        <v>91.78</v>
      </c>
      <c r="V24" s="27">
        <v>40.64</v>
      </c>
      <c r="W24" s="27">
        <v>26.55</v>
      </c>
      <c r="X24" s="27">
        <v>24.89</v>
      </c>
      <c r="Y24" s="27">
        <v>67.150000000000006</v>
      </c>
      <c r="Z24" s="27">
        <v>33.32</v>
      </c>
      <c r="AA24" s="27">
        <v>71.239999999999995</v>
      </c>
      <c r="AB24" s="27">
        <v>80.81</v>
      </c>
      <c r="AC24" s="27">
        <v>42.9</v>
      </c>
      <c r="AD24" s="27">
        <v>67.61</v>
      </c>
      <c r="AE24" s="27">
        <v>85.1</v>
      </c>
    </row>
    <row r="25" spans="1:31" ht="15" customHeight="1" x14ac:dyDescent="0.2">
      <c r="A25" s="28">
        <v>41274</v>
      </c>
      <c r="B25" s="27">
        <v>8.68</v>
      </c>
      <c r="C25" s="27">
        <v>57.48</v>
      </c>
      <c r="D25" s="27">
        <v>75.36</v>
      </c>
      <c r="E25" s="27">
        <v>11.61</v>
      </c>
      <c r="F25" s="27">
        <v>89.61</v>
      </c>
      <c r="G25" s="27">
        <v>19.649999999999999</v>
      </c>
      <c r="H25" s="27">
        <v>108.14</v>
      </c>
      <c r="I25" s="27">
        <v>44.98</v>
      </c>
      <c r="J25" s="27">
        <v>49.79</v>
      </c>
      <c r="K25" s="27">
        <v>20.99</v>
      </c>
      <c r="L25" s="27">
        <v>61.85</v>
      </c>
      <c r="M25" s="27">
        <v>14.25</v>
      </c>
      <c r="N25" s="27">
        <v>191.55</v>
      </c>
      <c r="O25" s="27">
        <v>20.62</v>
      </c>
      <c r="P25" s="27">
        <v>70.099999999999994</v>
      </c>
      <c r="Q25" s="27">
        <v>43.97</v>
      </c>
      <c r="R25" s="27">
        <v>0</v>
      </c>
      <c r="S25" s="27">
        <v>36.25</v>
      </c>
      <c r="T25" s="27">
        <v>88.21</v>
      </c>
      <c r="U25" s="27">
        <v>92.85</v>
      </c>
      <c r="V25" s="27">
        <v>40.94</v>
      </c>
      <c r="W25" s="27">
        <v>26.71</v>
      </c>
      <c r="X25" s="27">
        <v>25.08</v>
      </c>
      <c r="Y25" s="27">
        <v>67.89</v>
      </c>
      <c r="Z25" s="27">
        <v>33.71</v>
      </c>
      <c r="AA25" s="27">
        <v>71.819999999999993</v>
      </c>
      <c r="AB25" s="27">
        <v>82.01</v>
      </c>
      <c r="AC25" s="27">
        <v>43.27</v>
      </c>
      <c r="AD25" s="27">
        <v>68.23</v>
      </c>
      <c r="AE25" s="27">
        <v>86.55</v>
      </c>
    </row>
    <row r="26" spans="1:31" ht="15" customHeight="1" x14ac:dyDescent="0.2">
      <c r="A26" s="28">
        <v>41276</v>
      </c>
      <c r="B26" s="27">
        <v>8.99</v>
      </c>
      <c r="C26" s="27">
        <v>58.75</v>
      </c>
      <c r="D26" s="27">
        <v>77.069999999999993</v>
      </c>
      <c r="E26" s="27">
        <v>12.03</v>
      </c>
      <c r="F26" s="27">
        <v>93.5</v>
      </c>
      <c r="G26" s="27">
        <v>20.34</v>
      </c>
      <c r="H26" s="27">
        <v>110.39</v>
      </c>
      <c r="I26" s="27">
        <v>45.87</v>
      </c>
      <c r="J26" s="27">
        <v>51.1</v>
      </c>
      <c r="K26" s="27">
        <v>21.34</v>
      </c>
      <c r="L26" s="27">
        <v>63.48</v>
      </c>
      <c r="M26" s="27">
        <v>15.02</v>
      </c>
      <c r="N26" s="27">
        <v>196.35</v>
      </c>
      <c r="O26" s="27">
        <v>21.38</v>
      </c>
      <c r="P26" s="27">
        <v>70.84</v>
      </c>
      <c r="Q26" s="27">
        <v>44.66</v>
      </c>
      <c r="R26" s="27">
        <v>0</v>
      </c>
      <c r="S26" s="27">
        <v>37.6</v>
      </c>
      <c r="T26" s="27">
        <v>90.12</v>
      </c>
      <c r="U26" s="27">
        <v>94.78</v>
      </c>
      <c r="V26" s="27">
        <v>41.34</v>
      </c>
      <c r="W26" s="27">
        <v>27.62</v>
      </c>
      <c r="X26" s="27">
        <v>25.91</v>
      </c>
      <c r="Y26" s="27">
        <v>69.39</v>
      </c>
      <c r="Z26" s="27">
        <v>35</v>
      </c>
      <c r="AA26" s="27">
        <v>72.86</v>
      </c>
      <c r="AB26" s="27">
        <v>84</v>
      </c>
      <c r="AC26" s="27">
        <v>44.27</v>
      </c>
      <c r="AD26" s="27">
        <v>69.239999999999995</v>
      </c>
      <c r="AE26" s="27">
        <v>88.71</v>
      </c>
    </row>
    <row r="27" spans="1:31" ht="15" customHeight="1" x14ac:dyDescent="0.2">
      <c r="A27" s="28">
        <v>41277</v>
      </c>
      <c r="B27" s="27">
        <v>9.07</v>
      </c>
      <c r="C27" s="27">
        <v>59</v>
      </c>
      <c r="D27" s="27">
        <v>77.47</v>
      </c>
      <c r="E27" s="27">
        <v>11.96</v>
      </c>
      <c r="F27" s="27">
        <v>94.4</v>
      </c>
      <c r="G27" s="27">
        <v>20.45</v>
      </c>
      <c r="H27" s="27">
        <v>109.92</v>
      </c>
      <c r="I27" s="27">
        <v>45.29</v>
      </c>
      <c r="J27" s="27">
        <v>51.21</v>
      </c>
      <c r="K27" s="27">
        <v>21.1</v>
      </c>
      <c r="L27" s="27">
        <v>63.3</v>
      </c>
      <c r="M27" s="27">
        <v>15.14</v>
      </c>
      <c r="N27" s="27">
        <v>195.27</v>
      </c>
      <c r="O27" s="27">
        <v>21.32</v>
      </c>
      <c r="P27" s="27">
        <v>70.739999999999995</v>
      </c>
      <c r="Q27" s="27">
        <v>44.57</v>
      </c>
      <c r="R27" s="27">
        <v>0</v>
      </c>
      <c r="S27" s="27">
        <v>37.6</v>
      </c>
      <c r="T27" s="27">
        <v>90.63</v>
      </c>
      <c r="U27" s="27">
        <v>94.67</v>
      </c>
      <c r="V27" s="27">
        <v>42.33</v>
      </c>
      <c r="W27" s="27">
        <v>27.25</v>
      </c>
      <c r="X27" s="27">
        <v>25.85</v>
      </c>
      <c r="Y27" s="27">
        <v>68.95</v>
      </c>
      <c r="Z27" s="27">
        <v>35.020000000000003</v>
      </c>
      <c r="AA27" s="27">
        <v>73.42</v>
      </c>
      <c r="AB27" s="27">
        <v>84.31</v>
      </c>
      <c r="AC27" s="27">
        <v>44.06</v>
      </c>
      <c r="AD27" s="27">
        <v>68.8</v>
      </c>
      <c r="AE27" s="27">
        <v>88.55</v>
      </c>
    </row>
    <row r="28" spans="1:31" ht="15" customHeight="1" x14ac:dyDescent="0.2">
      <c r="A28" s="28">
        <v>41278</v>
      </c>
      <c r="B28" s="27">
        <v>9.26</v>
      </c>
      <c r="C28" s="27">
        <v>59.61</v>
      </c>
      <c r="D28" s="27">
        <v>77.69</v>
      </c>
      <c r="E28" s="27">
        <v>12.11</v>
      </c>
      <c r="F28" s="27">
        <v>94.92</v>
      </c>
      <c r="G28" s="27">
        <v>20.48</v>
      </c>
      <c r="H28" s="27">
        <v>110.5</v>
      </c>
      <c r="I28" s="27">
        <v>45.73</v>
      </c>
      <c r="J28" s="27">
        <v>52.19</v>
      </c>
      <c r="K28" s="27">
        <v>21.2</v>
      </c>
      <c r="L28" s="27">
        <v>63.18</v>
      </c>
      <c r="M28" s="27">
        <v>15.14</v>
      </c>
      <c r="N28" s="27">
        <v>193.99</v>
      </c>
      <c r="O28" s="27">
        <v>21.16</v>
      </c>
      <c r="P28" s="27">
        <v>71.55</v>
      </c>
      <c r="Q28" s="27">
        <v>45.36</v>
      </c>
      <c r="R28" s="27">
        <v>0</v>
      </c>
      <c r="S28" s="27">
        <v>37.659999999999997</v>
      </c>
      <c r="T28" s="27">
        <v>89.85</v>
      </c>
      <c r="U28" s="27">
        <v>95.37</v>
      </c>
      <c r="V28" s="27">
        <v>41.97</v>
      </c>
      <c r="W28" s="27">
        <v>26.74</v>
      </c>
      <c r="X28" s="27">
        <v>25.96</v>
      </c>
      <c r="Y28" s="27">
        <v>69.09</v>
      </c>
      <c r="Z28" s="27">
        <v>35.229999999999997</v>
      </c>
      <c r="AA28" s="27">
        <v>74.06</v>
      </c>
      <c r="AB28" s="27">
        <v>84.98</v>
      </c>
      <c r="AC28" s="27">
        <v>44.3</v>
      </c>
      <c r="AD28" s="27">
        <v>69.06</v>
      </c>
      <c r="AE28" s="27">
        <v>88.96</v>
      </c>
    </row>
    <row r="29" spans="1:31" ht="15" customHeight="1" x14ac:dyDescent="0.2">
      <c r="A29" s="28">
        <v>41281</v>
      </c>
      <c r="B29" s="27">
        <v>9.1</v>
      </c>
      <c r="C29" s="27">
        <v>59.86</v>
      </c>
      <c r="D29" s="27">
        <v>76.13</v>
      </c>
      <c r="E29" s="27">
        <v>12.09</v>
      </c>
      <c r="F29" s="27">
        <v>95.21</v>
      </c>
      <c r="G29" s="27">
        <v>20.29</v>
      </c>
      <c r="H29" s="27">
        <v>109.75</v>
      </c>
      <c r="I29" s="27">
        <v>45.8</v>
      </c>
      <c r="J29" s="27">
        <v>50.97</v>
      </c>
      <c r="K29" s="27">
        <v>21.13</v>
      </c>
      <c r="L29" s="27">
        <v>62.84</v>
      </c>
      <c r="M29" s="27">
        <v>15.17</v>
      </c>
      <c r="N29" s="27">
        <v>193.14</v>
      </c>
      <c r="O29" s="27">
        <v>21.25</v>
      </c>
      <c r="P29" s="27">
        <v>71.400000000000006</v>
      </c>
      <c r="Q29" s="27">
        <v>45.41</v>
      </c>
      <c r="R29" s="27">
        <v>0</v>
      </c>
      <c r="S29" s="27">
        <v>37.299999999999997</v>
      </c>
      <c r="T29" s="27">
        <v>90.91</v>
      </c>
      <c r="U29" s="27">
        <v>95.49</v>
      </c>
      <c r="V29" s="27">
        <v>42.12</v>
      </c>
      <c r="W29" s="27">
        <v>26.69</v>
      </c>
      <c r="X29" s="27">
        <v>25.98</v>
      </c>
      <c r="Y29" s="27">
        <v>68.62</v>
      </c>
      <c r="Z29" s="27">
        <v>35.39</v>
      </c>
      <c r="AA29" s="27">
        <v>73.06</v>
      </c>
      <c r="AB29" s="27">
        <v>84.57</v>
      </c>
      <c r="AC29" s="27">
        <v>44.69</v>
      </c>
      <c r="AD29" s="27">
        <v>68.400000000000006</v>
      </c>
      <c r="AE29" s="27">
        <v>87.93</v>
      </c>
    </row>
    <row r="30" spans="1:31" ht="15" customHeight="1" x14ac:dyDescent="0.2">
      <c r="A30" s="28">
        <v>41282</v>
      </c>
      <c r="B30" s="27">
        <v>9.1</v>
      </c>
      <c r="C30" s="27">
        <v>60.2</v>
      </c>
      <c r="D30" s="27">
        <v>74.13</v>
      </c>
      <c r="E30" s="27">
        <v>11.98</v>
      </c>
      <c r="F30" s="27">
        <v>94</v>
      </c>
      <c r="G30" s="27">
        <v>20.309999999999999</v>
      </c>
      <c r="H30" s="27">
        <v>109.26</v>
      </c>
      <c r="I30" s="27">
        <v>46.05</v>
      </c>
      <c r="J30" s="27">
        <v>50.76</v>
      </c>
      <c r="K30" s="27">
        <v>20.9</v>
      </c>
      <c r="L30" s="27">
        <v>63.22</v>
      </c>
      <c r="M30" s="27">
        <v>15.39</v>
      </c>
      <c r="N30" s="27">
        <v>192.87</v>
      </c>
      <c r="O30" s="27">
        <v>21.09</v>
      </c>
      <c r="P30" s="27">
        <v>71.41</v>
      </c>
      <c r="Q30" s="27">
        <v>45.5</v>
      </c>
      <c r="R30" s="27">
        <v>0</v>
      </c>
      <c r="S30" s="27">
        <v>37.04</v>
      </c>
      <c r="T30" s="27">
        <v>90.94</v>
      </c>
      <c r="U30" s="27">
        <v>95.5</v>
      </c>
      <c r="V30" s="27">
        <v>42.18</v>
      </c>
      <c r="W30" s="27">
        <v>26.55</v>
      </c>
      <c r="X30" s="27">
        <v>26.02</v>
      </c>
      <c r="Y30" s="27">
        <v>68.510000000000005</v>
      </c>
      <c r="Z30" s="27">
        <v>34.35</v>
      </c>
      <c r="AA30" s="27">
        <v>73.19</v>
      </c>
      <c r="AB30" s="27">
        <v>83.55</v>
      </c>
      <c r="AC30" s="27">
        <v>43.1</v>
      </c>
      <c r="AD30" s="27">
        <v>68.59</v>
      </c>
      <c r="AE30" s="27">
        <v>88.48</v>
      </c>
    </row>
    <row r="31" spans="1:31" ht="15" customHeight="1" x14ac:dyDescent="0.2">
      <c r="A31" s="28">
        <v>41283</v>
      </c>
      <c r="B31" s="27">
        <v>9.08</v>
      </c>
      <c r="C31" s="27">
        <v>60.26</v>
      </c>
      <c r="D31" s="27">
        <v>76.760000000000005</v>
      </c>
      <c r="E31" s="27">
        <v>11.43</v>
      </c>
      <c r="F31" s="27">
        <v>94.44</v>
      </c>
      <c r="G31" s="27">
        <v>20.3</v>
      </c>
      <c r="H31" s="27">
        <v>109.54</v>
      </c>
      <c r="I31" s="27">
        <v>46.44</v>
      </c>
      <c r="J31" s="27">
        <v>50.78</v>
      </c>
      <c r="K31" s="27">
        <v>20.95</v>
      </c>
      <c r="L31" s="27">
        <v>63.17</v>
      </c>
      <c r="M31" s="27">
        <v>15.85</v>
      </c>
      <c r="N31" s="27">
        <v>192.32</v>
      </c>
      <c r="O31" s="27">
        <v>21.45</v>
      </c>
      <c r="P31" s="27">
        <v>71.73</v>
      </c>
      <c r="Q31" s="27">
        <v>45.47</v>
      </c>
      <c r="R31" s="27">
        <v>0</v>
      </c>
      <c r="S31" s="27">
        <v>37.03</v>
      </c>
      <c r="T31" s="27">
        <v>90.81</v>
      </c>
      <c r="U31" s="27">
        <v>96.41</v>
      </c>
      <c r="V31" s="27">
        <v>42.59</v>
      </c>
      <c r="W31" s="27">
        <v>26.7</v>
      </c>
      <c r="X31" s="27">
        <v>26.47</v>
      </c>
      <c r="Y31" s="27">
        <v>68.88</v>
      </c>
      <c r="Z31" s="27">
        <v>34.24</v>
      </c>
      <c r="AA31" s="27">
        <v>73.94</v>
      </c>
      <c r="AB31" s="27">
        <v>84.55</v>
      </c>
      <c r="AC31" s="27">
        <v>43</v>
      </c>
      <c r="AD31" s="27">
        <v>68.569999999999993</v>
      </c>
      <c r="AE31" s="27">
        <v>88.14</v>
      </c>
    </row>
    <row r="32" spans="1:31" ht="15" customHeight="1" x14ac:dyDescent="0.2">
      <c r="A32" s="28">
        <v>41284</v>
      </c>
      <c r="B32" s="27">
        <v>8.9700000000000006</v>
      </c>
      <c r="C32" s="27">
        <v>60.79</v>
      </c>
      <c r="D32" s="27">
        <v>77.09</v>
      </c>
      <c r="E32" s="27">
        <v>11.78</v>
      </c>
      <c r="F32" s="27">
        <v>95.08</v>
      </c>
      <c r="G32" s="27">
        <v>20.440000000000001</v>
      </c>
      <c r="H32" s="27">
        <v>110.47</v>
      </c>
      <c r="I32" s="27">
        <v>46.2</v>
      </c>
      <c r="J32" s="27">
        <v>50.79</v>
      </c>
      <c r="K32" s="27">
        <v>21.17</v>
      </c>
      <c r="L32" s="27">
        <v>63.62</v>
      </c>
      <c r="M32" s="27">
        <v>16.28</v>
      </c>
      <c r="N32" s="27">
        <v>192.88</v>
      </c>
      <c r="O32" s="27">
        <v>21.8</v>
      </c>
      <c r="P32" s="27">
        <v>72.19</v>
      </c>
      <c r="Q32" s="27">
        <v>46.15</v>
      </c>
      <c r="R32" s="27">
        <v>0</v>
      </c>
      <c r="S32" s="27">
        <v>36.96</v>
      </c>
      <c r="T32" s="27">
        <v>91.4</v>
      </c>
      <c r="U32" s="27">
        <v>96.89</v>
      </c>
      <c r="V32" s="27">
        <v>42.78</v>
      </c>
      <c r="W32" s="27">
        <v>26.46</v>
      </c>
      <c r="X32" s="27">
        <v>26.76</v>
      </c>
      <c r="Y32" s="27">
        <v>69.27</v>
      </c>
      <c r="Z32" s="27">
        <v>34.369999999999997</v>
      </c>
      <c r="AA32" s="27">
        <v>74.45</v>
      </c>
      <c r="AB32" s="27">
        <v>84.97</v>
      </c>
      <c r="AC32" s="27">
        <v>43.59</v>
      </c>
      <c r="AD32" s="27">
        <v>68.36</v>
      </c>
      <c r="AE32" s="27">
        <v>89.1</v>
      </c>
    </row>
    <row r="33" spans="1:31" ht="15" customHeight="1" x14ac:dyDescent="0.2">
      <c r="A33" s="28">
        <v>41285</v>
      </c>
      <c r="B33" s="27">
        <v>8.94</v>
      </c>
      <c r="C33" s="27">
        <v>61.24</v>
      </c>
      <c r="D33" s="27">
        <v>75.16</v>
      </c>
      <c r="E33" s="27">
        <v>11.63</v>
      </c>
      <c r="F33" s="27">
        <v>95.19</v>
      </c>
      <c r="G33" s="27">
        <v>20.48</v>
      </c>
      <c r="H33" s="27">
        <v>111.73</v>
      </c>
      <c r="I33" s="27">
        <v>46.15</v>
      </c>
      <c r="J33" s="27">
        <v>50.58</v>
      </c>
      <c r="K33" s="27">
        <v>21.13</v>
      </c>
      <c r="L33" s="27">
        <v>63.7</v>
      </c>
      <c r="M33" s="27">
        <v>16.16</v>
      </c>
      <c r="N33" s="27">
        <v>194.45</v>
      </c>
      <c r="O33" s="27">
        <v>22</v>
      </c>
      <c r="P33" s="27">
        <v>72.349999999999994</v>
      </c>
      <c r="Q33" s="27">
        <v>46.14</v>
      </c>
      <c r="R33" s="27">
        <v>0</v>
      </c>
      <c r="S33" s="27">
        <v>36.909999999999997</v>
      </c>
      <c r="T33" s="27">
        <v>91.73</v>
      </c>
      <c r="U33" s="27">
        <v>96.28</v>
      </c>
      <c r="V33" s="27">
        <v>43.23</v>
      </c>
      <c r="W33" s="27">
        <v>26.83</v>
      </c>
      <c r="X33" s="27">
        <v>26.52</v>
      </c>
      <c r="Y33" s="27">
        <v>69.22</v>
      </c>
      <c r="Z33" s="27">
        <v>34.270000000000003</v>
      </c>
      <c r="AA33" s="27">
        <v>74.849999999999994</v>
      </c>
      <c r="AB33" s="27">
        <v>85.18</v>
      </c>
      <c r="AC33" s="27">
        <v>43.3</v>
      </c>
      <c r="AD33" s="27">
        <v>68.63</v>
      </c>
      <c r="AE33" s="27">
        <v>89.61</v>
      </c>
    </row>
    <row r="34" spans="1:31" ht="15" customHeight="1" x14ac:dyDescent="0.2">
      <c r="A34" s="28">
        <v>41288</v>
      </c>
      <c r="B34" s="27">
        <v>8.92</v>
      </c>
      <c r="C34" s="27">
        <v>61.21</v>
      </c>
      <c r="D34" s="27">
        <v>76.55</v>
      </c>
      <c r="E34" s="27">
        <v>11.47</v>
      </c>
      <c r="F34" s="27">
        <v>94.63</v>
      </c>
      <c r="G34" s="27">
        <v>20.97</v>
      </c>
      <c r="H34" s="27">
        <v>112.85</v>
      </c>
      <c r="I34" s="27">
        <v>46.27</v>
      </c>
      <c r="J34" s="27">
        <v>50.59</v>
      </c>
      <c r="K34" s="27">
        <v>21.12</v>
      </c>
      <c r="L34" s="27">
        <v>63.48</v>
      </c>
      <c r="M34" s="27">
        <v>16.95</v>
      </c>
      <c r="N34" s="27">
        <v>192.62</v>
      </c>
      <c r="O34" s="27">
        <v>22</v>
      </c>
      <c r="P34" s="27">
        <v>72.56</v>
      </c>
      <c r="Q34" s="27">
        <v>45.88</v>
      </c>
      <c r="R34" s="27">
        <v>0</v>
      </c>
      <c r="S34" s="27">
        <v>36.99</v>
      </c>
      <c r="T34" s="27">
        <v>91.53</v>
      </c>
      <c r="U34" s="27">
        <v>97.08</v>
      </c>
      <c r="V34" s="27">
        <v>43.34</v>
      </c>
      <c r="W34" s="27">
        <v>26.89</v>
      </c>
      <c r="X34" s="27">
        <v>26.74</v>
      </c>
      <c r="Y34" s="27">
        <v>69.63</v>
      </c>
      <c r="Z34" s="27">
        <v>34.020000000000003</v>
      </c>
      <c r="AA34" s="27">
        <v>74.95</v>
      </c>
      <c r="AB34" s="27">
        <v>85.8</v>
      </c>
      <c r="AC34" s="27">
        <v>42.59</v>
      </c>
      <c r="AD34" s="27">
        <v>68.3</v>
      </c>
      <c r="AE34" s="27">
        <v>89.58</v>
      </c>
    </row>
    <row r="35" spans="1:31" ht="15" customHeight="1" x14ac:dyDescent="0.2">
      <c r="A35" s="28">
        <v>41289</v>
      </c>
      <c r="B35" s="27">
        <v>8.92</v>
      </c>
      <c r="C35" s="27">
        <v>60.76</v>
      </c>
      <c r="D35" s="27">
        <v>76.94</v>
      </c>
      <c r="E35" s="27">
        <v>11.55</v>
      </c>
      <c r="F35" s="27">
        <v>95.67</v>
      </c>
      <c r="G35" s="27">
        <v>20.98</v>
      </c>
      <c r="H35" s="27">
        <v>113.44</v>
      </c>
      <c r="I35" s="27">
        <v>46.25</v>
      </c>
      <c r="J35" s="27">
        <v>51.09</v>
      </c>
      <c r="K35" s="27">
        <v>21.2</v>
      </c>
      <c r="L35" s="27">
        <v>63.95</v>
      </c>
      <c r="M35" s="27">
        <v>16.53</v>
      </c>
      <c r="N35" s="27">
        <v>192.5</v>
      </c>
      <c r="O35" s="27">
        <v>21.88</v>
      </c>
      <c r="P35" s="27">
        <v>72.37</v>
      </c>
      <c r="Q35" s="27">
        <v>46.35</v>
      </c>
      <c r="R35" s="27">
        <v>0</v>
      </c>
      <c r="S35" s="27">
        <v>37.32</v>
      </c>
      <c r="T35" s="27">
        <v>91.51</v>
      </c>
      <c r="U35" s="27">
        <v>97.29</v>
      </c>
      <c r="V35" s="27">
        <v>42.87</v>
      </c>
      <c r="W35" s="27">
        <v>27.21</v>
      </c>
      <c r="X35" s="27">
        <v>26.62</v>
      </c>
      <c r="Y35" s="27">
        <v>69.88</v>
      </c>
      <c r="Z35" s="27">
        <v>33.76</v>
      </c>
      <c r="AA35" s="27">
        <v>75.56</v>
      </c>
      <c r="AB35" s="27">
        <v>85.96</v>
      </c>
      <c r="AC35" s="27">
        <v>41.97</v>
      </c>
      <c r="AD35" s="27">
        <v>68.98</v>
      </c>
      <c r="AE35" s="27">
        <v>89.53</v>
      </c>
    </row>
    <row r="36" spans="1:31" ht="15" customHeight="1" x14ac:dyDescent="0.2">
      <c r="A36" s="28">
        <v>41290</v>
      </c>
      <c r="B36" s="27">
        <v>8.8800000000000008</v>
      </c>
      <c r="C36" s="27">
        <v>60.62</v>
      </c>
      <c r="D36" s="27">
        <v>74.34</v>
      </c>
      <c r="E36" s="27">
        <v>11.78</v>
      </c>
      <c r="F36" s="27">
        <v>95.19</v>
      </c>
      <c r="G36" s="27">
        <v>21.03</v>
      </c>
      <c r="H36" s="27">
        <v>113.97</v>
      </c>
      <c r="I36" s="27">
        <v>45.97</v>
      </c>
      <c r="J36" s="27">
        <v>51.53</v>
      </c>
      <c r="K36" s="27">
        <v>21.12</v>
      </c>
      <c r="L36" s="27">
        <v>63.86</v>
      </c>
      <c r="M36" s="27">
        <v>17.21</v>
      </c>
      <c r="N36" s="27">
        <v>192.59</v>
      </c>
      <c r="O36" s="27">
        <v>22.11</v>
      </c>
      <c r="P36" s="27">
        <v>72.58</v>
      </c>
      <c r="Q36" s="27">
        <v>46.82</v>
      </c>
      <c r="R36" s="27">
        <v>0</v>
      </c>
      <c r="S36" s="27">
        <v>37.32</v>
      </c>
      <c r="T36" s="27">
        <v>91.1</v>
      </c>
      <c r="U36" s="27">
        <v>97.6</v>
      </c>
      <c r="V36" s="27">
        <v>42.54</v>
      </c>
      <c r="W36" s="27">
        <v>27.04</v>
      </c>
      <c r="X36" s="27">
        <v>26.61</v>
      </c>
      <c r="Y36" s="27">
        <v>69.34</v>
      </c>
      <c r="Z36" s="27">
        <v>33.26</v>
      </c>
      <c r="AA36" s="27">
        <v>75.55</v>
      </c>
      <c r="AB36" s="27">
        <v>85.57</v>
      </c>
      <c r="AC36" s="27">
        <v>41.51</v>
      </c>
      <c r="AD36" s="27">
        <v>69.209999999999994</v>
      </c>
      <c r="AE36" s="27">
        <v>89.47</v>
      </c>
    </row>
    <row r="37" spans="1:31" ht="15" customHeight="1" x14ac:dyDescent="0.2">
      <c r="A37" s="28">
        <v>41291</v>
      </c>
      <c r="B37" s="27">
        <v>8.94</v>
      </c>
      <c r="C37" s="27">
        <v>60.74</v>
      </c>
      <c r="D37" s="27">
        <v>75.260000000000005</v>
      </c>
      <c r="E37" s="27">
        <v>11.28</v>
      </c>
      <c r="F37" s="27">
        <v>95.7</v>
      </c>
      <c r="G37" s="27">
        <v>20.95</v>
      </c>
      <c r="H37" s="27">
        <v>114.74</v>
      </c>
      <c r="I37" s="27">
        <v>46.36</v>
      </c>
      <c r="J37" s="27">
        <v>52.41</v>
      </c>
      <c r="K37" s="27">
        <v>21.3</v>
      </c>
      <c r="L37" s="27">
        <v>65.05</v>
      </c>
      <c r="M37" s="27">
        <v>17.11</v>
      </c>
      <c r="N37" s="27">
        <v>193.65</v>
      </c>
      <c r="O37" s="27">
        <v>22.68</v>
      </c>
      <c r="P37" s="27">
        <v>72.900000000000006</v>
      </c>
      <c r="Q37" s="27">
        <v>46.44</v>
      </c>
      <c r="R37" s="27">
        <v>0</v>
      </c>
      <c r="S37" s="27">
        <v>37.51</v>
      </c>
      <c r="T37" s="27">
        <v>91.76</v>
      </c>
      <c r="U37" s="27">
        <v>98.08</v>
      </c>
      <c r="V37" s="27">
        <v>42.75</v>
      </c>
      <c r="W37" s="27">
        <v>27.25</v>
      </c>
      <c r="X37" s="27">
        <v>26.83</v>
      </c>
      <c r="Y37" s="27">
        <v>69.67</v>
      </c>
      <c r="Z37" s="27">
        <v>33.200000000000003</v>
      </c>
      <c r="AA37" s="27">
        <v>75.900000000000006</v>
      </c>
      <c r="AB37" s="27">
        <v>86.4</v>
      </c>
      <c r="AC37" s="27">
        <v>42.13</v>
      </c>
      <c r="AD37" s="27">
        <v>68.849999999999994</v>
      </c>
      <c r="AE37" s="27">
        <v>90.2</v>
      </c>
    </row>
    <row r="38" spans="1:31" ht="15" customHeight="1" x14ac:dyDescent="0.2">
      <c r="A38" s="28">
        <v>41292</v>
      </c>
      <c r="B38" s="27">
        <v>9</v>
      </c>
      <c r="C38" s="27">
        <v>59.78</v>
      </c>
      <c r="D38" s="27">
        <v>75.040000000000006</v>
      </c>
      <c r="E38" s="27">
        <v>11.14</v>
      </c>
      <c r="F38" s="27">
        <v>97.62</v>
      </c>
      <c r="G38" s="27">
        <v>21.02</v>
      </c>
      <c r="H38" s="27">
        <v>115.24</v>
      </c>
      <c r="I38" s="27">
        <v>46.99</v>
      </c>
      <c r="J38" s="27">
        <v>52.34</v>
      </c>
      <c r="K38" s="27">
        <v>22.04</v>
      </c>
      <c r="L38" s="27">
        <v>65.47</v>
      </c>
      <c r="M38" s="27">
        <v>17.11</v>
      </c>
      <c r="N38" s="27">
        <v>194.47</v>
      </c>
      <c r="O38" s="27">
        <v>21.25</v>
      </c>
      <c r="P38" s="27">
        <v>73.23</v>
      </c>
      <c r="Q38" s="27">
        <v>46.46</v>
      </c>
      <c r="R38" s="27">
        <v>0</v>
      </c>
      <c r="S38" s="27">
        <v>37.700000000000003</v>
      </c>
      <c r="T38" s="27">
        <v>92.26</v>
      </c>
      <c r="U38" s="27">
        <v>98.74</v>
      </c>
      <c r="V38" s="27">
        <v>42.98</v>
      </c>
      <c r="W38" s="27">
        <v>27.25</v>
      </c>
      <c r="X38" s="27">
        <v>26.54</v>
      </c>
      <c r="Y38" s="27">
        <v>69.94</v>
      </c>
      <c r="Z38" s="27">
        <v>33.44</v>
      </c>
      <c r="AA38" s="27">
        <v>76.31</v>
      </c>
      <c r="AB38" s="27">
        <v>86.95</v>
      </c>
      <c r="AC38" s="27">
        <v>42.54</v>
      </c>
      <c r="AD38" s="27">
        <v>69.2</v>
      </c>
      <c r="AE38" s="27">
        <v>90.8</v>
      </c>
    </row>
    <row r="39" spans="1:31" ht="15" customHeight="1" x14ac:dyDescent="0.2">
      <c r="A39" s="28">
        <v>41296</v>
      </c>
      <c r="B39" s="27">
        <v>9.1999999999999993</v>
      </c>
      <c r="C39" s="27">
        <v>59.4</v>
      </c>
      <c r="D39" s="27">
        <v>74.16</v>
      </c>
      <c r="E39" s="27">
        <v>11.35</v>
      </c>
      <c r="F39" s="27">
        <v>97.72</v>
      </c>
      <c r="G39" s="27">
        <v>20.87</v>
      </c>
      <c r="H39" s="27">
        <v>115.91</v>
      </c>
      <c r="I39" s="27">
        <v>47.82</v>
      </c>
      <c r="J39" s="27">
        <v>52.73</v>
      </c>
      <c r="K39" s="27">
        <v>22.01</v>
      </c>
      <c r="L39" s="27">
        <v>65.75</v>
      </c>
      <c r="M39" s="27">
        <v>17.25</v>
      </c>
      <c r="N39" s="27">
        <v>196.08</v>
      </c>
      <c r="O39" s="27">
        <v>21.17</v>
      </c>
      <c r="P39" s="27">
        <v>72.69</v>
      </c>
      <c r="Q39" s="27">
        <v>46.54</v>
      </c>
      <c r="R39" s="27">
        <v>0</v>
      </c>
      <c r="S39" s="27">
        <v>37.130000000000003</v>
      </c>
      <c r="T39" s="27">
        <v>92.95</v>
      </c>
      <c r="U39" s="27">
        <v>99.33</v>
      </c>
      <c r="V39" s="27">
        <v>43.2</v>
      </c>
      <c r="W39" s="27">
        <v>27.15</v>
      </c>
      <c r="X39" s="27">
        <v>26.68</v>
      </c>
      <c r="Y39" s="27">
        <v>69.95</v>
      </c>
      <c r="Z39" s="27">
        <v>33.61</v>
      </c>
      <c r="AA39" s="27">
        <v>77.95</v>
      </c>
      <c r="AB39" s="27">
        <v>87.47</v>
      </c>
      <c r="AC39" s="27">
        <v>42.94</v>
      </c>
      <c r="AD39" s="27">
        <v>69.58</v>
      </c>
      <c r="AE39" s="27">
        <v>90.92</v>
      </c>
    </row>
    <row r="40" spans="1:31" ht="15" customHeight="1" x14ac:dyDescent="0.2">
      <c r="A40" s="28">
        <v>41297</v>
      </c>
      <c r="B40" s="27">
        <v>9.15</v>
      </c>
      <c r="C40" s="27">
        <v>58.93</v>
      </c>
      <c r="D40" s="27">
        <v>74.290000000000006</v>
      </c>
      <c r="E40" s="27">
        <v>11.42</v>
      </c>
      <c r="F40" s="27">
        <v>96.85</v>
      </c>
      <c r="G40" s="27">
        <v>20.62</v>
      </c>
      <c r="H40" s="27">
        <v>115.01</v>
      </c>
      <c r="I40" s="27">
        <v>47.5</v>
      </c>
      <c r="J40" s="27">
        <v>53.95</v>
      </c>
      <c r="K40" s="27">
        <v>21.94</v>
      </c>
      <c r="L40" s="27">
        <v>66.459999999999994</v>
      </c>
      <c r="M40" s="27">
        <v>17.010000000000002</v>
      </c>
      <c r="N40" s="27">
        <v>204.72</v>
      </c>
      <c r="O40" s="27">
        <v>21.11</v>
      </c>
      <c r="P40" s="27">
        <v>72.849999999999994</v>
      </c>
      <c r="Q40" s="27">
        <v>46.23</v>
      </c>
      <c r="R40" s="27">
        <v>0</v>
      </c>
      <c r="S40" s="27">
        <v>37.130000000000003</v>
      </c>
      <c r="T40" s="27">
        <v>93.48</v>
      </c>
      <c r="U40" s="27">
        <v>99.49</v>
      </c>
      <c r="V40" s="27">
        <v>42.82</v>
      </c>
      <c r="W40" s="27">
        <v>27.61</v>
      </c>
      <c r="X40" s="27">
        <v>26.65</v>
      </c>
      <c r="Y40" s="27">
        <v>70.69</v>
      </c>
      <c r="Z40" s="27">
        <v>33.78</v>
      </c>
      <c r="AA40" s="27">
        <v>77.64</v>
      </c>
      <c r="AB40" s="27">
        <v>88.07</v>
      </c>
      <c r="AC40" s="27">
        <v>42.79</v>
      </c>
      <c r="AD40" s="27">
        <v>69.489999999999995</v>
      </c>
      <c r="AE40" s="27">
        <v>90.7</v>
      </c>
    </row>
    <row r="41" spans="1:31" ht="15" customHeight="1" x14ac:dyDescent="0.2">
      <c r="A41" s="28">
        <v>41298</v>
      </c>
      <c r="B41" s="27">
        <v>9.0399999999999991</v>
      </c>
      <c r="C41" s="27">
        <v>59.3</v>
      </c>
      <c r="D41" s="27">
        <v>75.319999999999993</v>
      </c>
      <c r="E41" s="27">
        <v>11.53</v>
      </c>
      <c r="F41" s="27">
        <v>96.6</v>
      </c>
      <c r="G41" s="27">
        <v>21.02</v>
      </c>
      <c r="H41" s="27">
        <v>115.5</v>
      </c>
      <c r="I41" s="27">
        <v>48.07</v>
      </c>
      <c r="J41" s="27">
        <v>53.95</v>
      </c>
      <c r="K41" s="27">
        <v>22.05</v>
      </c>
      <c r="L41" s="27">
        <v>67.349999999999994</v>
      </c>
      <c r="M41" s="27">
        <v>17.010000000000002</v>
      </c>
      <c r="N41" s="27">
        <v>204.42</v>
      </c>
      <c r="O41" s="27">
        <v>20.95</v>
      </c>
      <c r="P41" s="27">
        <v>73.099999999999994</v>
      </c>
      <c r="Q41" s="27">
        <v>46.37</v>
      </c>
      <c r="R41" s="27">
        <v>0</v>
      </c>
      <c r="S41" s="27">
        <v>37.11</v>
      </c>
      <c r="T41" s="27">
        <v>93.31</v>
      </c>
      <c r="U41" s="27">
        <v>99.67</v>
      </c>
      <c r="V41" s="27">
        <v>43</v>
      </c>
      <c r="W41" s="27">
        <v>27.63</v>
      </c>
      <c r="X41" s="27">
        <v>26.85</v>
      </c>
      <c r="Y41" s="27">
        <v>70.42</v>
      </c>
      <c r="Z41" s="27">
        <v>33.75</v>
      </c>
      <c r="AA41" s="27">
        <v>78.09</v>
      </c>
      <c r="AB41" s="27">
        <v>88.92</v>
      </c>
      <c r="AC41" s="27">
        <v>42.59</v>
      </c>
      <c r="AD41" s="27">
        <v>69.790000000000006</v>
      </c>
      <c r="AE41" s="27">
        <v>91.35</v>
      </c>
    </row>
    <row r="42" spans="1:31" ht="15" customHeight="1" x14ac:dyDescent="0.2">
      <c r="A42" s="28">
        <v>41299</v>
      </c>
      <c r="B42" s="27">
        <v>9.0299999999999994</v>
      </c>
      <c r="C42" s="27">
        <v>59.5</v>
      </c>
      <c r="D42" s="27">
        <v>75.03</v>
      </c>
      <c r="E42" s="27">
        <v>11.62</v>
      </c>
      <c r="F42" s="27">
        <v>95.58</v>
      </c>
      <c r="G42" s="27">
        <v>21.15</v>
      </c>
      <c r="H42" s="27">
        <v>116.2</v>
      </c>
      <c r="I42" s="27">
        <v>48.33</v>
      </c>
      <c r="J42" s="27">
        <v>54.38</v>
      </c>
      <c r="K42" s="27">
        <v>22.29</v>
      </c>
      <c r="L42" s="27">
        <v>67.819999999999993</v>
      </c>
      <c r="M42" s="27">
        <v>16.989999999999998</v>
      </c>
      <c r="N42" s="27">
        <v>204.97</v>
      </c>
      <c r="O42" s="27">
        <v>20.96</v>
      </c>
      <c r="P42" s="27">
        <v>73.92</v>
      </c>
      <c r="Q42" s="27">
        <v>47.16</v>
      </c>
      <c r="R42" s="27">
        <v>0</v>
      </c>
      <c r="S42" s="27">
        <v>37.049999999999997</v>
      </c>
      <c r="T42" s="27">
        <v>93.72</v>
      </c>
      <c r="U42" s="27">
        <v>100.59</v>
      </c>
      <c r="V42" s="27">
        <v>43.46</v>
      </c>
      <c r="W42" s="27">
        <v>27.88</v>
      </c>
      <c r="X42" s="27">
        <v>27</v>
      </c>
      <c r="Y42" s="27">
        <v>73.25</v>
      </c>
      <c r="Z42" s="27">
        <v>34.020000000000003</v>
      </c>
      <c r="AA42" s="27">
        <v>78.349999999999994</v>
      </c>
      <c r="AB42" s="27">
        <v>89.79</v>
      </c>
      <c r="AC42" s="27">
        <v>42.67</v>
      </c>
      <c r="AD42" s="27">
        <v>69</v>
      </c>
      <c r="AE42" s="27">
        <v>91.73</v>
      </c>
    </row>
    <row r="43" spans="1:31" ht="15" customHeight="1" x14ac:dyDescent="0.2">
      <c r="A43" s="28">
        <v>41302</v>
      </c>
      <c r="B43" s="27">
        <v>8.9</v>
      </c>
      <c r="C43" s="27">
        <v>59.07</v>
      </c>
      <c r="D43" s="27">
        <v>74</v>
      </c>
      <c r="E43" s="27">
        <v>11.48</v>
      </c>
      <c r="F43" s="27">
        <v>97.45</v>
      </c>
      <c r="G43" s="27">
        <v>21.06</v>
      </c>
      <c r="H43" s="27">
        <v>116.04</v>
      </c>
      <c r="I43" s="27">
        <v>48.15</v>
      </c>
      <c r="J43" s="27">
        <v>54.36</v>
      </c>
      <c r="K43" s="27">
        <v>22.5</v>
      </c>
      <c r="L43" s="27">
        <v>67.58</v>
      </c>
      <c r="M43" s="27">
        <v>17.02</v>
      </c>
      <c r="N43" s="27">
        <v>204.93</v>
      </c>
      <c r="O43" s="27">
        <v>21.05</v>
      </c>
      <c r="P43" s="27">
        <v>73.62</v>
      </c>
      <c r="Q43" s="27">
        <v>46.64</v>
      </c>
      <c r="R43" s="27">
        <v>0</v>
      </c>
      <c r="S43" s="27">
        <v>37.01</v>
      </c>
      <c r="T43" s="27">
        <v>94.36</v>
      </c>
      <c r="U43" s="27">
        <v>100.65</v>
      </c>
      <c r="V43" s="27">
        <v>42.93</v>
      </c>
      <c r="W43" s="27">
        <v>27.91</v>
      </c>
      <c r="X43" s="27">
        <v>26.84</v>
      </c>
      <c r="Y43" s="27">
        <v>73.77</v>
      </c>
      <c r="Z43" s="27">
        <v>34.130000000000003</v>
      </c>
      <c r="AA43" s="27">
        <v>77.349999999999994</v>
      </c>
      <c r="AB43" s="27">
        <v>89.8</v>
      </c>
      <c r="AC43" s="27">
        <v>42.77</v>
      </c>
      <c r="AD43" s="27">
        <v>69.349999999999994</v>
      </c>
      <c r="AE43" s="27">
        <v>91.11</v>
      </c>
    </row>
    <row r="44" spans="1:31" ht="15" customHeight="1" x14ac:dyDescent="0.2">
      <c r="A44" s="28">
        <v>41303</v>
      </c>
      <c r="B44" s="27">
        <v>8.8800000000000008</v>
      </c>
      <c r="C44" s="27">
        <v>59.45</v>
      </c>
      <c r="D44" s="27">
        <v>73.650000000000006</v>
      </c>
      <c r="E44" s="27">
        <v>11.49</v>
      </c>
      <c r="F44" s="27">
        <v>98.6</v>
      </c>
      <c r="G44" s="27">
        <v>20.78</v>
      </c>
      <c r="H44" s="27">
        <v>117.21</v>
      </c>
      <c r="I44" s="27">
        <v>47.96</v>
      </c>
      <c r="J44" s="27">
        <v>53.99</v>
      </c>
      <c r="K44" s="27">
        <v>22.5</v>
      </c>
      <c r="L44" s="27">
        <v>67.2</v>
      </c>
      <c r="M44" s="27">
        <v>16.48</v>
      </c>
      <c r="N44" s="27">
        <v>203.9</v>
      </c>
      <c r="O44" s="27">
        <v>21.28</v>
      </c>
      <c r="P44" s="27">
        <v>74.41</v>
      </c>
      <c r="Q44" s="27">
        <v>47.12</v>
      </c>
      <c r="R44" s="27">
        <v>0</v>
      </c>
      <c r="S44" s="27">
        <v>37.42</v>
      </c>
      <c r="T44" s="27">
        <v>94.92</v>
      </c>
      <c r="U44" s="27">
        <v>101.81</v>
      </c>
      <c r="V44" s="27">
        <v>43.66</v>
      </c>
      <c r="W44" s="27">
        <v>28.01</v>
      </c>
      <c r="X44" s="27">
        <v>27.7</v>
      </c>
      <c r="Y44" s="27">
        <v>75</v>
      </c>
      <c r="Z44" s="27">
        <v>34.68</v>
      </c>
      <c r="AA44" s="27">
        <v>77.81</v>
      </c>
      <c r="AB44" s="27">
        <v>89.76</v>
      </c>
      <c r="AC44" s="27">
        <v>43.5</v>
      </c>
      <c r="AD44" s="27">
        <v>69.89</v>
      </c>
      <c r="AE44" s="27">
        <v>91.76</v>
      </c>
    </row>
    <row r="45" spans="1:31" ht="15" customHeight="1" x14ac:dyDescent="0.2">
      <c r="A45" s="28">
        <v>41304</v>
      </c>
      <c r="B45" s="27">
        <v>8.8000000000000007</v>
      </c>
      <c r="C45" s="27">
        <v>59.33</v>
      </c>
      <c r="D45" s="27">
        <v>74.59</v>
      </c>
      <c r="E45" s="27">
        <v>11.38</v>
      </c>
      <c r="F45" s="27">
        <v>98.65</v>
      </c>
      <c r="G45" s="27">
        <v>20.58</v>
      </c>
      <c r="H45" s="27">
        <v>116.45</v>
      </c>
      <c r="I45" s="27">
        <v>47.63</v>
      </c>
      <c r="J45" s="27">
        <v>53.79</v>
      </c>
      <c r="K45" s="27">
        <v>22.23</v>
      </c>
      <c r="L45" s="27">
        <v>67.239999999999995</v>
      </c>
      <c r="M45" s="27">
        <v>16.399999999999999</v>
      </c>
      <c r="N45" s="27">
        <v>203.52</v>
      </c>
      <c r="O45" s="27">
        <v>21.37</v>
      </c>
      <c r="P45" s="27">
        <v>74.09</v>
      </c>
      <c r="Q45" s="27">
        <v>47.13</v>
      </c>
      <c r="R45" s="27">
        <v>0</v>
      </c>
      <c r="S45" s="27">
        <v>37.5</v>
      </c>
      <c r="T45" s="27">
        <v>94.67</v>
      </c>
      <c r="U45" s="27">
        <v>100.8</v>
      </c>
      <c r="V45" s="27">
        <v>43.5</v>
      </c>
      <c r="W45" s="27">
        <v>27.85</v>
      </c>
      <c r="X45" s="27">
        <v>27.51</v>
      </c>
      <c r="Y45" s="27">
        <v>75.08</v>
      </c>
      <c r="Z45" s="27">
        <v>34.479999999999997</v>
      </c>
      <c r="AA45" s="27">
        <v>77.58</v>
      </c>
      <c r="AB45" s="27">
        <v>89.1</v>
      </c>
      <c r="AC45" s="27">
        <v>43.61</v>
      </c>
      <c r="AD45" s="27">
        <v>69.75</v>
      </c>
      <c r="AE45" s="27">
        <v>90.67</v>
      </c>
    </row>
    <row r="46" spans="1:31" ht="15" customHeight="1" x14ac:dyDescent="0.2">
      <c r="A46" s="28">
        <v>41305</v>
      </c>
      <c r="B46" s="27">
        <v>8.84</v>
      </c>
      <c r="C46" s="27">
        <v>58.81</v>
      </c>
      <c r="D46" s="27">
        <v>73.87</v>
      </c>
      <c r="E46" s="27">
        <v>11.32</v>
      </c>
      <c r="F46" s="27">
        <v>98.39</v>
      </c>
      <c r="G46" s="27">
        <v>20.57</v>
      </c>
      <c r="H46" s="27">
        <v>115.15</v>
      </c>
      <c r="I46" s="27">
        <v>47.45</v>
      </c>
      <c r="J46" s="27">
        <v>53.88</v>
      </c>
      <c r="K46" s="27">
        <v>22.28</v>
      </c>
      <c r="L46" s="27">
        <v>66.92</v>
      </c>
      <c r="M46" s="27">
        <v>16.510000000000002</v>
      </c>
      <c r="N46" s="27">
        <v>203.07</v>
      </c>
      <c r="O46" s="27">
        <v>21.04</v>
      </c>
      <c r="P46" s="27">
        <v>73.92</v>
      </c>
      <c r="Q46" s="27">
        <v>47.05</v>
      </c>
      <c r="R46" s="27">
        <v>0</v>
      </c>
      <c r="S46" s="27">
        <v>37.24</v>
      </c>
      <c r="T46" s="27">
        <v>95.29</v>
      </c>
      <c r="U46" s="27">
        <v>100.55</v>
      </c>
      <c r="V46" s="27">
        <v>43.25</v>
      </c>
      <c r="W46" s="27">
        <v>27.45</v>
      </c>
      <c r="X46" s="27">
        <v>27.28</v>
      </c>
      <c r="Y46" s="27">
        <v>75.16</v>
      </c>
      <c r="Z46" s="27">
        <v>34.79</v>
      </c>
      <c r="AA46" s="27">
        <v>78.459999999999994</v>
      </c>
      <c r="AB46" s="27">
        <v>87.57</v>
      </c>
      <c r="AC46" s="27">
        <v>43.61</v>
      </c>
      <c r="AD46" s="27">
        <v>69.95</v>
      </c>
      <c r="AE46" s="27">
        <v>89.97</v>
      </c>
    </row>
    <row r="47" spans="1:31" ht="15" customHeight="1" x14ac:dyDescent="0.2">
      <c r="A47" s="28">
        <v>41306</v>
      </c>
      <c r="B47" s="27">
        <v>9</v>
      </c>
      <c r="C47" s="27">
        <v>59.91</v>
      </c>
      <c r="D47" s="27">
        <v>74.87</v>
      </c>
      <c r="E47" s="27">
        <v>11.71</v>
      </c>
      <c r="F47" s="27">
        <v>99.49</v>
      </c>
      <c r="G47" s="27">
        <v>20.83</v>
      </c>
      <c r="H47" s="27">
        <v>116.5</v>
      </c>
      <c r="I47" s="27">
        <v>47.98</v>
      </c>
      <c r="J47" s="27">
        <v>54.59</v>
      </c>
      <c r="K47" s="27">
        <v>22.62</v>
      </c>
      <c r="L47" s="27">
        <v>67.3</v>
      </c>
      <c r="M47" s="27">
        <v>16.46</v>
      </c>
      <c r="N47" s="27">
        <v>205.18</v>
      </c>
      <c r="O47" s="27">
        <v>21.36</v>
      </c>
      <c r="P47" s="27">
        <v>74.180000000000007</v>
      </c>
      <c r="Q47" s="27">
        <v>47.85</v>
      </c>
      <c r="R47" s="27">
        <v>0</v>
      </c>
      <c r="S47" s="27">
        <v>37.54</v>
      </c>
      <c r="T47" s="27">
        <v>95.95</v>
      </c>
      <c r="U47" s="27">
        <v>101.56</v>
      </c>
      <c r="V47" s="27">
        <v>41.83</v>
      </c>
      <c r="W47" s="27">
        <v>27.93</v>
      </c>
      <c r="X47" s="27">
        <v>27.63</v>
      </c>
      <c r="Y47" s="27">
        <v>75.92</v>
      </c>
      <c r="Z47" s="27">
        <v>35.51</v>
      </c>
      <c r="AA47" s="27">
        <v>79.89</v>
      </c>
      <c r="AB47" s="27">
        <v>89.84</v>
      </c>
      <c r="AC47" s="27">
        <v>44.56</v>
      </c>
      <c r="AD47" s="27">
        <v>70.489999999999995</v>
      </c>
      <c r="AE47" s="27">
        <v>90.04</v>
      </c>
    </row>
    <row r="48" spans="1:31" ht="15" customHeight="1" x14ac:dyDescent="0.2">
      <c r="A48" s="28">
        <v>41309</v>
      </c>
      <c r="B48" s="27">
        <v>8.86</v>
      </c>
      <c r="C48" s="27">
        <v>59.41</v>
      </c>
      <c r="D48" s="27">
        <v>75.209999999999994</v>
      </c>
      <c r="E48" s="27">
        <v>11.48</v>
      </c>
      <c r="F48" s="27">
        <v>98.26</v>
      </c>
      <c r="G48" s="27">
        <v>20.82</v>
      </c>
      <c r="H48" s="27">
        <v>115.2</v>
      </c>
      <c r="I48" s="27">
        <v>47.44</v>
      </c>
      <c r="J48" s="27">
        <v>53.9</v>
      </c>
      <c r="K48" s="27">
        <v>22.31</v>
      </c>
      <c r="L48" s="27">
        <v>66.36</v>
      </c>
      <c r="M48" s="27">
        <v>16.18</v>
      </c>
      <c r="N48" s="27">
        <v>203.79</v>
      </c>
      <c r="O48" s="27">
        <v>21.16</v>
      </c>
      <c r="P48" s="27">
        <v>74.11</v>
      </c>
      <c r="Q48" s="27">
        <v>47.68</v>
      </c>
      <c r="R48" s="27">
        <v>0</v>
      </c>
      <c r="S48" s="27">
        <v>37.35</v>
      </c>
      <c r="T48" s="27">
        <v>94.6</v>
      </c>
      <c r="U48" s="27">
        <v>100.77</v>
      </c>
      <c r="V48" s="27">
        <v>40.85</v>
      </c>
      <c r="W48" s="27">
        <v>27.44</v>
      </c>
      <c r="X48" s="27">
        <v>27.17</v>
      </c>
      <c r="Y48" s="27">
        <v>75.25</v>
      </c>
      <c r="Z48" s="27">
        <v>35.229999999999997</v>
      </c>
      <c r="AA48" s="27">
        <v>78</v>
      </c>
      <c r="AB48" s="27">
        <v>89.54</v>
      </c>
      <c r="AC48" s="27">
        <v>44.52</v>
      </c>
      <c r="AD48" s="27">
        <v>69.63</v>
      </c>
      <c r="AE48" s="27">
        <v>89.15</v>
      </c>
    </row>
    <row r="49" spans="1:31" ht="15" customHeight="1" x14ac:dyDescent="0.2">
      <c r="A49" s="28">
        <v>41310</v>
      </c>
      <c r="B49" s="27">
        <v>8.94</v>
      </c>
      <c r="C49" s="27">
        <v>60.66</v>
      </c>
      <c r="D49" s="27">
        <v>75.89</v>
      </c>
      <c r="E49" s="27">
        <v>11.88</v>
      </c>
      <c r="F49" s="27">
        <v>98.44</v>
      </c>
      <c r="G49" s="27">
        <v>21.08</v>
      </c>
      <c r="H49" s="27">
        <v>115.81</v>
      </c>
      <c r="I49" s="27">
        <v>47.6</v>
      </c>
      <c r="J49" s="27">
        <v>54.29</v>
      </c>
      <c r="K49" s="27">
        <v>22.54</v>
      </c>
      <c r="L49" s="27">
        <v>66.39</v>
      </c>
      <c r="M49" s="27">
        <v>16.61</v>
      </c>
      <c r="N49" s="27">
        <v>202.79</v>
      </c>
      <c r="O49" s="27">
        <v>21.18</v>
      </c>
      <c r="P49" s="27">
        <v>74.66</v>
      </c>
      <c r="Q49" s="27">
        <v>48.79</v>
      </c>
      <c r="R49" s="27">
        <v>0</v>
      </c>
      <c r="S49" s="27">
        <v>38.14</v>
      </c>
      <c r="T49" s="27">
        <v>94.91</v>
      </c>
      <c r="U49" s="27">
        <v>101.49</v>
      </c>
      <c r="V49" s="27">
        <v>41.43</v>
      </c>
      <c r="W49" s="27">
        <v>27.5</v>
      </c>
      <c r="X49" s="27">
        <v>27.51</v>
      </c>
      <c r="Y49" s="27">
        <v>75.7</v>
      </c>
      <c r="Z49" s="27">
        <v>35.35</v>
      </c>
      <c r="AA49" s="27">
        <v>78.650000000000006</v>
      </c>
      <c r="AB49" s="27">
        <v>89.26</v>
      </c>
      <c r="AC49" s="27">
        <v>44.56</v>
      </c>
      <c r="AD49" s="27">
        <v>70.77</v>
      </c>
      <c r="AE49" s="27">
        <v>89.74</v>
      </c>
    </row>
    <row r="50" spans="1:31" ht="15" customHeight="1" x14ac:dyDescent="0.2">
      <c r="A50" s="28">
        <v>41311</v>
      </c>
      <c r="B50" s="27">
        <v>8.9600000000000009</v>
      </c>
      <c r="C50" s="27">
        <v>60.56</v>
      </c>
      <c r="D50" s="27">
        <v>76.290000000000006</v>
      </c>
      <c r="E50" s="27">
        <v>11.93</v>
      </c>
      <c r="F50" s="27">
        <v>97.7</v>
      </c>
      <c r="G50" s="27">
        <v>21.19</v>
      </c>
      <c r="H50" s="27">
        <v>115.91</v>
      </c>
      <c r="I50" s="27">
        <v>47.44</v>
      </c>
      <c r="J50" s="27">
        <v>54.52</v>
      </c>
      <c r="K50" s="27">
        <v>22.44</v>
      </c>
      <c r="L50" s="27">
        <v>66.67</v>
      </c>
      <c r="M50" s="27">
        <v>16.690000000000001</v>
      </c>
      <c r="N50" s="27">
        <v>201.02</v>
      </c>
      <c r="O50" s="27">
        <v>20.99</v>
      </c>
      <c r="P50" s="27">
        <v>75.39</v>
      </c>
      <c r="Q50" s="27">
        <v>48.61</v>
      </c>
      <c r="R50" s="27">
        <v>0</v>
      </c>
      <c r="S50" s="27">
        <v>38.31</v>
      </c>
      <c r="T50" s="27">
        <v>95.07</v>
      </c>
      <c r="U50" s="27">
        <v>102.69</v>
      </c>
      <c r="V50" s="27">
        <v>41.09</v>
      </c>
      <c r="W50" s="27">
        <v>27.34</v>
      </c>
      <c r="X50" s="27">
        <v>27.32</v>
      </c>
      <c r="Y50" s="27">
        <v>76.150000000000006</v>
      </c>
      <c r="Z50" s="27">
        <v>35.43</v>
      </c>
      <c r="AA50" s="27">
        <v>78.959999999999994</v>
      </c>
      <c r="AB50" s="27">
        <v>89.37</v>
      </c>
      <c r="AC50" s="27">
        <v>44.75</v>
      </c>
      <c r="AD50" s="27">
        <v>71.31</v>
      </c>
      <c r="AE50" s="27">
        <v>89.79</v>
      </c>
    </row>
    <row r="51" spans="1:31" ht="15" customHeight="1" x14ac:dyDescent="0.2">
      <c r="A51" s="28">
        <v>41312</v>
      </c>
      <c r="B51" s="27">
        <v>8.9</v>
      </c>
      <c r="C51" s="27">
        <v>62.14</v>
      </c>
      <c r="D51" s="27">
        <v>77.430000000000007</v>
      </c>
      <c r="E51" s="27">
        <v>11.84</v>
      </c>
      <c r="F51" s="27">
        <v>96.11</v>
      </c>
      <c r="G51" s="27">
        <v>21.1</v>
      </c>
      <c r="H51" s="27">
        <v>115.02</v>
      </c>
      <c r="I51" s="27">
        <v>47.29</v>
      </c>
      <c r="J51" s="27">
        <v>54.36</v>
      </c>
      <c r="K51" s="27">
        <v>22.48</v>
      </c>
      <c r="L51" s="27">
        <v>66.31</v>
      </c>
      <c r="M51" s="27">
        <v>16.440000000000001</v>
      </c>
      <c r="N51" s="27">
        <v>199.74</v>
      </c>
      <c r="O51" s="27">
        <v>20.81</v>
      </c>
      <c r="P51" s="27">
        <v>75.06</v>
      </c>
      <c r="Q51" s="27">
        <v>48.23</v>
      </c>
      <c r="R51" s="27">
        <v>0</v>
      </c>
      <c r="S51" s="27">
        <v>38.909999999999997</v>
      </c>
      <c r="T51" s="27">
        <v>94.63</v>
      </c>
      <c r="U51" s="27">
        <v>102.22</v>
      </c>
      <c r="V51" s="27">
        <v>41</v>
      </c>
      <c r="W51" s="27">
        <v>27.28</v>
      </c>
      <c r="X51" s="27">
        <v>26.96</v>
      </c>
      <c r="Y51" s="27">
        <v>76.150000000000006</v>
      </c>
      <c r="Z51" s="27">
        <v>35.270000000000003</v>
      </c>
      <c r="AA51" s="27">
        <v>79.12</v>
      </c>
      <c r="AB51" s="27">
        <v>89.95</v>
      </c>
      <c r="AC51" s="27">
        <v>44.46</v>
      </c>
      <c r="AD51" s="27">
        <v>71.23</v>
      </c>
      <c r="AE51" s="27">
        <v>88.25</v>
      </c>
    </row>
    <row r="52" spans="1:31" ht="15" customHeight="1" x14ac:dyDescent="0.2">
      <c r="A52" s="28">
        <v>41313</v>
      </c>
      <c r="B52" s="27">
        <v>8.94</v>
      </c>
      <c r="C52" s="27">
        <v>61.8</v>
      </c>
      <c r="D52" s="27">
        <v>76.56</v>
      </c>
      <c r="E52" s="27">
        <v>11.76</v>
      </c>
      <c r="F52" s="27">
        <v>96.85</v>
      </c>
      <c r="G52" s="27">
        <v>21.16</v>
      </c>
      <c r="H52" s="27">
        <v>115.64</v>
      </c>
      <c r="I52" s="27">
        <v>47.5</v>
      </c>
      <c r="J52" s="27">
        <v>54.66</v>
      </c>
      <c r="K52" s="27">
        <v>22.5</v>
      </c>
      <c r="L52" s="27">
        <v>67.010000000000005</v>
      </c>
      <c r="M52" s="27">
        <v>16.87</v>
      </c>
      <c r="N52" s="27">
        <v>201.68</v>
      </c>
      <c r="O52" s="27">
        <v>21</v>
      </c>
      <c r="P52" s="27">
        <v>75.48</v>
      </c>
      <c r="Q52" s="27">
        <v>48.63</v>
      </c>
      <c r="R52" s="27">
        <v>0</v>
      </c>
      <c r="S52" s="27">
        <v>38.770000000000003</v>
      </c>
      <c r="T52" s="27">
        <v>94.87</v>
      </c>
      <c r="U52" s="27">
        <v>102.66</v>
      </c>
      <c r="V52" s="27">
        <v>41.18</v>
      </c>
      <c r="W52" s="27">
        <v>27.55</v>
      </c>
      <c r="X52" s="27">
        <v>26.88</v>
      </c>
      <c r="Y52" s="27">
        <v>75.75</v>
      </c>
      <c r="Z52" s="27">
        <v>35.270000000000003</v>
      </c>
      <c r="AA52" s="27">
        <v>78.86</v>
      </c>
      <c r="AB52" s="27">
        <v>90.09</v>
      </c>
      <c r="AC52" s="27">
        <v>44.35</v>
      </c>
      <c r="AD52" s="27">
        <v>71.48</v>
      </c>
      <c r="AE52" s="27">
        <v>88.61</v>
      </c>
    </row>
    <row r="53" spans="1:31" ht="15" customHeight="1" x14ac:dyDescent="0.2">
      <c r="A53" s="28">
        <v>41316</v>
      </c>
      <c r="B53" s="27">
        <v>8.8699999999999992</v>
      </c>
      <c r="C53" s="27">
        <v>61.98</v>
      </c>
      <c r="D53" s="27">
        <v>75.87</v>
      </c>
      <c r="E53" s="27">
        <v>11.86</v>
      </c>
      <c r="F53" s="27">
        <v>96.6</v>
      </c>
      <c r="G53" s="27">
        <v>21.27</v>
      </c>
      <c r="H53" s="27">
        <v>115.64</v>
      </c>
      <c r="I53" s="27">
        <v>47.76</v>
      </c>
      <c r="J53" s="27">
        <v>54.75</v>
      </c>
      <c r="K53" s="27">
        <v>22.45</v>
      </c>
      <c r="L53" s="27">
        <v>66.38</v>
      </c>
      <c r="M53" s="27">
        <v>16.829999999999998</v>
      </c>
      <c r="N53" s="27">
        <v>200.16</v>
      </c>
      <c r="O53" s="27">
        <v>21.03</v>
      </c>
      <c r="P53" s="27">
        <v>75.41</v>
      </c>
      <c r="Q53" s="27">
        <v>48.66</v>
      </c>
      <c r="R53" s="27">
        <v>0</v>
      </c>
      <c r="S53" s="27">
        <v>38.61</v>
      </c>
      <c r="T53" s="27">
        <v>95.17</v>
      </c>
      <c r="U53" s="27">
        <v>102.62</v>
      </c>
      <c r="V53" s="27">
        <v>41.38</v>
      </c>
      <c r="W53" s="27">
        <v>27.86</v>
      </c>
      <c r="X53" s="27">
        <v>27.14</v>
      </c>
      <c r="Y53" s="27">
        <v>75.81</v>
      </c>
      <c r="Z53" s="27">
        <v>35.229999999999997</v>
      </c>
      <c r="AA53" s="27">
        <v>79.209999999999994</v>
      </c>
      <c r="AB53" s="27">
        <v>89.61</v>
      </c>
      <c r="AC53" s="27">
        <v>44.32</v>
      </c>
      <c r="AD53" s="27">
        <v>71.400000000000006</v>
      </c>
      <c r="AE53" s="27">
        <v>88.28</v>
      </c>
    </row>
    <row r="54" spans="1:31" ht="15" customHeight="1" x14ac:dyDescent="0.2">
      <c r="A54" s="28">
        <v>41317</v>
      </c>
      <c r="B54" s="27">
        <v>9.0299999999999994</v>
      </c>
      <c r="C54" s="27">
        <v>62.2</v>
      </c>
      <c r="D54" s="27">
        <v>75.989999999999995</v>
      </c>
      <c r="E54" s="27">
        <v>12.25</v>
      </c>
      <c r="F54" s="27">
        <v>97.22</v>
      </c>
      <c r="G54" s="27">
        <v>20.97</v>
      </c>
      <c r="H54" s="27">
        <v>116.5</v>
      </c>
      <c r="I54" s="27">
        <v>47.98</v>
      </c>
      <c r="J54" s="27">
        <v>54.95</v>
      </c>
      <c r="K54" s="27">
        <v>22.58</v>
      </c>
      <c r="L54" s="27">
        <v>67.319999999999993</v>
      </c>
      <c r="M54" s="27">
        <v>17.100000000000001</v>
      </c>
      <c r="N54" s="27">
        <v>200.04</v>
      </c>
      <c r="O54" s="27">
        <v>21.19</v>
      </c>
      <c r="P54" s="27">
        <v>75.8</v>
      </c>
      <c r="Q54" s="27">
        <v>49.14</v>
      </c>
      <c r="R54" s="27">
        <v>0</v>
      </c>
      <c r="S54" s="27">
        <v>37.56</v>
      </c>
      <c r="T54" s="27">
        <v>95.1</v>
      </c>
      <c r="U54" s="27">
        <v>103.46</v>
      </c>
      <c r="V54" s="27">
        <v>41.45</v>
      </c>
      <c r="W54" s="27">
        <v>27.88</v>
      </c>
      <c r="X54" s="27">
        <v>26.99</v>
      </c>
      <c r="Y54" s="27">
        <v>75.98</v>
      </c>
      <c r="Z54" s="27">
        <v>35.6</v>
      </c>
      <c r="AA54" s="27">
        <v>79.900000000000006</v>
      </c>
      <c r="AB54" s="27">
        <v>89.98</v>
      </c>
      <c r="AC54" s="27">
        <v>44.44</v>
      </c>
      <c r="AD54" s="27">
        <v>71.400000000000006</v>
      </c>
      <c r="AE54" s="27">
        <v>88.46</v>
      </c>
    </row>
    <row r="55" spans="1:31" ht="15" customHeight="1" x14ac:dyDescent="0.2">
      <c r="A55" s="28">
        <v>41318</v>
      </c>
      <c r="B55" s="27">
        <v>9.1</v>
      </c>
      <c r="C55" s="27">
        <v>62.1</v>
      </c>
      <c r="D55" s="27">
        <v>74.78</v>
      </c>
      <c r="E55" s="27">
        <v>12.17</v>
      </c>
      <c r="F55" s="27">
        <v>96.38</v>
      </c>
      <c r="G55" s="27">
        <v>21.14</v>
      </c>
      <c r="H55" s="27">
        <v>115.53</v>
      </c>
      <c r="I55" s="27">
        <v>47.58</v>
      </c>
      <c r="J55" s="27">
        <v>54.96</v>
      </c>
      <c r="K55" s="27">
        <v>23.39</v>
      </c>
      <c r="L55" s="27">
        <v>67.45</v>
      </c>
      <c r="M55" s="27">
        <v>17.010000000000002</v>
      </c>
      <c r="N55" s="27">
        <v>200.09</v>
      </c>
      <c r="O55" s="27">
        <v>21.25</v>
      </c>
      <c r="P55" s="27">
        <v>75.66</v>
      </c>
      <c r="Q55" s="27">
        <v>48.68</v>
      </c>
      <c r="R55" s="27">
        <v>0</v>
      </c>
      <c r="S55" s="27">
        <v>37.21</v>
      </c>
      <c r="T55" s="27">
        <v>94</v>
      </c>
      <c r="U55" s="27">
        <v>102.86</v>
      </c>
      <c r="V55" s="27">
        <v>41.15</v>
      </c>
      <c r="W55" s="27">
        <v>28.03</v>
      </c>
      <c r="X55" s="27">
        <v>27</v>
      </c>
      <c r="Y55" s="27">
        <v>76.56</v>
      </c>
      <c r="Z55" s="27">
        <v>35.42</v>
      </c>
      <c r="AA55" s="27">
        <v>79.989999999999995</v>
      </c>
      <c r="AB55" s="27">
        <v>89.5</v>
      </c>
      <c r="AC55" s="27">
        <v>44.52</v>
      </c>
      <c r="AD55" s="27">
        <v>71.39</v>
      </c>
      <c r="AE55" s="27">
        <v>88.67</v>
      </c>
    </row>
    <row r="56" spans="1:31" ht="15" customHeight="1" x14ac:dyDescent="0.2">
      <c r="A56" s="28">
        <v>41319</v>
      </c>
      <c r="B56" s="27">
        <v>9.2899999999999991</v>
      </c>
      <c r="C56" s="27">
        <v>62.34</v>
      </c>
      <c r="D56" s="27">
        <v>74.930000000000007</v>
      </c>
      <c r="E56" s="27">
        <v>12.13</v>
      </c>
      <c r="F56" s="27">
        <v>96.07</v>
      </c>
      <c r="G56" s="27">
        <v>20.99</v>
      </c>
      <c r="H56" s="27">
        <v>115.71</v>
      </c>
      <c r="I56" s="27">
        <v>47.23</v>
      </c>
      <c r="J56" s="27">
        <v>54.88</v>
      </c>
      <c r="K56" s="27">
        <v>23.41</v>
      </c>
      <c r="L56" s="27">
        <v>67.34</v>
      </c>
      <c r="M56" s="27">
        <v>17.03</v>
      </c>
      <c r="N56" s="27">
        <v>199.65</v>
      </c>
      <c r="O56" s="27">
        <v>21.23</v>
      </c>
      <c r="P56" s="27">
        <v>75.81</v>
      </c>
      <c r="Q56" s="27">
        <v>49.22</v>
      </c>
      <c r="R56" s="27">
        <v>0</v>
      </c>
      <c r="S56" s="27">
        <v>36.840000000000003</v>
      </c>
      <c r="T56" s="27">
        <v>93.56</v>
      </c>
      <c r="U56" s="27">
        <v>102.78</v>
      </c>
      <c r="V56" s="27">
        <v>41.19</v>
      </c>
      <c r="W56" s="27">
        <v>28.04</v>
      </c>
      <c r="X56" s="27">
        <v>27.06</v>
      </c>
      <c r="Y56" s="27">
        <v>76.78</v>
      </c>
      <c r="Z56" s="27">
        <v>35.29</v>
      </c>
      <c r="AA56" s="27">
        <v>80.34</v>
      </c>
      <c r="AB56" s="27">
        <v>89.69</v>
      </c>
      <c r="AC56" s="27">
        <v>44.33</v>
      </c>
      <c r="AD56" s="27">
        <v>70.819999999999993</v>
      </c>
      <c r="AE56" s="27">
        <v>88.52</v>
      </c>
    </row>
    <row r="57" spans="1:31" ht="15" customHeight="1" x14ac:dyDescent="0.2">
      <c r="A57" s="28">
        <v>41320</v>
      </c>
      <c r="B57" s="27">
        <v>9.32</v>
      </c>
      <c r="C57" s="27">
        <v>61.69</v>
      </c>
      <c r="D57" s="27">
        <v>75.03</v>
      </c>
      <c r="E57" s="27">
        <v>12.03</v>
      </c>
      <c r="F57" s="27">
        <v>95.61</v>
      </c>
      <c r="G57" s="27">
        <v>20.99</v>
      </c>
      <c r="H57" s="27">
        <v>114.96</v>
      </c>
      <c r="I57" s="27">
        <v>46.94</v>
      </c>
      <c r="J57" s="27">
        <v>55.61</v>
      </c>
      <c r="K57" s="27">
        <v>23.29</v>
      </c>
      <c r="L57" s="27">
        <v>67.52</v>
      </c>
      <c r="M57" s="27">
        <v>16.79</v>
      </c>
      <c r="N57" s="27">
        <v>200.98</v>
      </c>
      <c r="O57" s="27">
        <v>21.12</v>
      </c>
      <c r="P57" s="27">
        <v>76.16</v>
      </c>
      <c r="Q57" s="27">
        <v>48.88</v>
      </c>
      <c r="R57" s="27">
        <v>0</v>
      </c>
      <c r="S57" s="27">
        <v>37.42</v>
      </c>
      <c r="T57" s="27">
        <v>93.9</v>
      </c>
      <c r="U57" s="27">
        <v>103.23</v>
      </c>
      <c r="V57" s="27">
        <v>41.42</v>
      </c>
      <c r="W57" s="27">
        <v>28.01</v>
      </c>
      <c r="X57" s="27">
        <v>27.29</v>
      </c>
      <c r="Y57" s="27">
        <v>76.540000000000006</v>
      </c>
      <c r="Z57" s="27">
        <v>35.36</v>
      </c>
      <c r="AA57" s="27">
        <v>80.39</v>
      </c>
      <c r="AB57" s="27">
        <v>90.78</v>
      </c>
      <c r="AC57" s="27">
        <v>44.4</v>
      </c>
      <c r="AD57" s="27">
        <v>69.3</v>
      </c>
      <c r="AE57" s="27">
        <v>88.36</v>
      </c>
    </row>
    <row r="58" spans="1:31" ht="15" customHeight="1" x14ac:dyDescent="0.2">
      <c r="A58" s="28">
        <v>41324</v>
      </c>
      <c r="B58" s="27">
        <v>9.06</v>
      </c>
      <c r="C58" s="27">
        <v>62.28</v>
      </c>
      <c r="D58" s="27">
        <v>74.650000000000006</v>
      </c>
      <c r="E58" s="27">
        <v>12.19</v>
      </c>
      <c r="F58" s="27">
        <v>95.6</v>
      </c>
      <c r="G58" s="27">
        <v>21.46</v>
      </c>
      <c r="H58" s="27">
        <v>115.92</v>
      </c>
      <c r="I58" s="27">
        <v>47.18</v>
      </c>
      <c r="J58" s="27">
        <v>55.73</v>
      </c>
      <c r="K58" s="27">
        <v>23.75</v>
      </c>
      <c r="L58" s="27">
        <v>67.55</v>
      </c>
      <c r="M58" s="27">
        <v>16.89</v>
      </c>
      <c r="N58" s="27">
        <v>200.32</v>
      </c>
      <c r="O58" s="27">
        <v>21.09</v>
      </c>
      <c r="P58" s="27">
        <v>76.959999999999994</v>
      </c>
      <c r="Q58" s="27">
        <v>49.45</v>
      </c>
      <c r="R58" s="27">
        <v>0</v>
      </c>
      <c r="S58" s="27">
        <v>37.67</v>
      </c>
      <c r="T58" s="27">
        <v>93.85</v>
      </c>
      <c r="U58" s="27">
        <v>104.18</v>
      </c>
      <c r="V58" s="27">
        <v>42.22</v>
      </c>
      <c r="W58" s="27">
        <v>28.05</v>
      </c>
      <c r="X58" s="27">
        <v>27.71</v>
      </c>
      <c r="Y58" s="27">
        <v>77.38</v>
      </c>
      <c r="Z58" s="27">
        <v>35.67</v>
      </c>
      <c r="AA58" s="27">
        <v>80.599999999999994</v>
      </c>
      <c r="AB58" s="27">
        <v>91.02</v>
      </c>
      <c r="AC58" s="27">
        <v>44.5</v>
      </c>
      <c r="AD58" s="27">
        <v>68.760000000000005</v>
      </c>
      <c r="AE58" s="27">
        <v>89.32</v>
      </c>
    </row>
    <row r="59" spans="1:31" ht="15" customHeight="1" x14ac:dyDescent="0.2">
      <c r="A59" s="28">
        <v>41325</v>
      </c>
      <c r="B59" s="27">
        <v>8.76</v>
      </c>
      <c r="C59" s="27">
        <v>61.91</v>
      </c>
      <c r="D59" s="27">
        <v>74.78</v>
      </c>
      <c r="E59" s="27">
        <v>11.8</v>
      </c>
      <c r="F59" s="27">
        <v>93.22</v>
      </c>
      <c r="G59" s="27">
        <v>21.11</v>
      </c>
      <c r="H59" s="27">
        <v>114.99</v>
      </c>
      <c r="I59" s="27">
        <v>46.54</v>
      </c>
      <c r="J59" s="27">
        <v>54.6</v>
      </c>
      <c r="K59" s="27">
        <v>23.41</v>
      </c>
      <c r="L59" s="27">
        <v>66.44</v>
      </c>
      <c r="M59" s="27">
        <v>16.7</v>
      </c>
      <c r="N59" s="27">
        <v>199.31</v>
      </c>
      <c r="O59" s="27">
        <v>20.73</v>
      </c>
      <c r="P59" s="27">
        <v>76.650000000000006</v>
      </c>
      <c r="Q59" s="27">
        <v>48.61</v>
      </c>
      <c r="R59" s="27">
        <v>0</v>
      </c>
      <c r="S59" s="27">
        <v>37.729999999999997</v>
      </c>
      <c r="T59" s="27">
        <v>93.91</v>
      </c>
      <c r="U59" s="27">
        <v>103.15</v>
      </c>
      <c r="V59" s="27">
        <v>42.66</v>
      </c>
      <c r="W59" s="27">
        <v>27.87</v>
      </c>
      <c r="X59" s="27">
        <v>27.57</v>
      </c>
      <c r="Y59" s="27">
        <v>77.08</v>
      </c>
      <c r="Z59" s="27">
        <v>35.47</v>
      </c>
      <c r="AA59" s="27">
        <v>80.11</v>
      </c>
      <c r="AB59" s="27">
        <v>90.16</v>
      </c>
      <c r="AC59" s="27">
        <v>44.92</v>
      </c>
      <c r="AD59" s="27">
        <v>69.209999999999994</v>
      </c>
      <c r="AE59" s="27">
        <v>88.97</v>
      </c>
    </row>
    <row r="60" spans="1:31" ht="15" customHeight="1" x14ac:dyDescent="0.2">
      <c r="A60" s="28">
        <v>41326</v>
      </c>
      <c r="B60" s="27">
        <v>8.66</v>
      </c>
      <c r="C60" s="27">
        <v>61.54</v>
      </c>
      <c r="D60" s="27">
        <v>76.010000000000005</v>
      </c>
      <c r="E60" s="27">
        <v>11.42</v>
      </c>
      <c r="F60" s="27">
        <v>91.53</v>
      </c>
      <c r="G60" s="27">
        <v>20.76</v>
      </c>
      <c r="H60" s="27">
        <v>114.99</v>
      </c>
      <c r="I60" s="27">
        <v>46.52</v>
      </c>
      <c r="J60" s="27">
        <v>54.17</v>
      </c>
      <c r="K60" s="27">
        <v>23.26</v>
      </c>
      <c r="L60" s="27">
        <v>64.38</v>
      </c>
      <c r="M60" s="27">
        <v>17.100000000000001</v>
      </c>
      <c r="N60" s="27">
        <v>198.33</v>
      </c>
      <c r="O60" s="27">
        <v>20.25</v>
      </c>
      <c r="P60" s="27">
        <v>76.87</v>
      </c>
      <c r="Q60" s="27">
        <v>48.25</v>
      </c>
      <c r="R60" s="27">
        <v>0</v>
      </c>
      <c r="S60" s="27">
        <v>37.71</v>
      </c>
      <c r="T60" s="27">
        <v>94.14</v>
      </c>
      <c r="U60" s="27">
        <v>102.72</v>
      </c>
      <c r="V60" s="27">
        <v>42.5</v>
      </c>
      <c r="W60" s="27">
        <v>27.49</v>
      </c>
      <c r="X60" s="27">
        <v>27.41</v>
      </c>
      <c r="Y60" s="27">
        <v>77.040000000000006</v>
      </c>
      <c r="Z60" s="27">
        <v>35.43</v>
      </c>
      <c r="AA60" s="27">
        <v>80.38</v>
      </c>
      <c r="AB60" s="27">
        <v>89.41</v>
      </c>
      <c r="AC60" s="27">
        <v>45.12</v>
      </c>
      <c r="AD60" s="27">
        <v>70.260000000000005</v>
      </c>
      <c r="AE60" s="27">
        <v>88.59</v>
      </c>
    </row>
    <row r="61" spans="1:31" ht="15" customHeight="1" x14ac:dyDescent="0.2">
      <c r="A61" s="28">
        <v>41327</v>
      </c>
      <c r="B61" s="27">
        <v>8.64</v>
      </c>
      <c r="C61" s="27">
        <v>62.57</v>
      </c>
      <c r="D61" s="27">
        <v>76.66</v>
      </c>
      <c r="E61" s="27">
        <v>11.44</v>
      </c>
      <c r="F61" s="27">
        <v>91.54</v>
      </c>
      <c r="G61" s="27">
        <v>20.9</v>
      </c>
      <c r="H61" s="27">
        <v>115.96</v>
      </c>
      <c r="I61" s="27">
        <v>47.24</v>
      </c>
      <c r="J61" s="27">
        <v>54.25</v>
      </c>
      <c r="K61" s="27">
        <v>23.39</v>
      </c>
      <c r="L61" s="27">
        <v>65.58</v>
      </c>
      <c r="M61" s="27">
        <v>19.2</v>
      </c>
      <c r="N61" s="27">
        <v>201.09</v>
      </c>
      <c r="O61" s="27">
        <v>20.420000000000002</v>
      </c>
      <c r="P61" s="27">
        <v>76.25</v>
      </c>
      <c r="Q61" s="27">
        <v>48.91</v>
      </c>
      <c r="R61" s="27">
        <v>0</v>
      </c>
      <c r="S61" s="27">
        <v>38.520000000000003</v>
      </c>
      <c r="T61" s="27">
        <v>95.25</v>
      </c>
      <c r="U61" s="27">
        <v>103.54</v>
      </c>
      <c r="V61" s="27">
        <v>42.97</v>
      </c>
      <c r="W61" s="27">
        <v>27.76</v>
      </c>
      <c r="X61" s="27">
        <v>27.38</v>
      </c>
      <c r="Y61" s="27">
        <v>76.989999999999995</v>
      </c>
      <c r="Z61" s="27">
        <v>35.68</v>
      </c>
      <c r="AA61" s="27">
        <v>81.010000000000005</v>
      </c>
      <c r="AB61" s="27">
        <v>90.49</v>
      </c>
      <c r="AC61" s="27">
        <v>45.4</v>
      </c>
      <c r="AD61" s="27">
        <v>70.400000000000006</v>
      </c>
      <c r="AE61" s="27">
        <v>89.2</v>
      </c>
    </row>
    <row r="62" spans="1:31" ht="15" customHeight="1" x14ac:dyDescent="0.2">
      <c r="A62" s="28">
        <v>41330</v>
      </c>
      <c r="B62" s="27">
        <v>8.42</v>
      </c>
      <c r="C62" s="27">
        <v>62.02</v>
      </c>
      <c r="D62" s="27">
        <v>75.03</v>
      </c>
      <c r="E62" s="27">
        <v>11.03</v>
      </c>
      <c r="F62" s="27">
        <v>89.16</v>
      </c>
      <c r="G62" s="27">
        <v>20.66</v>
      </c>
      <c r="H62" s="27">
        <v>113.54</v>
      </c>
      <c r="I62" s="27">
        <v>46.43</v>
      </c>
      <c r="J62" s="27">
        <v>53.59</v>
      </c>
      <c r="K62" s="27">
        <v>22.81</v>
      </c>
      <c r="L62" s="27">
        <v>63.92</v>
      </c>
      <c r="M62" s="27">
        <v>19.07</v>
      </c>
      <c r="N62" s="27">
        <v>197.51</v>
      </c>
      <c r="O62" s="27">
        <v>20.23</v>
      </c>
      <c r="P62" s="27">
        <v>75.569999999999993</v>
      </c>
      <c r="Q62" s="27">
        <v>47.7</v>
      </c>
      <c r="R62" s="27">
        <v>0</v>
      </c>
      <c r="S62" s="27">
        <v>37.72</v>
      </c>
      <c r="T62" s="27">
        <v>96.14</v>
      </c>
      <c r="U62" s="27">
        <v>101.75</v>
      </c>
      <c r="V62" s="27">
        <v>42.52</v>
      </c>
      <c r="W62" s="27">
        <v>27.37</v>
      </c>
      <c r="X62" s="27">
        <v>26.84</v>
      </c>
      <c r="Y62" s="27">
        <v>75.92</v>
      </c>
      <c r="Z62" s="27">
        <v>35.19</v>
      </c>
      <c r="AA62" s="27">
        <v>79.25</v>
      </c>
      <c r="AB62" s="27">
        <v>88.37</v>
      </c>
      <c r="AC62" s="27">
        <v>45.72</v>
      </c>
      <c r="AD62" s="27">
        <v>70.44</v>
      </c>
      <c r="AE62" s="27">
        <v>87.7</v>
      </c>
    </row>
    <row r="63" spans="1:31" ht="15" customHeight="1" x14ac:dyDescent="0.2">
      <c r="A63" s="28">
        <v>41331</v>
      </c>
      <c r="B63" s="27">
        <v>8.41</v>
      </c>
      <c r="C63" s="27">
        <v>61.92</v>
      </c>
      <c r="D63" s="27">
        <v>75.650000000000006</v>
      </c>
      <c r="E63" s="27">
        <v>11.13</v>
      </c>
      <c r="F63" s="27">
        <v>89.95</v>
      </c>
      <c r="G63" s="27">
        <v>20.61</v>
      </c>
      <c r="H63" s="27">
        <v>114.96</v>
      </c>
      <c r="I63" s="27">
        <v>46.97</v>
      </c>
      <c r="J63" s="27">
        <v>53.9</v>
      </c>
      <c r="K63" s="27">
        <v>23.05</v>
      </c>
      <c r="L63" s="27">
        <v>67.56</v>
      </c>
      <c r="M63" s="27">
        <v>19.79</v>
      </c>
      <c r="N63" s="27">
        <v>199.14</v>
      </c>
      <c r="O63" s="27">
        <v>20.58</v>
      </c>
      <c r="P63" s="27">
        <v>75.75</v>
      </c>
      <c r="Q63" s="27">
        <v>47.6</v>
      </c>
      <c r="R63" s="27">
        <v>0</v>
      </c>
      <c r="S63" s="27">
        <v>38.11</v>
      </c>
      <c r="T63" s="27">
        <v>96.22</v>
      </c>
      <c r="U63" s="27">
        <v>102.31</v>
      </c>
      <c r="V63" s="27">
        <v>42.42</v>
      </c>
      <c r="W63" s="27">
        <v>27.37</v>
      </c>
      <c r="X63" s="27">
        <v>27.03</v>
      </c>
      <c r="Y63" s="27">
        <v>76.08</v>
      </c>
      <c r="Z63" s="27">
        <v>35.49</v>
      </c>
      <c r="AA63" s="27">
        <v>80.040000000000006</v>
      </c>
      <c r="AB63" s="27">
        <v>89.2</v>
      </c>
      <c r="AC63" s="27">
        <v>46.12</v>
      </c>
      <c r="AD63" s="27">
        <v>71.11</v>
      </c>
      <c r="AE63" s="27">
        <v>88.51</v>
      </c>
    </row>
    <row r="64" spans="1:31" ht="15" customHeight="1" x14ac:dyDescent="0.2">
      <c r="A64" s="28">
        <v>41332</v>
      </c>
      <c r="B64" s="27">
        <v>8.5399999999999991</v>
      </c>
      <c r="C64" s="27">
        <v>62.5</v>
      </c>
      <c r="D64" s="27">
        <v>77.36</v>
      </c>
      <c r="E64" s="27">
        <v>11.3</v>
      </c>
      <c r="F64" s="27">
        <v>92.25</v>
      </c>
      <c r="G64" s="27">
        <v>20.89</v>
      </c>
      <c r="H64" s="27">
        <v>116.65</v>
      </c>
      <c r="I64" s="27">
        <v>47.51</v>
      </c>
      <c r="J64" s="27">
        <v>54.48</v>
      </c>
      <c r="K64" s="27">
        <v>23.37</v>
      </c>
      <c r="L64" s="27">
        <v>68.06</v>
      </c>
      <c r="M64" s="27">
        <v>19.77</v>
      </c>
      <c r="N64" s="27">
        <v>202.33</v>
      </c>
      <c r="O64" s="27">
        <v>20.93</v>
      </c>
      <c r="P64" s="27">
        <v>76.319999999999993</v>
      </c>
      <c r="Q64" s="27">
        <v>49.28</v>
      </c>
      <c r="R64" s="27">
        <v>0</v>
      </c>
      <c r="S64" s="27">
        <v>38.450000000000003</v>
      </c>
      <c r="T64" s="27">
        <v>95.73</v>
      </c>
      <c r="U64" s="27">
        <v>103.57</v>
      </c>
      <c r="V64" s="27">
        <v>42.97</v>
      </c>
      <c r="W64" s="27">
        <v>27.81</v>
      </c>
      <c r="X64" s="27">
        <v>27.41</v>
      </c>
      <c r="Y64" s="27">
        <v>76.75</v>
      </c>
      <c r="Z64" s="27">
        <v>35.85</v>
      </c>
      <c r="AA64" s="27">
        <v>80.78</v>
      </c>
      <c r="AB64" s="27">
        <v>90.57</v>
      </c>
      <c r="AC64" s="27">
        <v>46.35</v>
      </c>
      <c r="AD64" s="27">
        <v>71.66</v>
      </c>
      <c r="AE64" s="27">
        <v>89.53</v>
      </c>
    </row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ht="15" customHeight="1" x14ac:dyDescent="0.2"/>
    <row r="1154" ht="15" customHeight="1" x14ac:dyDescent="0.2"/>
    <row r="1155" ht="15" customHeight="1" x14ac:dyDescent="0.2"/>
    <row r="1156" ht="15" customHeight="1" x14ac:dyDescent="0.2"/>
    <row r="1157" ht="15" customHeight="1" x14ac:dyDescent="0.2"/>
    <row r="1158" ht="15" customHeight="1" x14ac:dyDescent="0.2"/>
    <row r="1159" ht="15" customHeight="1" x14ac:dyDescent="0.2"/>
    <row r="1160" ht="15" customHeight="1" x14ac:dyDescent="0.2"/>
    <row r="1161" ht="15" customHeight="1" x14ac:dyDescent="0.2"/>
    <row r="1162" ht="15" customHeight="1" x14ac:dyDescent="0.2"/>
    <row r="1163" ht="15" customHeight="1" x14ac:dyDescent="0.2"/>
    <row r="1164" ht="15" customHeight="1" x14ac:dyDescent="0.2"/>
    <row r="1165" ht="15" customHeight="1" x14ac:dyDescent="0.2"/>
    <row r="1166" ht="15" customHeight="1" x14ac:dyDescent="0.2"/>
    <row r="1167" ht="15" customHeight="1" x14ac:dyDescent="0.2"/>
    <row r="1168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  <row r="1260" ht="15" customHeight="1" x14ac:dyDescent="0.2"/>
    <row r="1261" ht="1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CONTROL</vt:lpstr>
      <vt:lpstr>DATA</vt:lpstr>
      <vt:lpstr>TREND_CHART</vt:lpstr>
      <vt:lpstr>HIST_DATA</vt:lpstr>
      <vt:lpstr>INDEX</vt:lpstr>
      <vt:lpstr>INPUTS</vt:lpstr>
      <vt:lpstr>NO_PERIODS</vt:lpstr>
      <vt:lpstr>PARAMETERS</vt:lpstr>
    </vt:vector>
  </TitlesOfParts>
  <Company>ProcessTrends.com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Fermin</dc:creator>
  <cp:lastModifiedBy>Windows User</cp:lastModifiedBy>
  <dcterms:created xsi:type="dcterms:W3CDTF">2006-06-22T15:34:45Z</dcterms:created>
  <dcterms:modified xsi:type="dcterms:W3CDTF">2013-02-28T03:54:18Z</dcterms:modified>
</cp:coreProperties>
</file>