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360" yWindow="480" windowWidth="18855" windowHeight="8085" activeTab="3"/>
  </bookViews>
  <sheets>
    <sheet name="SCREENER" sheetId="5" r:id="rId1"/>
    <sheet name="MODEL" sheetId="2" r:id="rId2"/>
    <sheet name="SYSTEM_CHART" sheetId="3" r:id="rId3"/>
    <sheet name="PRICES_CHART" sheetId="4" r:id="rId4"/>
  </sheets>
  <externalReferences>
    <externalReference r:id="rId5"/>
  </externalReferences>
  <definedNames>
    <definedName name="_xlnm._FilterDatabase" localSheetId="0" hidden="1">SCREENER!$E$9:$N$509</definedName>
    <definedName name="BUY_HOLD">MODEL!$Q$5:$Q$125</definedName>
    <definedName name="CASH">MODEL!$O$5:$O$125</definedName>
    <definedName name="DATES">MODEL!$E$5:$E$125</definedName>
    <definedName name="HIST_DATA">MODEL!$E$5:$K$125</definedName>
    <definedName name="INPUTS1">MODEL!$C$4:$C$9</definedName>
    <definedName name="INPUTS2">SCREENER!$C$10</definedName>
    <definedName name="PARAMETERS">SCREENER!$C$2:$C$7</definedName>
    <definedName name="POSITION1">MODEL!$E$4</definedName>
    <definedName name="POSITION2">SCREENER!$E$9</definedName>
    <definedName name="PRICES">MODEL!$K$5:$K$125</definedName>
    <definedName name="SYSTEM">MODEL!$P$5:$P$125</definedName>
    <definedName name="VOLUME">MODEL!$J$5:$J$125</definedName>
  </definedNames>
  <calcPr calcId="145621"/>
</workbook>
</file>

<file path=xl/calcChain.xml><?xml version="1.0" encoding="utf-8"?>
<calcChain xmlns="http://schemas.openxmlformats.org/spreadsheetml/2006/main">
  <c r="C6" i="2" l="1"/>
  <c r="C3" i="5"/>
  <c r="C2" i="5" s="1"/>
  <c r="C13" i="2" a="1"/>
  <c r="C17" i="2" l="1"/>
  <c r="C16" i="2"/>
  <c r="C15" i="2"/>
  <c r="C14" i="2"/>
  <c r="C13" i="2"/>
  <c r="C5" i="2"/>
  <c r="B16" i="2" l="1"/>
  <c r="B17" i="2"/>
</calcChain>
</file>

<file path=xl/comments1.xml><?xml version="1.0" encoding="utf-8"?>
<comments xmlns="http://schemas.openxmlformats.org/spreadsheetml/2006/main">
  <authors>
    <author>Nico</author>
  </authors>
  <commentList>
    <comment ref="B7" authorId="0">
      <text>
        <r>
          <rPr>
            <b/>
            <sz val="9"/>
            <color indexed="81"/>
            <rFont val="Tahoma"/>
            <family val="2"/>
          </rPr>
          <t>Nico:</t>
        </r>
        <r>
          <rPr>
            <sz val="9"/>
            <color indexed="81"/>
            <rFont val="Tahoma"/>
            <family val="2"/>
          </rPr>
          <t xml:space="preserve">
0 = MAX CAGR
1 = MAX SHARPE</t>
        </r>
      </text>
    </comment>
  </commentList>
</comments>
</file>

<file path=xl/sharedStrings.xml><?xml version="1.0" encoding="utf-8"?>
<sst xmlns="http://schemas.openxmlformats.org/spreadsheetml/2006/main" count="1543" uniqueCount="1031">
  <si>
    <t>TICKER</t>
  </si>
  <si>
    <t>DATE</t>
  </si>
  <si>
    <t>OPEN</t>
  </si>
  <si>
    <t>HIGH</t>
  </si>
  <si>
    <t>LOW</t>
  </si>
  <si>
    <t>CLOSE</t>
  </si>
  <si>
    <t>VOLUME</t>
  </si>
  <si>
    <t>START DATE</t>
  </si>
  <si>
    <t>END DATE</t>
  </si>
  <si>
    <t>INITIAL CASH</t>
  </si>
  <si>
    <t>CONTROL</t>
  </si>
  <si>
    <t>BUY MONTH</t>
  </si>
  <si>
    <t>SELL MONTH</t>
  </si>
  <si>
    <t>MONTH</t>
  </si>
  <si>
    <t>EQUITY</t>
  </si>
  <si>
    <t>CASH</t>
  </si>
  <si>
    <t>Monthly Strategy</t>
  </si>
  <si>
    <t>NAME</t>
  </si>
  <si>
    <t>SYSTEM SHARPE</t>
  </si>
  <si>
    <t>SYSTEM MEAN</t>
  </si>
  <si>
    <t>SYSTEM VOLATILITY</t>
  </si>
  <si>
    <t>STARTING PERIOD</t>
  </si>
  <si>
    <t>ENDING PERIOD</t>
  </si>
  <si>
    <t>SYSTEM CAGR</t>
  </si>
  <si>
    <t>BUY HOLD CAGR</t>
  </si>
  <si>
    <t>VERSION</t>
  </si>
  <si>
    <t>SYSTEM MONTHLY AVG RETURN</t>
  </si>
  <si>
    <t>SYSTEM MONTHLY VOLATILITY</t>
  </si>
  <si>
    <t>ADJ.CLOSE</t>
  </si>
  <si>
    <t>RETURN</t>
  </si>
  <si>
    <t>Agilent Technologies Inc.</t>
  </si>
  <si>
    <t>A</t>
  </si>
  <si>
    <t>Alcoa, Inc.</t>
  </si>
  <si>
    <t>AA</t>
  </si>
  <si>
    <t>Apple Inc.</t>
  </si>
  <si>
    <t>AAPL</t>
  </si>
  <si>
    <t>AmerisourceBergen Corporation</t>
  </si>
  <si>
    <t>ABC</t>
  </si>
  <si>
    <t>Abbott Laboratories</t>
  </si>
  <si>
    <t>ABT</t>
  </si>
  <si>
    <t>ACE Limited</t>
  </si>
  <si>
    <t>ACE</t>
  </si>
  <si>
    <t>Adobe Systems Inc.</t>
  </si>
  <si>
    <t>ADBE</t>
  </si>
  <si>
    <t>Analog Devices Inc.</t>
  </si>
  <si>
    <t>ADI</t>
  </si>
  <si>
    <t>Archer Daniels Midland Company</t>
  </si>
  <si>
    <t>ADM</t>
  </si>
  <si>
    <t>Automatic Data Processing, Inc.</t>
  </si>
  <si>
    <t>ADP</t>
  </si>
  <si>
    <t>Autodesk, Inc.</t>
  </si>
  <si>
    <t>ADSK</t>
  </si>
  <si>
    <t>Ameren Corporation</t>
  </si>
  <si>
    <t>AEE</t>
  </si>
  <si>
    <t>American Electric Power Co., Inc.</t>
  </si>
  <si>
    <t>AEP</t>
  </si>
  <si>
    <t>The AES Corporation</t>
  </si>
  <si>
    <t>AES</t>
  </si>
  <si>
    <t>Aetna Inc.</t>
  </si>
  <si>
    <t>AET</t>
  </si>
  <si>
    <t>AFLAC Inc.</t>
  </si>
  <si>
    <t>AFL</t>
  </si>
  <si>
    <t>Allergan Inc.</t>
  </si>
  <si>
    <t>AGN</t>
  </si>
  <si>
    <t>American International Group, Inc.</t>
  </si>
  <si>
    <t>AIG</t>
  </si>
  <si>
    <t>Apartment Investment &amp; Management Co.</t>
  </si>
  <si>
    <t>AIV</t>
  </si>
  <si>
    <t>Assurant Inc.</t>
  </si>
  <si>
    <t>AIZ</t>
  </si>
  <si>
    <t>Akamai Technologies Inc.</t>
  </si>
  <si>
    <t>AKAM</t>
  </si>
  <si>
    <t>AK Steel Holding Corporation</t>
  </si>
  <si>
    <t>AKS</t>
  </si>
  <si>
    <t>The Allstate Corporation</t>
  </si>
  <si>
    <t>ALL</t>
  </si>
  <si>
    <t>Altera Corp.</t>
  </si>
  <si>
    <t>ALTR</t>
  </si>
  <si>
    <t>Applied Materials Inc.</t>
  </si>
  <si>
    <t>AMAT</t>
  </si>
  <si>
    <t>Advanced Micro Devices, Inc.</t>
  </si>
  <si>
    <t>AMD</t>
  </si>
  <si>
    <t>Amgen Inc.</t>
  </si>
  <si>
    <t>AMGN</t>
  </si>
  <si>
    <t>Ameriprise Financial Inc.</t>
  </si>
  <si>
    <t>AMP</t>
  </si>
  <si>
    <t>American Tower Corp.</t>
  </si>
  <si>
    <t>AMT</t>
  </si>
  <si>
    <t>Amazon.com Inc.</t>
  </si>
  <si>
    <t>AMZN</t>
  </si>
  <si>
    <t>AutoNation Inc.</t>
  </si>
  <si>
    <t>AN</t>
  </si>
  <si>
    <t>Abercrombie &amp; Fitch Co.</t>
  </si>
  <si>
    <t>ANF</t>
  </si>
  <si>
    <t>Aon Corporation</t>
  </si>
  <si>
    <t>AON</t>
  </si>
  <si>
    <t>Apache Corp.</t>
  </si>
  <si>
    <t>APA</t>
  </si>
  <si>
    <t>Anadarko Petroleum Corporation</t>
  </si>
  <si>
    <t>APC</t>
  </si>
  <si>
    <t>Air Products &amp; Chemicals Inc.</t>
  </si>
  <si>
    <t>APD</t>
  </si>
  <si>
    <t>Amphenol Corporation</t>
  </si>
  <si>
    <t>APH</t>
  </si>
  <si>
    <t>Apollo Group Inc.</t>
  </si>
  <si>
    <t>APOL</t>
  </si>
  <si>
    <t>Airgas Inc.</t>
  </si>
  <si>
    <t>ARG</t>
  </si>
  <si>
    <t>Allegheny Technologies Inc.</t>
  </si>
  <si>
    <t>ATI</t>
  </si>
  <si>
    <t>Avalonbay Communities Inc.</t>
  </si>
  <si>
    <t>AVB</t>
  </si>
  <si>
    <t>Avon Products Inc.</t>
  </si>
  <si>
    <t>AVP</t>
  </si>
  <si>
    <t>Avery Dennison Corporation</t>
  </si>
  <si>
    <t>AVY</t>
  </si>
  <si>
    <t>American Express Company</t>
  </si>
  <si>
    <t>AXP</t>
  </si>
  <si>
    <t>AutoZone Inc.</t>
  </si>
  <si>
    <t>AZO</t>
  </si>
  <si>
    <t>Boeing Co.</t>
  </si>
  <si>
    <t>BA</t>
  </si>
  <si>
    <t>Bank of America Corporation</t>
  </si>
  <si>
    <t>BAC</t>
  </si>
  <si>
    <t>Baxter International Inc.</t>
  </si>
  <si>
    <t>BAX</t>
  </si>
  <si>
    <t>Bed Bath &amp; Beyond, Inc.</t>
  </si>
  <si>
    <t>BBBY</t>
  </si>
  <si>
    <t>BB &amp; T Corp.</t>
  </si>
  <si>
    <t>BBT</t>
  </si>
  <si>
    <t>Best Buy Co. Inc.</t>
  </si>
  <si>
    <t>BBY</t>
  </si>
  <si>
    <t>CR Bard Inc.</t>
  </si>
  <si>
    <t>BCR</t>
  </si>
  <si>
    <t>Becton, Dickinson and Company</t>
  </si>
  <si>
    <t>BDX</t>
  </si>
  <si>
    <t>Franklin Resources Inc.</t>
  </si>
  <si>
    <t>BEN</t>
  </si>
  <si>
    <t>Brown-Forman Corporation</t>
  </si>
  <si>
    <t>BF-B</t>
  </si>
  <si>
    <t>Baker Hughes Incorporated</t>
  </si>
  <si>
    <t>BHI</t>
  </si>
  <si>
    <t>Big Lots Inc.</t>
  </si>
  <si>
    <t>BIG</t>
  </si>
  <si>
    <t>Biogen Idec Inc.</t>
  </si>
  <si>
    <t>BIIB</t>
  </si>
  <si>
    <t>The Bank of New York Mellon Corporation</t>
  </si>
  <si>
    <t>BK</t>
  </si>
  <si>
    <t>BlackRock, Inc.</t>
  </si>
  <si>
    <t>BLK</t>
  </si>
  <si>
    <t>Ball Corporation</t>
  </si>
  <si>
    <t>BLL</t>
  </si>
  <si>
    <t>BMC Software Inc.</t>
  </si>
  <si>
    <t>BMC</t>
  </si>
  <si>
    <t>Bemis Company, Inc.</t>
  </si>
  <si>
    <t>BMS</t>
  </si>
  <si>
    <t>Bristol-Myers Squibb Company</t>
  </si>
  <si>
    <t>BMY</t>
  </si>
  <si>
    <t>Broadcom Corp.</t>
  </si>
  <si>
    <t>BRCM</t>
  </si>
  <si>
    <t>Berkshire Hathaway Inc.</t>
  </si>
  <si>
    <t>BRK-B</t>
  </si>
  <si>
    <t>Boston Scientific Corporation</t>
  </si>
  <si>
    <t>BSX</t>
  </si>
  <si>
    <t>Peabody Energy Corp.</t>
  </si>
  <si>
    <t>BTU</t>
  </si>
  <si>
    <t>Boston Properties Inc.</t>
  </si>
  <si>
    <t>BXP</t>
  </si>
  <si>
    <t>Citigroup, Inc.</t>
  </si>
  <si>
    <t>C</t>
  </si>
  <si>
    <t>CA Technologies</t>
  </si>
  <si>
    <t>CA</t>
  </si>
  <si>
    <t>ConAgra Foods, Inc.</t>
  </si>
  <si>
    <t>CAG</t>
  </si>
  <si>
    <t>Cardinal Health, Inc.</t>
  </si>
  <si>
    <t>CAH</t>
  </si>
  <si>
    <t>Cameron International Corporation</t>
  </si>
  <si>
    <t>CAM</t>
  </si>
  <si>
    <t>Caterpillar Inc.</t>
  </si>
  <si>
    <t>CAT</t>
  </si>
  <si>
    <t>The Chubb Corporation</t>
  </si>
  <si>
    <t>CB</t>
  </si>
  <si>
    <t>CB Richard Ellis Group, Inc.</t>
  </si>
  <si>
    <t>CBG</t>
  </si>
  <si>
    <t>CBS Corporation</t>
  </si>
  <si>
    <t>CBS</t>
  </si>
  <si>
    <t>Coca-Cola Enterprises Inc.</t>
  </si>
  <si>
    <t>CCE</t>
  </si>
  <si>
    <t>Carnival Corporation</t>
  </si>
  <si>
    <t>CCL</t>
  </si>
  <si>
    <t>Constellation Energy Group, Inc.</t>
  </si>
  <si>
    <t>CEG</t>
  </si>
  <si>
    <t>Celgene Corporation</t>
  </si>
  <si>
    <t>CELG</t>
  </si>
  <si>
    <t>Cephalon Inc.</t>
  </si>
  <si>
    <t>CEPH</t>
  </si>
  <si>
    <t>Cerner Corporation</t>
  </si>
  <si>
    <t>CERN</t>
  </si>
  <si>
    <t>CF Industries Holdings, Inc.</t>
  </si>
  <si>
    <t>CF</t>
  </si>
  <si>
    <t>CareFusion Corporation</t>
  </si>
  <si>
    <t>CFN</t>
  </si>
  <si>
    <t>Chesapeake Energy Corporation</t>
  </si>
  <si>
    <t>CHK</t>
  </si>
  <si>
    <t>CH Robinson Worldwide Inc.</t>
  </si>
  <si>
    <t>CHRW</t>
  </si>
  <si>
    <t>CIGNA Corporation</t>
  </si>
  <si>
    <t>CI</t>
  </si>
  <si>
    <t>Cincinnati Financial Corp.</t>
  </si>
  <si>
    <t>CINF</t>
  </si>
  <si>
    <t>Colgate-Palmolive Co.</t>
  </si>
  <si>
    <t>CL</t>
  </si>
  <si>
    <t>Cliffs Natural Resources Inc.</t>
  </si>
  <si>
    <t>CLF</t>
  </si>
  <si>
    <t>Clorox Corporation</t>
  </si>
  <si>
    <t>CLX</t>
  </si>
  <si>
    <t>Comerica Incorporated</t>
  </si>
  <si>
    <t>CMA</t>
  </si>
  <si>
    <t>Comcast Corporation</t>
  </si>
  <si>
    <t>CMCSA</t>
  </si>
  <si>
    <t>CME Group Inc.</t>
  </si>
  <si>
    <t>CME</t>
  </si>
  <si>
    <t>Cummins Inc.</t>
  </si>
  <si>
    <t>CMI</t>
  </si>
  <si>
    <t>CMS Energy Corp.</t>
  </si>
  <si>
    <t>CMS</t>
  </si>
  <si>
    <t>CenterPoint Energy, Inc.</t>
  </si>
  <si>
    <t>CNP</t>
  </si>
  <si>
    <t>CONSOL Energy Inc.</t>
  </si>
  <si>
    <t>CNX</t>
  </si>
  <si>
    <t>Capital One Financial Corp.</t>
  </si>
  <si>
    <t>COF</t>
  </si>
  <si>
    <t>Cabot Oil &amp; Gas Corporation</t>
  </si>
  <si>
    <t>COG</t>
  </si>
  <si>
    <t>Coach Inc.</t>
  </si>
  <si>
    <t>COH</t>
  </si>
  <si>
    <t>Rockwell Collins Inc.</t>
  </si>
  <si>
    <t>COL</t>
  </si>
  <si>
    <t>ConocoPhillips</t>
  </si>
  <si>
    <t>COP</t>
  </si>
  <si>
    <t>Costco Wholesale Corporation</t>
  </si>
  <si>
    <t>COST</t>
  </si>
  <si>
    <t>Covidien plc</t>
  </si>
  <si>
    <t>COV</t>
  </si>
  <si>
    <t>Campbell Soup Co.</t>
  </si>
  <si>
    <t>CPB</t>
  </si>
  <si>
    <t>Compuware Corporation</t>
  </si>
  <si>
    <t>CPWR</t>
  </si>
  <si>
    <t>Salesforce.com</t>
  </si>
  <si>
    <t>CRM</t>
  </si>
  <si>
    <t>Computer Sciences Corporation</t>
  </si>
  <si>
    <t>CSC</t>
  </si>
  <si>
    <t>Cisco Systems, Inc.</t>
  </si>
  <si>
    <t>CSCO</t>
  </si>
  <si>
    <t>CSX Corp.</t>
  </si>
  <si>
    <t>CSX</t>
  </si>
  <si>
    <t>Cintas Corporation</t>
  </si>
  <si>
    <t>CTAS</t>
  </si>
  <si>
    <t>CenturyLink, Inc.</t>
  </si>
  <si>
    <t>CTL</t>
  </si>
  <si>
    <t>Cognizant Technology Solutions Corp.</t>
  </si>
  <si>
    <t>CTSH</t>
  </si>
  <si>
    <t>Citrix Systems, Inc.</t>
  </si>
  <si>
    <t>CTXS</t>
  </si>
  <si>
    <t>Cablevision Systems Corporation</t>
  </si>
  <si>
    <t>CVC</t>
  </si>
  <si>
    <t>Coventry Health Care Inc.</t>
  </si>
  <si>
    <t>CVH</t>
  </si>
  <si>
    <t>CVS Caremark Corporation</t>
  </si>
  <si>
    <t>CVS</t>
  </si>
  <si>
    <t>Chevron Corp.</t>
  </si>
  <si>
    <t>CVX</t>
  </si>
  <si>
    <t>Dominion Resources, Inc.</t>
  </si>
  <si>
    <t>D</t>
  </si>
  <si>
    <t>EI DuPont de Nemours &amp; Co.</t>
  </si>
  <si>
    <t>DD</t>
  </si>
  <si>
    <t>Deere &amp; Company</t>
  </si>
  <si>
    <t>DE</t>
  </si>
  <si>
    <t>Dell Inc.</t>
  </si>
  <si>
    <t>DELL</t>
  </si>
  <si>
    <t>Dean Foods Co.</t>
  </si>
  <si>
    <t>DF</t>
  </si>
  <si>
    <t>Discover Financial Services</t>
  </si>
  <si>
    <t>DFS</t>
  </si>
  <si>
    <t>Quest Diagnostics Inc.</t>
  </si>
  <si>
    <t>DGX</t>
  </si>
  <si>
    <t>DR Horton Inc.</t>
  </si>
  <si>
    <t>DHI</t>
  </si>
  <si>
    <t>Danaher Corp.</t>
  </si>
  <si>
    <t>DHR</t>
  </si>
  <si>
    <t>Walt Disney Co.</t>
  </si>
  <si>
    <t>DIS</t>
  </si>
  <si>
    <t>Discovery Communications, Inc.</t>
  </si>
  <si>
    <t>DISCA</t>
  </si>
  <si>
    <t>Dun &amp; Bradstreet Corp.</t>
  </si>
  <si>
    <t>DNB</t>
  </si>
  <si>
    <t>Denbury Resources Inc.</t>
  </si>
  <si>
    <t>DNR</t>
  </si>
  <si>
    <t>Diamond Offshore Drilling Inc.</t>
  </si>
  <si>
    <t>DO</t>
  </si>
  <si>
    <t>Dover Corp.</t>
  </si>
  <si>
    <t>DOV</t>
  </si>
  <si>
    <t>The Dow Chemical Company</t>
  </si>
  <si>
    <t>DOW</t>
  </si>
  <si>
    <t>Dr Pepper Snapple Group, Inc.</t>
  </si>
  <si>
    <t>DPS</t>
  </si>
  <si>
    <t>Darden Restaurants, Inc.</t>
  </si>
  <si>
    <t>DRI</t>
  </si>
  <si>
    <t>DTE Energy Co.</t>
  </si>
  <si>
    <t>DTE</t>
  </si>
  <si>
    <t>DIRECTV</t>
  </si>
  <si>
    <t>DTV</t>
  </si>
  <si>
    <t>Duke Energy Corporation</t>
  </si>
  <si>
    <t>DUK</t>
  </si>
  <si>
    <t>DeVry, Inc.</t>
  </si>
  <si>
    <t>DV</t>
  </si>
  <si>
    <t>DaVita, Inc.</t>
  </si>
  <si>
    <t>DVA</t>
  </si>
  <si>
    <t>Devon Energy Corporation</t>
  </si>
  <si>
    <t>DVN</t>
  </si>
  <si>
    <t>eBay Inc.</t>
  </si>
  <si>
    <t>EBAY</t>
  </si>
  <si>
    <t>Ecolab Inc.</t>
  </si>
  <si>
    <t>ECL</t>
  </si>
  <si>
    <t>Consolidated Edison Inc.</t>
  </si>
  <si>
    <t>ED</t>
  </si>
  <si>
    <t>Equifax Inc.</t>
  </si>
  <si>
    <t>EFX</t>
  </si>
  <si>
    <t>Edison International</t>
  </si>
  <si>
    <t>EIX</t>
  </si>
  <si>
    <t>Estee Lauder Companies Inc.</t>
  </si>
  <si>
    <t>EL</t>
  </si>
  <si>
    <t>EMC Corporation</t>
  </si>
  <si>
    <t>EMC</t>
  </si>
  <si>
    <t>Eastman Chemical Co.</t>
  </si>
  <si>
    <t>EMN</t>
  </si>
  <si>
    <t>Emerson Electric Co.</t>
  </si>
  <si>
    <t>EMR</t>
  </si>
  <si>
    <t>EOG Resources, Inc.</t>
  </si>
  <si>
    <t>EOG</t>
  </si>
  <si>
    <t>El Paso Corp.</t>
  </si>
  <si>
    <t>EP</t>
  </si>
  <si>
    <t>Equity Residential</t>
  </si>
  <si>
    <t>EQR</t>
  </si>
  <si>
    <t>EQT Corporation</t>
  </si>
  <si>
    <t>EQT</t>
  </si>
  <si>
    <t>Electronic Arts Inc.</t>
  </si>
  <si>
    <t>ERTS</t>
  </si>
  <si>
    <t>Express Scripts Inc.</t>
  </si>
  <si>
    <t>ESRX</t>
  </si>
  <si>
    <t>E*TRADE Financial Corporation</t>
  </si>
  <si>
    <t>ETFC</t>
  </si>
  <si>
    <t>Eaton Corporation</t>
  </si>
  <si>
    <t>ETN</t>
  </si>
  <si>
    <t>Entergy Corporation</t>
  </si>
  <si>
    <t>ETR</t>
  </si>
  <si>
    <t>Edwards Lifesciences Corp.</t>
  </si>
  <si>
    <t>EW</t>
  </si>
  <si>
    <t>Exelon Corp.</t>
  </si>
  <si>
    <t>EXC</t>
  </si>
  <si>
    <t>Expeditors International of Washington Inc.</t>
  </si>
  <si>
    <t>EXPD</t>
  </si>
  <si>
    <t>Expedia Inc.</t>
  </si>
  <si>
    <t>EXPE</t>
  </si>
  <si>
    <t>Ford Motor Co.</t>
  </si>
  <si>
    <t>F</t>
  </si>
  <si>
    <t>Fastenal Co.</t>
  </si>
  <si>
    <t>FAST</t>
  </si>
  <si>
    <t>Freeport-McMoRan Copper &amp; Gold Inc.</t>
  </si>
  <si>
    <t>FCX</t>
  </si>
  <si>
    <t>Family Dollar Stores Inc.</t>
  </si>
  <si>
    <t>FDO</t>
  </si>
  <si>
    <t>FedEx Corporation</t>
  </si>
  <si>
    <t>FDX</t>
  </si>
  <si>
    <t>FirstEnergy Corp.</t>
  </si>
  <si>
    <t>FE</t>
  </si>
  <si>
    <t>F5 Networks, Inc.</t>
  </si>
  <si>
    <t>FFIV</t>
  </si>
  <si>
    <t>First Horizon National Corp.</t>
  </si>
  <si>
    <t>FHN</t>
  </si>
  <si>
    <t>Federated Investors, Inc.</t>
  </si>
  <si>
    <t>FII</t>
  </si>
  <si>
    <t>Fidelity National Information Services, Inc.</t>
  </si>
  <si>
    <t>FIS</t>
  </si>
  <si>
    <t>Fiserv, Inc.</t>
  </si>
  <si>
    <t>FISV</t>
  </si>
  <si>
    <t>Fifth Third Bancorp</t>
  </si>
  <si>
    <t>FITB</t>
  </si>
  <si>
    <t>FLIR Systems, Inc.</t>
  </si>
  <si>
    <t>FLIR</t>
  </si>
  <si>
    <t>Fluor Corporation</t>
  </si>
  <si>
    <t>FLR</t>
  </si>
  <si>
    <t>Flowserve Corp.</t>
  </si>
  <si>
    <t>FLS</t>
  </si>
  <si>
    <t>FMC Corp.</t>
  </si>
  <si>
    <t>FMC</t>
  </si>
  <si>
    <t>Fortune Brands Inc.</t>
  </si>
  <si>
    <t>FO</t>
  </si>
  <si>
    <t>Forest Laboratories Inc.</t>
  </si>
  <si>
    <t>FRX</t>
  </si>
  <si>
    <t>First Solar, Inc.</t>
  </si>
  <si>
    <t>FSLR</t>
  </si>
  <si>
    <t>FMC Technologies, Inc.</t>
  </si>
  <si>
    <t>FTI</t>
  </si>
  <si>
    <t>Frontier Communications Corporation</t>
  </si>
  <si>
    <t>FTR</t>
  </si>
  <si>
    <t>Nicor Inc.</t>
  </si>
  <si>
    <t>GAS</t>
  </si>
  <si>
    <t>Gannett Co., Inc.</t>
  </si>
  <si>
    <t>GCI</t>
  </si>
  <si>
    <t>General Dynamics Corp.</t>
  </si>
  <si>
    <t>GD</t>
  </si>
  <si>
    <t>General Electric Co.</t>
  </si>
  <si>
    <t>GE</t>
  </si>
  <si>
    <t>Gilead Sciences Inc.</t>
  </si>
  <si>
    <t>GILD</t>
  </si>
  <si>
    <t>General Mills, Inc.</t>
  </si>
  <si>
    <t>GIS</t>
  </si>
  <si>
    <t>Corning Inc.</t>
  </si>
  <si>
    <t>GLW</t>
  </si>
  <si>
    <t>GameStop Corp.</t>
  </si>
  <si>
    <t>GME</t>
  </si>
  <si>
    <t>Genworth Financial Inc.</t>
  </si>
  <si>
    <t>GNW</t>
  </si>
  <si>
    <t>Google Inc.</t>
  </si>
  <si>
    <t>GOOG</t>
  </si>
  <si>
    <t>Genuine Parts Company</t>
  </si>
  <si>
    <t>GPC</t>
  </si>
  <si>
    <t>Gap Inc.</t>
  </si>
  <si>
    <t>GPS</t>
  </si>
  <si>
    <t>Goodrich Corp.</t>
  </si>
  <si>
    <t>GR</t>
  </si>
  <si>
    <t>The Goldman Sachs Group, Inc.</t>
  </si>
  <si>
    <t>GS</t>
  </si>
  <si>
    <t>Goodyear Tire &amp; Rubber Co.</t>
  </si>
  <si>
    <t>GT</t>
  </si>
  <si>
    <t>W.W. Grainger, Inc.</t>
  </si>
  <si>
    <t>GWW</t>
  </si>
  <si>
    <t>Halliburton Company</t>
  </si>
  <si>
    <t>HAL</t>
  </si>
  <si>
    <t>Harman International Industries Inc.</t>
  </si>
  <si>
    <t>HAR</t>
  </si>
  <si>
    <t>Hasbro Inc.</t>
  </si>
  <si>
    <t>HAS</t>
  </si>
  <si>
    <t>Huntington Bancshares Inc.</t>
  </si>
  <si>
    <t>HBAN</t>
  </si>
  <si>
    <t>Hudson City Bancorp, Inc.</t>
  </si>
  <si>
    <t>HCBK</t>
  </si>
  <si>
    <t>Health Care REIT Inc.</t>
  </si>
  <si>
    <t>HCN</t>
  </si>
  <si>
    <t>HCP, Inc.</t>
  </si>
  <si>
    <t>HCP</t>
  </si>
  <si>
    <t>The Home Depot, Inc.</t>
  </si>
  <si>
    <t>HD</t>
  </si>
  <si>
    <t>Hess Corporation</t>
  </si>
  <si>
    <t>HES</t>
  </si>
  <si>
    <t>Hartford Financial Services Group Inc.</t>
  </si>
  <si>
    <t>HIG</t>
  </si>
  <si>
    <t>HJ Heinz Co.</t>
  </si>
  <si>
    <t>HNZ</t>
  </si>
  <si>
    <t>Harley-Davidson, Inc.</t>
  </si>
  <si>
    <t>HOG</t>
  </si>
  <si>
    <t>Honeywell International Inc.</t>
  </si>
  <si>
    <t>HON</t>
  </si>
  <si>
    <t>Starwood Hotels &amp; Resorts Worldwide Inc.</t>
  </si>
  <si>
    <t>HOT</t>
  </si>
  <si>
    <t>Helmerich &amp; Payne Inc.</t>
  </si>
  <si>
    <t>HP</t>
  </si>
  <si>
    <t>Hewlett-Packard Company</t>
  </si>
  <si>
    <t>HPQ</t>
  </si>
  <si>
    <t>H&amp;R Block, Inc.</t>
  </si>
  <si>
    <t>HRB</t>
  </si>
  <si>
    <t>Hormel Foods Corp.</t>
  </si>
  <si>
    <t>HRL</t>
  </si>
  <si>
    <t>Harris Corp.</t>
  </si>
  <si>
    <t>HRS</t>
  </si>
  <si>
    <t>Hospira Inc.</t>
  </si>
  <si>
    <t>HSP</t>
  </si>
  <si>
    <t>Host Hotels &amp; Resorts Inc.</t>
  </si>
  <si>
    <t>HST</t>
  </si>
  <si>
    <t>Hershey Co.</t>
  </si>
  <si>
    <t>HSY</t>
  </si>
  <si>
    <t>Humana Inc.</t>
  </si>
  <si>
    <t>HUM</t>
  </si>
  <si>
    <t>International Business Machines Corp.</t>
  </si>
  <si>
    <t>IBM</t>
  </si>
  <si>
    <t>IntercontinentalExchange, Inc.</t>
  </si>
  <si>
    <t>ICE</t>
  </si>
  <si>
    <t>International Flavors &amp; Fragrances Inc.</t>
  </si>
  <si>
    <t>IFF</t>
  </si>
  <si>
    <t>International Game Technology</t>
  </si>
  <si>
    <t>IGT</t>
  </si>
  <si>
    <t>Intel Corporation</t>
  </si>
  <si>
    <t>INTC</t>
  </si>
  <si>
    <t>Intuit Inc.</t>
  </si>
  <si>
    <t>INTU</t>
  </si>
  <si>
    <t>International Paper Co.</t>
  </si>
  <si>
    <t>IP</t>
  </si>
  <si>
    <t>The Interpublic Group of Companies, Inc.</t>
  </si>
  <si>
    <t>IPG</t>
  </si>
  <si>
    <t>Ingersoll-Rand Plc</t>
  </si>
  <si>
    <t>IR</t>
  </si>
  <si>
    <t>Iron Mountain Inc.</t>
  </si>
  <si>
    <t>IRM</t>
  </si>
  <si>
    <t>Intuitive Surgical, Inc.</t>
  </si>
  <si>
    <t>ISRG</t>
  </si>
  <si>
    <t>ITT Corporation</t>
  </si>
  <si>
    <t>ITT</t>
  </si>
  <si>
    <t>Illinois Tool Works Inc.</t>
  </si>
  <si>
    <t>ITW</t>
  </si>
  <si>
    <t>Invesco Ltd.</t>
  </si>
  <si>
    <t>IVZ</t>
  </si>
  <si>
    <t>Jabil Circuit Inc.</t>
  </si>
  <si>
    <t>JBL</t>
  </si>
  <si>
    <t>Johnson Controls Inc.</t>
  </si>
  <si>
    <t>JCI</t>
  </si>
  <si>
    <t>J. C. Penney Company, Inc.</t>
  </si>
  <si>
    <t>JCP</t>
  </si>
  <si>
    <t>JDS Uniphase Corporation</t>
  </si>
  <si>
    <t>JDSU</t>
  </si>
  <si>
    <t>Jacobs Engineering Group Inc.</t>
  </si>
  <si>
    <t>JEC</t>
  </si>
  <si>
    <t>Johnson &amp; Johnson</t>
  </si>
  <si>
    <t>JNJ</t>
  </si>
  <si>
    <t>Juniper Networks, Inc.</t>
  </si>
  <si>
    <t>JNPR</t>
  </si>
  <si>
    <t>Janus Capital Group, Inc.</t>
  </si>
  <si>
    <t>JNS</t>
  </si>
  <si>
    <t>Joy Global, Inc.</t>
  </si>
  <si>
    <t>JOYG</t>
  </si>
  <si>
    <t>JPMorgan Chase &amp; Co.</t>
  </si>
  <si>
    <t>JPM</t>
  </si>
  <si>
    <t>Nordstrom Inc.</t>
  </si>
  <si>
    <t>JWN</t>
  </si>
  <si>
    <t>Kellogg Company</t>
  </si>
  <si>
    <t>K</t>
  </si>
  <si>
    <t>KeyCorp</t>
  </si>
  <si>
    <t>KEY</t>
  </si>
  <si>
    <t>Kraft Foods Inc.</t>
  </si>
  <si>
    <t>KFT</t>
  </si>
  <si>
    <t>Kimco Realty Corporation</t>
  </si>
  <si>
    <t>KIM</t>
  </si>
  <si>
    <t>KLA-Tencor Corporation</t>
  </si>
  <si>
    <t>KLAC</t>
  </si>
  <si>
    <t>Kimberly-Clark Corporation</t>
  </si>
  <si>
    <t>KMB</t>
  </si>
  <si>
    <t>CarMax Inc.</t>
  </si>
  <si>
    <t>KMX</t>
  </si>
  <si>
    <t>The Coca-Cola Company</t>
  </si>
  <si>
    <t>KO</t>
  </si>
  <si>
    <t>The Kroger Co.</t>
  </si>
  <si>
    <t>KR</t>
  </si>
  <si>
    <t>Kohl's Corp.</t>
  </si>
  <si>
    <t>KSS</t>
  </si>
  <si>
    <t>Loews Corporation</t>
  </si>
  <si>
    <t>L</t>
  </si>
  <si>
    <t>Leggett &amp; Platt, Incorporated</t>
  </si>
  <si>
    <t>LEG</t>
  </si>
  <si>
    <t>Lennar Corp.</t>
  </si>
  <si>
    <t>LEN</t>
  </si>
  <si>
    <t>Laboratory Corp. of America Holdings</t>
  </si>
  <si>
    <t>LH</t>
  </si>
  <si>
    <t>Life Technologies Corporation</t>
  </si>
  <si>
    <t>LIFE</t>
  </si>
  <si>
    <t>L-3 Communications Holdings Inc.</t>
  </si>
  <si>
    <t>LLL</t>
  </si>
  <si>
    <t>Linear Technology Corp.</t>
  </si>
  <si>
    <t>LLTC</t>
  </si>
  <si>
    <t>Eli Lilly &amp; Co.</t>
  </si>
  <si>
    <t>LLY</t>
  </si>
  <si>
    <t>Legg Mason Inc.</t>
  </si>
  <si>
    <t>LM</t>
  </si>
  <si>
    <t>Lockheed Martin Corporation</t>
  </si>
  <si>
    <t>LMT</t>
  </si>
  <si>
    <t>Lincoln National Corp.</t>
  </si>
  <si>
    <t>LNC</t>
  </si>
  <si>
    <t>Lorillard, Inc.</t>
  </si>
  <si>
    <t>LO</t>
  </si>
  <si>
    <t>Lowe's Companies Inc.</t>
  </si>
  <si>
    <t>LSI Corporation</t>
  </si>
  <si>
    <t>LSI</t>
  </si>
  <si>
    <t>Limited Brands, Inc.</t>
  </si>
  <si>
    <t>LTD</t>
  </si>
  <si>
    <t>Leucadia National Corp.</t>
  </si>
  <si>
    <t>LUK</t>
  </si>
  <si>
    <t>Southwest Airlines Co.</t>
  </si>
  <si>
    <t>LUV</t>
  </si>
  <si>
    <t>Lexmark International Inc.</t>
  </si>
  <si>
    <t>LXK</t>
  </si>
  <si>
    <t>Macy's, Inc.</t>
  </si>
  <si>
    <t>M</t>
  </si>
  <si>
    <t>Mastercard Incorporated</t>
  </si>
  <si>
    <t>MA</t>
  </si>
  <si>
    <t>Marriott International, Inc.</t>
  </si>
  <si>
    <t>MAR</t>
  </si>
  <si>
    <t>Masco Corporation</t>
  </si>
  <si>
    <t>MAS</t>
  </si>
  <si>
    <t>Mattel Inc.</t>
  </si>
  <si>
    <t>MAT</t>
  </si>
  <si>
    <t>McDonald's Corp.</t>
  </si>
  <si>
    <t>MCD</t>
  </si>
  <si>
    <t>Microchip Technology Inc.</t>
  </si>
  <si>
    <t>MCHP</t>
  </si>
  <si>
    <t>McKesson Corporation</t>
  </si>
  <si>
    <t>MCK</t>
  </si>
  <si>
    <t>Moody's Corp.</t>
  </si>
  <si>
    <t>MCO</t>
  </si>
  <si>
    <t>Medtronic, Inc.</t>
  </si>
  <si>
    <t>MDT</t>
  </si>
  <si>
    <t>Massey Energy Co.</t>
  </si>
  <si>
    <t>MEE</t>
  </si>
  <si>
    <t>MetLife, Inc.</t>
  </si>
  <si>
    <t>MET</t>
  </si>
  <si>
    <t>The McGraw-Hill Companies, Inc.</t>
  </si>
  <si>
    <t>MHP</t>
  </si>
  <si>
    <t>MedcoHealth Solutions Inc.</t>
  </si>
  <si>
    <t>MHS</t>
  </si>
  <si>
    <t>Marshall &amp; Ilsley Corporation</t>
  </si>
  <si>
    <t>MI</t>
  </si>
  <si>
    <t>Mead Johnson Nutrition Company</t>
  </si>
  <si>
    <t>MJN</t>
  </si>
  <si>
    <t>McCormick &amp; Co. Inc.</t>
  </si>
  <si>
    <t>MKC</t>
  </si>
  <si>
    <t>Marsh &amp; McLennan Companies, Inc.</t>
  </si>
  <si>
    <t>MMC</t>
  </si>
  <si>
    <t>Motorola Mobility Holdings, Inc.</t>
  </si>
  <si>
    <t>MMI</t>
  </si>
  <si>
    <t>3M Co.</t>
  </si>
  <si>
    <t>MMM</t>
  </si>
  <si>
    <t>Altria Group Inc.</t>
  </si>
  <si>
    <t>MO</t>
  </si>
  <si>
    <t>Molex Inc.</t>
  </si>
  <si>
    <t>MOLX</t>
  </si>
  <si>
    <t>Monsanto Co.</t>
  </si>
  <si>
    <t>MON</t>
  </si>
  <si>
    <t>Merck &amp; Co. Inc.</t>
  </si>
  <si>
    <t>MRK</t>
  </si>
  <si>
    <t>Marathon Oil Corporation</t>
  </si>
  <si>
    <t>MRO</t>
  </si>
  <si>
    <t>Morgan Stanley</t>
  </si>
  <si>
    <t>MS</t>
  </si>
  <si>
    <t>Microsoft Corporation</t>
  </si>
  <si>
    <t>MSFT</t>
  </si>
  <si>
    <t>Motorola Solutions, Inc.</t>
  </si>
  <si>
    <t>MSI</t>
  </si>
  <si>
    <t>M&amp;T Bank Corp.</t>
  </si>
  <si>
    <t>MTB</t>
  </si>
  <si>
    <t>Micron Technology Inc.</t>
  </si>
  <si>
    <t>MU</t>
  </si>
  <si>
    <t>Murphy Oil Corporation</t>
  </si>
  <si>
    <t>MUR</t>
  </si>
  <si>
    <t>MeadWestvaco Corporation</t>
  </si>
  <si>
    <t>MWV</t>
  </si>
  <si>
    <t>Monster Worldwide, Inc.</t>
  </si>
  <si>
    <t>MWW</t>
  </si>
  <si>
    <t>Mylan, Inc.</t>
  </si>
  <si>
    <t>MYL</t>
  </si>
  <si>
    <t>Noble Energy, Inc.</t>
  </si>
  <si>
    <t>NBL</t>
  </si>
  <si>
    <t>Nabors Industries Ltd.</t>
  </si>
  <si>
    <t>NBR</t>
  </si>
  <si>
    <t>Nasdaq OMX Group Inc.</t>
  </si>
  <si>
    <t>NDAQ</t>
  </si>
  <si>
    <t>Noble Corp.</t>
  </si>
  <si>
    <t>NE</t>
  </si>
  <si>
    <t>NextEra Energy, Inc.</t>
  </si>
  <si>
    <t>NEE</t>
  </si>
  <si>
    <t>Newmont Mining Corp.</t>
  </si>
  <si>
    <t>NEM</t>
  </si>
  <si>
    <t>Netflix, Inc.</t>
  </si>
  <si>
    <t>NFLX</t>
  </si>
  <si>
    <t>Newfield Exploration Co.</t>
  </si>
  <si>
    <t>NFX</t>
  </si>
  <si>
    <t>NiSource Inc.</t>
  </si>
  <si>
    <t>NI</t>
  </si>
  <si>
    <t>Nike Inc.</t>
  </si>
  <si>
    <t>NKE</t>
  </si>
  <si>
    <t>Northrop Grumman Corporation</t>
  </si>
  <si>
    <t>NOC</t>
  </si>
  <si>
    <t>National Oilwell Varco, Inc.</t>
  </si>
  <si>
    <t>NOV</t>
  </si>
  <si>
    <t>Novell Inc.</t>
  </si>
  <si>
    <t>NOVL</t>
  </si>
  <si>
    <t>NRG Energy, Inc.</t>
  </si>
  <si>
    <t>NRG</t>
  </si>
  <si>
    <t>Norfolk Southern Corp.</t>
  </si>
  <si>
    <t>NSC</t>
  </si>
  <si>
    <t>National Semiconductor Corporation</t>
  </si>
  <si>
    <t>NSM</t>
  </si>
  <si>
    <t>NetApp, Inc.</t>
  </si>
  <si>
    <t>NTAP</t>
  </si>
  <si>
    <t>Northern Trust Corporation</t>
  </si>
  <si>
    <t>NTRS</t>
  </si>
  <si>
    <t>Northeast Utilities</t>
  </si>
  <si>
    <t>NU</t>
  </si>
  <si>
    <t>Nucor Corporation</t>
  </si>
  <si>
    <t>NUE</t>
  </si>
  <si>
    <t>NVIDIA Corporation</t>
  </si>
  <si>
    <t>NVDA</t>
  </si>
  <si>
    <t>Novellus Systems, Inc.</t>
  </si>
  <si>
    <t>NVLS</t>
  </si>
  <si>
    <t>Newell Rubbermaid Inc.</t>
  </si>
  <si>
    <t>NWL</t>
  </si>
  <si>
    <t>News Corp.</t>
  </si>
  <si>
    <t>NWSA</t>
  </si>
  <si>
    <t>NYSE Euronext, Inc.</t>
  </si>
  <si>
    <t>NYX</t>
  </si>
  <si>
    <t>Owens-Illinois, Inc.</t>
  </si>
  <si>
    <t>OI</t>
  </si>
  <si>
    <t>ONEOK Inc.</t>
  </si>
  <si>
    <t>OKE</t>
  </si>
  <si>
    <t>Omnicom Group Inc.</t>
  </si>
  <si>
    <t>OMC</t>
  </si>
  <si>
    <t>Oracle Corp.</t>
  </si>
  <si>
    <t>ORCL</t>
  </si>
  <si>
    <t>O'Reilly Automotive Inc.</t>
  </si>
  <si>
    <t>ORLY</t>
  </si>
  <si>
    <t>Occidental Petroleum Corporation</t>
  </si>
  <si>
    <t>OXY</t>
  </si>
  <si>
    <t>Paychex Inc.</t>
  </si>
  <si>
    <t>PAYX</t>
  </si>
  <si>
    <t>People's United Financial Inc.</t>
  </si>
  <si>
    <t>PBCT</t>
  </si>
  <si>
    <t>Pitney Bowes Inc.</t>
  </si>
  <si>
    <t>PBI</t>
  </si>
  <si>
    <t>PACCAR Inc.</t>
  </si>
  <si>
    <t>PCAR</t>
  </si>
  <si>
    <t>PG &amp; E Corp.</t>
  </si>
  <si>
    <t>PCG</t>
  </si>
  <si>
    <t>Plum Creek Timber Co. Inc.</t>
  </si>
  <si>
    <t>PCL</t>
  </si>
  <si>
    <t>priceline.com Incorporated</t>
  </si>
  <si>
    <t>PCLN</t>
  </si>
  <si>
    <t>Precision Castparts Corp.</t>
  </si>
  <si>
    <t>PCP</t>
  </si>
  <si>
    <t>MetroPCS Communications, Inc.</t>
  </si>
  <si>
    <t>PCS</t>
  </si>
  <si>
    <t>Patterson Companies Inc.</t>
  </si>
  <si>
    <t>PDCO</t>
  </si>
  <si>
    <t>Public Service Enterprise Group Inc.</t>
  </si>
  <si>
    <t>PEG</t>
  </si>
  <si>
    <t>Pepsico, Inc.</t>
  </si>
  <si>
    <t>PEP</t>
  </si>
  <si>
    <t>Pfizer Inc.</t>
  </si>
  <si>
    <t>PFE</t>
  </si>
  <si>
    <t>Principal Financial Group Inc.</t>
  </si>
  <si>
    <t>PFG</t>
  </si>
  <si>
    <t>Procter &amp; Gamble Co.</t>
  </si>
  <si>
    <t>PG</t>
  </si>
  <si>
    <t>Progress Energy Inc.</t>
  </si>
  <si>
    <t>PGN</t>
  </si>
  <si>
    <t>Progressive Corp.</t>
  </si>
  <si>
    <t>PGR</t>
  </si>
  <si>
    <t>Parker Hannifin Corporation</t>
  </si>
  <si>
    <t>PH</t>
  </si>
  <si>
    <t>PulteGroup, Inc.</t>
  </si>
  <si>
    <t>PHM</t>
  </si>
  <si>
    <t>PerkinElmer Inc.</t>
  </si>
  <si>
    <t>PKI</t>
  </si>
  <si>
    <t>ProLogis</t>
  </si>
  <si>
    <t>PLD</t>
  </si>
  <si>
    <t>Pall Corp.</t>
  </si>
  <si>
    <t>PLL</t>
  </si>
  <si>
    <t>Philip Morris International, Inc.</t>
  </si>
  <si>
    <t>PM</t>
  </si>
  <si>
    <t>PNC Financial Services Group Inc.</t>
  </si>
  <si>
    <t>PNC</t>
  </si>
  <si>
    <t>Pinnacle West Capital Corporation</t>
  </si>
  <si>
    <t>PNW</t>
  </si>
  <si>
    <t>Pepco Holdings, Inc.</t>
  </si>
  <si>
    <t>POM</t>
  </si>
  <si>
    <t>PPG Industries Inc.</t>
  </si>
  <si>
    <t>PPG</t>
  </si>
  <si>
    <t>PPL Corporation</t>
  </si>
  <si>
    <t>PPL</t>
  </si>
  <si>
    <t>Prudential Financial, Inc.</t>
  </si>
  <si>
    <t>PRU</t>
  </si>
  <si>
    <t>Public Storage</t>
  </si>
  <si>
    <t>PSA</t>
  </si>
  <si>
    <t>Quanta Services, Inc.</t>
  </si>
  <si>
    <t>PWR</t>
  </si>
  <si>
    <t>Praxair Inc.</t>
  </si>
  <si>
    <t>PX</t>
  </si>
  <si>
    <t>Pioneer Natural Resources Co.</t>
  </si>
  <si>
    <t>PXD</t>
  </si>
  <si>
    <t>QUALCOMM Incorporated</t>
  </si>
  <si>
    <t>QCOM</t>
  </si>
  <si>
    <t>QEP Resources, Inc.</t>
  </si>
  <si>
    <t>QEP</t>
  </si>
  <si>
    <t>Ryder System, Inc.</t>
  </si>
  <si>
    <t>R</t>
  </si>
  <si>
    <t>Reynolds American Inc.</t>
  </si>
  <si>
    <t>RAI</t>
  </si>
  <si>
    <t>Rowan Companies Inc.</t>
  </si>
  <si>
    <t>RDC</t>
  </si>
  <si>
    <t>Regions Financial Corp.</t>
  </si>
  <si>
    <t>RF</t>
  </si>
  <si>
    <t>Robert Half International Inc.</t>
  </si>
  <si>
    <t>RHI</t>
  </si>
  <si>
    <t>Red Hat, Inc.</t>
  </si>
  <si>
    <t>RHT</t>
  </si>
  <si>
    <t>Polo Ralph Lauren Corp.</t>
  </si>
  <si>
    <t>RL</t>
  </si>
  <si>
    <t>Rockwell Automation Inc.</t>
  </si>
  <si>
    <t>ROK</t>
  </si>
  <si>
    <t>Roper Industries Inc.</t>
  </si>
  <si>
    <t>ROP</t>
  </si>
  <si>
    <t>Ross Stores Inc.</t>
  </si>
  <si>
    <t>ROST</t>
  </si>
  <si>
    <t>Range Resources Corporation</t>
  </si>
  <si>
    <t>RRC</t>
  </si>
  <si>
    <t>R.R. Donnelley &amp; Sons Company</t>
  </si>
  <si>
    <t>RRD</t>
  </si>
  <si>
    <t>Republic Services, Inc.</t>
  </si>
  <si>
    <t>RSG</t>
  </si>
  <si>
    <t>RadioShack Corp.</t>
  </si>
  <si>
    <t>RSH</t>
  </si>
  <si>
    <t>Raytheon Co.</t>
  </si>
  <si>
    <t>RTN</t>
  </si>
  <si>
    <t>Sprint Nextel Corp.</t>
  </si>
  <si>
    <t>S</t>
  </si>
  <si>
    <t>SAIC, Inc.</t>
  </si>
  <si>
    <t>SAI</t>
  </si>
  <si>
    <t>Starbucks Corporation</t>
  </si>
  <si>
    <t>SBUX</t>
  </si>
  <si>
    <t>SCANA Corp.</t>
  </si>
  <si>
    <t>SCG</t>
  </si>
  <si>
    <t>Charles Schwab Corp.</t>
  </si>
  <si>
    <t>SCHW</t>
  </si>
  <si>
    <t>Spectra Energy Corp.</t>
  </si>
  <si>
    <t>SE</t>
  </si>
  <si>
    <t>Sealed Air Corporation</t>
  </si>
  <si>
    <t>SEE</t>
  </si>
  <si>
    <t>Sears Holdings Corporation</t>
  </si>
  <si>
    <t>SHLD</t>
  </si>
  <si>
    <t>The Sherwin-Williams Company</t>
  </si>
  <si>
    <t>SHW</t>
  </si>
  <si>
    <t>Sigma-Aldrich Corporation</t>
  </si>
  <si>
    <t>SIAL</t>
  </si>
  <si>
    <t>The J. M. Smucker Company</t>
  </si>
  <si>
    <t>SJM</t>
  </si>
  <si>
    <t>Schlumberger Limited</t>
  </si>
  <si>
    <t>SLB</t>
  </si>
  <si>
    <t>Sara Lee Corp.</t>
  </si>
  <si>
    <t>SLE</t>
  </si>
  <si>
    <t>SLM Corporation</t>
  </si>
  <si>
    <t>SLM</t>
  </si>
  <si>
    <t>Snap-on Inc.</t>
  </si>
  <si>
    <t>SNA</t>
  </si>
  <si>
    <t>SanDisk Corp.</t>
  </si>
  <si>
    <t>SNDK</t>
  </si>
  <si>
    <t>Scripps Networks Interactive, Inc.</t>
  </si>
  <si>
    <t>SNI</t>
  </si>
  <si>
    <t>Southern Company</t>
  </si>
  <si>
    <t>SO</t>
  </si>
  <si>
    <t>Simon Property Group Inc.</t>
  </si>
  <si>
    <t>SPG</t>
  </si>
  <si>
    <t>Staples, Inc.</t>
  </si>
  <si>
    <t>SPLS</t>
  </si>
  <si>
    <t>Stericycle, Inc.</t>
  </si>
  <si>
    <t>SRCL</t>
  </si>
  <si>
    <t>Sempra Energy</t>
  </si>
  <si>
    <t>SRE</t>
  </si>
  <si>
    <t>SunTrust Banks, Inc.</t>
  </si>
  <si>
    <t>STI</t>
  </si>
  <si>
    <t>St. Jude Medical Inc.</t>
  </si>
  <si>
    <t>STJ</t>
  </si>
  <si>
    <t>State Street Corp.</t>
  </si>
  <si>
    <t>STT</t>
  </si>
  <si>
    <t>Constellation Brands Inc.</t>
  </si>
  <si>
    <t>STZ</t>
  </si>
  <si>
    <t>Sunoco, Inc.</t>
  </si>
  <si>
    <t>SUN</t>
  </si>
  <si>
    <t>SUPERVALU Inc.</t>
  </si>
  <si>
    <t>SVU</t>
  </si>
  <si>
    <t>Stanley Black &amp; Decker, Inc.</t>
  </si>
  <si>
    <t>SWK</t>
  </si>
  <si>
    <t>Southwestern Energy Co.</t>
  </si>
  <si>
    <t>SWN</t>
  </si>
  <si>
    <t>Safeway Inc.</t>
  </si>
  <si>
    <t>SWY</t>
  </si>
  <si>
    <t>Stryker Corp.</t>
  </si>
  <si>
    <t>SYK</t>
  </si>
  <si>
    <t>Symantec Corporation</t>
  </si>
  <si>
    <t>SYMC</t>
  </si>
  <si>
    <t>Sysco Corp.</t>
  </si>
  <si>
    <t>SYY</t>
  </si>
  <si>
    <t>AT&amp;T, Inc.</t>
  </si>
  <si>
    <t>T</t>
  </si>
  <si>
    <t>Molson Coors Brewing Company</t>
  </si>
  <si>
    <t>TAP</t>
  </si>
  <si>
    <t>Teradata Corporation</t>
  </si>
  <si>
    <t>TDC</t>
  </si>
  <si>
    <t>TECO Energy, Inc.</t>
  </si>
  <si>
    <t>TE</t>
  </si>
  <si>
    <t>Integrys Energy Group, Inc.</t>
  </si>
  <si>
    <t>TEG</t>
  </si>
  <si>
    <t>Teradyne Inc.</t>
  </si>
  <si>
    <t>TER</t>
  </si>
  <si>
    <t>Target Corp.</t>
  </si>
  <si>
    <t>TGT</t>
  </si>
  <si>
    <t>Tenet Healthcare Corp.</t>
  </si>
  <si>
    <t>THC</t>
  </si>
  <si>
    <t>Titanium Metals Corporation</t>
  </si>
  <si>
    <t>TIE</t>
  </si>
  <si>
    <t>Tiffany &amp; Co.</t>
  </si>
  <si>
    <t>TIF</t>
  </si>
  <si>
    <t>The TJX Companies, Inc.</t>
  </si>
  <si>
    <t>TJX</t>
  </si>
  <si>
    <t>Tellabs Inc.</t>
  </si>
  <si>
    <t>TLAB</t>
  </si>
  <si>
    <t>Torchmark Corp.</t>
  </si>
  <si>
    <t>TMK</t>
  </si>
  <si>
    <t>Thermo Fisher Scientific, Inc.</t>
  </si>
  <si>
    <t>TMO</t>
  </si>
  <si>
    <t>T. Rowe Price Group, Inc.</t>
  </si>
  <si>
    <t>TROW</t>
  </si>
  <si>
    <t>The Travelers Companies, Inc.</t>
  </si>
  <si>
    <t>TRV</t>
  </si>
  <si>
    <t>Tyson Foods Inc.</t>
  </si>
  <si>
    <t>TSN</t>
  </si>
  <si>
    <t>Tesoro Corporation</t>
  </si>
  <si>
    <t>TSO</t>
  </si>
  <si>
    <t>Total System Services, Inc.</t>
  </si>
  <si>
    <t>TSS</t>
  </si>
  <si>
    <t>Time Warner Cable Inc.</t>
  </si>
  <si>
    <t>TWC</t>
  </si>
  <si>
    <t>Time Warner Inc.</t>
  </si>
  <si>
    <t>TWX</t>
  </si>
  <si>
    <t>Texas Instruments Inc.</t>
  </si>
  <si>
    <t>TXN</t>
  </si>
  <si>
    <t>Textron Inc.</t>
  </si>
  <si>
    <t>TXT</t>
  </si>
  <si>
    <t>Tyco International Ltd.</t>
  </si>
  <si>
    <t>TYC</t>
  </si>
  <si>
    <t>Unitedhealth Group, Inc.</t>
  </si>
  <si>
    <t>UNH</t>
  </si>
  <si>
    <t>Unum Group</t>
  </si>
  <si>
    <t>UNM</t>
  </si>
  <si>
    <t>Union Pacific Corporation</t>
  </si>
  <si>
    <t>UNP</t>
  </si>
  <si>
    <t>United Parcel Service, Inc.</t>
  </si>
  <si>
    <t>UPS</t>
  </si>
  <si>
    <t>Urban Outfitters Inc.</t>
  </si>
  <si>
    <t>URBN</t>
  </si>
  <si>
    <t>U.S. Bancorp</t>
  </si>
  <si>
    <t>USB</t>
  </si>
  <si>
    <t>United Technologies Corp.</t>
  </si>
  <si>
    <t>UTX</t>
  </si>
  <si>
    <t>Visa, Inc.</t>
  </si>
  <si>
    <t>V</t>
  </si>
  <si>
    <t>Varian Medical Systems Inc.</t>
  </si>
  <si>
    <t>VAR</t>
  </si>
  <si>
    <t>V.F. Corporation</t>
  </si>
  <si>
    <t>VFC</t>
  </si>
  <si>
    <t>Viacom, Inc.</t>
  </si>
  <si>
    <t>VIA-B</t>
  </si>
  <si>
    <t>Valero Energy Corp.</t>
  </si>
  <si>
    <t>VLO</t>
  </si>
  <si>
    <t>Vulcan Materials Company</t>
  </si>
  <si>
    <t>VMC</t>
  </si>
  <si>
    <t>Vornado Realty Trust</t>
  </si>
  <si>
    <t>VNO</t>
  </si>
  <si>
    <t>VeriSign Inc.</t>
  </si>
  <si>
    <t>VRSN</t>
  </si>
  <si>
    <t>Ventas, Inc.</t>
  </si>
  <si>
    <t>VTR</t>
  </si>
  <si>
    <t>Verizon Communications Inc.</t>
  </si>
  <si>
    <t>VZ</t>
  </si>
  <si>
    <t>Walgreen Co.</t>
  </si>
  <si>
    <t>WAG</t>
  </si>
  <si>
    <t>Waters Corp.</t>
  </si>
  <si>
    <t>WAT</t>
  </si>
  <si>
    <t>Western Digital Corp.</t>
  </si>
  <si>
    <t>WDC</t>
  </si>
  <si>
    <t>Wisconsin Energy Corp.</t>
  </si>
  <si>
    <t>WEC</t>
  </si>
  <si>
    <t>Wells Fargo &amp; Company</t>
  </si>
  <si>
    <t>WFC</t>
  </si>
  <si>
    <t>Whole Foods Market, Inc.</t>
  </si>
  <si>
    <t>WFMI</t>
  </si>
  <si>
    <t>MEMC Electronic Materials Inc.</t>
  </si>
  <si>
    <t>WFR</t>
  </si>
  <si>
    <t>Whirlpool Corp.</t>
  </si>
  <si>
    <t>WHR</t>
  </si>
  <si>
    <t>Windstream Corporation</t>
  </si>
  <si>
    <t>WIN</t>
  </si>
  <si>
    <t>WellPoint Inc.</t>
  </si>
  <si>
    <t>WLP</t>
  </si>
  <si>
    <t>Waste Management, Inc.</t>
  </si>
  <si>
    <t>WM</t>
  </si>
  <si>
    <t>Williams Companies, Inc.</t>
  </si>
  <si>
    <t>WMB</t>
  </si>
  <si>
    <t>Wal-Mart Stores Inc.</t>
  </si>
  <si>
    <t>WMT</t>
  </si>
  <si>
    <t>Watson Pharmaceuticals Inc.</t>
  </si>
  <si>
    <t>WPI</t>
  </si>
  <si>
    <t>The Washington Post Company</t>
  </si>
  <si>
    <t>WPO</t>
  </si>
  <si>
    <t>Western Union Co.</t>
  </si>
  <si>
    <t>WU</t>
  </si>
  <si>
    <t>Weyerhaeuser Co.</t>
  </si>
  <si>
    <t>WY</t>
  </si>
  <si>
    <t>Wyndham Worldwide Corporation</t>
  </si>
  <si>
    <t>WYN</t>
  </si>
  <si>
    <t>Wynn Resorts Ltd.</t>
  </si>
  <si>
    <t>WYNN</t>
  </si>
  <si>
    <t>United States Steel Corp.</t>
  </si>
  <si>
    <t>X</t>
  </si>
  <si>
    <t>Xcel Energy Inc.</t>
  </si>
  <si>
    <t>XEL</t>
  </si>
  <si>
    <t>XL Group plc</t>
  </si>
  <si>
    <t>XL</t>
  </si>
  <si>
    <t>Xilinx Inc.</t>
  </si>
  <si>
    <t>XLNX</t>
  </si>
  <si>
    <t>Exxon Mobil Corporation</t>
  </si>
  <si>
    <t>XOM</t>
  </si>
  <si>
    <t>DENTSPLY International Inc.</t>
  </si>
  <si>
    <t>XRAY</t>
  </si>
  <si>
    <t>Xerox Corp.</t>
  </si>
  <si>
    <t>XRX</t>
  </si>
  <si>
    <t>Yahoo! Inc.</t>
  </si>
  <si>
    <t>YHOO</t>
  </si>
  <si>
    <t>Yum! Brands, Inc.</t>
  </si>
  <si>
    <t>YUM</t>
  </si>
  <si>
    <t>Zions Bancorp.</t>
  </si>
  <si>
    <t>ZION</t>
  </si>
  <si>
    <t>Zimmer Holdings, Inc.</t>
  </si>
  <si>
    <t>ZMH</t>
  </si>
  <si>
    <t>SYSTEM BALANCE: CAGR = 0.34%</t>
  </si>
  <si>
    <t>BUY HOLD BALANCE: CAGR = 4.43%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</si>
</sst>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5" formatCode="&quot;$&quot;#,##0_);\(&quot;$&quot;#,##0\)"/>
    <numFmt numFmtId="43" formatCode="_(* #,##0.00_);_(* \(#,##0.00\);_(* &quot;-&quot;??_);_(@_)"/>
    <numFmt numFmtId="164" formatCode="_-* #,##0.00_-;\-* #,##0.00_-;_-* &quot;-&quot;??_-;_-@_-"/>
    <numFmt numFmtId="165" formatCode="[$-409]d\-mmm\-yy;@"/>
    <numFmt numFmtId="166" formatCode="0.0000"/>
    <numFmt numFmtId="167" formatCode="0.00000000000"/>
    <numFmt numFmtId="168" formatCode="0.000%"/>
    <numFmt numFmtId="169" formatCode="_(* #,##0.000000000_);_(* \(#,##0.000000000\);_(* &quot;-&quot;??_);_(@_)"/>
    <numFmt numFmtId="170" formatCode="mmm"/>
  </numFmts>
  <fonts count="13" x14ac:knownFonts="1">
    <font>
      <sz val="10"/>
      <name val="Arial"/>
    </font>
    <font>
      <sz val="10"/>
      <name val="Arial"/>
      <family val="2"/>
    </font>
    <font>
      <b/>
      <sz val="22"/>
      <color rgb="FFFF0000"/>
      <name val="Courier New"/>
      <family val="3"/>
    </font>
    <font>
      <sz val="10"/>
      <name val="Courier New"/>
      <family val="3"/>
    </font>
    <font>
      <b/>
      <sz val="10"/>
      <name val="Courier New"/>
      <family val="3"/>
    </font>
    <font>
      <sz val="10"/>
      <color rgb="FF0070C0"/>
      <name val="Courier New"/>
      <family val="3"/>
    </font>
    <font>
      <sz val="10"/>
      <color rgb="FFFF0000"/>
      <name val="Courier New"/>
      <family val="3"/>
    </font>
    <font>
      <sz val="10"/>
      <color theme="1"/>
      <name val="Courier New"/>
      <family val="3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9" tint="0.7999511703848384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10" fillId="0" borderId="0" applyFont="0" applyFill="0" applyBorder="0" applyAlignment="0" applyProtection="0"/>
  </cellStyleXfs>
  <cellXfs count="44">
    <xf numFmtId="0" fontId="0" fillId="0" borderId="0" xfId="0"/>
    <xf numFmtId="0" fontId="2" fillId="0" borderId="0" xfId="1" applyFont="1" applyAlignment="1">
      <alignment horizontal="left" vertical="center"/>
    </xf>
    <xf numFmtId="0" fontId="3" fillId="0" borderId="0" xfId="1" applyFont="1" applyAlignment="1">
      <alignment horizontal="center" vertical="center"/>
    </xf>
    <xf numFmtId="0" fontId="3" fillId="0" borderId="0" xfId="1" applyFont="1" applyBorder="1" applyAlignment="1">
      <alignment horizontal="center" vertical="center"/>
    </xf>
    <xf numFmtId="0" fontId="4" fillId="2" borderId="1" xfId="1" applyFont="1" applyFill="1" applyBorder="1" applyAlignment="1">
      <alignment horizontal="center" vertical="center"/>
    </xf>
    <xf numFmtId="49" fontId="5" fillId="0" borderId="1" xfId="1" applyNumberFormat="1" applyFont="1" applyBorder="1" applyAlignment="1">
      <alignment horizontal="center" vertical="center"/>
    </xf>
    <xf numFmtId="0" fontId="3" fillId="0" borderId="0" xfId="1" applyFont="1"/>
    <xf numFmtId="165" fontId="4" fillId="3" borderId="1" xfId="0" applyNumberFormat="1" applyFont="1" applyFill="1" applyBorder="1" applyAlignment="1">
      <alignment horizontal="center" vertical="center" wrapText="1"/>
    </xf>
    <xf numFmtId="4" fontId="4" fillId="3" borderId="1" xfId="0" applyNumberFormat="1" applyFont="1" applyFill="1" applyBorder="1" applyAlignment="1">
      <alignment horizontal="center" vertical="center" wrapText="1"/>
    </xf>
    <xf numFmtId="10" fontId="4" fillId="3" borderId="1" xfId="0" applyNumberFormat="1" applyFont="1" applyFill="1" applyBorder="1" applyAlignment="1">
      <alignment horizontal="center" vertical="center" wrapText="1"/>
    </xf>
    <xf numFmtId="0" fontId="1" fillId="0" borderId="0" xfId="1"/>
    <xf numFmtId="165" fontId="5" fillId="0" borderId="1" xfId="1" applyNumberFormat="1" applyFont="1" applyBorder="1" applyAlignment="1">
      <alignment horizontal="center" vertical="center"/>
    </xf>
    <xf numFmtId="165" fontId="3" fillId="0" borderId="1" xfId="0" applyNumberFormat="1" applyFont="1" applyBorder="1"/>
    <xf numFmtId="4" fontId="3" fillId="0" borderId="1" xfId="0" applyNumberFormat="1" applyFont="1" applyBorder="1"/>
    <xf numFmtId="10" fontId="3" fillId="0" borderId="1" xfId="0" applyNumberFormat="1" applyFont="1" applyBorder="1"/>
    <xf numFmtId="166" fontId="3" fillId="0" borderId="0" xfId="1" applyNumberFormat="1" applyFont="1" applyAlignment="1">
      <alignment horizontal="center" vertical="center"/>
    </xf>
    <xf numFmtId="167" fontId="3" fillId="0" borderId="0" xfId="1" applyNumberFormat="1" applyFont="1" applyAlignment="1">
      <alignment horizontal="center" vertical="center"/>
    </xf>
    <xf numFmtId="43" fontId="5" fillId="0" borderId="1" xfId="2" applyFont="1" applyBorder="1" applyAlignment="1">
      <alignment horizontal="center" vertical="center"/>
    </xf>
    <xf numFmtId="0" fontId="6" fillId="0" borderId="1" xfId="1" applyFont="1" applyBorder="1"/>
    <xf numFmtId="0" fontId="4" fillId="4" borderId="1" xfId="1" applyFont="1" applyFill="1" applyBorder="1" applyAlignment="1">
      <alignment horizontal="center" vertical="center"/>
    </xf>
    <xf numFmtId="10" fontId="0" fillId="0" borderId="0" xfId="0" applyNumberFormat="1"/>
    <xf numFmtId="10" fontId="3" fillId="0" borderId="0" xfId="1" applyNumberFormat="1" applyFont="1" applyBorder="1" applyAlignment="1">
      <alignment horizontal="center" vertical="center"/>
    </xf>
    <xf numFmtId="1" fontId="4" fillId="3" borderId="1" xfId="0" applyNumberFormat="1" applyFont="1" applyFill="1" applyBorder="1" applyAlignment="1">
      <alignment horizontal="center" vertical="center" wrapText="1"/>
    </xf>
    <xf numFmtId="1" fontId="3" fillId="0" borderId="1" xfId="0" applyNumberFormat="1" applyFont="1" applyBorder="1"/>
    <xf numFmtId="168" fontId="3" fillId="0" borderId="0" xfId="9" applyNumberFormat="1" applyFont="1" applyAlignment="1">
      <alignment horizontal="center" vertical="center"/>
    </xf>
    <xf numFmtId="0" fontId="4" fillId="4" borderId="1" xfId="1" applyFont="1" applyFill="1" applyBorder="1" applyAlignment="1">
      <alignment horizontal="center"/>
    </xf>
    <xf numFmtId="0" fontId="4" fillId="2" borderId="1" xfId="1" applyFont="1" applyFill="1" applyBorder="1" applyAlignment="1">
      <alignment horizontal="center"/>
    </xf>
    <xf numFmtId="165" fontId="5" fillId="0" borderId="1" xfId="1" applyNumberFormat="1" applyFont="1" applyBorder="1"/>
    <xf numFmtId="10" fontId="7" fillId="0" borderId="1" xfId="9" applyNumberFormat="1" applyFont="1" applyBorder="1" applyAlignment="1">
      <alignment horizontal="right" vertical="center"/>
    </xf>
    <xf numFmtId="0" fontId="3" fillId="0" borderId="0" xfId="1" quotePrefix="1" applyFont="1" applyAlignment="1">
      <alignment horizontal="center" vertical="center"/>
    </xf>
    <xf numFmtId="43" fontId="3" fillId="0" borderId="0" xfId="10" applyFont="1" applyAlignment="1">
      <alignment horizontal="center" vertical="center"/>
    </xf>
    <xf numFmtId="169" fontId="3" fillId="0" borderId="0" xfId="10" applyNumberFormat="1" applyFont="1" applyAlignment="1">
      <alignment horizontal="center" vertical="center"/>
    </xf>
    <xf numFmtId="165" fontId="9" fillId="6" borderId="1" xfId="0" applyNumberFormat="1" applyFont="1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0" fontId="9" fillId="5" borderId="1" xfId="0" applyNumberFormat="1" applyFont="1" applyFill="1" applyBorder="1" applyAlignment="1">
      <alignment horizontal="center" vertical="center" wrapText="1"/>
    </xf>
    <xf numFmtId="10" fontId="9" fillId="6" borderId="1" xfId="0" applyNumberFormat="1" applyFont="1" applyFill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170" fontId="9" fillId="6" borderId="1" xfId="0" applyNumberFormat="1" applyFont="1" applyFill="1" applyBorder="1" applyAlignment="1">
      <alignment horizontal="center" vertical="center"/>
    </xf>
    <xf numFmtId="170" fontId="0" fillId="0" borderId="1" xfId="0" applyNumberFormat="1" applyBorder="1" applyAlignment="1">
      <alignment horizontal="center" vertical="center"/>
    </xf>
    <xf numFmtId="3" fontId="6" fillId="0" borderId="1" xfId="8" applyNumberFormat="1" applyFont="1" applyBorder="1" applyAlignment="1">
      <alignment horizontal="center" vertical="center"/>
    </xf>
    <xf numFmtId="0" fontId="4" fillId="2" borderId="1" xfId="1" applyFont="1" applyFill="1" applyBorder="1" applyAlignment="1">
      <alignment horizontal="left" vertical="center"/>
    </xf>
    <xf numFmtId="0" fontId="6" fillId="0" borderId="1" xfId="2" applyNumberFormat="1" applyFont="1" applyBorder="1" applyAlignment="1">
      <alignment horizontal="center" vertical="center"/>
    </xf>
    <xf numFmtId="0" fontId="5" fillId="0" borderId="0" xfId="1" applyFont="1" applyAlignment="1">
      <alignment horizontal="left"/>
    </xf>
    <xf numFmtId="0" fontId="5" fillId="0" borderId="0" xfId="1" applyFont="1" applyAlignment="1">
      <alignment horizontal="center"/>
    </xf>
  </cellXfs>
  <cellStyles count="11">
    <cellStyle name="Comma" xfId="10" builtinId="3"/>
    <cellStyle name="Comma 2" xfId="2"/>
    <cellStyle name="Comma 2 2" xfId="3"/>
    <cellStyle name="Comma0" xfId="4"/>
    <cellStyle name="Currency0" xfId="5"/>
    <cellStyle name="Date" xfId="6"/>
    <cellStyle name="Fixed" xfId="7"/>
    <cellStyle name="Normal" xfId="0" builtinId="0"/>
    <cellStyle name="Normal 2" xfId="1"/>
    <cellStyle name="Percent" xfId="9" builtinId="5"/>
    <cellStyle name="Percent 2" xf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chartsheet" Target="chartsheets/sheet2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24987105965361"/>
          <c:y val="7.2081627334227558E-2"/>
          <c:w val="0.82972646201752864"/>
          <c:h val="0.70254238237381683"/>
        </c:manualLayout>
      </c:layout>
      <c:areaChart>
        <c:grouping val="standard"/>
        <c:varyColors val="0"/>
        <c:ser>
          <c:idx val="1"/>
          <c:order val="0"/>
          <c:tx>
            <c:strRef>
              <c:f>MODEL!$O$4</c:f>
              <c:strCache>
                <c:ptCount val="1"/>
                <c:pt idx="0">
                  <c:v>CASH</c:v>
                </c:pt>
              </c:strCache>
            </c:strRef>
          </c:tx>
          <c:spPr>
            <a:ln w="25400">
              <a:noFill/>
              <a:prstDash val="solid"/>
            </a:ln>
          </c:spPr>
          <c:cat>
            <c:numRef>
              <c:f>[0]!DATES</c:f>
              <c:numCache>
                <c:formatCode>[$-409]d\-mmm\-yy;@</c:formatCode>
                <c:ptCount val="121"/>
                <c:pt idx="0">
                  <c:v>37653</c:v>
                </c:pt>
                <c:pt idx="1">
                  <c:v>37681</c:v>
                </c:pt>
                <c:pt idx="2">
                  <c:v>37712</c:v>
                </c:pt>
                <c:pt idx="3">
                  <c:v>37742</c:v>
                </c:pt>
                <c:pt idx="4">
                  <c:v>37773</c:v>
                </c:pt>
                <c:pt idx="5">
                  <c:v>37803</c:v>
                </c:pt>
                <c:pt idx="6">
                  <c:v>37834</c:v>
                </c:pt>
                <c:pt idx="7">
                  <c:v>37865</c:v>
                </c:pt>
                <c:pt idx="8">
                  <c:v>37895</c:v>
                </c:pt>
                <c:pt idx="9">
                  <c:v>37926</c:v>
                </c:pt>
                <c:pt idx="10">
                  <c:v>37956</c:v>
                </c:pt>
                <c:pt idx="11">
                  <c:v>37987</c:v>
                </c:pt>
                <c:pt idx="12">
                  <c:v>38018</c:v>
                </c:pt>
                <c:pt idx="13">
                  <c:v>38047</c:v>
                </c:pt>
                <c:pt idx="14">
                  <c:v>38078</c:v>
                </c:pt>
                <c:pt idx="15">
                  <c:v>38108</c:v>
                </c:pt>
                <c:pt idx="16">
                  <c:v>38139</c:v>
                </c:pt>
                <c:pt idx="17">
                  <c:v>38169</c:v>
                </c:pt>
                <c:pt idx="18">
                  <c:v>38200</c:v>
                </c:pt>
                <c:pt idx="19">
                  <c:v>38231</c:v>
                </c:pt>
                <c:pt idx="20">
                  <c:v>38261</c:v>
                </c:pt>
                <c:pt idx="21">
                  <c:v>38292</c:v>
                </c:pt>
                <c:pt idx="22">
                  <c:v>38322</c:v>
                </c:pt>
                <c:pt idx="23">
                  <c:v>38353</c:v>
                </c:pt>
                <c:pt idx="24">
                  <c:v>38384</c:v>
                </c:pt>
                <c:pt idx="25">
                  <c:v>38412</c:v>
                </c:pt>
                <c:pt idx="26">
                  <c:v>38443</c:v>
                </c:pt>
                <c:pt idx="27">
                  <c:v>38473</c:v>
                </c:pt>
                <c:pt idx="28">
                  <c:v>38504</c:v>
                </c:pt>
                <c:pt idx="29">
                  <c:v>38534</c:v>
                </c:pt>
                <c:pt idx="30">
                  <c:v>38565</c:v>
                </c:pt>
                <c:pt idx="31">
                  <c:v>38596</c:v>
                </c:pt>
                <c:pt idx="32">
                  <c:v>38626</c:v>
                </c:pt>
                <c:pt idx="33">
                  <c:v>38657</c:v>
                </c:pt>
                <c:pt idx="34">
                  <c:v>38687</c:v>
                </c:pt>
                <c:pt idx="35">
                  <c:v>38718</c:v>
                </c:pt>
                <c:pt idx="36">
                  <c:v>38749</c:v>
                </c:pt>
                <c:pt idx="37">
                  <c:v>38777</c:v>
                </c:pt>
                <c:pt idx="38">
                  <c:v>38808</c:v>
                </c:pt>
                <c:pt idx="39">
                  <c:v>38838</c:v>
                </c:pt>
                <c:pt idx="40">
                  <c:v>38869</c:v>
                </c:pt>
                <c:pt idx="41">
                  <c:v>38899</c:v>
                </c:pt>
                <c:pt idx="42">
                  <c:v>38930</c:v>
                </c:pt>
                <c:pt idx="43">
                  <c:v>38961</c:v>
                </c:pt>
                <c:pt idx="44">
                  <c:v>38991</c:v>
                </c:pt>
                <c:pt idx="45">
                  <c:v>39022</c:v>
                </c:pt>
                <c:pt idx="46">
                  <c:v>39052</c:v>
                </c:pt>
                <c:pt idx="47">
                  <c:v>39083</c:v>
                </c:pt>
                <c:pt idx="48">
                  <c:v>39114</c:v>
                </c:pt>
                <c:pt idx="49">
                  <c:v>39142</c:v>
                </c:pt>
                <c:pt idx="50">
                  <c:v>39173</c:v>
                </c:pt>
                <c:pt idx="51">
                  <c:v>39203</c:v>
                </c:pt>
                <c:pt idx="52">
                  <c:v>39234</c:v>
                </c:pt>
                <c:pt idx="53">
                  <c:v>39264</c:v>
                </c:pt>
                <c:pt idx="54">
                  <c:v>39295</c:v>
                </c:pt>
                <c:pt idx="55">
                  <c:v>39326</c:v>
                </c:pt>
                <c:pt idx="56">
                  <c:v>39356</c:v>
                </c:pt>
                <c:pt idx="57">
                  <c:v>39387</c:v>
                </c:pt>
                <c:pt idx="58">
                  <c:v>39417</c:v>
                </c:pt>
                <c:pt idx="59">
                  <c:v>39448</c:v>
                </c:pt>
                <c:pt idx="60">
                  <c:v>39479</c:v>
                </c:pt>
                <c:pt idx="61">
                  <c:v>39508</c:v>
                </c:pt>
                <c:pt idx="62">
                  <c:v>39539</c:v>
                </c:pt>
                <c:pt idx="63">
                  <c:v>39569</c:v>
                </c:pt>
                <c:pt idx="64">
                  <c:v>39600</c:v>
                </c:pt>
                <c:pt idx="65">
                  <c:v>39630</c:v>
                </c:pt>
                <c:pt idx="66">
                  <c:v>39661</c:v>
                </c:pt>
                <c:pt idx="67">
                  <c:v>39692</c:v>
                </c:pt>
                <c:pt idx="68">
                  <c:v>39722</c:v>
                </c:pt>
                <c:pt idx="69">
                  <c:v>39753</c:v>
                </c:pt>
                <c:pt idx="70">
                  <c:v>39783</c:v>
                </c:pt>
                <c:pt idx="71">
                  <c:v>39814</c:v>
                </c:pt>
                <c:pt idx="72">
                  <c:v>39845</c:v>
                </c:pt>
                <c:pt idx="73">
                  <c:v>39873</c:v>
                </c:pt>
                <c:pt idx="74">
                  <c:v>39904</c:v>
                </c:pt>
                <c:pt idx="75">
                  <c:v>39934</c:v>
                </c:pt>
                <c:pt idx="76">
                  <c:v>39965</c:v>
                </c:pt>
                <c:pt idx="77">
                  <c:v>39995</c:v>
                </c:pt>
                <c:pt idx="78">
                  <c:v>40026</c:v>
                </c:pt>
                <c:pt idx="79">
                  <c:v>40057</c:v>
                </c:pt>
                <c:pt idx="80">
                  <c:v>40087</c:v>
                </c:pt>
                <c:pt idx="81">
                  <c:v>40118</c:v>
                </c:pt>
                <c:pt idx="82">
                  <c:v>40148</c:v>
                </c:pt>
                <c:pt idx="83">
                  <c:v>40179</c:v>
                </c:pt>
                <c:pt idx="84">
                  <c:v>40210</c:v>
                </c:pt>
                <c:pt idx="85">
                  <c:v>40238</c:v>
                </c:pt>
                <c:pt idx="86">
                  <c:v>40269</c:v>
                </c:pt>
                <c:pt idx="87">
                  <c:v>40299</c:v>
                </c:pt>
                <c:pt idx="88">
                  <c:v>40330</c:v>
                </c:pt>
                <c:pt idx="89">
                  <c:v>40360</c:v>
                </c:pt>
                <c:pt idx="90">
                  <c:v>40391</c:v>
                </c:pt>
                <c:pt idx="91">
                  <c:v>40422</c:v>
                </c:pt>
                <c:pt idx="92">
                  <c:v>40452</c:v>
                </c:pt>
                <c:pt idx="93">
                  <c:v>40483</c:v>
                </c:pt>
                <c:pt idx="94">
                  <c:v>40513</c:v>
                </c:pt>
                <c:pt idx="95">
                  <c:v>40544</c:v>
                </c:pt>
                <c:pt idx="96">
                  <c:v>40575</c:v>
                </c:pt>
                <c:pt idx="97">
                  <c:v>40603</c:v>
                </c:pt>
                <c:pt idx="98">
                  <c:v>40634</c:v>
                </c:pt>
                <c:pt idx="99">
                  <c:v>40664</c:v>
                </c:pt>
                <c:pt idx="100">
                  <c:v>40695</c:v>
                </c:pt>
                <c:pt idx="101">
                  <c:v>40725</c:v>
                </c:pt>
                <c:pt idx="102">
                  <c:v>40756</c:v>
                </c:pt>
                <c:pt idx="103">
                  <c:v>40787</c:v>
                </c:pt>
                <c:pt idx="104">
                  <c:v>40817</c:v>
                </c:pt>
                <c:pt idx="105">
                  <c:v>40848</c:v>
                </c:pt>
                <c:pt idx="106">
                  <c:v>40878</c:v>
                </c:pt>
                <c:pt idx="107">
                  <c:v>40909</c:v>
                </c:pt>
                <c:pt idx="108">
                  <c:v>40940</c:v>
                </c:pt>
                <c:pt idx="109">
                  <c:v>40969</c:v>
                </c:pt>
                <c:pt idx="110">
                  <c:v>41000</c:v>
                </c:pt>
                <c:pt idx="111">
                  <c:v>41030</c:v>
                </c:pt>
                <c:pt idx="112">
                  <c:v>41061</c:v>
                </c:pt>
                <c:pt idx="113">
                  <c:v>41091</c:v>
                </c:pt>
                <c:pt idx="114">
                  <c:v>41122</c:v>
                </c:pt>
                <c:pt idx="115">
                  <c:v>41153</c:v>
                </c:pt>
                <c:pt idx="116">
                  <c:v>41183</c:v>
                </c:pt>
                <c:pt idx="117">
                  <c:v>41214</c:v>
                </c:pt>
                <c:pt idx="118">
                  <c:v>41244</c:v>
                </c:pt>
                <c:pt idx="119">
                  <c:v>41275</c:v>
                </c:pt>
                <c:pt idx="120">
                  <c:v>41306</c:v>
                </c:pt>
              </c:numCache>
            </c:numRef>
          </c:cat>
          <c:val>
            <c:numRef>
              <c:f>[0]!CASH</c:f>
              <c:numCache>
                <c:formatCode>#,##0.00</c:formatCode>
                <c:ptCount val="121"/>
                <c:pt idx="0">
                  <c:v>5000</c:v>
                </c:pt>
                <c:pt idx="1">
                  <c:v>5000</c:v>
                </c:pt>
                <c:pt idx="2">
                  <c:v>5000</c:v>
                </c:pt>
                <c:pt idx="3">
                  <c:v>5000</c:v>
                </c:pt>
                <c:pt idx="4">
                  <c:v>5000</c:v>
                </c:pt>
                <c:pt idx="5">
                  <c:v>5000</c:v>
                </c:pt>
                <c:pt idx="6">
                  <c:v>5000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5166.8255481410861</c:v>
                </c:pt>
                <c:pt idx="17">
                  <c:v>5166.8255481410861</c:v>
                </c:pt>
                <c:pt idx="18">
                  <c:v>5166.8255481410861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5206.0983314048663</c:v>
                </c:pt>
                <c:pt idx="29">
                  <c:v>5206.0983314048663</c:v>
                </c:pt>
                <c:pt idx="30">
                  <c:v>5206.0983314048663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4761.8193998097167</c:v>
                </c:pt>
                <c:pt idx="41">
                  <c:v>4761.8193998097167</c:v>
                </c:pt>
                <c:pt idx="42">
                  <c:v>4761.8193998097167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5182.8644835823652</c:v>
                </c:pt>
                <c:pt idx="53">
                  <c:v>5182.8644835823652</c:v>
                </c:pt>
                <c:pt idx="54">
                  <c:v>5182.8644835823652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4893.0398209832747</c:v>
                </c:pt>
                <c:pt idx="65">
                  <c:v>4893.0398209832747</c:v>
                </c:pt>
                <c:pt idx="66">
                  <c:v>4893.0398209832747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4445.6058105074553</c:v>
                </c:pt>
                <c:pt idx="77">
                  <c:v>4445.6058105074553</c:v>
                </c:pt>
                <c:pt idx="78">
                  <c:v>4445.6058105074553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4030.657453141464</c:v>
                </c:pt>
                <c:pt idx="89">
                  <c:v>4030.657453141464</c:v>
                </c:pt>
                <c:pt idx="90">
                  <c:v>4030.657453141464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4358.4678100650808</c:v>
                </c:pt>
                <c:pt idx="101">
                  <c:v>4358.4678100650808</c:v>
                </c:pt>
                <c:pt idx="102">
                  <c:v>4358.4678100650808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5466.83184401365</c:v>
                </c:pt>
                <c:pt idx="113">
                  <c:v>5466.83184401365</c:v>
                </c:pt>
                <c:pt idx="114">
                  <c:v>5466.83184401365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228160"/>
        <c:axId val="240524032"/>
      </c:areaChart>
      <c:lineChart>
        <c:grouping val="standard"/>
        <c:varyColors val="0"/>
        <c:ser>
          <c:idx val="2"/>
          <c:order val="1"/>
          <c:tx>
            <c:strRef>
              <c:f>MODEL!$P$4</c:f>
              <c:strCache>
                <c:ptCount val="1"/>
                <c:pt idx="0">
                  <c:v>SYSTEM BALANCE: CAGR = 0.34%</c:v>
                </c:pt>
              </c:strCache>
            </c:strRef>
          </c:tx>
          <c:spPr>
            <a:ln w="25400">
              <a:solidFill>
                <a:srgbClr val="0070C0"/>
              </a:solidFill>
              <a:prstDash val="solid"/>
            </a:ln>
          </c:spPr>
          <c:marker>
            <c:symbol val="none"/>
          </c:marker>
          <c:cat>
            <c:numRef>
              <c:f>[0]!DATES</c:f>
              <c:numCache>
                <c:formatCode>[$-409]d\-mmm\-yy;@</c:formatCode>
                <c:ptCount val="121"/>
                <c:pt idx="0">
                  <c:v>37653</c:v>
                </c:pt>
                <c:pt idx="1">
                  <c:v>37681</c:v>
                </c:pt>
                <c:pt idx="2">
                  <c:v>37712</c:v>
                </c:pt>
                <c:pt idx="3">
                  <c:v>37742</c:v>
                </c:pt>
                <c:pt idx="4">
                  <c:v>37773</c:v>
                </c:pt>
                <c:pt idx="5">
                  <c:v>37803</c:v>
                </c:pt>
                <c:pt idx="6">
                  <c:v>37834</c:v>
                </c:pt>
                <c:pt idx="7">
                  <c:v>37865</c:v>
                </c:pt>
                <c:pt idx="8">
                  <c:v>37895</c:v>
                </c:pt>
                <c:pt idx="9">
                  <c:v>37926</c:v>
                </c:pt>
                <c:pt idx="10">
                  <c:v>37956</c:v>
                </c:pt>
                <c:pt idx="11">
                  <c:v>37987</c:v>
                </c:pt>
                <c:pt idx="12">
                  <c:v>38018</c:v>
                </c:pt>
                <c:pt idx="13">
                  <c:v>38047</c:v>
                </c:pt>
                <c:pt idx="14">
                  <c:v>38078</c:v>
                </c:pt>
                <c:pt idx="15">
                  <c:v>38108</c:v>
                </c:pt>
                <c:pt idx="16">
                  <c:v>38139</c:v>
                </c:pt>
                <c:pt idx="17">
                  <c:v>38169</c:v>
                </c:pt>
                <c:pt idx="18">
                  <c:v>38200</c:v>
                </c:pt>
                <c:pt idx="19">
                  <c:v>38231</c:v>
                </c:pt>
                <c:pt idx="20">
                  <c:v>38261</c:v>
                </c:pt>
                <c:pt idx="21">
                  <c:v>38292</c:v>
                </c:pt>
                <c:pt idx="22">
                  <c:v>38322</c:v>
                </c:pt>
                <c:pt idx="23">
                  <c:v>38353</c:v>
                </c:pt>
                <c:pt idx="24">
                  <c:v>38384</c:v>
                </c:pt>
                <c:pt idx="25">
                  <c:v>38412</c:v>
                </c:pt>
                <c:pt idx="26">
                  <c:v>38443</c:v>
                </c:pt>
                <c:pt idx="27">
                  <c:v>38473</c:v>
                </c:pt>
                <c:pt idx="28">
                  <c:v>38504</c:v>
                </c:pt>
                <c:pt idx="29">
                  <c:v>38534</c:v>
                </c:pt>
                <c:pt idx="30">
                  <c:v>38565</c:v>
                </c:pt>
                <c:pt idx="31">
                  <c:v>38596</c:v>
                </c:pt>
                <c:pt idx="32">
                  <c:v>38626</c:v>
                </c:pt>
                <c:pt idx="33">
                  <c:v>38657</c:v>
                </c:pt>
                <c:pt idx="34">
                  <c:v>38687</c:v>
                </c:pt>
                <c:pt idx="35">
                  <c:v>38718</c:v>
                </c:pt>
                <c:pt idx="36">
                  <c:v>38749</c:v>
                </c:pt>
                <c:pt idx="37">
                  <c:v>38777</c:v>
                </c:pt>
                <c:pt idx="38">
                  <c:v>38808</c:v>
                </c:pt>
                <c:pt idx="39">
                  <c:v>38838</c:v>
                </c:pt>
                <c:pt idx="40">
                  <c:v>38869</c:v>
                </c:pt>
                <c:pt idx="41">
                  <c:v>38899</c:v>
                </c:pt>
                <c:pt idx="42">
                  <c:v>38930</c:v>
                </c:pt>
                <c:pt idx="43">
                  <c:v>38961</c:v>
                </c:pt>
                <c:pt idx="44">
                  <c:v>38991</c:v>
                </c:pt>
                <c:pt idx="45">
                  <c:v>39022</c:v>
                </c:pt>
                <c:pt idx="46">
                  <c:v>39052</c:v>
                </c:pt>
                <c:pt idx="47">
                  <c:v>39083</c:v>
                </c:pt>
                <c:pt idx="48">
                  <c:v>39114</c:v>
                </c:pt>
                <c:pt idx="49">
                  <c:v>39142</c:v>
                </c:pt>
                <c:pt idx="50">
                  <c:v>39173</c:v>
                </c:pt>
                <c:pt idx="51">
                  <c:v>39203</c:v>
                </c:pt>
                <c:pt idx="52">
                  <c:v>39234</c:v>
                </c:pt>
                <c:pt idx="53">
                  <c:v>39264</c:v>
                </c:pt>
                <c:pt idx="54">
                  <c:v>39295</c:v>
                </c:pt>
                <c:pt idx="55">
                  <c:v>39326</c:v>
                </c:pt>
                <c:pt idx="56">
                  <c:v>39356</c:v>
                </c:pt>
                <c:pt idx="57">
                  <c:v>39387</c:v>
                </c:pt>
                <c:pt idx="58">
                  <c:v>39417</c:v>
                </c:pt>
                <c:pt idx="59">
                  <c:v>39448</c:v>
                </c:pt>
                <c:pt idx="60">
                  <c:v>39479</c:v>
                </c:pt>
                <c:pt idx="61">
                  <c:v>39508</c:v>
                </c:pt>
                <c:pt idx="62">
                  <c:v>39539</c:v>
                </c:pt>
                <c:pt idx="63">
                  <c:v>39569</c:v>
                </c:pt>
                <c:pt idx="64">
                  <c:v>39600</c:v>
                </c:pt>
                <c:pt idx="65">
                  <c:v>39630</c:v>
                </c:pt>
                <c:pt idx="66">
                  <c:v>39661</c:v>
                </c:pt>
                <c:pt idx="67">
                  <c:v>39692</c:v>
                </c:pt>
                <c:pt idx="68">
                  <c:v>39722</c:v>
                </c:pt>
                <c:pt idx="69">
                  <c:v>39753</c:v>
                </c:pt>
                <c:pt idx="70">
                  <c:v>39783</c:v>
                </c:pt>
                <c:pt idx="71">
                  <c:v>39814</c:v>
                </c:pt>
                <c:pt idx="72">
                  <c:v>39845</c:v>
                </c:pt>
                <c:pt idx="73">
                  <c:v>39873</c:v>
                </c:pt>
                <c:pt idx="74">
                  <c:v>39904</c:v>
                </c:pt>
                <c:pt idx="75">
                  <c:v>39934</c:v>
                </c:pt>
                <c:pt idx="76">
                  <c:v>39965</c:v>
                </c:pt>
                <c:pt idx="77">
                  <c:v>39995</c:v>
                </c:pt>
                <c:pt idx="78">
                  <c:v>40026</c:v>
                </c:pt>
                <c:pt idx="79">
                  <c:v>40057</c:v>
                </c:pt>
                <c:pt idx="80">
                  <c:v>40087</c:v>
                </c:pt>
                <c:pt idx="81">
                  <c:v>40118</c:v>
                </c:pt>
                <c:pt idx="82">
                  <c:v>40148</c:v>
                </c:pt>
                <c:pt idx="83">
                  <c:v>40179</c:v>
                </c:pt>
                <c:pt idx="84">
                  <c:v>40210</c:v>
                </c:pt>
                <c:pt idx="85">
                  <c:v>40238</c:v>
                </c:pt>
                <c:pt idx="86">
                  <c:v>40269</c:v>
                </c:pt>
                <c:pt idx="87">
                  <c:v>40299</c:v>
                </c:pt>
                <c:pt idx="88">
                  <c:v>40330</c:v>
                </c:pt>
                <c:pt idx="89">
                  <c:v>40360</c:v>
                </c:pt>
                <c:pt idx="90">
                  <c:v>40391</c:v>
                </c:pt>
                <c:pt idx="91">
                  <c:v>40422</c:v>
                </c:pt>
                <c:pt idx="92">
                  <c:v>40452</c:v>
                </c:pt>
                <c:pt idx="93">
                  <c:v>40483</c:v>
                </c:pt>
                <c:pt idx="94">
                  <c:v>40513</c:v>
                </c:pt>
                <c:pt idx="95">
                  <c:v>40544</c:v>
                </c:pt>
                <c:pt idx="96">
                  <c:v>40575</c:v>
                </c:pt>
                <c:pt idx="97">
                  <c:v>40603</c:v>
                </c:pt>
                <c:pt idx="98">
                  <c:v>40634</c:v>
                </c:pt>
                <c:pt idx="99">
                  <c:v>40664</c:v>
                </c:pt>
                <c:pt idx="100">
                  <c:v>40695</c:v>
                </c:pt>
                <c:pt idx="101">
                  <c:v>40725</c:v>
                </c:pt>
                <c:pt idx="102">
                  <c:v>40756</c:v>
                </c:pt>
                <c:pt idx="103">
                  <c:v>40787</c:v>
                </c:pt>
                <c:pt idx="104">
                  <c:v>40817</c:v>
                </c:pt>
                <c:pt idx="105">
                  <c:v>40848</c:v>
                </c:pt>
                <c:pt idx="106">
                  <c:v>40878</c:v>
                </c:pt>
                <c:pt idx="107">
                  <c:v>40909</c:v>
                </c:pt>
                <c:pt idx="108">
                  <c:v>40940</c:v>
                </c:pt>
                <c:pt idx="109">
                  <c:v>40969</c:v>
                </c:pt>
                <c:pt idx="110">
                  <c:v>41000</c:v>
                </c:pt>
                <c:pt idx="111">
                  <c:v>41030</c:v>
                </c:pt>
                <c:pt idx="112">
                  <c:v>41061</c:v>
                </c:pt>
                <c:pt idx="113">
                  <c:v>41091</c:v>
                </c:pt>
                <c:pt idx="114">
                  <c:v>41122</c:v>
                </c:pt>
                <c:pt idx="115">
                  <c:v>41153</c:v>
                </c:pt>
                <c:pt idx="116">
                  <c:v>41183</c:v>
                </c:pt>
                <c:pt idx="117">
                  <c:v>41214</c:v>
                </c:pt>
                <c:pt idx="118">
                  <c:v>41244</c:v>
                </c:pt>
                <c:pt idx="119">
                  <c:v>41275</c:v>
                </c:pt>
                <c:pt idx="120">
                  <c:v>41306</c:v>
                </c:pt>
              </c:numCache>
            </c:numRef>
          </c:cat>
          <c:val>
            <c:numRef>
              <c:f>[0]!SYSTEM</c:f>
              <c:numCache>
                <c:formatCode>#,##0.00</c:formatCode>
                <c:ptCount val="121"/>
                <c:pt idx="0">
                  <c:v>5000</c:v>
                </c:pt>
                <c:pt idx="1">
                  <c:v>5000</c:v>
                </c:pt>
                <c:pt idx="2">
                  <c:v>5000</c:v>
                </c:pt>
                <c:pt idx="3">
                  <c:v>5000</c:v>
                </c:pt>
                <c:pt idx="4">
                  <c:v>5000</c:v>
                </c:pt>
                <c:pt idx="5">
                  <c:v>5000</c:v>
                </c:pt>
                <c:pt idx="6">
                  <c:v>5000</c:v>
                </c:pt>
                <c:pt idx="7">
                  <c:v>5000</c:v>
                </c:pt>
                <c:pt idx="8">
                  <c:v>4728.3126787416577</c:v>
                </c:pt>
                <c:pt idx="9">
                  <c:v>4649.6663489037173</c:v>
                </c:pt>
                <c:pt idx="10">
                  <c:v>4949.952335557673</c:v>
                </c:pt>
                <c:pt idx="11">
                  <c:v>5002.3832221163011</c:v>
                </c:pt>
                <c:pt idx="12">
                  <c:v>4797.4261201143945</c:v>
                </c:pt>
                <c:pt idx="13">
                  <c:v>4509.0562440419444</c:v>
                </c:pt>
                <c:pt idx="14">
                  <c:v>4725.9294566253566</c:v>
                </c:pt>
                <c:pt idx="15">
                  <c:v>4744.9952335557673</c:v>
                </c:pt>
                <c:pt idx="16">
                  <c:v>5166.8255481410861</c:v>
                </c:pt>
                <c:pt idx="17">
                  <c:v>5166.8255481410861</c:v>
                </c:pt>
                <c:pt idx="18">
                  <c:v>5166.8255481410861</c:v>
                </c:pt>
                <c:pt idx="19">
                  <c:v>5166.8255481410861</c:v>
                </c:pt>
                <c:pt idx="20">
                  <c:v>5225.7347230367568</c:v>
                </c:pt>
                <c:pt idx="21">
                  <c:v>5584.0988703187513</c:v>
                </c:pt>
                <c:pt idx="22">
                  <c:v>5564.4624786868608</c:v>
                </c:pt>
                <c:pt idx="23">
                  <c:v>5473.6441673893696</c:v>
                </c:pt>
                <c:pt idx="24">
                  <c:v>5255.1893104845922</c:v>
                </c:pt>
                <c:pt idx="25">
                  <c:v>5049.0071983497455</c:v>
                </c:pt>
                <c:pt idx="26">
                  <c:v>5284.6438979324275</c:v>
                </c:pt>
                <c:pt idx="27">
                  <c:v>5407.37134563174</c:v>
                </c:pt>
                <c:pt idx="28">
                  <c:v>5206.0983314048663</c:v>
                </c:pt>
                <c:pt idx="29">
                  <c:v>5206.0983314048663</c:v>
                </c:pt>
                <c:pt idx="30">
                  <c:v>5206.0983314048663</c:v>
                </c:pt>
                <c:pt idx="31">
                  <c:v>5206.0983314048663</c:v>
                </c:pt>
                <c:pt idx="32">
                  <c:v>5201.3719597921527</c:v>
                </c:pt>
                <c:pt idx="33">
                  <c:v>5617.2926617110161</c:v>
                </c:pt>
                <c:pt idx="34">
                  <c:v>5307.7153210782253</c:v>
                </c:pt>
                <c:pt idx="35">
                  <c:v>5711.8200939653034</c:v>
                </c:pt>
                <c:pt idx="36">
                  <c:v>5470.7751417168711</c:v>
                </c:pt>
                <c:pt idx="37">
                  <c:v>5541.6707159075859</c:v>
                </c:pt>
                <c:pt idx="38">
                  <c:v>4917.7896630292908</c:v>
                </c:pt>
                <c:pt idx="39">
                  <c:v>4629.4809946537152</c:v>
                </c:pt>
                <c:pt idx="40">
                  <c:v>4761.8193998097167</c:v>
                </c:pt>
                <c:pt idx="41">
                  <c:v>4761.8193998097167</c:v>
                </c:pt>
                <c:pt idx="42">
                  <c:v>4761.8193998097167</c:v>
                </c:pt>
                <c:pt idx="43">
                  <c:v>4761.8193998097167</c:v>
                </c:pt>
                <c:pt idx="44">
                  <c:v>4998.4066373581582</c:v>
                </c:pt>
                <c:pt idx="45">
                  <c:v>5128.730115668739</c:v>
                </c:pt>
                <c:pt idx="46">
                  <c:v>5214.944109012662</c:v>
                </c:pt>
                <c:pt idx="47">
                  <c:v>5389.3770722899026</c:v>
                </c:pt>
                <c:pt idx="48">
                  <c:v>4938.257339676351</c:v>
                </c:pt>
                <c:pt idx="49">
                  <c:v>4884.1229717627239</c:v>
                </c:pt>
                <c:pt idx="50">
                  <c:v>5247.0237344429597</c:v>
                </c:pt>
                <c:pt idx="51">
                  <c:v>5397.3969786474763</c:v>
                </c:pt>
                <c:pt idx="52">
                  <c:v>5182.8644835823652</c:v>
                </c:pt>
                <c:pt idx="53">
                  <c:v>5182.8644835823652</c:v>
                </c:pt>
                <c:pt idx="54">
                  <c:v>5182.8644835823652</c:v>
                </c:pt>
                <c:pt idx="55">
                  <c:v>5182.8644835823652</c:v>
                </c:pt>
                <c:pt idx="56">
                  <c:v>6476.0821160072746</c:v>
                </c:pt>
                <c:pt idx="57">
                  <c:v>5930.4122340103659</c:v>
                </c:pt>
                <c:pt idx="58">
                  <c:v>6282.1994106823659</c:v>
                </c:pt>
                <c:pt idx="59">
                  <c:v>5754.5186456743659</c:v>
                </c:pt>
                <c:pt idx="60">
                  <c:v>4819.0845622510924</c:v>
                </c:pt>
                <c:pt idx="61">
                  <c:v>5028.9575937883656</c:v>
                </c:pt>
                <c:pt idx="62">
                  <c:v>5052.9430831069112</c:v>
                </c:pt>
                <c:pt idx="63">
                  <c:v>5036.9527568945468</c:v>
                </c:pt>
                <c:pt idx="64">
                  <c:v>4893.0398209832747</c:v>
                </c:pt>
                <c:pt idx="65">
                  <c:v>4893.0398209832747</c:v>
                </c:pt>
                <c:pt idx="66">
                  <c:v>4893.0398209832747</c:v>
                </c:pt>
                <c:pt idx="67">
                  <c:v>4893.0398209832747</c:v>
                </c:pt>
                <c:pt idx="68">
                  <c:v>4094.6369307305508</c:v>
                </c:pt>
                <c:pt idx="69">
                  <c:v>3731.3533534176145</c:v>
                </c:pt>
                <c:pt idx="70">
                  <c:v>3587.6818821639108</c:v>
                </c:pt>
                <c:pt idx="71">
                  <c:v>3156.6674684028003</c:v>
                </c:pt>
                <c:pt idx="72">
                  <c:v>3000.6812996130652</c:v>
                </c:pt>
                <c:pt idx="73">
                  <c:v>3413.2236670701282</c:v>
                </c:pt>
                <c:pt idx="74">
                  <c:v>3764.1925468470322</c:v>
                </c:pt>
                <c:pt idx="75">
                  <c:v>3907.8640181007358</c:v>
                </c:pt>
                <c:pt idx="76">
                  <c:v>4445.6058105074553</c:v>
                </c:pt>
                <c:pt idx="77">
                  <c:v>4445.6058105074553</c:v>
                </c:pt>
                <c:pt idx="78">
                  <c:v>4445.6058105074553</c:v>
                </c:pt>
                <c:pt idx="79">
                  <c:v>4445.6058105074553</c:v>
                </c:pt>
                <c:pt idx="80">
                  <c:v>4792.6535275771921</c:v>
                </c:pt>
                <c:pt idx="81">
                  <c:v>5105.7509244988041</c:v>
                </c:pt>
                <c:pt idx="82">
                  <c:v>5290.5915564163815</c:v>
                </c:pt>
                <c:pt idx="83">
                  <c:v>4892.6183591244535</c:v>
                </c:pt>
                <c:pt idx="84">
                  <c:v>5000.1277062601876</c:v>
                </c:pt>
                <c:pt idx="85">
                  <c:v>5107.6370533959216</c:v>
                </c:pt>
                <c:pt idx="86">
                  <c:v>5326.4280054616265</c:v>
                </c:pt>
                <c:pt idx="87">
                  <c:v>4519.1648374950628</c:v>
                </c:pt>
                <c:pt idx="88">
                  <c:v>4030.657453141464</c:v>
                </c:pt>
                <c:pt idx="89">
                  <c:v>4030.657453141464</c:v>
                </c:pt>
                <c:pt idx="90">
                  <c:v>4030.657453141464</c:v>
                </c:pt>
                <c:pt idx="91">
                  <c:v>4030.657453141464</c:v>
                </c:pt>
                <c:pt idx="92">
                  <c:v>4388.4289717193906</c:v>
                </c:pt>
                <c:pt idx="93">
                  <c:v>4182.2256826867924</c:v>
                </c:pt>
                <c:pt idx="94">
                  <c:v>4621.0685798587319</c:v>
                </c:pt>
                <c:pt idx="95">
                  <c:v>4591.1074182044231</c:v>
                </c:pt>
                <c:pt idx="96">
                  <c:v>4427.2022397426135</c:v>
                </c:pt>
                <c:pt idx="97">
                  <c:v>4229.8110570789304</c:v>
                </c:pt>
                <c:pt idx="98">
                  <c:v>4317.932120768075</c:v>
                </c:pt>
                <c:pt idx="99">
                  <c:v>4192.8002103294893</c:v>
                </c:pt>
                <c:pt idx="100">
                  <c:v>4358.4678100650808</c:v>
                </c:pt>
                <c:pt idx="101">
                  <c:v>4358.4678100650808</c:v>
                </c:pt>
                <c:pt idx="102">
                  <c:v>4358.4678100650808</c:v>
                </c:pt>
                <c:pt idx="103">
                  <c:v>4358.4678100650808</c:v>
                </c:pt>
                <c:pt idx="104">
                  <c:v>4662.079080090597</c:v>
                </c:pt>
                <c:pt idx="105">
                  <c:v>4512.102428632209</c:v>
                </c:pt>
                <c:pt idx="106">
                  <c:v>4579.7748201439208</c:v>
                </c:pt>
                <c:pt idx="107">
                  <c:v>5208.9451628473989</c:v>
                </c:pt>
                <c:pt idx="108">
                  <c:v>5636.9273145701136</c:v>
                </c:pt>
                <c:pt idx="109">
                  <c:v>5728.3764922886421</c:v>
                </c:pt>
                <c:pt idx="110">
                  <c:v>5686.309870538119</c:v>
                </c:pt>
                <c:pt idx="111">
                  <c:v>5218.0900806192512</c:v>
                </c:pt>
                <c:pt idx="112">
                  <c:v>5466.83184401365</c:v>
                </c:pt>
                <c:pt idx="113">
                  <c:v>5466.83184401365</c:v>
                </c:pt>
                <c:pt idx="114">
                  <c:v>5466.83184401365</c:v>
                </c:pt>
                <c:pt idx="115">
                  <c:v>5466.83184401365</c:v>
                </c:pt>
                <c:pt idx="116">
                  <c:v>5240.9142712248349</c:v>
                </c:pt>
                <c:pt idx="117">
                  <c:v>4929.1106790287013</c:v>
                </c:pt>
                <c:pt idx="118">
                  <c:v>4945.91446543448</c:v>
                </c:pt>
                <c:pt idx="119">
                  <c:v>5082.2118440591375</c:v>
                </c:pt>
                <c:pt idx="120">
                  <c:v>5171.832038223296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MODEL!$Q$4</c:f>
              <c:strCache>
                <c:ptCount val="1"/>
                <c:pt idx="0">
                  <c:v>BUY HOLD BALANCE: CAGR = 4.43%</c:v>
                </c:pt>
              </c:strCache>
            </c:strRef>
          </c:tx>
          <c:spPr>
            <a:ln w="25400">
              <a:solidFill>
                <a:srgbClr val="00B050"/>
              </a:solidFill>
              <a:prstDash val="solid"/>
            </a:ln>
          </c:spPr>
          <c:marker>
            <c:symbol val="none"/>
          </c:marker>
          <c:cat>
            <c:numRef>
              <c:f>[0]!DATES</c:f>
              <c:numCache>
                <c:formatCode>[$-409]d\-mmm\-yy;@</c:formatCode>
                <c:ptCount val="121"/>
                <c:pt idx="0">
                  <c:v>37653</c:v>
                </c:pt>
                <c:pt idx="1">
                  <c:v>37681</c:v>
                </c:pt>
                <c:pt idx="2">
                  <c:v>37712</c:v>
                </c:pt>
                <c:pt idx="3">
                  <c:v>37742</c:v>
                </c:pt>
                <c:pt idx="4">
                  <c:v>37773</c:v>
                </c:pt>
                <c:pt idx="5">
                  <c:v>37803</c:v>
                </c:pt>
                <c:pt idx="6">
                  <c:v>37834</c:v>
                </c:pt>
                <c:pt idx="7">
                  <c:v>37865</c:v>
                </c:pt>
                <c:pt idx="8">
                  <c:v>37895</c:v>
                </c:pt>
                <c:pt idx="9">
                  <c:v>37926</c:v>
                </c:pt>
                <c:pt idx="10">
                  <c:v>37956</c:v>
                </c:pt>
                <c:pt idx="11">
                  <c:v>37987</c:v>
                </c:pt>
                <c:pt idx="12">
                  <c:v>38018</c:v>
                </c:pt>
                <c:pt idx="13">
                  <c:v>38047</c:v>
                </c:pt>
                <c:pt idx="14">
                  <c:v>38078</c:v>
                </c:pt>
                <c:pt idx="15">
                  <c:v>38108</c:v>
                </c:pt>
                <c:pt idx="16">
                  <c:v>38139</c:v>
                </c:pt>
                <c:pt idx="17">
                  <c:v>38169</c:v>
                </c:pt>
                <c:pt idx="18">
                  <c:v>38200</c:v>
                </c:pt>
                <c:pt idx="19">
                  <c:v>38231</c:v>
                </c:pt>
                <c:pt idx="20">
                  <c:v>38261</c:v>
                </c:pt>
                <c:pt idx="21">
                  <c:v>38292</c:v>
                </c:pt>
                <c:pt idx="22">
                  <c:v>38322</c:v>
                </c:pt>
                <c:pt idx="23">
                  <c:v>38353</c:v>
                </c:pt>
                <c:pt idx="24">
                  <c:v>38384</c:v>
                </c:pt>
                <c:pt idx="25">
                  <c:v>38412</c:v>
                </c:pt>
                <c:pt idx="26">
                  <c:v>38443</c:v>
                </c:pt>
                <c:pt idx="27">
                  <c:v>38473</c:v>
                </c:pt>
                <c:pt idx="28">
                  <c:v>38504</c:v>
                </c:pt>
                <c:pt idx="29">
                  <c:v>38534</c:v>
                </c:pt>
                <c:pt idx="30">
                  <c:v>38565</c:v>
                </c:pt>
                <c:pt idx="31">
                  <c:v>38596</c:v>
                </c:pt>
                <c:pt idx="32">
                  <c:v>38626</c:v>
                </c:pt>
                <c:pt idx="33">
                  <c:v>38657</c:v>
                </c:pt>
                <c:pt idx="34">
                  <c:v>38687</c:v>
                </c:pt>
                <c:pt idx="35">
                  <c:v>38718</c:v>
                </c:pt>
                <c:pt idx="36">
                  <c:v>38749</c:v>
                </c:pt>
                <c:pt idx="37">
                  <c:v>38777</c:v>
                </c:pt>
                <c:pt idx="38">
                  <c:v>38808</c:v>
                </c:pt>
                <c:pt idx="39">
                  <c:v>38838</c:v>
                </c:pt>
                <c:pt idx="40">
                  <c:v>38869</c:v>
                </c:pt>
                <c:pt idx="41">
                  <c:v>38899</c:v>
                </c:pt>
                <c:pt idx="42">
                  <c:v>38930</c:v>
                </c:pt>
                <c:pt idx="43">
                  <c:v>38961</c:v>
                </c:pt>
                <c:pt idx="44">
                  <c:v>38991</c:v>
                </c:pt>
                <c:pt idx="45">
                  <c:v>39022</c:v>
                </c:pt>
                <c:pt idx="46">
                  <c:v>39052</c:v>
                </c:pt>
                <c:pt idx="47">
                  <c:v>39083</c:v>
                </c:pt>
                <c:pt idx="48">
                  <c:v>39114</c:v>
                </c:pt>
                <c:pt idx="49">
                  <c:v>39142</c:v>
                </c:pt>
                <c:pt idx="50">
                  <c:v>39173</c:v>
                </c:pt>
                <c:pt idx="51">
                  <c:v>39203</c:v>
                </c:pt>
                <c:pt idx="52">
                  <c:v>39234</c:v>
                </c:pt>
                <c:pt idx="53">
                  <c:v>39264</c:v>
                </c:pt>
                <c:pt idx="54">
                  <c:v>39295</c:v>
                </c:pt>
                <c:pt idx="55">
                  <c:v>39326</c:v>
                </c:pt>
                <c:pt idx="56">
                  <c:v>39356</c:v>
                </c:pt>
                <c:pt idx="57">
                  <c:v>39387</c:v>
                </c:pt>
                <c:pt idx="58">
                  <c:v>39417</c:v>
                </c:pt>
                <c:pt idx="59">
                  <c:v>39448</c:v>
                </c:pt>
                <c:pt idx="60">
                  <c:v>39479</c:v>
                </c:pt>
                <c:pt idx="61">
                  <c:v>39508</c:v>
                </c:pt>
                <c:pt idx="62">
                  <c:v>39539</c:v>
                </c:pt>
                <c:pt idx="63">
                  <c:v>39569</c:v>
                </c:pt>
                <c:pt idx="64">
                  <c:v>39600</c:v>
                </c:pt>
                <c:pt idx="65">
                  <c:v>39630</c:v>
                </c:pt>
                <c:pt idx="66">
                  <c:v>39661</c:v>
                </c:pt>
                <c:pt idx="67">
                  <c:v>39692</c:v>
                </c:pt>
                <c:pt idx="68">
                  <c:v>39722</c:v>
                </c:pt>
                <c:pt idx="69">
                  <c:v>39753</c:v>
                </c:pt>
                <c:pt idx="70">
                  <c:v>39783</c:v>
                </c:pt>
                <c:pt idx="71">
                  <c:v>39814</c:v>
                </c:pt>
                <c:pt idx="72">
                  <c:v>39845</c:v>
                </c:pt>
                <c:pt idx="73">
                  <c:v>39873</c:v>
                </c:pt>
                <c:pt idx="74">
                  <c:v>39904</c:v>
                </c:pt>
                <c:pt idx="75">
                  <c:v>39934</c:v>
                </c:pt>
                <c:pt idx="76">
                  <c:v>39965</c:v>
                </c:pt>
                <c:pt idx="77">
                  <c:v>39995</c:v>
                </c:pt>
                <c:pt idx="78">
                  <c:v>40026</c:v>
                </c:pt>
                <c:pt idx="79">
                  <c:v>40057</c:v>
                </c:pt>
                <c:pt idx="80">
                  <c:v>40087</c:v>
                </c:pt>
                <c:pt idx="81">
                  <c:v>40118</c:v>
                </c:pt>
                <c:pt idx="82">
                  <c:v>40148</c:v>
                </c:pt>
                <c:pt idx="83">
                  <c:v>40179</c:v>
                </c:pt>
                <c:pt idx="84">
                  <c:v>40210</c:v>
                </c:pt>
                <c:pt idx="85">
                  <c:v>40238</c:v>
                </c:pt>
                <c:pt idx="86">
                  <c:v>40269</c:v>
                </c:pt>
                <c:pt idx="87">
                  <c:v>40299</c:v>
                </c:pt>
                <c:pt idx="88">
                  <c:v>40330</c:v>
                </c:pt>
                <c:pt idx="89">
                  <c:v>40360</c:v>
                </c:pt>
                <c:pt idx="90">
                  <c:v>40391</c:v>
                </c:pt>
                <c:pt idx="91">
                  <c:v>40422</c:v>
                </c:pt>
                <c:pt idx="92">
                  <c:v>40452</c:v>
                </c:pt>
                <c:pt idx="93">
                  <c:v>40483</c:v>
                </c:pt>
                <c:pt idx="94">
                  <c:v>40513</c:v>
                </c:pt>
                <c:pt idx="95">
                  <c:v>40544</c:v>
                </c:pt>
                <c:pt idx="96">
                  <c:v>40575</c:v>
                </c:pt>
                <c:pt idx="97">
                  <c:v>40603</c:v>
                </c:pt>
                <c:pt idx="98">
                  <c:v>40634</c:v>
                </c:pt>
                <c:pt idx="99">
                  <c:v>40664</c:v>
                </c:pt>
                <c:pt idx="100">
                  <c:v>40695</c:v>
                </c:pt>
                <c:pt idx="101">
                  <c:v>40725</c:v>
                </c:pt>
                <c:pt idx="102">
                  <c:v>40756</c:v>
                </c:pt>
                <c:pt idx="103">
                  <c:v>40787</c:v>
                </c:pt>
                <c:pt idx="104">
                  <c:v>40817</c:v>
                </c:pt>
                <c:pt idx="105">
                  <c:v>40848</c:v>
                </c:pt>
                <c:pt idx="106">
                  <c:v>40878</c:v>
                </c:pt>
                <c:pt idx="107">
                  <c:v>40909</c:v>
                </c:pt>
                <c:pt idx="108">
                  <c:v>40940</c:v>
                </c:pt>
                <c:pt idx="109">
                  <c:v>40969</c:v>
                </c:pt>
                <c:pt idx="110">
                  <c:v>41000</c:v>
                </c:pt>
                <c:pt idx="111">
                  <c:v>41030</c:v>
                </c:pt>
                <c:pt idx="112">
                  <c:v>41061</c:v>
                </c:pt>
                <c:pt idx="113">
                  <c:v>41091</c:v>
                </c:pt>
                <c:pt idx="114">
                  <c:v>41122</c:v>
                </c:pt>
                <c:pt idx="115">
                  <c:v>41153</c:v>
                </c:pt>
                <c:pt idx="116">
                  <c:v>41183</c:v>
                </c:pt>
                <c:pt idx="117">
                  <c:v>41214</c:v>
                </c:pt>
                <c:pt idx="118">
                  <c:v>41244</c:v>
                </c:pt>
                <c:pt idx="119">
                  <c:v>41275</c:v>
                </c:pt>
                <c:pt idx="120">
                  <c:v>41306</c:v>
                </c:pt>
              </c:numCache>
            </c:numRef>
          </c:cat>
          <c:val>
            <c:numRef>
              <c:f>[0]!BUY_HOLD</c:f>
              <c:numCache>
                <c:formatCode>#,##0.00</c:formatCode>
                <c:ptCount val="121"/>
                <c:pt idx="0">
                  <c:v>5000</c:v>
                </c:pt>
                <c:pt idx="1">
                  <c:v>5106.2045835662375</c:v>
                </c:pt>
                <c:pt idx="2">
                  <c:v>5394.0749021799875</c:v>
                </c:pt>
                <c:pt idx="3">
                  <c:v>5190.0503074343205</c:v>
                </c:pt>
                <c:pt idx="4">
                  <c:v>5408.0491894913357</c:v>
                </c:pt>
                <c:pt idx="5">
                  <c:v>5570.1509223029625</c:v>
                </c:pt>
                <c:pt idx="6">
                  <c:v>5595.3046394633866</c:v>
                </c:pt>
                <c:pt idx="7">
                  <c:v>5863.6109558412518</c:v>
                </c:pt>
                <c:pt idx="8">
                  <c:v>5544.9972051425375</c:v>
                </c:pt>
                <c:pt idx="9">
                  <c:v>5452.7669088876464</c:v>
                </c:pt>
                <c:pt idx="10">
                  <c:v>5804.9189491335937</c:v>
                </c:pt>
                <c:pt idx="11">
                  <c:v>5866.4058133035214</c:v>
                </c:pt>
                <c:pt idx="12">
                  <c:v>5626.0480715483509</c:v>
                </c:pt>
                <c:pt idx="13">
                  <c:v>5287.87031861375</c:v>
                </c:pt>
                <c:pt idx="14">
                  <c:v>5542.2023476802678</c:v>
                </c:pt>
                <c:pt idx="15">
                  <c:v>5564.5612073784232</c:v>
                </c:pt>
                <c:pt idx="16">
                  <c:v>6059.2509782001116</c:v>
                </c:pt>
                <c:pt idx="17">
                  <c:v>6042.4818334264946</c:v>
                </c:pt>
                <c:pt idx="18">
                  <c:v>5807.7138065958634</c:v>
                </c:pt>
                <c:pt idx="19">
                  <c:v>5883.1749580771375</c:v>
                </c:pt>
                <c:pt idx="20">
                  <c:v>5950.2515371716036</c:v>
                </c:pt>
                <c:pt idx="21">
                  <c:v>6358.3007266629402</c:v>
                </c:pt>
                <c:pt idx="22">
                  <c:v>6335.9418669647839</c:v>
                </c:pt>
                <c:pt idx="23">
                  <c:v>6232.5321408608152</c:v>
                </c:pt>
                <c:pt idx="24">
                  <c:v>5983.7898267188375</c:v>
                </c:pt>
                <c:pt idx="25">
                  <c:v>5749.0217998882044</c:v>
                </c:pt>
                <c:pt idx="26">
                  <c:v>6017.3281162660696</c:v>
                </c:pt>
                <c:pt idx="27">
                  <c:v>6157.0709893795411</c:v>
                </c:pt>
                <c:pt idx="28">
                  <c:v>5927.8926774734482</c:v>
                </c:pt>
                <c:pt idx="29">
                  <c:v>6109.5584125209607</c:v>
                </c:pt>
                <c:pt idx="30">
                  <c:v>6551.1458915595294</c:v>
                </c:pt>
                <c:pt idx="31">
                  <c:v>6157.0709893795411</c:v>
                </c:pt>
                <c:pt idx="32">
                  <c:v>6151.4812744550027</c:v>
                </c:pt>
                <c:pt idx="33">
                  <c:v>6643.3761878144214</c:v>
                </c:pt>
                <c:pt idx="34">
                  <c:v>6277.2498602571268</c:v>
                </c:pt>
                <c:pt idx="35">
                  <c:v>6755.1704863051973</c:v>
                </c:pt>
                <c:pt idx="36">
                  <c:v>6470.0950251537161</c:v>
                </c:pt>
                <c:pt idx="37">
                  <c:v>6553.9407490217991</c:v>
                </c:pt>
                <c:pt idx="38">
                  <c:v>5816.0983789826714</c:v>
                </c:pt>
                <c:pt idx="39">
                  <c:v>5475.1257685858018</c:v>
                </c:pt>
                <c:pt idx="40">
                  <c:v>5631.6377864728893</c:v>
                </c:pt>
                <c:pt idx="41">
                  <c:v>5816.0983789826714</c:v>
                </c:pt>
                <c:pt idx="42">
                  <c:v>6235.3269983230848</c:v>
                </c:pt>
                <c:pt idx="43">
                  <c:v>6637.7864728898821</c:v>
                </c:pt>
                <c:pt idx="44">
                  <c:v>6967.5796534376741</c:v>
                </c:pt>
                <c:pt idx="45">
                  <c:v>7149.2453884851866</c:v>
                </c:pt>
                <c:pt idx="46">
                  <c:v>7269.4242593627714</c:v>
                </c:pt>
                <c:pt idx="47">
                  <c:v>7512.5768585802116</c:v>
                </c:pt>
                <c:pt idx="48">
                  <c:v>6883.7339295695911</c:v>
                </c:pt>
                <c:pt idx="49">
                  <c:v>6808.272778088317</c:v>
                </c:pt>
                <c:pt idx="50">
                  <c:v>7314.141978759083</c:v>
                </c:pt>
                <c:pt idx="51">
                  <c:v>7523.7562884292893</c:v>
                </c:pt>
                <c:pt idx="52">
                  <c:v>7224.7065399664616</c:v>
                </c:pt>
                <c:pt idx="53">
                  <c:v>7104.5276690888759</c:v>
                </c:pt>
                <c:pt idx="54">
                  <c:v>7065.3996646171045</c:v>
                </c:pt>
                <c:pt idx="55">
                  <c:v>7247.0653996646161</c:v>
                </c:pt>
                <c:pt idx="56">
                  <c:v>9055.3381777529357</c:v>
                </c:pt>
                <c:pt idx="57">
                  <c:v>8292.3420905533821</c:v>
                </c:pt>
                <c:pt idx="58">
                  <c:v>8784.2370039128</c:v>
                </c:pt>
                <c:pt idx="59">
                  <c:v>8046.3946338736732</c:v>
                </c:pt>
                <c:pt idx="60">
                  <c:v>6738.4013415315812</c:v>
                </c:pt>
                <c:pt idx="61">
                  <c:v>7031.8613750698705</c:v>
                </c:pt>
                <c:pt idx="62">
                  <c:v>7065.3996646171045</c:v>
                </c:pt>
                <c:pt idx="63">
                  <c:v>7043.0408049189482</c:v>
                </c:pt>
                <c:pt idx="64">
                  <c:v>6841.81106763555</c:v>
                </c:pt>
                <c:pt idx="65">
                  <c:v>6394.633873672442</c:v>
                </c:pt>
                <c:pt idx="66">
                  <c:v>6813.8624930128553</c:v>
                </c:pt>
                <c:pt idx="67">
                  <c:v>6662.9401900503071</c:v>
                </c:pt>
                <c:pt idx="68">
                  <c:v>5575.7406372275009</c:v>
                </c:pt>
                <c:pt idx="69">
                  <c:v>5081.0508664058125</c:v>
                </c:pt>
                <c:pt idx="70">
                  <c:v>4885.4108440469527</c:v>
                </c:pt>
                <c:pt idx="71">
                  <c:v>4298.4907769703741</c:v>
                </c:pt>
                <c:pt idx="72">
                  <c:v>4086.0816098378978</c:v>
                </c:pt>
                <c:pt idx="73">
                  <c:v>4647.8479597540518</c:v>
                </c:pt>
                <c:pt idx="74">
                  <c:v>5125.7685858021241</c:v>
                </c:pt>
                <c:pt idx="75">
                  <c:v>5321.408608160983</c:v>
                </c:pt>
                <c:pt idx="76">
                  <c:v>6053.6612632755732</c:v>
                </c:pt>
                <c:pt idx="77">
                  <c:v>5989.3795416433759</c:v>
                </c:pt>
                <c:pt idx="78">
                  <c:v>6313.5830072666286</c:v>
                </c:pt>
                <c:pt idx="79">
                  <c:v>6587.4790385690321</c:v>
                </c:pt>
                <c:pt idx="80">
                  <c:v>7101.7328116266062</c:v>
                </c:pt>
                <c:pt idx="81">
                  <c:v>7565.6791503633303</c:v>
                </c:pt>
                <c:pt idx="82">
                  <c:v>7839.5751816657339</c:v>
                </c:pt>
                <c:pt idx="83">
                  <c:v>7249.8602571268857</c:v>
                </c:pt>
                <c:pt idx="84">
                  <c:v>7409.1671324762428</c:v>
                </c:pt>
                <c:pt idx="85">
                  <c:v>7568.4740078256</c:v>
                </c:pt>
                <c:pt idx="86">
                  <c:v>7892.6774734488536</c:v>
                </c:pt>
                <c:pt idx="87">
                  <c:v>6696.4784795975393</c:v>
                </c:pt>
                <c:pt idx="88">
                  <c:v>5972.6103968697589</c:v>
                </c:pt>
                <c:pt idx="89">
                  <c:v>6699.2733370598089</c:v>
                </c:pt>
                <c:pt idx="90">
                  <c:v>6126.3275572945777</c:v>
                </c:pt>
                <c:pt idx="91">
                  <c:v>6391.8390162101723</c:v>
                </c:pt>
                <c:pt idx="92">
                  <c:v>6959.1950810508661</c:v>
                </c:pt>
                <c:pt idx="93">
                  <c:v>6632.1967579653437</c:v>
                </c:pt>
                <c:pt idx="94">
                  <c:v>7328.1162660704294</c:v>
                </c:pt>
                <c:pt idx="95">
                  <c:v>7280.6036892118491</c:v>
                </c:pt>
                <c:pt idx="96">
                  <c:v>7020.6819452207928</c:v>
                </c:pt>
                <c:pt idx="97">
                  <c:v>6707.6579094466179</c:v>
                </c:pt>
                <c:pt idx="98">
                  <c:v>6847.4007825600893</c:v>
                </c:pt>
                <c:pt idx="99">
                  <c:v>6648.9659027389598</c:v>
                </c:pt>
                <c:pt idx="100">
                  <c:v>6911.6825041922848</c:v>
                </c:pt>
                <c:pt idx="101">
                  <c:v>7286.1934041363884</c:v>
                </c:pt>
                <c:pt idx="102">
                  <c:v>7115.7070989379536</c:v>
                </c:pt>
                <c:pt idx="103">
                  <c:v>6660.1453325880375</c:v>
                </c:pt>
                <c:pt idx="104">
                  <c:v>7124.0916713247616</c:v>
                </c:pt>
                <c:pt idx="105">
                  <c:v>6894.9133594186687</c:v>
                </c:pt>
                <c:pt idx="106">
                  <c:v>6998.3230855226384</c:v>
                </c:pt>
                <c:pt idx="107">
                  <c:v>7959.7540525433205</c:v>
                </c:pt>
                <c:pt idx="108">
                  <c:v>8613.7506987143661</c:v>
                </c:pt>
                <c:pt idx="109">
                  <c:v>8753.4935718278375</c:v>
                </c:pt>
                <c:pt idx="110">
                  <c:v>8689.2118501956411</c:v>
                </c:pt>
                <c:pt idx="111">
                  <c:v>7973.7283398546679</c:v>
                </c:pt>
                <c:pt idx="112">
                  <c:v>8353.8289547233089</c:v>
                </c:pt>
                <c:pt idx="113">
                  <c:v>8049.189491335942</c:v>
                </c:pt>
                <c:pt idx="114">
                  <c:v>8474.0078256008946</c:v>
                </c:pt>
                <c:pt idx="115">
                  <c:v>8183.3426495248741</c:v>
                </c:pt>
                <c:pt idx="116">
                  <c:v>7845.1648965902732</c:v>
                </c:pt>
                <c:pt idx="117">
                  <c:v>7378.4237003912795</c:v>
                </c:pt>
                <c:pt idx="118">
                  <c:v>7403.5774175517045</c:v>
                </c:pt>
                <c:pt idx="119">
                  <c:v>7607.6020122973723</c:v>
                </c:pt>
                <c:pt idx="120">
                  <c:v>7741.7551704863045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7228160"/>
        <c:axId val="240524032"/>
      </c:lineChart>
      <c:catAx>
        <c:axId val="267228160"/>
        <c:scaling>
          <c:orientation val="minMax"/>
        </c:scaling>
        <c:delete val="0"/>
        <c:axPos val="b"/>
        <c:numFmt formatCode="[$-409]d\-mmm\-yy;@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0524032"/>
        <c:crosses val="autoZero"/>
        <c:auto val="0"/>
        <c:lblAlgn val="ctr"/>
        <c:lblOffset val="100"/>
        <c:tickMarkSkip val="1"/>
        <c:noMultiLvlLbl val="0"/>
      </c:catAx>
      <c:valAx>
        <c:axId val="240524032"/>
        <c:scaling>
          <c:orientation val="minMax"/>
        </c:scaling>
        <c:delete val="0"/>
        <c:axPos val="l"/>
        <c:numFmt formatCode="#,##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67228160"/>
        <c:crosses val="autoZero"/>
        <c:crossBetween val="between"/>
      </c:valAx>
      <c:spPr>
        <a:noFill/>
        <a:ln w="12700">
          <a:noFill/>
          <a:prstDash val="solid"/>
        </a:ln>
      </c:spPr>
    </c:plotArea>
    <c:legend>
      <c:legendPos val="t"/>
      <c:overlay val="0"/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109065412791264E-2"/>
          <c:y val="5.1283836273199747E-2"/>
          <c:w val="0.78858439707451466"/>
          <c:h val="0.71413381965777545"/>
        </c:manualLayout>
      </c:layout>
      <c:barChart>
        <c:barDir val="col"/>
        <c:grouping val="clustered"/>
        <c:varyColors val="0"/>
        <c:ser>
          <c:idx val="0"/>
          <c:order val="1"/>
          <c:tx>
            <c:strRef>
              <c:f>MODEL!$J$4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99CCFF"/>
              </a:solidFill>
              <a:prstDash val="solid"/>
            </a:ln>
          </c:spPr>
          <c:invertIfNegative val="0"/>
          <c:cat>
            <c:numRef>
              <c:f>[0]!DATES</c:f>
              <c:numCache>
                <c:formatCode>[$-409]d\-mmm\-yy;@</c:formatCode>
                <c:ptCount val="121"/>
                <c:pt idx="0">
                  <c:v>37653</c:v>
                </c:pt>
                <c:pt idx="1">
                  <c:v>37681</c:v>
                </c:pt>
                <c:pt idx="2">
                  <c:v>37712</c:v>
                </c:pt>
                <c:pt idx="3">
                  <c:v>37742</c:v>
                </c:pt>
                <c:pt idx="4">
                  <c:v>37773</c:v>
                </c:pt>
                <c:pt idx="5">
                  <c:v>37803</c:v>
                </c:pt>
                <c:pt idx="6">
                  <c:v>37834</c:v>
                </c:pt>
                <c:pt idx="7">
                  <c:v>37865</c:v>
                </c:pt>
                <c:pt idx="8">
                  <c:v>37895</c:v>
                </c:pt>
                <c:pt idx="9">
                  <c:v>37926</c:v>
                </c:pt>
                <c:pt idx="10">
                  <c:v>37956</c:v>
                </c:pt>
                <c:pt idx="11">
                  <c:v>37987</c:v>
                </c:pt>
                <c:pt idx="12">
                  <c:v>38018</c:v>
                </c:pt>
                <c:pt idx="13">
                  <c:v>38047</c:v>
                </c:pt>
                <c:pt idx="14">
                  <c:v>38078</c:v>
                </c:pt>
                <c:pt idx="15">
                  <c:v>38108</c:v>
                </c:pt>
                <c:pt idx="16">
                  <c:v>38139</c:v>
                </c:pt>
                <c:pt idx="17">
                  <c:v>38169</c:v>
                </c:pt>
                <c:pt idx="18">
                  <c:v>38200</c:v>
                </c:pt>
                <c:pt idx="19">
                  <c:v>38231</c:v>
                </c:pt>
                <c:pt idx="20">
                  <c:v>38261</c:v>
                </c:pt>
                <c:pt idx="21">
                  <c:v>38292</c:v>
                </c:pt>
                <c:pt idx="22">
                  <c:v>38322</c:v>
                </c:pt>
                <c:pt idx="23">
                  <c:v>38353</c:v>
                </c:pt>
                <c:pt idx="24">
                  <c:v>38384</c:v>
                </c:pt>
                <c:pt idx="25">
                  <c:v>38412</c:v>
                </c:pt>
                <c:pt idx="26">
                  <c:v>38443</c:v>
                </c:pt>
                <c:pt idx="27">
                  <c:v>38473</c:v>
                </c:pt>
                <c:pt idx="28">
                  <c:v>38504</c:v>
                </c:pt>
                <c:pt idx="29">
                  <c:v>38534</c:v>
                </c:pt>
                <c:pt idx="30">
                  <c:v>38565</c:v>
                </c:pt>
                <c:pt idx="31">
                  <c:v>38596</c:v>
                </c:pt>
                <c:pt idx="32">
                  <c:v>38626</c:v>
                </c:pt>
                <c:pt idx="33">
                  <c:v>38657</c:v>
                </c:pt>
                <c:pt idx="34">
                  <c:v>38687</c:v>
                </c:pt>
                <c:pt idx="35">
                  <c:v>38718</c:v>
                </c:pt>
                <c:pt idx="36">
                  <c:v>38749</c:v>
                </c:pt>
                <c:pt idx="37">
                  <c:v>38777</c:v>
                </c:pt>
                <c:pt idx="38">
                  <c:v>38808</c:v>
                </c:pt>
                <c:pt idx="39">
                  <c:v>38838</c:v>
                </c:pt>
                <c:pt idx="40">
                  <c:v>38869</c:v>
                </c:pt>
                <c:pt idx="41">
                  <c:v>38899</c:v>
                </c:pt>
                <c:pt idx="42">
                  <c:v>38930</c:v>
                </c:pt>
                <c:pt idx="43">
                  <c:v>38961</c:v>
                </c:pt>
                <c:pt idx="44">
                  <c:v>38991</c:v>
                </c:pt>
                <c:pt idx="45">
                  <c:v>39022</c:v>
                </c:pt>
                <c:pt idx="46">
                  <c:v>39052</c:v>
                </c:pt>
                <c:pt idx="47">
                  <c:v>39083</c:v>
                </c:pt>
                <c:pt idx="48">
                  <c:v>39114</c:v>
                </c:pt>
                <c:pt idx="49">
                  <c:v>39142</c:v>
                </c:pt>
                <c:pt idx="50">
                  <c:v>39173</c:v>
                </c:pt>
                <c:pt idx="51">
                  <c:v>39203</c:v>
                </c:pt>
                <c:pt idx="52">
                  <c:v>39234</c:v>
                </c:pt>
                <c:pt idx="53">
                  <c:v>39264</c:v>
                </c:pt>
                <c:pt idx="54">
                  <c:v>39295</c:v>
                </c:pt>
                <c:pt idx="55">
                  <c:v>39326</c:v>
                </c:pt>
                <c:pt idx="56">
                  <c:v>39356</c:v>
                </c:pt>
                <c:pt idx="57">
                  <c:v>39387</c:v>
                </c:pt>
                <c:pt idx="58">
                  <c:v>39417</c:v>
                </c:pt>
                <c:pt idx="59">
                  <c:v>39448</c:v>
                </c:pt>
                <c:pt idx="60">
                  <c:v>39479</c:v>
                </c:pt>
                <c:pt idx="61">
                  <c:v>39508</c:v>
                </c:pt>
                <c:pt idx="62">
                  <c:v>39539</c:v>
                </c:pt>
                <c:pt idx="63">
                  <c:v>39569</c:v>
                </c:pt>
                <c:pt idx="64">
                  <c:v>39600</c:v>
                </c:pt>
                <c:pt idx="65">
                  <c:v>39630</c:v>
                </c:pt>
                <c:pt idx="66">
                  <c:v>39661</c:v>
                </c:pt>
                <c:pt idx="67">
                  <c:v>39692</c:v>
                </c:pt>
                <c:pt idx="68">
                  <c:v>39722</c:v>
                </c:pt>
                <c:pt idx="69">
                  <c:v>39753</c:v>
                </c:pt>
                <c:pt idx="70">
                  <c:v>39783</c:v>
                </c:pt>
                <c:pt idx="71">
                  <c:v>39814</c:v>
                </c:pt>
                <c:pt idx="72">
                  <c:v>39845</c:v>
                </c:pt>
                <c:pt idx="73">
                  <c:v>39873</c:v>
                </c:pt>
                <c:pt idx="74">
                  <c:v>39904</c:v>
                </c:pt>
                <c:pt idx="75">
                  <c:v>39934</c:v>
                </c:pt>
                <c:pt idx="76">
                  <c:v>39965</c:v>
                </c:pt>
                <c:pt idx="77">
                  <c:v>39995</c:v>
                </c:pt>
                <c:pt idx="78">
                  <c:v>40026</c:v>
                </c:pt>
                <c:pt idx="79">
                  <c:v>40057</c:v>
                </c:pt>
                <c:pt idx="80">
                  <c:v>40087</c:v>
                </c:pt>
                <c:pt idx="81">
                  <c:v>40118</c:v>
                </c:pt>
                <c:pt idx="82">
                  <c:v>40148</c:v>
                </c:pt>
                <c:pt idx="83">
                  <c:v>40179</c:v>
                </c:pt>
                <c:pt idx="84">
                  <c:v>40210</c:v>
                </c:pt>
                <c:pt idx="85">
                  <c:v>40238</c:v>
                </c:pt>
                <c:pt idx="86">
                  <c:v>40269</c:v>
                </c:pt>
                <c:pt idx="87">
                  <c:v>40299</c:v>
                </c:pt>
                <c:pt idx="88">
                  <c:v>40330</c:v>
                </c:pt>
                <c:pt idx="89">
                  <c:v>40360</c:v>
                </c:pt>
                <c:pt idx="90">
                  <c:v>40391</c:v>
                </c:pt>
                <c:pt idx="91">
                  <c:v>40422</c:v>
                </c:pt>
                <c:pt idx="92">
                  <c:v>40452</c:v>
                </c:pt>
                <c:pt idx="93">
                  <c:v>40483</c:v>
                </c:pt>
                <c:pt idx="94">
                  <c:v>40513</c:v>
                </c:pt>
                <c:pt idx="95">
                  <c:v>40544</c:v>
                </c:pt>
                <c:pt idx="96">
                  <c:v>40575</c:v>
                </c:pt>
                <c:pt idx="97">
                  <c:v>40603</c:v>
                </c:pt>
                <c:pt idx="98">
                  <c:v>40634</c:v>
                </c:pt>
                <c:pt idx="99">
                  <c:v>40664</c:v>
                </c:pt>
                <c:pt idx="100">
                  <c:v>40695</c:v>
                </c:pt>
                <c:pt idx="101">
                  <c:v>40725</c:v>
                </c:pt>
                <c:pt idx="102">
                  <c:v>40756</c:v>
                </c:pt>
                <c:pt idx="103">
                  <c:v>40787</c:v>
                </c:pt>
                <c:pt idx="104">
                  <c:v>40817</c:v>
                </c:pt>
                <c:pt idx="105">
                  <c:v>40848</c:v>
                </c:pt>
                <c:pt idx="106">
                  <c:v>40878</c:v>
                </c:pt>
                <c:pt idx="107">
                  <c:v>40909</c:v>
                </c:pt>
                <c:pt idx="108">
                  <c:v>40940</c:v>
                </c:pt>
                <c:pt idx="109">
                  <c:v>40969</c:v>
                </c:pt>
                <c:pt idx="110">
                  <c:v>41000</c:v>
                </c:pt>
                <c:pt idx="111">
                  <c:v>41030</c:v>
                </c:pt>
                <c:pt idx="112">
                  <c:v>41061</c:v>
                </c:pt>
                <c:pt idx="113">
                  <c:v>41091</c:v>
                </c:pt>
                <c:pt idx="114">
                  <c:v>41122</c:v>
                </c:pt>
                <c:pt idx="115">
                  <c:v>41153</c:v>
                </c:pt>
                <c:pt idx="116">
                  <c:v>41183</c:v>
                </c:pt>
                <c:pt idx="117">
                  <c:v>41214</c:v>
                </c:pt>
                <c:pt idx="118">
                  <c:v>41244</c:v>
                </c:pt>
                <c:pt idx="119">
                  <c:v>41275</c:v>
                </c:pt>
                <c:pt idx="120">
                  <c:v>41306</c:v>
                </c:pt>
              </c:numCache>
            </c:numRef>
          </c:cat>
          <c:val>
            <c:numRef>
              <c:f>[0]!VOLUME</c:f>
              <c:numCache>
                <c:formatCode>#,##0.00</c:formatCode>
                <c:ptCount val="121"/>
                <c:pt idx="0">
                  <c:v>73871.3</c:v>
                </c:pt>
                <c:pt idx="1">
                  <c:v>68727.899999999994</c:v>
                </c:pt>
                <c:pt idx="2">
                  <c:v>62151.6</c:v>
                </c:pt>
                <c:pt idx="3">
                  <c:v>66480.899999999994</c:v>
                </c:pt>
                <c:pt idx="4">
                  <c:v>77050.899999999994</c:v>
                </c:pt>
                <c:pt idx="5">
                  <c:v>61659.8</c:v>
                </c:pt>
                <c:pt idx="6">
                  <c:v>47667.1</c:v>
                </c:pt>
                <c:pt idx="7">
                  <c:v>62697.2</c:v>
                </c:pt>
                <c:pt idx="8">
                  <c:v>63898</c:v>
                </c:pt>
                <c:pt idx="9">
                  <c:v>77670.399999999994</c:v>
                </c:pt>
                <c:pt idx="10">
                  <c:v>69030</c:v>
                </c:pt>
                <c:pt idx="11">
                  <c:v>63635.8</c:v>
                </c:pt>
                <c:pt idx="12">
                  <c:v>57385.9</c:v>
                </c:pt>
                <c:pt idx="13">
                  <c:v>77111.899999999994</c:v>
                </c:pt>
                <c:pt idx="14">
                  <c:v>77386.600000000006</c:v>
                </c:pt>
                <c:pt idx="15">
                  <c:v>58942.400000000001</c:v>
                </c:pt>
                <c:pt idx="16">
                  <c:v>77068.2</c:v>
                </c:pt>
                <c:pt idx="17">
                  <c:v>76666.600000000006</c:v>
                </c:pt>
                <c:pt idx="18">
                  <c:v>52104.6</c:v>
                </c:pt>
                <c:pt idx="19">
                  <c:v>57725.2</c:v>
                </c:pt>
                <c:pt idx="20">
                  <c:v>65742.899999999994</c:v>
                </c:pt>
                <c:pt idx="21">
                  <c:v>86446</c:v>
                </c:pt>
                <c:pt idx="22">
                  <c:v>84488</c:v>
                </c:pt>
                <c:pt idx="23">
                  <c:v>79642.8</c:v>
                </c:pt>
                <c:pt idx="24">
                  <c:v>75992.3</c:v>
                </c:pt>
                <c:pt idx="25">
                  <c:v>72899.7</c:v>
                </c:pt>
                <c:pt idx="26">
                  <c:v>77090.2</c:v>
                </c:pt>
                <c:pt idx="27">
                  <c:v>62699.7</c:v>
                </c:pt>
                <c:pt idx="28">
                  <c:v>62956.7</c:v>
                </c:pt>
                <c:pt idx="29">
                  <c:v>69046.600000000006</c:v>
                </c:pt>
                <c:pt idx="30">
                  <c:v>65529.9</c:v>
                </c:pt>
                <c:pt idx="31">
                  <c:v>66976.399999999994</c:v>
                </c:pt>
                <c:pt idx="32">
                  <c:v>72132.399999999994</c:v>
                </c:pt>
                <c:pt idx="33">
                  <c:v>71469.100000000006</c:v>
                </c:pt>
                <c:pt idx="34">
                  <c:v>62892.3</c:v>
                </c:pt>
                <c:pt idx="35">
                  <c:v>74173.2</c:v>
                </c:pt>
                <c:pt idx="36">
                  <c:v>58565</c:v>
                </c:pt>
                <c:pt idx="37">
                  <c:v>65223.1</c:v>
                </c:pt>
                <c:pt idx="38">
                  <c:v>107219.9</c:v>
                </c:pt>
                <c:pt idx="39">
                  <c:v>110427</c:v>
                </c:pt>
                <c:pt idx="40">
                  <c:v>92940.2</c:v>
                </c:pt>
                <c:pt idx="41">
                  <c:v>68627.600000000006</c:v>
                </c:pt>
                <c:pt idx="42">
                  <c:v>50459.5</c:v>
                </c:pt>
                <c:pt idx="43">
                  <c:v>56588.3</c:v>
                </c:pt>
                <c:pt idx="44">
                  <c:v>61492.2</c:v>
                </c:pt>
                <c:pt idx="45">
                  <c:v>61544.7</c:v>
                </c:pt>
                <c:pt idx="46">
                  <c:v>58945</c:v>
                </c:pt>
                <c:pt idx="47">
                  <c:v>69924.3</c:v>
                </c:pt>
                <c:pt idx="48">
                  <c:v>72483.3</c:v>
                </c:pt>
                <c:pt idx="49">
                  <c:v>59843.9</c:v>
                </c:pt>
                <c:pt idx="50">
                  <c:v>51337.599999999999</c:v>
                </c:pt>
                <c:pt idx="51">
                  <c:v>64202</c:v>
                </c:pt>
                <c:pt idx="52">
                  <c:v>59647.9</c:v>
                </c:pt>
                <c:pt idx="53">
                  <c:v>64862</c:v>
                </c:pt>
                <c:pt idx="54">
                  <c:v>55264.800000000003</c:v>
                </c:pt>
                <c:pt idx="55">
                  <c:v>61223</c:v>
                </c:pt>
                <c:pt idx="56">
                  <c:v>85080.9</c:v>
                </c:pt>
                <c:pt idx="57">
                  <c:v>90498.8</c:v>
                </c:pt>
                <c:pt idx="58">
                  <c:v>55002.3</c:v>
                </c:pt>
                <c:pt idx="59">
                  <c:v>97806.8</c:v>
                </c:pt>
                <c:pt idx="60">
                  <c:v>122053.5</c:v>
                </c:pt>
                <c:pt idx="61">
                  <c:v>74958.5</c:v>
                </c:pt>
                <c:pt idx="62">
                  <c:v>69066</c:v>
                </c:pt>
                <c:pt idx="63">
                  <c:v>69931.8</c:v>
                </c:pt>
                <c:pt idx="64">
                  <c:v>77058.100000000006</c:v>
                </c:pt>
                <c:pt idx="65">
                  <c:v>77180.100000000006</c:v>
                </c:pt>
                <c:pt idx="66">
                  <c:v>59889.7</c:v>
                </c:pt>
                <c:pt idx="67">
                  <c:v>96891.9</c:v>
                </c:pt>
                <c:pt idx="68">
                  <c:v>136418.79999999999</c:v>
                </c:pt>
                <c:pt idx="69">
                  <c:v>95976.9</c:v>
                </c:pt>
                <c:pt idx="70">
                  <c:v>72425.5</c:v>
                </c:pt>
                <c:pt idx="71">
                  <c:v>81319.399999999994</c:v>
                </c:pt>
                <c:pt idx="72">
                  <c:v>81560</c:v>
                </c:pt>
                <c:pt idx="73">
                  <c:v>78069.100000000006</c:v>
                </c:pt>
                <c:pt idx="74">
                  <c:v>78563.8</c:v>
                </c:pt>
                <c:pt idx="75">
                  <c:v>57362.8</c:v>
                </c:pt>
                <c:pt idx="76">
                  <c:v>67163.5</c:v>
                </c:pt>
                <c:pt idx="77">
                  <c:v>71441.7</c:v>
                </c:pt>
                <c:pt idx="78">
                  <c:v>49659.199999999997</c:v>
                </c:pt>
                <c:pt idx="79">
                  <c:v>52500.6</c:v>
                </c:pt>
                <c:pt idx="80">
                  <c:v>72581.899999999994</c:v>
                </c:pt>
                <c:pt idx="81">
                  <c:v>53121.4</c:v>
                </c:pt>
                <c:pt idx="82">
                  <c:v>43297</c:v>
                </c:pt>
                <c:pt idx="83">
                  <c:v>81765.2</c:v>
                </c:pt>
                <c:pt idx="84">
                  <c:v>58684.9</c:v>
                </c:pt>
                <c:pt idx="85">
                  <c:v>51043.3</c:v>
                </c:pt>
                <c:pt idx="86">
                  <c:v>65821.100000000006</c:v>
                </c:pt>
                <c:pt idx="87">
                  <c:v>89381.3</c:v>
                </c:pt>
                <c:pt idx="88">
                  <c:v>79675.5</c:v>
                </c:pt>
                <c:pt idx="89">
                  <c:v>71053.5</c:v>
                </c:pt>
                <c:pt idx="90">
                  <c:v>61156.6</c:v>
                </c:pt>
                <c:pt idx="91">
                  <c:v>63542.9</c:v>
                </c:pt>
                <c:pt idx="92">
                  <c:v>66458.3</c:v>
                </c:pt>
                <c:pt idx="93">
                  <c:v>68402.7</c:v>
                </c:pt>
                <c:pt idx="94">
                  <c:v>48111.9</c:v>
                </c:pt>
                <c:pt idx="95">
                  <c:v>71312.7</c:v>
                </c:pt>
                <c:pt idx="96">
                  <c:v>61355.1</c:v>
                </c:pt>
                <c:pt idx="97">
                  <c:v>59744.3</c:v>
                </c:pt>
                <c:pt idx="98">
                  <c:v>81660.3</c:v>
                </c:pt>
                <c:pt idx="99">
                  <c:v>67821.8</c:v>
                </c:pt>
                <c:pt idx="100">
                  <c:v>61377</c:v>
                </c:pt>
                <c:pt idx="101">
                  <c:v>68186.7</c:v>
                </c:pt>
                <c:pt idx="102">
                  <c:v>77332.100000000006</c:v>
                </c:pt>
                <c:pt idx="103">
                  <c:v>63522.8</c:v>
                </c:pt>
                <c:pt idx="104">
                  <c:v>60235.3</c:v>
                </c:pt>
                <c:pt idx="105">
                  <c:v>53693.2</c:v>
                </c:pt>
                <c:pt idx="106">
                  <c:v>49264.800000000003</c:v>
                </c:pt>
                <c:pt idx="107">
                  <c:v>70271.5</c:v>
                </c:pt>
                <c:pt idx="108">
                  <c:v>52182.7</c:v>
                </c:pt>
                <c:pt idx="109">
                  <c:v>44277.9</c:v>
                </c:pt>
                <c:pt idx="110">
                  <c:v>48821.8</c:v>
                </c:pt>
                <c:pt idx="111">
                  <c:v>47886.6</c:v>
                </c:pt>
                <c:pt idx="112">
                  <c:v>48969.4</c:v>
                </c:pt>
                <c:pt idx="113">
                  <c:v>42105.9</c:v>
                </c:pt>
                <c:pt idx="114">
                  <c:v>30797.3</c:v>
                </c:pt>
                <c:pt idx="115">
                  <c:v>49859.8</c:v>
                </c:pt>
                <c:pt idx="116">
                  <c:v>55946</c:v>
                </c:pt>
                <c:pt idx="117">
                  <c:v>66390.7</c:v>
                </c:pt>
                <c:pt idx="118">
                  <c:v>49503</c:v>
                </c:pt>
                <c:pt idx="119">
                  <c:v>56932.5</c:v>
                </c:pt>
                <c:pt idx="120">
                  <c:v>111131.8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88565760"/>
        <c:axId val="204899456"/>
      </c:barChart>
      <c:lineChart>
        <c:grouping val="standard"/>
        <c:varyColors val="0"/>
        <c:ser>
          <c:idx val="1"/>
          <c:order val="0"/>
          <c:tx>
            <c:strRef>
              <c:f>MODEL!$K$4</c:f>
              <c:strCache>
                <c:ptCount val="1"/>
                <c:pt idx="0">
                  <c:v>ADJ.CLOSE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[0]!DATES</c:f>
              <c:numCache>
                <c:formatCode>[$-409]d\-mmm\-yy;@</c:formatCode>
                <c:ptCount val="121"/>
                <c:pt idx="0">
                  <c:v>37653</c:v>
                </c:pt>
                <c:pt idx="1">
                  <c:v>37681</c:v>
                </c:pt>
                <c:pt idx="2">
                  <c:v>37712</c:v>
                </c:pt>
                <c:pt idx="3">
                  <c:v>37742</c:v>
                </c:pt>
                <c:pt idx="4">
                  <c:v>37773</c:v>
                </c:pt>
                <c:pt idx="5">
                  <c:v>37803</c:v>
                </c:pt>
                <c:pt idx="6">
                  <c:v>37834</c:v>
                </c:pt>
                <c:pt idx="7">
                  <c:v>37865</c:v>
                </c:pt>
                <c:pt idx="8">
                  <c:v>37895</c:v>
                </c:pt>
                <c:pt idx="9">
                  <c:v>37926</c:v>
                </c:pt>
                <c:pt idx="10">
                  <c:v>37956</c:v>
                </c:pt>
                <c:pt idx="11">
                  <c:v>37987</c:v>
                </c:pt>
                <c:pt idx="12">
                  <c:v>38018</c:v>
                </c:pt>
                <c:pt idx="13">
                  <c:v>38047</c:v>
                </c:pt>
                <c:pt idx="14">
                  <c:v>38078</c:v>
                </c:pt>
                <c:pt idx="15">
                  <c:v>38108</c:v>
                </c:pt>
                <c:pt idx="16">
                  <c:v>38139</c:v>
                </c:pt>
                <c:pt idx="17">
                  <c:v>38169</c:v>
                </c:pt>
                <c:pt idx="18">
                  <c:v>38200</c:v>
                </c:pt>
                <c:pt idx="19">
                  <c:v>38231</c:v>
                </c:pt>
                <c:pt idx="20">
                  <c:v>38261</c:v>
                </c:pt>
                <c:pt idx="21">
                  <c:v>38292</c:v>
                </c:pt>
                <c:pt idx="22">
                  <c:v>38322</c:v>
                </c:pt>
                <c:pt idx="23">
                  <c:v>38353</c:v>
                </c:pt>
                <c:pt idx="24">
                  <c:v>38384</c:v>
                </c:pt>
                <c:pt idx="25">
                  <c:v>38412</c:v>
                </c:pt>
                <c:pt idx="26">
                  <c:v>38443</c:v>
                </c:pt>
                <c:pt idx="27">
                  <c:v>38473</c:v>
                </c:pt>
                <c:pt idx="28">
                  <c:v>38504</c:v>
                </c:pt>
                <c:pt idx="29">
                  <c:v>38534</c:v>
                </c:pt>
                <c:pt idx="30">
                  <c:v>38565</c:v>
                </c:pt>
                <c:pt idx="31">
                  <c:v>38596</c:v>
                </c:pt>
                <c:pt idx="32">
                  <c:v>38626</c:v>
                </c:pt>
                <c:pt idx="33">
                  <c:v>38657</c:v>
                </c:pt>
                <c:pt idx="34">
                  <c:v>38687</c:v>
                </c:pt>
                <c:pt idx="35">
                  <c:v>38718</c:v>
                </c:pt>
                <c:pt idx="36">
                  <c:v>38749</c:v>
                </c:pt>
                <c:pt idx="37">
                  <c:v>38777</c:v>
                </c:pt>
                <c:pt idx="38">
                  <c:v>38808</c:v>
                </c:pt>
                <c:pt idx="39">
                  <c:v>38838</c:v>
                </c:pt>
                <c:pt idx="40">
                  <c:v>38869</c:v>
                </c:pt>
                <c:pt idx="41">
                  <c:v>38899</c:v>
                </c:pt>
                <c:pt idx="42">
                  <c:v>38930</c:v>
                </c:pt>
                <c:pt idx="43">
                  <c:v>38961</c:v>
                </c:pt>
                <c:pt idx="44">
                  <c:v>38991</c:v>
                </c:pt>
                <c:pt idx="45">
                  <c:v>39022</c:v>
                </c:pt>
                <c:pt idx="46">
                  <c:v>39052</c:v>
                </c:pt>
                <c:pt idx="47">
                  <c:v>39083</c:v>
                </c:pt>
                <c:pt idx="48">
                  <c:v>39114</c:v>
                </c:pt>
                <c:pt idx="49">
                  <c:v>39142</c:v>
                </c:pt>
                <c:pt idx="50">
                  <c:v>39173</c:v>
                </c:pt>
                <c:pt idx="51">
                  <c:v>39203</c:v>
                </c:pt>
                <c:pt idx="52">
                  <c:v>39234</c:v>
                </c:pt>
                <c:pt idx="53">
                  <c:v>39264</c:v>
                </c:pt>
                <c:pt idx="54">
                  <c:v>39295</c:v>
                </c:pt>
                <c:pt idx="55">
                  <c:v>39326</c:v>
                </c:pt>
                <c:pt idx="56">
                  <c:v>39356</c:v>
                </c:pt>
                <c:pt idx="57">
                  <c:v>39387</c:v>
                </c:pt>
                <c:pt idx="58">
                  <c:v>39417</c:v>
                </c:pt>
                <c:pt idx="59">
                  <c:v>39448</c:v>
                </c:pt>
                <c:pt idx="60">
                  <c:v>39479</c:v>
                </c:pt>
                <c:pt idx="61">
                  <c:v>39508</c:v>
                </c:pt>
                <c:pt idx="62">
                  <c:v>39539</c:v>
                </c:pt>
                <c:pt idx="63">
                  <c:v>39569</c:v>
                </c:pt>
                <c:pt idx="64">
                  <c:v>39600</c:v>
                </c:pt>
                <c:pt idx="65">
                  <c:v>39630</c:v>
                </c:pt>
                <c:pt idx="66">
                  <c:v>39661</c:v>
                </c:pt>
                <c:pt idx="67">
                  <c:v>39692</c:v>
                </c:pt>
                <c:pt idx="68">
                  <c:v>39722</c:v>
                </c:pt>
                <c:pt idx="69">
                  <c:v>39753</c:v>
                </c:pt>
                <c:pt idx="70">
                  <c:v>39783</c:v>
                </c:pt>
                <c:pt idx="71">
                  <c:v>39814</c:v>
                </c:pt>
                <c:pt idx="72">
                  <c:v>39845</c:v>
                </c:pt>
                <c:pt idx="73">
                  <c:v>39873</c:v>
                </c:pt>
                <c:pt idx="74">
                  <c:v>39904</c:v>
                </c:pt>
                <c:pt idx="75">
                  <c:v>39934</c:v>
                </c:pt>
                <c:pt idx="76">
                  <c:v>39965</c:v>
                </c:pt>
                <c:pt idx="77">
                  <c:v>39995</c:v>
                </c:pt>
                <c:pt idx="78">
                  <c:v>40026</c:v>
                </c:pt>
                <c:pt idx="79">
                  <c:v>40057</c:v>
                </c:pt>
                <c:pt idx="80">
                  <c:v>40087</c:v>
                </c:pt>
                <c:pt idx="81">
                  <c:v>40118</c:v>
                </c:pt>
                <c:pt idx="82">
                  <c:v>40148</c:v>
                </c:pt>
                <c:pt idx="83">
                  <c:v>40179</c:v>
                </c:pt>
                <c:pt idx="84">
                  <c:v>40210</c:v>
                </c:pt>
                <c:pt idx="85">
                  <c:v>40238</c:v>
                </c:pt>
                <c:pt idx="86">
                  <c:v>40269</c:v>
                </c:pt>
                <c:pt idx="87">
                  <c:v>40299</c:v>
                </c:pt>
                <c:pt idx="88">
                  <c:v>40330</c:v>
                </c:pt>
                <c:pt idx="89">
                  <c:v>40360</c:v>
                </c:pt>
                <c:pt idx="90">
                  <c:v>40391</c:v>
                </c:pt>
                <c:pt idx="91">
                  <c:v>40422</c:v>
                </c:pt>
                <c:pt idx="92">
                  <c:v>40452</c:v>
                </c:pt>
                <c:pt idx="93">
                  <c:v>40483</c:v>
                </c:pt>
                <c:pt idx="94">
                  <c:v>40513</c:v>
                </c:pt>
                <c:pt idx="95">
                  <c:v>40544</c:v>
                </c:pt>
                <c:pt idx="96">
                  <c:v>40575</c:v>
                </c:pt>
                <c:pt idx="97">
                  <c:v>40603</c:v>
                </c:pt>
                <c:pt idx="98">
                  <c:v>40634</c:v>
                </c:pt>
                <c:pt idx="99">
                  <c:v>40664</c:v>
                </c:pt>
                <c:pt idx="100">
                  <c:v>40695</c:v>
                </c:pt>
                <c:pt idx="101">
                  <c:v>40725</c:v>
                </c:pt>
                <c:pt idx="102">
                  <c:v>40756</c:v>
                </c:pt>
                <c:pt idx="103">
                  <c:v>40787</c:v>
                </c:pt>
                <c:pt idx="104">
                  <c:v>40817</c:v>
                </c:pt>
                <c:pt idx="105">
                  <c:v>40848</c:v>
                </c:pt>
                <c:pt idx="106">
                  <c:v>40878</c:v>
                </c:pt>
                <c:pt idx="107">
                  <c:v>40909</c:v>
                </c:pt>
                <c:pt idx="108">
                  <c:v>40940</c:v>
                </c:pt>
                <c:pt idx="109">
                  <c:v>40969</c:v>
                </c:pt>
                <c:pt idx="110">
                  <c:v>41000</c:v>
                </c:pt>
                <c:pt idx="111">
                  <c:v>41030</c:v>
                </c:pt>
                <c:pt idx="112">
                  <c:v>41061</c:v>
                </c:pt>
                <c:pt idx="113">
                  <c:v>41091</c:v>
                </c:pt>
                <c:pt idx="114">
                  <c:v>41122</c:v>
                </c:pt>
                <c:pt idx="115">
                  <c:v>41153</c:v>
                </c:pt>
                <c:pt idx="116">
                  <c:v>41183</c:v>
                </c:pt>
                <c:pt idx="117">
                  <c:v>41214</c:v>
                </c:pt>
                <c:pt idx="118">
                  <c:v>41244</c:v>
                </c:pt>
                <c:pt idx="119">
                  <c:v>41275</c:v>
                </c:pt>
                <c:pt idx="120">
                  <c:v>41306</c:v>
                </c:pt>
              </c:numCache>
            </c:numRef>
          </c:cat>
          <c:val>
            <c:numRef>
              <c:f>[0]!PRICES</c:f>
              <c:numCache>
                <c:formatCode>#,##0.00</c:formatCode>
                <c:ptCount val="121"/>
                <c:pt idx="0">
                  <c:v>17.89</c:v>
                </c:pt>
                <c:pt idx="1">
                  <c:v>18.27</c:v>
                </c:pt>
                <c:pt idx="2">
                  <c:v>19.3</c:v>
                </c:pt>
                <c:pt idx="3">
                  <c:v>18.57</c:v>
                </c:pt>
                <c:pt idx="4">
                  <c:v>19.350000000000001</c:v>
                </c:pt>
                <c:pt idx="5">
                  <c:v>19.93</c:v>
                </c:pt>
                <c:pt idx="6">
                  <c:v>20.02</c:v>
                </c:pt>
                <c:pt idx="7">
                  <c:v>20.98</c:v>
                </c:pt>
                <c:pt idx="8">
                  <c:v>19.84</c:v>
                </c:pt>
                <c:pt idx="9">
                  <c:v>19.510000000000002</c:v>
                </c:pt>
                <c:pt idx="10">
                  <c:v>20.77</c:v>
                </c:pt>
                <c:pt idx="11">
                  <c:v>20.99</c:v>
                </c:pt>
                <c:pt idx="12">
                  <c:v>20.13</c:v>
                </c:pt>
                <c:pt idx="13">
                  <c:v>18.920000000000002</c:v>
                </c:pt>
                <c:pt idx="14">
                  <c:v>19.829999999999998</c:v>
                </c:pt>
                <c:pt idx="15">
                  <c:v>19.91</c:v>
                </c:pt>
                <c:pt idx="16">
                  <c:v>21.68</c:v>
                </c:pt>
                <c:pt idx="17">
                  <c:v>21.62</c:v>
                </c:pt>
                <c:pt idx="18">
                  <c:v>20.78</c:v>
                </c:pt>
                <c:pt idx="19">
                  <c:v>21.05</c:v>
                </c:pt>
                <c:pt idx="20">
                  <c:v>21.29</c:v>
                </c:pt>
                <c:pt idx="21">
                  <c:v>22.75</c:v>
                </c:pt>
                <c:pt idx="22">
                  <c:v>22.67</c:v>
                </c:pt>
                <c:pt idx="23">
                  <c:v>22.3</c:v>
                </c:pt>
                <c:pt idx="24">
                  <c:v>21.41</c:v>
                </c:pt>
                <c:pt idx="25">
                  <c:v>20.57</c:v>
                </c:pt>
                <c:pt idx="26">
                  <c:v>21.53</c:v>
                </c:pt>
                <c:pt idx="27">
                  <c:v>22.03</c:v>
                </c:pt>
                <c:pt idx="28">
                  <c:v>21.21</c:v>
                </c:pt>
                <c:pt idx="29">
                  <c:v>21.86</c:v>
                </c:pt>
                <c:pt idx="30">
                  <c:v>23.44</c:v>
                </c:pt>
                <c:pt idx="31">
                  <c:v>22.03</c:v>
                </c:pt>
                <c:pt idx="32">
                  <c:v>22.01</c:v>
                </c:pt>
                <c:pt idx="33">
                  <c:v>23.77</c:v>
                </c:pt>
                <c:pt idx="34">
                  <c:v>22.46</c:v>
                </c:pt>
                <c:pt idx="35">
                  <c:v>24.17</c:v>
                </c:pt>
                <c:pt idx="36">
                  <c:v>23.15</c:v>
                </c:pt>
                <c:pt idx="37">
                  <c:v>23.45</c:v>
                </c:pt>
                <c:pt idx="38">
                  <c:v>20.81</c:v>
                </c:pt>
                <c:pt idx="39">
                  <c:v>19.59</c:v>
                </c:pt>
                <c:pt idx="40">
                  <c:v>20.149999999999999</c:v>
                </c:pt>
                <c:pt idx="41">
                  <c:v>20.81</c:v>
                </c:pt>
                <c:pt idx="42">
                  <c:v>22.31</c:v>
                </c:pt>
                <c:pt idx="43">
                  <c:v>23.75</c:v>
                </c:pt>
                <c:pt idx="44">
                  <c:v>24.93</c:v>
                </c:pt>
                <c:pt idx="45">
                  <c:v>25.58</c:v>
                </c:pt>
                <c:pt idx="46">
                  <c:v>26.01</c:v>
                </c:pt>
                <c:pt idx="47">
                  <c:v>26.88</c:v>
                </c:pt>
                <c:pt idx="48">
                  <c:v>24.63</c:v>
                </c:pt>
                <c:pt idx="49">
                  <c:v>24.36</c:v>
                </c:pt>
                <c:pt idx="50">
                  <c:v>26.17</c:v>
                </c:pt>
                <c:pt idx="51">
                  <c:v>26.92</c:v>
                </c:pt>
                <c:pt idx="52">
                  <c:v>25.85</c:v>
                </c:pt>
                <c:pt idx="53">
                  <c:v>25.42</c:v>
                </c:pt>
                <c:pt idx="54">
                  <c:v>25.28</c:v>
                </c:pt>
                <c:pt idx="55">
                  <c:v>25.93</c:v>
                </c:pt>
                <c:pt idx="56">
                  <c:v>32.4</c:v>
                </c:pt>
                <c:pt idx="57">
                  <c:v>29.67</c:v>
                </c:pt>
                <c:pt idx="58">
                  <c:v>31.43</c:v>
                </c:pt>
                <c:pt idx="59">
                  <c:v>28.79</c:v>
                </c:pt>
                <c:pt idx="60">
                  <c:v>24.11</c:v>
                </c:pt>
                <c:pt idx="61">
                  <c:v>25.16</c:v>
                </c:pt>
                <c:pt idx="62">
                  <c:v>25.28</c:v>
                </c:pt>
                <c:pt idx="63">
                  <c:v>25.2</c:v>
                </c:pt>
                <c:pt idx="64">
                  <c:v>24.48</c:v>
                </c:pt>
                <c:pt idx="65">
                  <c:v>22.88</c:v>
                </c:pt>
                <c:pt idx="66">
                  <c:v>24.38</c:v>
                </c:pt>
                <c:pt idx="67">
                  <c:v>23.84</c:v>
                </c:pt>
                <c:pt idx="68">
                  <c:v>19.95</c:v>
                </c:pt>
                <c:pt idx="69">
                  <c:v>18.18</c:v>
                </c:pt>
                <c:pt idx="70">
                  <c:v>17.48</c:v>
                </c:pt>
                <c:pt idx="71">
                  <c:v>15.38</c:v>
                </c:pt>
                <c:pt idx="72">
                  <c:v>14.62</c:v>
                </c:pt>
                <c:pt idx="73">
                  <c:v>16.63</c:v>
                </c:pt>
                <c:pt idx="74">
                  <c:v>18.34</c:v>
                </c:pt>
                <c:pt idx="75">
                  <c:v>19.04</c:v>
                </c:pt>
                <c:pt idx="76">
                  <c:v>21.66</c:v>
                </c:pt>
                <c:pt idx="77">
                  <c:v>21.43</c:v>
                </c:pt>
                <c:pt idx="78">
                  <c:v>22.59</c:v>
                </c:pt>
                <c:pt idx="79">
                  <c:v>23.57</c:v>
                </c:pt>
                <c:pt idx="80">
                  <c:v>25.41</c:v>
                </c:pt>
                <c:pt idx="81">
                  <c:v>27.07</c:v>
                </c:pt>
                <c:pt idx="82">
                  <c:v>28.05</c:v>
                </c:pt>
                <c:pt idx="83">
                  <c:v>25.94</c:v>
                </c:pt>
                <c:pt idx="84">
                  <c:v>26.51</c:v>
                </c:pt>
                <c:pt idx="85">
                  <c:v>27.08</c:v>
                </c:pt>
                <c:pt idx="86">
                  <c:v>28.24</c:v>
                </c:pt>
                <c:pt idx="87">
                  <c:v>23.96</c:v>
                </c:pt>
                <c:pt idx="88">
                  <c:v>21.37</c:v>
                </c:pt>
                <c:pt idx="89">
                  <c:v>23.97</c:v>
                </c:pt>
                <c:pt idx="90">
                  <c:v>21.92</c:v>
                </c:pt>
                <c:pt idx="91">
                  <c:v>22.87</c:v>
                </c:pt>
                <c:pt idx="92">
                  <c:v>24.9</c:v>
                </c:pt>
                <c:pt idx="93">
                  <c:v>23.73</c:v>
                </c:pt>
                <c:pt idx="94">
                  <c:v>26.22</c:v>
                </c:pt>
                <c:pt idx="95">
                  <c:v>26.05</c:v>
                </c:pt>
                <c:pt idx="96">
                  <c:v>25.12</c:v>
                </c:pt>
                <c:pt idx="97">
                  <c:v>24</c:v>
                </c:pt>
                <c:pt idx="98">
                  <c:v>24.5</c:v>
                </c:pt>
                <c:pt idx="99">
                  <c:v>23.79</c:v>
                </c:pt>
                <c:pt idx="100">
                  <c:v>24.73</c:v>
                </c:pt>
                <c:pt idx="101">
                  <c:v>26.07</c:v>
                </c:pt>
                <c:pt idx="102">
                  <c:v>25.46</c:v>
                </c:pt>
                <c:pt idx="103">
                  <c:v>23.83</c:v>
                </c:pt>
                <c:pt idx="104">
                  <c:v>25.49</c:v>
                </c:pt>
                <c:pt idx="105">
                  <c:v>24.67</c:v>
                </c:pt>
                <c:pt idx="106">
                  <c:v>25.04</c:v>
                </c:pt>
                <c:pt idx="107">
                  <c:v>28.48</c:v>
                </c:pt>
                <c:pt idx="108">
                  <c:v>30.82</c:v>
                </c:pt>
                <c:pt idx="109">
                  <c:v>31.32</c:v>
                </c:pt>
                <c:pt idx="110">
                  <c:v>31.09</c:v>
                </c:pt>
                <c:pt idx="111">
                  <c:v>28.53</c:v>
                </c:pt>
                <c:pt idx="112">
                  <c:v>29.89</c:v>
                </c:pt>
                <c:pt idx="113">
                  <c:v>28.8</c:v>
                </c:pt>
                <c:pt idx="114">
                  <c:v>30.32</c:v>
                </c:pt>
                <c:pt idx="115">
                  <c:v>29.28</c:v>
                </c:pt>
                <c:pt idx="116">
                  <c:v>28.07</c:v>
                </c:pt>
                <c:pt idx="117">
                  <c:v>26.4</c:v>
                </c:pt>
                <c:pt idx="118">
                  <c:v>26.49</c:v>
                </c:pt>
                <c:pt idx="119">
                  <c:v>27.22</c:v>
                </c:pt>
                <c:pt idx="120">
                  <c:v>27.7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8565248"/>
        <c:axId val="204898880"/>
      </c:lineChart>
      <c:catAx>
        <c:axId val="288565248"/>
        <c:scaling>
          <c:orientation val="minMax"/>
        </c:scaling>
        <c:delete val="0"/>
        <c:axPos val="b"/>
        <c:numFmt formatCode="[$-409]d\-mmm\-yy;@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898880"/>
        <c:crosses val="autoZero"/>
        <c:auto val="0"/>
        <c:lblAlgn val="ctr"/>
        <c:lblOffset val="100"/>
        <c:tickLblSkip val="10"/>
        <c:tickMarkSkip val="1"/>
        <c:noMultiLvlLbl val="0"/>
      </c:catAx>
      <c:valAx>
        <c:axId val="204898880"/>
        <c:scaling>
          <c:orientation val="minMax"/>
        </c:scaling>
        <c:delete val="0"/>
        <c:axPos val="l"/>
        <c:numFmt formatCode="#,##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8565248"/>
        <c:crosses val="autoZero"/>
        <c:crossBetween val="midCat"/>
      </c:valAx>
      <c:catAx>
        <c:axId val="288565760"/>
        <c:scaling>
          <c:orientation val="minMax"/>
        </c:scaling>
        <c:delete val="1"/>
        <c:axPos val="b"/>
        <c:numFmt formatCode="[$-409]d\-mmm\-yy;@" sourceLinked="1"/>
        <c:majorTickMark val="out"/>
        <c:minorTickMark val="none"/>
        <c:tickLblPos val="none"/>
        <c:crossAx val="204899456"/>
        <c:crosses val="autoZero"/>
        <c:auto val="0"/>
        <c:lblAlgn val="ctr"/>
        <c:lblOffset val="100"/>
        <c:noMultiLvlLbl val="0"/>
      </c:catAx>
      <c:valAx>
        <c:axId val="204899456"/>
        <c:scaling>
          <c:orientation val="minMax"/>
        </c:scaling>
        <c:delete val="0"/>
        <c:axPos val="r"/>
        <c:numFmt formatCode="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8565760"/>
        <c:crosses val="max"/>
        <c:crossBetween val="midCat"/>
      </c:valAx>
      <c:spPr>
        <a:noFill/>
        <a:ln w="12700">
          <a:noFill/>
          <a:prstDash val="solid"/>
        </a:ln>
      </c:spPr>
    </c:plotArea>
    <c:legend>
      <c:legendPos val="t"/>
      <c:layout/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>
    <tabColor rgb="FF0070C0"/>
  </sheetPr>
  <sheetViews>
    <sheetView zoomScale="118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2">
    <tabColor rgb="FFFFFF00"/>
  </sheetPr>
  <sheetViews>
    <sheetView tabSelected="1" zoomScale="105" workbookViewId="0" zoomToFit="1"/>
  </sheetViews>
  <pageMargins left="0.7" right="0.7" top="0.75" bottom="0.75" header="0.3" footer="0.3"/>
  <drawing r:id="rId1"/>
</chartsheet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19049</xdr:colOff>
      <xdr:row>1</xdr:row>
      <xdr:rowOff>47624</xdr:rowOff>
    </xdr:from>
    <xdr:to>
      <xdr:col>5</xdr:col>
      <xdr:colOff>723901</xdr:colOff>
      <xdr:row>6</xdr:row>
      <xdr:rowOff>175260</xdr:rowOff>
    </xdr:to>
    <xdr:sp macro="[0]!PRINT_MODEL2" textlink="">
      <xdr:nvSpPr>
        <xdr:cNvPr id="2" name="AutoShape 2"/>
        <xdr:cNvSpPr>
          <a:spLocks noChangeArrowheads="1"/>
        </xdr:cNvSpPr>
      </xdr:nvSpPr>
      <xdr:spPr bwMode="auto">
        <a:xfrm>
          <a:off x="2670809" y="238124"/>
          <a:ext cx="1786892" cy="1080136"/>
        </a:xfrm>
        <a:prstGeom prst="bevel">
          <a:avLst>
            <a:gd name="adj" fmla="val 12500"/>
          </a:avLst>
        </a:prstGeom>
        <a:ln>
          <a:headEnd/>
          <a:tailEnd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1" i="0" strike="noStrike">
              <a:solidFill>
                <a:srgbClr val="FFFFFF"/>
              </a:solidFill>
              <a:latin typeface="Arial"/>
              <a:cs typeface="Arial"/>
            </a:rPr>
            <a:t>REFRESH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1171576</xdr:colOff>
      <xdr:row>17</xdr:row>
      <xdr:rowOff>152401</xdr:rowOff>
    </xdr:from>
    <xdr:to>
      <xdr:col>1</xdr:col>
      <xdr:colOff>2971800</xdr:colOff>
      <xdr:row>20</xdr:row>
      <xdr:rowOff>133351</xdr:rowOff>
    </xdr:to>
    <xdr:sp macro="[0]!PRINT_MODEL1" textlink="">
      <xdr:nvSpPr>
        <xdr:cNvPr id="2" name="AutoShape 2"/>
        <xdr:cNvSpPr>
          <a:spLocks noChangeArrowheads="1"/>
        </xdr:cNvSpPr>
      </xdr:nvSpPr>
      <xdr:spPr bwMode="auto">
        <a:xfrm>
          <a:off x="1419226" y="3571876"/>
          <a:ext cx="1800224" cy="552450"/>
        </a:xfrm>
        <a:prstGeom prst="bevel">
          <a:avLst>
            <a:gd name="adj" fmla="val 12500"/>
          </a:avLst>
        </a:prstGeom>
        <a:ln>
          <a:headEnd/>
          <a:tailEnd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1" i="0" strike="noStrike">
              <a:solidFill>
                <a:srgbClr val="FFFFFF"/>
              </a:solidFill>
              <a:latin typeface="Arial"/>
              <a:cs typeface="Arial"/>
            </a:rPr>
            <a:t>REFRESH 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7436" cy="630425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0.7785</cdr:x>
      <cdr:y>0.90577</cdr:y>
    </cdr:from>
    <cdr:to>
      <cdr:x>0.96583</cdr:x>
      <cdr:y>0.9839</cdr:y>
    </cdr:to>
    <cdr:sp macro="[0]!SNAPSHOT_CHART_FUNC" textlink="">
      <cdr:nvSpPr>
        <cdr:cNvPr id="2" name="Bevel 1"/>
        <cdr:cNvSpPr/>
      </cdr:nvSpPr>
      <cdr:spPr bwMode="auto">
        <a:xfrm xmlns:a="http://schemas.openxmlformats.org/drawingml/2006/main">
          <a:off x="6753183" y="5741386"/>
          <a:ext cx="1624994" cy="495222"/>
        </a:xfrm>
        <a:prstGeom xmlns:a="http://schemas.openxmlformats.org/drawingml/2006/main" prst="bevel">
          <a:avLst/>
        </a:prstGeom>
        <a:gradFill xmlns:a="http://schemas.openxmlformats.org/drawingml/2006/main" rotWithShape="1">
          <a:gsLst>
            <a:gs pos="0">
              <a:sysClr val="windowText" lastClr="000000">
                <a:tint val="50000"/>
                <a:satMod val="300000"/>
              </a:sysClr>
            </a:gs>
            <a:gs pos="35000">
              <a:sysClr val="windowText" lastClr="000000">
                <a:tint val="37000"/>
                <a:satMod val="300000"/>
              </a:sysClr>
            </a:gs>
            <a:gs pos="100000">
              <a:sysClr val="windowText" lastClr="000000">
                <a:tint val="15000"/>
                <a:satMod val="350000"/>
              </a:sysClr>
            </a:gs>
          </a:gsLst>
          <a:lin ang="16200000" scaled="1"/>
        </a:gradFill>
        <a:ln xmlns:a="http://schemas.openxmlformats.org/drawingml/2006/main"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  <a:headEnd type="none" w="med" len="med"/>
          <a:tailEnd type="none" w="med" len="med"/>
        </a:ln>
        <a:effectLst xmlns:a="http://schemas.openxmlformats.org/drawingml/2006/main">
          <a:outerShdw blurRad="40000" dist="20000" dir="5400000" rotWithShape="0">
            <a:srgbClr val="000000">
              <a:alpha val="38000"/>
            </a:srgbClr>
          </a:outerShdw>
        </a:effectLst>
      </cdr:spPr>
      <cdr:style>
        <a:lnRef xmlns:a="http://schemas.openxmlformats.org/drawingml/2006/main" idx="1">
          <a:schemeClr val="dk1"/>
        </a:lnRef>
        <a:fillRef xmlns:a="http://schemas.openxmlformats.org/drawingml/2006/main" idx="2">
          <a:schemeClr val="dk1"/>
        </a:fillRef>
        <a:effectRef xmlns:a="http://schemas.openxmlformats.org/drawingml/2006/main" idx="1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18288" tIns="0" rIns="0" bIns="0" anchor="ctr" upright="1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n-US" b="1">
              <a:solidFill>
                <a:sysClr val="windowText" lastClr="000000"/>
              </a:solidFill>
            </a:rPr>
            <a:t>SNAPSHOT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81357" cy="631371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0.70833</cdr:x>
      <cdr:y>0.89204</cdr:y>
    </cdr:from>
    <cdr:to>
      <cdr:x>0.89493</cdr:x>
      <cdr:y>0.96933</cdr:y>
    </cdr:to>
    <cdr:sp macro="[0]!SNAPSHOT_CHART_FUNC" textlink="">
      <cdr:nvSpPr>
        <cdr:cNvPr id="2" name="Bevel 1"/>
        <cdr:cNvSpPr/>
      </cdr:nvSpPr>
      <cdr:spPr bwMode="auto">
        <a:xfrm xmlns:a="http://schemas.openxmlformats.org/drawingml/2006/main">
          <a:off x="6168572" y="5715000"/>
          <a:ext cx="1624994" cy="495222"/>
        </a:xfrm>
        <a:prstGeom xmlns:a="http://schemas.openxmlformats.org/drawingml/2006/main" prst="bevel">
          <a:avLst/>
        </a:prstGeom>
        <a:gradFill xmlns:a="http://schemas.openxmlformats.org/drawingml/2006/main" rotWithShape="1">
          <a:gsLst>
            <a:gs pos="0">
              <a:sysClr val="windowText" lastClr="000000">
                <a:tint val="50000"/>
                <a:satMod val="300000"/>
              </a:sysClr>
            </a:gs>
            <a:gs pos="35000">
              <a:sysClr val="windowText" lastClr="000000">
                <a:tint val="37000"/>
                <a:satMod val="300000"/>
              </a:sysClr>
            </a:gs>
            <a:gs pos="100000">
              <a:sysClr val="windowText" lastClr="000000">
                <a:tint val="15000"/>
                <a:satMod val="350000"/>
              </a:sysClr>
            </a:gs>
          </a:gsLst>
          <a:lin ang="16200000" scaled="1"/>
        </a:gradFill>
        <a:ln xmlns:a="http://schemas.openxmlformats.org/drawingml/2006/main"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  <a:headEnd type="none" w="med" len="med"/>
          <a:tailEnd type="none" w="med" len="med"/>
        </a:ln>
        <a:effectLst xmlns:a="http://schemas.openxmlformats.org/drawingml/2006/main">
          <a:outerShdw blurRad="40000" dist="20000" dir="5400000" rotWithShape="0">
            <a:srgbClr val="000000">
              <a:alpha val="38000"/>
            </a:srgbClr>
          </a:outerShdw>
        </a:effectLst>
      </cdr:spPr>
      <cdr:style>
        <a:lnRef xmlns:a="http://schemas.openxmlformats.org/drawingml/2006/main" idx="1">
          <a:schemeClr val="dk1"/>
        </a:lnRef>
        <a:fillRef xmlns:a="http://schemas.openxmlformats.org/drawingml/2006/main" idx="2">
          <a:schemeClr val="dk1"/>
        </a:fillRef>
        <a:effectRef xmlns:a="http://schemas.openxmlformats.org/drawingml/2006/main" idx="1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18288" tIns="0" rIns="0" bIns="0" anchor="ctr" upright="1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n-US" b="1">
              <a:solidFill>
                <a:sysClr val="windowText" lastClr="000000"/>
              </a:solidFill>
            </a:rPr>
            <a:t>SNAPSHOT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hared%20Folders/Desktop/XLS/2.%20GITHUB/BGCVI/ADD-IN/BGCVI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ASSET_MONTHLY_SYSTEM_FUNC"/>
      <definedName name="MATRIX_TRANSPOSE_FUNC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92D050"/>
  </sheetPr>
  <dimension ref="B2:AI509"/>
  <sheetViews>
    <sheetView showGridLines="0" workbookViewId="0">
      <selection activeCell="B2" sqref="B2"/>
    </sheetView>
  </sheetViews>
  <sheetFormatPr defaultColWidth="9.140625" defaultRowHeight="15" customHeight="1" x14ac:dyDescent="0.25"/>
  <cols>
    <col min="1" max="1" width="3.7109375" style="6" customWidth="1"/>
    <col min="2" max="3" width="15.7109375" style="6" customWidth="1"/>
    <col min="4" max="4" width="3.7109375" style="6" customWidth="1"/>
    <col min="5" max="35" width="15.7109375" style="6" customWidth="1"/>
    <col min="36" max="16384" width="9.140625" style="6"/>
  </cols>
  <sheetData>
    <row r="2" spans="2:35" ht="15" customHeight="1" x14ac:dyDescent="0.25">
      <c r="B2" s="26" t="s">
        <v>7</v>
      </c>
      <c r="C2" s="27">
        <f ca="1">DATE(YEAR(C3)-10,MONTH(C3)-0,1)</f>
        <v>37653</v>
      </c>
    </row>
    <row r="3" spans="2:35" ht="15" customHeight="1" x14ac:dyDescent="0.25">
      <c r="B3" s="26" t="s">
        <v>8</v>
      </c>
      <c r="C3" s="27">
        <f ca="1">DATE(YEAR(TODAY())-0,MONTH(TODAY())-0,1)</f>
        <v>41306</v>
      </c>
    </row>
    <row r="4" spans="2:35" ht="15" customHeight="1" x14ac:dyDescent="0.25">
      <c r="B4" s="4" t="s">
        <v>11</v>
      </c>
      <c r="C4" s="39">
        <v>0</v>
      </c>
    </row>
    <row r="5" spans="2:35" ht="15" customHeight="1" x14ac:dyDescent="0.25">
      <c r="B5" s="4" t="s">
        <v>12</v>
      </c>
      <c r="C5" s="39">
        <v>0</v>
      </c>
    </row>
    <row r="6" spans="2:35" ht="15" customHeight="1" x14ac:dyDescent="0.25">
      <c r="B6" s="4" t="s">
        <v>9</v>
      </c>
      <c r="C6" s="17">
        <v>1</v>
      </c>
    </row>
    <row r="7" spans="2:35" ht="15" customHeight="1" x14ac:dyDescent="0.25">
      <c r="B7" s="4" t="s">
        <v>25</v>
      </c>
      <c r="C7" s="41">
        <v>0</v>
      </c>
    </row>
    <row r="9" spans="2:35" ht="15" customHeight="1" x14ac:dyDescent="0.25">
      <c r="B9" s="25" t="s">
        <v>17</v>
      </c>
      <c r="C9" s="25" t="s">
        <v>0</v>
      </c>
      <c r="E9" s="34" t="s">
        <v>0</v>
      </c>
      <c r="F9" s="32" t="s">
        <v>21</v>
      </c>
      <c r="G9" s="32" t="s">
        <v>22</v>
      </c>
      <c r="H9" s="37" t="s">
        <v>11</v>
      </c>
      <c r="I9" s="37" t="s">
        <v>12</v>
      </c>
      <c r="J9" s="35" t="s">
        <v>23</v>
      </c>
      <c r="K9" s="35" t="s">
        <v>24</v>
      </c>
      <c r="L9" s="35" t="s">
        <v>26</v>
      </c>
      <c r="M9" s="35" t="s">
        <v>27</v>
      </c>
      <c r="N9" s="35" t="s">
        <v>18</v>
      </c>
      <c r="O9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</row>
    <row r="10" spans="2:35" ht="15" customHeight="1" x14ac:dyDescent="0.25">
      <c r="B10" s="42" t="s">
        <v>30</v>
      </c>
      <c r="C10" s="43" t="s">
        <v>31</v>
      </c>
      <c r="E10" s="34" t="s">
        <v>31</v>
      </c>
      <c r="F10" s="33">
        <v>37653</v>
      </c>
      <c r="G10" s="33">
        <v>41306</v>
      </c>
      <c r="H10" s="38">
        <v>41334</v>
      </c>
      <c r="I10" s="38">
        <v>41275</v>
      </c>
      <c r="J10" s="36">
        <v>0.13276700657370433</v>
      </c>
      <c r="K10" s="36">
        <v>0.13790726325186964</v>
      </c>
      <c r="L10" s="36">
        <v>1.5548481158753109E-2</v>
      </c>
      <c r="M10" s="36">
        <v>0.10100474709128908</v>
      </c>
      <c r="N10" s="36">
        <v>0.1539381227765487</v>
      </c>
      <c r="O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</row>
    <row r="11" spans="2:35" ht="15" customHeight="1" x14ac:dyDescent="0.25">
      <c r="B11" s="42" t="s">
        <v>32</v>
      </c>
      <c r="C11" s="43" t="s">
        <v>33</v>
      </c>
      <c r="E11" s="34" t="s">
        <v>33</v>
      </c>
      <c r="F11" s="33">
        <v>37653</v>
      </c>
      <c r="G11" s="33">
        <v>41306</v>
      </c>
      <c r="H11" s="38">
        <v>41548</v>
      </c>
      <c r="I11" s="38">
        <v>41609</v>
      </c>
      <c r="J11" s="36">
        <v>5.5639814120135078E-2</v>
      </c>
      <c r="K11" s="36">
        <v>-6.0831716776910461E-2</v>
      </c>
      <c r="L11" s="36">
        <v>5.3755882618221756E-3</v>
      </c>
      <c r="M11" s="36">
        <v>4.2104057936915504E-2</v>
      </c>
      <c r="N11" s="36">
        <v>0.12767387575507372</v>
      </c>
      <c r="O11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</row>
    <row r="12" spans="2:35" ht="15" customHeight="1" x14ac:dyDescent="0.25">
      <c r="B12" s="42" t="s">
        <v>34</v>
      </c>
      <c r="C12" s="43" t="s">
        <v>35</v>
      </c>
      <c r="E12" s="34" t="s">
        <v>35</v>
      </c>
      <c r="F12" s="33">
        <v>37653</v>
      </c>
      <c r="G12" s="33">
        <v>41306</v>
      </c>
      <c r="H12" s="38">
        <v>41426</v>
      </c>
      <c r="I12" s="38">
        <v>41395</v>
      </c>
      <c r="J12" s="36">
        <v>0.48029044302045376</v>
      </c>
      <c r="K12" s="36">
        <v>0.5032055348919926</v>
      </c>
      <c r="L12" s="36">
        <v>3.8885271365665254E-2</v>
      </c>
      <c r="M12" s="36">
        <v>0.10333221433502419</v>
      </c>
      <c r="N12" s="36">
        <v>0.37631315283335787</v>
      </c>
      <c r="O12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</row>
    <row r="13" spans="2:35" ht="15" customHeight="1" x14ac:dyDescent="0.25">
      <c r="B13" s="42" t="s">
        <v>36</v>
      </c>
      <c r="C13" s="43" t="s">
        <v>37</v>
      </c>
      <c r="E13" s="34" t="s">
        <v>37</v>
      </c>
      <c r="F13" s="33">
        <v>37653</v>
      </c>
      <c r="G13" s="33">
        <v>41306</v>
      </c>
      <c r="H13" s="38">
        <v>41306</v>
      </c>
      <c r="I13" s="38">
        <v>41275</v>
      </c>
      <c r="J13" s="36">
        <v>0.14274049445651249</v>
      </c>
      <c r="K13" s="36">
        <v>0.14017255843002929</v>
      </c>
      <c r="L13" s="36">
        <v>1.2593706622238155E-2</v>
      </c>
      <c r="M13" s="36">
        <v>5.144361659769197E-2</v>
      </c>
      <c r="N13" s="36">
        <v>0.24480601200194729</v>
      </c>
      <c r="O13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</row>
    <row r="14" spans="2:35" ht="15" customHeight="1" x14ac:dyDescent="0.25">
      <c r="B14" s="42" t="s">
        <v>38</v>
      </c>
      <c r="C14" s="43" t="s">
        <v>39</v>
      </c>
      <c r="E14" s="34" t="s">
        <v>39</v>
      </c>
      <c r="F14" s="33">
        <v>37653</v>
      </c>
      <c r="G14" s="33">
        <v>41306</v>
      </c>
      <c r="H14" s="38">
        <v>41579</v>
      </c>
      <c r="I14" s="38">
        <v>41548</v>
      </c>
      <c r="J14" s="36">
        <v>0.10265483233968431</v>
      </c>
      <c r="K14" s="36">
        <v>0.10802010476046142</v>
      </c>
      <c r="L14" s="36">
        <v>9.1440347653902292E-3</v>
      </c>
      <c r="M14" s="36">
        <v>4.2398909103813304E-2</v>
      </c>
      <c r="N14" s="36">
        <v>0.21566674611842374</v>
      </c>
      <c r="O14"/>
    </row>
    <row r="15" spans="2:35" ht="15" customHeight="1" x14ac:dyDescent="0.25">
      <c r="B15" s="42" t="s">
        <v>40</v>
      </c>
      <c r="C15" s="43" t="s">
        <v>41</v>
      </c>
      <c r="E15" s="34" t="s">
        <v>41</v>
      </c>
      <c r="F15" s="33">
        <v>37653</v>
      </c>
      <c r="G15" s="33">
        <v>41306</v>
      </c>
      <c r="H15" s="38">
        <v>41334</v>
      </c>
      <c r="I15" s="38">
        <v>41609</v>
      </c>
      <c r="J15" s="36">
        <v>0.16306530840443711</v>
      </c>
      <c r="K15" s="36">
        <v>0.14238724335582775</v>
      </c>
      <c r="L15" s="36">
        <v>1.3929699709052354E-2</v>
      </c>
      <c r="M15" s="36">
        <v>4.8837926033140036E-2</v>
      </c>
      <c r="N15" s="36">
        <v>0.28522299860972911</v>
      </c>
      <c r="O15"/>
    </row>
    <row r="16" spans="2:35" ht="15" customHeight="1" x14ac:dyDescent="0.25">
      <c r="B16" s="42" t="s">
        <v>42</v>
      </c>
      <c r="C16" s="43" t="s">
        <v>43</v>
      </c>
      <c r="E16" s="34" t="s">
        <v>43</v>
      </c>
      <c r="F16" s="33">
        <v>37653</v>
      </c>
      <c r="G16" s="33">
        <v>41306</v>
      </c>
      <c r="H16" s="38">
        <v>41456</v>
      </c>
      <c r="I16" s="38">
        <v>41395</v>
      </c>
      <c r="J16" s="36">
        <v>0.14625068004122799</v>
      </c>
      <c r="K16" s="36">
        <v>0.10736900196771471</v>
      </c>
      <c r="L16" s="36">
        <v>1.543470413010356E-2</v>
      </c>
      <c r="M16" s="36">
        <v>8.7303036844160936E-2</v>
      </c>
      <c r="N16" s="36">
        <v>0.17679458456473929</v>
      </c>
      <c r="O16"/>
    </row>
    <row r="17" spans="2:15" ht="15" customHeight="1" x14ac:dyDescent="0.25">
      <c r="B17" s="42" t="s">
        <v>44</v>
      </c>
      <c r="C17" s="43" t="s">
        <v>45</v>
      </c>
      <c r="E17" s="34" t="s">
        <v>45</v>
      </c>
      <c r="F17" s="33">
        <v>37653</v>
      </c>
      <c r="G17" s="33">
        <v>41306</v>
      </c>
      <c r="H17" s="38">
        <v>41518</v>
      </c>
      <c r="I17" s="38">
        <v>41395</v>
      </c>
      <c r="J17" s="36">
        <v>0.10249069911465636</v>
      </c>
      <c r="K17" s="36">
        <v>6.4832008399796415E-2</v>
      </c>
      <c r="L17" s="36">
        <v>1.0344331263677996E-2</v>
      </c>
      <c r="M17" s="36">
        <v>6.4973626133918674E-2</v>
      </c>
      <c r="N17" s="36">
        <v>0.15920815689672377</v>
      </c>
      <c r="O17"/>
    </row>
    <row r="18" spans="2:15" ht="15" customHeight="1" x14ac:dyDescent="0.25">
      <c r="B18" s="42" t="s">
        <v>46</v>
      </c>
      <c r="C18" s="43" t="s">
        <v>47</v>
      </c>
      <c r="E18" s="34" t="s">
        <v>47</v>
      </c>
      <c r="F18" s="33">
        <v>37653</v>
      </c>
      <c r="G18" s="33">
        <v>41306</v>
      </c>
      <c r="H18" s="38">
        <v>41518</v>
      </c>
      <c r="I18" s="38">
        <v>41334</v>
      </c>
      <c r="J18" s="36">
        <v>0.20086390362688</v>
      </c>
      <c r="K18" s="36">
        <v>0.11975571474935109</v>
      </c>
      <c r="L18" s="36">
        <v>1.7190880814474101E-2</v>
      </c>
      <c r="M18" s="36">
        <v>6.1178471075635281E-2</v>
      </c>
      <c r="N18" s="36">
        <v>0.28099559391114759</v>
      </c>
      <c r="O18"/>
    </row>
    <row r="19" spans="2:15" ht="15" customHeight="1" x14ac:dyDescent="0.25">
      <c r="B19" s="42" t="s">
        <v>48</v>
      </c>
      <c r="C19" s="43" t="s">
        <v>49</v>
      </c>
      <c r="E19" s="34" t="s">
        <v>49</v>
      </c>
      <c r="F19" s="33">
        <v>37653</v>
      </c>
      <c r="G19" s="33">
        <v>41306</v>
      </c>
      <c r="H19" s="38">
        <v>41426</v>
      </c>
      <c r="I19" s="38">
        <v>41395</v>
      </c>
      <c r="J19" s="36">
        <v>0.11365507335803304</v>
      </c>
      <c r="K19" s="36">
        <v>0.10051019453509813</v>
      </c>
      <c r="L19" s="36">
        <v>1.0278648228747978E-2</v>
      </c>
      <c r="M19" s="36">
        <v>4.880840302234165E-2</v>
      </c>
      <c r="N19" s="36">
        <v>0.21059177502781665</v>
      </c>
      <c r="O19"/>
    </row>
    <row r="20" spans="2:15" ht="15" customHeight="1" x14ac:dyDescent="0.25">
      <c r="B20" s="42" t="s">
        <v>50</v>
      </c>
      <c r="C20" s="43" t="s">
        <v>51</v>
      </c>
      <c r="E20" s="34" t="s">
        <v>51</v>
      </c>
      <c r="F20" s="33">
        <v>37653</v>
      </c>
      <c r="G20" s="33">
        <v>41306</v>
      </c>
      <c r="H20" s="38">
        <v>41456</v>
      </c>
      <c r="I20" s="38">
        <v>41365</v>
      </c>
      <c r="J20" s="36">
        <v>0.24763163763791263</v>
      </c>
      <c r="K20" s="36">
        <v>0.18271564840451693</v>
      </c>
      <c r="L20" s="36">
        <v>2.4371824949615314E-2</v>
      </c>
      <c r="M20" s="36">
        <v>0.10452737170714289</v>
      </c>
      <c r="N20" s="36">
        <v>0.23316213305256064</v>
      </c>
      <c r="O20"/>
    </row>
    <row r="21" spans="2:15" ht="15" customHeight="1" x14ac:dyDescent="0.25">
      <c r="B21" s="42" t="s">
        <v>52</v>
      </c>
      <c r="C21" s="43" t="s">
        <v>53</v>
      </c>
      <c r="E21" s="34" t="s">
        <v>53</v>
      </c>
      <c r="F21" s="33">
        <v>37653</v>
      </c>
      <c r="G21" s="33">
        <v>41306</v>
      </c>
      <c r="H21" s="38">
        <v>41334</v>
      </c>
      <c r="I21" s="38">
        <v>41609</v>
      </c>
      <c r="J21" s="36">
        <v>9.7686489509047902E-2</v>
      </c>
      <c r="K21" s="36">
        <v>3.7572845678509159E-2</v>
      </c>
      <c r="L21" s="36">
        <v>8.6014386794712999E-3</v>
      </c>
      <c r="M21" s="36">
        <v>3.8293295638729484E-2</v>
      </c>
      <c r="N21" s="36">
        <v>0.22461996378216881</v>
      </c>
      <c r="O21"/>
    </row>
    <row r="22" spans="2:15" ht="15" customHeight="1" x14ac:dyDescent="0.25">
      <c r="B22" s="42" t="s">
        <v>54</v>
      </c>
      <c r="C22" s="43" t="s">
        <v>55</v>
      </c>
      <c r="E22" s="34" t="s">
        <v>55</v>
      </c>
      <c r="F22" s="33">
        <v>37653</v>
      </c>
      <c r="G22" s="33">
        <v>41306</v>
      </c>
      <c r="H22" s="38">
        <v>41334</v>
      </c>
      <c r="I22" s="38">
        <v>41609</v>
      </c>
      <c r="J22" s="36">
        <v>0.14257863855375663</v>
      </c>
      <c r="K22" s="36">
        <v>0.12283383281195737</v>
      </c>
      <c r="L22" s="36">
        <v>1.2128019534841723E-2</v>
      </c>
      <c r="M22" s="36">
        <v>4.2083612035017419E-2</v>
      </c>
      <c r="N22" s="36">
        <v>0.28818865464186155</v>
      </c>
      <c r="O22"/>
    </row>
    <row r="23" spans="2:15" ht="15" customHeight="1" x14ac:dyDescent="0.25">
      <c r="B23" s="42" t="s">
        <v>56</v>
      </c>
      <c r="C23" s="43" t="s">
        <v>57</v>
      </c>
      <c r="E23" s="34" t="s">
        <v>57</v>
      </c>
      <c r="F23" s="33">
        <v>37653</v>
      </c>
      <c r="G23" s="33">
        <v>41306</v>
      </c>
      <c r="H23" s="38">
        <v>41334</v>
      </c>
      <c r="I23" s="38">
        <v>41609</v>
      </c>
      <c r="J23" s="36">
        <v>0.1699494705964717</v>
      </c>
      <c r="K23" s="36">
        <v>0.1276693844533352</v>
      </c>
      <c r="L23" s="36">
        <v>1.847290597923364E-2</v>
      </c>
      <c r="M23" s="36">
        <v>0.10732094822517942</v>
      </c>
      <c r="N23" s="36">
        <v>0.17212768135885298</v>
      </c>
      <c r="O23"/>
    </row>
    <row r="24" spans="2:15" ht="15" customHeight="1" x14ac:dyDescent="0.25">
      <c r="B24" s="42" t="s">
        <v>58</v>
      </c>
      <c r="C24" s="43" t="s">
        <v>59</v>
      </c>
      <c r="E24" s="34" t="s">
        <v>59</v>
      </c>
      <c r="F24" s="33">
        <v>37653</v>
      </c>
      <c r="G24" s="33">
        <v>41306</v>
      </c>
      <c r="H24" s="38">
        <v>41365</v>
      </c>
      <c r="I24" s="38">
        <v>41334</v>
      </c>
      <c r="J24" s="36">
        <v>0.21183818604043947</v>
      </c>
      <c r="K24" s="36">
        <v>0.16808893665968228</v>
      </c>
      <c r="L24" s="36">
        <v>2.0209700836465408E-2</v>
      </c>
      <c r="M24" s="36">
        <v>8.799881173380078E-2</v>
      </c>
      <c r="N24" s="36">
        <v>0.22965879241188392</v>
      </c>
      <c r="O24"/>
    </row>
    <row r="25" spans="2:15" ht="15" customHeight="1" x14ac:dyDescent="0.25">
      <c r="B25" s="42" t="s">
        <v>60</v>
      </c>
      <c r="C25" s="43" t="s">
        <v>61</v>
      </c>
      <c r="E25" s="34" t="s">
        <v>61</v>
      </c>
      <c r="F25" s="33">
        <v>37653</v>
      </c>
      <c r="G25" s="33">
        <v>41306</v>
      </c>
      <c r="H25" s="38">
        <v>41334</v>
      </c>
      <c r="I25" s="38">
        <v>41609</v>
      </c>
      <c r="J25" s="36">
        <v>0.13569464890103466</v>
      </c>
      <c r="K25" s="36">
        <v>7.3403688703303605E-2</v>
      </c>
      <c r="L25" s="36">
        <v>1.3804471096827841E-2</v>
      </c>
      <c r="M25" s="36">
        <v>8.1351311299627194E-2</v>
      </c>
      <c r="N25" s="36">
        <v>0.16968959536477812</v>
      </c>
      <c r="O25"/>
    </row>
    <row r="26" spans="2:15" ht="15" customHeight="1" x14ac:dyDescent="0.25">
      <c r="B26" s="42" t="s">
        <v>62</v>
      </c>
      <c r="C26" s="43" t="s">
        <v>63</v>
      </c>
      <c r="E26" s="34" t="s">
        <v>63</v>
      </c>
      <c r="F26" s="33">
        <v>37653</v>
      </c>
      <c r="G26" s="33">
        <v>41306</v>
      </c>
      <c r="H26" s="38">
        <v>41548</v>
      </c>
      <c r="I26" s="38">
        <v>41518</v>
      </c>
      <c r="J26" s="36">
        <v>0.12885917831250326</v>
      </c>
      <c r="K26" s="36">
        <v>0.13069769210067639</v>
      </c>
      <c r="L26" s="36">
        <v>1.1934754746729353E-2</v>
      </c>
      <c r="M26" s="36">
        <v>5.880386494235857E-2</v>
      </c>
      <c r="N26" s="36">
        <v>0.20295867896486364</v>
      </c>
      <c r="O26"/>
    </row>
    <row r="27" spans="2:15" ht="15" customHeight="1" x14ac:dyDescent="0.25">
      <c r="B27" s="42" t="s">
        <v>64</v>
      </c>
      <c r="C27" s="43" t="s">
        <v>65</v>
      </c>
      <c r="E27" s="34" t="s">
        <v>65</v>
      </c>
      <c r="F27" s="33">
        <v>37653</v>
      </c>
      <c r="G27" s="33">
        <v>41306</v>
      </c>
      <c r="H27" s="38">
        <v>41306</v>
      </c>
      <c r="I27" s="38">
        <v>41365</v>
      </c>
      <c r="J27" s="36">
        <v>0.14142158520585579</v>
      </c>
      <c r="K27" s="36">
        <v>-0.25723283670262198</v>
      </c>
      <c r="L27" s="36">
        <v>1.6771238978832016E-2</v>
      </c>
      <c r="M27" s="36">
        <v>0.13715913527840082</v>
      </c>
      <c r="N27" s="36">
        <v>0.12227577073003808</v>
      </c>
      <c r="O27"/>
    </row>
    <row r="28" spans="2:15" ht="15" customHeight="1" x14ac:dyDescent="0.25">
      <c r="B28" s="42" t="s">
        <v>66</v>
      </c>
      <c r="C28" s="43" t="s">
        <v>67</v>
      </c>
      <c r="E28" s="34" t="s">
        <v>67</v>
      </c>
      <c r="F28" s="33">
        <v>37653</v>
      </c>
      <c r="G28" s="33">
        <v>41306</v>
      </c>
      <c r="H28" s="38">
        <v>41579</v>
      </c>
      <c r="I28" s="38">
        <v>41518</v>
      </c>
      <c r="J28" s="36">
        <v>0.16251740149718619</v>
      </c>
      <c r="K28" s="36">
        <v>5.4469466050305781E-2</v>
      </c>
      <c r="L28" s="36">
        <v>1.715327393547875E-2</v>
      </c>
      <c r="M28" s="36">
        <v>9.2969012503918591E-2</v>
      </c>
      <c r="N28" s="36">
        <v>0.18450528271186864</v>
      </c>
      <c r="O28"/>
    </row>
    <row r="29" spans="2:15" ht="15" customHeight="1" x14ac:dyDescent="0.25">
      <c r="B29" s="42" t="s">
        <v>68</v>
      </c>
      <c r="C29" s="43" t="s">
        <v>69</v>
      </c>
      <c r="E29" s="34" t="s">
        <v>69</v>
      </c>
      <c r="F29" s="33">
        <v>38018</v>
      </c>
      <c r="G29" s="33">
        <v>41306</v>
      </c>
      <c r="H29" s="38">
        <v>41548</v>
      </c>
      <c r="I29" s="38">
        <v>41518</v>
      </c>
      <c r="J29" s="36">
        <v>0.14051589017754407</v>
      </c>
      <c r="K29" s="36">
        <v>6.1825433841359523E-2</v>
      </c>
      <c r="L29" s="36">
        <v>1.3588637816376656E-2</v>
      </c>
      <c r="M29" s="36">
        <v>7.1383960305617916E-2</v>
      </c>
      <c r="N29" s="36">
        <v>0.19035981974380917</v>
      </c>
      <c r="O29"/>
    </row>
    <row r="30" spans="2:15" ht="15" customHeight="1" x14ac:dyDescent="0.25">
      <c r="B30" s="42" t="s">
        <v>70</v>
      </c>
      <c r="C30" s="43" t="s">
        <v>71</v>
      </c>
      <c r="E30" s="34" t="s">
        <v>71</v>
      </c>
      <c r="F30" s="33">
        <v>37653</v>
      </c>
      <c r="G30" s="33">
        <v>41306</v>
      </c>
      <c r="H30" s="38">
        <v>41487</v>
      </c>
      <c r="I30" s="38">
        <v>41426</v>
      </c>
      <c r="J30" s="36">
        <v>0.407174127957042</v>
      </c>
      <c r="K30" s="36">
        <v>0.38826255651048691</v>
      </c>
      <c r="L30" s="36">
        <v>3.8884419572551406E-2</v>
      </c>
      <c r="M30" s="36">
        <v>0.15202921358018726</v>
      </c>
      <c r="N30" s="36">
        <v>0.25576939232170637</v>
      </c>
      <c r="O30"/>
    </row>
    <row r="31" spans="2:15" ht="15" customHeight="1" x14ac:dyDescent="0.25">
      <c r="B31" s="42" t="s">
        <v>72</v>
      </c>
      <c r="C31" s="43" t="s">
        <v>73</v>
      </c>
      <c r="E31" s="34" t="s">
        <v>73</v>
      </c>
      <c r="F31" s="33">
        <v>37653</v>
      </c>
      <c r="G31" s="33">
        <v>41306</v>
      </c>
      <c r="H31" s="38">
        <v>41548</v>
      </c>
      <c r="I31" s="38">
        <v>41456</v>
      </c>
      <c r="J31" s="36">
        <v>0.26811923069034793</v>
      </c>
      <c r="K31" s="36">
        <v>-2.2407107809727767E-2</v>
      </c>
      <c r="L31" s="36">
        <v>3.3668887881430534E-2</v>
      </c>
      <c r="M31" s="36">
        <v>0.17215160007774671</v>
      </c>
      <c r="N31" s="36">
        <v>0.19557696743001557</v>
      </c>
      <c r="O31"/>
    </row>
    <row r="32" spans="2:15" ht="15" customHeight="1" x14ac:dyDescent="0.25">
      <c r="B32" s="42" t="s">
        <v>74</v>
      </c>
      <c r="C32" s="43" t="s">
        <v>75</v>
      </c>
      <c r="E32" s="34" t="s">
        <v>75</v>
      </c>
      <c r="F32" s="33">
        <v>37653</v>
      </c>
      <c r="G32" s="33">
        <v>41306</v>
      </c>
      <c r="H32" s="38">
        <v>41548</v>
      </c>
      <c r="I32" s="38">
        <v>41518</v>
      </c>
      <c r="J32" s="36">
        <v>0.11032001474081987</v>
      </c>
      <c r="K32" s="36">
        <v>6.3888660952833298E-2</v>
      </c>
      <c r="L32" s="36">
        <v>1.1312176198958707E-2</v>
      </c>
      <c r="M32" s="36">
        <v>6.8907380245244343E-2</v>
      </c>
      <c r="N32" s="36">
        <v>0.16416494370701923</v>
      </c>
      <c r="O32"/>
    </row>
    <row r="33" spans="2:15" ht="15" customHeight="1" x14ac:dyDescent="0.25">
      <c r="B33" s="42" t="s">
        <v>76</v>
      </c>
      <c r="C33" s="43" t="s">
        <v>77</v>
      </c>
      <c r="E33" s="34" t="s">
        <v>77</v>
      </c>
      <c r="F33" s="33">
        <v>37653</v>
      </c>
      <c r="G33" s="33">
        <v>41306</v>
      </c>
      <c r="H33" s="38">
        <v>41548</v>
      </c>
      <c r="I33" s="38">
        <v>41395</v>
      </c>
      <c r="J33" s="36">
        <v>0.13290923312993685</v>
      </c>
      <c r="K33" s="36">
        <v>0.11135457925004855</v>
      </c>
      <c r="L33" s="36">
        <v>1.2246557770660017E-2</v>
      </c>
      <c r="M33" s="36">
        <v>5.9299121824695912E-2</v>
      </c>
      <c r="N33" s="36">
        <v>0.20652173917286873</v>
      </c>
      <c r="O33"/>
    </row>
    <row r="34" spans="2:15" ht="15" customHeight="1" x14ac:dyDescent="0.25">
      <c r="B34" s="42" t="s">
        <v>78</v>
      </c>
      <c r="C34" s="43" t="s">
        <v>79</v>
      </c>
      <c r="E34" s="34" t="s">
        <v>79</v>
      </c>
      <c r="F34" s="33">
        <v>37653</v>
      </c>
      <c r="G34" s="33">
        <v>41306</v>
      </c>
      <c r="H34" s="38">
        <v>41579</v>
      </c>
      <c r="I34" s="38">
        <v>41334</v>
      </c>
      <c r="J34" s="36">
        <v>6.9606404325066817E-2</v>
      </c>
      <c r="K34" s="36">
        <v>1.4524005839799514E-2</v>
      </c>
      <c r="L34" s="36">
        <v>6.4801606271424669E-3</v>
      </c>
      <c r="M34" s="36">
        <v>4.1027815389322451E-2</v>
      </c>
      <c r="N34" s="36">
        <v>0.1579455441546356</v>
      </c>
      <c r="O34"/>
    </row>
    <row r="35" spans="2:15" ht="15" customHeight="1" x14ac:dyDescent="0.25">
      <c r="B35" s="42" t="s">
        <v>80</v>
      </c>
      <c r="C35" s="43" t="s">
        <v>81</v>
      </c>
      <c r="E35" s="34" t="s">
        <v>81</v>
      </c>
      <c r="F35" s="33">
        <v>37653</v>
      </c>
      <c r="G35" s="33">
        <v>41306</v>
      </c>
      <c r="H35" s="38">
        <v>41456</v>
      </c>
      <c r="I35" s="38">
        <v>41518</v>
      </c>
      <c r="J35" s="36">
        <v>9.9901640462836117E-2</v>
      </c>
      <c r="K35" s="36">
        <v>-7.144343685814003E-2</v>
      </c>
      <c r="L35" s="36">
        <v>1.1837230639197859E-2</v>
      </c>
      <c r="M35" s="36">
        <v>9.3894845490318041E-2</v>
      </c>
      <c r="N35" s="36">
        <v>0.12606901451707969</v>
      </c>
      <c r="O35"/>
    </row>
    <row r="36" spans="2:15" ht="15" customHeight="1" x14ac:dyDescent="0.25">
      <c r="B36" s="42" t="s">
        <v>82</v>
      </c>
      <c r="C36" s="43" t="s">
        <v>83</v>
      </c>
      <c r="E36" s="34" t="s">
        <v>83</v>
      </c>
      <c r="F36" s="33">
        <v>37653</v>
      </c>
      <c r="G36" s="33">
        <v>41306</v>
      </c>
      <c r="H36" s="38">
        <v>41334</v>
      </c>
      <c r="I36" s="38">
        <v>41456</v>
      </c>
      <c r="J36" s="36">
        <v>0.12233655260379672</v>
      </c>
      <c r="K36" s="36">
        <v>4.942308475583479E-2</v>
      </c>
      <c r="L36" s="36">
        <v>1.106801922606117E-2</v>
      </c>
      <c r="M36" s="36">
        <v>5.4515693768886618E-2</v>
      </c>
      <c r="N36" s="36">
        <v>0.20302445884634321</v>
      </c>
      <c r="O36"/>
    </row>
    <row r="37" spans="2:15" ht="15" customHeight="1" x14ac:dyDescent="0.25">
      <c r="B37" s="42" t="s">
        <v>84</v>
      </c>
      <c r="C37" s="43" t="s">
        <v>85</v>
      </c>
      <c r="E37" s="34" t="s">
        <v>85</v>
      </c>
      <c r="F37" s="33">
        <v>38626</v>
      </c>
      <c r="G37" s="33">
        <v>41306</v>
      </c>
      <c r="H37" s="38">
        <v>41579</v>
      </c>
      <c r="I37" s="38">
        <v>41365</v>
      </c>
      <c r="J37" s="36">
        <v>0.1557995184350367</v>
      </c>
      <c r="K37" s="36">
        <v>0.10101848691995996</v>
      </c>
      <c r="L37" s="36">
        <v>1.4354148709568065E-2</v>
      </c>
      <c r="M37" s="36">
        <v>6.6853016424717457E-2</v>
      </c>
      <c r="N37" s="36">
        <v>0.21471205754391254</v>
      </c>
      <c r="O37"/>
    </row>
    <row r="38" spans="2:15" ht="15" customHeight="1" x14ac:dyDescent="0.25">
      <c r="B38" s="42" t="s">
        <v>86</v>
      </c>
      <c r="C38" s="43" t="s">
        <v>87</v>
      </c>
      <c r="E38" s="34" t="s">
        <v>87</v>
      </c>
      <c r="F38" s="33">
        <v>37653</v>
      </c>
      <c r="G38" s="33">
        <v>41306</v>
      </c>
      <c r="H38" s="38">
        <v>41334</v>
      </c>
      <c r="I38" s="38">
        <v>41306</v>
      </c>
      <c r="J38" s="36">
        <v>0.29945178158587149</v>
      </c>
      <c r="K38" s="36">
        <v>0.32179991142097686</v>
      </c>
      <c r="L38" s="36">
        <v>2.4693828486502072E-2</v>
      </c>
      <c r="M38" s="36">
        <v>7.1899334302525264E-2</v>
      </c>
      <c r="N38" s="36">
        <v>0.34345002948983872</v>
      </c>
      <c r="O38"/>
    </row>
    <row r="39" spans="2:15" ht="15" customHeight="1" x14ac:dyDescent="0.25">
      <c r="B39" s="42" t="s">
        <v>88</v>
      </c>
      <c r="C39" s="43" t="s">
        <v>89</v>
      </c>
      <c r="E39" s="34" t="s">
        <v>89</v>
      </c>
      <c r="F39" s="33">
        <v>37653</v>
      </c>
      <c r="G39" s="33">
        <v>41306</v>
      </c>
      <c r="H39" s="38">
        <v>41334</v>
      </c>
      <c r="I39" s="38">
        <v>41609</v>
      </c>
      <c r="J39" s="36">
        <v>0.30707277973554192</v>
      </c>
      <c r="K39" s="36">
        <v>0.27988074061103863</v>
      </c>
      <c r="L39" s="36">
        <v>2.8671795837047185E-2</v>
      </c>
      <c r="M39" s="36">
        <v>0.11106920712374276</v>
      </c>
      <c r="N39" s="36">
        <v>0.25814351771777566</v>
      </c>
      <c r="O39"/>
    </row>
    <row r="40" spans="2:15" ht="15" customHeight="1" x14ac:dyDescent="0.25">
      <c r="B40" s="42" t="s">
        <v>90</v>
      </c>
      <c r="C40" s="43" t="s">
        <v>91</v>
      </c>
      <c r="E40" s="34" t="s">
        <v>91</v>
      </c>
      <c r="F40" s="33">
        <v>37653</v>
      </c>
      <c r="G40" s="33">
        <v>41306</v>
      </c>
      <c r="H40" s="38">
        <v>41548</v>
      </c>
      <c r="I40" s="38">
        <v>41456</v>
      </c>
      <c r="J40" s="36">
        <v>0.16209695616955688</v>
      </c>
      <c r="K40" s="36">
        <v>0.13534294897853916</v>
      </c>
      <c r="L40" s="36">
        <v>1.6145855689197096E-2</v>
      </c>
      <c r="M40" s="36">
        <v>8.3842617718425133E-2</v>
      </c>
      <c r="N40" s="36">
        <v>0.19257337292856144</v>
      </c>
      <c r="O40"/>
    </row>
    <row r="41" spans="2:15" ht="15" customHeight="1" x14ac:dyDescent="0.25">
      <c r="B41" s="42" t="s">
        <v>92</v>
      </c>
      <c r="C41" s="43" t="s">
        <v>93</v>
      </c>
      <c r="E41" s="34" t="s">
        <v>93</v>
      </c>
      <c r="F41" s="33">
        <v>37653</v>
      </c>
      <c r="G41" s="33">
        <v>41306</v>
      </c>
      <c r="H41" s="38">
        <v>41518</v>
      </c>
      <c r="I41" s="38">
        <v>41365</v>
      </c>
      <c r="J41" s="36">
        <v>0.18491338172928562</v>
      </c>
      <c r="K41" s="36">
        <v>7.7587885458366257E-2</v>
      </c>
      <c r="L41" s="36">
        <v>2.0034255978351099E-2</v>
      </c>
      <c r="M41" s="36">
        <v>0.10680449886518573</v>
      </c>
      <c r="N41" s="36">
        <v>0.187578764857456</v>
      </c>
      <c r="O41"/>
    </row>
    <row r="42" spans="2:15" ht="15" customHeight="1" x14ac:dyDescent="0.25">
      <c r="B42" s="42" t="s">
        <v>94</v>
      </c>
      <c r="C42" s="43" t="s">
        <v>95</v>
      </c>
      <c r="E42" s="34" t="s">
        <v>95</v>
      </c>
      <c r="F42" s="33">
        <v>37653</v>
      </c>
      <c r="G42" s="33">
        <v>41306</v>
      </c>
      <c r="H42" s="38">
        <v>41548</v>
      </c>
      <c r="I42" s="38">
        <v>41518</v>
      </c>
      <c r="J42" s="36">
        <v>0.13390220264248853</v>
      </c>
      <c r="K42" s="36">
        <v>0.12950611036767201</v>
      </c>
      <c r="L42" s="36">
        <v>1.2519582454953665E-2</v>
      </c>
      <c r="M42" s="36">
        <v>6.1974877405785236E-2</v>
      </c>
      <c r="N42" s="36">
        <v>0.20201060460322889</v>
      </c>
      <c r="O42"/>
    </row>
    <row r="43" spans="2:15" ht="15" customHeight="1" x14ac:dyDescent="0.25">
      <c r="B43" s="42" t="s">
        <v>96</v>
      </c>
      <c r="C43" s="43" t="s">
        <v>97</v>
      </c>
      <c r="E43" s="34" t="s">
        <v>97</v>
      </c>
      <c r="F43" s="33">
        <v>37653</v>
      </c>
      <c r="G43" s="33">
        <v>41306</v>
      </c>
      <c r="H43" s="38">
        <v>41487</v>
      </c>
      <c r="I43" s="38">
        <v>41456</v>
      </c>
      <c r="J43" s="36">
        <v>0.13768308253066541</v>
      </c>
      <c r="K43" s="36">
        <v>0.11258985178340031</v>
      </c>
      <c r="L43" s="36">
        <v>1.4490578492139704E-2</v>
      </c>
      <c r="M43" s="36">
        <v>8.4152517861848186E-2</v>
      </c>
      <c r="N43" s="36">
        <v>0.17219423566064476</v>
      </c>
      <c r="O43"/>
    </row>
    <row r="44" spans="2:15" ht="15" customHeight="1" x14ac:dyDescent="0.25">
      <c r="B44" s="42" t="s">
        <v>98</v>
      </c>
      <c r="C44" s="43" t="s">
        <v>99</v>
      </c>
      <c r="E44" s="34" t="s">
        <v>99</v>
      </c>
      <c r="F44" s="33">
        <v>37653</v>
      </c>
      <c r="G44" s="33">
        <v>41306</v>
      </c>
      <c r="H44" s="38">
        <v>41426</v>
      </c>
      <c r="I44" s="38">
        <v>41365</v>
      </c>
      <c r="J44" s="36">
        <v>0.17524466130973115</v>
      </c>
      <c r="K44" s="36">
        <v>0.1412604094973946</v>
      </c>
      <c r="L44" s="36">
        <v>1.7337436876769866E-2</v>
      </c>
      <c r="M44" s="36">
        <v>8.6296782595485774E-2</v>
      </c>
      <c r="N44" s="36">
        <v>0.2009047887455864</v>
      </c>
      <c r="O44"/>
    </row>
    <row r="45" spans="2:15" ht="15" customHeight="1" x14ac:dyDescent="0.25">
      <c r="B45" s="42" t="s">
        <v>100</v>
      </c>
      <c r="C45" s="43" t="s">
        <v>101</v>
      </c>
      <c r="E45" s="34" t="s">
        <v>101</v>
      </c>
      <c r="F45" s="33">
        <v>37653</v>
      </c>
      <c r="G45" s="33">
        <v>41306</v>
      </c>
      <c r="H45" s="38">
        <v>41395</v>
      </c>
      <c r="I45" s="38">
        <v>41365</v>
      </c>
      <c r="J45" s="36">
        <v>0.11718396640955797</v>
      </c>
      <c r="K45" s="36">
        <v>0.11099543632889519</v>
      </c>
      <c r="L45" s="36">
        <v>1.1314874368193444E-2</v>
      </c>
      <c r="M45" s="36">
        <v>6.2103348421031358E-2</v>
      </c>
      <c r="N45" s="36">
        <v>0.18219427222319706</v>
      </c>
      <c r="O45"/>
    </row>
    <row r="46" spans="2:15" ht="15" customHeight="1" x14ac:dyDescent="0.25">
      <c r="B46" s="42" t="s">
        <v>102</v>
      </c>
      <c r="C46" s="43" t="s">
        <v>103</v>
      </c>
      <c r="E46" s="34" t="s">
        <v>103</v>
      </c>
      <c r="F46" s="33">
        <v>37653</v>
      </c>
      <c r="G46" s="33">
        <v>41306</v>
      </c>
      <c r="H46" s="38">
        <v>41426</v>
      </c>
      <c r="I46" s="38">
        <v>41365</v>
      </c>
      <c r="J46" s="36">
        <v>0.22886073374995219</v>
      </c>
      <c r="K46" s="36">
        <v>0.21020665453534337</v>
      </c>
      <c r="L46" s="36">
        <v>2.052764555120843E-2</v>
      </c>
      <c r="M46" s="36">
        <v>7.782272351941813E-2</v>
      </c>
      <c r="N46" s="36">
        <v>0.26377444302738162</v>
      </c>
      <c r="O46"/>
    </row>
    <row r="47" spans="2:15" ht="15" customHeight="1" x14ac:dyDescent="0.25">
      <c r="B47" s="42" t="s">
        <v>104</v>
      </c>
      <c r="C47" s="43" t="s">
        <v>105</v>
      </c>
      <c r="E47" s="34" t="s">
        <v>105</v>
      </c>
      <c r="F47" s="33">
        <v>37653</v>
      </c>
      <c r="G47" s="33">
        <v>41306</v>
      </c>
      <c r="H47" s="38">
        <v>41548</v>
      </c>
      <c r="I47" s="38">
        <v>41275</v>
      </c>
      <c r="J47" s="36">
        <v>8.2087138276191185E-2</v>
      </c>
      <c r="K47" s="36">
        <v>-7.9955171822553628E-2</v>
      </c>
      <c r="L47" s="36">
        <v>7.5490534374680921E-3</v>
      </c>
      <c r="M47" s="36">
        <v>4.3293802830331511E-2</v>
      </c>
      <c r="N47" s="36">
        <v>0.17436799135092951</v>
      </c>
      <c r="O47"/>
    </row>
    <row r="48" spans="2:15" ht="15" customHeight="1" x14ac:dyDescent="0.25">
      <c r="B48" s="42" t="s">
        <v>106</v>
      </c>
      <c r="C48" s="43" t="s">
        <v>107</v>
      </c>
      <c r="E48" s="34" t="s">
        <v>107</v>
      </c>
      <c r="F48" s="33">
        <v>37653</v>
      </c>
      <c r="G48" s="33">
        <v>41306</v>
      </c>
      <c r="H48" s="38">
        <v>41548</v>
      </c>
      <c r="I48" s="38">
        <v>41518</v>
      </c>
      <c r="J48" s="36">
        <v>0.20501916982323753</v>
      </c>
      <c r="K48" s="36">
        <v>0.19827289445923291</v>
      </c>
      <c r="L48" s="36">
        <v>1.8841771562014362E-2</v>
      </c>
      <c r="M48" s="36">
        <v>8.2200817863193679E-2</v>
      </c>
      <c r="N48" s="36">
        <v>0.22921635151334635</v>
      </c>
      <c r="O48"/>
    </row>
    <row r="49" spans="2:15" ht="15" customHeight="1" x14ac:dyDescent="0.25">
      <c r="B49" s="42" t="s">
        <v>108</v>
      </c>
      <c r="C49" s="43" t="s">
        <v>109</v>
      </c>
      <c r="E49" s="34" t="s">
        <v>109</v>
      </c>
      <c r="F49" s="33">
        <v>37653</v>
      </c>
      <c r="G49" s="33">
        <v>41306</v>
      </c>
      <c r="H49" s="38">
        <v>41518</v>
      </c>
      <c r="I49" s="38">
        <v>41365</v>
      </c>
      <c r="J49" s="36">
        <v>0.31767565772361794</v>
      </c>
      <c r="K49" s="36">
        <v>0.2890006766507045</v>
      </c>
      <c r="L49" s="36">
        <v>3.0256253096463365E-2</v>
      </c>
      <c r="M49" s="36">
        <v>0.12468911117259056</v>
      </c>
      <c r="N49" s="36">
        <v>0.24265353094532574</v>
      </c>
      <c r="O49"/>
    </row>
    <row r="50" spans="2:15" ht="15" customHeight="1" x14ac:dyDescent="0.25">
      <c r="B50" s="42" t="s">
        <v>110</v>
      </c>
      <c r="C50" s="43" t="s">
        <v>111</v>
      </c>
      <c r="E50" s="34" t="s">
        <v>111</v>
      </c>
      <c r="F50" s="33">
        <v>37653</v>
      </c>
      <c r="G50" s="33">
        <v>41306</v>
      </c>
      <c r="H50" s="38">
        <v>41426</v>
      </c>
      <c r="I50" s="38">
        <v>41395</v>
      </c>
      <c r="J50" s="36">
        <v>0.17495393630625133</v>
      </c>
      <c r="K50" s="36">
        <v>0.17923985975640777</v>
      </c>
      <c r="L50" s="36">
        <v>1.6434862538780098E-2</v>
      </c>
      <c r="M50" s="36">
        <v>7.380073242851698E-2</v>
      </c>
      <c r="N50" s="36">
        <v>0.22269240423458972</v>
      </c>
      <c r="O50"/>
    </row>
    <row r="51" spans="2:15" ht="15" customHeight="1" x14ac:dyDescent="0.25">
      <c r="B51" s="42" t="s">
        <v>112</v>
      </c>
      <c r="C51" s="43" t="s">
        <v>113</v>
      </c>
      <c r="E51" s="34" t="s">
        <v>113</v>
      </c>
      <c r="F51" s="33">
        <v>37653</v>
      </c>
      <c r="G51" s="33">
        <v>41306</v>
      </c>
      <c r="H51" s="38">
        <v>41579</v>
      </c>
      <c r="I51" s="38">
        <v>41365</v>
      </c>
      <c r="J51" s="36">
        <v>0.12035947300814143</v>
      </c>
      <c r="K51" s="36">
        <v>-1.6145187718670684E-2</v>
      </c>
      <c r="L51" s="36">
        <v>1.0701545469450104E-2</v>
      </c>
      <c r="M51" s="36">
        <v>4.7637324317816705E-2</v>
      </c>
      <c r="N51" s="36">
        <v>0.22464623323622834</v>
      </c>
      <c r="O51"/>
    </row>
    <row r="52" spans="2:15" ht="15" customHeight="1" x14ac:dyDescent="0.25">
      <c r="B52" s="42" t="s">
        <v>114</v>
      </c>
      <c r="C52" s="43" t="s">
        <v>115</v>
      </c>
      <c r="E52" s="34" t="s">
        <v>115</v>
      </c>
      <c r="F52" s="33">
        <v>37653</v>
      </c>
      <c r="G52" s="33">
        <v>41306</v>
      </c>
      <c r="H52" s="38">
        <v>41426</v>
      </c>
      <c r="I52" s="38">
        <v>41365</v>
      </c>
      <c r="J52" s="36">
        <v>6.0685243535096411E-2</v>
      </c>
      <c r="K52" s="36">
        <v>-8.8035149593075346E-3</v>
      </c>
      <c r="L52" s="36">
        <v>7.9035624386207329E-3</v>
      </c>
      <c r="M52" s="36">
        <v>7.6112048744952018E-2</v>
      </c>
      <c r="N52" s="36">
        <v>0.10384114695302984</v>
      </c>
      <c r="O52"/>
    </row>
    <row r="53" spans="2:15" ht="15" customHeight="1" x14ac:dyDescent="0.25">
      <c r="B53" s="42" t="s">
        <v>116</v>
      </c>
      <c r="C53" s="43" t="s">
        <v>117</v>
      </c>
      <c r="E53" s="34" t="s">
        <v>117</v>
      </c>
      <c r="F53" s="33">
        <v>37653</v>
      </c>
      <c r="G53" s="33">
        <v>41306</v>
      </c>
      <c r="H53" s="38">
        <v>41334</v>
      </c>
      <c r="I53" s="38">
        <v>41579</v>
      </c>
      <c r="J53" s="36">
        <v>0.14307917653283142</v>
      </c>
      <c r="K53" s="36">
        <v>8.8953845663986009E-2</v>
      </c>
      <c r="L53" s="36">
        <v>1.5188061784474025E-2</v>
      </c>
      <c r="M53" s="36">
        <v>9.9843996335067742E-2</v>
      </c>
      <c r="N53" s="36">
        <v>0.15211792738648217</v>
      </c>
      <c r="O53"/>
    </row>
    <row r="54" spans="2:15" ht="15" customHeight="1" x14ac:dyDescent="0.25">
      <c r="B54" s="42" t="s">
        <v>118</v>
      </c>
      <c r="C54" s="43" t="s">
        <v>119</v>
      </c>
      <c r="E54" s="34" t="s">
        <v>119</v>
      </c>
      <c r="F54" s="33">
        <v>37653</v>
      </c>
      <c r="G54" s="33">
        <v>41306</v>
      </c>
      <c r="H54" s="38">
        <v>41426</v>
      </c>
      <c r="I54" s="38">
        <v>41395</v>
      </c>
      <c r="J54" s="36">
        <v>0.18299474083685352</v>
      </c>
      <c r="K54" s="36">
        <v>0.188343842255005</v>
      </c>
      <c r="L54" s="36">
        <v>1.6018015451798016E-2</v>
      </c>
      <c r="M54" s="36">
        <v>6.0600382853573907E-2</v>
      </c>
      <c r="N54" s="36">
        <v>0.26432201741202949</v>
      </c>
      <c r="O54"/>
    </row>
    <row r="55" spans="2:15" ht="15" customHeight="1" x14ac:dyDescent="0.25">
      <c r="B55" s="42" t="s">
        <v>120</v>
      </c>
      <c r="C55" s="43" t="s">
        <v>121</v>
      </c>
      <c r="E55" s="34" t="s">
        <v>121</v>
      </c>
      <c r="F55" s="33">
        <v>37653</v>
      </c>
      <c r="G55" s="33">
        <v>41306</v>
      </c>
      <c r="H55" s="38">
        <v>41456</v>
      </c>
      <c r="I55" s="38">
        <v>41395</v>
      </c>
      <c r="J55" s="36">
        <v>0.1332241822603788</v>
      </c>
      <c r="K55" s="36">
        <v>0.1276123275934673</v>
      </c>
      <c r="L55" s="36">
        <v>1.2886962404808274E-2</v>
      </c>
      <c r="M55" s="36">
        <v>6.7547326398840826E-2</v>
      </c>
      <c r="N55" s="36">
        <v>0.19078419667886998</v>
      </c>
      <c r="O55"/>
    </row>
    <row r="56" spans="2:15" ht="15" customHeight="1" x14ac:dyDescent="0.25">
      <c r="B56" s="42" t="s">
        <v>122</v>
      </c>
      <c r="C56" s="43" t="s">
        <v>123</v>
      </c>
      <c r="E56" s="34" t="s">
        <v>123</v>
      </c>
      <c r="F56" s="33">
        <v>37653</v>
      </c>
      <c r="G56" s="33">
        <v>41306</v>
      </c>
      <c r="H56" s="38">
        <v>41306</v>
      </c>
      <c r="I56" s="38">
        <v>41365</v>
      </c>
      <c r="J56" s="36">
        <v>8.0169625705941217E-2</v>
      </c>
      <c r="K56" s="36">
        <v>-7.4169044403080808E-2</v>
      </c>
      <c r="L56" s="36">
        <v>8.7119343453654352E-3</v>
      </c>
      <c r="M56" s="36">
        <v>7.7200085445662259E-2</v>
      </c>
      <c r="N56" s="36">
        <v>0.11284876558196794</v>
      </c>
      <c r="O56"/>
    </row>
    <row r="57" spans="2:15" ht="15" customHeight="1" x14ac:dyDescent="0.25">
      <c r="B57" s="42" t="s">
        <v>124</v>
      </c>
      <c r="C57" s="43" t="s">
        <v>125</v>
      </c>
      <c r="E57" s="34" t="s">
        <v>125</v>
      </c>
      <c r="F57" s="33">
        <v>37653</v>
      </c>
      <c r="G57" s="33">
        <v>41306</v>
      </c>
      <c r="H57" s="38">
        <v>41395</v>
      </c>
      <c r="I57" s="38">
        <v>41334</v>
      </c>
      <c r="J57" s="36">
        <v>0.14573369116596213</v>
      </c>
      <c r="K57" s="36">
        <v>0.11250696169350816</v>
      </c>
      <c r="L57" s="36">
        <v>1.2700854404591207E-2</v>
      </c>
      <c r="M57" s="36">
        <v>4.9206275467320752E-2</v>
      </c>
      <c r="N57" s="36">
        <v>0.25811452470175672</v>
      </c>
      <c r="O57"/>
    </row>
    <row r="58" spans="2:15" ht="15" customHeight="1" x14ac:dyDescent="0.25">
      <c r="B58" s="42" t="s">
        <v>126</v>
      </c>
      <c r="C58" s="43" t="s">
        <v>127</v>
      </c>
      <c r="E58" s="34" t="s">
        <v>127</v>
      </c>
      <c r="F58" s="33">
        <v>37653</v>
      </c>
      <c r="G58" s="33">
        <v>41306</v>
      </c>
      <c r="H58" s="38">
        <v>41426</v>
      </c>
      <c r="I58" s="38">
        <v>41365</v>
      </c>
      <c r="J58" s="36">
        <v>0.10212230198074534</v>
      </c>
      <c r="K58" s="36">
        <v>5.9579119955277537E-2</v>
      </c>
      <c r="L58" s="36">
        <v>1.0800508476573972E-2</v>
      </c>
      <c r="M58" s="36">
        <v>7.2641424814354469E-2</v>
      </c>
      <c r="N58" s="36">
        <v>0.14868249768195232</v>
      </c>
      <c r="O58"/>
    </row>
    <row r="59" spans="2:15" ht="15" customHeight="1" x14ac:dyDescent="0.25">
      <c r="B59" s="42" t="s">
        <v>128</v>
      </c>
      <c r="C59" s="43" t="s">
        <v>129</v>
      </c>
      <c r="E59" s="34" t="s">
        <v>129</v>
      </c>
      <c r="F59" s="33">
        <v>37653</v>
      </c>
      <c r="G59" s="33">
        <v>41306</v>
      </c>
      <c r="H59" s="38">
        <v>41426</v>
      </c>
      <c r="I59" s="38">
        <v>41365</v>
      </c>
      <c r="J59" s="36">
        <v>0.10275999172025729</v>
      </c>
      <c r="K59" s="36">
        <v>3.321128859688538E-2</v>
      </c>
      <c r="L59" s="36">
        <v>1.1566022154499998E-2</v>
      </c>
      <c r="M59" s="36">
        <v>8.3096291906859021E-2</v>
      </c>
      <c r="N59" s="36">
        <v>0.13918818624860085</v>
      </c>
      <c r="O59"/>
    </row>
    <row r="60" spans="2:15" ht="15" customHeight="1" x14ac:dyDescent="0.25">
      <c r="B60" s="42" t="s">
        <v>130</v>
      </c>
      <c r="C60" s="43" t="s">
        <v>131</v>
      </c>
      <c r="E60" s="34" t="s">
        <v>131</v>
      </c>
      <c r="F60" s="33">
        <v>37653</v>
      </c>
      <c r="G60" s="33">
        <v>41306</v>
      </c>
      <c r="H60" s="38">
        <v>41609</v>
      </c>
      <c r="I60" s="38">
        <v>41365</v>
      </c>
      <c r="J60" s="36">
        <v>5.429524813004627E-2</v>
      </c>
      <c r="K60" s="36">
        <v>-3.7971560917010594E-3</v>
      </c>
      <c r="L60" s="36">
        <v>5.8926805943661396E-3</v>
      </c>
      <c r="M60" s="36">
        <v>5.7046273490608916E-2</v>
      </c>
      <c r="N60" s="36">
        <v>0.10329650358907679</v>
      </c>
      <c r="O60"/>
    </row>
    <row r="61" spans="2:15" ht="15" customHeight="1" x14ac:dyDescent="0.25">
      <c r="B61" s="42" t="s">
        <v>132</v>
      </c>
      <c r="C61" s="43" t="s">
        <v>133</v>
      </c>
      <c r="E61" s="34" t="s">
        <v>133</v>
      </c>
      <c r="F61" s="33">
        <v>37653</v>
      </c>
      <c r="G61" s="33">
        <v>41306</v>
      </c>
      <c r="H61" s="38">
        <v>41456</v>
      </c>
      <c r="I61" s="38">
        <v>41365</v>
      </c>
      <c r="J61" s="36">
        <v>0.15279263884914829</v>
      </c>
      <c r="K61" s="36">
        <v>0.13704880754735282</v>
      </c>
      <c r="L61" s="36">
        <v>1.2955401346453808E-2</v>
      </c>
      <c r="M61" s="36">
        <v>4.3784792800601137E-2</v>
      </c>
      <c r="N61" s="36">
        <v>0.29588815014960945</v>
      </c>
      <c r="O61"/>
    </row>
    <row r="62" spans="2:15" ht="15" customHeight="1" x14ac:dyDescent="0.25">
      <c r="B62" s="42" t="s">
        <v>134</v>
      </c>
      <c r="C62" s="43" t="s">
        <v>135</v>
      </c>
      <c r="E62" s="34" t="s">
        <v>135</v>
      </c>
      <c r="F62" s="33">
        <v>37653</v>
      </c>
      <c r="G62" s="33">
        <v>41306</v>
      </c>
      <c r="H62" s="38">
        <v>41456</v>
      </c>
      <c r="I62" s="38">
        <v>41365</v>
      </c>
      <c r="J62" s="36">
        <v>0.12848433406438176</v>
      </c>
      <c r="K62" s="36">
        <v>0.11212880007420556</v>
      </c>
      <c r="L62" s="36">
        <v>1.1256489249325236E-2</v>
      </c>
      <c r="M62" s="36">
        <v>4.572223120993113E-2</v>
      </c>
      <c r="N62" s="36">
        <v>0.24619291210093575</v>
      </c>
      <c r="O62"/>
    </row>
    <row r="63" spans="2:15" ht="15" customHeight="1" x14ac:dyDescent="0.25">
      <c r="B63" s="42" t="s">
        <v>136</v>
      </c>
      <c r="C63" s="43" t="s">
        <v>137</v>
      </c>
      <c r="E63" s="34" t="s">
        <v>137</v>
      </c>
      <c r="F63" s="33">
        <v>37653</v>
      </c>
      <c r="G63" s="33">
        <v>41306</v>
      </c>
      <c r="H63" s="38">
        <v>41426</v>
      </c>
      <c r="I63" s="38">
        <v>41365</v>
      </c>
      <c r="J63" s="36">
        <v>0.1850968665963233</v>
      </c>
      <c r="K63" s="36">
        <v>0.17311588453054738</v>
      </c>
      <c r="L63" s="36">
        <v>1.6874693586308716E-2</v>
      </c>
      <c r="M63" s="36">
        <v>6.9798487066655562E-2</v>
      </c>
      <c r="N63" s="36">
        <v>0.24176302804663755</v>
      </c>
      <c r="O63"/>
    </row>
    <row r="64" spans="2:15" ht="15" customHeight="1" x14ac:dyDescent="0.25">
      <c r="B64" s="42" t="s">
        <v>138</v>
      </c>
      <c r="C64" s="43" t="s">
        <v>139</v>
      </c>
      <c r="E64" s="34" t="s">
        <v>139</v>
      </c>
      <c r="F64" s="33">
        <v>37653</v>
      </c>
      <c r="G64" s="33">
        <v>41306</v>
      </c>
      <c r="H64" s="38">
        <v>41275</v>
      </c>
      <c r="I64" s="38">
        <v>41609</v>
      </c>
      <c r="J64" s="36">
        <v>0.16797192337806388</v>
      </c>
      <c r="K64" s="36">
        <v>0.16231679740550509</v>
      </c>
      <c r="L64" s="36">
        <v>1.4544847482882293E-2</v>
      </c>
      <c r="M64" s="36">
        <v>5.3390587785766684E-2</v>
      </c>
      <c r="N64" s="36">
        <v>0.27242343802702584</v>
      </c>
      <c r="O64"/>
    </row>
    <row r="65" spans="2:15" ht="15" customHeight="1" x14ac:dyDescent="0.25">
      <c r="B65" s="42" t="s">
        <v>140</v>
      </c>
      <c r="C65" s="43" t="s">
        <v>141</v>
      </c>
      <c r="E65" s="34" t="s">
        <v>141</v>
      </c>
      <c r="F65" s="33">
        <v>37653</v>
      </c>
      <c r="G65" s="33">
        <v>41306</v>
      </c>
      <c r="H65" s="38">
        <v>41548</v>
      </c>
      <c r="I65" s="38">
        <v>41456</v>
      </c>
      <c r="J65" s="36">
        <v>0.19697909849901807</v>
      </c>
      <c r="K65" s="36">
        <v>4.9105379829335272E-2</v>
      </c>
      <c r="L65" s="36">
        <v>1.8174309327327987E-2</v>
      </c>
      <c r="M65" s="36">
        <v>7.7695379668509632E-2</v>
      </c>
      <c r="N65" s="36">
        <v>0.23391750455264376</v>
      </c>
      <c r="O65"/>
    </row>
    <row r="66" spans="2:15" ht="15" customHeight="1" x14ac:dyDescent="0.25">
      <c r="B66" s="42" t="s">
        <v>142</v>
      </c>
      <c r="C66" s="43" t="s">
        <v>143</v>
      </c>
      <c r="E66" s="34" t="s">
        <v>143</v>
      </c>
      <c r="F66" s="33">
        <v>37653</v>
      </c>
      <c r="G66" s="33">
        <v>41306</v>
      </c>
      <c r="H66" s="38">
        <v>41609</v>
      </c>
      <c r="I66" s="38">
        <v>41395</v>
      </c>
      <c r="J66" s="36">
        <v>0.24472403533451104</v>
      </c>
      <c r="K66" s="36">
        <v>0.11237786314331433</v>
      </c>
      <c r="L66" s="36">
        <v>2.1779082415128596E-2</v>
      </c>
      <c r="M66" s="36">
        <v>8.4144786275383521E-2</v>
      </c>
      <c r="N66" s="36">
        <v>0.25882866163390622</v>
      </c>
      <c r="O66"/>
    </row>
    <row r="67" spans="2:15" ht="15" customHeight="1" x14ac:dyDescent="0.25">
      <c r="B67" s="42" t="s">
        <v>144</v>
      </c>
      <c r="C67" s="43" t="s">
        <v>145</v>
      </c>
      <c r="E67" s="34" t="s">
        <v>145</v>
      </c>
      <c r="F67" s="33">
        <v>37653</v>
      </c>
      <c r="G67" s="33">
        <v>41306</v>
      </c>
      <c r="H67" s="38">
        <v>41426</v>
      </c>
      <c r="I67" s="38">
        <v>41395</v>
      </c>
      <c r="J67" s="36">
        <v>0.17858532845911168</v>
      </c>
      <c r="K67" s="36">
        <v>0.1835840252937242</v>
      </c>
      <c r="L67" s="36">
        <v>1.8528232713762385E-2</v>
      </c>
      <c r="M67" s="36">
        <v>9.4169618235362768E-2</v>
      </c>
      <c r="N67" s="36">
        <v>0.19675382635038255</v>
      </c>
      <c r="O67"/>
    </row>
    <row r="68" spans="2:15" ht="15" customHeight="1" x14ac:dyDescent="0.25">
      <c r="B68" s="42" t="s">
        <v>146</v>
      </c>
      <c r="C68" s="43" t="s">
        <v>147</v>
      </c>
      <c r="E68" s="34" t="s">
        <v>147</v>
      </c>
      <c r="F68" s="33">
        <v>37653</v>
      </c>
      <c r="G68" s="33">
        <v>41306</v>
      </c>
      <c r="H68" s="38">
        <v>41518</v>
      </c>
      <c r="I68" s="38">
        <v>41334</v>
      </c>
      <c r="J68" s="36">
        <v>0.10254901236357195</v>
      </c>
      <c r="K68" s="36">
        <v>3.5711078436067911E-2</v>
      </c>
      <c r="L68" s="36">
        <v>9.4603296093576754E-3</v>
      </c>
      <c r="M68" s="36">
        <v>5.0615459787156404E-2</v>
      </c>
      <c r="N68" s="36">
        <v>0.18690593050304008</v>
      </c>
      <c r="O68"/>
    </row>
    <row r="69" spans="2:15" ht="15" customHeight="1" x14ac:dyDescent="0.25">
      <c r="B69" s="42" t="s">
        <v>148</v>
      </c>
      <c r="C69" s="43" t="s">
        <v>149</v>
      </c>
      <c r="E69" s="34" t="s">
        <v>149</v>
      </c>
      <c r="F69" s="33">
        <v>37653</v>
      </c>
      <c r="G69" s="33">
        <v>41306</v>
      </c>
      <c r="H69" s="38">
        <v>41426</v>
      </c>
      <c r="I69" s="38">
        <v>41334</v>
      </c>
      <c r="J69" s="36">
        <v>0.24273738210728846</v>
      </c>
      <c r="K69" s="36">
        <v>0.21092933044427076</v>
      </c>
      <c r="L69" s="36">
        <v>2.1592966091284235E-2</v>
      </c>
      <c r="M69" s="36">
        <v>7.9967067016460572E-2</v>
      </c>
      <c r="N69" s="36">
        <v>0.27002323452527649</v>
      </c>
      <c r="O69"/>
    </row>
    <row r="70" spans="2:15" ht="15" customHeight="1" x14ac:dyDescent="0.25">
      <c r="B70" s="42" t="s">
        <v>150</v>
      </c>
      <c r="C70" s="43" t="s">
        <v>151</v>
      </c>
      <c r="E70" s="34" t="s">
        <v>151</v>
      </c>
      <c r="F70" s="33">
        <v>37653</v>
      </c>
      <c r="G70" s="33">
        <v>41306</v>
      </c>
      <c r="H70" s="38">
        <v>41518</v>
      </c>
      <c r="I70" s="38">
        <v>41487</v>
      </c>
      <c r="J70" s="36">
        <v>0.16274446596434333</v>
      </c>
      <c r="K70" s="36">
        <v>0.13957401659304658</v>
      </c>
      <c r="L70" s="36">
        <v>1.4167737408245193E-2</v>
      </c>
      <c r="M70" s="36">
        <v>5.3442726018109656E-2</v>
      </c>
      <c r="N70" s="36">
        <v>0.26510132367582256</v>
      </c>
      <c r="O70"/>
    </row>
    <row r="71" spans="2:15" ht="15" customHeight="1" x14ac:dyDescent="0.25">
      <c r="B71" s="42" t="s">
        <v>152</v>
      </c>
      <c r="C71" s="43" t="s">
        <v>153</v>
      </c>
      <c r="E71" s="34" t="s">
        <v>153</v>
      </c>
      <c r="F71" s="33">
        <v>37653</v>
      </c>
      <c r="G71" s="33">
        <v>41306</v>
      </c>
      <c r="H71" s="38">
        <v>41456</v>
      </c>
      <c r="I71" s="38">
        <v>41395</v>
      </c>
      <c r="J71" s="36">
        <v>0.17818417279048404</v>
      </c>
      <c r="K71" s="36">
        <v>8.0044147399994658E-2</v>
      </c>
      <c r="L71" s="36">
        <v>1.5793063709316251E-2</v>
      </c>
      <c r="M71" s="36">
        <v>6.2948144916108478E-2</v>
      </c>
      <c r="N71" s="36">
        <v>0.25089005768738382</v>
      </c>
      <c r="O71"/>
    </row>
    <row r="72" spans="2:15" ht="15" customHeight="1" x14ac:dyDescent="0.25">
      <c r="B72" s="42" t="s">
        <v>154</v>
      </c>
      <c r="C72" s="43" t="s">
        <v>155</v>
      </c>
      <c r="E72" s="34" t="s">
        <v>155</v>
      </c>
      <c r="F72" s="33">
        <v>37653</v>
      </c>
      <c r="G72" s="33">
        <v>41306</v>
      </c>
      <c r="H72" s="38">
        <v>41426</v>
      </c>
      <c r="I72" s="38">
        <v>41395</v>
      </c>
      <c r="J72" s="36">
        <v>9.3192010336258457E-2</v>
      </c>
      <c r="K72" s="36">
        <v>8.639400240192141E-2</v>
      </c>
      <c r="L72" s="36">
        <v>8.9594356948461476E-3</v>
      </c>
      <c r="M72" s="36">
        <v>5.4347479397326412E-2</v>
      </c>
      <c r="N72" s="36">
        <v>0.16485466840780294</v>
      </c>
      <c r="O72"/>
    </row>
    <row r="73" spans="2:15" ht="15" customHeight="1" x14ac:dyDescent="0.25">
      <c r="B73" s="42" t="s">
        <v>156</v>
      </c>
      <c r="C73" s="43" t="s">
        <v>157</v>
      </c>
      <c r="E73" s="34" t="s">
        <v>157</v>
      </c>
      <c r="F73" s="33">
        <v>37653</v>
      </c>
      <c r="G73" s="33">
        <v>41306</v>
      </c>
      <c r="H73" s="38">
        <v>41334</v>
      </c>
      <c r="I73" s="38">
        <v>41609</v>
      </c>
      <c r="J73" s="36">
        <v>0.11449518846606987</v>
      </c>
      <c r="K73" s="36">
        <v>9.6342458821732091E-2</v>
      </c>
      <c r="L73" s="36">
        <v>1.0383813573597273E-2</v>
      </c>
      <c r="M73" s="36">
        <v>5.0306256710316077E-2</v>
      </c>
      <c r="N73" s="36">
        <v>0.20641197045114093</v>
      </c>
      <c r="O73"/>
    </row>
    <row r="74" spans="2:15" ht="15" customHeight="1" x14ac:dyDescent="0.25">
      <c r="B74" s="42" t="s">
        <v>158</v>
      </c>
      <c r="C74" s="43" t="s">
        <v>159</v>
      </c>
      <c r="E74" s="34" t="s">
        <v>159</v>
      </c>
      <c r="F74" s="33">
        <v>37653</v>
      </c>
      <c r="G74" s="33">
        <v>41306</v>
      </c>
      <c r="H74" s="38">
        <v>41334</v>
      </c>
      <c r="I74" s="38">
        <v>41306</v>
      </c>
      <c r="J74" s="36">
        <v>0.14389847719698468</v>
      </c>
      <c r="K74" s="36">
        <v>0.13352183792523098</v>
      </c>
      <c r="L74" s="36">
        <v>1.8918217965274355E-2</v>
      </c>
      <c r="M74" s="36">
        <v>0.12671744130813864</v>
      </c>
      <c r="N74" s="36">
        <v>0.14929450729099672</v>
      </c>
      <c r="O74"/>
    </row>
    <row r="75" spans="2:15" ht="15" customHeight="1" x14ac:dyDescent="0.25">
      <c r="B75" s="42" t="s">
        <v>160</v>
      </c>
      <c r="C75" s="43" t="s">
        <v>161</v>
      </c>
      <c r="E75" s="34" t="s">
        <v>161</v>
      </c>
      <c r="F75" s="33">
        <v>37653</v>
      </c>
      <c r="G75" s="33">
        <v>41306</v>
      </c>
      <c r="H75" s="38">
        <v>41456</v>
      </c>
      <c r="I75" s="38">
        <v>41334</v>
      </c>
      <c r="J75" s="36">
        <v>9.9855497014661898E-2</v>
      </c>
      <c r="K75" s="36">
        <v>8.9475471405802587E-2</v>
      </c>
      <c r="L75" s="36">
        <v>8.9120597996995166E-3</v>
      </c>
      <c r="M75" s="36">
        <v>4.2217891160574852E-2</v>
      </c>
      <c r="N75" s="36">
        <v>0.21109675435475178</v>
      </c>
      <c r="O75"/>
    </row>
    <row r="76" spans="2:15" ht="15" customHeight="1" x14ac:dyDescent="0.25">
      <c r="B76" s="42" t="s">
        <v>162</v>
      </c>
      <c r="C76" s="43" t="s">
        <v>163</v>
      </c>
      <c r="E76" s="34" t="s">
        <v>163</v>
      </c>
      <c r="F76" s="33">
        <v>37653</v>
      </c>
      <c r="G76" s="33">
        <v>41306</v>
      </c>
      <c r="H76" s="38">
        <v>41579</v>
      </c>
      <c r="I76" s="38">
        <v>41275</v>
      </c>
      <c r="J76" s="36">
        <v>8.0907047406813204E-2</v>
      </c>
      <c r="K76" s="36">
        <v>-9.9900868274386934E-2</v>
      </c>
      <c r="L76" s="36">
        <v>7.6772683832245919E-3</v>
      </c>
      <c r="M76" s="36">
        <v>4.9683637020230091E-2</v>
      </c>
      <c r="N76" s="36">
        <v>0.15452307527523751</v>
      </c>
      <c r="O76"/>
    </row>
    <row r="77" spans="2:15" ht="15" customHeight="1" x14ac:dyDescent="0.25">
      <c r="B77" s="42" t="s">
        <v>164</v>
      </c>
      <c r="C77" s="43" t="s">
        <v>165</v>
      </c>
      <c r="E77" s="34" t="s">
        <v>165</v>
      </c>
      <c r="F77" s="33">
        <v>37653</v>
      </c>
      <c r="G77" s="33">
        <v>41306</v>
      </c>
      <c r="H77" s="38">
        <v>41518</v>
      </c>
      <c r="I77" s="38">
        <v>41426</v>
      </c>
      <c r="J77" s="36">
        <v>0.22498171650037091</v>
      </c>
      <c r="K77" s="36">
        <v>0.14857423610423592</v>
      </c>
      <c r="L77" s="36">
        <v>2.252615356250643E-2</v>
      </c>
      <c r="M77" s="36">
        <v>0.10375660547578588</v>
      </c>
      <c r="N77" s="36">
        <v>0.21710572988785234</v>
      </c>
      <c r="O77"/>
    </row>
    <row r="78" spans="2:15" ht="15" customHeight="1" x14ac:dyDescent="0.25">
      <c r="B78" s="42" t="s">
        <v>166</v>
      </c>
      <c r="C78" s="43" t="s">
        <v>167</v>
      </c>
      <c r="E78" s="34" t="s">
        <v>167</v>
      </c>
      <c r="F78" s="33">
        <v>37653</v>
      </c>
      <c r="G78" s="33">
        <v>41306</v>
      </c>
      <c r="H78" s="38">
        <v>41579</v>
      </c>
      <c r="I78" s="38">
        <v>41487</v>
      </c>
      <c r="J78" s="36">
        <v>0.172333029786786</v>
      </c>
      <c r="K78" s="36">
        <v>0.15956868470086594</v>
      </c>
      <c r="L78" s="36">
        <v>1.5523480392092948E-2</v>
      </c>
      <c r="M78" s="36">
        <v>6.6138541210012669E-2</v>
      </c>
      <c r="N78" s="36">
        <v>0.2347115631534803</v>
      </c>
      <c r="O78"/>
    </row>
    <row r="79" spans="2:15" ht="15" customHeight="1" x14ac:dyDescent="0.25">
      <c r="B79" s="42" t="s">
        <v>168</v>
      </c>
      <c r="C79" s="43" t="s">
        <v>169</v>
      </c>
      <c r="E79" s="34" t="s">
        <v>169</v>
      </c>
      <c r="F79" s="33">
        <v>37653</v>
      </c>
      <c r="G79" s="33">
        <v>41306</v>
      </c>
      <c r="H79" s="38">
        <v>41306</v>
      </c>
      <c r="I79" s="38">
        <v>41365</v>
      </c>
      <c r="J79" s="36">
        <v>0.11544127942103155</v>
      </c>
      <c r="K79" s="36">
        <v>-0.16438437548885942</v>
      </c>
      <c r="L79" s="36">
        <v>1.1198835628761953E-2</v>
      </c>
      <c r="M79" s="36">
        <v>7.2200482691337164E-2</v>
      </c>
      <c r="N79" s="36">
        <v>0.15510748974681887</v>
      </c>
      <c r="O79"/>
    </row>
    <row r="80" spans="2:15" ht="15" customHeight="1" x14ac:dyDescent="0.25">
      <c r="B80" s="42" t="s">
        <v>170</v>
      </c>
      <c r="C80" s="43" t="s">
        <v>171</v>
      </c>
      <c r="E80" s="34" t="s">
        <v>171</v>
      </c>
      <c r="F80" s="33">
        <v>37653</v>
      </c>
      <c r="G80" s="33">
        <v>41306</v>
      </c>
      <c r="H80" s="38">
        <v>41426</v>
      </c>
      <c r="I80" s="38">
        <v>41334</v>
      </c>
      <c r="J80" s="36">
        <v>7.3345799136100176E-2</v>
      </c>
      <c r="K80" s="36">
        <v>7.4562649863350483E-2</v>
      </c>
      <c r="L80" s="36">
        <v>8.0233135261013385E-3</v>
      </c>
      <c r="M80" s="36">
        <v>6.5176934017684526E-2</v>
      </c>
      <c r="N80" s="36">
        <v>0.12310050552430657</v>
      </c>
      <c r="O80"/>
    </row>
    <row r="81" spans="2:15" ht="15" customHeight="1" x14ac:dyDescent="0.25">
      <c r="B81" s="42" t="s">
        <v>172</v>
      </c>
      <c r="C81" s="43" t="s">
        <v>173</v>
      </c>
      <c r="E81" s="34" t="s">
        <v>173</v>
      </c>
      <c r="F81" s="33">
        <v>37653</v>
      </c>
      <c r="G81" s="33">
        <v>41306</v>
      </c>
      <c r="H81" s="38">
        <v>41456</v>
      </c>
      <c r="I81" s="38">
        <v>41395</v>
      </c>
      <c r="J81" s="36">
        <v>0.10441684555687503</v>
      </c>
      <c r="K81" s="36">
        <v>7.5731049774151682E-2</v>
      </c>
      <c r="L81" s="36">
        <v>9.571913328002727E-3</v>
      </c>
      <c r="M81" s="36">
        <v>4.8839472698038087E-2</v>
      </c>
      <c r="N81" s="36">
        <v>0.19598723735580456</v>
      </c>
      <c r="O81"/>
    </row>
    <row r="82" spans="2:15" ht="15" customHeight="1" x14ac:dyDescent="0.25">
      <c r="B82" s="42" t="s">
        <v>174</v>
      </c>
      <c r="C82" s="43" t="s">
        <v>175</v>
      </c>
      <c r="E82" s="34" t="s">
        <v>175</v>
      </c>
      <c r="F82" s="33">
        <v>37653</v>
      </c>
      <c r="G82" s="33">
        <v>41306</v>
      </c>
      <c r="H82" s="38">
        <v>41487</v>
      </c>
      <c r="I82" s="38">
        <v>41395</v>
      </c>
      <c r="J82" s="36">
        <v>0.11067025174797673</v>
      </c>
      <c r="K82" s="36">
        <v>3.4565220693089316E-2</v>
      </c>
      <c r="L82" s="36">
        <v>1.0600263329828037E-2</v>
      </c>
      <c r="M82" s="36">
        <v>5.8979820964124317E-2</v>
      </c>
      <c r="N82" s="36">
        <v>0.17972694993896071</v>
      </c>
      <c r="O82"/>
    </row>
    <row r="83" spans="2:15" ht="15" customHeight="1" x14ac:dyDescent="0.25">
      <c r="B83" s="42" t="s">
        <v>176</v>
      </c>
      <c r="C83" s="43" t="s">
        <v>177</v>
      </c>
      <c r="E83" s="34" t="s">
        <v>177</v>
      </c>
      <c r="F83" s="33">
        <v>37653</v>
      </c>
      <c r="G83" s="33">
        <v>41306</v>
      </c>
      <c r="H83" s="38">
        <v>41548</v>
      </c>
      <c r="I83" s="38">
        <v>41518</v>
      </c>
      <c r="J83" s="36">
        <v>0.25016036786913287</v>
      </c>
      <c r="K83" s="36">
        <v>0.1738782950046005</v>
      </c>
      <c r="L83" s="36">
        <v>2.254012744339599E-2</v>
      </c>
      <c r="M83" s="36">
        <v>8.4885117659196471E-2</v>
      </c>
      <c r="N83" s="36">
        <v>0.26553685810853073</v>
      </c>
      <c r="O83"/>
    </row>
    <row r="84" spans="2:15" ht="15" customHeight="1" x14ac:dyDescent="0.25">
      <c r="B84" s="42" t="s">
        <v>178</v>
      </c>
      <c r="C84" s="43" t="s">
        <v>179</v>
      </c>
      <c r="E84" s="34" t="s">
        <v>179</v>
      </c>
      <c r="F84" s="33">
        <v>37653</v>
      </c>
      <c r="G84" s="33">
        <v>41306</v>
      </c>
      <c r="H84" s="38">
        <v>41426</v>
      </c>
      <c r="I84" s="38">
        <v>41365</v>
      </c>
      <c r="J84" s="36">
        <v>0.20871193764440199</v>
      </c>
      <c r="K84" s="36">
        <v>0.18036649201323973</v>
      </c>
      <c r="L84" s="36">
        <v>2.0676633999560556E-2</v>
      </c>
      <c r="M84" s="36">
        <v>9.5436267895805477E-2</v>
      </c>
      <c r="N84" s="36">
        <v>0.2166538408871426</v>
      </c>
      <c r="O84"/>
    </row>
    <row r="85" spans="2:15" ht="15" customHeight="1" x14ac:dyDescent="0.25">
      <c r="B85" s="42" t="s">
        <v>180</v>
      </c>
      <c r="C85" s="43" t="s">
        <v>181</v>
      </c>
      <c r="E85" s="34" t="s">
        <v>181</v>
      </c>
      <c r="F85" s="33">
        <v>37653</v>
      </c>
      <c r="G85" s="33">
        <v>41306</v>
      </c>
      <c r="H85" s="38">
        <v>41334</v>
      </c>
      <c r="I85" s="38">
        <v>41609</v>
      </c>
      <c r="J85" s="36">
        <v>0.17289678763972649</v>
      </c>
      <c r="K85" s="36">
        <v>0.15857680361253501</v>
      </c>
      <c r="L85" s="36">
        <v>1.4403500515930496E-2</v>
      </c>
      <c r="M85" s="36">
        <v>4.4016354800089273E-2</v>
      </c>
      <c r="N85" s="36">
        <v>0.32723065281864921</v>
      </c>
      <c r="O85"/>
    </row>
    <row r="86" spans="2:15" ht="15" customHeight="1" x14ac:dyDescent="0.25">
      <c r="B86" s="42" t="s">
        <v>182</v>
      </c>
      <c r="C86" s="43" t="s">
        <v>183</v>
      </c>
      <c r="E86" s="34" t="s">
        <v>183</v>
      </c>
      <c r="F86" s="33">
        <v>38139</v>
      </c>
      <c r="G86" s="33">
        <v>41306</v>
      </c>
      <c r="H86" s="38">
        <v>41579</v>
      </c>
      <c r="I86" s="38">
        <v>41365</v>
      </c>
      <c r="J86" s="36">
        <v>0.28730884856629713</v>
      </c>
      <c r="K86" s="36">
        <v>0.15139390405494479</v>
      </c>
      <c r="L86" s="36">
        <v>2.6358606175119394E-2</v>
      </c>
      <c r="M86" s="36">
        <v>0.11212414701681904</v>
      </c>
      <c r="N86" s="36">
        <v>0.23508411770718313</v>
      </c>
      <c r="O86"/>
    </row>
    <row r="87" spans="2:15" ht="15" customHeight="1" x14ac:dyDescent="0.25">
      <c r="B87" s="42" t="s">
        <v>184</v>
      </c>
      <c r="C87" s="43" t="s">
        <v>185</v>
      </c>
      <c r="E87" s="34" t="s">
        <v>185</v>
      </c>
      <c r="F87" s="33">
        <v>38718</v>
      </c>
      <c r="G87" s="33">
        <v>41306</v>
      </c>
      <c r="H87" s="38">
        <v>41306</v>
      </c>
      <c r="I87" s="38">
        <v>41609</v>
      </c>
      <c r="J87" s="36">
        <v>0.19085087570395798</v>
      </c>
      <c r="K87" s="36">
        <v>0.10245904520117466</v>
      </c>
      <c r="L87" s="36">
        <v>2.2526582672057722E-2</v>
      </c>
      <c r="M87" s="36">
        <v>0.1329473038050841</v>
      </c>
      <c r="N87" s="36">
        <v>0.16943993618015946</v>
      </c>
      <c r="O87"/>
    </row>
    <row r="88" spans="2:15" ht="15" customHeight="1" x14ac:dyDescent="0.25">
      <c r="B88" s="42" t="s">
        <v>186</v>
      </c>
      <c r="C88" s="43" t="s">
        <v>187</v>
      </c>
      <c r="E88" s="34" t="s">
        <v>187</v>
      </c>
      <c r="F88" s="33">
        <v>37653</v>
      </c>
      <c r="G88" s="33">
        <v>41306</v>
      </c>
      <c r="H88" s="38">
        <v>41548</v>
      </c>
      <c r="I88" s="38">
        <v>41365</v>
      </c>
      <c r="J88" s="36">
        <v>0.17495580186136195</v>
      </c>
      <c r="K88" s="36">
        <v>0.1128839038859486</v>
      </c>
      <c r="L88" s="36">
        <v>1.5009465220245663E-2</v>
      </c>
      <c r="M88" s="36">
        <v>5.5397998044055444E-2</v>
      </c>
      <c r="N88" s="36">
        <v>0.27093876584329518</v>
      </c>
      <c r="O88"/>
    </row>
    <row r="89" spans="2:15" ht="15" customHeight="1" x14ac:dyDescent="0.25">
      <c r="B89" s="42" t="s">
        <v>188</v>
      </c>
      <c r="C89" s="43" t="s">
        <v>189</v>
      </c>
      <c r="E89" s="34" t="s">
        <v>189</v>
      </c>
      <c r="F89" s="33">
        <v>37653</v>
      </c>
      <c r="G89" s="33">
        <v>41306</v>
      </c>
      <c r="H89" s="38">
        <v>41334</v>
      </c>
      <c r="I89" s="38">
        <v>41609</v>
      </c>
      <c r="J89" s="36">
        <v>9.8999929330319203E-2</v>
      </c>
      <c r="K89" s="36">
        <v>7.6553126888821321E-2</v>
      </c>
      <c r="L89" s="36">
        <v>1.0918528227048708E-2</v>
      </c>
      <c r="M89" s="36">
        <v>7.6421689485978508E-2</v>
      </c>
      <c r="N89" s="36">
        <v>0.14287211262258195</v>
      </c>
      <c r="O89"/>
    </row>
    <row r="90" spans="2:15" ht="15" customHeight="1" x14ac:dyDescent="0.25">
      <c r="B90" s="42" t="s">
        <v>190</v>
      </c>
      <c r="C90" s="43" t="s">
        <v>191</v>
      </c>
      <c r="E90" s="34" t="s">
        <v>191</v>
      </c>
      <c r="F90" s="33">
        <v>37653</v>
      </c>
      <c r="G90" s="33">
        <v>40969</v>
      </c>
      <c r="H90" s="38">
        <v>41548</v>
      </c>
      <c r="I90" s="38">
        <v>41456</v>
      </c>
      <c r="J90" s="36">
        <v>0.14475355051727568</v>
      </c>
      <c r="K90" s="36">
        <v>6.978790745332164E-2</v>
      </c>
      <c r="L90" s="36">
        <v>1.2913464827623922E-2</v>
      </c>
      <c r="M90" s="36">
        <v>5.4046125942954416E-2</v>
      </c>
      <c r="N90" s="36">
        <v>0.23893414379513639</v>
      </c>
      <c r="O90"/>
    </row>
    <row r="91" spans="2:15" ht="15" customHeight="1" x14ac:dyDescent="0.25">
      <c r="B91" s="42" t="s">
        <v>192</v>
      </c>
      <c r="C91" s="43" t="s">
        <v>193</v>
      </c>
      <c r="E91" s="34" t="s">
        <v>193</v>
      </c>
      <c r="F91" s="33">
        <v>37653</v>
      </c>
      <c r="G91" s="33">
        <v>41306</v>
      </c>
      <c r="H91" s="38">
        <v>41395</v>
      </c>
      <c r="I91" s="38">
        <v>41365</v>
      </c>
      <c r="J91" s="36">
        <v>0.29263125373483967</v>
      </c>
      <c r="K91" s="36">
        <v>0.33590038230384445</v>
      </c>
      <c r="L91" s="36">
        <v>2.5422291702497657E-2</v>
      </c>
      <c r="M91" s="36">
        <v>8.5972506113722522E-2</v>
      </c>
      <c r="N91" s="36">
        <v>0.29570257808780886</v>
      </c>
    </row>
    <row r="92" spans="2:15" ht="15" customHeight="1" x14ac:dyDescent="0.25">
      <c r="B92" s="42" t="s">
        <v>194</v>
      </c>
      <c r="C92" s="43" t="s">
        <v>195</v>
      </c>
      <c r="E92" s="34" t="s">
        <v>195</v>
      </c>
      <c r="F92" s="33">
        <v>37653</v>
      </c>
      <c r="G92" s="33">
        <v>40817</v>
      </c>
      <c r="H92" s="38">
        <v>41487</v>
      </c>
      <c r="I92" s="38">
        <v>41365</v>
      </c>
      <c r="J92" s="36">
        <v>0.13342117398461428</v>
      </c>
      <c r="K92" s="36">
        <v>6.1977224946036857E-2</v>
      </c>
      <c r="L92" s="36">
        <v>1.2896049188993912E-2</v>
      </c>
      <c r="M92" s="36">
        <v>6.9629695342764156E-2</v>
      </c>
      <c r="N92" s="36">
        <v>0.1852090422844864</v>
      </c>
    </row>
    <row r="93" spans="2:15" ht="15" customHeight="1" x14ac:dyDescent="0.25">
      <c r="B93" s="42" t="s">
        <v>196</v>
      </c>
      <c r="C93" s="43" t="s">
        <v>197</v>
      </c>
      <c r="E93" s="34" t="s">
        <v>197</v>
      </c>
      <c r="F93" s="33">
        <v>37653</v>
      </c>
      <c r="G93" s="33">
        <v>41306</v>
      </c>
      <c r="H93" s="38">
        <v>41395</v>
      </c>
      <c r="I93" s="38">
        <v>41365</v>
      </c>
      <c r="J93" s="36">
        <v>0.29688188819929318</v>
      </c>
      <c r="K93" s="36">
        <v>0.25805317763579971</v>
      </c>
      <c r="L93" s="36">
        <v>2.6063197337468376E-2</v>
      </c>
      <c r="M93" s="36">
        <v>9.2184898189666395E-2</v>
      </c>
      <c r="N93" s="36">
        <v>0.28272740816879233</v>
      </c>
    </row>
    <row r="94" spans="2:15" ht="15" customHeight="1" x14ac:dyDescent="0.25">
      <c r="B94" s="42" t="s">
        <v>198</v>
      </c>
      <c r="C94" s="43" t="s">
        <v>199</v>
      </c>
      <c r="E94" s="34" t="s">
        <v>199</v>
      </c>
      <c r="F94" s="33">
        <v>38565</v>
      </c>
      <c r="G94" s="33">
        <v>41306</v>
      </c>
      <c r="H94" s="38">
        <v>41518</v>
      </c>
      <c r="I94" s="38">
        <v>41487</v>
      </c>
      <c r="J94" s="36">
        <v>0.53923857971696632</v>
      </c>
      <c r="K94" s="36">
        <v>0.41894995858003603</v>
      </c>
      <c r="L94" s="36">
        <v>4.3988428866795236E-2</v>
      </c>
      <c r="M94" s="36">
        <v>0.12094356905311969</v>
      </c>
      <c r="N94" s="36">
        <v>0.36371035856792894</v>
      </c>
    </row>
    <row r="95" spans="2:15" ht="15" customHeight="1" x14ac:dyDescent="0.25">
      <c r="B95" s="42" t="s">
        <v>200</v>
      </c>
      <c r="C95" s="43" t="s">
        <v>201</v>
      </c>
      <c r="E95" s="34" t="s">
        <v>201</v>
      </c>
      <c r="F95" s="33">
        <v>40026</v>
      </c>
      <c r="G95" s="33">
        <v>41306</v>
      </c>
      <c r="H95" s="38">
        <v>41548</v>
      </c>
      <c r="I95" s="38">
        <v>41365</v>
      </c>
      <c r="J95" s="36">
        <v>0.17657583589158388</v>
      </c>
      <c r="K95" s="36">
        <v>0.14147830194404065</v>
      </c>
      <c r="L95" s="36">
        <v>1.4735663601026577E-2</v>
      </c>
      <c r="M95" s="36">
        <v>4.0106458882183803E-2</v>
      </c>
      <c r="N95" s="36">
        <v>0.36741372865437621</v>
      </c>
    </row>
    <row r="96" spans="2:15" ht="15" customHeight="1" x14ac:dyDescent="0.25">
      <c r="B96" s="42" t="s">
        <v>202</v>
      </c>
      <c r="C96" s="43" t="s">
        <v>203</v>
      </c>
      <c r="E96" s="34" t="s">
        <v>203</v>
      </c>
      <c r="F96" s="33">
        <v>37653</v>
      </c>
      <c r="G96" s="33">
        <v>41306</v>
      </c>
      <c r="H96" s="38">
        <v>41579</v>
      </c>
      <c r="I96" s="38">
        <v>41518</v>
      </c>
      <c r="J96" s="36">
        <v>0.1739426066674683</v>
      </c>
      <c r="K96" s="36">
        <v>0.10782026097084074</v>
      </c>
      <c r="L96" s="36">
        <v>1.8220085714073575E-2</v>
      </c>
      <c r="M96" s="36">
        <v>9.6932305016164746E-2</v>
      </c>
      <c r="N96" s="36">
        <v>0.18796711489564943</v>
      </c>
    </row>
    <row r="97" spans="2:14" ht="15" customHeight="1" x14ac:dyDescent="0.25">
      <c r="B97" s="42" t="s">
        <v>204</v>
      </c>
      <c r="C97" s="43" t="s">
        <v>205</v>
      </c>
      <c r="E97" s="34" t="s">
        <v>205</v>
      </c>
      <c r="F97" s="33">
        <v>37653</v>
      </c>
      <c r="G97" s="33">
        <v>41306</v>
      </c>
      <c r="H97" s="38">
        <v>41456</v>
      </c>
      <c r="I97" s="38">
        <v>41426</v>
      </c>
      <c r="J97" s="36">
        <v>0.19028772171499475</v>
      </c>
      <c r="K97" s="36">
        <v>0.17514776538279686</v>
      </c>
      <c r="L97" s="36">
        <v>1.693525368804906E-2</v>
      </c>
      <c r="M97" s="36">
        <v>6.7541682883236892E-2</v>
      </c>
      <c r="N97" s="36">
        <v>0.25073781056545458</v>
      </c>
    </row>
    <row r="98" spans="2:14" ht="15" customHeight="1" x14ac:dyDescent="0.25">
      <c r="B98" s="42" t="s">
        <v>206</v>
      </c>
      <c r="C98" s="43" t="s">
        <v>207</v>
      </c>
      <c r="E98" s="34" t="s">
        <v>207</v>
      </c>
      <c r="F98" s="33">
        <v>37653</v>
      </c>
      <c r="G98" s="33">
        <v>41306</v>
      </c>
      <c r="H98" s="38">
        <v>41548</v>
      </c>
      <c r="I98" s="38">
        <v>41487</v>
      </c>
      <c r="J98" s="36">
        <v>0.21955449054126297</v>
      </c>
      <c r="K98" s="36">
        <v>0.1555000050760702</v>
      </c>
      <c r="L98" s="36">
        <v>2.0039643706312598E-2</v>
      </c>
      <c r="M98" s="36">
        <v>8.1406626765937462E-2</v>
      </c>
      <c r="N98" s="36">
        <v>0.24616722866961585</v>
      </c>
    </row>
    <row r="99" spans="2:14" ht="15" customHeight="1" x14ac:dyDescent="0.25">
      <c r="B99" s="42" t="s">
        <v>208</v>
      </c>
      <c r="C99" s="43" t="s">
        <v>209</v>
      </c>
      <c r="E99" s="34" t="s">
        <v>209</v>
      </c>
      <c r="F99" s="33">
        <v>37653</v>
      </c>
      <c r="G99" s="33">
        <v>41306</v>
      </c>
      <c r="H99" s="38">
        <v>41426</v>
      </c>
      <c r="I99" s="38">
        <v>41334</v>
      </c>
      <c r="J99" s="36">
        <v>0.1017394765978934</v>
      </c>
      <c r="K99" s="36">
        <v>7.313334653280501E-2</v>
      </c>
      <c r="L99" s="36">
        <v>9.3079164702554573E-3</v>
      </c>
      <c r="M99" s="36">
        <v>4.6810410560475413E-2</v>
      </c>
      <c r="N99" s="36">
        <v>0.19884287189129335</v>
      </c>
    </row>
    <row r="100" spans="2:14" ht="15" customHeight="1" x14ac:dyDescent="0.25">
      <c r="B100" s="42" t="s">
        <v>210</v>
      </c>
      <c r="C100" s="43" t="s">
        <v>211</v>
      </c>
      <c r="E100" s="34" t="s">
        <v>211</v>
      </c>
      <c r="F100" s="33">
        <v>37653</v>
      </c>
      <c r="G100" s="33">
        <v>41306</v>
      </c>
      <c r="H100" s="38">
        <v>41275</v>
      </c>
      <c r="I100" s="38">
        <v>41609</v>
      </c>
      <c r="J100" s="36">
        <v>0.1020335755580728</v>
      </c>
      <c r="K100" s="36">
        <v>0.10482291884213013</v>
      </c>
      <c r="L100" s="36">
        <v>9.0886491403147206E-3</v>
      </c>
      <c r="M100" s="36">
        <v>4.1707908495296833E-2</v>
      </c>
      <c r="N100" s="36">
        <v>0.21791188933244152</v>
      </c>
    </row>
    <row r="101" spans="2:14" ht="15" customHeight="1" x14ac:dyDescent="0.25">
      <c r="B101" s="42" t="s">
        <v>212</v>
      </c>
      <c r="C101" s="43" t="s">
        <v>213</v>
      </c>
      <c r="E101" s="34" t="s">
        <v>213</v>
      </c>
      <c r="F101" s="33">
        <v>37653</v>
      </c>
      <c r="G101" s="33">
        <v>41306</v>
      </c>
      <c r="H101" s="38">
        <v>41395</v>
      </c>
      <c r="I101" s="38">
        <v>41334</v>
      </c>
      <c r="J101" s="36">
        <v>0.37166696373933616</v>
      </c>
      <c r="K101" s="36">
        <v>0.31600090972653794</v>
      </c>
      <c r="L101" s="36">
        <v>3.9599918493467508E-2</v>
      </c>
      <c r="M101" s="36">
        <v>0.15466730880659557</v>
      </c>
      <c r="N101" s="36">
        <v>0.25603289278787028</v>
      </c>
    </row>
    <row r="102" spans="2:14" ht="15" customHeight="1" x14ac:dyDescent="0.25">
      <c r="B102" s="42" t="s">
        <v>214</v>
      </c>
      <c r="C102" s="43" t="s">
        <v>215</v>
      </c>
      <c r="E102" s="34" t="s">
        <v>215</v>
      </c>
      <c r="F102" s="33">
        <v>37653</v>
      </c>
      <c r="G102" s="33">
        <v>41306</v>
      </c>
      <c r="H102" s="38">
        <v>41426</v>
      </c>
      <c r="I102" s="38">
        <v>41365</v>
      </c>
      <c r="J102" s="36">
        <v>0.12222581950156286</v>
      </c>
      <c r="K102" s="36">
        <v>9.3206061541564411E-2</v>
      </c>
      <c r="L102" s="36">
        <v>1.036012778425398E-2</v>
      </c>
      <c r="M102" s="36">
        <v>3.5503020538563336E-2</v>
      </c>
      <c r="N102" s="36">
        <v>0.29180975666565673</v>
      </c>
    </row>
    <row r="103" spans="2:14" ht="15" customHeight="1" x14ac:dyDescent="0.25">
      <c r="B103" s="42" t="s">
        <v>216</v>
      </c>
      <c r="C103" s="43" t="s">
        <v>217</v>
      </c>
      <c r="E103" s="34" t="s">
        <v>217</v>
      </c>
      <c r="F103" s="33">
        <v>37653</v>
      </c>
      <c r="G103" s="33">
        <v>41306</v>
      </c>
      <c r="H103" s="38">
        <v>41579</v>
      </c>
      <c r="I103" s="38">
        <v>41365</v>
      </c>
      <c r="J103" s="36">
        <v>6.0997953355955925E-2</v>
      </c>
      <c r="K103" s="36">
        <v>1.7100986075672786E-2</v>
      </c>
      <c r="L103" s="36">
        <v>6.1662307176706659E-3</v>
      </c>
      <c r="M103" s="36">
        <v>4.9095468043426661E-2</v>
      </c>
      <c r="N103" s="36">
        <v>0.12559673964644597</v>
      </c>
    </row>
    <row r="104" spans="2:14" ht="15" customHeight="1" x14ac:dyDescent="0.25">
      <c r="B104" s="42" t="s">
        <v>218</v>
      </c>
      <c r="C104" s="43" t="s">
        <v>219</v>
      </c>
      <c r="E104" s="34" t="s">
        <v>219</v>
      </c>
      <c r="F104" s="33">
        <v>37653</v>
      </c>
      <c r="G104" s="33">
        <v>41306</v>
      </c>
      <c r="H104" s="38">
        <v>41426</v>
      </c>
      <c r="I104" s="38">
        <v>41365</v>
      </c>
      <c r="J104" s="36">
        <v>0.10471874104917012</v>
      </c>
      <c r="K104" s="36">
        <v>8.0029959163974596E-2</v>
      </c>
      <c r="L104" s="36">
        <v>1.0647795476122882E-2</v>
      </c>
      <c r="M104" s="36">
        <v>6.6909708241995436E-2</v>
      </c>
      <c r="N104" s="36">
        <v>0.15913677933869488</v>
      </c>
    </row>
    <row r="105" spans="2:14" ht="15" customHeight="1" x14ac:dyDescent="0.25">
      <c r="B105" s="42" t="s">
        <v>220</v>
      </c>
      <c r="C105" s="43" t="s">
        <v>221</v>
      </c>
      <c r="E105" s="34" t="s">
        <v>221</v>
      </c>
      <c r="F105" s="33">
        <v>37653</v>
      </c>
      <c r="G105" s="33">
        <v>41306</v>
      </c>
      <c r="H105" s="38">
        <v>41487</v>
      </c>
      <c r="I105" s="38">
        <v>41426</v>
      </c>
      <c r="J105" s="36">
        <v>0.24987605735353102</v>
      </c>
      <c r="K105" s="36">
        <v>0.23654597723351056</v>
      </c>
      <c r="L105" s="36">
        <v>2.3789749964123936E-2</v>
      </c>
      <c r="M105" s="36">
        <v>0.10215043904418393</v>
      </c>
      <c r="N105" s="36">
        <v>0.23288935600006544</v>
      </c>
    </row>
    <row r="106" spans="2:14" ht="15" customHeight="1" x14ac:dyDescent="0.25">
      <c r="B106" s="42" t="s">
        <v>222</v>
      </c>
      <c r="C106" s="43" t="s">
        <v>223</v>
      </c>
      <c r="E106" s="34" t="s">
        <v>223</v>
      </c>
      <c r="F106" s="33">
        <v>37653</v>
      </c>
      <c r="G106" s="33">
        <v>41306</v>
      </c>
      <c r="H106" s="38">
        <v>41548</v>
      </c>
      <c r="I106" s="38">
        <v>41456</v>
      </c>
      <c r="J106" s="36">
        <v>0.37328928413716378</v>
      </c>
      <c r="K106" s="36">
        <v>0.36304958769062279</v>
      </c>
      <c r="L106" s="36">
        <v>3.0832797769445197E-2</v>
      </c>
      <c r="M106" s="36">
        <v>9.0456715755998923E-2</v>
      </c>
      <c r="N106" s="36">
        <v>0.34085692269233669</v>
      </c>
    </row>
    <row r="107" spans="2:14" ht="15" customHeight="1" x14ac:dyDescent="0.25">
      <c r="B107" s="42" t="s">
        <v>224</v>
      </c>
      <c r="C107" s="43" t="s">
        <v>225</v>
      </c>
      <c r="E107" s="34" t="s">
        <v>225</v>
      </c>
      <c r="F107" s="33">
        <v>37653</v>
      </c>
      <c r="G107" s="33">
        <v>41306</v>
      </c>
      <c r="H107" s="38">
        <v>41334</v>
      </c>
      <c r="I107" s="38">
        <v>41306</v>
      </c>
      <c r="J107" s="36">
        <v>0.2103805470530058</v>
      </c>
      <c r="K107" s="36">
        <v>0.21333320120414112</v>
      </c>
      <c r="L107" s="36">
        <v>1.8475250381412778E-2</v>
      </c>
      <c r="M107" s="36">
        <v>7.0086432079819003E-2</v>
      </c>
      <c r="N107" s="36">
        <v>0.26360666156285367</v>
      </c>
    </row>
    <row r="108" spans="2:14" ht="15" customHeight="1" x14ac:dyDescent="0.25">
      <c r="B108" s="42" t="s">
        <v>226</v>
      </c>
      <c r="C108" s="43" t="s">
        <v>227</v>
      </c>
      <c r="E108" s="34" t="s">
        <v>227</v>
      </c>
      <c r="F108" s="33">
        <v>37653</v>
      </c>
      <c r="G108" s="33">
        <v>41306</v>
      </c>
      <c r="H108" s="38">
        <v>41334</v>
      </c>
      <c r="I108" s="38">
        <v>41275</v>
      </c>
      <c r="J108" s="36">
        <v>0.15509467381705178</v>
      </c>
      <c r="K108" s="36">
        <v>0.21075555146868918</v>
      </c>
      <c r="L108" s="36">
        <v>1.3753850803440239E-2</v>
      </c>
      <c r="M108" s="36">
        <v>5.5900404588567695E-2</v>
      </c>
      <c r="N108" s="36">
        <v>0.24604206185393276</v>
      </c>
    </row>
    <row r="109" spans="2:14" ht="15" customHeight="1" x14ac:dyDescent="0.25">
      <c r="B109" s="42" t="s">
        <v>228</v>
      </c>
      <c r="C109" s="43" t="s">
        <v>229</v>
      </c>
      <c r="E109" s="34" t="s">
        <v>229</v>
      </c>
      <c r="F109" s="33">
        <v>37653</v>
      </c>
      <c r="G109" s="33">
        <v>41306</v>
      </c>
      <c r="H109" s="38">
        <v>41518</v>
      </c>
      <c r="I109" s="38">
        <v>41426</v>
      </c>
      <c r="J109" s="36">
        <v>0.2490110383215367</v>
      </c>
      <c r="K109" s="36">
        <v>0.14705772064847333</v>
      </c>
      <c r="L109" s="36">
        <v>2.3678138776086217E-2</v>
      </c>
      <c r="M109" s="36">
        <v>9.8775960221982873E-2</v>
      </c>
      <c r="N109" s="36">
        <v>0.23971560208448958</v>
      </c>
    </row>
    <row r="110" spans="2:14" ht="15" customHeight="1" x14ac:dyDescent="0.25">
      <c r="B110" s="42" t="s">
        <v>230</v>
      </c>
      <c r="C110" s="43" t="s">
        <v>231</v>
      </c>
      <c r="E110" s="34" t="s">
        <v>231</v>
      </c>
      <c r="F110" s="33">
        <v>37653</v>
      </c>
      <c r="G110" s="33">
        <v>41306</v>
      </c>
      <c r="H110" s="38">
        <v>41334</v>
      </c>
      <c r="I110" s="38">
        <v>41518</v>
      </c>
      <c r="J110" s="36">
        <v>0.14602132089697228</v>
      </c>
      <c r="K110" s="36">
        <v>7.0428523954362054E-2</v>
      </c>
      <c r="L110" s="36">
        <v>1.5131823291669715E-2</v>
      </c>
      <c r="M110" s="36">
        <v>9.1064171817133971E-2</v>
      </c>
      <c r="N110" s="36">
        <v>0.16616659427876795</v>
      </c>
    </row>
    <row r="111" spans="2:14" ht="15" customHeight="1" x14ac:dyDescent="0.25">
      <c r="B111" s="42" t="s">
        <v>232</v>
      </c>
      <c r="C111" s="43" t="s">
        <v>233</v>
      </c>
      <c r="E111" s="34" t="s">
        <v>233</v>
      </c>
      <c r="F111" s="33">
        <v>37653</v>
      </c>
      <c r="G111" s="33">
        <v>41306</v>
      </c>
      <c r="H111" s="38">
        <v>41518</v>
      </c>
      <c r="I111" s="38">
        <v>41456</v>
      </c>
      <c r="J111" s="36">
        <v>0.30286537401936542</v>
      </c>
      <c r="K111" s="36">
        <v>0.29643891957974811</v>
      </c>
      <c r="L111" s="36">
        <v>2.812488173883133E-2</v>
      </c>
      <c r="M111" s="36">
        <v>0.10520811736211726</v>
      </c>
      <c r="N111" s="36">
        <v>0.2673261573727046</v>
      </c>
    </row>
    <row r="112" spans="2:14" ht="15" customHeight="1" x14ac:dyDescent="0.25">
      <c r="B112" s="42" t="s">
        <v>234</v>
      </c>
      <c r="C112" s="43" t="s">
        <v>235</v>
      </c>
      <c r="E112" s="34" t="s">
        <v>235</v>
      </c>
      <c r="F112" s="33">
        <v>37653</v>
      </c>
      <c r="G112" s="33">
        <v>41306</v>
      </c>
      <c r="H112" s="38">
        <v>41456</v>
      </c>
      <c r="I112" s="38">
        <v>41395</v>
      </c>
      <c r="J112" s="36">
        <v>0.21579336471131683</v>
      </c>
      <c r="K112" s="36">
        <v>0.19208836132137241</v>
      </c>
      <c r="L112" s="36">
        <v>2.1169774277793936E-2</v>
      </c>
      <c r="M112" s="36">
        <v>9.8087881833991544E-2</v>
      </c>
      <c r="N112" s="36">
        <v>0.2158245634626165</v>
      </c>
    </row>
    <row r="113" spans="2:14" ht="15" customHeight="1" x14ac:dyDescent="0.25">
      <c r="B113" s="42" t="s">
        <v>236</v>
      </c>
      <c r="C113" s="43" t="s">
        <v>237</v>
      </c>
      <c r="E113" s="34" t="s">
        <v>237</v>
      </c>
      <c r="F113" s="33">
        <v>37653</v>
      </c>
      <c r="G113" s="33">
        <v>41306</v>
      </c>
      <c r="H113" s="38">
        <v>41426</v>
      </c>
      <c r="I113" s="38">
        <v>41365</v>
      </c>
      <c r="J113" s="36">
        <v>0.14906603183109768</v>
      </c>
      <c r="K113" s="36">
        <v>0.13166756306780081</v>
      </c>
      <c r="L113" s="36">
        <v>1.3519102390938221E-2</v>
      </c>
      <c r="M113" s="36">
        <v>5.9198151635250086E-2</v>
      </c>
      <c r="N113" s="36">
        <v>0.22837034632831588</v>
      </c>
    </row>
    <row r="114" spans="2:14" ht="15" customHeight="1" x14ac:dyDescent="0.25">
      <c r="B114" s="42" t="s">
        <v>238</v>
      </c>
      <c r="C114" s="43" t="s">
        <v>239</v>
      </c>
      <c r="E114" s="34" t="s">
        <v>239</v>
      </c>
      <c r="F114" s="33">
        <v>37653</v>
      </c>
      <c r="G114" s="33">
        <v>41306</v>
      </c>
      <c r="H114" s="38">
        <v>41487</v>
      </c>
      <c r="I114" s="38">
        <v>41456</v>
      </c>
      <c r="J114" s="36">
        <v>0.14867439087815026</v>
      </c>
      <c r="K114" s="36">
        <v>0.15056170823165616</v>
      </c>
      <c r="L114" s="36">
        <v>1.433379943809941E-2</v>
      </c>
      <c r="M114" s="36">
        <v>7.1520365616604326E-2</v>
      </c>
      <c r="N114" s="36">
        <v>0.2004156342675581</v>
      </c>
    </row>
    <row r="115" spans="2:14" ht="15" customHeight="1" x14ac:dyDescent="0.25">
      <c r="B115" s="42" t="s">
        <v>240</v>
      </c>
      <c r="C115" s="43" t="s">
        <v>241</v>
      </c>
      <c r="E115" s="34" t="s">
        <v>241</v>
      </c>
      <c r="F115" s="33">
        <v>37653</v>
      </c>
      <c r="G115" s="33">
        <v>41306</v>
      </c>
      <c r="H115" s="38">
        <v>41487</v>
      </c>
      <c r="I115" s="38">
        <v>41426</v>
      </c>
      <c r="J115" s="36">
        <v>0.14898799224952941</v>
      </c>
      <c r="K115" s="36">
        <v>0.1481637916496803</v>
      </c>
      <c r="L115" s="36">
        <v>1.2956459392889448E-2</v>
      </c>
      <c r="M115" s="36">
        <v>4.9794176587164903E-2</v>
      </c>
      <c r="N115" s="36">
        <v>0.26020029410887263</v>
      </c>
    </row>
    <row r="116" spans="2:14" ht="15" customHeight="1" x14ac:dyDescent="0.25">
      <c r="B116" s="42" t="s">
        <v>242</v>
      </c>
      <c r="C116" s="43" t="s">
        <v>243</v>
      </c>
      <c r="E116" s="34" t="s">
        <v>243</v>
      </c>
      <c r="F116" s="33">
        <v>39234</v>
      </c>
      <c r="G116" s="33">
        <v>41306</v>
      </c>
      <c r="H116" s="38">
        <v>41579</v>
      </c>
      <c r="I116" s="38">
        <v>41518</v>
      </c>
      <c r="J116" s="36">
        <v>0.14112299474595513</v>
      </c>
      <c r="K116" s="36">
        <v>8.4194320514150434E-2</v>
      </c>
      <c r="L116" s="36">
        <v>1.2888024155526798E-2</v>
      </c>
      <c r="M116" s="36">
        <v>5.7303329894583283E-2</v>
      </c>
      <c r="N116" s="36">
        <v>0.22490881732764828</v>
      </c>
    </row>
    <row r="117" spans="2:14" ht="15" customHeight="1" x14ac:dyDescent="0.25">
      <c r="B117" s="42" t="s">
        <v>244</v>
      </c>
      <c r="C117" s="43" t="s">
        <v>245</v>
      </c>
      <c r="E117" s="34" t="s">
        <v>245</v>
      </c>
      <c r="F117" s="33">
        <v>37653</v>
      </c>
      <c r="G117" s="33">
        <v>41306</v>
      </c>
      <c r="H117" s="38">
        <v>41334</v>
      </c>
      <c r="I117" s="38">
        <v>41609</v>
      </c>
      <c r="J117" s="36">
        <v>8.6265254250029955E-2</v>
      </c>
      <c r="K117" s="36">
        <v>8.8259008002826711E-2</v>
      </c>
      <c r="L117" s="36">
        <v>7.6981383915349652E-3</v>
      </c>
      <c r="M117" s="36">
        <v>3.799889411560612E-2</v>
      </c>
      <c r="N117" s="36">
        <v>0.20258848502576143</v>
      </c>
    </row>
    <row r="118" spans="2:14" ht="15" customHeight="1" x14ac:dyDescent="0.25">
      <c r="B118" s="42" t="s">
        <v>246</v>
      </c>
      <c r="C118" s="43" t="s">
        <v>247</v>
      </c>
      <c r="E118" s="34" t="s">
        <v>247</v>
      </c>
      <c r="F118" s="33">
        <v>37653</v>
      </c>
      <c r="G118" s="33">
        <v>41306</v>
      </c>
      <c r="H118" s="38">
        <v>41548</v>
      </c>
      <c r="I118" s="38">
        <v>41395</v>
      </c>
      <c r="J118" s="36">
        <v>0.16006591919824631</v>
      </c>
      <c r="K118" s="36">
        <v>0.12200622185860399</v>
      </c>
      <c r="L118" s="36">
        <v>1.4798500629597415E-2</v>
      </c>
      <c r="M118" s="36">
        <v>6.955212447644063E-2</v>
      </c>
      <c r="N118" s="36">
        <v>0.21276849184686095</v>
      </c>
    </row>
    <row r="119" spans="2:14" ht="15" customHeight="1" x14ac:dyDescent="0.25">
      <c r="B119" s="42" t="s">
        <v>248</v>
      </c>
      <c r="C119" s="43" t="s">
        <v>249</v>
      </c>
      <c r="E119" s="34" t="s">
        <v>249</v>
      </c>
      <c r="F119" s="33">
        <v>38139</v>
      </c>
      <c r="G119" s="33">
        <v>41306</v>
      </c>
      <c r="H119" s="38">
        <v>41456</v>
      </c>
      <c r="I119" s="38">
        <v>41395</v>
      </c>
      <c r="J119" s="36">
        <v>0.37705230805584411</v>
      </c>
      <c r="K119" s="36">
        <v>0.31381384446759042</v>
      </c>
      <c r="L119" s="36">
        <v>3.5193028024021945E-2</v>
      </c>
      <c r="M119" s="36">
        <v>0.12756613597210403</v>
      </c>
      <c r="N119" s="36">
        <v>0.27588064619059954</v>
      </c>
    </row>
    <row r="120" spans="2:14" ht="15" customHeight="1" x14ac:dyDescent="0.25">
      <c r="B120" s="42" t="s">
        <v>250</v>
      </c>
      <c r="C120" s="43" t="s">
        <v>251</v>
      </c>
      <c r="E120" s="34" t="s">
        <v>251</v>
      </c>
      <c r="F120" s="33">
        <v>37653</v>
      </c>
      <c r="G120" s="33">
        <v>41306</v>
      </c>
      <c r="H120" s="38">
        <v>41426</v>
      </c>
      <c r="I120" s="38">
        <v>41609</v>
      </c>
      <c r="J120" s="36">
        <v>5.2142059292320964E-2</v>
      </c>
      <c r="K120" s="36">
        <v>3.76005098770964E-2</v>
      </c>
      <c r="L120" s="36">
        <v>6.8553894486526835E-3</v>
      </c>
      <c r="M120" s="36">
        <v>7.2379861638708964E-2</v>
      </c>
      <c r="N120" s="36">
        <v>9.4714044672702183E-2</v>
      </c>
    </row>
    <row r="121" spans="2:14" ht="15" customHeight="1" x14ac:dyDescent="0.25">
      <c r="B121" s="42" t="s">
        <v>252</v>
      </c>
      <c r="C121" s="43" t="s">
        <v>253</v>
      </c>
      <c r="E121" s="34" t="s">
        <v>253</v>
      </c>
      <c r="F121" s="33">
        <v>37653</v>
      </c>
      <c r="G121" s="33">
        <v>41306</v>
      </c>
      <c r="H121" s="38">
        <v>41426</v>
      </c>
      <c r="I121" s="38">
        <v>41365</v>
      </c>
      <c r="J121" s="36">
        <v>7.187442572059588E-2</v>
      </c>
      <c r="K121" s="36">
        <v>4.4257709535160616E-2</v>
      </c>
      <c r="L121" s="36">
        <v>8.5474715950330134E-3</v>
      </c>
      <c r="M121" s="36">
        <v>7.376646656246133E-2</v>
      </c>
      <c r="N121" s="36">
        <v>0.11587204855197301</v>
      </c>
    </row>
    <row r="122" spans="2:14" ht="15" customHeight="1" x14ac:dyDescent="0.25">
      <c r="B122" s="42" t="s">
        <v>254</v>
      </c>
      <c r="C122" s="43" t="s">
        <v>255</v>
      </c>
      <c r="E122" s="34" t="s">
        <v>255</v>
      </c>
      <c r="F122" s="33">
        <v>37653</v>
      </c>
      <c r="G122" s="33">
        <v>41306</v>
      </c>
      <c r="H122" s="38">
        <v>41518</v>
      </c>
      <c r="I122" s="38">
        <v>41456</v>
      </c>
      <c r="J122" s="36">
        <v>0.22689029261752025</v>
      </c>
      <c r="K122" s="36">
        <v>0.18936251785663005</v>
      </c>
      <c r="L122" s="36">
        <v>1.9563216136612403E-2</v>
      </c>
      <c r="M122" s="36">
        <v>6.6676633531157339E-2</v>
      </c>
      <c r="N122" s="36">
        <v>0.29340437722415458</v>
      </c>
    </row>
    <row r="123" spans="2:14" ht="15" customHeight="1" x14ac:dyDescent="0.25">
      <c r="B123" s="42" t="s">
        <v>256</v>
      </c>
      <c r="C123" s="43" t="s">
        <v>257</v>
      </c>
      <c r="E123" s="34" t="s">
        <v>257</v>
      </c>
      <c r="F123" s="33">
        <v>37653</v>
      </c>
      <c r="G123" s="33">
        <v>41306</v>
      </c>
      <c r="H123" s="38">
        <v>41426</v>
      </c>
      <c r="I123" s="38">
        <v>41365</v>
      </c>
      <c r="J123" s="36">
        <v>5.8536296104318541E-2</v>
      </c>
      <c r="K123" s="36">
        <v>3.7557235538806744E-2</v>
      </c>
      <c r="L123" s="36">
        <v>6.7756409602406269E-3</v>
      </c>
      <c r="M123" s="36">
        <v>6.3331743588426984E-2</v>
      </c>
      <c r="N123" s="36">
        <v>0.10698649012844774</v>
      </c>
    </row>
    <row r="124" spans="2:14" ht="15" customHeight="1" x14ac:dyDescent="0.25">
      <c r="B124" s="42" t="s">
        <v>258</v>
      </c>
      <c r="C124" s="43" t="s">
        <v>259</v>
      </c>
      <c r="E124" s="34" t="s">
        <v>259</v>
      </c>
      <c r="F124" s="33">
        <v>37653</v>
      </c>
      <c r="G124" s="33">
        <v>41306</v>
      </c>
      <c r="H124" s="38">
        <v>41275</v>
      </c>
      <c r="I124" s="38">
        <v>41609</v>
      </c>
      <c r="J124" s="36">
        <v>0.11862623207879097</v>
      </c>
      <c r="K124" s="36">
        <v>8.4921067834548669E-2</v>
      </c>
      <c r="L124" s="36">
        <v>1.0982545287056783E-2</v>
      </c>
      <c r="M124" s="36">
        <v>5.3295967042056712E-2</v>
      </c>
      <c r="N124" s="36">
        <v>0.20606709844274479</v>
      </c>
    </row>
    <row r="125" spans="2:14" ht="15" customHeight="1" x14ac:dyDescent="0.25">
      <c r="B125" s="42" t="s">
        <v>260</v>
      </c>
      <c r="C125" s="43" t="s">
        <v>261</v>
      </c>
      <c r="E125" s="34" t="s">
        <v>261</v>
      </c>
      <c r="F125" s="33">
        <v>37653</v>
      </c>
      <c r="G125" s="33">
        <v>41306</v>
      </c>
      <c r="H125" s="38">
        <v>41395</v>
      </c>
      <c r="I125" s="38">
        <v>41365</v>
      </c>
      <c r="J125" s="36">
        <v>0.34097942112394519</v>
      </c>
      <c r="K125" s="36">
        <v>0.29449966824464946</v>
      </c>
      <c r="L125" s="36">
        <v>2.8866270659805938E-2</v>
      </c>
      <c r="M125" s="36">
        <v>8.868503221267092E-2</v>
      </c>
      <c r="N125" s="36">
        <v>0.32549202429766561</v>
      </c>
    </row>
    <row r="126" spans="2:14" ht="15" customHeight="1" x14ac:dyDescent="0.25">
      <c r="B126" s="42" t="s">
        <v>262</v>
      </c>
      <c r="C126" s="43" t="s">
        <v>263</v>
      </c>
      <c r="E126" s="34" t="s">
        <v>263</v>
      </c>
      <c r="F126" s="33">
        <v>37653</v>
      </c>
      <c r="G126" s="33">
        <v>41306</v>
      </c>
      <c r="H126" s="38">
        <v>41456</v>
      </c>
      <c r="I126" s="38">
        <v>41395</v>
      </c>
      <c r="J126" s="36">
        <v>0.19791157711341745</v>
      </c>
      <c r="K126" s="36">
        <v>0.19775935228125285</v>
      </c>
      <c r="L126" s="36">
        <v>1.9507514581195595E-2</v>
      </c>
      <c r="M126" s="36">
        <v>9.355692770935907E-2</v>
      </c>
      <c r="N126" s="36">
        <v>0.20850956801186343</v>
      </c>
    </row>
    <row r="127" spans="2:14" ht="15" customHeight="1" x14ac:dyDescent="0.25">
      <c r="B127" s="42" t="s">
        <v>264</v>
      </c>
      <c r="C127" s="43" t="s">
        <v>265</v>
      </c>
      <c r="E127" s="34" t="s">
        <v>265</v>
      </c>
      <c r="F127" s="33">
        <v>37653</v>
      </c>
      <c r="G127" s="33">
        <v>41306</v>
      </c>
      <c r="H127" s="38">
        <v>41579</v>
      </c>
      <c r="I127" s="38">
        <v>41487</v>
      </c>
      <c r="J127" s="36">
        <v>0.16980108083615519</v>
      </c>
      <c r="K127" s="36">
        <v>9.1908996682634081E-2</v>
      </c>
      <c r="L127" s="36">
        <v>1.7170626808272964E-2</v>
      </c>
      <c r="M127" s="36">
        <v>8.9455821181017484E-2</v>
      </c>
      <c r="N127" s="36">
        <v>0.19194532654870503</v>
      </c>
    </row>
    <row r="128" spans="2:14" ht="15" customHeight="1" x14ac:dyDescent="0.25">
      <c r="B128" s="42" t="s">
        <v>266</v>
      </c>
      <c r="C128" s="43" t="s">
        <v>267</v>
      </c>
      <c r="E128" s="34" t="s">
        <v>267</v>
      </c>
      <c r="F128" s="33">
        <v>37653</v>
      </c>
      <c r="G128" s="33">
        <v>41306</v>
      </c>
      <c r="H128" s="38">
        <v>41548</v>
      </c>
      <c r="I128" s="38">
        <v>41487</v>
      </c>
      <c r="J128" s="36">
        <v>0.19679926118447089</v>
      </c>
      <c r="K128" s="36">
        <v>0.13853617738551782</v>
      </c>
      <c r="L128" s="36">
        <v>1.8835148347887389E-2</v>
      </c>
      <c r="M128" s="36">
        <v>8.3688704346906242E-2</v>
      </c>
      <c r="N128" s="36">
        <v>0.22506201398234069</v>
      </c>
    </row>
    <row r="129" spans="2:14" ht="15" customHeight="1" x14ac:dyDescent="0.25">
      <c r="B129" s="42" t="s">
        <v>268</v>
      </c>
      <c r="C129" s="43" t="s">
        <v>269</v>
      </c>
      <c r="E129" s="34" t="s">
        <v>269</v>
      </c>
      <c r="F129" s="33">
        <v>37653</v>
      </c>
      <c r="G129" s="33">
        <v>41306</v>
      </c>
      <c r="H129" s="38">
        <v>41426</v>
      </c>
      <c r="I129" s="38">
        <v>41395</v>
      </c>
      <c r="J129" s="36">
        <v>0.1549860631487836</v>
      </c>
      <c r="K129" s="36">
        <v>0.16179457120508323</v>
      </c>
      <c r="L129" s="36">
        <v>1.384897320216525E-2</v>
      </c>
      <c r="M129" s="36">
        <v>5.7960306174352806E-2</v>
      </c>
      <c r="N129" s="36">
        <v>0.23893892417520327</v>
      </c>
    </row>
    <row r="130" spans="2:14" ht="15" customHeight="1" x14ac:dyDescent="0.25">
      <c r="B130" s="42" t="s">
        <v>270</v>
      </c>
      <c r="C130" s="43" t="s">
        <v>271</v>
      </c>
      <c r="E130" s="34" t="s">
        <v>271</v>
      </c>
      <c r="F130" s="33">
        <v>37653</v>
      </c>
      <c r="G130" s="33">
        <v>41306</v>
      </c>
      <c r="H130" s="38">
        <v>41395</v>
      </c>
      <c r="I130" s="38">
        <v>41365</v>
      </c>
      <c r="J130" s="36">
        <v>0.1671980088579903</v>
      </c>
      <c r="K130" s="36">
        <v>0.17325907009533092</v>
      </c>
      <c r="L130" s="36">
        <v>1.4595932266319616E-2</v>
      </c>
      <c r="M130" s="36">
        <v>5.5224120557161242E-2</v>
      </c>
      <c r="N130" s="36">
        <v>0.26430357095884754</v>
      </c>
    </row>
    <row r="131" spans="2:14" ht="15" customHeight="1" x14ac:dyDescent="0.25">
      <c r="B131" s="42" t="s">
        <v>272</v>
      </c>
      <c r="C131" s="43" t="s">
        <v>273</v>
      </c>
      <c r="E131" s="34" t="s">
        <v>273</v>
      </c>
      <c r="F131" s="33">
        <v>37653</v>
      </c>
      <c r="G131" s="33">
        <v>41306</v>
      </c>
      <c r="H131" s="38">
        <v>41334</v>
      </c>
      <c r="I131" s="38">
        <v>41609</v>
      </c>
      <c r="J131" s="36">
        <v>0.11614960075394221</v>
      </c>
      <c r="K131" s="36">
        <v>0.113961856701148</v>
      </c>
      <c r="L131" s="36">
        <v>9.9632227163069503E-3</v>
      </c>
      <c r="M131" s="36">
        <v>3.6930776140961727E-2</v>
      </c>
      <c r="N131" s="36">
        <v>0.26978102702954715</v>
      </c>
    </row>
    <row r="132" spans="2:14" ht="15" customHeight="1" x14ac:dyDescent="0.25">
      <c r="B132" s="42" t="s">
        <v>274</v>
      </c>
      <c r="C132" s="43" t="s">
        <v>275</v>
      </c>
      <c r="E132" s="34" t="s">
        <v>275</v>
      </c>
      <c r="F132" s="33">
        <v>37653</v>
      </c>
      <c r="G132" s="33">
        <v>41306</v>
      </c>
      <c r="H132" s="38">
        <v>41426</v>
      </c>
      <c r="I132" s="38">
        <v>41365</v>
      </c>
      <c r="J132" s="36">
        <v>9.9777005369586336E-2</v>
      </c>
      <c r="K132" s="36">
        <v>6.449222700597268E-2</v>
      </c>
      <c r="L132" s="36">
        <v>1.0471691081005288E-2</v>
      </c>
      <c r="M132" s="36">
        <v>7.0073532011128495E-2</v>
      </c>
      <c r="N132" s="36">
        <v>0.14943860799456007</v>
      </c>
    </row>
    <row r="133" spans="2:14" ht="15" customHeight="1" x14ac:dyDescent="0.25">
      <c r="B133" s="42" t="s">
        <v>276</v>
      </c>
      <c r="C133" s="43" t="s">
        <v>277</v>
      </c>
      <c r="E133" s="34" t="s">
        <v>277</v>
      </c>
      <c r="F133" s="33">
        <v>37653</v>
      </c>
      <c r="G133" s="33">
        <v>41306</v>
      </c>
      <c r="H133" s="38">
        <v>41518</v>
      </c>
      <c r="I133" s="38">
        <v>41365</v>
      </c>
      <c r="J133" s="36">
        <v>0.20961138110501443</v>
      </c>
      <c r="K133" s="36">
        <v>0.18522053141027905</v>
      </c>
      <c r="L133" s="36">
        <v>1.8325458772713975E-2</v>
      </c>
      <c r="M133" s="36">
        <v>6.7186237524816242E-2</v>
      </c>
      <c r="N133" s="36">
        <v>0.27275613946896776</v>
      </c>
    </row>
    <row r="134" spans="2:14" ht="15" customHeight="1" x14ac:dyDescent="0.25">
      <c r="B134" s="42" t="s">
        <v>278</v>
      </c>
      <c r="C134" s="43" t="s">
        <v>279</v>
      </c>
      <c r="E134" s="34" t="s">
        <v>279</v>
      </c>
      <c r="F134" s="33">
        <v>37653</v>
      </c>
      <c r="G134" s="33">
        <v>41306</v>
      </c>
      <c r="H134" s="38">
        <v>41334</v>
      </c>
      <c r="I134" s="38">
        <v>41456</v>
      </c>
      <c r="J134" s="36">
        <v>3.9550561922291561E-2</v>
      </c>
      <c r="K134" s="36">
        <v>-6.3915825574044405E-2</v>
      </c>
      <c r="L134" s="36">
        <v>4.8509683031819637E-3</v>
      </c>
      <c r="M134" s="36">
        <v>5.6437449388201E-2</v>
      </c>
      <c r="N134" s="36">
        <v>8.5953003825791657E-2</v>
      </c>
    </row>
    <row r="135" spans="2:14" ht="15" customHeight="1" x14ac:dyDescent="0.25">
      <c r="B135" s="42" t="s">
        <v>280</v>
      </c>
      <c r="C135" s="43" t="s">
        <v>281</v>
      </c>
      <c r="E135" s="34" t="s">
        <v>281</v>
      </c>
      <c r="F135" s="33">
        <v>37653</v>
      </c>
      <c r="G135" s="33">
        <v>41306</v>
      </c>
      <c r="H135" s="38">
        <v>41579</v>
      </c>
      <c r="I135" s="38">
        <v>41365</v>
      </c>
      <c r="J135" s="36">
        <v>0.13914275118980735</v>
      </c>
      <c r="K135" s="36">
        <v>1.2142243208665304E-2</v>
      </c>
      <c r="L135" s="36">
        <v>1.2696364372602301E-2</v>
      </c>
      <c r="M135" s="36">
        <v>5.8760099194335932E-2</v>
      </c>
      <c r="N135" s="36">
        <v>0.21607118685439766</v>
      </c>
    </row>
    <row r="136" spans="2:14" ht="15" customHeight="1" x14ac:dyDescent="0.25">
      <c r="B136" s="42" t="s">
        <v>282</v>
      </c>
      <c r="C136" s="43" t="s">
        <v>283</v>
      </c>
      <c r="E136" s="34" t="s">
        <v>283</v>
      </c>
      <c r="F136" s="33">
        <v>39234</v>
      </c>
      <c r="G136" s="33">
        <v>41306</v>
      </c>
      <c r="H136" s="38">
        <v>41306</v>
      </c>
      <c r="I136" s="38">
        <v>41518</v>
      </c>
      <c r="J136" s="36">
        <v>0.30246388075575781</v>
      </c>
      <c r="K136" s="36">
        <v>6.6674438067671149E-2</v>
      </c>
      <c r="L136" s="36">
        <v>2.5629830056551516E-2</v>
      </c>
      <c r="M136" s="36">
        <v>7.8807656190937145E-2</v>
      </c>
      <c r="N136" s="36">
        <v>0.32522005215400557</v>
      </c>
    </row>
    <row r="137" spans="2:14" ht="15" customHeight="1" x14ac:dyDescent="0.25">
      <c r="B137" s="42" t="s">
        <v>284</v>
      </c>
      <c r="C137" s="43" t="s">
        <v>285</v>
      </c>
      <c r="E137" s="34" t="s">
        <v>285</v>
      </c>
      <c r="F137" s="33">
        <v>37653</v>
      </c>
      <c r="G137" s="33">
        <v>41306</v>
      </c>
      <c r="H137" s="38">
        <v>41548</v>
      </c>
      <c r="I137" s="38">
        <v>41518</v>
      </c>
      <c r="J137" s="36">
        <v>0.1053612045632708</v>
      </c>
      <c r="K137" s="36">
        <v>8.9648638452304752E-2</v>
      </c>
      <c r="L137" s="36">
        <v>9.5325078650296737E-3</v>
      </c>
      <c r="M137" s="36">
        <v>4.7085002768827544E-2</v>
      </c>
      <c r="N137" s="36">
        <v>0.20245316564663421</v>
      </c>
    </row>
    <row r="138" spans="2:14" ht="15" customHeight="1" x14ac:dyDescent="0.25">
      <c r="B138" s="42" t="s">
        <v>286</v>
      </c>
      <c r="C138" s="43" t="s">
        <v>287</v>
      </c>
      <c r="E138" s="34" t="s">
        <v>287</v>
      </c>
      <c r="F138" s="33">
        <v>37653</v>
      </c>
      <c r="G138" s="33">
        <v>41306</v>
      </c>
      <c r="H138" s="38">
        <v>41548</v>
      </c>
      <c r="I138" s="38">
        <v>41365</v>
      </c>
      <c r="J138" s="36">
        <v>0.23309752887393143</v>
      </c>
      <c r="K138" s="36">
        <v>0.11558499112909604</v>
      </c>
      <c r="L138" s="36">
        <v>2.1109613361642333E-2</v>
      </c>
      <c r="M138" s="36">
        <v>8.5411944201977161E-2</v>
      </c>
      <c r="N138" s="36">
        <v>0.24715060122883464</v>
      </c>
    </row>
    <row r="139" spans="2:14" ht="15" customHeight="1" x14ac:dyDescent="0.25">
      <c r="B139" s="42" t="s">
        <v>288</v>
      </c>
      <c r="C139" s="43" t="s">
        <v>289</v>
      </c>
      <c r="E139" s="34" t="s">
        <v>289</v>
      </c>
      <c r="F139" s="33">
        <v>37653</v>
      </c>
      <c r="G139" s="33">
        <v>41306</v>
      </c>
      <c r="H139" s="38">
        <v>41426</v>
      </c>
      <c r="I139" s="38">
        <v>41395</v>
      </c>
      <c r="J139" s="36">
        <v>0.13603097382322682</v>
      </c>
      <c r="K139" s="36">
        <v>0.14087452133113976</v>
      </c>
      <c r="L139" s="36">
        <v>1.2117295532218219E-2</v>
      </c>
      <c r="M139" s="36">
        <v>5.1704401340211634E-2</v>
      </c>
      <c r="N139" s="36">
        <v>0.23435713823446469</v>
      </c>
    </row>
    <row r="140" spans="2:14" ht="15" customHeight="1" x14ac:dyDescent="0.25">
      <c r="B140" s="42" t="s">
        <v>290</v>
      </c>
      <c r="C140" s="43" t="s">
        <v>291</v>
      </c>
      <c r="E140" s="34" t="s">
        <v>291</v>
      </c>
      <c r="F140" s="33">
        <v>37653</v>
      </c>
      <c r="G140" s="33">
        <v>41306</v>
      </c>
      <c r="H140" s="38">
        <v>41518</v>
      </c>
      <c r="I140" s="38">
        <v>41395</v>
      </c>
      <c r="J140" s="36">
        <v>0.15600270718002274</v>
      </c>
      <c r="K140" s="36">
        <v>0.13705726493892412</v>
      </c>
      <c r="L140" s="36">
        <v>1.3819475210605366E-2</v>
      </c>
      <c r="M140" s="36">
        <v>5.5987013935328421E-2</v>
      </c>
      <c r="N140" s="36">
        <v>0.24683358227621291</v>
      </c>
    </row>
    <row r="141" spans="2:14" ht="15" customHeight="1" x14ac:dyDescent="0.25">
      <c r="B141" s="42" t="s">
        <v>292</v>
      </c>
      <c r="C141" s="43" t="s">
        <v>293</v>
      </c>
      <c r="E141" s="34" t="s">
        <v>293</v>
      </c>
      <c r="F141" s="33">
        <v>38534</v>
      </c>
      <c r="G141" s="33">
        <v>41306</v>
      </c>
      <c r="H141" s="38">
        <v>41456</v>
      </c>
      <c r="I141" s="38">
        <v>41395</v>
      </c>
      <c r="J141" s="36">
        <v>0.27995543957410218</v>
      </c>
      <c r="K141" s="36">
        <v>0.23122729186797741</v>
      </c>
      <c r="L141" s="36">
        <v>2.391208902866308E-2</v>
      </c>
      <c r="M141" s="36">
        <v>7.5631206028818343E-2</v>
      </c>
      <c r="N141" s="36">
        <v>0.31616696710550501</v>
      </c>
    </row>
    <row r="142" spans="2:14" ht="15" customHeight="1" x14ac:dyDescent="0.25">
      <c r="B142" s="42" t="s">
        <v>294</v>
      </c>
      <c r="C142" s="43" t="s">
        <v>295</v>
      </c>
      <c r="E142" s="34" t="s">
        <v>295</v>
      </c>
      <c r="F142" s="33">
        <v>37653</v>
      </c>
      <c r="G142" s="33">
        <v>41306</v>
      </c>
      <c r="H142" s="38">
        <v>41487</v>
      </c>
      <c r="I142" s="38">
        <v>41365</v>
      </c>
      <c r="J142" s="36">
        <v>0.105318500923689</v>
      </c>
      <c r="K142" s="36">
        <v>9.7330378047055799E-2</v>
      </c>
      <c r="L142" s="36">
        <v>9.4518374133245615E-3</v>
      </c>
      <c r="M142" s="36">
        <v>4.4185247473543042E-2</v>
      </c>
      <c r="N142" s="36">
        <v>0.21391387292747588</v>
      </c>
    </row>
    <row r="143" spans="2:14" ht="15" customHeight="1" x14ac:dyDescent="0.25">
      <c r="B143" s="42" t="s">
        <v>296</v>
      </c>
      <c r="C143" s="43" t="s">
        <v>297</v>
      </c>
      <c r="E143" s="34" t="s">
        <v>297</v>
      </c>
      <c r="F143" s="33">
        <v>37653</v>
      </c>
      <c r="G143" s="33">
        <v>41306</v>
      </c>
      <c r="H143" s="38">
        <v>41579</v>
      </c>
      <c r="I143" s="38">
        <v>41456</v>
      </c>
      <c r="J143" s="36">
        <v>0.30708984606904122</v>
      </c>
      <c r="K143" s="36">
        <v>0.20553959337684824</v>
      </c>
      <c r="L143" s="36">
        <v>2.6365165270175253E-2</v>
      </c>
      <c r="M143" s="36">
        <v>8.6296478444739269E-2</v>
      </c>
      <c r="N143" s="36">
        <v>0.30551843766207015</v>
      </c>
    </row>
    <row r="144" spans="2:14" ht="15" customHeight="1" x14ac:dyDescent="0.25">
      <c r="B144" s="42" t="s">
        <v>298</v>
      </c>
      <c r="C144" s="43" t="s">
        <v>299</v>
      </c>
      <c r="E144" s="34" t="s">
        <v>299</v>
      </c>
      <c r="F144" s="33">
        <v>37653</v>
      </c>
      <c r="G144" s="33">
        <v>41306</v>
      </c>
      <c r="H144" s="38">
        <v>41487</v>
      </c>
      <c r="I144" s="38">
        <v>41456</v>
      </c>
      <c r="J144" s="36">
        <v>0.20577637187659281</v>
      </c>
      <c r="K144" s="36">
        <v>0.18123363330550357</v>
      </c>
      <c r="L144" s="36">
        <v>1.9693125037984101E-2</v>
      </c>
      <c r="M144" s="36">
        <v>8.8261217492398444E-2</v>
      </c>
      <c r="N144" s="36">
        <v>0.22312319722623569</v>
      </c>
    </row>
    <row r="145" spans="2:14" ht="15" customHeight="1" x14ac:dyDescent="0.25">
      <c r="B145" s="42" t="s">
        <v>300</v>
      </c>
      <c r="C145" s="43" t="s">
        <v>301</v>
      </c>
      <c r="E145" s="34" t="s">
        <v>301</v>
      </c>
      <c r="F145" s="33">
        <v>37653</v>
      </c>
      <c r="G145" s="33">
        <v>41306</v>
      </c>
      <c r="H145" s="38">
        <v>41426</v>
      </c>
      <c r="I145" s="38">
        <v>41365</v>
      </c>
      <c r="J145" s="36">
        <v>0.12955177799540873</v>
      </c>
      <c r="K145" s="36">
        <v>0.1274101587701153</v>
      </c>
      <c r="L145" s="36">
        <v>1.2700553697171272E-2</v>
      </c>
      <c r="M145" s="36">
        <v>6.9413055248064931E-2</v>
      </c>
      <c r="N145" s="36">
        <v>0.18297067679534726</v>
      </c>
    </row>
    <row r="146" spans="2:14" ht="15" customHeight="1" x14ac:dyDescent="0.25">
      <c r="B146" s="42" t="s">
        <v>302</v>
      </c>
      <c r="C146" s="43" t="s">
        <v>303</v>
      </c>
      <c r="E146" s="34" t="s">
        <v>303</v>
      </c>
      <c r="F146" s="33">
        <v>37653</v>
      </c>
      <c r="G146" s="33">
        <v>41306</v>
      </c>
      <c r="H146" s="38">
        <v>41426</v>
      </c>
      <c r="I146" s="38">
        <v>41365</v>
      </c>
      <c r="J146" s="36">
        <v>9.9698016923114086E-2</v>
      </c>
      <c r="K146" s="36">
        <v>5.4638487620340515E-2</v>
      </c>
      <c r="L146" s="36">
        <v>1.4791709170472849E-2</v>
      </c>
      <c r="M146" s="36">
        <v>0.12401270038232905</v>
      </c>
      <c r="N146" s="36">
        <v>0.11927576066701444</v>
      </c>
    </row>
    <row r="147" spans="2:14" ht="15" customHeight="1" x14ac:dyDescent="0.25">
      <c r="B147" s="42" t="s">
        <v>304</v>
      </c>
      <c r="C147" s="43" t="s">
        <v>305</v>
      </c>
      <c r="E147" s="34" t="s">
        <v>305</v>
      </c>
      <c r="F147" s="33">
        <v>39569</v>
      </c>
      <c r="G147" s="33">
        <v>41306</v>
      </c>
      <c r="H147" s="38">
        <v>41579</v>
      </c>
      <c r="I147" s="38">
        <v>41518</v>
      </c>
      <c r="J147" s="36">
        <v>0.29236672019657273</v>
      </c>
      <c r="K147" s="36">
        <v>0.15095676146569637</v>
      </c>
      <c r="L147" s="36">
        <v>2.3949527367116558E-2</v>
      </c>
      <c r="M147" s="36">
        <v>6.4376881024083621E-2</v>
      </c>
      <c r="N147" s="36">
        <v>0.37202062271635922</v>
      </c>
    </row>
    <row r="148" spans="2:14" ht="15" customHeight="1" x14ac:dyDescent="0.25">
      <c r="B148" s="42" t="s">
        <v>306</v>
      </c>
      <c r="C148" s="43" t="s">
        <v>307</v>
      </c>
      <c r="E148" s="34" t="s">
        <v>307</v>
      </c>
      <c r="F148" s="33">
        <v>37653</v>
      </c>
      <c r="G148" s="33">
        <v>41306</v>
      </c>
      <c r="H148" s="38">
        <v>41487</v>
      </c>
      <c r="I148" s="38">
        <v>41395</v>
      </c>
      <c r="J148" s="36">
        <v>0.15467928685656362</v>
      </c>
      <c r="K148" s="36">
        <v>0.12293794691394822</v>
      </c>
      <c r="L148" s="36">
        <v>1.5892122732525306E-2</v>
      </c>
      <c r="M148" s="36">
        <v>8.8892946148025176E-2</v>
      </c>
      <c r="N148" s="36">
        <v>0.17877822055826148</v>
      </c>
    </row>
    <row r="149" spans="2:14" ht="15" customHeight="1" x14ac:dyDescent="0.25">
      <c r="B149" s="42" t="s">
        <v>308</v>
      </c>
      <c r="C149" s="43" t="s">
        <v>309</v>
      </c>
      <c r="E149" s="34" t="s">
        <v>309</v>
      </c>
      <c r="F149" s="33">
        <v>37653</v>
      </c>
      <c r="G149" s="33">
        <v>41306</v>
      </c>
      <c r="H149" s="38">
        <v>41306</v>
      </c>
      <c r="I149" s="38">
        <v>41609</v>
      </c>
      <c r="J149" s="36">
        <v>0.12644813120194165</v>
      </c>
      <c r="K149" s="36">
        <v>9.5035275165351152E-2</v>
      </c>
      <c r="L149" s="36">
        <v>1.070802035847339E-2</v>
      </c>
      <c r="M149" s="36">
        <v>3.612659301026358E-2</v>
      </c>
      <c r="N149" s="36">
        <v>0.29640271794883166</v>
      </c>
    </row>
    <row r="150" spans="2:14" ht="15" customHeight="1" x14ac:dyDescent="0.25">
      <c r="B150" s="42" t="s">
        <v>310</v>
      </c>
      <c r="C150" s="43" t="s">
        <v>311</v>
      </c>
      <c r="E150" s="34" t="s">
        <v>311</v>
      </c>
      <c r="F150" s="33">
        <v>37956</v>
      </c>
      <c r="G150" s="33">
        <v>41306</v>
      </c>
      <c r="H150" s="38">
        <v>41275</v>
      </c>
      <c r="I150" s="38">
        <v>41609</v>
      </c>
      <c r="J150" s="36">
        <v>0.15219933311394396</v>
      </c>
      <c r="K150" s="36">
        <v>0.13114058915723681</v>
      </c>
      <c r="L150" s="36">
        <v>1.4155384775203294E-2</v>
      </c>
      <c r="M150" s="36">
        <v>6.6311280705568659E-2</v>
      </c>
      <c r="N150" s="36">
        <v>0.213468728466506</v>
      </c>
    </row>
    <row r="151" spans="2:14" ht="15" customHeight="1" x14ac:dyDescent="0.25">
      <c r="B151" s="42" t="s">
        <v>312</v>
      </c>
      <c r="C151" s="43" t="s">
        <v>313</v>
      </c>
      <c r="E151" s="34" t="s">
        <v>313</v>
      </c>
      <c r="F151" s="33">
        <v>37653</v>
      </c>
      <c r="G151" s="33">
        <v>41306</v>
      </c>
      <c r="H151" s="38">
        <v>41334</v>
      </c>
      <c r="I151" s="38">
        <v>41275</v>
      </c>
      <c r="J151" s="36">
        <v>0.14210906653672994</v>
      </c>
      <c r="K151" s="36">
        <v>0.16680414040878788</v>
      </c>
      <c r="L151" s="36">
        <v>1.2126011550574294E-2</v>
      </c>
      <c r="M151" s="36">
        <v>4.2885891272043897E-2</v>
      </c>
      <c r="N151" s="36">
        <v>0.28275060144264502</v>
      </c>
    </row>
    <row r="152" spans="2:14" ht="15" customHeight="1" x14ac:dyDescent="0.25">
      <c r="B152" s="42" t="s">
        <v>314</v>
      </c>
      <c r="C152" s="43" t="s">
        <v>315</v>
      </c>
      <c r="E152" s="34" t="s">
        <v>315</v>
      </c>
      <c r="F152" s="33">
        <v>37653</v>
      </c>
      <c r="G152" s="33">
        <v>41306</v>
      </c>
      <c r="H152" s="38">
        <v>41487</v>
      </c>
      <c r="I152" s="38">
        <v>41365</v>
      </c>
      <c r="J152" s="36">
        <v>0.19679882007010607</v>
      </c>
      <c r="K152" s="36">
        <v>4.4478279777178553E-2</v>
      </c>
      <c r="L152" s="36">
        <v>1.9365906966960118E-2</v>
      </c>
      <c r="M152" s="36">
        <v>9.4327830944928845E-2</v>
      </c>
      <c r="N152" s="36">
        <v>0.20530427523841252</v>
      </c>
    </row>
    <row r="153" spans="2:14" ht="15" customHeight="1" x14ac:dyDescent="0.25">
      <c r="B153" s="42" t="s">
        <v>316</v>
      </c>
      <c r="C153" s="43" t="s">
        <v>317</v>
      </c>
      <c r="E153" s="34" t="s">
        <v>317</v>
      </c>
      <c r="F153" s="33">
        <v>37653</v>
      </c>
      <c r="G153" s="33">
        <v>41306</v>
      </c>
      <c r="H153" s="38">
        <v>41395</v>
      </c>
      <c r="I153" s="38">
        <v>41365</v>
      </c>
      <c r="J153" s="36">
        <v>0.2368476273243505</v>
      </c>
      <c r="K153" s="36">
        <v>0.23556828912012207</v>
      </c>
      <c r="L153" s="36">
        <v>1.9834068290114155E-2</v>
      </c>
      <c r="M153" s="36">
        <v>6.0967808569116509E-2</v>
      </c>
      <c r="N153" s="36">
        <v>0.32532034126877218</v>
      </c>
    </row>
    <row r="154" spans="2:14" ht="15" customHeight="1" x14ac:dyDescent="0.25">
      <c r="B154" s="42" t="s">
        <v>318</v>
      </c>
      <c r="C154" s="43" t="s">
        <v>319</v>
      </c>
      <c r="E154" s="34" t="s">
        <v>319</v>
      </c>
      <c r="F154" s="33">
        <v>37653</v>
      </c>
      <c r="G154" s="33">
        <v>41306</v>
      </c>
      <c r="H154" s="38">
        <v>41487</v>
      </c>
      <c r="I154" s="38">
        <v>41456</v>
      </c>
      <c r="J154" s="36">
        <v>0.10214158577835075</v>
      </c>
      <c r="K154" s="36">
        <v>9.9961947216903324E-2</v>
      </c>
      <c r="L154" s="36">
        <v>1.1754240458101438E-2</v>
      </c>
      <c r="M154" s="36">
        <v>8.330127822912696E-2</v>
      </c>
      <c r="N154" s="36">
        <v>0.14110516318573696</v>
      </c>
    </row>
    <row r="155" spans="2:14" ht="15" customHeight="1" x14ac:dyDescent="0.25">
      <c r="B155" s="42" t="s">
        <v>320</v>
      </c>
      <c r="C155" s="43" t="s">
        <v>321</v>
      </c>
      <c r="E155" s="34" t="s">
        <v>321</v>
      </c>
      <c r="F155" s="33">
        <v>37653</v>
      </c>
      <c r="G155" s="33">
        <v>41306</v>
      </c>
      <c r="H155" s="38">
        <v>41426</v>
      </c>
      <c r="I155" s="38">
        <v>41365</v>
      </c>
      <c r="J155" s="36">
        <v>0.12109142842568699</v>
      </c>
      <c r="K155" s="36">
        <v>0.11208276904989956</v>
      </c>
      <c r="L155" s="36">
        <v>1.4383131737110335E-2</v>
      </c>
      <c r="M155" s="36">
        <v>9.6390847103759933E-2</v>
      </c>
      <c r="N155" s="36">
        <v>0.14921677907475606</v>
      </c>
    </row>
    <row r="156" spans="2:14" ht="15" customHeight="1" x14ac:dyDescent="0.25">
      <c r="B156" s="42" t="s">
        <v>322</v>
      </c>
      <c r="C156" s="43" t="s">
        <v>323</v>
      </c>
      <c r="E156" s="34" t="s">
        <v>323</v>
      </c>
      <c r="F156" s="33">
        <v>37653</v>
      </c>
      <c r="G156" s="33">
        <v>41306</v>
      </c>
      <c r="H156" s="38">
        <v>41306</v>
      </c>
      <c r="I156" s="38">
        <v>41609</v>
      </c>
      <c r="J156" s="36">
        <v>0.15980675508365372</v>
      </c>
      <c r="K156" s="36">
        <v>0.12902005590206156</v>
      </c>
      <c r="L156" s="36">
        <v>1.3707049831357294E-2</v>
      </c>
      <c r="M156" s="36">
        <v>4.7825015790168145E-2</v>
      </c>
      <c r="N156" s="36">
        <v>0.28660837021982094</v>
      </c>
    </row>
    <row r="157" spans="2:14" ht="15" customHeight="1" x14ac:dyDescent="0.25">
      <c r="B157" s="42" t="s">
        <v>324</v>
      </c>
      <c r="C157" s="43" t="s">
        <v>325</v>
      </c>
      <c r="E157" s="34" t="s">
        <v>325</v>
      </c>
      <c r="F157" s="33">
        <v>37653</v>
      </c>
      <c r="G157" s="33">
        <v>41306</v>
      </c>
      <c r="H157" s="38">
        <v>41334</v>
      </c>
      <c r="I157" s="38">
        <v>41609</v>
      </c>
      <c r="J157" s="36">
        <v>0.10537779838667549</v>
      </c>
      <c r="K157" s="36">
        <v>9.0826719780305432E-2</v>
      </c>
      <c r="L157" s="36">
        <v>8.9929872332442616E-3</v>
      </c>
      <c r="M157" s="36">
        <v>3.2904033974304699E-2</v>
      </c>
      <c r="N157" s="36">
        <v>0.27330956563766723</v>
      </c>
    </row>
    <row r="158" spans="2:14" ht="15" customHeight="1" x14ac:dyDescent="0.25">
      <c r="B158" s="42" t="s">
        <v>326</v>
      </c>
      <c r="C158" s="43" t="s">
        <v>327</v>
      </c>
      <c r="E158" s="34" t="s">
        <v>327</v>
      </c>
      <c r="F158" s="33">
        <v>37653</v>
      </c>
      <c r="G158" s="33">
        <v>41306</v>
      </c>
      <c r="H158" s="38">
        <v>41487</v>
      </c>
      <c r="I158" s="38">
        <v>41365</v>
      </c>
      <c r="J158" s="36">
        <v>0.17777212962655997</v>
      </c>
      <c r="K158" s="36">
        <v>0.12679156830976779</v>
      </c>
      <c r="L158" s="36">
        <v>1.5311220121316345E-2</v>
      </c>
      <c r="M158" s="36">
        <v>5.3998048896097869E-2</v>
      </c>
      <c r="N158" s="36">
        <v>0.28355135850885899</v>
      </c>
    </row>
    <row r="159" spans="2:14" ht="15" customHeight="1" x14ac:dyDescent="0.25">
      <c r="B159" s="42" t="s">
        <v>328</v>
      </c>
      <c r="C159" s="43" t="s">
        <v>329</v>
      </c>
      <c r="E159" s="34" t="s">
        <v>329</v>
      </c>
      <c r="F159" s="33">
        <v>37653</v>
      </c>
      <c r="G159" s="33">
        <v>41306</v>
      </c>
      <c r="H159" s="38">
        <v>41334</v>
      </c>
      <c r="I159" s="38">
        <v>41609</v>
      </c>
      <c r="J159" s="36">
        <v>0.15254772453291854</v>
      </c>
      <c r="K159" s="36">
        <v>0.17684213663855131</v>
      </c>
      <c r="L159" s="36">
        <v>1.3006562421471139E-2</v>
      </c>
      <c r="M159" s="36">
        <v>4.5239390276703283E-2</v>
      </c>
      <c r="N159" s="36">
        <v>0.28750525464462473</v>
      </c>
    </row>
    <row r="160" spans="2:14" ht="15" customHeight="1" x14ac:dyDescent="0.25">
      <c r="B160" s="42" t="s">
        <v>330</v>
      </c>
      <c r="C160" s="43" t="s">
        <v>331</v>
      </c>
      <c r="E160" s="34" t="s">
        <v>331</v>
      </c>
      <c r="F160" s="33">
        <v>37653</v>
      </c>
      <c r="G160" s="33">
        <v>41306</v>
      </c>
      <c r="H160" s="38">
        <v>41518</v>
      </c>
      <c r="I160" s="38">
        <v>41365</v>
      </c>
      <c r="J160" s="36">
        <v>0.17186348141224594</v>
      </c>
      <c r="K160" s="36">
        <v>0.17229766203995367</v>
      </c>
      <c r="L160" s="36">
        <v>1.5528807683335881E-2</v>
      </c>
      <c r="M160" s="36">
        <v>6.4225442453517939E-2</v>
      </c>
      <c r="N160" s="36">
        <v>0.24178591988018749</v>
      </c>
    </row>
    <row r="161" spans="2:14" ht="15" customHeight="1" x14ac:dyDescent="0.25">
      <c r="B161" s="42" t="s">
        <v>332</v>
      </c>
      <c r="C161" s="43" t="s">
        <v>333</v>
      </c>
      <c r="E161" s="34" t="s">
        <v>333</v>
      </c>
      <c r="F161" s="33">
        <v>37653</v>
      </c>
      <c r="G161" s="33">
        <v>41306</v>
      </c>
      <c r="H161" s="38">
        <v>41334</v>
      </c>
      <c r="I161" s="38">
        <v>41306</v>
      </c>
      <c r="J161" s="36">
        <v>0.13355586916534423</v>
      </c>
      <c r="K161" s="36">
        <v>0.12780215765763003</v>
      </c>
      <c r="L161" s="36">
        <v>1.417270667787922E-2</v>
      </c>
      <c r="M161" s="36">
        <v>8.447368278091559E-2</v>
      </c>
      <c r="N161" s="36">
        <v>0.16777659279561016</v>
      </c>
    </row>
    <row r="162" spans="2:14" ht="15" customHeight="1" x14ac:dyDescent="0.25">
      <c r="B162" s="42" t="s">
        <v>334</v>
      </c>
      <c r="C162" s="43" t="s">
        <v>335</v>
      </c>
      <c r="E162" s="34" t="s">
        <v>335</v>
      </c>
      <c r="F162" s="33">
        <v>37653</v>
      </c>
      <c r="G162" s="33">
        <v>41306</v>
      </c>
      <c r="H162" s="38">
        <v>41426</v>
      </c>
      <c r="I162" s="38">
        <v>41395</v>
      </c>
      <c r="J162" s="36">
        <v>0.24282130897567833</v>
      </c>
      <c r="K162" s="36">
        <v>0.2021762501034905</v>
      </c>
      <c r="L162" s="36">
        <v>2.3201124027772184E-2</v>
      </c>
      <c r="M162" s="36">
        <v>0.10031362731158525</v>
      </c>
      <c r="N162" s="36">
        <v>0.2312858646383798</v>
      </c>
    </row>
    <row r="163" spans="2:14" ht="15" customHeight="1" x14ac:dyDescent="0.25">
      <c r="B163" s="42" t="s">
        <v>336</v>
      </c>
      <c r="C163" s="43" t="s">
        <v>337</v>
      </c>
      <c r="E163" s="34" t="s">
        <v>337</v>
      </c>
      <c r="F163" s="33">
        <v>37653</v>
      </c>
      <c r="G163" s="33">
        <v>41306</v>
      </c>
      <c r="H163" s="38">
        <v>41426</v>
      </c>
      <c r="I163" s="38">
        <v>41365</v>
      </c>
      <c r="J163" s="36">
        <v>0.15659069852612073</v>
      </c>
      <c r="K163" s="36">
        <v>0.12321274581594999</v>
      </c>
      <c r="L163" s="36">
        <v>1.422366419412901E-2</v>
      </c>
      <c r="M163" s="36">
        <v>6.1820143277428997E-2</v>
      </c>
      <c r="N163" s="36">
        <v>0.23008138512875589</v>
      </c>
    </row>
    <row r="164" spans="2:14" ht="15" customHeight="1" x14ac:dyDescent="0.25">
      <c r="B164" s="42" t="s">
        <v>338</v>
      </c>
      <c r="C164" s="43" t="s">
        <v>339</v>
      </c>
      <c r="E164" s="34" t="s">
        <v>339</v>
      </c>
      <c r="F164" s="33">
        <v>37653</v>
      </c>
      <c r="G164" s="33">
        <v>41306</v>
      </c>
      <c r="H164" s="38">
        <v>41487</v>
      </c>
      <c r="I164" s="38">
        <v>41456</v>
      </c>
      <c r="J164" s="36">
        <v>0.24142690967941038</v>
      </c>
      <c r="K164" s="36">
        <v>0.20510058033654399</v>
      </c>
      <c r="L164" s="36">
        <v>2.2900191063119517E-2</v>
      </c>
      <c r="M164" s="36">
        <v>9.5721209728599904E-2</v>
      </c>
      <c r="N164" s="36">
        <v>0.23923842091056777</v>
      </c>
    </row>
    <row r="165" spans="2:14" ht="15" customHeight="1" x14ac:dyDescent="0.25">
      <c r="B165" s="42" t="s">
        <v>340</v>
      </c>
      <c r="C165" s="43" t="s">
        <v>341</v>
      </c>
      <c r="E165" s="34" t="s">
        <v>341</v>
      </c>
      <c r="F165" s="33">
        <v>37653</v>
      </c>
      <c r="G165" s="33">
        <v>41030</v>
      </c>
      <c r="H165" s="38">
        <v>41579</v>
      </c>
      <c r="I165" s="38">
        <v>41456</v>
      </c>
      <c r="J165" s="36">
        <v>0.24604530128072799</v>
      </c>
      <c r="K165" s="36">
        <v>0.22547066353443768</v>
      </c>
      <c r="L165" s="36">
        <v>2.1192495952641145E-2</v>
      </c>
      <c r="M165" s="36">
        <v>7.3433870314631292E-2</v>
      </c>
      <c r="N165" s="36">
        <v>0.2885929321420862</v>
      </c>
    </row>
    <row r="166" spans="2:14" ht="15" customHeight="1" x14ac:dyDescent="0.25">
      <c r="B166" s="42" t="s">
        <v>342</v>
      </c>
      <c r="C166" s="43" t="s">
        <v>343</v>
      </c>
      <c r="E166" s="34" t="s">
        <v>343</v>
      </c>
      <c r="F166" s="33">
        <v>37653</v>
      </c>
      <c r="G166" s="33">
        <v>41306</v>
      </c>
      <c r="H166" s="38">
        <v>41426</v>
      </c>
      <c r="I166" s="38">
        <v>41395</v>
      </c>
      <c r="J166" s="36">
        <v>0.14971993184271737</v>
      </c>
      <c r="K166" s="36">
        <v>0.13393297815629168</v>
      </c>
      <c r="L166" s="36">
        <v>1.4540343835385919E-2</v>
      </c>
      <c r="M166" s="36">
        <v>7.3007473747577448E-2</v>
      </c>
      <c r="N166" s="36">
        <v>0.19916240199817078</v>
      </c>
    </row>
    <row r="167" spans="2:14" ht="15" customHeight="1" x14ac:dyDescent="0.25">
      <c r="B167" s="42" t="s">
        <v>344</v>
      </c>
      <c r="C167" s="43" t="s">
        <v>345</v>
      </c>
      <c r="E167" s="34" t="s">
        <v>345</v>
      </c>
      <c r="F167" s="33">
        <v>37653</v>
      </c>
      <c r="G167" s="33">
        <v>41306</v>
      </c>
      <c r="H167" s="38">
        <v>41334</v>
      </c>
      <c r="I167" s="38">
        <v>41306</v>
      </c>
      <c r="J167" s="36">
        <v>0.15070819101549415</v>
      </c>
      <c r="K167" s="36">
        <v>0.14884630011115729</v>
      </c>
      <c r="L167" s="36">
        <v>1.4300980028681196E-2</v>
      </c>
      <c r="M167" s="36">
        <v>6.8834129959031681E-2</v>
      </c>
      <c r="N167" s="36">
        <v>0.20776001726458626</v>
      </c>
    </row>
    <row r="168" spans="2:14" ht="15" customHeight="1" x14ac:dyDescent="0.25">
      <c r="B168" s="42" t="s">
        <v>346</v>
      </c>
      <c r="C168" s="43" t="s">
        <v>347</v>
      </c>
      <c r="E168" s="34" t="s">
        <v>347</v>
      </c>
      <c r="F168" s="33"/>
      <c r="G168" s="33"/>
      <c r="H168" s="38"/>
      <c r="I168" s="38"/>
      <c r="J168" s="36"/>
      <c r="K168" s="36"/>
      <c r="L168" s="36"/>
      <c r="M168" s="36"/>
      <c r="N168" s="36"/>
    </row>
    <row r="169" spans="2:14" ht="15" customHeight="1" x14ac:dyDescent="0.25">
      <c r="B169" s="42" t="s">
        <v>348</v>
      </c>
      <c r="C169" s="43" t="s">
        <v>349</v>
      </c>
      <c r="E169" s="34" t="s">
        <v>349</v>
      </c>
      <c r="F169" s="33">
        <v>37653</v>
      </c>
      <c r="G169" s="33">
        <v>41306</v>
      </c>
      <c r="H169" s="38">
        <v>41518</v>
      </c>
      <c r="I169" s="38">
        <v>41487</v>
      </c>
      <c r="J169" s="36">
        <v>0.21687237794429803</v>
      </c>
      <c r="K169" s="36">
        <v>0.23602896118039873</v>
      </c>
      <c r="L169" s="36">
        <v>1.9791283575013412E-2</v>
      </c>
      <c r="M169" s="36">
        <v>8.1180434662497872E-2</v>
      </c>
      <c r="N169" s="36">
        <v>0.24379376209667175</v>
      </c>
    </row>
    <row r="170" spans="2:14" ht="15" customHeight="1" x14ac:dyDescent="0.25">
      <c r="B170" s="42" t="s">
        <v>350</v>
      </c>
      <c r="C170" s="43" t="s">
        <v>351</v>
      </c>
      <c r="E170" s="34" t="s">
        <v>351</v>
      </c>
      <c r="F170" s="33">
        <v>37653</v>
      </c>
      <c r="G170" s="33">
        <v>41306</v>
      </c>
      <c r="H170" s="38">
        <v>41609</v>
      </c>
      <c r="I170" s="38">
        <v>41275</v>
      </c>
      <c r="J170" s="36">
        <v>6.6107541428625627E-2</v>
      </c>
      <c r="K170" s="36">
        <v>-0.12601313523515678</v>
      </c>
      <c r="L170" s="36">
        <v>6.3061348047705208E-3</v>
      </c>
      <c r="M170" s="36">
        <v>4.6096062685659425E-2</v>
      </c>
      <c r="N170" s="36">
        <v>0.13680419622330067</v>
      </c>
    </row>
    <row r="171" spans="2:14" ht="15" customHeight="1" x14ac:dyDescent="0.25">
      <c r="B171" s="42" t="s">
        <v>352</v>
      </c>
      <c r="C171" s="43" t="s">
        <v>353</v>
      </c>
      <c r="E171" s="34" t="s">
        <v>353</v>
      </c>
      <c r="F171" s="33">
        <v>37653</v>
      </c>
      <c r="G171" s="33">
        <v>41306</v>
      </c>
      <c r="H171" s="38">
        <v>41426</v>
      </c>
      <c r="I171" s="38">
        <v>41365</v>
      </c>
      <c r="J171" s="36">
        <v>0.16714471015010424</v>
      </c>
      <c r="K171" s="36">
        <v>0.1523260123565513</v>
      </c>
      <c r="L171" s="36">
        <v>1.6180343963490572E-2</v>
      </c>
      <c r="M171" s="36">
        <v>7.8482973426248742E-2</v>
      </c>
      <c r="N171" s="36">
        <v>0.20616374809875682</v>
      </c>
    </row>
    <row r="172" spans="2:14" ht="15" customHeight="1" x14ac:dyDescent="0.25">
      <c r="B172" s="42" t="s">
        <v>354</v>
      </c>
      <c r="C172" s="43" t="s">
        <v>355</v>
      </c>
      <c r="E172" s="34" t="s">
        <v>355</v>
      </c>
      <c r="F172" s="33">
        <v>37653</v>
      </c>
      <c r="G172" s="33">
        <v>41306</v>
      </c>
      <c r="H172" s="38">
        <v>41334</v>
      </c>
      <c r="I172" s="38">
        <v>41609</v>
      </c>
      <c r="J172" s="36">
        <v>7.8974989408532092E-2</v>
      </c>
      <c r="K172" s="36">
        <v>7.2143827845493114E-2</v>
      </c>
      <c r="L172" s="36">
        <v>7.4451904995562843E-3</v>
      </c>
      <c r="M172" s="36">
        <v>4.5578237030722855E-2</v>
      </c>
      <c r="N172" s="36">
        <v>0.16334968143980022</v>
      </c>
    </row>
    <row r="173" spans="2:14" ht="15" customHeight="1" x14ac:dyDescent="0.25">
      <c r="B173" s="42" t="s">
        <v>356</v>
      </c>
      <c r="C173" s="43" t="s">
        <v>357</v>
      </c>
      <c r="E173" s="34" t="s">
        <v>357</v>
      </c>
      <c r="F173" s="33">
        <v>37653</v>
      </c>
      <c r="G173" s="33">
        <v>41306</v>
      </c>
      <c r="H173" s="38">
        <v>41548</v>
      </c>
      <c r="I173" s="38">
        <v>41426</v>
      </c>
      <c r="J173" s="36">
        <v>0.24182395460324635</v>
      </c>
      <c r="K173" s="36">
        <v>0.21317144667162924</v>
      </c>
      <c r="L173" s="36">
        <v>1.9807308743348552E-2</v>
      </c>
      <c r="M173" s="36">
        <v>5.537757381682034E-2</v>
      </c>
      <c r="N173" s="36">
        <v>0.35767743832309778</v>
      </c>
    </row>
    <row r="174" spans="2:14" ht="15" customHeight="1" x14ac:dyDescent="0.25">
      <c r="B174" s="42" t="s">
        <v>358</v>
      </c>
      <c r="C174" s="43" t="s">
        <v>359</v>
      </c>
      <c r="E174" s="34" t="s">
        <v>359</v>
      </c>
      <c r="F174" s="33">
        <v>37653</v>
      </c>
      <c r="G174" s="33">
        <v>41306</v>
      </c>
      <c r="H174" s="38">
        <v>41334</v>
      </c>
      <c r="I174" s="38">
        <v>41609</v>
      </c>
      <c r="J174" s="36">
        <v>7.1855095752981546E-2</v>
      </c>
      <c r="K174" s="36">
        <v>6.1841165490664762E-2</v>
      </c>
      <c r="L174" s="36">
        <v>6.9117276231845876E-3</v>
      </c>
      <c r="M174" s="36">
        <v>4.5522880933255398E-2</v>
      </c>
      <c r="N174" s="36">
        <v>0.15182974982006089</v>
      </c>
    </row>
    <row r="175" spans="2:14" ht="15" customHeight="1" x14ac:dyDescent="0.25">
      <c r="B175" s="42" t="s">
        <v>360</v>
      </c>
      <c r="C175" s="43" t="s">
        <v>361</v>
      </c>
      <c r="E175" s="34" t="s">
        <v>361</v>
      </c>
      <c r="F175" s="33">
        <v>37653</v>
      </c>
      <c r="G175" s="33">
        <v>41306</v>
      </c>
      <c r="H175" s="38">
        <v>41487</v>
      </c>
      <c r="I175" s="38">
        <v>41395</v>
      </c>
      <c r="J175" s="36">
        <v>0.14635576653915106</v>
      </c>
      <c r="K175" s="36">
        <v>0.10460341495847048</v>
      </c>
      <c r="L175" s="36">
        <v>1.364456610271433E-2</v>
      </c>
      <c r="M175" s="36">
        <v>6.5303321016823956E-2</v>
      </c>
      <c r="N175" s="36">
        <v>0.20894138139160043</v>
      </c>
    </row>
    <row r="176" spans="2:14" ht="15" customHeight="1" x14ac:dyDescent="0.25">
      <c r="B176" s="42" t="s">
        <v>362</v>
      </c>
      <c r="C176" s="43" t="s">
        <v>363</v>
      </c>
      <c r="E176" s="34" t="s">
        <v>363</v>
      </c>
      <c r="F176" s="33">
        <v>38534</v>
      </c>
      <c r="G176" s="33">
        <v>41306</v>
      </c>
      <c r="H176" s="38">
        <v>41306</v>
      </c>
      <c r="I176" s="38">
        <v>41518</v>
      </c>
      <c r="J176" s="36">
        <v>0.28949124223625677</v>
      </c>
      <c r="K176" s="36">
        <v>9.0181857580506453E-2</v>
      </c>
      <c r="L176" s="36">
        <v>2.7433345914708099E-2</v>
      </c>
      <c r="M176" s="36">
        <v>0.11211651107717056</v>
      </c>
      <c r="N176" s="36">
        <v>0.24468604714095624</v>
      </c>
    </row>
    <row r="177" spans="2:14" ht="15" customHeight="1" x14ac:dyDescent="0.25">
      <c r="B177" s="42" t="s">
        <v>364</v>
      </c>
      <c r="C177" s="43" t="s">
        <v>365</v>
      </c>
      <c r="E177" s="34" t="s">
        <v>365</v>
      </c>
      <c r="F177" s="33">
        <v>37653</v>
      </c>
      <c r="G177" s="33">
        <v>41306</v>
      </c>
      <c r="H177" s="38">
        <v>41548</v>
      </c>
      <c r="I177" s="38">
        <v>41365</v>
      </c>
      <c r="J177" s="36">
        <v>0.16109646906793951</v>
      </c>
      <c r="K177" s="36">
        <v>6.1391601502540416E-2</v>
      </c>
      <c r="L177" s="36">
        <v>1.9589798897922468E-2</v>
      </c>
      <c r="M177" s="36">
        <v>0.14258557699455784</v>
      </c>
      <c r="N177" s="36">
        <v>0.13738976487551868</v>
      </c>
    </row>
    <row r="178" spans="2:14" ht="15" customHeight="1" x14ac:dyDescent="0.25">
      <c r="B178" s="42" t="s">
        <v>366</v>
      </c>
      <c r="C178" s="43" t="s">
        <v>367</v>
      </c>
      <c r="E178" s="34" t="s">
        <v>367</v>
      </c>
      <c r="F178" s="33">
        <v>37653</v>
      </c>
      <c r="G178" s="33">
        <v>41306</v>
      </c>
      <c r="H178" s="38">
        <v>41426</v>
      </c>
      <c r="I178" s="38">
        <v>41365</v>
      </c>
      <c r="J178" s="36">
        <v>0.26293989743275303</v>
      </c>
      <c r="K178" s="36">
        <v>0.21704854584381539</v>
      </c>
      <c r="L178" s="36">
        <v>2.2315427468277301E-2</v>
      </c>
      <c r="M178" s="36">
        <v>7.1533578653443092E-2</v>
      </c>
      <c r="N178" s="36">
        <v>0.31195737565973436</v>
      </c>
    </row>
    <row r="179" spans="2:14" ht="15" customHeight="1" x14ac:dyDescent="0.25">
      <c r="B179" s="42" t="s">
        <v>368</v>
      </c>
      <c r="C179" s="43" t="s">
        <v>369</v>
      </c>
      <c r="E179" s="34" t="s">
        <v>369</v>
      </c>
      <c r="F179" s="33">
        <v>37653</v>
      </c>
      <c r="G179" s="33">
        <v>41306</v>
      </c>
      <c r="H179" s="38">
        <v>41365</v>
      </c>
      <c r="I179" s="38">
        <v>41334</v>
      </c>
      <c r="J179" s="36">
        <v>0.19413504951682703</v>
      </c>
      <c r="K179" s="36">
        <v>0.1879954589236541</v>
      </c>
      <c r="L179" s="36">
        <v>2.3901222564778637E-2</v>
      </c>
      <c r="M179" s="36">
        <v>0.12839207541807848</v>
      </c>
      <c r="N179" s="36">
        <v>0.18615808247471621</v>
      </c>
    </row>
    <row r="180" spans="2:14" ht="15" customHeight="1" x14ac:dyDescent="0.25">
      <c r="B180" s="42" t="s">
        <v>370</v>
      </c>
      <c r="C180" s="43" t="s">
        <v>371</v>
      </c>
      <c r="E180" s="34" t="s">
        <v>371</v>
      </c>
      <c r="F180" s="33">
        <v>37653</v>
      </c>
      <c r="G180" s="33">
        <v>41306</v>
      </c>
      <c r="H180" s="38">
        <v>41518</v>
      </c>
      <c r="I180" s="38">
        <v>41365</v>
      </c>
      <c r="J180" s="36">
        <v>0.10610111167776681</v>
      </c>
      <c r="K180" s="36">
        <v>8.671684669422608E-2</v>
      </c>
      <c r="L180" s="36">
        <v>1.0561241456132039E-2</v>
      </c>
      <c r="M180" s="36">
        <v>6.4534504652807009E-2</v>
      </c>
      <c r="N180" s="36">
        <v>0.16365263068107652</v>
      </c>
    </row>
    <row r="181" spans="2:14" ht="15" customHeight="1" x14ac:dyDescent="0.25">
      <c r="B181" s="42" t="s">
        <v>372</v>
      </c>
      <c r="C181" s="43" t="s">
        <v>373</v>
      </c>
      <c r="E181" s="34" t="s">
        <v>373</v>
      </c>
      <c r="F181" s="33">
        <v>37653</v>
      </c>
      <c r="G181" s="33">
        <v>41306</v>
      </c>
      <c r="H181" s="38">
        <v>41426</v>
      </c>
      <c r="I181" s="38">
        <v>41365</v>
      </c>
      <c r="J181" s="36">
        <v>8.4425573944691745E-2</v>
      </c>
      <c r="K181" s="36">
        <v>7.6275293865698979E-2</v>
      </c>
      <c r="L181" s="36">
        <v>9.2620598137444499E-3</v>
      </c>
      <c r="M181" s="36">
        <v>7.0373791716782069E-2</v>
      </c>
      <c r="N181" s="36">
        <v>0.13161234584345585</v>
      </c>
    </row>
    <row r="182" spans="2:14" ht="15" customHeight="1" x14ac:dyDescent="0.25">
      <c r="B182" s="42" t="s">
        <v>374</v>
      </c>
      <c r="C182" s="43" t="s">
        <v>375</v>
      </c>
      <c r="E182" s="34" t="s">
        <v>375</v>
      </c>
      <c r="F182" s="33">
        <v>37653</v>
      </c>
      <c r="G182" s="33">
        <v>41306</v>
      </c>
      <c r="H182" s="38">
        <v>41334</v>
      </c>
      <c r="I182" s="38">
        <v>41518</v>
      </c>
      <c r="J182" s="36">
        <v>8.9770493190893363E-2</v>
      </c>
      <c r="K182" s="36">
        <v>7.6435480673031408E-2</v>
      </c>
      <c r="L182" s="36">
        <v>8.070701710813994E-3</v>
      </c>
      <c r="M182" s="36">
        <v>4.0372354981651211E-2</v>
      </c>
      <c r="N182" s="36">
        <v>0.19990663696685612</v>
      </c>
    </row>
    <row r="183" spans="2:14" ht="15" customHeight="1" x14ac:dyDescent="0.25">
      <c r="B183" s="42" t="s">
        <v>376</v>
      </c>
      <c r="C183" s="43" t="s">
        <v>377</v>
      </c>
      <c r="E183" s="34" t="s">
        <v>377</v>
      </c>
      <c r="F183" s="33">
        <v>37653</v>
      </c>
      <c r="G183" s="33">
        <v>41306</v>
      </c>
      <c r="H183" s="38">
        <v>41334</v>
      </c>
      <c r="I183" s="38">
        <v>41306</v>
      </c>
      <c r="J183" s="36">
        <v>0.34872616853033356</v>
      </c>
      <c r="K183" s="36">
        <v>0.30945543140710097</v>
      </c>
      <c r="L183" s="36">
        <v>3.4262521608580183E-2</v>
      </c>
      <c r="M183" s="36">
        <v>0.13452105684409887</v>
      </c>
      <c r="N183" s="36">
        <v>0.25470006266965484</v>
      </c>
    </row>
    <row r="184" spans="2:14" ht="15" customHeight="1" x14ac:dyDescent="0.25">
      <c r="B184" s="42" t="s">
        <v>378</v>
      </c>
      <c r="C184" s="43" t="s">
        <v>379</v>
      </c>
      <c r="E184" s="34" t="s">
        <v>379</v>
      </c>
      <c r="F184" s="33">
        <v>37653</v>
      </c>
      <c r="G184" s="33">
        <v>41306</v>
      </c>
      <c r="H184" s="38">
        <v>41518</v>
      </c>
      <c r="I184" s="38">
        <v>41334</v>
      </c>
      <c r="J184" s="36">
        <v>5.7375688579192285E-2</v>
      </c>
      <c r="K184" s="36">
        <v>-9.4410009279404461E-2</v>
      </c>
      <c r="L184" s="36">
        <v>6.7594187962178431E-3</v>
      </c>
      <c r="M184" s="36">
        <v>6.4670248371530237E-2</v>
      </c>
      <c r="N184" s="36">
        <v>0.10452130564560411</v>
      </c>
    </row>
    <row r="185" spans="2:14" ht="15" customHeight="1" x14ac:dyDescent="0.25">
      <c r="B185" s="42" t="s">
        <v>380</v>
      </c>
      <c r="C185" s="43" t="s">
        <v>381</v>
      </c>
      <c r="E185" s="34" t="s">
        <v>381</v>
      </c>
      <c r="F185" s="33">
        <v>37653</v>
      </c>
      <c r="G185" s="33">
        <v>41306</v>
      </c>
      <c r="H185" s="38">
        <v>41579</v>
      </c>
      <c r="I185" s="38">
        <v>41334</v>
      </c>
      <c r="J185" s="36">
        <v>0.11187225613071639</v>
      </c>
      <c r="K185" s="36">
        <v>4.2383343924633277E-2</v>
      </c>
      <c r="L185" s="36">
        <v>9.7973524627498129E-3</v>
      </c>
      <c r="M185" s="36">
        <v>4.2392648811268752E-2</v>
      </c>
      <c r="N185" s="36">
        <v>0.23110970268377037</v>
      </c>
    </row>
    <row r="186" spans="2:14" ht="15" customHeight="1" x14ac:dyDescent="0.25">
      <c r="B186" s="42" t="s">
        <v>382</v>
      </c>
      <c r="C186" s="43" t="s">
        <v>383</v>
      </c>
      <c r="E186" s="34" t="s">
        <v>383</v>
      </c>
      <c r="F186" s="33">
        <v>37653</v>
      </c>
      <c r="G186" s="33">
        <v>41306</v>
      </c>
      <c r="H186" s="38">
        <v>41548</v>
      </c>
      <c r="I186" s="38">
        <v>41395</v>
      </c>
      <c r="J186" s="36">
        <v>0.15156655536320818</v>
      </c>
      <c r="K186" s="36">
        <v>0.12680332425765917</v>
      </c>
      <c r="L186" s="36">
        <v>1.277524477474906E-2</v>
      </c>
      <c r="M186" s="36">
        <v>4.1824702149224506E-2</v>
      </c>
      <c r="N186" s="36">
        <v>0.30544735809878165</v>
      </c>
    </row>
    <row r="187" spans="2:14" ht="15" customHeight="1" x14ac:dyDescent="0.25">
      <c r="B187" s="42" t="s">
        <v>384</v>
      </c>
      <c r="C187" s="43" t="s">
        <v>385</v>
      </c>
      <c r="E187" s="34" t="s">
        <v>385</v>
      </c>
      <c r="F187" s="33">
        <v>37653</v>
      </c>
      <c r="G187" s="33">
        <v>41306</v>
      </c>
      <c r="H187" s="38">
        <v>41548</v>
      </c>
      <c r="I187" s="38">
        <v>41395</v>
      </c>
      <c r="J187" s="36">
        <v>0.10772510255752898</v>
      </c>
      <c r="K187" s="36">
        <v>9.7288131338400641E-2</v>
      </c>
      <c r="L187" s="36">
        <v>9.3905268578670497E-3</v>
      </c>
      <c r="M187" s="36">
        <v>3.9001910569269577E-2</v>
      </c>
      <c r="N187" s="36">
        <v>0.24077094482817574</v>
      </c>
    </row>
    <row r="188" spans="2:14" ht="15" customHeight="1" x14ac:dyDescent="0.25">
      <c r="B188" s="42" t="s">
        <v>386</v>
      </c>
      <c r="C188" s="43" t="s">
        <v>387</v>
      </c>
      <c r="E188" s="34" t="s">
        <v>387</v>
      </c>
      <c r="F188" s="33">
        <v>37653</v>
      </c>
      <c r="G188" s="33">
        <v>41306</v>
      </c>
      <c r="H188" s="38">
        <v>41306</v>
      </c>
      <c r="I188" s="38">
        <v>41395</v>
      </c>
      <c r="J188" s="36">
        <v>9.7338498507835602E-2</v>
      </c>
      <c r="K188" s="36">
        <v>-8.4740245309622875E-2</v>
      </c>
      <c r="L188" s="36">
        <v>1.0555925159361164E-2</v>
      </c>
      <c r="M188" s="36">
        <v>8.4194164191894974E-2</v>
      </c>
      <c r="N188" s="36">
        <v>0.12537597184648266</v>
      </c>
    </row>
    <row r="189" spans="2:14" ht="15" customHeight="1" x14ac:dyDescent="0.25">
      <c r="B189" s="42" t="s">
        <v>388</v>
      </c>
      <c r="C189" s="43" t="s">
        <v>389</v>
      </c>
      <c r="E189" s="34" t="s">
        <v>389</v>
      </c>
      <c r="F189" s="33">
        <v>37653</v>
      </c>
      <c r="G189" s="33">
        <v>41306</v>
      </c>
      <c r="H189" s="38">
        <v>41487</v>
      </c>
      <c r="I189" s="38">
        <v>41456</v>
      </c>
      <c r="J189" s="36">
        <v>0.15530060474531715</v>
      </c>
      <c r="K189" s="36">
        <v>0.15742448045369639</v>
      </c>
      <c r="L189" s="36">
        <v>1.6202176110239178E-2</v>
      </c>
      <c r="M189" s="36">
        <v>8.9171172325858097E-2</v>
      </c>
      <c r="N189" s="36">
        <v>0.18169746665471198</v>
      </c>
    </row>
    <row r="190" spans="2:14" ht="15" customHeight="1" x14ac:dyDescent="0.25">
      <c r="B190" s="42" t="s">
        <v>390</v>
      </c>
      <c r="C190" s="43" t="s">
        <v>391</v>
      </c>
      <c r="E190" s="34" t="s">
        <v>391</v>
      </c>
      <c r="F190" s="33">
        <v>37653</v>
      </c>
      <c r="G190" s="33">
        <v>41306</v>
      </c>
      <c r="H190" s="38">
        <v>41548</v>
      </c>
      <c r="I190" s="38">
        <v>41456</v>
      </c>
      <c r="J190" s="36">
        <v>0.21965973785039328</v>
      </c>
      <c r="K190" s="36">
        <v>0.177810395816832</v>
      </c>
      <c r="L190" s="36">
        <v>1.9738591124963654E-2</v>
      </c>
      <c r="M190" s="36">
        <v>7.729912682463555E-2</v>
      </c>
      <c r="N190" s="36">
        <v>0.25535335178809399</v>
      </c>
    </row>
    <row r="191" spans="2:14" ht="15" customHeight="1" x14ac:dyDescent="0.25">
      <c r="B191" s="42" t="s">
        <v>392</v>
      </c>
      <c r="C191" s="43" t="s">
        <v>393</v>
      </c>
      <c r="E191" s="34" t="s">
        <v>393</v>
      </c>
      <c r="F191" s="33">
        <v>37653</v>
      </c>
      <c r="G191" s="33">
        <v>41306</v>
      </c>
      <c r="H191" s="38">
        <v>41548</v>
      </c>
      <c r="I191" s="38">
        <v>41456</v>
      </c>
      <c r="J191" s="36">
        <v>0.29915267512858268</v>
      </c>
      <c r="K191" s="36">
        <v>0.29898728603187164</v>
      </c>
      <c r="L191" s="36">
        <v>2.5105761352734398E-2</v>
      </c>
      <c r="M191" s="36">
        <v>7.7661723768663454E-2</v>
      </c>
      <c r="N191" s="36">
        <v>0.32327071991755846</v>
      </c>
    </row>
    <row r="192" spans="2:14" ht="15" customHeight="1" x14ac:dyDescent="0.25">
      <c r="B192" s="42" t="s">
        <v>394</v>
      </c>
      <c r="C192" s="43" t="s">
        <v>395</v>
      </c>
      <c r="E192" s="34" t="s">
        <v>395</v>
      </c>
      <c r="F192" s="33">
        <v>37653</v>
      </c>
      <c r="G192" s="33">
        <v>41306</v>
      </c>
      <c r="H192" s="38">
        <v>41487</v>
      </c>
      <c r="I192" s="38">
        <v>41456</v>
      </c>
      <c r="J192" s="36">
        <v>0.28863762048557984</v>
      </c>
      <c r="K192" s="36">
        <v>0.32484849306350383</v>
      </c>
      <c r="L192" s="36">
        <v>2.4055798286772217E-2</v>
      </c>
      <c r="M192" s="36">
        <v>7.0101439306971394E-2</v>
      </c>
      <c r="N192" s="36">
        <v>0.34315698114888682</v>
      </c>
    </row>
    <row r="193" spans="2:14" ht="15" customHeight="1" x14ac:dyDescent="0.25">
      <c r="B193" s="42" t="s">
        <v>396</v>
      </c>
      <c r="C193" s="43" t="s">
        <v>397</v>
      </c>
      <c r="E193" s="34" t="s">
        <v>397</v>
      </c>
      <c r="F193" s="33">
        <v>37653</v>
      </c>
      <c r="G193" s="33">
        <v>40817</v>
      </c>
      <c r="H193" s="38">
        <v>41306</v>
      </c>
      <c r="I193" s="38">
        <v>41365</v>
      </c>
      <c r="J193" s="36">
        <v>0.10995192229071438</v>
      </c>
      <c r="K193" s="36">
        <v>5.2147217846818972E-2</v>
      </c>
      <c r="L193" s="36">
        <v>1.0201783126116991E-2</v>
      </c>
      <c r="M193" s="36">
        <v>6.1077514051492747E-2</v>
      </c>
      <c r="N193" s="36">
        <v>0.16703009748425832</v>
      </c>
    </row>
    <row r="194" spans="2:14" ht="15" customHeight="1" x14ac:dyDescent="0.25">
      <c r="B194" s="42" t="s">
        <v>398</v>
      </c>
      <c r="C194" s="43" t="s">
        <v>399</v>
      </c>
      <c r="E194" s="34" t="s">
        <v>399</v>
      </c>
      <c r="F194" s="33">
        <v>37653</v>
      </c>
      <c r="G194" s="33">
        <v>41306</v>
      </c>
      <c r="H194" s="38">
        <v>41548</v>
      </c>
      <c r="I194" s="38">
        <v>41275</v>
      </c>
      <c r="J194" s="36">
        <v>9.2026231526525004E-2</v>
      </c>
      <c r="K194" s="36">
        <v>-3.0396302068171566E-2</v>
      </c>
      <c r="L194" s="36">
        <v>8.1529598812161413E-3</v>
      </c>
      <c r="M194" s="36">
        <v>3.9167667769603183E-2</v>
      </c>
      <c r="N194" s="36">
        <v>0.20815535735174412</v>
      </c>
    </row>
    <row r="195" spans="2:14" ht="15" customHeight="1" x14ac:dyDescent="0.25">
      <c r="B195" s="42" t="s">
        <v>400</v>
      </c>
      <c r="C195" s="43" t="s">
        <v>401</v>
      </c>
      <c r="E195" s="34" t="s">
        <v>401</v>
      </c>
      <c r="F195" s="33">
        <v>39022</v>
      </c>
      <c r="G195" s="33">
        <v>41306</v>
      </c>
      <c r="H195" s="38">
        <v>41306</v>
      </c>
      <c r="I195" s="38">
        <v>41365</v>
      </c>
      <c r="J195" s="36">
        <v>0.14258960992453917</v>
      </c>
      <c r="K195" s="36">
        <v>1.6730491915439849E-4</v>
      </c>
      <c r="L195" s="36">
        <v>1.4689910412830676E-2</v>
      </c>
      <c r="M195" s="36">
        <v>8.4645678548825071E-2</v>
      </c>
      <c r="N195" s="36">
        <v>0.17354589938525078</v>
      </c>
    </row>
    <row r="196" spans="2:14" ht="15" customHeight="1" x14ac:dyDescent="0.25">
      <c r="B196" s="42" t="s">
        <v>402</v>
      </c>
      <c r="C196" s="43" t="s">
        <v>403</v>
      </c>
      <c r="E196" s="34" t="s">
        <v>403</v>
      </c>
      <c r="F196" s="33">
        <v>37653</v>
      </c>
      <c r="G196" s="33">
        <v>41306</v>
      </c>
      <c r="H196" s="38">
        <v>41548</v>
      </c>
      <c r="I196" s="38">
        <v>41518</v>
      </c>
      <c r="J196" s="36">
        <v>0.28817481647954368</v>
      </c>
      <c r="K196" s="36">
        <v>0.25794740145802297</v>
      </c>
      <c r="L196" s="36">
        <v>2.5525912804969551E-2</v>
      </c>
      <c r="M196" s="36">
        <v>9.0452921730587041E-2</v>
      </c>
      <c r="N196" s="36">
        <v>0.28220108667134247</v>
      </c>
    </row>
    <row r="197" spans="2:14" ht="15" customHeight="1" x14ac:dyDescent="0.25">
      <c r="B197" s="42" t="s">
        <v>404</v>
      </c>
      <c r="C197" s="43" t="s">
        <v>405</v>
      </c>
      <c r="E197" s="34" t="s">
        <v>405</v>
      </c>
      <c r="F197" s="33">
        <v>37653</v>
      </c>
      <c r="G197" s="33">
        <v>41306</v>
      </c>
      <c r="H197" s="38">
        <v>41334</v>
      </c>
      <c r="I197" s="38">
        <v>41518</v>
      </c>
      <c r="J197" s="36">
        <v>8.9453196083810305E-2</v>
      </c>
      <c r="K197" s="36">
        <v>1.4910584537625393E-2</v>
      </c>
      <c r="L197" s="36">
        <v>8.213281134488961E-3</v>
      </c>
      <c r="M197" s="36">
        <v>4.5021512013361048E-2</v>
      </c>
      <c r="N197" s="36">
        <v>0.18243014877091429</v>
      </c>
    </row>
    <row r="198" spans="2:14" ht="15" customHeight="1" x14ac:dyDescent="0.25">
      <c r="B198" s="42" t="s">
        <v>406</v>
      </c>
      <c r="C198" s="43" t="s">
        <v>407</v>
      </c>
      <c r="E198" s="34" t="s">
        <v>407</v>
      </c>
      <c r="F198" s="33">
        <v>37653</v>
      </c>
      <c r="G198" s="33">
        <v>41306</v>
      </c>
      <c r="H198" s="38">
        <v>41395</v>
      </c>
      <c r="I198" s="38">
        <v>41365</v>
      </c>
      <c r="J198" s="36">
        <v>9.8842871717832015E-2</v>
      </c>
      <c r="K198" s="36">
        <v>0.11275634612996455</v>
      </c>
      <c r="L198" s="36">
        <v>8.614138477149794E-3</v>
      </c>
      <c r="M198" s="36">
        <v>3.6791433439510961E-2</v>
      </c>
      <c r="N198" s="36">
        <v>0.23413435334919352</v>
      </c>
    </row>
    <row r="199" spans="2:14" ht="15" customHeight="1" x14ac:dyDescent="0.25">
      <c r="B199" s="42" t="s">
        <v>408</v>
      </c>
      <c r="C199" s="43" t="s">
        <v>409</v>
      </c>
      <c r="E199" s="34" t="s">
        <v>409</v>
      </c>
      <c r="F199" s="33">
        <v>37653</v>
      </c>
      <c r="G199" s="33">
        <v>41306</v>
      </c>
      <c r="H199" s="38">
        <v>41579</v>
      </c>
      <c r="I199" s="38">
        <v>41609</v>
      </c>
      <c r="J199" s="36">
        <v>8.8104426895507126E-2</v>
      </c>
      <c r="K199" s="36">
        <v>-9.2815735036107738E-2</v>
      </c>
      <c r="L199" s="36">
        <v>8.231192677969441E-3</v>
      </c>
      <c r="M199" s="36">
        <v>5.3057613303155483E-2</v>
      </c>
      <c r="N199" s="36">
        <v>0.1551368816938456</v>
      </c>
    </row>
    <row r="200" spans="2:14" ht="15" customHeight="1" x14ac:dyDescent="0.25">
      <c r="B200" s="42" t="s">
        <v>410</v>
      </c>
      <c r="C200" s="43" t="s">
        <v>411</v>
      </c>
      <c r="E200" s="34" t="s">
        <v>411</v>
      </c>
      <c r="F200" s="33">
        <v>37653</v>
      </c>
      <c r="G200" s="33">
        <v>41306</v>
      </c>
      <c r="H200" s="38">
        <v>41334</v>
      </c>
      <c r="I200" s="38">
        <v>41275</v>
      </c>
      <c r="J200" s="36">
        <v>0.11548013481071329</v>
      </c>
      <c r="K200" s="36">
        <v>0.10446554158897059</v>
      </c>
      <c r="L200" s="36">
        <v>1.1196589300262294E-2</v>
      </c>
      <c r="M200" s="36">
        <v>6.2631875362542111E-2</v>
      </c>
      <c r="N200" s="36">
        <v>0.17876822680865428</v>
      </c>
    </row>
    <row r="201" spans="2:14" ht="15" customHeight="1" x14ac:dyDescent="0.25">
      <c r="B201" s="42" t="s">
        <v>412</v>
      </c>
      <c r="C201" s="43" t="s">
        <v>413</v>
      </c>
      <c r="E201" s="34" t="s">
        <v>413</v>
      </c>
      <c r="F201" s="33">
        <v>37653</v>
      </c>
      <c r="G201" s="33">
        <v>41306</v>
      </c>
      <c r="H201" s="38">
        <v>41306</v>
      </c>
      <c r="I201" s="38">
        <v>41518</v>
      </c>
      <c r="J201" s="36">
        <v>6.4875510295376859E-2</v>
      </c>
      <c r="K201" s="36">
        <v>2.672465423067738E-2</v>
      </c>
      <c r="L201" s="36">
        <v>6.8623857273558695E-3</v>
      </c>
      <c r="M201" s="36">
        <v>5.7046859335814888E-2</v>
      </c>
      <c r="N201" s="36">
        <v>0.12029383926220034</v>
      </c>
    </row>
    <row r="202" spans="2:14" ht="15" customHeight="1" x14ac:dyDescent="0.25">
      <c r="B202" s="42" t="s">
        <v>414</v>
      </c>
      <c r="C202" s="43" t="s">
        <v>415</v>
      </c>
      <c r="E202" s="34" t="s">
        <v>415</v>
      </c>
      <c r="F202" s="33">
        <v>37653</v>
      </c>
      <c r="G202" s="33">
        <v>41306</v>
      </c>
      <c r="H202" s="38">
        <v>41365</v>
      </c>
      <c r="I202" s="38">
        <v>41334</v>
      </c>
      <c r="J202" s="36">
        <v>0.21951359828310002</v>
      </c>
      <c r="K202" s="36">
        <v>0.25072325468656498</v>
      </c>
      <c r="L202" s="36">
        <v>1.8996399241242488E-2</v>
      </c>
      <c r="M202" s="36">
        <v>6.6948780154558851E-2</v>
      </c>
      <c r="N202" s="36">
        <v>0.28374526313081649</v>
      </c>
    </row>
    <row r="203" spans="2:14" ht="15" customHeight="1" x14ac:dyDescent="0.25">
      <c r="B203" s="42" t="s">
        <v>416</v>
      </c>
      <c r="C203" s="43" t="s">
        <v>417</v>
      </c>
      <c r="E203" s="34" t="s">
        <v>417</v>
      </c>
      <c r="F203" s="33">
        <v>37653</v>
      </c>
      <c r="G203" s="33">
        <v>41306</v>
      </c>
      <c r="H203" s="38">
        <v>41426</v>
      </c>
      <c r="I203" s="38">
        <v>41395</v>
      </c>
      <c r="J203" s="36">
        <v>9.6029001072155173E-2</v>
      </c>
      <c r="K203" s="36">
        <v>9.815184924630338E-2</v>
      </c>
      <c r="L203" s="36">
        <v>8.2861220849235872E-3</v>
      </c>
      <c r="M203" s="36">
        <v>3.3178418098896496E-2</v>
      </c>
      <c r="N203" s="36">
        <v>0.24974433863075529</v>
      </c>
    </row>
    <row r="204" spans="2:14" ht="15" customHeight="1" x14ac:dyDescent="0.25">
      <c r="B204" s="42" t="s">
        <v>418</v>
      </c>
      <c r="C204" s="43" t="s">
        <v>419</v>
      </c>
      <c r="E204" s="34" t="s">
        <v>419</v>
      </c>
      <c r="F204" s="33">
        <v>37653</v>
      </c>
      <c r="G204" s="33">
        <v>41306</v>
      </c>
      <c r="H204" s="38">
        <v>41548</v>
      </c>
      <c r="I204" s="38">
        <v>41365</v>
      </c>
      <c r="J204" s="36">
        <v>0.16311202390792601</v>
      </c>
      <c r="K204" s="36">
        <v>0.10050971465942671</v>
      </c>
      <c r="L204" s="36">
        <v>1.4780810869761572E-2</v>
      </c>
      <c r="M204" s="36">
        <v>6.5314096026438978E-2</v>
      </c>
      <c r="N204" s="36">
        <v>0.22630353582139967</v>
      </c>
    </row>
    <row r="205" spans="2:14" ht="15" customHeight="1" x14ac:dyDescent="0.25">
      <c r="B205" s="42" t="s">
        <v>420</v>
      </c>
      <c r="C205" s="43" t="s">
        <v>421</v>
      </c>
      <c r="E205" s="34" t="s">
        <v>421</v>
      </c>
      <c r="F205" s="33">
        <v>37653</v>
      </c>
      <c r="G205" s="33">
        <v>41306</v>
      </c>
      <c r="H205" s="38">
        <v>41456</v>
      </c>
      <c r="I205" s="38">
        <v>41365</v>
      </c>
      <c r="J205" s="36">
        <v>0.25692852886054873</v>
      </c>
      <c r="K205" s="36">
        <v>0.17022172377200939</v>
      </c>
      <c r="L205" s="36">
        <v>2.3690795125827391E-2</v>
      </c>
      <c r="M205" s="36">
        <v>9.3678231020930369E-2</v>
      </c>
      <c r="N205" s="36">
        <v>0.25289541516357411</v>
      </c>
    </row>
    <row r="206" spans="2:14" ht="15" customHeight="1" x14ac:dyDescent="0.25">
      <c r="B206" s="42" t="s">
        <v>422</v>
      </c>
      <c r="C206" s="43" t="s">
        <v>423</v>
      </c>
      <c r="E206" s="34" t="s">
        <v>423</v>
      </c>
      <c r="F206" s="33">
        <v>38108</v>
      </c>
      <c r="G206" s="33">
        <v>41306</v>
      </c>
      <c r="H206" s="38">
        <v>41579</v>
      </c>
      <c r="I206" s="38">
        <v>41395</v>
      </c>
      <c r="J206" s="36">
        <v>0.24873583257091547</v>
      </c>
      <c r="K206" s="36">
        <v>-7.3479349598900012E-2</v>
      </c>
      <c r="L206" s="36">
        <v>3.2275962868197193E-2</v>
      </c>
      <c r="M206" s="36">
        <v>0.1992605575759572</v>
      </c>
      <c r="N206" s="36">
        <v>0.16197868389429626</v>
      </c>
    </row>
    <row r="207" spans="2:14" ht="15" customHeight="1" x14ac:dyDescent="0.25">
      <c r="B207" s="42" t="s">
        <v>424</v>
      </c>
      <c r="C207" s="43" t="s">
        <v>425</v>
      </c>
      <c r="E207" s="34" t="s">
        <v>425</v>
      </c>
      <c r="F207" s="33">
        <v>38200</v>
      </c>
      <c r="G207" s="33">
        <v>41306</v>
      </c>
      <c r="H207" s="38">
        <v>41306</v>
      </c>
      <c r="I207" s="38">
        <v>41609</v>
      </c>
      <c r="J207" s="36">
        <v>0.25476600347022416</v>
      </c>
      <c r="K207" s="36">
        <v>0.26608234584843338</v>
      </c>
      <c r="L207" s="36">
        <v>2.2805519649530481E-2</v>
      </c>
      <c r="M207" s="36">
        <v>8.61404694785078E-2</v>
      </c>
      <c r="N207" s="36">
        <v>0.26474803060158036</v>
      </c>
    </row>
    <row r="208" spans="2:14" ht="15" customHeight="1" x14ac:dyDescent="0.25">
      <c r="B208" s="42" t="s">
        <v>426</v>
      </c>
      <c r="C208" s="43" t="s">
        <v>427</v>
      </c>
      <c r="E208" s="34" t="s">
        <v>427</v>
      </c>
      <c r="F208" s="33">
        <v>37653</v>
      </c>
      <c r="G208" s="33">
        <v>41306</v>
      </c>
      <c r="H208" s="38">
        <v>41426</v>
      </c>
      <c r="I208" s="38">
        <v>41395</v>
      </c>
      <c r="J208" s="36">
        <v>0.13299600042979187</v>
      </c>
      <c r="K208" s="36">
        <v>0.12868802427768777</v>
      </c>
      <c r="L208" s="36">
        <v>1.1538391845042028E-2</v>
      </c>
      <c r="M208" s="36">
        <v>4.4565172637258191E-2</v>
      </c>
      <c r="N208" s="36">
        <v>0.25891051604264381</v>
      </c>
    </row>
    <row r="209" spans="2:14" ht="15" customHeight="1" x14ac:dyDescent="0.25">
      <c r="B209" s="42" t="s">
        <v>428</v>
      </c>
      <c r="C209" s="43" t="s">
        <v>429</v>
      </c>
      <c r="E209" s="34" t="s">
        <v>429</v>
      </c>
      <c r="F209" s="33">
        <v>37653</v>
      </c>
      <c r="G209" s="33">
        <v>41306</v>
      </c>
      <c r="H209" s="38">
        <v>41456</v>
      </c>
      <c r="I209" s="38">
        <v>41365</v>
      </c>
      <c r="J209" s="36">
        <v>0.14243446484708455</v>
      </c>
      <c r="K209" s="36">
        <v>0.11311758564295737</v>
      </c>
      <c r="L209" s="36">
        <v>1.4853507854281913E-2</v>
      </c>
      <c r="M209" s="36">
        <v>8.4872770894164618E-2</v>
      </c>
      <c r="N209" s="36">
        <v>0.17500910713524445</v>
      </c>
    </row>
    <row r="210" spans="2:14" ht="15" customHeight="1" x14ac:dyDescent="0.25">
      <c r="B210" s="42" t="s">
        <v>430</v>
      </c>
      <c r="C210" s="43" t="s">
        <v>431</v>
      </c>
      <c r="E210" s="34" t="s">
        <v>431</v>
      </c>
      <c r="F210" s="33">
        <v>37653</v>
      </c>
      <c r="G210" s="33">
        <v>41091</v>
      </c>
      <c r="H210" s="38">
        <v>41334</v>
      </c>
      <c r="I210" s="38">
        <v>41275</v>
      </c>
      <c r="J210" s="36">
        <v>0.26021161968322404</v>
      </c>
      <c r="K210" s="36">
        <v>0.2728939746252097</v>
      </c>
      <c r="L210" s="36">
        <v>2.2656340044456717E-2</v>
      </c>
      <c r="M210" s="36">
        <v>7.8794209666484719E-2</v>
      </c>
      <c r="N210" s="36">
        <v>0.28753813434204212</v>
      </c>
    </row>
    <row r="211" spans="2:14" ht="15" customHeight="1" x14ac:dyDescent="0.25">
      <c r="B211" s="42" t="s">
        <v>432</v>
      </c>
      <c r="C211" s="43" t="s">
        <v>433</v>
      </c>
      <c r="E211" s="34" t="s">
        <v>433</v>
      </c>
      <c r="F211" s="33">
        <v>37653</v>
      </c>
      <c r="G211" s="33">
        <v>41306</v>
      </c>
      <c r="H211" s="38">
        <v>41487</v>
      </c>
      <c r="I211" s="38">
        <v>41365</v>
      </c>
      <c r="J211" s="36">
        <v>0.12893356029232961</v>
      </c>
      <c r="K211" s="36">
        <v>9.0073173619105162E-2</v>
      </c>
      <c r="L211" s="36">
        <v>1.3460885678759077E-2</v>
      </c>
      <c r="M211" s="36">
        <v>7.9798737686198162E-2</v>
      </c>
      <c r="N211" s="36">
        <v>0.1686854462747629</v>
      </c>
    </row>
    <row r="212" spans="2:14" ht="15" customHeight="1" x14ac:dyDescent="0.25">
      <c r="B212" s="42" t="s">
        <v>434</v>
      </c>
      <c r="C212" s="43" t="s">
        <v>435</v>
      </c>
      <c r="E212" s="34" t="s">
        <v>435</v>
      </c>
      <c r="F212" s="33">
        <v>37653</v>
      </c>
      <c r="G212" s="33">
        <v>41306</v>
      </c>
      <c r="H212" s="38">
        <v>41548</v>
      </c>
      <c r="I212" s="38">
        <v>41456</v>
      </c>
      <c r="J212" s="36">
        <v>0.18831943782265159</v>
      </c>
      <c r="K212" s="36">
        <v>0.13051144812269388</v>
      </c>
      <c r="L212" s="36">
        <v>2.2256575500090647E-2</v>
      </c>
      <c r="M212" s="36">
        <v>0.13191275372280914</v>
      </c>
      <c r="N212" s="36">
        <v>0.16872193834160135</v>
      </c>
    </row>
    <row r="213" spans="2:14" ht="15" customHeight="1" x14ac:dyDescent="0.25">
      <c r="B213" s="42" t="s">
        <v>436</v>
      </c>
      <c r="C213" s="43" t="s">
        <v>437</v>
      </c>
      <c r="E213" s="34" t="s">
        <v>437</v>
      </c>
      <c r="F213" s="33">
        <v>37653</v>
      </c>
      <c r="G213" s="33">
        <v>41306</v>
      </c>
      <c r="H213" s="38">
        <v>41395</v>
      </c>
      <c r="I213" s="38">
        <v>41365</v>
      </c>
      <c r="J213" s="36">
        <v>0.19717727288948206</v>
      </c>
      <c r="K213" s="36">
        <v>0.18674830763958816</v>
      </c>
      <c r="L213" s="36">
        <v>1.6969594203132054E-2</v>
      </c>
      <c r="M213" s="36">
        <v>5.9159722736397552E-2</v>
      </c>
      <c r="N213" s="36">
        <v>0.28684370747890009</v>
      </c>
    </row>
    <row r="214" spans="2:14" ht="15" customHeight="1" x14ac:dyDescent="0.25">
      <c r="B214" s="42" t="s">
        <v>438</v>
      </c>
      <c r="C214" s="43" t="s">
        <v>439</v>
      </c>
      <c r="E214" s="34" t="s">
        <v>439</v>
      </c>
      <c r="F214" s="33">
        <v>37653</v>
      </c>
      <c r="G214" s="33">
        <v>41306</v>
      </c>
      <c r="H214" s="38">
        <v>41548</v>
      </c>
      <c r="I214" s="38">
        <v>41456</v>
      </c>
      <c r="J214" s="36">
        <v>0.21143864278757207</v>
      </c>
      <c r="K214" s="36">
        <v>0.16327378754863786</v>
      </c>
      <c r="L214" s="36">
        <v>1.9223008173740268E-2</v>
      </c>
      <c r="M214" s="36">
        <v>7.8975800890037876E-2</v>
      </c>
      <c r="N214" s="36">
        <v>0.24340377630997961</v>
      </c>
    </row>
    <row r="215" spans="2:14" ht="15" customHeight="1" x14ac:dyDescent="0.25">
      <c r="B215" s="42" t="s">
        <v>440</v>
      </c>
      <c r="C215" s="43" t="s">
        <v>441</v>
      </c>
      <c r="E215" s="34" t="s">
        <v>441</v>
      </c>
      <c r="F215" s="33">
        <v>37653</v>
      </c>
      <c r="G215" s="33">
        <v>41306</v>
      </c>
      <c r="H215" s="38">
        <v>41426</v>
      </c>
      <c r="I215" s="38">
        <v>41609</v>
      </c>
      <c r="J215" s="36">
        <v>9.9247247476011102E-2</v>
      </c>
      <c r="K215" s="36">
        <v>3.7937537487209738E-2</v>
      </c>
      <c r="L215" s="36">
        <v>1.3408099976062538E-2</v>
      </c>
      <c r="M215" s="36">
        <v>0.10401523672200798</v>
      </c>
      <c r="N215" s="36">
        <v>0.12890515273158626</v>
      </c>
    </row>
    <row r="216" spans="2:14" ht="15" customHeight="1" x14ac:dyDescent="0.25">
      <c r="B216" s="42" t="s">
        <v>442</v>
      </c>
      <c r="C216" s="43" t="s">
        <v>443</v>
      </c>
      <c r="E216" s="34" t="s">
        <v>443</v>
      </c>
      <c r="F216" s="33">
        <v>37653</v>
      </c>
      <c r="G216" s="33">
        <v>41306</v>
      </c>
      <c r="H216" s="38">
        <v>41426</v>
      </c>
      <c r="I216" s="38">
        <v>41395</v>
      </c>
      <c r="J216" s="36">
        <v>0.12221551565873523</v>
      </c>
      <c r="K216" s="36">
        <v>0.14408154166898801</v>
      </c>
      <c r="L216" s="36">
        <v>1.2157663034002588E-2</v>
      </c>
      <c r="M216" s="36">
        <v>7.0275485812850688E-2</v>
      </c>
      <c r="N216" s="36">
        <v>0.17300005675349481</v>
      </c>
    </row>
    <row r="217" spans="2:14" ht="15" customHeight="1" x14ac:dyDescent="0.25">
      <c r="B217" s="42" t="s">
        <v>444</v>
      </c>
      <c r="C217" s="43" t="s">
        <v>445</v>
      </c>
      <c r="E217" s="34" t="s">
        <v>445</v>
      </c>
      <c r="F217" s="33">
        <v>37653</v>
      </c>
      <c r="G217" s="33">
        <v>41306</v>
      </c>
      <c r="H217" s="38">
        <v>41306</v>
      </c>
      <c r="I217" s="38">
        <v>41395</v>
      </c>
      <c r="J217" s="36">
        <v>0.10879028467187735</v>
      </c>
      <c r="K217" s="36">
        <v>-6.3369705155078671E-2</v>
      </c>
      <c r="L217" s="36">
        <v>1.1213596521674635E-2</v>
      </c>
      <c r="M217" s="36">
        <v>8.0418711387059777E-2</v>
      </c>
      <c r="N217" s="36">
        <v>0.13944014183095976</v>
      </c>
    </row>
    <row r="218" spans="2:14" ht="15" customHeight="1" x14ac:dyDescent="0.25">
      <c r="B218" s="42" t="s">
        <v>446</v>
      </c>
      <c r="C218" s="43" t="s">
        <v>447</v>
      </c>
      <c r="E218" s="34" t="s">
        <v>447</v>
      </c>
      <c r="F218" s="33">
        <v>37653</v>
      </c>
      <c r="G218" s="33">
        <v>41306</v>
      </c>
      <c r="H218" s="38">
        <v>41426</v>
      </c>
      <c r="I218" s="38">
        <v>41609</v>
      </c>
      <c r="J218" s="36">
        <v>0.10113823222261131</v>
      </c>
      <c r="K218" s="36">
        <v>7.1407038533204181E-2</v>
      </c>
      <c r="L218" s="36">
        <v>9.3504821532315544E-3</v>
      </c>
      <c r="M218" s="36">
        <v>4.9114228814572773E-2</v>
      </c>
      <c r="N218" s="36">
        <v>0.19038234700851406</v>
      </c>
    </row>
    <row r="219" spans="2:14" ht="15" customHeight="1" x14ac:dyDescent="0.25">
      <c r="B219" s="42" t="s">
        <v>448</v>
      </c>
      <c r="C219" s="43" t="s">
        <v>449</v>
      </c>
      <c r="E219" s="34" t="s">
        <v>449</v>
      </c>
      <c r="F219" s="33">
        <v>37653</v>
      </c>
      <c r="G219" s="33">
        <v>41306</v>
      </c>
      <c r="H219" s="38">
        <v>41334</v>
      </c>
      <c r="I219" s="38">
        <v>41275</v>
      </c>
      <c r="J219" s="36">
        <v>0.16587494029337368</v>
      </c>
      <c r="K219" s="36">
        <v>0.16182735967490602</v>
      </c>
      <c r="L219" s="36">
        <v>1.4727399643554658E-2</v>
      </c>
      <c r="M219" s="36">
        <v>5.8827014693866461E-2</v>
      </c>
      <c r="N219" s="36">
        <v>0.25035096069714713</v>
      </c>
    </row>
    <row r="220" spans="2:14" ht="15" customHeight="1" x14ac:dyDescent="0.25">
      <c r="B220" s="42" t="s">
        <v>450</v>
      </c>
      <c r="C220" s="43" t="s">
        <v>451</v>
      </c>
      <c r="E220" s="34" t="s">
        <v>451</v>
      </c>
      <c r="F220" s="33">
        <v>37653</v>
      </c>
      <c r="G220" s="33">
        <v>41306</v>
      </c>
      <c r="H220" s="38">
        <v>41334</v>
      </c>
      <c r="I220" s="38">
        <v>41609</v>
      </c>
      <c r="J220" s="36">
        <v>0.19983843135578327</v>
      </c>
      <c r="K220" s="36">
        <v>0.16876077960337676</v>
      </c>
      <c r="L220" s="36">
        <v>1.8300062060202484E-2</v>
      </c>
      <c r="M220" s="36">
        <v>7.5734087086249416E-2</v>
      </c>
      <c r="N220" s="36">
        <v>0.2416357384669012</v>
      </c>
    </row>
    <row r="221" spans="2:14" ht="15" customHeight="1" x14ac:dyDescent="0.25">
      <c r="B221" s="42" t="s">
        <v>452</v>
      </c>
      <c r="C221" s="43" t="s">
        <v>453</v>
      </c>
      <c r="E221" s="34" t="s">
        <v>453</v>
      </c>
      <c r="F221" s="33">
        <v>37653</v>
      </c>
      <c r="G221" s="33">
        <v>41306</v>
      </c>
      <c r="H221" s="38">
        <v>41456</v>
      </c>
      <c r="I221" s="38">
        <v>41365</v>
      </c>
      <c r="J221" s="36">
        <v>0.14933774192705851</v>
      </c>
      <c r="K221" s="36">
        <v>0.13554353136258412</v>
      </c>
      <c r="L221" s="36">
        <v>1.3300274695951476E-2</v>
      </c>
      <c r="M221" s="36">
        <v>5.5979476358701881E-2</v>
      </c>
      <c r="N221" s="36">
        <v>0.23759198122409694</v>
      </c>
    </row>
    <row r="222" spans="2:14" ht="15" customHeight="1" x14ac:dyDescent="0.25">
      <c r="B222" s="42" t="s">
        <v>454</v>
      </c>
      <c r="C222" s="43" t="s">
        <v>455</v>
      </c>
      <c r="E222" s="34" t="s">
        <v>455</v>
      </c>
      <c r="F222" s="33">
        <v>37653</v>
      </c>
      <c r="G222" s="33">
        <v>41306</v>
      </c>
      <c r="H222" s="38">
        <v>41487</v>
      </c>
      <c r="I222" s="38">
        <v>41456</v>
      </c>
      <c r="J222" s="36">
        <v>0.20143227194694369</v>
      </c>
      <c r="K222" s="36">
        <v>0.17488110955639025</v>
      </c>
      <c r="L222" s="36">
        <v>2.0203922739784837E-2</v>
      </c>
      <c r="M222" s="36">
        <v>9.7739927153794759E-2</v>
      </c>
      <c r="N222" s="36">
        <v>0.20671104765602866</v>
      </c>
    </row>
    <row r="223" spans="2:14" ht="15" customHeight="1" x14ac:dyDescent="0.25">
      <c r="B223" s="42" t="s">
        <v>456</v>
      </c>
      <c r="C223" s="43" t="s">
        <v>457</v>
      </c>
      <c r="E223" s="34" t="s">
        <v>457</v>
      </c>
      <c r="F223" s="33">
        <v>37653</v>
      </c>
      <c r="G223" s="33">
        <v>41306</v>
      </c>
      <c r="H223" s="38">
        <v>41579</v>
      </c>
      <c r="I223" s="38">
        <v>41365</v>
      </c>
      <c r="J223" s="36">
        <v>0.13088108592175329</v>
      </c>
      <c r="K223" s="36">
        <v>-1.3489689815192829E-2</v>
      </c>
      <c r="L223" s="36">
        <v>1.6752042657312245E-2</v>
      </c>
      <c r="M223" s="36">
        <v>0.12015907971970918</v>
      </c>
      <c r="N223" s="36">
        <v>0.13941553727266504</v>
      </c>
    </row>
    <row r="224" spans="2:14" ht="15" customHeight="1" x14ac:dyDescent="0.25">
      <c r="B224" s="42" t="s">
        <v>458</v>
      </c>
      <c r="C224" s="43" t="s">
        <v>459</v>
      </c>
      <c r="E224" s="34" t="s">
        <v>459</v>
      </c>
      <c r="F224" s="33">
        <v>37653</v>
      </c>
      <c r="G224" s="33">
        <v>41306</v>
      </c>
      <c r="H224" s="38">
        <v>41275</v>
      </c>
      <c r="I224" s="38">
        <v>41609</v>
      </c>
      <c r="J224" s="36">
        <v>0.10043365196403409</v>
      </c>
      <c r="K224" s="36">
        <v>0.10731526752006015</v>
      </c>
      <c r="L224" s="36">
        <v>8.7508374789038897E-3</v>
      </c>
      <c r="M224" s="36">
        <v>3.6661829848768999E-2</v>
      </c>
      <c r="N224" s="36">
        <v>0.23869069042656413</v>
      </c>
    </row>
    <row r="225" spans="2:14" ht="15" customHeight="1" x14ac:dyDescent="0.25">
      <c r="B225" s="42" t="s">
        <v>460</v>
      </c>
      <c r="C225" s="43" t="s">
        <v>461</v>
      </c>
      <c r="E225" s="34" t="s">
        <v>461</v>
      </c>
      <c r="F225" s="33">
        <v>37653</v>
      </c>
      <c r="G225" s="33">
        <v>41306</v>
      </c>
      <c r="H225" s="38">
        <v>41426</v>
      </c>
      <c r="I225" s="38">
        <v>41365</v>
      </c>
      <c r="J225" s="36">
        <v>0.11180440211522469</v>
      </c>
      <c r="K225" s="36">
        <v>4.5909664486697421E-2</v>
      </c>
      <c r="L225" s="36">
        <v>1.5287196386743787E-2</v>
      </c>
      <c r="M225" s="36">
        <v>0.11602713063045893</v>
      </c>
      <c r="N225" s="36">
        <v>0.13175536017892922</v>
      </c>
    </row>
    <row r="226" spans="2:14" ht="15" customHeight="1" x14ac:dyDescent="0.25">
      <c r="B226" s="42" t="s">
        <v>462</v>
      </c>
      <c r="C226" s="43" t="s">
        <v>463</v>
      </c>
      <c r="E226" s="34" t="s">
        <v>463</v>
      </c>
      <c r="F226" s="33">
        <v>37653</v>
      </c>
      <c r="G226" s="33">
        <v>41306</v>
      </c>
      <c r="H226" s="38">
        <v>41548</v>
      </c>
      <c r="I226" s="38">
        <v>41365</v>
      </c>
      <c r="J226" s="36">
        <v>0.17064889145633222</v>
      </c>
      <c r="K226" s="36">
        <v>0.1433417902257994</v>
      </c>
      <c r="L226" s="36">
        <v>1.4206926325189438E-2</v>
      </c>
      <c r="M226" s="36">
        <v>4.2509679148565731E-2</v>
      </c>
      <c r="N226" s="36">
        <v>0.33420450612054964</v>
      </c>
    </row>
    <row r="227" spans="2:14" ht="15" customHeight="1" x14ac:dyDescent="0.25">
      <c r="B227" s="42" t="s">
        <v>464</v>
      </c>
      <c r="C227" s="43" t="s">
        <v>465</v>
      </c>
      <c r="E227" s="34" t="s">
        <v>465</v>
      </c>
      <c r="F227" s="33">
        <v>37653</v>
      </c>
      <c r="G227" s="33">
        <v>41306</v>
      </c>
      <c r="H227" s="38">
        <v>41548</v>
      </c>
      <c r="I227" s="38">
        <v>41395</v>
      </c>
      <c r="J227" s="36">
        <v>0.18872810855052657</v>
      </c>
      <c r="K227" s="36">
        <v>0.14884628757524698</v>
      </c>
      <c r="L227" s="36">
        <v>1.8139504036687789E-2</v>
      </c>
      <c r="M227" s="36">
        <v>8.8424190676874528E-2</v>
      </c>
      <c r="N227" s="36">
        <v>0.20514187235226561</v>
      </c>
    </row>
    <row r="228" spans="2:14" ht="15" customHeight="1" x14ac:dyDescent="0.25">
      <c r="B228" s="42" t="s">
        <v>466</v>
      </c>
      <c r="C228" s="43" t="s">
        <v>467</v>
      </c>
      <c r="E228" s="34" t="s">
        <v>467</v>
      </c>
      <c r="F228" s="33">
        <v>37653</v>
      </c>
      <c r="G228" s="33">
        <v>41306</v>
      </c>
      <c r="H228" s="38">
        <v>41548</v>
      </c>
      <c r="I228" s="38">
        <v>41456</v>
      </c>
      <c r="J228" s="36">
        <v>0.26036021761361505</v>
      </c>
      <c r="K228" s="36">
        <v>0.17374437055755321</v>
      </c>
      <c r="L228" s="36">
        <v>2.3235029249532642E-2</v>
      </c>
      <c r="M228" s="36">
        <v>8.612483324468416E-2</v>
      </c>
      <c r="N228" s="36">
        <v>0.26978315515016416</v>
      </c>
    </row>
    <row r="229" spans="2:14" ht="15" customHeight="1" x14ac:dyDescent="0.25">
      <c r="B229" s="42" t="s">
        <v>468</v>
      </c>
      <c r="C229" s="43" t="s">
        <v>469</v>
      </c>
      <c r="E229" s="34" t="s">
        <v>469</v>
      </c>
      <c r="F229" s="33">
        <v>37653</v>
      </c>
      <c r="G229" s="33">
        <v>41306</v>
      </c>
      <c r="H229" s="38">
        <v>41487</v>
      </c>
      <c r="I229" s="38">
        <v>41275</v>
      </c>
      <c r="J229" s="36">
        <v>4.7589281148392448E-2</v>
      </c>
      <c r="K229" s="36">
        <v>1.6471751189985229E-2</v>
      </c>
      <c r="L229" s="36">
        <v>5.1738194177166482E-3</v>
      </c>
      <c r="M229" s="36">
        <v>4.9908466003427222E-2</v>
      </c>
      <c r="N229" s="36">
        <v>0.10366616792752879</v>
      </c>
    </row>
    <row r="230" spans="2:14" ht="15" customHeight="1" x14ac:dyDescent="0.25">
      <c r="B230" s="42" t="s">
        <v>470</v>
      </c>
      <c r="C230" s="43" t="s">
        <v>471</v>
      </c>
      <c r="E230" s="34" t="s">
        <v>471</v>
      </c>
      <c r="F230" s="33">
        <v>37653</v>
      </c>
      <c r="G230" s="33">
        <v>41306</v>
      </c>
      <c r="H230" s="38">
        <v>41518</v>
      </c>
      <c r="I230" s="38">
        <v>41275</v>
      </c>
      <c r="J230" s="36">
        <v>9.4245077939527855E-2</v>
      </c>
      <c r="K230" s="36">
        <v>4.3016257170345185E-2</v>
      </c>
      <c r="L230" s="36">
        <v>8.5819154052143975E-3</v>
      </c>
      <c r="M230" s="36">
        <v>4.5620026383209104E-2</v>
      </c>
      <c r="N230" s="36">
        <v>0.18811728281623824</v>
      </c>
    </row>
    <row r="231" spans="2:14" ht="15" customHeight="1" x14ac:dyDescent="0.25">
      <c r="B231" s="42" t="s">
        <v>472</v>
      </c>
      <c r="C231" s="43" t="s">
        <v>473</v>
      </c>
      <c r="E231" s="34" t="s">
        <v>473</v>
      </c>
      <c r="F231" s="33">
        <v>37653</v>
      </c>
      <c r="G231" s="33">
        <v>41306</v>
      </c>
      <c r="H231" s="38">
        <v>41487</v>
      </c>
      <c r="I231" s="38">
        <v>41395</v>
      </c>
      <c r="J231" s="36">
        <v>0.15501234812186881</v>
      </c>
      <c r="K231" s="36">
        <v>0.14913254023910572</v>
      </c>
      <c r="L231" s="36">
        <v>1.3105344753954444E-2</v>
      </c>
      <c r="M231" s="36">
        <v>4.2750580113993769E-2</v>
      </c>
      <c r="N231" s="36">
        <v>0.30655361211495241</v>
      </c>
    </row>
    <row r="232" spans="2:14" ht="15" customHeight="1" x14ac:dyDescent="0.25">
      <c r="B232" s="42" t="s">
        <v>474</v>
      </c>
      <c r="C232" s="43" t="s">
        <v>475</v>
      </c>
      <c r="E232" s="34" t="s">
        <v>475</v>
      </c>
      <c r="F232" s="33">
        <v>37653</v>
      </c>
      <c r="G232" s="33">
        <v>41306</v>
      </c>
      <c r="H232" s="38">
        <v>41426</v>
      </c>
      <c r="I232" s="38">
        <v>41275</v>
      </c>
      <c r="J232" s="36">
        <v>0.19415108244891521</v>
      </c>
      <c r="K232" s="36">
        <v>0.1364737193951957</v>
      </c>
      <c r="L232" s="36">
        <v>1.7183122461529466E-2</v>
      </c>
      <c r="M232" s="36">
        <v>6.6280974929656372E-2</v>
      </c>
      <c r="N232" s="36">
        <v>0.25924667643718002</v>
      </c>
    </row>
    <row r="233" spans="2:14" ht="15" customHeight="1" x14ac:dyDescent="0.25">
      <c r="B233" s="42" t="s">
        <v>476</v>
      </c>
      <c r="C233" s="43" t="s">
        <v>477</v>
      </c>
      <c r="E233" s="34" t="s">
        <v>477</v>
      </c>
      <c r="F233" s="33">
        <v>38108</v>
      </c>
      <c r="G233" s="33">
        <v>41306</v>
      </c>
      <c r="H233" s="38">
        <v>41579</v>
      </c>
      <c r="I233" s="38">
        <v>41426</v>
      </c>
      <c r="J233" s="36">
        <v>0.13032274000747357</v>
      </c>
      <c r="K233" s="36">
        <v>3.4341088494489247E-2</v>
      </c>
      <c r="L233" s="36">
        <v>1.1960406457109088E-2</v>
      </c>
      <c r="M233" s="36">
        <v>5.8356694405343655E-2</v>
      </c>
      <c r="N233" s="36">
        <v>0.20495346042105303</v>
      </c>
    </row>
    <row r="234" spans="2:14" ht="15" customHeight="1" x14ac:dyDescent="0.25">
      <c r="B234" s="42" t="s">
        <v>478</v>
      </c>
      <c r="C234" s="43" t="s">
        <v>479</v>
      </c>
      <c r="E234" s="34" t="s">
        <v>479</v>
      </c>
      <c r="F234" s="33">
        <v>37653</v>
      </c>
      <c r="G234" s="33">
        <v>41306</v>
      </c>
      <c r="H234" s="38">
        <v>41306</v>
      </c>
      <c r="I234" s="38">
        <v>41365</v>
      </c>
      <c r="J234" s="36">
        <v>0.13289159324009781</v>
      </c>
      <c r="K234" s="36">
        <v>0.11204326308346735</v>
      </c>
      <c r="L234" s="36">
        <v>1.3296650239024887E-2</v>
      </c>
      <c r="M234" s="36">
        <v>9.1854402932527099E-2</v>
      </c>
      <c r="N234" s="36">
        <v>0.1447578974389733</v>
      </c>
    </row>
    <row r="235" spans="2:14" ht="15" customHeight="1" x14ac:dyDescent="0.25">
      <c r="B235" s="42" t="s">
        <v>480</v>
      </c>
      <c r="C235" s="43" t="s">
        <v>481</v>
      </c>
      <c r="E235" s="34" t="s">
        <v>481</v>
      </c>
      <c r="F235" s="33">
        <v>37653</v>
      </c>
      <c r="G235" s="33">
        <v>41306</v>
      </c>
      <c r="H235" s="38">
        <v>41579</v>
      </c>
      <c r="I235" s="38">
        <v>41456</v>
      </c>
      <c r="J235" s="36">
        <v>0.127917972561302</v>
      </c>
      <c r="K235" s="36">
        <v>0.1201155689847957</v>
      </c>
      <c r="L235" s="36">
        <v>1.1081809459440376E-2</v>
      </c>
      <c r="M235" s="36">
        <v>4.2929463358996625E-2</v>
      </c>
      <c r="N235" s="36">
        <v>0.25813994847242805</v>
      </c>
    </row>
    <row r="236" spans="2:14" ht="15" customHeight="1" x14ac:dyDescent="0.25">
      <c r="B236" s="42" t="s">
        <v>482</v>
      </c>
      <c r="C236" s="43" t="s">
        <v>483</v>
      </c>
      <c r="E236" s="34" t="s">
        <v>483</v>
      </c>
      <c r="F236" s="33">
        <v>37653</v>
      </c>
      <c r="G236" s="33">
        <v>41306</v>
      </c>
      <c r="H236" s="38">
        <v>41334</v>
      </c>
      <c r="I236" s="38">
        <v>41275</v>
      </c>
      <c r="J236" s="36">
        <v>0.36210932637961446</v>
      </c>
      <c r="K236" s="36">
        <v>0.22696312914208194</v>
      </c>
      <c r="L236" s="36">
        <v>3.0018139961611075E-2</v>
      </c>
      <c r="M236" s="36">
        <v>8.5926451988573654E-2</v>
      </c>
      <c r="N236" s="36">
        <v>0.34934690385683365</v>
      </c>
    </row>
    <row r="237" spans="2:14" ht="15" customHeight="1" x14ac:dyDescent="0.25">
      <c r="B237" s="42" t="s">
        <v>484</v>
      </c>
      <c r="C237" s="43" t="s">
        <v>485</v>
      </c>
      <c r="E237" s="34" t="s">
        <v>485</v>
      </c>
      <c r="F237" s="33">
        <v>37653</v>
      </c>
      <c r="G237" s="33">
        <v>41306</v>
      </c>
      <c r="H237" s="38">
        <v>41426</v>
      </c>
      <c r="I237" s="38">
        <v>41395</v>
      </c>
      <c r="J237" s="36">
        <v>0.12800687412058509</v>
      </c>
      <c r="K237" s="36">
        <v>0.11608379858439211</v>
      </c>
      <c r="L237" s="36">
        <v>1.1493144851529746E-2</v>
      </c>
      <c r="M237" s="36">
        <v>5.081419105034745E-2</v>
      </c>
      <c r="N237" s="36">
        <v>0.22617982524098768</v>
      </c>
    </row>
    <row r="238" spans="2:14" ht="15" customHeight="1" x14ac:dyDescent="0.25">
      <c r="B238" s="42" t="s">
        <v>486</v>
      </c>
      <c r="C238" s="43" t="s">
        <v>487</v>
      </c>
      <c r="E238" s="34" t="s">
        <v>487</v>
      </c>
      <c r="F238" s="33">
        <v>38657</v>
      </c>
      <c r="G238" s="33">
        <v>41306</v>
      </c>
      <c r="H238" s="38">
        <v>41275</v>
      </c>
      <c r="I238" s="38">
        <v>41609</v>
      </c>
      <c r="J238" s="36">
        <v>0.24591542648918363</v>
      </c>
      <c r="K238" s="36">
        <v>0.22243159580420824</v>
      </c>
      <c r="L238" s="36">
        <v>2.3412574765556745E-2</v>
      </c>
      <c r="M238" s="36">
        <v>9.8281079303633265E-2</v>
      </c>
      <c r="N238" s="36">
        <v>0.23822057034218208</v>
      </c>
    </row>
    <row r="239" spans="2:14" ht="15" customHeight="1" x14ac:dyDescent="0.25">
      <c r="B239" s="42" t="s">
        <v>488</v>
      </c>
      <c r="C239" s="43" t="s">
        <v>489</v>
      </c>
      <c r="E239" s="34" t="s">
        <v>489</v>
      </c>
      <c r="F239" s="33">
        <v>37653</v>
      </c>
      <c r="G239" s="33">
        <v>41306</v>
      </c>
      <c r="H239" s="38">
        <v>41426</v>
      </c>
      <c r="I239" s="38">
        <v>41365</v>
      </c>
      <c r="J239" s="36">
        <v>0.13345504560030341</v>
      </c>
      <c r="K239" s="36">
        <v>0.1080314050857063</v>
      </c>
      <c r="L239" s="36">
        <v>1.1754021543976806E-2</v>
      </c>
      <c r="M239" s="36">
        <v>4.8304340755479486E-2</v>
      </c>
      <c r="N239" s="36">
        <v>0.24333261483634819</v>
      </c>
    </row>
    <row r="240" spans="2:14" ht="15" customHeight="1" x14ac:dyDescent="0.25">
      <c r="B240" s="42" t="s">
        <v>490</v>
      </c>
      <c r="C240" s="43" t="s">
        <v>491</v>
      </c>
      <c r="E240" s="34" t="s">
        <v>491</v>
      </c>
      <c r="F240" s="33">
        <v>37653</v>
      </c>
      <c r="G240" s="33">
        <v>41306</v>
      </c>
      <c r="H240" s="38">
        <v>41487</v>
      </c>
      <c r="I240" s="38">
        <v>41395</v>
      </c>
      <c r="J240" s="36">
        <v>8.6960509642755479E-2</v>
      </c>
      <c r="K240" s="36">
        <v>-7.755687178892523E-3</v>
      </c>
      <c r="L240" s="36">
        <v>1.0912606511025111E-2</v>
      </c>
      <c r="M240" s="36">
        <v>9.0008406429437249E-2</v>
      </c>
      <c r="N240" s="36">
        <v>0.121239859074498</v>
      </c>
    </row>
    <row r="241" spans="2:14" ht="15" customHeight="1" x14ac:dyDescent="0.25">
      <c r="B241" s="42" t="s">
        <v>492</v>
      </c>
      <c r="C241" s="43" t="s">
        <v>493</v>
      </c>
      <c r="E241" s="34" t="s">
        <v>493</v>
      </c>
      <c r="F241" s="33">
        <v>37653</v>
      </c>
      <c r="G241" s="33">
        <v>41306</v>
      </c>
      <c r="H241" s="38">
        <v>41334</v>
      </c>
      <c r="I241" s="38">
        <v>41609</v>
      </c>
      <c r="J241" s="36">
        <v>9.2179536952452734E-2</v>
      </c>
      <c r="K241" s="36">
        <v>4.4059611586634073E-2</v>
      </c>
      <c r="L241" s="36">
        <v>9.7973158412203946E-3</v>
      </c>
      <c r="M241" s="36">
        <v>6.917570721397534E-2</v>
      </c>
      <c r="N241" s="36">
        <v>0.14162942795677086</v>
      </c>
    </row>
    <row r="242" spans="2:14" ht="15" customHeight="1" x14ac:dyDescent="0.25">
      <c r="B242" s="42" t="s">
        <v>494</v>
      </c>
      <c r="C242" s="43" t="s">
        <v>495</v>
      </c>
      <c r="E242" s="34" t="s">
        <v>495</v>
      </c>
      <c r="F242" s="33">
        <v>37653</v>
      </c>
      <c r="G242" s="33">
        <v>41306</v>
      </c>
      <c r="H242" s="38">
        <v>41365</v>
      </c>
      <c r="I242" s="38">
        <v>41334</v>
      </c>
      <c r="J242" s="36">
        <v>0.14426051835657105</v>
      </c>
      <c r="K242" s="36">
        <v>0.1031735183641298</v>
      </c>
      <c r="L242" s="36">
        <v>1.3688075719109219E-2</v>
      </c>
      <c r="M242" s="36">
        <v>6.808900710656593E-2</v>
      </c>
      <c r="N242" s="36">
        <v>0.20103209461824062</v>
      </c>
    </row>
    <row r="243" spans="2:14" ht="15" customHeight="1" x14ac:dyDescent="0.25">
      <c r="B243" s="42" t="s">
        <v>496</v>
      </c>
      <c r="C243" s="43" t="s">
        <v>497</v>
      </c>
      <c r="E243" s="34" t="s">
        <v>497</v>
      </c>
      <c r="F243" s="33">
        <v>37653</v>
      </c>
      <c r="G243" s="33">
        <v>41306</v>
      </c>
      <c r="H243" s="38">
        <v>41306</v>
      </c>
      <c r="I243" s="38">
        <v>41456</v>
      </c>
      <c r="J243" s="36">
        <v>0.10954472795678205</v>
      </c>
      <c r="K243" s="36">
        <v>4.987980658091451E-2</v>
      </c>
      <c r="L243" s="36">
        <v>1.1852902897116747E-2</v>
      </c>
      <c r="M243" s="36">
        <v>8.9551630349603742E-2</v>
      </c>
      <c r="N243" s="36">
        <v>0.13235831498370029</v>
      </c>
    </row>
    <row r="244" spans="2:14" ht="15" customHeight="1" x14ac:dyDescent="0.25">
      <c r="B244" s="42" t="s">
        <v>498</v>
      </c>
      <c r="C244" s="43" t="s">
        <v>499</v>
      </c>
      <c r="E244" s="34" t="s">
        <v>499</v>
      </c>
      <c r="F244" s="33">
        <v>37653</v>
      </c>
      <c r="G244" s="33">
        <v>41306</v>
      </c>
      <c r="H244" s="38">
        <v>41579</v>
      </c>
      <c r="I244" s="38">
        <v>41365</v>
      </c>
      <c r="J244" s="36">
        <v>0.14902683435057895</v>
      </c>
      <c r="K244" s="36">
        <v>2.8691777854340517E-2</v>
      </c>
      <c r="L244" s="36">
        <v>1.3835006155971632E-2</v>
      </c>
      <c r="M244" s="36">
        <v>6.925126717735712E-2</v>
      </c>
      <c r="N244" s="36">
        <v>0.19977982670756417</v>
      </c>
    </row>
    <row r="245" spans="2:14" ht="15" customHeight="1" x14ac:dyDescent="0.25">
      <c r="B245" s="42" t="s">
        <v>500</v>
      </c>
      <c r="C245" s="43" t="s">
        <v>501</v>
      </c>
      <c r="E245" s="34" t="s">
        <v>501</v>
      </c>
      <c r="F245" s="33">
        <v>37653</v>
      </c>
      <c r="G245" s="33">
        <v>41306</v>
      </c>
      <c r="H245" s="38">
        <v>41548</v>
      </c>
      <c r="I245" s="38">
        <v>41395</v>
      </c>
      <c r="J245" s="36">
        <v>0.1647929966753825</v>
      </c>
      <c r="K245" s="36">
        <v>0.11854760942635068</v>
      </c>
      <c r="L245" s="36">
        <v>1.517315948930808E-2</v>
      </c>
      <c r="M245" s="36">
        <v>7.2742528524443267E-2</v>
      </c>
      <c r="N245" s="36">
        <v>0.20858718822524197</v>
      </c>
    </row>
    <row r="246" spans="2:14" ht="15" customHeight="1" x14ac:dyDescent="0.25">
      <c r="B246" s="42" t="s">
        <v>502</v>
      </c>
      <c r="C246" s="43" t="s">
        <v>503</v>
      </c>
      <c r="E246" s="34" t="s">
        <v>503</v>
      </c>
      <c r="F246" s="33">
        <v>37653</v>
      </c>
      <c r="G246" s="33">
        <v>41306</v>
      </c>
      <c r="H246" s="38">
        <v>41579</v>
      </c>
      <c r="I246" s="38">
        <v>41548</v>
      </c>
      <c r="J246" s="36">
        <v>0.12094202739771731</v>
      </c>
      <c r="K246" s="36">
        <v>0.10250949593630865</v>
      </c>
      <c r="L246" s="36">
        <v>1.2233209287174506E-2</v>
      </c>
      <c r="M246" s="36">
        <v>7.2983106714036725E-2</v>
      </c>
      <c r="N246" s="36">
        <v>0.16761699848030329</v>
      </c>
    </row>
    <row r="247" spans="2:14" ht="15" customHeight="1" x14ac:dyDescent="0.25">
      <c r="B247" s="42" t="s">
        <v>504</v>
      </c>
      <c r="C247" s="43" t="s">
        <v>505</v>
      </c>
      <c r="E247" s="34" t="s">
        <v>505</v>
      </c>
      <c r="F247" s="33">
        <v>37653</v>
      </c>
      <c r="G247" s="33">
        <v>41306</v>
      </c>
      <c r="H247" s="38">
        <v>41487</v>
      </c>
      <c r="I247" s="38">
        <v>41456</v>
      </c>
      <c r="J247" s="36">
        <v>0.45880998207386736</v>
      </c>
      <c r="K247" s="36">
        <v>0.53968901519894241</v>
      </c>
      <c r="L247" s="36">
        <v>4.1142055370484744E-2</v>
      </c>
      <c r="M247" s="36">
        <v>0.13882241440696275</v>
      </c>
      <c r="N247" s="36">
        <v>0.29636464360773451</v>
      </c>
    </row>
    <row r="248" spans="2:14" ht="15" customHeight="1" x14ac:dyDescent="0.25">
      <c r="B248" s="42" t="s">
        <v>506</v>
      </c>
      <c r="C248" s="43" t="s">
        <v>507</v>
      </c>
      <c r="E248" s="34" t="s">
        <v>507</v>
      </c>
      <c r="F248" s="33">
        <v>37653</v>
      </c>
      <c r="G248" s="33">
        <v>41306</v>
      </c>
      <c r="H248" s="38">
        <v>41579</v>
      </c>
      <c r="I248" s="38">
        <v>41365</v>
      </c>
      <c r="J248" s="36">
        <v>0.10543764906645303</v>
      </c>
      <c r="K248" s="36">
        <v>-6.1119013483919349E-2</v>
      </c>
      <c r="L248" s="36">
        <v>9.4733884862515973E-3</v>
      </c>
      <c r="M248" s="36">
        <v>4.5852551592633108E-2</v>
      </c>
      <c r="N248" s="36">
        <v>0.20660548120453209</v>
      </c>
    </row>
    <row r="249" spans="2:14" ht="15" customHeight="1" x14ac:dyDescent="0.25">
      <c r="B249" s="42" t="s">
        <v>508</v>
      </c>
      <c r="C249" s="43" t="s">
        <v>509</v>
      </c>
      <c r="E249" s="34" t="s">
        <v>509</v>
      </c>
      <c r="F249" s="33">
        <v>37653</v>
      </c>
      <c r="G249" s="33">
        <v>41306</v>
      </c>
      <c r="H249" s="38">
        <v>41426</v>
      </c>
      <c r="I249" s="38">
        <v>41365</v>
      </c>
      <c r="J249" s="36">
        <v>0.11180850556693334</v>
      </c>
      <c r="K249" s="36">
        <v>0.10049467775916043</v>
      </c>
      <c r="L249" s="36">
        <v>1.0750240163515702E-2</v>
      </c>
      <c r="M249" s="36">
        <v>5.9499216560241548E-2</v>
      </c>
      <c r="N249" s="36">
        <v>0.18067868427530198</v>
      </c>
    </row>
    <row r="250" spans="2:14" ht="15" customHeight="1" x14ac:dyDescent="0.25">
      <c r="B250" s="42" t="s">
        <v>510</v>
      </c>
      <c r="C250" s="43" t="s">
        <v>511</v>
      </c>
      <c r="E250" s="34" t="s">
        <v>511</v>
      </c>
      <c r="F250" s="33">
        <v>37653</v>
      </c>
      <c r="G250" s="33">
        <v>41306</v>
      </c>
      <c r="H250" s="38">
        <v>41395</v>
      </c>
      <c r="I250" s="38">
        <v>41365</v>
      </c>
      <c r="J250" s="36">
        <v>0.13492844872609355</v>
      </c>
      <c r="K250" s="36">
        <v>0.14098852893733405</v>
      </c>
      <c r="L250" s="36">
        <v>1.5436496817479828E-2</v>
      </c>
      <c r="M250" s="36">
        <v>9.66765388789564E-2</v>
      </c>
      <c r="N250" s="36">
        <v>0.15967159143757775</v>
      </c>
    </row>
    <row r="251" spans="2:14" ht="15" customHeight="1" x14ac:dyDescent="0.25">
      <c r="B251" s="42" t="s">
        <v>512</v>
      </c>
      <c r="C251" s="43" t="s">
        <v>513</v>
      </c>
      <c r="E251" s="34" t="s">
        <v>513</v>
      </c>
      <c r="F251" s="33">
        <v>37653</v>
      </c>
      <c r="G251" s="33">
        <v>41306</v>
      </c>
      <c r="H251" s="38">
        <v>41334</v>
      </c>
      <c r="I251" s="38">
        <v>41609</v>
      </c>
      <c r="J251" s="36">
        <v>5.2583929776568228E-2</v>
      </c>
      <c r="K251" s="36">
        <v>2.7888791283869896E-2</v>
      </c>
      <c r="L251" s="36">
        <v>1.1674888582706317E-2</v>
      </c>
      <c r="M251" s="36">
        <v>0.1214511680554758</v>
      </c>
      <c r="N251" s="36">
        <v>9.6128252775416076E-2</v>
      </c>
    </row>
    <row r="252" spans="2:14" ht="15" customHeight="1" x14ac:dyDescent="0.25">
      <c r="B252" s="42" t="s">
        <v>514</v>
      </c>
      <c r="C252" s="43" t="s">
        <v>515</v>
      </c>
      <c r="E252" s="34" t="s">
        <v>515</v>
      </c>
      <c r="F252" s="33">
        <v>37653</v>
      </c>
      <c r="G252" s="33">
        <v>41306</v>
      </c>
      <c r="H252" s="38">
        <v>41426</v>
      </c>
      <c r="I252" s="38">
        <v>41365</v>
      </c>
      <c r="J252" s="36">
        <v>0.12831980838993129</v>
      </c>
      <c r="K252" s="36">
        <v>0.1115969882069483</v>
      </c>
      <c r="L252" s="36">
        <v>1.4775785363215473E-2</v>
      </c>
      <c r="M252" s="36">
        <v>9.577061671288406E-2</v>
      </c>
      <c r="N252" s="36">
        <v>0.15428307627497695</v>
      </c>
    </row>
    <row r="253" spans="2:14" ht="15" customHeight="1" x14ac:dyDescent="0.25">
      <c r="B253" s="42" t="s">
        <v>516</v>
      </c>
      <c r="C253" s="43" t="s">
        <v>517</v>
      </c>
      <c r="E253" s="34" t="s">
        <v>517</v>
      </c>
      <c r="F253" s="33">
        <v>37653</v>
      </c>
      <c r="G253" s="33">
        <v>41306</v>
      </c>
      <c r="H253" s="38">
        <v>41579</v>
      </c>
      <c r="I253" s="38">
        <v>41365</v>
      </c>
      <c r="J253" s="36">
        <v>0.18008913720053088</v>
      </c>
      <c r="K253" s="36">
        <v>1.8592002151588405E-2</v>
      </c>
      <c r="L253" s="36">
        <v>1.6550235977606655E-2</v>
      </c>
      <c r="M253" s="36">
        <v>7.6504984296693321E-2</v>
      </c>
      <c r="N253" s="36">
        <v>0.21632885922077086</v>
      </c>
    </row>
    <row r="254" spans="2:14" ht="15" customHeight="1" x14ac:dyDescent="0.25">
      <c r="B254" s="42" t="s">
        <v>518</v>
      </c>
      <c r="C254" s="43" t="s">
        <v>519</v>
      </c>
      <c r="E254" s="34" t="s">
        <v>519</v>
      </c>
      <c r="F254" s="33">
        <v>37653</v>
      </c>
      <c r="G254" s="33">
        <v>41306</v>
      </c>
      <c r="H254" s="38">
        <v>41548</v>
      </c>
      <c r="I254" s="38">
        <v>41334</v>
      </c>
      <c r="J254" s="36">
        <v>0.18205648878758374</v>
      </c>
      <c r="K254" s="36">
        <v>-4.2743438049193672E-2</v>
      </c>
      <c r="L254" s="36">
        <v>2.2451406094933419E-2</v>
      </c>
      <c r="M254" s="36">
        <v>0.12934524053096658</v>
      </c>
      <c r="N254" s="36">
        <v>0.17357736552786665</v>
      </c>
    </row>
    <row r="255" spans="2:14" ht="15" customHeight="1" x14ac:dyDescent="0.25">
      <c r="B255" s="42" t="s">
        <v>520</v>
      </c>
      <c r="C255" s="43" t="s">
        <v>521</v>
      </c>
      <c r="E255" s="34" t="s">
        <v>521</v>
      </c>
      <c r="F255" s="33">
        <v>37653</v>
      </c>
      <c r="G255" s="33">
        <v>41306</v>
      </c>
      <c r="H255" s="38">
        <v>41548</v>
      </c>
      <c r="I255" s="38">
        <v>41395</v>
      </c>
      <c r="J255" s="36">
        <v>0.14844752703959685</v>
      </c>
      <c r="K255" s="36">
        <v>9.7068891912996724E-2</v>
      </c>
      <c r="L255" s="36">
        <v>1.433759194611714E-2</v>
      </c>
      <c r="M255" s="36">
        <v>7.2934546794085148E-2</v>
      </c>
      <c r="N255" s="36">
        <v>0.19658162799854254</v>
      </c>
    </row>
    <row r="256" spans="2:14" ht="15" customHeight="1" x14ac:dyDescent="0.25">
      <c r="B256" s="42" t="s">
        <v>522</v>
      </c>
      <c r="C256" s="43" t="s">
        <v>523</v>
      </c>
      <c r="E256" s="34" t="s">
        <v>523</v>
      </c>
      <c r="F256" s="33">
        <v>37653</v>
      </c>
      <c r="G256" s="33">
        <v>41306</v>
      </c>
      <c r="H256" s="38">
        <v>41306</v>
      </c>
      <c r="I256" s="38">
        <v>41609</v>
      </c>
      <c r="J256" s="36">
        <v>8.291597974228937E-2</v>
      </c>
      <c r="K256" s="36">
        <v>6.3011454943050493E-2</v>
      </c>
      <c r="L256" s="36">
        <v>7.2460350269304453E-3</v>
      </c>
      <c r="M256" s="36">
        <v>3.2674094973024086E-2</v>
      </c>
      <c r="N256" s="36">
        <v>0.22176696961041498</v>
      </c>
    </row>
    <row r="257" spans="2:14" ht="15" customHeight="1" x14ac:dyDescent="0.25">
      <c r="B257" s="42" t="s">
        <v>524</v>
      </c>
      <c r="C257" s="43" t="s">
        <v>525</v>
      </c>
      <c r="E257" s="34" t="s">
        <v>525</v>
      </c>
      <c r="F257" s="33">
        <v>37653</v>
      </c>
      <c r="G257" s="33">
        <v>41306</v>
      </c>
      <c r="H257" s="38">
        <v>41426</v>
      </c>
      <c r="I257" s="38">
        <v>41365</v>
      </c>
      <c r="J257" s="36">
        <v>0.12694187552703262</v>
      </c>
      <c r="K257" s="36">
        <v>9.4377253486315205E-2</v>
      </c>
      <c r="L257" s="36">
        <v>1.6648447351548044E-2</v>
      </c>
      <c r="M257" s="36">
        <v>0.11916059426939782</v>
      </c>
      <c r="N257" s="36">
        <v>0.13971436995278236</v>
      </c>
    </row>
    <row r="258" spans="2:14" ht="15" customHeight="1" x14ac:dyDescent="0.25">
      <c r="B258" s="42" t="s">
        <v>526</v>
      </c>
      <c r="C258" s="43" t="s">
        <v>527</v>
      </c>
      <c r="E258" s="34" t="s">
        <v>527</v>
      </c>
      <c r="F258" s="33">
        <v>37653</v>
      </c>
      <c r="G258" s="33">
        <v>41306</v>
      </c>
      <c r="H258" s="38">
        <v>41306</v>
      </c>
      <c r="I258" s="38">
        <v>41365</v>
      </c>
      <c r="J258" s="36">
        <v>7.0852842054336618E-2</v>
      </c>
      <c r="K258" s="36">
        <v>-1.5691063768171309E-2</v>
      </c>
      <c r="L258" s="36">
        <v>8.069828084859355E-3</v>
      </c>
      <c r="M258" s="36">
        <v>7.5315415169640548E-2</v>
      </c>
      <c r="N258" s="36">
        <v>0.10714709686832188</v>
      </c>
    </row>
    <row r="259" spans="2:14" ht="15" customHeight="1" x14ac:dyDescent="0.25">
      <c r="B259" s="42" t="s">
        <v>528</v>
      </c>
      <c r="C259" s="43" t="s">
        <v>529</v>
      </c>
      <c r="E259" s="34" t="s">
        <v>529</v>
      </c>
      <c r="F259" s="33">
        <v>37653</v>
      </c>
      <c r="G259" s="33">
        <v>40878</v>
      </c>
      <c r="H259" s="38">
        <v>41518</v>
      </c>
      <c r="I259" s="38">
        <v>41395</v>
      </c>
      <c r="J259" s="36">
        <v>0.37770825759581572</v>
      </c>
      <c r="K259" s="36">
        <v>0.41413981873739569</v>
      </c>
      <c r="L259" s="36">
        <v>3.3018366659729612E-2</v>
      </c>
      <c r="M259" s="36">
        <v>0.10911246905145101</v>
      </c>
      <c r="N259" s="36">
        <v>0.3026085556194324</v>
      </c>
    </row>
    <row r="260" spans="2:14" ht="15" customHeight="1" x14ac:dyDescent="0.25">
      <c r="B260" s="42" t="s">
        <v>530</v>
      </c>
      <c r="C260" s="43" t="s">
        <v>531</v>
      </c>
      <c r="E260" s="34" t="s">
        <v>531</v>
      </c>
      <c r="F260" s="33">
        <v>37653</v>
      </c>
      <c r="G260" s="33">
        <v>41306</v>
      </c>
      <c r="H260" s="38">
        <v>41426</v>
      </c>
      <c r="I260" s="38">
        <v>41365</v>
      </c>
      <c r="J260" s="36">
        <v>0.15688188730703256</v>
      </c>
      <c r="K260" s="36">
        <v>0.10756611495532464</v>
      </c>
      <c r="L260" s="36">
        <v>1.5071825161281888E-2</v>
      </c>
      <c r="M260" s="36">
        <v>7.426324240656379E-2</v>
      </c>
      <c r="N260" s="36">
        <v>0.20295134810798077</v>
      </c>
    </row>
    <row r="261" spans="2:14" ht="15" customHeight="1" x14ac:dyDescent="0.25">
      <c r="B261" s="42" t="s">
        <v>532</v>
      </c>
      <c r="C261" s="43" t="s">
        <v>533</v>
      </c>
      <c r="E261" s="34" t="s">
        <v>533</v>
      </c>
      <c r="F261" s="33">
        <v>37653</v>
      </c>
      <c r="G261" s="33">
        <v>41306</v>
      </c>
      <c r="H261" s="38">
        <v>41426</v>
      </c>
      <c r="I261" s="38">
        <v>41365</v>
      </c>
      <c r="J261" s="36">
        <v>0.24110377568985775</v>
      </c>
      <c r="K261" s="36">
        <v>0.22520535627756622</v>
      </c>
      <c r="L261" s="36">
        <v>2.36525466113259E-2</v>
      </c>
      <c r="M261" s="36">
        <v>0.10196373699130236</v>
      </c>
      <c r="N261" s="36">
        <v>0.23197018184360479</v>
      </c>
    </row>
    <row r="262" spans="2:14" ht="15" customHeight="1" x14ac:dyDescent="0.25">
      <c r="B262" s="42" t="s">
        <v>534</v>
      </c>
      <c r="C262" s="43" t="s">
        <v>535</v>
      </c>
      <c r="E262" s="34" t="s">
        <v>535</v>
      </c>
      <c r="F262" s="33">
        <v>37653</v>
      </c>
      <c r="G262" s="33">
        <v>41306</v>
      </c>
      <c r="H262" s="38">
        <v>41579</v>
      </c>
      <c r="I262" s="38">
        <v>41518</v>
      </c>
      <c r="J262" s="36">
        <v>0.10016155135398641</v>
      </c>
      <c r="K262" s="36">
        <v>9.9288815820587351E-2</v>
      </c>
      <c r="L262" s="36">
        <v>8.6641840906497656E-3</v>
      </c>
      <c r="M262" s="36">
        <v>3.5219340783009444E-2</v>
      </c>
      <c r="N262" s="36">
        <v>0.24600642425509428</v>
      </c>
    </row>
    <row r="263" spans="2:14" ht="15" customHeight="1" x14ac:dyDescent="0.25">
      <c r="B263" s="42" t="s">
        <v>536</v>
      </c>
      <c r="C263" s="43" t="s">
        <v>537</v>
      </c>
      <c r="E263" s="34" t="s">
        <v>537</v>
      </c>
      <c r="F263" s="33">
        <v>37653</v>
      </c>
      <c r="G263" s="33">
        <v>41306</v>
      </c>
      <c r="H263" s="38">
        <v>41579</v>
      </c>
      <c r="I263" s="38">
        <v>41334</v>
      </c>
      <c r="J263" s="36">
        <v>6.8450566154587333E-2</v>
      </c>
      <c r="K263" s="36">
        <v>-5.9029051682098932E-2</v>
      </c>
      <c r="L263" s="36">
        <v>6.625768278249621E-3</v>
      </c>
      <c r="M263" s="36">
        <v>4.7000545217773061E-2</v>
      </c>
      <c r="N263" s="36">
        <v>0.14097215782390785</v>
      </c>
    </row>
    <row r="264" spans="2:14" ht="15" customHeight="1" x14ac:dyDescent="0.25">
      <c r="B264" s="42" t="s">
        <v>538</v>
      </c>
      <c r="C264" s="43" t="s">
        <v>539</v>
      </c>
      <c r="E264" s="34" t="s">
        <v>539</v>
      </c>
      <c r="F264" s="33">
        <v>37653</v>
      </c>
      <c r="G264" s="33">
        <v>41183</v>
      </c>
      <c r="H264" s="38">
        <v>41334</v>
      </c>
      <c r="I264" s="38">
        <v>41609</v>
      </c>
      <c r="J264" s="36">
        <v>9.5322304282862591E-2</v>
      </c>
      <c r="K264" s="36">
        <v>7.1527903494857048E-2</v>
      </c>
      <c r="L264" s="36">
        <v>8.6875524320274167E-3</v>
      </c>
      <c r="M264" s="36">
        <v>4.4674961797881871E-2</v>
      </c>
      <c r="N264" s="36">
        <v>0.19446132872662716</v>
      </c>
    </row>
    <row r="265" spans="2:14" ht="15" customHeight="1" x14ac:dyDescent="0.25">
      <c r="B265" s="42" t="s">
        <v>540</v>
      </c>
      <c r="C265" s="43" t="s">
        <v>541</v>
      </c>
      <c r="E265" s="34" t="s">
        <v>541</v>
      </c>
      <c r="F265" s="33">
        <v>37653</v>
      </c>
      <c r="G265" s="33">
        <v>41306</v>
      </c>
      <c r="H265" s="38">
        <v>41426</v>
      </c>
      <c r="I265" s="38">
        <v>41365</v>
      </c>
      <c r="J265" s="36">
        <v>0.1293467834146862</v>
      </c>
      <c r="K265" s="36">
        <v>7.2429625546350573E-2</v>
      </c>
      <c r="L265" s="36">
        <v>1.6680853471042447E-2</v>
      </c>
      <c r="M265" s="36">
        <v>0.11312418760485482</v>
      </c>
      <c r="N265" s="36">
        <v>0.14745611724796664</v>
      </c>
    </row>
    <row r="266" spans="2:14" ht="15" customHeight="1" x14ac:dyDescent="0.25">
      <c r="B266" s="42" t="s">
        <v>542</v>
      </c>
      <c r="C266" s="43" t="s">
        <v>543</v>
      </c>
      <c r="E266" s="34" t="s">
        <v>543</v>
      </c>
      <c r="F266" s="33">
        <v>37653</v>
      </c>
      <c r="G266" s="33">
        <v>41306</v>
      </c>
      <c r="H266" s="38">
        <v>41334</v>
      </c>
      <c r="I266" s="38">
        <v>41609</v>
      </c>
      <c r="J266" s="36">
        <v>7.2030743968305444E-2</v>
      </c>
      <c r="K266" s="36">
        <v>6.1371474692671457E-2</v>
      </c>
      <c r="L266" s="36">
        <v>1.0187122144169532E-2</v>
      </c>
      <c r="M266" s="36">
        <v>9.4579326658241494E-2</v>
      </c>
      <c r="N266" s="36">
        <v>0.10770981888019016</v>
      </c>
    </row>
    <row r="267" spans="2:14" ht="15" customHeight="1" x14ac:dyDescent="0.25">
      <c r="B267" s="42" t="s">
        <v>544</v>
      </c>
      <c r="C267" s="43" t="s">
        <v>545</v>
      </c>
      <c r="E267" s="34" t="s">
        <v>545</v>
      </c>
      <c r="F267" s="33">
        <v>37653</v>
      </c>
      <c r="G267" s="33">
        <v>41306</v>
      </c>
      <c r="H267" s="38">
        <v>41548</v>
      </c>
      <c r="I267" s="38">
        <v>41518</v>
      </c>
      <c r="J267" s="36">
        <v>0.11150543108198763</v>
      </c>
      <c r="K267" s="36">
        <v>0.10824864143930335</v>
      </c>
      <c r="L267" s="36">
        <v>9.5350857644039243E-3</v>
      </c>
      <c r="M267" s="36">
        <v>3.5182193680703834E-2</v>
      </c>
      <c r="N267" s="36">
        <v>0.27102021695803397</v>
      </c>
    </row>
    <row r="268" spans="2:14" ht="15" customHeight="1" x14ac:dyDescent="0.25">
      <c r="B268" s="42" t="s">
        <v>546</v>
      </c>
      <c r="C268" s="43" t="s">
        <v>547</v>
      </c>
      <c r="E268" s="34" t="s">
        <v>547</v>
      </c>
      <c r="F268" s="33">
        <v>37653</v>
      </c>
      <c r="G268" s="33">
        <v>41306</v>
      </c>
      <c r="H268" s="38">
        <v>41395</v>
      </c>
      <c r="I268" s="38">
        <v>41334</v>
      </c>
      <c r="J268" s="36">
        <v>0.24899185518272171</v>
      </c>
      <c r="K268" s="36">
        <v>0.17790935119154239</v>
      </c>
      <c r="L268" s="36">
        <v>2.5003225957388155E-2</v>
      </c>
      <c r="M268" s="36">
        <v>0.11232492984898823</v>
      </c>
      <c r="N268" s="36">
        <v>0.2225972986673837</v>
      </c>
    </row>
    <row r="269" spans="2:14" ht="15" customHeight="1" x14ac:dyDescent="0.25">
      <c r="B269" s="42" t="s">
        <v>548</v>
      </c>
      <c r="C269" s="43" t="s">
        <v>549</v>
      </c>
      <c r="E269" s="34" t="s">
        <v>549</v>
      </c>
      <c r="F269" s="33">
        <v>37653</v>
      </c>
      <c r="G269" s="33">
        <v>41306</v>
      </c>
      <c r="H269" s="38">
        <v>41426</v>
      </c>
      <c r="I269" s="38">
        <v>41395</v>
      </c>
      <c r="J269" s="36">
        <v>9.2548689777041115E-2</v>
      </c>
      <c r="K269" s="36">
        <v>9.2883233611328775E-2</v>
      </c>
      <c r="L269" s="36">
        <v>8.4334080828390653E-3</v>
      </c>
      <c r="M269" s="36">
        <v>4.3852430507885995E-2</v>
      </c>
      <c r="N269" s="36">
        <v>0.19231335607093622</v>
      </c>
    </row>
    <row r="270" spans="2:14" ht="15" customHeight="1" x14ac:dyDescent="0.25">
      <c r="B270" s="42" t="s">
        <v>550</v>
      </c>
      <c r="C270" s="43" t="s">
        <v>551</v>
      </c>
      <c r="E270" s="34" t="s">
        <v>551</v>
      </c>
      <c r="F270" s="33">
        <v>37653</v>
      </c>
      <c r="G270" s="33">
        <v>41306</v>
      </c>
      <c r="H270" s="38">
        <v>41334</v>
      </c>
      <c r="I270" s="38">
        <v>41579</v>
      </c>
      <c r="J270" s="36">
        <v>0.10027997552248191</v>
      </c>
      <c r="K270" s="36">
        <v>8.8285164168863561E-2</v>
      </c>
      <c r="L270" s="36">
        <v>9.0738390509371037E-3</v>
      </c>
      <c r="M270" s="36">
        <v>4.5322861815802293E-2</v>
      </c>
      <c r="N270" s="36">
        <v>0.20020445945832605</v>
      </c>
    </row>
    <row r="271" spans="2:14" ht="15" customHeight="1" x14ac:dyDescent="0.25">
      <c r="B271" s="42" t="s">
        <v>552</v>
      </c>
      <c r="C271" s="43" t="s">
        <v>553</v>
      </c>
      <c r="E271" s="34" t="s">
        <v>553</v>
      </c>
      <c r="F271" s="33">
        <v>37653</v>
      </c>
      <c r="G271" s="33">
        <v>41306</v>
      </c>
      <c r="H271" s="38">
        <v>41275</v>
      </c>
      <c r="I271" s="38">
        <v>41518</v>
      </c>
      <c r="J271" s="36">
        <v>9.5283684079774611E-2</v>
      </c>
      <c r="K271" s="36">
        <v>-1.3690616277498568E-3</v>
      </c>
      <c r="L271" s="36">
        <v>9.6035868332889265E-3</v>
      </c>
      <c r="M271" s="36">
        <v>6.2752762818018823E-2</v>
      </c>
      <c r="N271" s="36">
        <v>0.15303847037203841</v>
      </c>
    </row>
    <row r="272" spans="2:14" ht="15" customHeight="1" x14ac:dyDescent="0.25">
      <c r="B272" s="42" t="s">
        <v>554</v>
      </c>
      <c r="C272" s="43" t="s">
        <v>555</v>
      </c>
      <c r="E272" s="34" t="s">
        <v>555</v>
      </c>
      <c r="F272" s="33">
        <v>37653</v>
      </c>
      <c r="G272" s="33">
        <v>41306</v>
      </c>
      <c r="H272" s="38">
        <v>41518</v>
      </c>
      <c r="I272" s="38">
        <v>41487</v>
      </c>
      <c r="J272" s="36">
        <v>0.13171406788918194</v>
      </c>
      <c r="K272" s="36">
        <v>0.12443452600699145</v>
      </c>
      <c r="L272" s="36">
        <v>1.2437963896931659E-2</v>
      </c>
      <c r="M272" s="36">
        <v>6.2925620525351986E-2</v>
      </c>
      <c r="N272" s="36">
        <v>0.19766136262288508</v>
      </c>
    </row>
    <row r="273" spans="2:14" ht="15" customHeight="1" x14ac:dyDescent="0.25">
      <c r="B273" s="42" t="s">
        <v>556</v>
      </c>
      <c r="C273" s="43" t="s">
        <v>557</v>
      </c>
      <c r="E273" s="34" t="s">
        <v>557</v>
      </c>
      <c r="F273" s="33">
        <v>37653</v>
      </c>
      <c r="G273" s="33">
        <v>41306</v>
      </c>
      <c r="H273" s="38">
        <v>41426</v>
      </c>
      <c r="I273" s="38">
        <v>41395</v>
      </c>
      <c r="J273" s="36">
        <v>0.10632174954051044</v>
      </c>
      <c r="K273" s="36">
        <v>8.7430263136123454E-2</v>
      </c>
      <c r="L273" s="36">
        <v>1.1420447948146995E-2</v>
      </c>
      <c r="M273" s="36">
        <v>7.6029314972837325E-2</v>
      </c>
      <c r="N273" s="36">
        <v>0.15021111201945106</v>
      </c>
    </row>
    <row r="274" spans="2:14" ht="15" customHeight="1" x14ac:dyDescent="0.25">
      <c r="B274" s="42" t="s">
        <v>558</v>
      </c>
      <c r="C274" s="43" t="s">
        <v>559</v>
      </c>
      <c r="E274" s="34" t="s">
        <v>559</v>
      </c>
      <c r="F274" s="33">
        <v>37653</v>
      </c>
      <c r="G274" s="33">
        <v>41306</v>
      </c>
      <c r="H274" s="38">
        <v>41579</v>
      </c>
      <c r="I274" s="38">
        <v>41365</v>
      </c>
      <c r="J274" s="36">
        <v>0.16047099440185453</v>
      </c>
      <c r="K274" s="36">
        <v>6.6194099241773552E-2</v>
      </c>
      <c r="L274" s="36">
        <v>1.4845220701328654E-2</v>
      </c>
      <c r="M274" s="36">
        <v>6.9590679505839331E-2</v>
      </c>
      <c r="N274" s="36">
        <v>0.21332196792363547</v>
      </c>
    </row>
    <row r="275" spans="2:14" ht="15" customHeight="1" x14ac:dyDescent="0.25">
      <c r="B275" s="42" t="s">
        <v>560</v>
      </c>
      <c r="C275" s="43" t="s">
        <v>561</v>
      </c>
      <c r="E275" s="34" t="s">
        <v>561</v>
      </c>
      <c r="F275" s="33">
        <v>37653</v>
      </c>
      <c r="G275" s="33">
        <v>41306</v>
      </c>
      <c r="H275" s="38">
        <v>41456</v>
      </c>
      <c r="I275" s="38">
        <v>41426</v>
      </c>
      <c r="J275" s="36">
        <v>0.13758954789531863</v>
      </c>
      <c r="K275" s="36">
        <v>0.12426570509909451</v>
      </c>
      <c r="L275" s="36">
        <v>1.2235679306860413E-2</v>
      </c>
      <c r="M275" s="36">
        <v>5.2413513246125004E-2</v>
      </c>
      <c r="N275" s="36">
        <v>0.23344512796544911</v>
      </c>
    </row>
    <row r="276" spans="2:14" ht="15" customHeight="1" x14ac:dyDescent="0.25">
      <c r="B276" s="42" t="s">
        <v>562</v>
      </c>
      <c r="C276" s="43" t="s">
        <v>563</v>
      </c>
      <c r="E276" s="34" t="s">
        <v>563</v>
      </c>
      <c r="F276" s="33">
        <v>37653</v>
      </c>
      <c r="G276" s="33">
        <v>41306</v>
      </c>
      <c r="H276" s="38">
        <v>41548</v>
      </c>
      <c r="I276" s="38">
        <v>41365</v>
      </c>
      <c r="J276" s="36">
        <v>0.15747516758078595</v>
      </c>
      <c r="K276" s="36">
        <v>0.15304653030393744</v>
      </c>
      <c r="L276" s="36">
        <v>1.365378323281472E-2</v>
      </c>
      <c r="M276" s="36">
        <v>5.3099130756638246E-2</v>
      </c>
      <c r="N276" s="36">
        <v>0.25713760353991816</v>
      </c>
    </row>
    <row r="277" spans="2:14" ht="15" customHeight="1" x14ac:dyDescent="0.25">
      <c r="B277" s="42" t="s">
        <v>564</v>
      </c>
      <c r="C277" s="43" t="s">
        <v>565</v>
      </c>
      <c r="E277" s="34" t="s">
        <v>565</v>
      </c>
      <c r="F277" s="33">
        <v>37653</v>
      </c>
      <c r="G277" s="33">
        <v>41306</v>
      </c>
      <c r="H277" s="38">
        <v>41548</v>
      </c>
      <c r="I277" s="38">
        <v>41365</v>
      </c>
      <c r="J277" s="36">
        <v>0.10384631782549159</v>
      </c>
      <c r="K277" s="36">
        <v>9.0159043875468914E-2</v>
      </c>
      <c r="L277" s="36">
        <v>9.1215946801528978E-3</v>
      </c>
      <c r="M277" s="36">
        <v>3.9699538322806115E-2</v>
      </c>
      <c r="N277" s="36">
        <v>0.22976576216033306</v>
      </c>
    </row>
    <row r="278" spans="2:14" ht="15" customHeight="1" x14ac:dyDescent="0.25">
      <c r="B278" s="42" t="s">
        <v>566</v>
      </c>
      <c r="C278" s="43" t="s">
        <v>567</v>
      </c>
      <c r="E278" s="34" t="s">
        <v>567</v>
      </c>
      <c r="F278" s="33">
        <v>37653</v>
      </c>
      <c r="G278" s="33">
        <v>41306</v>
      </c>
      <c r="H278" s="38">
        <v>41548</v>
      </c>
      <c r="I278" s="38">
        <v>41456</v>
      </c>
      <c r="J278" s="36">
        <v>6.1346494607732005E-2</v>
      </c>
      <c r="K278" s="36">
        <v>4.2167163381298778E-2</v>
      </c>
      <c r="L278" s="36">
        <v>6.6050832592645945E-3</v>
      </c>
      <c r="M278" s="36">
        <v>5.6824866897502525E-2</v>
      </c>
      <c r="N278" s="36">
        <v>0.11623578936275326</v>
      </c>
    </row>
    <row r="279" spans="2:14" ht="15" customHeight="1" x14ac:dyDescent="0.25">
      <c r="B279" s="42" t="s">
        <v>568</v>
      </c>
      <c r="C279" s="43" t="s">
        <v>569</v>
      </c>
      <c r="E279" s="34" t="s">
        <v>569</v>
      </c>
      <c r="F279" s="33">
        <v>37653</v>
      </c>
      <c r="G279" s="33">
        <v>41306</v>
      </c>
      <c r="H279" s="38">
        <v>41548</v>
      </c>
      <c r="I279" s="38">
        <v>41395</v>
      </c>
      <c r="J279" s="36">
        <v>7.0031360314931179E-2</v>
      </c>
      <c r="K279" s="36">
        <v>3.3863439259296912E-2</v>
      </c>
      <c r="L279" s="36">
        <v>6.6961808720710095E-3</v>
      </c>
      <c r="M279" s="36">
        <v>4.4780387953405373E-2</v>
      </c>
      <c r="N279" s="36">
        <v>0.14953378427713668</v>
      </c>
    </row>
    <row r="280" spans="2:14" ht="15" customHeight="1" x14ac:dyDescent="0.25">
      <c r="B280" s="42" t="s">
        <v>570</v>
      </c>
      <c r="C280" s="43" t="s">
        <v>571</v>
      </c>
      <c r="E280" s="34" t="s">
        <v>571</v>
      </c>
      <c r="F280" s="33">
        <v>37653</v>
      </c>
      <c r="G280" s="33">
        <v>41306</v>
      </c>
      <c r="H280" s="38">
        <v>41579</v>
      </c>
      <c r="I280" s="38">
        <v>41365</v>
      </c>
      <c r="J280" s="36">
        <v>4.1186198459987944E-2</v>
      </c>
      <c r="K280" s="36">
        <v>-7.5244942101373447E-3</v>
      </c>
      <c r="L280" s="36">
        <v>5.5783877884473497E-3</v>
      </c>
      <c r="M280" s="36">
        <v>6.6260676481387296E-2</v>
      </c>
      <c r="N280" s="36">
        <v>8.4188512473372126E-2</v>
      </c>
    </row>
    <row r="281" spans="2:14" ht="15" customHeight="1" x14ac:dyDescent="0.25">
      <c r="B281" s="42" t="s">
        <v>572</v>
      </c>
      <c r="C281" s="43" t="s">
        <v>573</v>
      </c>
      <c r="E281" s="34" t="s">
        <v>573</v>
      </c>
      <c r="F281" s="33">
        <v>37653</v>
      </c>
      <c r="G281" s="33">
        <v>41306</v>
      </c>
      <c r="H281" s="38">
        <v>41548</v>
      </c>
      <c r="I281" s="38">
        <v>41518</v>
      </c>
      <c r="J281" s="36">
        <v>0.12699247635060362</v>
      </c>
      <c r="K281" s="36">
        <v>9.2814922943224465E-2</v>
      </c>
      <c r="L281" s="36">
        <v>1.1505685526114189E-2</v>
      </c>
      <c r="M281" s="36">
        <v>5.2803413170884786E-2</v>
      </c>
      <c r="N281" s="36">
        <v>0.21789662514578309</v>
      </c>
    </row>
    <row r="282" spans="2:14" ht="15" customHeight="1" x14ac:dyDescent="0.25">
      <c r="B282" s="42" t="s">
        <v>574</v>
      </c>
      <c r="C282" s="43" t="s">
        <v>575</v>
      </c>
      <c r="E282" s="34" t="s">
        <v>575</v>
      </c>
      <c r="F282" s="33">
        <v>37653</v>
      </c>
      <c r="G282" s="33">
        <v>41306</v>
      </c>
      <c r="H282" s="38">
        <v>41579</v>
      </c>
      <c r="I282" s="38">
        <v>41395</v>
      </c>
      <c r="J282" s="36">
        <v>0.13217887226235869</v>
      </c>
      <c r="K282" s="36">
        <v>2.512376000980554E-2</v>
      </c>
      <c r="L282" s="36">
        <v>1.6193695277862366E-2</v>
      </c>
      <c r="M282" s="36">
        <v>0.11464936829332344</v>
      </c>
      <c r="N282" s="36">
        <v>0.14124539471017217</v>
      </c>
    </row>
    <row r="283" spans="2:14" ht="15" customHeight="1" x14ac:dyDescent="0.25">
      <c r="B283" s="42" t="s">
        <v>576</v>
      </c>
      <c r="C283" s="43" t="s">
        <v>577</v>
      </c>
      <c r="E283" s="34" t="s">
        <v>577</v>
      </c>
      <c r="F283" s="33">
        <v>39600</v>
      </c>
      <c r="G283" s="33">
        <v>41306</v>
      </c>
      <c r="H283" s="38">
        <v>41275</v>
      </c>
      <c r="I283" s="38">
        <v>41609</v>
      </c>
      <c r="J283" s="36">
        <v>0.2610285382383144</v>
      </c>
      <c r="K283" s="36">
        <v>0.1781367857325109</v>
      </c>
      <c r="L283" s="36">
        <v>2.1446203866935912E-2</v>
      </c>
      <c r="M283" s="36">
        <v>5.8339572735979547E-2</v>
      </c>
      <c r="N283" s="36">
        <v>0.36760988915692683</v>
      </c>
    </row>
    <row r="284" spans="2:14" ht="15" customHeight="1" x14ac:dyDescent="0.25">
      <c r="B284" s="42" t="s">
        <v>578</v>
      </c>
      <c r="C284" s="43" t="s">
        <v>4</v>
      </c>
      <c r="E284" s="34" t="s">
        <v>4</v>
      </c>
      <c r="F284" s="33">
        <v>37653</v>
      </c>
      <c r="G284" s="33">
        <v>41306</v>
      </c>
      <c r="H284" s="38">
        <v>41456</v>
      </c>
      <c r="I284" s="38">
        <v>41365</v>
      </c>
      <c r="J284" s="36">
        <v>0.15347714035244886</v>
      </c>
      <c r="K284" s="36">
        <v>8.1929524671009446E-2</v>
      </c>
      <c r="L284" s="36">
        <v>1.419767072715427E-2</v>
      </c>
      <c r="M284" s="36">
        <v>6.6283081677155242E-2</v>
      </c>
      <c r="N284" s="36">
        <v>0.21419750512365751</v>
      </c>
    </row>
    <row r="285" spans="2:14" ht="15" customHeight="1" x14ac:dyDescent="0.25">
      <c r="B285" s="42" t="s">
        <v>579</v>
      </c>
      <c r="C285" s="43" t="s">
        <v>580</v>
      </c>
      <c r="E285" s="34" t="s">
        <v>580</v>
      </c>
      <c r="F285" s="33">
        <v>37653</v>
      </c>
      <c r="G285" s="33">
        <v>41306</v>
      </c>
      <c r="H285" s="38">
        <v>41579</v>
      </c>
      <c r="I285" s="38">
        <v>41395</v>
      </c>
      <c r="J285" s="36">
        <v>0.15708048554649112</v>
      </c>
      <c r="K285" s="36">
        <v>5.168326800516021E-2</v>
      </c>
      <c r="L285" s="36">
        <v>1.5746747508628863E-2</v>
      </c>
      <c r="M285" s="36">
        <v>8.4972086333596944E-2</v>
      </c>
      <c r="N285" s="36">
        <v>0.18531671032305569</v>
      </c>
    </row>
    <row r="286" spans="2:14" ht="15" customHeight="1" x14ac:dyDescent="0.25">
      <c r="B286" s="42" t="s">
        <v>581</v>
      </c>
      <c r="C286" s="43" t="s">
        <v>582</v>
      </c>
      <c r="E286" s="34" t="s">
        <v>582</v>
      </c>
      <c r="F286" s="33">
        <v>37653</v>
      </c>
      <c r="G286" s="33">
        <v>41306</v>
      </c>
      <c r="H286" s="38">
        <v>41426</v>
      </c>
      <c r="I286" s="38">
        <v>41365</v>
      </c>
      <c r="J286" s="36">
        <v>0.23791667470612965</v>
      </c>
      <c r="K286" s="36">
        <v>0.21222306912529731</v>
      </c>
      <c r="L286" s="36">
        <v>2.2255591485054939E-2</v>
      </c>
      <c r="M286" s="36">
        <v>9.1080733605169162E-2</v>
      </c>
      <c r="N286" s="36">
        <v>0.24435015621999617</v>
      </c>
    </row>
    <row r="287" spans="2:14" ht="15" customHeight="1" x14ac:dyDescent="0.25">
      <c r="B287" s="42" t="s">
        <v>583</v>
      </c>
      <c r="C287" s="43" t="s">
        <v>584</v>
      </c>
      <c r="E287" s="34" t="s">
        <v>584</v>
      </c>
      <c r="F287" s="33">
        <v>37653</v>
      </c>
      <c r="G287" s="33">
        <v>41306</v>
      </c>
      <c r="H287" s="38">
        <v>41579</v>
      </c>
      <c r="I287" s="38">
        <v>41518</v>
      </c>
      <c r="J287" s="36">
        <v>0.13769085815463566</v>
      </c>
      <c r="K287" s="36">
        <v>9.0730339391011938E-2</v>
      </c>
      <c r="L287" s="36">
        <v>1.433919040240594E-2</v>
      </c>
      <c r="M287" s="36">
        <v>8.4043169489192673E-2</v>
      </c>
      <c r="N287" s="36">
        <v>0.17061696375277532</v>
      </c>
    </row>
    <row r="288" spans="2:14" ht="15" customHeight="1" x14ac:dyDescent="0.25">
      <c r="B288" s="42" t="s">
        <v>585</v>
      </c>
      <c r="C288" s="43" t="s">
        <v>586</v>
      </c>
      <c r="E288" s="34" t="s">
        <v>586</v>
      </c>
      <c r="F288" s="33">
        <v>37653</v>
      </c>
      <c r="G288" s="33">
        <v>41306</v>
      </c>
      <c r="H288" s="38">
        <v>41306</v>
      </c>
      <c r="I288" s="38">
        <v>41456</v>
      </c>
      <c r="J288" s="36">
        <v>5.2675301500034966E-2</v>
      </c>
      <c r="K288" s="36">
        <v>-5.3153208292679999E-3</v>
      </c>
      <c r="L288" s="36">
        <v>5.2289897847966078E-3</v>
      </c>
      <c r="M288" s="36">
        <v>4.2977132128005857E-2</v>
      </c>
      <c r="N288" s="36">
        <v>0.12166911857269229</v>
      </c>
    </row>
    <row r="289" spans="2:14" ht="15" customHeight="1" x14ac:dyDescent="0.25">
      <c r="B289" s="42" t="s">
        <v>587</v>
      </c>
      <c r="C289" s="43" t="s">
        <v>588</v>
      </c>
      <c r="E289" s="34" t="s">
        <v>588</v>
      </c>
      <c r="F289" s="33">
        <v>37653</v>
      </c>
      <c r="G289" s="33">
        <v>41306</v>
      </c>
      <c r="H289" s="38">
        <v>41456</v>
      </c>
      <c r="I289" s="38">
        <v>41579</v>
      </c>
      <c r="J289" s="36">
        <v>6.0953583287920665E-2</v>
      </c>
      <c r="K289" s="36">
        <v>-8.6872885107079689E-2</v>
      </c>
      <c r="L289" s="36">
        <v>7.7894996781093075E-3</v>
      </c>
      <c r="M289" s="36">
        <v>7.5108873697269818E-2</v>
      </c>
      <c r="N289" s="36">
        <v>0.10370944596380564</v>
      </c>
    </row>
    <row r="290" spans="2:14" ht="15" customHeight="1" x14ac:dyDescent="0.25">
      <c r="B290" s="42" t="s">
        <v>589</v>
      </c>
      <c r="C290" s="43" t="s">
        <v>590</v>
      </c>
      <c r="E290" s="34" t="s">
        <v>590</v>
      </c>
      <c r="F290" s="33">
        <v>37653</v>
      </c>
      <c r="G290" s="33">
        <v>41306</v>
      </c>
      <c r="H290" s="38">
        <v>41426</v>
      </c>
      <c r="I290" s="38">
        <v>41365</v>
      </c>
      <c r="J290" s="36">
        <v>0.1536967474223796</v>
      </c>
      <c r="K290" s="36">
        <v>0.13530269766649861</v>
      </c>
      <c r="L290" s="36">
        <v>1.7542101246510913E-2</v>
      </c>
      <c r="M290" s="36">
        <v>0.10550542643890676</v>
      </c>
      <c r="N290" s="36">
        <v>0.16626728916800049</v>
      </c>
    </row>
    <row r="291" spans="2:14" ht="15" customHeight="1" x14ac:dyDescent="0.25">
      <c r="B291" s="42" t="s">
        <v>591</v>
      </c>
      <c r="C291" s="43" t="s">
        <v>592</v>
      </c>
      <c r="E291" s="34" t="s">
        <v>592</v>
      </c>
      <c r="F291" s="33">
        <v>38838</v>
      </c>
      <c r="G291" s="33">
        <v>41306</v>
      </c>
      <c r="H291" s="38">
        <v>41426</v>
      </c>
      <c r="I291" s="38">
        <v>41395</v>
      </c>
      <c r="J291" s="36">
        <v>0.42172006327879386</v>
      </c>
      <c r="K291" s="36">
        <v>0.43449732251507278</v>
      </c>
      <c r="L291" s="36">
        <v>3.5545018853183806E-2</v>
      </c>
      <c r="M291" s="36">
        <v>0.10682536356103632</v>
      </c>
      <c r="N291" s="36">
        <v>0.33273950743799352</v>
      </c>
    </row>
    <row r="292" spans="2:14" ht="15" customHeight="1" x14ac:dyDescent="0.25">
      <c r="B292" s="42" t="s">
        <v>593</v>
      </c>
      <c r="C292" s="43" t="s">
        <v>594</v>
      </c>
      <c r="E292" s="34" t="s">
        <v>594</v>
      </c>
      <c r="F292" s="33">
        <v>37653</v>
      </c>
      <c r="G292" s="33">
        <v>41306</v>
      </c>
      <c r="H292" s="38">
        <v>41456</v>
      </c>
      <c r="I292" s="38">
        <v>41395</v>
      </c>
      <c r="J292" s="36">
        <v>0.1553662128003177</v>
      </c>
      <c r="K292" s="36">
        <v>0.11914245669238799</v>
      </c>
      <c r="L292" s="36">
        <v>1.5165940904124165E-2</v>
      </c>
      <c r="M292" s="36">
        <v>7.8918159722034045E-2</v>
      </c>
      <c r="N292" s="36">
        <v>0.19217301768745904</v>
      </c>
    </row>
    <row r="293" spans="2:14" ht="15" customHeight="1" x14ac:dyDescent="0.25">
      <c r="B293" s="42" t="s">
        <v>595</v>
      </c>
      <c r="C293" s="43" t="s">
        <v>596</v>
      </c>
      <c r="E293" s="34" t="s">
        <v>596</v>
      </c>
      <c r="F293" s="33">
        <v>37653</v>
      </c>
      <c r="G293" s="33">
        <v>41306</v>
      </c>
      <c r="H293" s="38">
        <v>41548</v>
      </c>
      <c r="I293" s="38">
        <v>41395</v>
      </c>
      <c r="J293" s="36">
        <v>9.9305585735758095E-2</v>
      </c>
      <c r="K293" s="36">
        <v>3.0812063357759545E-2</v>
      </c>
      <c r="L293" s="36">
        <v>1.1287641915787783E-2</v>
      </c>
      <c r="M293" s="36">
        <v>8.0357993271834294E-2</v>
      </c>
      <c r="N293" s="36">
        <v>0.14046694617676739</v>
      </c>
    </row>
    <row r="294" spans="2:14" ht="15" customHeight="1" x14ac:dyDescent="0.25">
      <c r="B294" s="42" t="s">
        <v>597</v>
      </c>
      <c r="C294" s="43" t="s">
        <v>598</v>
      </c>
      <c r="E294" s="34" t="s">
        <v>598</v>
      </c>
      <c r="F294" s="33">
        <v>37653</v>
      </c>
      <c r="G294" s="33">
        <v>41306</v>
      </c>
      <c r="H294" s="38">
        <v>41426</v>
      </c>
      <c r="I294" s="38">
        <v>41334</v>
      </c>
      <c r="J294" s="36">
        <v>0.12662586995661984</v>
      </c>
      <c r="K294" s="36">
        <v>9.6078069089748253E-2</v>
      </c>
      <c r="L294" s="36">
        <v>1.1980743664603661E-2</v>
      </c>
      <c r="M294" s="36">
        <v>6.2325497219922012E-2</v>
      </c>
      <c r="N294" s="36">
        <v>0.19222860946184445</v>
      </c>
    </row>
    <row r="295" spans="2:14" ht="15" customHeight="1" x14ac:dyDescent="0.25">
      <c r="B295" s="42" t="s">
        <v>599</v>
      </c>
      <c r="C295" s="43" t="s">
        <v>600</v>
      </c>
      <c r="E295" s="34" t="s">
        <v>600</v>
      </c>
      <c r="F295" s="33">
        <v>37653</v>
      </c>
      <c r="G295" s="33">
        <v>41306</v>
      </c>
      <c r="H295" s="38">
        <v>41334</v>
      </c>
      <c r="I295" s="38">
        <v>41306</v>
      </c>
      <c r="J295" s="36">
        <v>0.22886420779311312</v>
      </c>
      <c r="K295" s="36">
        <v>0.2454678218260482</v>
      </c>
      <c r="L295" s="36">
        <v>1.8657341368729131E-2</v>
      </c>
      <c r="M295" s="36">
        <v>4.9389345922852455E-2</v>
      </c>
      <c r="N295" s="36">
        <v>0.37776044651152946</v>
      </c>
    </row>
    <row r="296" spans="2:14" ht="15" customHeight="1" x14ac:dyDescent="0.25">
      <c r="B296" s="42" t="s">
        <v>601</v>
      </c>
      <c r="C296" s="43" t="s">
        <v>602</v>
      </c>
      <c r="E296" s="34" t="s">
        <v>602</v>
      </c>
      <c r="F296" s="33">
        <v>37653</v>
      </c>
      <c r="G296" s="33">
        <v>41306</v>
      </c>
      <c r="H296" s="38">
        <v>41518</v>
      </c>
      <c r="I296" s="38">
        <v>41365</v>
      </c>
      <c r="J296" s="36">
        <v>0.11737322392005911</v>
      </c>
      <c r="K296" s="36">
        <v>6.3487985207796527E-2</v>
      </c>
      <c r="L296" s="36">
        <v>1.1558963197072803E-2</v>
      </c>
      <c r="M296" s="36">
        <v>6.7219528381348967E-2</v>
      </c>
      <c r="N296" s="36">
        <v>0.1719584096379945</v>
      </c>
    </row>
    <row r="297" spans="2:14" ht="15" customHeight="1" x14ac:dyDescent="0.25">
      <c r="B297" s="42" t="s">
        <v>603</v>
      </c>
      <c r="C297" s="43" t="s">
        <v>604</v>
      </c>
      <c r="E297" s="34" t="s">
        <v>604</v>
      </c>
      <c r="F297" s="33">
        <v>37653</v>
      </c>
      <c r="G297" s="33">
        <v>41306</v>
      </c>
      <c r="H297" s="38">
        <v>41548</v>
      </c>
      <c r="I297" s="38">
        <v>41487</v>
      </c>
      <c r="J297" s="36">
        <v>0.16580682614067332</v>
      </c>
      <c r="K297" s="36">
        <v>0.15234067515892491</v>
      </c>
      <c r="L297" s="36">
        <v>1.4485571721667388E-2</v>
      </c>
      <c r="M297" s="36">
        <v>5.5511909955927273E-2</v>
      </c>
      <c r="N297" s="36">
        <v>0.26094529503971237</v>
      </c>
    </row>
    <row r="298" spans="2:14" ht="15" customHeight="1" x14ac:dyDescent="0.25">
      <c r="B298" s="42" t="s">
        <v>605</v>
      </c>
      <c r="C298" s="43" t="s">
        <v>606</v>
      </c>
      <c r="E298" s="34" t="s">
        <v>606</v>
      </c>
      <c r="F298" s="33">
        <v>37653</v>
      </c>
      <c r="G298" s="33">
        <v>41306</v>
      </c>
      <c r="H298" s="38">
        <v>41426</v>
      </c>
      <c r="I298" s="38">
        <v>41365</v>
      </c>
      <c r="J298" s="36">
        <v>0.15452406464770596</v>
      </c>
      <c r="K298" s="36">
        <v>0.10635316163682207</v>
      </c>
      <c r="L298" s="36">
        <v>1.6266824492038378E-2</v>
      </c>
      <c r="M298" s="36">
        <v>9.0436197514921088E-2</v>
      </c>
      <c r="N298" s="36">
        <v>0.1798707258711813</v>
      </c>
    </row>
    <row r="299" spans="2:14" ht="15" customHeight="1" x14ac:dyDescent="0.25">
      <c r="B299" s="42" t="s">
        <v>607</v>
      </c>
      <c r="C299" s="43" t="s">
        <v>608</v>
      </c>
      <c r="E299" s="34" t="s">
        <v>608</v>
      </c>
      <c r="F299" s="33">
        <v>37653</v>
      </c>
      <c r="G299" s="33">
        <v>41306</v>
      </c>
      <c r="H299" s="38">
        <v>41579</v>
      </c>
      <c r="I299" s="38">
        <v>41365</v>
      </c>
      <c r="J299" s="36">
        <v>6.0660224800273443E-2</v>
      </c>
      <c r="K299" s="36">
        <v>1.9966512292108218E-2</v>
      </c>
      <c r="L299" s="36">
        <v>5.438801665579516E-3</v>
      </c>
      <c r="M299" s="36">
        <v>3.1192802585870583E-2</v>
      </c>
      <c r="N299" s="36">
        <v>0.17436078885848919</v>
      </c>
    </row>
    <row r="300" spans="2:14" ht="15" customHeight="1" x14ac:dyDescent="0.25">
      <c r="B300" s="42" t="s">
        <v>609</v>
      </c>
      <c r="C300" s="43" t="s">
        <v>610</v>
      </c>
      <c r="E300" s="34" t="s">
        <v>610</v>
      </c>
      <c r="F300" s="33"/>
      <c r="G300" s="33"/>
      <c r="H300" s="38"/>
      <c r="I300" s="38"/>
      <c r="J300" s="36"/>
      <c r="K300" s="36"/>
      <c r="L300" s="36"/>
      <c r="M300" s="36"/>
      <c r="N300" s="36"/>
    </row>
    <row r="301" spans="2:14" ht="15" customHeight="1" x14ac:dyDescent="0.25">
      <c r="B301" s="42" t="s">
        <v>611</v>
      </c>
      <c r="C301" s="43" t="s">
        <v>612</v>
      </c>
      <c r="E301" s="34" t="s">
        <v>612</v>
      </c>
      <c r="F301" s="33">
        <v>37653</v>
      </c>
      <c r="G301" s="33">
        <v>41306</v>
      </c>
      <c r="H301" s="38">
        <v>41579</v>
      </c>
      <c r="I301" s="38">
        <v>41365</v>
      </c>
      <c r="J301" s="36">
        <v>9.363782117639019E-2</v>
      </c>
      <c r="K301" s="36">
        <v>5.4308969976623711E-2</v>
      </c>
      <c r="L301" s="36">
        <v>9.6621954697559374E-3</v>
      </c>
      <c r="M301" s="36">
        <v>6.4240810772689574E-2</v>
      </c>
      <c r="N301" s="36">
        <v>0.1504058767867168</v>
      </c>
    </row>
    <row r="302" spans="2:14" ht="15" customHeight="1" x14ac:dyDescent="0.25">
      <c r="B302" s="42" t="s">
        <v>613</v>
      </c>
      <c r="C302" s="43" t="s">
        <v>614</v>
      </c>
      <c r="E302" s="34" t="s">
        <v>614</v>
      </c>
      <c r="F302" s="33">
        <v>37653</v>
      </c>
      <c r="G302" s="33">
        <v>41306</v>
      </c>
      <c r="H302" s="38">
        <v>41518</v>
      </c>
      <c r="I302" s="38">
        <v>41365</v>
      </c>
      <c r="J302" s="36">
        <v>0.12403038379135478</v>
      </c>
      <c r="K302" s="36">
        <v>9.7077074203360425E-2</v>
      </c>
      <c r="L302" s="36">
        <v>1.124126858637991E-2</v>
      </c>
      <c r="M302" s="36">
        <v>5.3826942238250845E-2</v>
      </c>
      <c r="N302" s="36">
        <v>0.20884092833331275</v>
      </c>
    </row>
    <row r="303" spans="2:14" ht="15" customHeight="1" x14ac:dyDescent="0.25">
      <c r="B303" s="42" t="s">
        <v>615</v>
      </c>
      <c r="C303" s="43" t="s">
        <v>616</v>
      </c>
      <c r="E303" s="34" t="s">
        <v>616</v>
      </c>
      <c r="F303" s="33">
        <v>37834</v>
      </c>
      <c r="G303" s="33">
        <v>41030</v>
      </c>
      <c r="H303" s="38">
        <v>41518</v>
      </c>
      <c r="I303" s="38">
        <v>41426</v>
      </c>
      <c r="J303" s="36">
        <v>0.22690791847023872</v>
      </c>
      <c r="K303" s="36">
        <v>0.21347765610948755</v>
      </c>
      <c r="L303" s="36">
        <v>1.9352618333854165E-2</v>
      </c>
      <c r="M303" s="36">
        <v>6.4339782941512935E-2</v>
      </c>
      <c r="N303" s="36">
        <v>0.30078774669548319</v>
      </c>
    </row>
    <row r="304" spans="2:14" ht="15" customHeight="1" x14ac:dyDescent="0.25">
      <c r="B304" s="42" t="s">
        <v>617</v>
      </c>
      <c r="C304" s="43" t="s">
        <v>618</v>
      </c>
      <c r="E304" s="34" t="s">
        <v>618</v>
      </c>
      <c r="F304" s="33">
        <v>37653</v>
      </c>
      <c r="G304" s="33">
        <v>40725</v>
      </c>
      <c r="H304" s="38">
        <v>41426</v>
      </c>
      <c r="I304" s="38">
        <v>41518</v>
      </c>
      <c r="J304" s="36">
        <v>0.10198292298031175</v>
      </c>
      <c r="K304" s="36">
        <v>-8.9202473088423218E-2</v>
      </c>
      <c r="L304" s="36">
        <v>9.2937532080205245E-3</v>
      </c>
      <c r="M304" s="36">
        <v>4.9428669265681298E-2</v>
      </c>
      <c r="N304" s="36">
        <v>0.18802353666586061</v>
      </c>
    </row>
    <row r="305" spans="2:14" ht="15" customHeight="1" x14ac:dyDescent="0.25">
      <c r="B305" s="42" t="s">
        <v>619</v>
      </c>
      <c r="C305" s="43" t="s">
        <v>620</v>
      </c>
      <c r="E305" s="34" t="s">
        <v>620</v>
      </c>
      <c r="F305" s="33">
        <v>39845</v>
      </c>
      <c r="G305" s="33">
        <v>41306</v>
      </c>
      <c r="H305" s="38">
        <v>41395</v>
      </c>
      <c r="I305" s="38">
        <v>41365</v>
      </c>
      <c r="J305" s="36">
        <v>0.28877278458945255</v>
      </c>
      <c r="K305" s="36">
        <v>0.29887325154259115</v>
      </c>
      <c r="L305" s="36">
        <v>2.380830090067064E-2</v>
      </c>
      <c r="M305" s="36">
        <v>6.3598228049847452E-2</v>
      </c>
      <c r="N305" s="36">
        <v>0.37435478362714769</v>
      </c>
    </row>
    <row r="306" spans="2:14" ht="15" customHeight="1" x14ac:dyDescent="0.25">
      <c r="B306" s="42" t="s">
        <v>621</v>
      </c>
      <c r="C306" s="43" t="s">
        <v>622</v>
      </c>
      <c r="E306" s="34" t="s">
        <v>622</v>
      </c>
      <c r="F306" s="33">
        <v>37653</v>
      </c>
      <c r="G306" s="33">
        <v>41306</v>
      </c>
      <c r="H306" s="38">
        <v>41275</v>
      </c>
      <c r="I306" s="38">
        <v>41609</v>
      </c>
      <c r="J306" s="36">
        <v>0.12526528075676668</v>
      </c>
      <c r="K306" s="36">
        <v>0.12988978747713742</v>
      </c>
      <c r="L306" s="36">
        <v>1.0793059368190959E-2</v>
      </c>
      <c r="M306" s="36">
        <v>4.0610092907956211E-2</v>
      </c>
      <c r="N306" s="36">
        <v>0.26577283121842882</v>
      </c>
    </row>
    <row r="307" spans="2:14" ht="15" customHeight="1" x14ac:dyDescent="0.25">
      <c r="B307" s="42" t="s">
        <v>623</v>
      </c>
      <c r="C307" s="43" t="s">
        <v>624</v>
      </c>
      <c r="E307" s="34" t="s">
        <v>624</v>
      </c>
      <c r="F307" s="33">
        <v>37653</v>
      </c>
      <c r="G307" s="33">
        <v>41306</v>
      </c>
      <c r="H307" s="38">
        <v>41548</v>
      </c>
      <c r="I307" s="38">
        <v>41518</v>
      </c>
      <c r="J307" s="36">
        <v>4.7329880242640066E-2</v>
      </c>
      <c r="K307" s="36">
        <v>1.6076488122809041E-2</v>
      </c>
      <c r="L307" s="36">
        <v>5.4318987212839979E-3</v>
      </c>
      <c r="M307" s="36">
        <v>5.5359632768786617E-2</v>
      </c>
      <c r="N307" s="36">
        <v>9.8120208708224341E-2</v>
      </c>
    </row>
    <row r="308" spans="2:14" ht="15" customHeight="1" x14ac:dyDescent="0.25">
      <c r="B308" s="42" t="s">
        <v>625</v>
      </c>
      <c r="C308" s="43" t="s">
        <v>626</v>
      </c>
      <c r="E308" s="34" t="s">
        <v>626</v>
      </c>
      <c r="F308" s="33">
        <v>40513</v>
      </c>
      <c r="G308" s="33">
        <v>41306</v>
      </c>
      <c r="H308" s="38">
        <v>41426</v>
      </c>
      <c r="I308" s="38">
        <v>41395</v>
      </c>
      <c r="J308" s="36">
        <v>0.30300835310601015</v>
      </c>
      <c r="K308" s="36">
        <v>0.15162483666844118</v>
      </c>
      <c r="L308" s="36">
        <v>2.9247431239383261E-2</v>
      </c>
      <c r="M308" s="36">
        <v>0.13165082963307143</v>
      </c>
      <c r="N308" s="36">
        <v>0.22215911073936859</v>
      </c>
    </row>
    <row r="309" spans="2:14" ht="15" customHeight="1" x14ac:dyDescent="0.25">
      <c r="B309" s="42" t="s">
        <v>627</v>
      </c>
      <c r="C309" s="43" t="s">
        <v>628</v>
      </c>
      <c r="E309" s="34" t="s">
        <v>628</v>
      </c>
      <c r="F309" s="33">
        <v>37653</v>
      </c>
      <c r="G309" s="33">
        <v>41306</v>
      </c>
      <c r="H309" s="38">
        <v>41426</v>
      </c>
      <c r="I309" s="38">
        <v>41365</v>
      </c>
      <c r="J309" s="36">
        <v>8.8291111565504066E-2</v>
      </c>
      <c r="K309" s="36">
        <v>7.4217399111128568E-2</v>
      </c>
      <c r="L309" s="36">
        <v>8.6241697419683679E-3</v>
      </c>
      <c r="M309" s="36">
        <v>5.453758823279084E-2</v>
      </c>
      <c r="N309" s="36">
        <v>0.15813258380910705</v>
      </c>
    </row>
    <row r="310" spans="2:14" ht="15" customHeight="1" x14ac:dyDescent="0.25">
      <c r="B310" s="42" t="s">
        <v>629</v>
      </c>
      <c r="C310" s="43" t="s">
        <v>630</v>
      </c>
      <c r="E310" s="34" t="s">
        <v>630</v>
      </c>
      <c r="F310" s="33">
        <v>37653</v>
      </c>
      <c r="G310" s="33">
        <v>41306</v>
      </c>
      <c r="H310" s="38">
        <v>41365</v>
      </c>
      <c r="I310" s="38">
        <v>41334</v>
      </c>
      <c r="J310" s="36">
        <v>0.21888964280821943</v>
      </c>
      <c r="K310" s="36">
        <v>0.20654178766846143</v>
      </c>
      <c r="L310" s="36">
        <v>1.8466910005162693E-2</v>
      </c>
      <c r="M310" s="36">
        <v>5.9598526841928415E-2</v>
      </c>
      <c r="N310" s="36">
        <v>0.30985514212695198</v>
      </c>
    </row>
    <row r="311" spans="2:14" ht="15" customHeight="1" x14ac:dyDescent="0.25">
      <c r="B311" s="42" t="s">
        <v>631</v>
      </c>
      <c r="C311" s="43" t="s">
        <v>632</v>
      </c>
      <c r="E311" s="34" t="s">
        <v>632</v>
      </c>
      <c r="F311" s="33">
        <v>37653</v>
      </c>
      <c r="G311" s="33">
        <v>41306</v>
      </c>
      <c r="H311" s="38">
        <v>41579</v>
      </c>
      <c r="I311" s="38">
        <v>41365</v>
      </c>
      <c r="J311" s="36">
        <v>0.10558452991806533</v>
      </c>
      <c r="K311" s="36">
        <v>4.0654933666774307E-2</v>
      </c>
      <c r="L311" s="36">
        <v>1.0049588791790446E-2</v>
      </c>
      <c r="M311" s="36">
        <v>5.7651283435987744E-2</v>
      </c>
      <c r="N311" s="36">
        <v>0.17431682683957694</v>
      </c>
    </row>
    <row r="312" spans="2:14" ht="15" customHeight="1" x14ac:dyDescent="0.25">
      <c r="B312" s="42" t="s">
        <v>633</v>
      </c>
      <c r="C312" s="43" t="s">
        <v>634</v>
      </c>
      <c r="E312" s="34" t="s">
        <v>634</v>
      </c>
      <c r="F312" s="33">
        <v>37653</v>
      </c>
      <c r="G312" s="33">
        <v>41306</v>
      </c>
      <c r="H312" s="38">
        <v>41365</v>
      </c>
      <c r="I312" s="38">
        <v>41334</v>
      </c>
      <c r="J312" s="36">
        <v>0.32743299696912453</v>
      </c>
      <c r="K312" s="36">
        <v>0.3021157473863505</v>
      </c>
      <c r="L312" s="36">
        <v>2.7519610776239434E-2</v>
      </c>
      <c r="M312" s="36">
        <v>8.4445428536727499E-2</v>
      </c>
      <c r="N312" s="36">
        <v>0.32588632982388671</v>
      </c>
    </row>
    <row r="313" spans="2:14" ht="15" customHeight="1" x14ac:dyDescent="0.25">
      <c r="B313" s="42" t="s">
        <v>635</v>
      </c>
      <c r="C313" s="43" t="s">
        <v>636</v>
      </c>
      <c r="E313" s="34" t="s">
        <v>636</v>
      </c>
      <c r="F313" s="33">
        <v>37653</v>
      </c>
      <c r="G313" s="33">
        <v>41306</v>
      </c>
      <c r="H313" s="38">
        <v>41306</v>
      </c>
      <c r="I313" s="38">
        <v>41609</v>
      </c>
      <c r="J313" s="36">
        <v>7.3243633561033805E-2</v>
      </c>
      <c r="K313" s="36">
        <v>2.3762553931200747E-2</v>
      </c>
      <c r="L313" s="36">
        <v>7.9345376575135785E-3</v>
      </c>
      <c r="M313" s="36">
        <v>6.2433147011461333E-2</v>
      </c>
      <c r="N313" s="36">
        <v>0.12708854250222201</v>
      </c>
    </row>
    <row r="314" spans="2:14" ht="15" customHeight="1" x14ac:dyDescent="0.25">
      <c r="B314" s="42" t="s">
        <v>637</v>
      </c>
      <c r="C314" s="43" t="s">
        <v>638</v>
      </c>
      <c r="E314" s="34" t="s">
        <v>638</v>
      </c>
      <c r="F314" s="33">
        <v>37653</v>
      </c>
      <c r="G314" s="33">
        <v>41306</v>
      </c>
      <c r="H314" s="38">
        <v>41548</v>
      </c>
      <c r="I314" s="38">
        <v>41456</v>
      </c>
      <c r="J314" s="36">
        <v>0.21647909822819544</v>
      </c>
      <c r="K314" s="36">
        <v>0.19948146699304492</v>
      </c>
      <c r="L314" s="36">
        <v>1.9137815401745341E-2</v>
      </c>
      <c r="M314" s="36">
        <v>7.2277663604695702E-2</v>
      </c>
      <c r="N314" s="36">
        <v>0.26478187654784685</v>
      </c>
    </row>
    <row r="315" spans="2:14" ht="15" customHeight="1" x14ac:dyDescent="0.25">
      <c r="B315" s="42" t="s">
        <v>639</v>
      </c>
      <c r="C315" s="43" t="s">
        <v>640</v>
      </c>
      <c r="E315" s="34" t="s">
        <v>640</v>
      </c>
      <c r="F315" s="33">
        <v>37653</v>
      </c>
      <c r="G315" s="33">
        <v>41306</v>
      </c>
      <c r="H315" s="38">
        <v>41579</v>
      </c>
      <c r="I315" s="38">
        <v>41334</v>
      </c>
      <c r="J315" s="36">
        <v>0.1367366085199222</v>
      </c>
      <c r="K315" s="36">
        <v>-9.5178142726602966E-3</v>
      </c>
      <c r="L315" s="36">
        <v>1.2109471237412982E-2</v>
      </c>
      <c r="M315" s="36">
        <v>5.2549832726446838E-2</v>
      </c>
      <c r="N315" s="36">
        <v>0.23043786457798998</v>
      </c>
    </row>
    <row r="316" spans="2:14" ht="15" customHeight="1" x14ac:dyDescent="0.25">
      <c r="B316" s="42" t="s">
        <v>641</v>
      </c>
      <c r="C316" s="43" t="s">
        <v>642</v>
      </c>
      <c r="E316" s="34" t="s">
        <v>642</v>
      </c>
      <c r="F316" s="33">
        <v>37653</v>
      </c>
      <c r="G316" s="33">
        <v>41306</v>
      </c>
      <c r="H316" s="38">
        <v>41395</v>
      </c>
      <c r="I316" s="38">
        <v>41609</v>
      </c>
      <c r="J316" s="36">
        <v>8.1314129155762638E-2</v>
      </c>
      <c r="K316" s="36">
        <v>4.4311416964201156E-2</v>
      </c>
      <c r="L316" s="36">
        <v>7.7959986238897942E-3</v>
      </c>
      <c r="M316" s="36">
        <v>4.9705461204358072E-2</v>
      </c>
      <c r="N316" s="36">
        <v>0.15684390477411478</v>
      </c>
    </row>
    <row r="317" spans="2:14" ht="15" customHeight="1" x14ac:dyDescent="0.25">
      <c r="B317" s="42" t="s">
        <v>643</v>
      </c>
      <c r="C317" s="43" t="s">
        <v>644</v>
      </c>
      <c r="E317" s="34" t="s">
        <v>644</v>
      </c>
      <c r="F317" s="33">
        <v>37653</v>
      </c>
      <c r="G317" s="33">
        <v>41306</v>
      </c>
      <c r="H317" s="38">
        <v>41334</v>
      </c>
      <c r="I317" s="38">
        <v>41518</v>
      </c>
      <c r="J317" s="36">
        <v>0.16797194678182836</v>
      </c>
      <c r="K317" s="36">
        <v>9.3699989424559149E-2</v>
      </c>
      <c r="L317" s="36">
        <v>1.5336179469097665E-2</v>
      </c>
      <c r="M317" s="36">
        <v>6.733926954083827E-2</v>
      </c>
      <c r="N317" s="36">
        <v>0.22774496328322888</v>
      </c>
    </row>
    <row r="318" spans="2:14" ht="15" customHeight="1" x14ac:dyDescent="0.25">
      <c r="B318" s="42" t="s">
        <v>645</v>
      </c>
      <c r="C318" s="43" t="s">
        <v>646</v>
      </c>
      <c r="E318" s="34" t="s">
        <v>646</v>
      </c>
      <c r="F318" s="33">
        <v>37653</v>
      </c>
      <c r="G318" s="33">
        <v>41306</v>
      </c>
      <c r="H318" s="38">
        <v>41275</v>
      </c>
      <c r="I318" s="38">
        <v>41548</v>
      </c>
      <c r="J318" s="36">
        <v>8.6066792007491344E-2</v>
      </c>
      <c r="K318" s="36">
        <v>5.6720653190941661E-2</v>
      </c>
      <c r="L318" s="36">
        <v>8.5109104267725669E-3</v>
      </c>
      <c r="M318" s="36">
        <v>5.6776748886698328E-2</v>
      </c>
      <c r="N318" s="36">
        <v>0.14990133450149881</v>
      </c>
    </row>
    <row r="319" spans="2:14" ht="15" customHeight="1" x14ac:dyDescent="0.25">
      <c r="B319" s="42" t="s">
        <v>647</v>
      </c>
      <c r="C319" s="43" t="s">
        <v>648</v>
      </c>
      <c r="E319" s="34" t="s">
        <v>648</v>
      </c>
      <c r="F319" s="33">
        <v>37653</v>
      </c>
      <c r="G319" s="33">
        <v>41306</v>
      </c>
      <c r="H319" s="38">
        <v>41579</v>
      </c>
      <c r="I319" s="38">
        <v>41395</v>
      </c>
      <c r="J319" s="36">
        <v>0.15586540435988372</v>
      </c>
      <c r="K319" s="36">
        <v>-2.0040965271783673E-3</v>
      </c>
      <c r="L319" s="36">
        <v>1.6729651723504668E-2</v>
      </c>
      <c r="M319" s="36">
        <v>9.8675619372769127E-2</v>
      </c>
      <c r="N319" s="36">
        <v>0.1695418972776313</v>
      </c>
    </row>
    <row r="320" spans="2:14" ht="15" customHeight="1" x14ac:dyDescent="0.25">
      <c r="B320" s="42" t="s">
        <v>649</v>
      </c>
      <c r="C320" s="43" t="s">
        <v>650</v>
      </c>
      <c r="E320" s="34" t="s">
        <v>650</v>
      </c>
      <c r="F320" s="33">
        <v>37653</v>
      </c>
      <c r="G320" s="33">
        <v>41306</v>
      </c>
      <c r="H320" s="38">
        <v>41518</v>
      </c>
      <c r="I320" s="38">
        <v>41456</v>
      </c>
      <c r="J320" s="36">
        <v>0.13211384398224379</v>
      </c>
      <c r="K320" s="36">
        <v>0.1287474865870355</v>
      </c>
      <c r="L320" s="36">
        <v>1.3412163378759993E-2</v>
      </c>
      <c r="M320" s="36">
        <v>7.6518142248643256E-2</v>
      </c>
      <c r="N320" s="36">
        <v>0.17528082863247774</v>
      </c>
    </row>
    <row r="321" spans="2:14" ht="15" customHeight="1" x14ac:dyDescent="0.25">
      <c r="B321" s="42" t="s">
        <v>651</v>
      </c>
      <c r="C321" s="43" t="s">
        <v>652</v>
      </c>
      <c r="E321" s="34" t="s">
        <v>652</v>
      </c>
      <c r="F321" s="33">
        <v>37653</v>
      </c>
      <c r="G321" s="33">
        <v>41306</v>
      </c>
      <c r="H321" s="38">
        <v>41548</v>
      </c>
      <c r="I321" s="38">
        <v>41456</v>
      </c>
      <c r="J321" s="36">
        <v>0.10110452013840132</v>
      </c>
      <c r="K321" s="36">
        <v>6.9994938050218947E-2</v>
      </c>
      <c r="L321" s="36">
        <v>1.0678987973152138E-2</v>
      </c>
      <c r="M321" s="36">
        <v>7.2873540227218342E-2</v>
      </c>
      <c r="N321" s="36">
        <v>0.14654136384557759</v>
      </c>
    </row>
    <row r="322" spans="2:14" ht="15" customHeight="1" x14ac:dyDescent="0.25">
      <c r="B322" s="42" t="s">
        <v>653</v>
      </c>
      <c r="C322" s="43" t="s">
        <v>654</v>
      </c>
      <c r="E322" s="34" t="s">
        <v>654</v>
      </c>
      <c r="F322" s="33">
        <v>37653</v>
      </c>
      <c r="G322" s="33">
        <v>41306</v>
      </c>
      <c r="H322" s="38">
        <v>41306</v>
      </c>
      <c r="I322" s="38">
        <v>41365</v>
      </c>
      <c r="J322" s="36">
        <v>0.10007304163925035</v>
      </c>
      <c r="K322" s="36">
        <v>-4.4369511650383053E-2</v>
      </c>
      <c r="L322" s="36">
        <v>1.0859752611928225E-2</v>
      </c>
      <c r="M322" s="36">
        <v>8.46880473441423E-2</v>
      </c>
      <c r="N322" s="36">
        <v>0.12823241239460897</v>
      </c>
    </row>
    <row r="323" spans="2:14" ht="15" customHeight="1" x14ac:dyDescent="0.25">
      <c r="B323" s="42" t="s">
        <v>655</v>
      </c>
      <c r="C323" s="43" t="s">
        <v>656</v>
      </c>
      <c r="E323" s="34" t="s">
        <v>656</v>
      </c>
      <c r="F323" s="33">
        <v>37653</v>
      </c>
      <c r="G323" s="33">
        <v>41306</v>
      </c>
      <c r="H323" s="38">
        <v>41456</v>
      </c>
      <c r="I323" s="38">
        <v>41365</v>
      </c>
      <c r="J323" s="36">
        <v>0.13235595852038462</v>
      </c>
      <c r="K323" s="36">
        <v>4.6266293854501095E-2</v>
      </c>
      <c r="L323" s="36">
        <v>1.2769125854857647E-2</v>
      </c>
      <c r="M323" s="36">
        <v>6.6832559753219528E-2</v>
      </c>
      <c r="N323" s="36">
        <v>0.19106145121491505</v>
      </c>
    </row>
    <row r="324" spans="2:14" ht="15" customHeight="1" x14ac:dyDescent="0.25">
      <c r="B324" s="42" t="s">
        <v>657</v>
      </c>
      <c r="C324" s="43" t="s">
        <v>658</v>
      </c>
      <c r="E324" s="34" t="s">
        <v>658</v>
      </c>
      <c r="F324" s="33">
        <v>37653</v>
      </c>
      <c r="G324" s="33">
        <v>41306</v>
      </c>
      <c r="H324" s="38">
        <v>41518</v>
      </c>
      <c r="I324" s="38">
        <v>41456</v>
      </c>
      <c r="J324" s="36">
        <v>0.21506305187264863</v>
      </c>
      <c r="K324" s="36">
        <v>0.20695254860164947</v>
      </c>
      <c r="L324" s="36">
        <v>1.9137216642625143E-2</v>
      </c>
      <c r="M324" s="36">
        <v>7.2296237405188757E-2</v>
      </c>
      <c r="N324" s="36">
        <v>0.26470556877489243</v>
      </c>
    </row>
    <row r="325" spans="2:14" ht="15" customHeight="1" x14ac:dyDescent="0.25">
      <c r="B325" s="42" t="s">
        <v>659</v>
      </c>
      <c r="C325" s="43" t="s">
        <v>660</v>
      </c>
      <c r="E325" s="34" t="s">
        <v>660</v>
      </c>
      <c r="F325" s="33">
        <v>37653</v>
      </c>
      <c r="G325" s="33">
        <v>41306</v>
      </c>
      <c r="H325" s="38">
        <v>41548</v>
      </c>
      <c r="I325" s="38">
        <v>41365</v>
      </c>
      <c r="J325" s="36">
        <v>0.13386387571578462</v>
      </c>
      <c r="K325" s="36">
        <v>-1.6020234534425692E-2</v>
      </c>
      <c r="L325" s="36">
        <v>1.3154170363507699E-2</v>
      </c>
      <c r="M325" s="36">
        <v>7.4734364172938952E-2</v>
      </c>
      <c r="N325" s="36">
        <v>0.17601234062911553</v>
      </c>
    </row>
    <row r="326" spans="2:14" ht="15" customHeight="1" x14ac:dyDescent="0.25">
      <c r="B326" s="42" t="s">
        <v>661</v>
      </c>
      <c r="C326" s="43" t="s">
        <v>662</v>
      </c>
      <c r="E326" s="34" t="s">
        <v>662</v>
      </c>
      <c r="F326" s="33">
        <v>37653</v>
      </c>
      <c r="G326" s="33">
        <v>41306</v>
      </c>
      <c r="H326" s="38">
        <v>41426</v>
      </c>
      <c r="I326" s="38">
        <v>41306</v>
      </c>
      <c r="J326" s="36">
        <v>0.23212530070884108</v>
      </c>
      <c r="K326" s="36">
        <v>0.13972764366129198</v>
      </c>
      <c r="L326" s="36">
        <v>2.225732644620081E-2</v>
      </c>
      <c r="M326" s="36">
        <v>9.6889064060576624E-2</v>
      </c>
      <c r="N326" s="36">
        <v>0.2297196970783531</v>
      </c>
    </row>
    <row r="327" spans="2:14" ht="15" customHeight="1" x14ac:dyDescent="0.25">
      <c r="B327" s="42" t="s">
        <v>663</v>
      </c>
      <c r="C327" s="43" t="s">
        <v>664</v>
      </c>
      <c r="E327" s="34" t="s">
        <v>664</v>
      </c>
      <c r="F327" s="33">
        <v>37653</v>
      </c>
      <c r="G327" s="33">
        <v>41306</v>
      </c>
      <c r="H327" s="38">
        <v>41609</v>
      </c>
      <c r="I327" s="38">
        <v>41456</v>
      </c>
      <c r="J327" s="36">
        <v>0.13209719794347574</v>
      </c>
      <c r="K327" s="36">
        <v>9.4159904117995907E-2</v>
      </c>
      <c r="L327" s="36">
        <v>1.355366970391134E-2</v>
      </c>
      <c r="M327" s="36">
        <v>7.8076785858312875E-2</v>
      </c>
      <c r="N327" s="36">
        <v>0.17359410425151708</v>
      </c>
    </row>
    <row r="328" spans="2:14" ht="15" customHeight="1" x14ac:dyDescent="0.25">
      <c r="B328" s="42" t="s">
        <v>665</v>
      </c>
      <c r="C328" s="43" t="s">
        <v>666</v>
      </c>
      <c r="E328" s="34" t="s">
        <v>666</v>
      </c>
      <c r="F328" s="33">
        <v>37653</v>
      </c>
      <c r="G328" s="33">
        <v>41306</v>
      </c>
      <c r="H328" s="38">
        <v>41518</v>
      </c>
      <c r="I328" s="38">
        <v>41487</v>
      </c>
      <c r="J328" s="36">
        <v>0.12707400988856365</v>
      </c>
      <c r="K328" s="36">
        <v>0.13668524208776112</v>
      </c>
      <c r="L328" s="36">
        <v>1.0984714360093996E-2</v>
      </c>
      <c r="M328" s="36">
        <v>4.1971530737062855E-2</v>
      </c>
      <c r="N328" s="36">
        <v>0.26171822107012105</v>
      </c>
    </row>
    <row r="329" spans="2:14" ht="15" customHeight="1" x14ac:dyDescent="0.25">
      <c r="B329" s="42" t="s">
        <v>667</v>
      </c>
      <c r="C329" s="43" t="s">
        <v>668</v>
      </c>
      <c r="E329" s="34" t="s">
        <v>668</v>
      </c>
      <c r="F329" s="33">
        <v>37653</v>
      </c>
      <c r="G329" s="33">
        <v>41306</v>
      </c>
      <c r="H329" s="38">
        <v>41365</v>
      </c>
      <c r="I329" s="38">
        <v>41609</v>
      </c>
      <c r="J329" s="36">
        <v>0.13246909081157243</v>
      </c>
      <c r="K329" s="36">
        <v>5.9134890129328044E-2</v>
      </c>
      <c r="L329" s="36">
        <v>1.3830712284403643E-2</v>
      </c>
      <c r="M329" s="36">
        <v>8.1378707604402259E-2</v>
      </c>
      <c r="N329" s="36">
        <v>0.1699549266822647</v>
      </c>
    </row>
    <row r="330" spans="2:14" ht="15" customHeight="1" x14ac:dyDescent="0.25">
      <c r="B330" s="42" t="s">
        <v>669</v>
      </c>
      <c r="C330" s="43" t="s">
        <v>670</v>
      </c>
      <c r="E330" s="34" t="s">
        <v>670</v>
      </c>
      <c r="F330" s="33">
        <v>37653</v>
      </c>
      <c r="G330" s="33">
        <v>41306</v>
      </c>
      <c r="H330" s="38">
        <v>41456</v>
      </c>
      <c r="I330" s="38">
        <v>41334</v>
      </c>
      <c r="J330" s="36">
        <v>0.41404693905762691</v>
      </c>
      <c r="K330" s="36">
        <v>0.34087035049264247</v>
      </c>
      <c r="L330" s="36">
        <v>4.3177163360731054E-2</v>
      </c>
      <c r="M330" s="36">
        <v>0.17308499834986446</v>
      </c>
      <c r="N330" s="36">
        <v>0.24945641605204352</v>
      </c>
    </row>
    <row r="331" spans="2:14" ht="15" customHeight="1" x14ac:dyDescent="0.25">
      <c r="B331" s="42" t="s">
        <v>671</v>
      </c>
      <c r="C331" s="43" t="s">
        <v>672</v>
      </c>
      <c r="E331" s="34" t="s">
        <v>672</v>
      </c>
      <c r="F331" s="33">
        <v>37653</v>
      </c>
      <c r="G331" s="33">
        <v>41306</v>
      </c>
      <c r="H331" s="38">
        <v>41548</v>
      </c>
      <c r="I331" s="38">
        <v>41456</v>
      </c>
      <c r="J331" s="36">
        <v>0.17215554042179515</v>
      </c>
      <c r="K331" s="36">
        <v>5.6053517534389252E-2</v>
      </c>
      <c r="L331" s="36">
        <v>1.6984083255247966E-2</v>
      </c>
      <c r="M331" s="36">
        <v>8.4822955031690503E-2</v>
      </c>
      <c r="N331" s="36">
        <v>0.2002297992200647</v>
      </c>
    </row>
    <row r="332" spans="2:14" ht="15" customHeight="1" x14ac:dyDescent="0.25">
      <c r="B332" s="42" t="s">
        <v>673</v>
      </c>
      <c r="C332" s="43" t="s">
        <v>674</v>
      </c>
      <c r="E332" s="34" t="s">
        <v>674</v>
      </c>
      <c r="F332" s="33">
        <v>37653</v>
      </c>
      <c r="G332" s="33">
        <v>41306</v>
      </c>
      <c r="H332" s="38">
        <v>41426</v>
      </c>
      <c r="I332" s="38">
        <v>41365</v>
      </c>
      <c r="J332" s="36">
        <v>9.3224866342069612E-2</v>
      </c>
      <c r="K332" s="36">
        <v>0.10031509130628025</v>
      </c>
      <c r="L332" s="36">
        <v>8.7031898995516225E-3</v>
      </c>
      <c r="M332" s="36">
        <v>4.8834989421536967E-2</v>
      </c>
      <c r="N332" s="36">
        <v>0.17821627490131869</v>
      </c>
    </row>
    <row r="333" spans="2:14" ht="15" customHeight="1" x14ac:dyDescent="0.25">
      <c r="B333" s="42" t="s">
        <v>675</v>
      </c>
      <c r="C333" s="43" t="s">
        <v>676</v>
      </c>
      <c r="E333" s="34" t="s">
        <v>676</v>
      </c>
      <c r="F333" s="33">
        <v>37653</v>
      </c>
      <c r="G333" s="33">
        <v>41306</v>
      </c>
      <c r="H333" s="38">
        <v>41426</v>
      </c>
      <c r="I333" s="38">
        <v>41395</v>
      </c>
      <c r="J333" s="36">
        <v>0.19511687540125666</v>
      </c>
      <c r="K333" s="36">
        <v>0.18080811188540258</v>
      </c>
      <c r="L333" s="36">
        <v>1.670870459084654E-2</v>
      </c>
      <c r="M333" s="36">
        <v>5.7295774984371717E-2</v>
      </c>
      <c r="N333" s="36">
        <v>0.29162193190342728</v>
      </c>
    </row>
    <row r="334" spans="2:14" ht="15" customHeight="1" x14ac:dyDescent="0.25">
      <c r="B334" s="42" t="s">
        <v>677</v>
      </c>
      <c r="C334" s="43" t="s">
        <v>678</v>
      </c>
      <c r="E334" s="34" t="s">
        <v>678</v>
      </c>
      <c r="F334" s="33">
        <v>37653</v>
      </c>
      <c r="G334" s="33">
        <v>41306</v>
      </c>
      <c r="H334" s="38">
        <v>41548</v>
      </c>
      <c r="I334" s="38">
        <v>41365</v>
      </c>
      <c r="J334" s="36">
        <v>9.9171017364353409E-2</v>
      </c>
      <c r="K334" s="36">
        <v>7.726916044603116E-2</v>
      </c>
      <c r="L334" s="36">
        <v>8.7907507009767367E-3</v>
      </c>
      <c r="M334" s="36">
        <v>3.9950426112128352E-2</v>
      </c>
      <c r="N334" s="36">
        <v>0.22004147531002169</v>
      </c>
    </row>
    <row r="335" spans="2:14" ht="15" customHeight="1" x14ac:dyDescent="0.25">
      <c r="B335" s="42" t="s">
        <v>679</v>
      </c>
      <c r="C335" s="43" t="s">
        <v>680</v>
      </c>
      <c r="E335" s="34" t="s">
        <v>680</v>
      </c>
      <c r="F335" s="33">
        <v>37653</v>
      </c>
      <c r="G335" s="33">
        <v>41306</v>
      </c>
      <c r="H335" s="38">
        <v>41548</v>
      </c>
      <c r="I335" s="38">
        <v>41456</v>
      </c>
      <c r="J335" s="36">
        <v>0.26832195231962075</v>
      </c>
      <c r="K335" s="36">
        <v>0.20666086128665606</v>
      </c>
      <c r="L335" s="36">
        <v>2.3712098318542214E-2</v>
      </c>
      <c r="M335" s="36">
        <v>8.5098552686151088E-2</v>
      </c>
      <c r="N335" s="36">
        <v>0.27864279203424236</v>
      </c>
    </row>
    <row r="336" spans="2:14" ht="15" customHeight="1" x14ac:dyDescent="0.25">
      <c r="B336" s="42" t="s">
        <v>681</v>
      </c>
      <c r="C336" s="43" t="s">
        <v>682</v>
      </c>
      <c r="E336" s="34" t="s">
        <v>682</v>
      </c>
      <c r="F336" s="33"/>
      <c r="G336" s="33"/>
      <c r="H336" s="38"/>
      <c r="I336" s="38"/>
      <c r="J336" s="36"/>
      <c r="K336" s="36"/>
      <c r="L336" s="36"/>
      <c r="M336" s="36"/>
      <c r="N336" s="36"/>
    </row>
    <row r="337" spans="2:14" ht="15" customHeight="1" x14ac:dyDescent="0.25">
      <c r="B337" s="42" t="s">
        <v>683</v>
      </c>
      <c r="C337" s="43" t="s">
        <v>684</v>
      </c>
      <c r="E337" s="34" t="s">
        <v>684</v>
      </c>
      <c r="F337" s="33">
        <v>37956</v>
      </c>
      <c r="G337" s="33">
        <v>41306</v>
      </c>
      <c r="H337" s="38">
        <v>41334</v>
      </c>
      <c r="I337" s="38">
        <v>41487</v>
      </c>
      <c r="J337" s="36">
        <v>0.15016974415182371</v>
      </c>
      <c r="K337" s="36">
        <v>9.0296953458094187E-2</v>
      </c>
      <c r="L337" s="36">
        <v>1.3369769995071078E-2</v>
      </c>
      <c r="M337" s="36">
        <v>5.6778617848642618E-2</v>
      </c>
      <c r="N337" s="36">
        <v>0.23547191709934698</v>
      </c>
    </row>
    <row r="338" spans="2:14" ht="15" customHeight="1" x14ac:dyDescent="0.25">
      <c r="B338" s="42" t="s">
        <v>685</v>
      </c>
      <c r="C338" s="43" t="s">
        <v>686</v>
      </c>
      <c r="E338" s="34" t="s">
        <v>686</v>
      </c>
      <c r="F338" s="33">
        <v>37653</v>
      </c>
      <c r="G338" s="33">
        <v>41306</v>
      </c>
      <c r="H338" s="38">
        <v>41518</v>
      </c>
      <c r="I338" s="38">
        <v>41456</v>
      </c>
      <c r="J338" s="36">
        <v>0.18426983345930514</v>
      </c>
      <c r="K338" s="36">
        <v>0.16076496793974693</v>
      </c>
      <c r="L338" s="36">
        <v>1.6841911545033832E-2</v>
      </c>
      <c r="M338" s="36">
        <v>7.1161424256688297E-2</v>
      </c>
      <c r="N338" s="36">
        <v>0.2366719289412044</v>
      </c>
    </row>
    <row r="339" spans="2:14" ht="15" customHeight="1" x14ac:dyDescent="0.25">
      <c r="B339" s="42" t="s">
        <v>687</v>
      </c>
      <c r="C339" s="43" t="s">
        <v>688</v>
      </c>
      <c r="E339" s="34" t="s">
        <v>688</v>
      </c>
      <c r="F339" s="33">
        <v>40969</v>
      </c>
      <c r="G339" s="33">
        <v>41306</v>
      </c>
      <c r="H339" s="38">
        <v>41365</v>
      </c>
      <c r="I339" s="38">
        <v>41306</v>
      </c>
      <c r="J339" s="36">
        <v>1.5754385964912276</v>
      </c>
      <c r="K339" s="36">
        <v>1.5557103064066848</v>
      </c>
      <c r="L339" s="36">
        <v>9.7832015065105749E-2</v>
      </c>
      <c r="M339" s="36">
        <v>0.13206676558917427</v>
      </c>
      <c r="N339" s="36">
        <v>0.74077694436339858</v>
      </c>
    </row>
    <row r="340" spans="2:14" ht="15" customHeight="1" x14ac:dyDescent="0.25">
      <c r="B340" s="42" t="s">
        <v>689</v>
      </c>
      <c r="C340" s="43" t="s">
        <v>690</v>
      </c>
      <c r="E340" s="34" t="s">
        <v>690</v>
      </c>
      <c r="F340" s="33">
        <v>37653</v>
      </c>
      <c r="G340" s="33">
        <v>41306</v>
      </c>
      <c r="H340" s="38">
        <v>41334</v>
      </c>
      <c r="I340" s="38">
        <v>41275</v>
      </c>
      <c r="J340" s="36">
        <v>0.12927026191204627</v>
      </c>
      <c r="K340" s="36">
        <v>0.12947780692276289</v>
      </c>
      <c r="L340" s="36">
        <v>1.6564692646993558E-2</v>
      </c>
      <c r="M340" s="36">
        <v>0.11272096842375381</v>
      </c>
      <c r="N340" s="36">
        <v>0.14695307251727677</v>
      </c>
    </row>
    <row r="341" spans="2:14" ht="15" customHeight="1" x14ac:dyDescent="0.25">
      <c r="B341" s="42" t="s">
        <v>691</v>
      </c>
      <c r="C341" s="43" t="s">
        <v>692</v>
      </c>
      <c r="E341" s="34" t="s">
        <v>692</v>
      </c>
      <c r="F341" s="33">
        <v>37653</v>
      </c>
      <c r="G341" s="33">
        <v>41306</v>
      </c>
      <c r="H341" s="38">
        <v>41426</v>
      </c>
      <c r="I341" s="38">
        <v>41365</v>
      </c>
      <c r="J341" s="36">
        <v>7.8995796772604487E-2</v>
      </c>
      <c r="K341" s="36">
        <v>7.0245590588698059E-2</v>
      </c>
      <c r="L341" s="36">
        <v>8.3750547087254445E-3</v>
      </c>
      <c r="M341" s="36">
        <v>6.2155052328558114E-2</v>
      </c>
      <c r="N341" s="36">
        <v>0.13474455245333924</v>
      </c>
    </row>
    <row r="342" spans="2:14" ht="15" customHeight="1" x14ac:dyDescent="0.25">
      <c r="B342" s="42" t="s">
        <v>693</v>
      </c>
      <c r="C342" s="43" t="s">
        <v>694</v>
      </c>
      <c r="E342" s="34" t="s">
        <v>694</v>
      </c>
      <c r="F342" s="33">
        <v>37653</v>
      </c>
      <c r="G342" s="33">
        <v>41306</v>
      </c>
      <c r="H342" s="38">
        <v>41334</v>
      </c>
      <c r="I342" s="38">
        <v>41609</v>
      </c>
      <c r="J342" s="36">
        <v>0.14470075709716834</v>
      </c>
      <c r="K342" s="36">
        <v>0.14911058069734939</v>
      </c>
      <c r="L342" s="36">
        <v>1.2170972985691364E-2</v>
      </c>
      <c r="M342" s="36">
        <v>3.8898165744910056E-2</v>
      </c>
      <c r="N342" s="36">
        <v>0.31289323680471931</v>
      </c>
    </row>
    <row r="343" spans="2:14" ht="15" customHeight="1" x14ac:dyDescent="0.25">
      <c r="B343" s="42" t="s">
        <v>695</v>
      </c>
      <c r="C343" s="43" t="s">
        <v>696</v>
      </c>
      <c r="E343" s="34" t="s">
        <v>696</v>
      </c>
      <c r="F343" s="33">
        <v>37653</v>
      </c>
      <c r="G343" s="33">
        <v>41306</v>
      </c>
      <c r="H343" s="38">
        <v>41518</v>
      </c>
      <c r="I343" s="38">
        <v>41334</v>
      </c>
      <c r="J343" s="36">
        <v>0.25108788625644696</v>
      </c>
      <c r="K343" s="36">
        <v>0.19506799842984202</v>
      </c>
      <c r="L343" s="36">
        <v>2.158810364445728E-2</v>
      </c>
      <c r="M343" s="36">
        <v>7.4425110546893714E-2</v>
      </c>
      <c r="N343" s="36">
        <v>0.29006478439632366</v>
      </c>
    </row>
    <row r="344" spans="2:14" ht="15" customHeight="1" x14ac:dyDescent="0.25">
      <c r="B344" s="42" t="s">
        <v>697</v>
      </c>
      <c r="C344" s="43" t="s">
        <v>698</v>
      </c>
      <c r="E344" s="34" t="s">
        <v>698</v>
      </c>
      <c r="F344" s="33">
        <v>37653</v>
      </c>
      <c r="G344" s="33">
        <v>41306</v>
      </c>
      <c r="H344" s="38">
        <v>41456</v>
      </c>
      <c r="I344" s="38">
        <v>41334</v>
      </c>
      <c r="J344" s="36">
        <v>0.24417643009443823</v>
      </c>
      <c r="K344" s="36">
        <v>0.1136807323888358</v>
      </c>
      <c r="L344" s="36">
        <v>2.5287351315799744E-2</v>
      </c>
      <c r="M344" s="36">
        <v>0.12078593635604015</v>
      </c>
      <c r="N344" s="36">
        <v>0.20935675194221565</v>
      </c>
    </row>
    <row r="345" spans="2:14" ht="15" customHeight="1" x14ac:dyDescent="0.25">
      <c r="B345" s="42" t="s">
        <v>699</v>
      </c>
      <c r="C345" s="43" t="s">
        <v>700</v>
      </c>
      <c r="E345" s="34" t="s">
        <v>700</v>
      </c>
      <c r="F345" s="33">
        <v>37653</v>
      </c>
      <c r="G345" s="33">
        <v>41061</v>
      </c>
      <c r="H345" s="38">
        <v>41518</v>
      </c>
      <c r="I345" s="38">
        <v>41395</v>
      </c>
      <c r="J345" s="36">
        <v>8.1807500880636486E-2</v>
      </c>
      <c r="K345" s="36">
        <v>3.5239695119887893E-2</v>
      </c>
      <c r="L345" s="36">
        <v>1.0309002968539333E-2</v>
      </c>
      <c r="M345" s="36">
        <v>8.6767314119722036E-2</v>
      </c>
      <c r="N345" s="36">
        <v>0.1188120558199475</v>
      </c>
    </row>
    <row r="346" spans="2:14" ht="15" customHeight="1" x14ac:dyDescent="0.25">
      <c r="B346" s="42" t="s">
        <v>701</v>
      </c>
      <c r="C346" s="43" t="s">
        <v>702</v>
      </c>
      <c r="E346" s="34" t="s">
        <v>702</v>
      </c>
      <c r="F346" s="33">
        <v>37653</v>
      </c>
      <c r="G346" s="33">
        <v>41306</v>
      </c>
      <c r="H346" s="38">
        <v>41306</v>
      </c>
      <c r="I346" s="38">
        <v>41395</v>
      </c>
      <c r="J346" s="36">
        <v>8.2962615302610399E-2</v>
      </c>
      <c r="K346" s="36">
        <v>1.0628417452803296E-2</v>
      </c>
      <c r="L346" s="36">
        <v>8.2777290337697016E-3</v>
      </c>
      <c r="M346" s="36">
        <v>6.3986955061129419E-2</v>
      </c>
      <c r="N346" s="36">
        <v>0.12936588443475144</v>
      </c>
    </row>
    <row r="347" spans="2:14" ht="15" customHeight="1" x14ac:dyDescent="0.25">
      <c r="B347" s="42" t="s">
        <v>703</v>
      </c>
      <c r="C347" s="43" t="s">
        <v>704</v>
      </c>
      <c r="E347" s="34" t="s">
        <v>704</v>
      </c>
      <c r="F347" s="33">
        <v>37653</v>
      </c>
      <c r="G347" s="33">
        <v>41306</v>
      </c>
      <c r="H347" s="38">
        <v>41426</v>
      </c>
      <c r="I347" s="38">
        <v>41395</v>
      </c>
      <c r="J347" s="36">
        <v>0.12565525522790288</v>
      </c>
      <c r="K347" s="36">
        <v>0.11297317943678231</v>
      </c>
      <c r="L347" s="36">
        <v>1.3173275273054294E-2</v>
      </c>
      <c r="M347" s="36">
        <v>7.8731362888454504E-2</v>
      </c>
      <c r="N347" s="36">
        <v>0.16731928407892555</v>
      </c>
    </row>
    <row r="348" spans="2:14" ht="15" customHeight="1" x14ac:dyDescent="0.25">
      <c r="B348" s="42" t="s">
        <v>705</v>
      </c>
      <c r="C348" s="43" t="s">
        <v>706</v>
      </c>
      <c r="E348" s="34" t="s">
        <v>706</v>
      </c>
      <c r="F348" s="33">
        <v>38200</v>
      </c>
      <c r="G348" s="33">
        <v>41306</v>
      </c>
      <c r="H348" s="38">
        <v>41518</v>
      </c>
      <c r="I348" s="38">
        <v>41365</v>
      </c>
      <c r="J348" s="36">
        <v>0.22529035947942133</v>
      </c>
      <c r="K348" s="36">
        <v>0.1321376983045901</v>
      </c>
      <c r="L348" s="36">
        <v>2.514608274777573E-2</v>
      </c>
      <c r="M348" s="36">
        <v>0.13604168149665574</v>
      </c>
      <c r="N348" s="36">
        <v>0.184841016893737</v>
      </c>
    </row>
    <row r="349" spans="2:14" ht="15" customHeight="1" x14ac:dyDescent="0.25">
      <c r="B349" s="42" t="s">
        <v>707</v>
      </c>
      <c r="C349" s="43" t="s">
        <v>708</v>
      </c>
      <c r="E349" s="34" t="s">
        <v>708</v>
      </c>
      <c r="F349" s="33">
        <v>37653</v>
      </c>
      <c r="G349" s="33">
        <v>41306</v>
      </c>
      <c r="H349" s="38">
        <v>41518</v>
      </c>
      <c r="I349" s="38">
        <v>41395</v>
      </c>
      <c r="J349" s="36">
        <v>0.23035785931901454</v>
      </c>
      <c r="K349" s="36">
        <v>0.10428238557745328</v>
      </c>
      <c r="L349" s="36">
        <v>2.3075291933443584E-2</v>
      </c>
      <c r="M349" s="36">
        <v>0.11068580442589265</v>
      </c>
      <c r="N349" s="36">
        <v>0.20847562208298498</v>
      </c>
    </row>
    <row r="350" spans="2:14" ht="15" customHeight="1" x14ac:dyDescent="0.25">
      <c r="B350" s="42" t="s">
        <v>709</v>
      </c>
      <c r="C350" s="43" t="s">
        <v>710</v>
      </c>
      <c r="E350" s="34" t="s">
        <v>710</v>
      </c>
      <c r="F350" s="33">
        <v>37653</v>
      </c>
      <c r="G350" s="33">
        <v>41306</v>
      </c>
      <c r="H350" s="38">
        <v>41518</v>
      </c>
      <c r="I350" s="38">
        <v>41456</v>
      </c>
      <c r="J350" s="36">
        <v>0.21655236088052665</v>
      </c>
      <c r="K350" s="36">
        <v>0.22729259615154707</v>
      </c>
      <c r="L350" s="36">
        <v>1.8372301628652041E-2</v>
      </c>
      <c r="M350" s="36">
        <v>5.9257972321358626E-2</v>
      </c>
      <c r="N350" s="36">
        <v>0.31003932313137933</v>
      </c>
    </row>
    <row r="351" spans="2:14" ht="15" customHeight="1" x14ac:dyDescent="0.25">
      <c r="B351" s="42" t="s">
        <v>711</v>
      </c>
      <c r="C351" s="43" t="s">
        <v>712</v>
      </c>
      <c r="E351" s="34" t="s">
        <v>712</v>
      </c>
      <c r="F351" s="33">
        <v>37653</v>
      </c>
      <c r="G351" s="33">
        <v>41306</v>
      </c>
      <c r="H351" s="38">
        <v>41487</v>
      </c>
      <c r="I351" s="38">
        <v>41365</v>
      </c>
      <c r="J351" s="36">
        <v>0.10927527541663484</v>
      </c>
      <c r="K351" s="36">
        <v>9.1041786597426455E-2</v>
      </c>
      <c r="L351" s="36">
        <v>1.0533511308416843E-2</v>
      </c>
      <c r="M351" s="36">
        <v>6.0974843637602791E-2</v>
      </c>
      <c r="N351" s="36">
        <v>0.17275175597040637</v>
      </c>
    </row>
    <row r="352" spans="2:14" ht="15" customHeight="1" x14ac:dyDescent="0.25">
      <c r="B352" s="42" t="s">
        <v>713</v>
      </c>
      <c r="C352" s="43" t="s">
        <v>714</v>
      </c>
      <c r="E352" s="34" t="s">
        <v>714</v>
      </c>
      <c r="F352" s="33">
        <v>37653</v>
      </c>
      <c r="G352" s="33">
        <v>41306</v>
      </c>
      <c r="H352" s="38">
        <v>41579</v>
      </c>
      <c r="I352" s="38">
        <v>41548</v>
      </c>
      <c r="J352" s="36">
        <v>0.14652511017197623</v>
      </c>
      <c r="K352" s="36">
        <v>0.12018351871986943</v>
      </c>
      <c r="L352" s="36">
        <v>1.3860586706085179E-2</v>
      </c>
      <c r="M352" s="36">
        <v>6.8374497588690894E-2</v>
      </c>
      <c r="N352" s="36">
        <v>0.20271573751757574</v>
      </c>
    </row>
    <row r="353" spans="2:14" ht="15" customHeight="1" x14ac:dyDescent="0.25">
      <c r="B353" s="42" t="s">
        <v>715</v>
      </c>
      <c r="C353" s="43" t="s">
        <v>716</v>
      </c>
      <c r="E353" s="34" t="s">
        <v>716</v>
      </c>
      <c r="F353" s="33">
        <v>37653</v>
      </c>
      <c r="G353" s="33">
        <v>41306</v>
      </c>
      <c r="H353" s="38">
        <v>41426</v>
      </c>
      <c r="I353" s="38">
        <v>41365</v>
      </c>
      <c r="J353" s="36">
        <v>0.22523917749790101</v>
      </c>
      <c r="K353" s="36">
        <v>0.21813888763118672</v>
      </c>
      <c r="L353" s="36">
        <v>1.9265265183003605E-2</v>
      </c>
      <c r="M353" s="36">
        <v>6.4981252376930587E-2</v>
      </c>
      <c r="N353" s="36">
        <v>0.29647420568710203</v>
      </c>
    </row>
    <row r="354" spans="2:14" ht="15" customHeight="1" x14ac:dyDescent="0.25">
      <c r="B354" s="42" t="s">
        <v>717</v>
      </c>
      <c r="C354" s="43" t="s">
        <v>718</v>
      </c>
      <c r="E354" s="34" t="s">
        <v>718</v>
      </c>
      <c r="F354" s="33">
        <v>37653</v>
      </c>
      <c r="G354" s="33">
        <v>41306</v>
      </c>
      <c r="H354" s="38">
        <v>41548</v>
      </c>
      <c r="I354" s="38">
        <v>41456</v>
      </c>
      <c r="J354" s="36">
        <v>0.22301848675867908</v>
      </c>
      <c r="K354" s="36">
        <v>0.21603531123025221</v>
      </c>
      <c r="L354" s="36">
        <v>1.8953241306137888E-2</v>
      </c>
      <c r="M354" s="36">
        <v>6.2760794037122786E-2</v>
      </c>
      <c r="N354" s="36">
        <v>0.30199173858328043</v>
      </c>
    </row>
    <row r="355" spans="2:14" ht="15" customHeight="1" x14ac:dyDescent="0.25">
      <c r="B355" s="42" t="s">
        <v>719</v>
      </c>
      <c r="C355" s="43" t="s">
        <v>720</v>
      </c>
      <c r="E355" s="34" t="s">
        <v>720</v>
      </c>
      <c r="F355" s="33">
        <v>37653</v>
      </c>
      <c r="G355" s="33">
        <v>41306</v>
      </c>
      <c r="H355" s="38">
        <v>41426</v>
      </c>
      <c r="I355" s="38">
        <v>41579</v>
      </c>
      <c r="J355" s="36">
        <v>8.9895006568306846E-2</v>
      </c>
      <c r="K355" s="36">
        <v>5.4845019848337895E-2</v>
      </c>
      <c r="L355" s="36">
        <v>8.1145477230051763E-3</v>
      </c>
      <c r="M355" s="36">
        <v>4.1675259816046757E-2</v>
      </c>
      <c r="N355" s="36">
        <v>0.19470898942976064</v>
      </c>
    </row>
    <row r="356" spans="2:14" ht="15" customHeight="1" x14ac:dyDescent="0.25">
      <c r="B356" s="42" t="s">
        <v>721</v>
      </c>
      <c r="C356" s="43" t="s">
        <v>722</v>
      </c>
      <c r="E356" s="34" t="s">
        <v>722</v>
      </c>
      <c r="F356" s="33">
        <v>37653</v>
      </c>
      <c r="G356" s="33">
        <v>41306</v>
      </c>
      <c r="H356" s="38">
        <v>41426</v>
      </c>
      <c r="I356" s="38">
        <v>41334</v>
      </c>
      <c r="J356" s="36">
        <v>0.16730357547577568</v>
      </c>
      <c r="K356" s="36">
        <v>0.12902034422497066</v>
      </c>
      <c r="L356" s="36">
        <v>1.4256627850635622E-2</v>
      </c>
      <c r="M356" s="36">
        <v>4.9341833340532083E-2</v>
      </c>
      <c r="N356" s="36">
        <v>0.28893591675533564</v>
      </c>
    </row>
    <row r="357" spans="2:14" ht="15" customHeight="1" x14ac:dyDescent="0.25">
      <c r="B357" s="42" t="s">
        <v>723</v>
      </c>
      <c r="C357" s="43" t="s">
        <v>724</v>
      </c>
      <c r="E357" s="34" t="s">
        <v>724</v>
      </c>
      <c r="F357" s="33">
        <v>37653</v>
      </c>
      <c r="G357" s="33">
        <v>41306</v>
      </c>
      <c r="H357" s="38">
        <v>41579</v>
      </c>
      <c r="I357" s="38">
        <v>41365</v>
      </c>
      <c r="J357" s="36">
        <v>5.4496076986990216E-2</v>
      </c>
      <c r="K357" s="36">
        <v>-3.14839667856599E-2</v>
      </c>
      <c r="L357" s="36">
        <v>5.471372043578491E-3</v>
      </c>
      <c r="M357" s="36">
        <v>4.7185295768072968E-2</v>
      </c>
      <c r="N357" s="36">
        <v>0.11595502273571824</v>
      </c>
    </row>
    <row r="358" spans="2:14" ht="15" customHeight="1" x14ac:dyDescent="0.25">
      <c r="B358" s="42" t="s">
        <v>725</v>
      </c>
      <c r="C358" s="43" t="s">
        <v>726</v>
      </c>
      <c r="E358" s="34" t="s">
        <v>726</v>
      </c>
      <c r="F358" s="33">
        <v>37653</v>
      </c>
      <c r="G358" s="33">
        <v>41306</v>
      </c>
      <c r="H358" s="38">
        <v>41426</v>
      </c>
      <c r="I358" s="38">
        <v>41365</v>
      </c>
      <c r="J358" s="36">
        <v>0.14947690815536196</v>
      </c>
      <c r="K358" s="36">
        <v>0.15893689513256937</v>
      </c>
      <c r="L358" s="36">
        <v>1.4872944727553076E-2</v>
      </c>
      <c r="M358" s="36">
        <v>8.0341235017040533E-2</v>
      </c>
      <c r="N358" s="36">
        <v>0.18512218195797581</v>
      </c>
    </row>
    <row r="359" spans="2:14" ht="15" customHeight="1" x14ac:dyDescent="0.25">
      <c r="B359" s="42" t="s">
        <v>727</v>
      </c>
      <c r="C359" s="43" t="s">
        <v>728</v>
      </c>
      <c r="E359" s="34" t="s">
        <v>728</v>
      </c>
      <c r="F359" s="33">
        <v>37653</v>
      </c>
      <c r="G359" s="33">
        <v>41306</v>
      </c>
      <c r="H359" s="38">
        <v>41334</v>
      </c>
      <c r="I359" s="38">
        <v>41609</v>
      </c>
      <c r="J359" s="36">
        <v>0.15318485788746616</v>
      </c>
      <c r="K359" s="36">
        <v>0.16155558568535322</v>
      </c>
      <c r="L359" s="36">
        <v>1.2982351920044025E-2</v>
      </c>
      <c r="M359" s="36">
        <v>4.4133105720932549E-2</v>
      </c>
      <c r="N359" s="36">
        <v>0.29416356968248514</v>
      </c>
    </row>
    <row r="360" spans="2:14" ht="15" customHeight="1" x14ac:dyDescent="0.25">
      <c r="B360" s="42" t="s">
        <v>729</v>
      </c>
      <c r="C360" s="43" t="s">
        <v>730</v>
      </c>
      <c r="E360" s="34" t="s">
        <v>730</v>
      </c>
      <c r="F360" s="33">
        <v>37653</v>
      </c>
      <c r="G360" s="33">
        <v>41306</v>
      </c>
      <c r="H360" s="38">
        <v>41426</v>
      </c>
      <c r="I360" s="38">
        <v>41395</v>
      </c>
      <c r="J360" s="36">
        <v>0.12039522767910005</v>
      </c>
      <c r="K360" s="36">
        <v>0.13024072766208028</v>
      </c>
      <c r="L360" s="36">
        <v>1.1415686851953565E-2</v>
      </c>
      <c r="M360" s="36">
        <v>5.9684114269010456E-2</v>
      </c>
      <c r="N360" s="36">
        <v>0.19126843033140037</v>
      </c>
    </row>
    <row r="361" spans="2:14" ht="15" customHeight="1" x14ac:dyDescent="0.25">
      <c r="B361" s="42" t="s">
        <v>731</v>
      </c>
      <c r="C361" s="43" t="s">
        <v>732</v>
      </c>
      <c r="E361" s="34" t="s">
        <v>732</v>
      </c>
      <c r="F361" s="33">
        <v>37653</v>
      </c>
      <c r="G361" s="33">
        <v>41306</v>
      </c>
      <c r="H361" s="38">
        <v>41609</v>
      </c>
      <c r="I361" s="38">
        <v>41579</v>
      </c>
      <c r="J361" s="36">
        <v>0.43305351849546803</v>
      </c>
      <c r="K361" s="36">
        <v>0.55643481850911525</v>
      </c>
      <c r="L361" s="36">
        <v>3.7786959308842447E-2</v>
      </c>
      <c r="M361" s="36">
        <v>0.12121802045130931</v>
      </c>
      <c r="N361" s="36">
        <v>0.31172724293101833</v>
      </c>
    </row>
    <row r="362" spans="2:14" ht="15" customHeight="1" x14ac:dyDescent="0.25">
      <c r="B362" s="42" t="s">
        <v>733</v>
      </c>
      <c r="C362" s="43" t="s">
        <v>734</v>
      </c>
      <c r="E362" s="34" t="s">
        <v>734</v>
      </c>
      <c r="F362" s="33">
        <v>37653</v>
      </c>
      <c r="G362" s="33">
        <v>41306</v>
      </c>
      <c r="H362" s="38">
        <v>41426</v>
      </c>
      <c r="I362" s="38">
        <v>41395</v>
      </c>
      <c r="J362" s="36">
        <v>0.310540908814674</v>
      </c>
      <c r="K362" s="36">
        <v>0.31709104880532024</v>
      </c>
      <c r="L362" s="36">
        <v>2.5835801436254642E-2</v>
      </c>
      <c r="M362" s="36">
        <v>7.5596279826879165E-2</v>
      </c>
      <c r="N362" s="36">
        <v>0.3417602227969479</v>
      </c>
    </row>
    <row r="363" spans="2:14" ht="15" customHeight="1" x14ac:dyDescent="0.25">
      <c r="B363" s="42" t="s">
        <v>735</v>
      </c>
      <c r="C363" s="43" t="s">
        <v>736</v>
      </c>
      <c r="E363" s="34" t="s">
        <v>736</v>
      </c>
      <c r="F363" s="33">
        <v>39173</v>
      </c>
      <c r="G363" s="33">
        <v>41306</v>
      </c>
      <c r="H363" s="38">
        <v>41275</v>
      </c>
      <c r="I363" s="38">
        <v>41395</v>
      </c>
      <c r="J363" s="36">
        <v>0.15318129793248803</v>
      </c>
      <c r="K363" s="36">
        <v>-0.16154232898572551</v>
      </c>
      <c r="L363" s="36">
        <v>1.4020060661882413E-2</v>
      </c>
      <c r="M363" s="36">
        <v>6.2148640150424553E-2</v>
      </c>
      <c r="N363" s="36">
        <v>0.22558917826598074</v>
      </c>
    </row>
    <row r="364" spans="2:14" ht="15" customHeight="1" x14ac:dyDescent="0.25">
      <c r="B364" s="42" t="s">
        <v>737</v>
      </c>
      <c r="C364" s="43" t="s">
        <v>738</v>
      </c>
      <c r="E364" s="34" t="s">
        <v>738</v>
      </c>
      <c r="F364" s="33">
        <v>37653</v>
      </c>
      <c r="G364" s="33">
        <v>41306</v>
      </c>
      <c r="H364" s="38">
        <v>41579</v>
      </c>
      <c r="I364" s="38">
        <v>41365</v>
      </c>
      <c r="J364" s="36">
        <v>9.6770530092550322E-2</v>
      </c>
      <c r="K364" s="36">
        <v>5.7231726932877702E-2</v>
      </c>
      <c r="L364" s="36">
        <v>8.3052866088592983E-3</v>
      </c>
      <c r="M364" s="36">
        <v>3.2239266467521212E-2</v>
      </c>
      <c r="N364" s="36">
        <v>0.25761400673387808</v>
      </c>
    </row>
    <row r="365" spans="2:14" ht="15" customHeight="1" x14ac:dyDescent="0.25">
      <c r="B365" s="42" t="s">
        <v>739</v>
      </c>
      <c r="C365" s="43" t="s">
        <v>740</v>
      </c>
      <c r="E365" s="34" t="s">
        <v>740</v>
      </c>
      <c r="F365" s="33">
        <v>40238</v>
      </c>
      <c r="G365" s="33">
        <v>41306</v>
      </c>
      <c r="H365" s="38">
        <v>41579</v>
      </c>
      <c r="I365" s="38">
        <v>41548</v>
      </c>
      <c r="J365" s="36">
        <v>6.7728144036952154E-2</v>
      </c>
      <c r="K365" s="36">
        <v>6.0417956005952345E-2</v>
      </c>
      <c r="L365" s="36">
        <v>5.9378543569937933E-3</v>
      </c>
      <c r="M365" s="36">
        <v>2.4531466793130834E-2</v>
      </c>
      <c r="N365" s="36">
        <v>0.24205052258255011</v>
      </c>
    </row>
    <row r="366" spans="2:14" ht="15" customHeight="1" x14ac:dyDescent="0.25">
      <c r="B366" s="42" t="s">
        <v>741</v>
      </c>
      <c r="C366" s="43" t="s">
        <v>742</v>
      </c>
      <c r="E366" s="34" t="s">
        <v>742</v>
      </c>
      <c r="F366" s="33">
        <v>37653</v>
      </c>
      <c r="G366" s="33">
        <v>41306</v>
      </c>
      <c r="H366" s="38">
        <v>41275</v>
      </c>
      <c r="I366" s="38">
        <v>41518</v>
      </c>
      <c r="J366" s="36">
        <v>8.7107705872299102E-2</v>
      </c>
      <c r="K366" s="36">
        <v>9.0951386319646055E-2</v>
      </c>
      <c r="L366" s="36">
        <v>7.4982038245527604E-3</v>
      </c>
      <c r="M366" s="36">
        <v>3.0308897529492472E-2</v>
      </c>
      <c r="N366" s="36">
        <v>0.24739282638890228</v>
      </c>
    </row>
    <row r="367" spans="2:14" ht="15" customHeight="1" x14ac:dyDescent="0.25">
      <c r="B367" s="42" t="s">
        <v>743</v>
      </c>
      <c r="C367" s="43" t="s">
        <v>744</v>
      </c>
      <c r="E367" s="34" t="s">
        <v>744</v>
      </c>
      <c r="F367" s="33">
        <v>37653</v>
      </c>
      <c r="G367" s="33">
        <v>41306</v>
      </c>
      <c r="H367" s="38">
        <v>41548</v>
      </c>
      <c r="I367" s="38">
        <v>41487</v>
      </c>
      <c r="J367" s="36">
        <v>4.8921584964733755E-2</v>
      </c>
      <c r="K367" s="36">
        <v>3.1854952833228145E-2</v>
      </c>
      <c r="L367" s="36">
        <v>5.3783335507665139E-3</v>
      </c>
      <c r="M367" s="36">
        <v>5.1922798825770708E-2</v>
      </c>
      <c r="N367" s="36">
        <v>0.10358327502363181</v>
      </c>
    </row>
    <row r="368" spans="2:14" ht="15" customHeight="1" x14ac:dyDescent="0.25">
      <c r="B368" s="42" t="s">
        <v>745</v>
      </c>
      <c r="C368" s="43" t="s">
        <v>746</v>
      </c>
      <c r="E368" s="34" t="s">
        <v>746</v>
      </c>
      <c r="F368" s="33">
        <v>37653</v>
      </c>
      <c r="G368" s="33">
        <v>41306</v>
      </c>
      <c r="H368" s="38">
        <v>41306</v>
      </c>
      <c r="I368" s="38">
        <v>41395</v>
      </c>
      <c r="J368" s="36">
        <v>0.11091583846582265</v>
      </c>
      <c r="K368" s="36">
        <v>2.9030548159558522E-2</v>
      </c>
      <c r="L368" s="36">
        <v>1.2283051429042574E-2</v>
      </c>
      <c r="M368" s="36">
        <v>0.10104029626907866</v>
      </c>
      <c r="N368" s="36">
        <v>0.12156586908981137</v>
      </c>
    </row>
    <row r="369" spans="2:14" ht="15" customHeight="1" x14ac:dyDescent="0.25">
      <c r="B369" s="42" t="s">
        <v>747</v>
      </c>
      <c r="C369" s="43" t="s">
        <v>748</v>
      </c>
      <c r="E369" s="34" t="s">
        <v>748</v>
      </c>
      <c r="F369" s="33">
        <v>37653</v>
      </c>
      <c r="G369" s="33">
        <v>41306</v>
      </c>
      <c r="H369" s="38">
        <v>41426</v>
      </c>
      <c r="I369" s="38">
        <v>41609</v>
      </c>
      <c r="J369" s="36">
        <v>0.11312089075353948</v>
      </c>
      <c r="K369" s="36">
        <v>9.0169722675468966E-2</v>
      </c>
      <c r="L369" s="36">
        <v>9.4944699022157988E-3</v>
      </c>
      <c r="M369" s="36">
        <v>3.0343533140102154E-2</v>
      </c>
      <c r="N369" s="36">
        <v>0.31289928758058377</v>
      </c>
    </row>
    <row r="370" spans="2:14" ht="15" customHeight="1" x14ac:dyDescent="0.25">
      <c r="B370" s="42" t="s">
        <v>749</v>
      </c>
      <c r="C370" s="43" t="s">
        <v>750</v>
      </c>
      <c r="E370" s="34" t="s">
        <v>750</v>
      </c>
      <c r="F370" s="33">
        <v>37653</v>
      </c>
      <c r="G370" s="33">
        <v>41091</v>
      </c>
      <c r="H370" s="38">
        <v>41334</v>
      </c>
      <c r="I370" s="38">
        <v>41609</v>
      </c>
      <c r="J370" s="36">
        <v>0.1243864203019982</v>
      </c>
      <c r="K370" s="36">
        <v>0.10597315885103575</v>
      </c>
      <c r="L370" s="36">
        <v>1.0484839689580038E-2</v>
      </c>
      <c r="M370" s="36">
        <v>3.426795382230946E-2</v>
      </c>
      <c r="N370" s="36">
        <v>0.30596631896807608</v>
      </c>
    </row>
    <row r="371" spans="2:14" ht="15" customHeight="1" x14ac:dyDescent="0.25">
      <c r="B371" s="42" t="s">
        <v>751</v>
      </c>
      <c r="C371" s="43" t="s">
        <v>752</v>
      </c>
      <c r="E371" s="34" t="s">
        <v>752</v>
      </c>
      <c r="F371" s="33">
        <v>37653</v>
      </c>
      <c r="G371" s="33">
        <v>41306</v>
      </c>
      <c r="H371" s="38">
        <v>41456</v>
      </c>
      <c r="I371" s="38">
        <v>41395</v>
      </c>
      <c r="J371" s="36">
        <v>0.1087516132033246</v>
      </c>
      <c r="K371" s="36">
        <v>7.9877654782764873E-2</v>
      </c>
      <c r="L371" s="36">
        <v>1.0291179513279574E-2</v>
      </c>
      <c r="M371" s="36">
        <v>5.5914212187368549E-2</v>
      </c>
      <c r="N371" s="36">
        <v>0.18405301819855438</v>
      </c>
    </row>
    <row r="372" spans="2:14" ht="15" customHeight="1" x14ac:dyDescent="0.25">
      <c r="B372" s="42" t="s">
        <v>753</v>
      </c>
      <c r="C372" s="43" t="s">
        <v>754</v>
      </c>
      <c r="E372" s="34" t="s">
        <v>754</v>
      </c>
      <c r="F372" s="33">
        <v>37653</v>
      </c>
      <c r="G372" s="33">
        <v>41306</v>
      </c>
      <c r="H372" s="38">
        <v>41456</v>
      </c>
      <c r="I372" s="38">
        <v>41365</v>
      </c>
      <c r="J372" s="36">
        <v>0.19588207427489657</v>
      </c>
      <c r="K372" s="36">
        <v>0.1494250021195227</v>
      </c>
      <c r="L372" s="36">
        <v>1.8056769451703005E-2</v>
      </c>
      <c r="M372" s="36">
        <v>7.7125218739937287E-2</v>
      </c>
      <c r="N372" s="36">
        <v>0.23412276485840003</v>
      </c>
    </row>
    <row r="373" spans="2:14" ht="15" customHeight="1" x14ac:dyDescent="0.25">
      <c r="B373" s="42" t="s">
        <v>755</v>
      </c>
      <c r="C373" s="43" t="s">
        <v>756</v>
      </c>
      <c r="E373" s="34" t="s">
        <v>756</v>
      </c>
      <c r="F373" s="33">
        <v>37653</v>
      </c>
      <c r="G373" s="33">
        <v>41306</v>
      </c>
      <c r="H373" s="38">
        <v>41579</v>
      </c>
      <c r="I373" s="38">
        <v>41365</v>
      </c>
      <c r="J373" s="36">
        <v>0.16959312339426647</v>
      </c>
      <c r="K373" s="36">
        <v>5.1624414959662079E-2</v>
      </c>
      <c r="L373" s="36">
        <v>1.606149454155396E-2</v>
      </c>
      <c r="M373" s="36">
        <v>8.0007536462454315E-2</v>
      </c>
      <c r="N373" s="36">
        <v>0.20074976998062236</v>
      </c>
    </row>
    <row r="374" spans="2:14" ht="15" customHeight="1" x14ac:dyDescent="0.25">
      <c r="B374" s="42" t="s">
        <v>757</v>
      </c>
      <c r="C374" s="43" t="s">
        <v>758</v>
      </c>
      <c r="E374" s="34" t="s">
        <v>758</v>
      </c>
      <c r="F374" s="33">
        <v>37653</v>
      </c>
      <c r="G374" s="33">
        <v>41306</v>
      </c>
      <c r="H374" s="38">
        <v>41334</v>
      </c>
      <c r="I374" s="38">
        <v>41306</v>
      </c>
      <c r="J374" s="36">
        <v>0.15900375179360071</v>
      </c>
      <c r="K374" s="36">
        <v>0.1623763881179805</v>
      </c>
      <c r="L374" s="36">
        <v>1.5827807638935588E-2</v>
      </c>
      <c r="M374" s="36">
        <v>8.1713981217092169E-2</v>
      </c>
      <c r="N374" s="36">
        <v>0.19369766841839881</v>
      </c>
    </row>
    <row r="375" spans="2:14" ht="15" customHeight="1" x14ac:dyDescent="0.25">
      <c r="B375" s="42" t="s">
        <v>759</v>
      </c>
      <c r="C375" s="43" t="s">
        <v>760</v>
      </c>
      <c r="E375" s="34" t="s">
        <v>760</v>
      </c>
      <c r="F375" s="33">
        <v>37653</v>
      </c>
      <c r="G375" s="33">
        <v>41306</v>
      </c>
      <c r="H375" s="38">
        <v>41579</v>
      </c>
      <c r="I375" s="38">
        <v>41365</v>
      </c>
      <c r="J375" s="36">
        <v>0.10906699764407768</v>
      </c>
      <c r="K375" s="36">
        <v>8.0404456223089893E-2</v>
      </c>
      <c r="L375" s="36">
        <v>1.1373424602991867E-2</v>
      </c>
      <c r="M375" s="36">
        <v>7.2934532134970795E-2</v>
      </c>
      <c r="N375" s="36">
        <v>0.15594018731681852</v>
      </c>
    </row>
    <row r="376" spans="2:14" ht="15" customHeight="1" x14ac:dyDescent="0.25">
      <c r="B376" s="42" t="s">
        <v>761</v>
      </c>
      <c r="C376" s="43" t="s">
        <v>762</v>
      </c>
      <c r="E376" s="34" t="s">
        <v>762</v>
      </c>
      <c r="F376" s="33">
        <v>37653</v>
      </c>
      <c r="G376" s="33">
        <v>41306</v>
      </c>
      <c r="H376" s="38">
        <v>41334</v>
      </c>
      <c r="I376" s="38">
        <v>41306</v>
      </c>
      <c r="J376" s="36">
        <v>0.17383910807740621</v>
      </c>
      <c r="K376" s="36">
        <v>0.17155153860175831</v>
      </c>
      <c r="L376" s="36">
        <v>1.6531361409533599E-2</v>
      </c>
      <c r="M376" s="36">
        <v>7.7742636972157581E-2</v>
      </c>
      <c r="N376" s="36">
        <v>0.21264214919097832</v>
      </c>
    </row>
    <row r="377" spans="2:14" ht="15" customHeight="1" x14ac:dyDescent="0.25">
      <c r="B377" s="42" t="s">
        <v>763</v>
      </c>
      <c r="C377" s="43" t="s">
        <v>764</v>
      </c>
      <c r="E377" s="34" t="s">
        <v>764</v>
      </c>
      <c r="F377" s="33">
        <v>39508</v>
      </c>
      <c r="G377" s="33">
        <v>41306</v>
      </c>
      <c r="H377" s="38">
        <v>41275</v>
      </c>
      <c r="I377" s="38">
        <v>41609</v>
      </c>
      <c r="J377" s="36">
        <v>0.24984747531093499</v>
      </c>
      <c r="K377" s="36">
        <v>0.164813484573475</v>
      </c>
      <c r="L377" s="36">
        <v>2.0584079280446074E-2</v>
      </c>
      <c r="M377" s="36">
        <v>5.5469839680494376E-2</v>
      </c>
      <c r="N377" s="36">
        <v>0.371085970304045</v>
      </c>
    </row>
    <row r="378" spans="2:14" ht="15" customHeight="1" x14ac:dyDescent="0.25">
      <c r="B378" s="42" t="s">
        <v>765</v>
      </c>
      <c r="C378" s="43" t="s">
        <v>766</v>
      </c>
      <c r="E378" s="34" t="s">
        <v>766</v>
      </c>
      <c r="F378" s="33">
        <v>37653</v>
      </c>
      <c r="G378" s="33">
        <v>41306</v>
      </c>
      <c r="H378" s="38">
        <v>41426</v>
      </c>
      <c r="I378" s="38">
        <v>41365</v>
      </c>
      <c r="J378" s="36">
        <v>0.1138363801740736</v>
      </c>
      <c r="K378" s="36">
        <v>6.4880429125114381E-2</v>
      </c>
      <c r="L378" s="36">
        <v>1.2053320204560628E-2</v>
      </c>
      <c r="M378" s="36">
        <v>7.6648191420886802E-2</v>
      </c>
      <c r="N378" s="36">
        <v>0.15725511562789557</v>
      </c>
    </row>
    <row r="379" spans="2:14" ht="15" customHeight="1" x14ac:dyDescent="0.25">
      <c r="B379" s="42" t="s">
        <v>767</v>
      </c>
      <c r="C379" s="43" t="s">
        <v>768</v>
      </c>
      <c r="E379" s="34" t="s">
        <v>768</v>
      </c>
      <c r="F379" s="33">
        <v>37653</v>
      </c>
      <c r="G379" s="33">
        <v>41306</v>
      </c>
      <c r="H379" s="38">
        <v>41334</v>
      </c>
      <c r="I379" s="38">
        <v>41609</v>
      </c>
      <c r="J379" s="36">
        <v>0.13771761420046458</v>
      </c>
      <c r="K379" s="36">
        <v>0.11139215552954895</v>
      </c>
      <c r="L379" s="36">
        <v>1.1683184752105851E-2</v>
      </c>
      <c r="M379" s="36">
        <v>3.9730238012209436E-2</v>
      </c>
      <c r="N379" s="36">
        <v>0.29406279289128623</v>
      </c>
    </row>
    <row r="380" spans="2:14" ht="15" customHeight="1" x14ac:dyDescent="0.25">
      <c r="B380" s="42" t="s">
        <v>769</v>
      </c>
      <c r="C380" s="43" t="s">
        <v>770</v>
      </c>
      <c r="E380" s="34" t="s">
        <v>770</v>
      </c>
      <c r="F380" s="33">
        <v>37653</v>
      </c>
      <c r="G380" s="33">
        <v>41306</v>
      </c>
      <c r="H380" s="38">
        <v>41365</v>
      </c>
      <c r="I380" s="38">
        <v>41609</v>
      </c>
      <c r="J380" s="36">
        <v>0.10059546999761704</v>
      </c>
      <c r="K380" s="36">
        <v>6.1057917517062688E-2</v>
      </c>
      <c r="L380" s="36">
        <v>8.9770580517378844E-3</v>
      </c>
      <c r="M380" s="36">
        <v>4.255663037211193E-2</v>
      </c>
      <c r="N380" s="36">
        <v>0.21094381705607737</v>
      </c>
    </row>
    <row r="381" spans="2:14" ht="15" customHeight="1" x14ac:dyDescent="0.25">
      <c r="B381" s="42" t="s">
        <v>771</v>
      </c>
      <c r="C381" s="43" t="s">
        <v>772</v>
      </c>
      <c r="E381" s="34" t="s">
        <v>772</v>
      </c>
      <c r="F381" s="33">
        <v>37653</v>
      </c>
      <c r="G381" s="33">
        <v>41306</v>
      </c>
      <c r="H381" s="38">
        <v>41426</v>
      </c>
      <c r="I381" s="38">
        <v>41365</v>
      </c>
      <c r="J381" s="36">
        <v>0.16094949700702843</v>
      </c>
      <c r="K381" s="36">
        <v>0.15000978093728135</v>
      </c>
      <c r="L381" s="36">
        <v>1.4588133170823121E-2</v>
      </c>
      <c r="M381" s="36">
        <v>6.3757650183625614E-2</v>
      </c>
      <c r="N381" s="36">
        <v>0.22880600412355973</v>
      </c>
    </row>
    <row r="382" spans="2:14" ht="15" customHeight="1" x14ac:dyDescent="0.25">
      <c r="B382" s="42" t="s">
        <v>773</v>
      </c>
      <c r="C382" s="43" t="s">
        <v>774</v>
      </c>
      <c r="E382" s="34" t="s">
        <v>774</v>
      </c>
      <c r="F382" s="33">
        <v>37653</v>
      </c>
      <c r="G382" s="33">
        <v>41306</v>
      </c>
      <c r="H382" s="38">
        <v>41334</v>
      </c>
      <c r="I382" s="38">
        <v>41609</v>
      </c>
      <c r="J382" s="36">
        <v>0.10627966083584717</v>
      </c>
      <c r="K382" s="36">
        <v>9.9310455182758384E-2</v>
      </c>
      <c r="L382" s="36">
        <v>9.5758270872614137E-3</v>
      </c>
      <c r="M382" s="36">
        <v>4.5566752561125093E-2</v>
      </c>
      <c r="N382" s="36">
        <v>0.21014943021045904</v>
      </c>
    </row>
    <row r="383" spans="2:14" ht="15" customHeight="1" x14ac:dyDescent="0.25">
      <c r="B383" s="42" t="s">
        <v>775</v>
      </c>
      <c r="C383" s="43" t="s">
        <v>776</v>
      </c>
      <c r="E383" s="34" t="s">
        <v>776</v>
      </c>
      <c r="F383" s="33">
        <v>37653</v>
      </c>
      <c r="G383" s="33">
        <v>41306</v>
      </c>
      <c r="H383" s="38">
        <v>41579</v>
      </c>
      <c r="I383" s="38">
        <v>41518</v>
      </c>
      <c r="J383" s="36">
        <v>0.15309091303705391</v>
      </c>
      <c r="K383" s="36">
        <v>8.958809187082295E-2</v>
      </c>
      <c r="L383" s="36">
        <v>1.684757007187292E-2</v>
      </c>
      <c r="M383" s="36">
        <v>0.10068306255127378</v>
      </c>
      <c r="N383" s="36">
        <v>0.16733271361598817</v>
      </c>
    </row>
    <row r="384" spans="2:14" ht="15" customHeight="1" x14ac:dyDescent="0.25">
      <c r="B384" s="42" t="s">
        <v>777</v>
      </c>
      <c r="C384" s="43" t="s">
        <v>778</v>
      </c>
      <c r="E384" s="34" t="s">
        <v>778</v>
      </c>
      <c r="F384" s="33">
        <v>37653</v>
      </c>
      <c r="G384" s="33">
        <v>41306</v>
      </c>
      <c r="H384" s="38">
        <v>41426</v>
      </c>
      <c r="I384" s="38">
        <v>41365</v>
      </c>
      <c r="J384" s="36">
        <v>0.22459914581157192</v>
      </c>
      <c r="K384" s="36">
        <v>0.20434599769383666</v>
      </c>
      <c r="L384" s="36">
        <v>1.9123155658775381E-2</v>
      </c>
      <c r="M384" s="36">
        <v>6.2059484995465521E-2</v>
      </c>
      <c r="N384" s="36">
        <v>0.30814235181250127</v>
      </c>
    </row>
    <row r="385" spans="2:14" ht="15" customHeight="1" x14ac:dyDescent="0.25">
      <c r="B385" s="42" t="s">
        <v>779</v>
      </c>
      <c r="C385" s="43" t="s">
        <v>780</v>
      </c>
      <c r="E385" s="34" t="s">
        <v>780</v>
      </c>
      <c r="F385" s="33">
        <v>37653</v>
      </c>
      <c r="G385" s="33">
        <v>41306</v>
      </c>
      <c r="H385" s="38">
        <v>41334</v>
      </c>
      <c r="I385" s="38">
        <v>41306</v>
      </c>
      <c r="J385" s="36">
        <v>0.22114238294833477</v>
      </c>
      <c r="K385" s="36">
        <v>0.23908296997428513</v>
      </c>
      <c r="L385" s="36">
        <v>2.3024984084571421E-2</v>
      </c>
      <c r="M385" s="36">
        <v>0.11631909379881221</v>
      </c>
      <c r="N385" s="36">
        <v>0.19794672854308756</v>
      </c>
    </row>
    <row r="386" spans="2:14" ht="15" customHeight="1" x14ac:dyDescent="0.25">
      <c r="B386" s="42" t="s">
        <v>781</v>
      </c>
      <c r="C386" s="43" t="s">
        <v>782</v>
      </c>
      <c r="E386" s="34" t="s">
        <v>782</v>
      </c>
      <c r="F386" s="33">
        <v>37653</v>
      </c>
      <c r="G386" s="33">
        <v>41306</v>
      </c>
      <c r="H386" s="38">
        <v>41395</v>
      </c>
      <c r="I386" s="38">
        <v>41365</v>
      </c>
      <c r="J386" s="36">
        <v>0.17622370795203213</v>
      </c>
      <c r="K386" s="36">
        <v>0.17478131273269915</v>
      </c>
      <c r="L386" s="36">
        <v>1.5014614046875095E-2</v>
      </c>
      <c r="M386" s="36">
        <v>5.0719453587037971E-2</v>
      </c>
      <c r="N386" s="36">
        <v>0.29603264595721668</v>
      </c>
    </row>
    <row r="387" spans="2:14" ht="15" customHeight="1" x14ac:dyDescent="0.25">
      <c r="B387" s="42" t="s">
        <v>783</v>
      </c>
      <c r="C387" s="43" t="s">
        <v>784</v>
      </c>
      <c r="E387" s="34" t="s">
        <v>784</v>
      </c>
      <c r="F387" s="33">
        <v>37653</v>
      </c>
      <c r="G387" s="33">
        <v>41306</v>
      </c>
      <c r="H387" s="38">
        <v>41487</v>
      </c>
      <c r="I387" s="38">
        <v>41426</v>
      </c>
      <c r="J387" s="36">
        <v>0.20815897745643763</v>
      </c>
      <c r="K387" s="36">
        <v>0.16713444463556093</v>
      </c>
      <c r="L387" s="36">
        <v>2.2313911188410498E-2</v>
      </c>
      <c r="M387" s="36">
        <v>0.10927117072285564</v>
      </c>
      <c r="N387" s="36">
        <v>0.20420675500041313</v>
      </c>
    </row>
    <row r="388" spans="2:14" ht="15" customHeight="1" x14ac:dyDescent="0.25">
      <c r="B388" s="42" t="s">
        <v>785</v>
      </c>
      <c r="C388" s="43" t="s">
        <v>786</v>
      </c>
      <c r="E388" s="34" t="s">
        <v>786</v>
      </c>
      <c r="F388" s="33">
        <v>37653</v>
      </c>
      <c r="G388" s="33">
        <v>41306</v>
      </c>
      <c r="H388" s="38">
        <v>41426</v>
      </c>
      <c r="I388" s="38">
        <v>41334</v>
      </c>
      <c r="J388" s="36">
        <v>0.19673827729038496</v>
      </c>
      <c r="K388" s="36">
        <v>0.15764482227673726</v>
      </c>
      <c r="L388" s="36">
        <v>1.7713400467855286E-2</v>
      </c>
      <c r="M388" s="36">
        <v>7.1773970742987386E-2</v>
      </c>
      <c r="N388" s="36">
        <v>0.24679421083284511</v>
      </c>
    </row>
    <row r="389" spans="2:14" ht="15" customHeight="1" x14ac:dyDescent="0.25">
      <c r="B389" s="42" t="s">
        <v>787</v>
      </c>
      <c r="C389" s="43" t="s">
        <v>788</v>
      </c>
      <c r="E389" s="34" t="s">
        <v>788</v>
      </c>
      <c r="F389" s="33">
        <v>40330</v>
      </c>
      <c r="G389" s="33">
        <v>41306</v>
      </c>
      <c r="H389" s="38">
        <v>41518</v>
      </c>
      <c r="I389" s="38">
        <v>41306</v>
      </c>
      <c r="J389" s="36">
        <v>0.17579679908260215</v>
      </c>
      <c r="K389" s="36">
        <v>-1.018494769996714E-2</v>
      </c>
      <c r="L389" s="36">
        <v>1.6664847646999416E-2</v>
      </c>
      <c r="M389" s="36">
        <v>7.6682354601705902E-2</v>
      </c>
      <c r="N389" s="36">
        <v>0.2173231082112427</v>
      </c>
    </row>
    <row r="390" spans="2:14" ht="15" customHeight="1" x14ac:dyDescent="0.25">
      <c r="B390" s="42" t="s">
        <v>789</v>
      </c>
      <c r="C390" s="43" t="s">
        <v>790</v>
      </c>
      <c r="E390" s="34" t="s">
        <v>790</v>
      </c>
      <c r="F390" s="33">
        <v>37653</v>
      </c>
      <c r="G390" s="33">
        <v>41306</v>
      </c>
      <c r="H390" s="38">
        <v>41518</v>
      </c>
      <c r="I390" s="38">
        <v>41456</v>
      </c>
      <c r="J390" s="36">
        <v>0.14124333012063417</v>
      </c>
      <c r="K390" s="36">
        <v>0.11908587589791098</v>
      </c>
      <c r="L390" s="36">
        <v>1.5483632876296448E-2</v>
      </c>
      <c r="M390" s="36">
        <v>9.1630535327534207E-2</v>
      </c>
      <c r="N390" s="36">
        <v>0.16897896340941429</v>
      </c>
    </row>
    <row r="391" spans="2:14" ht="15" customHeight="1" x14ac:dyDescent="0.25">
      <c r="B391" s="42" t="s">
        <v>791</v>
      </c>
      <c r="C391" s="43" t="s">
        <v>792</v>
      </c>
      <c r="E391" s="34" t="s">
        <v>792</v>
      </c>
      <c r="F391" s="33">
        <v>37653</v>
      </c>
      <c r="G391" s="33">
        <v>41306</v>
      </c>
      <c r="H391" s="38">
        <v>41365</v>
      </c>
      <c r="I391" s="38">
        <v>41334</v>
      </c>
      <c r="J391" s="36">
        <v>0.26274335293305051</v>
      </c>
      <c r="K391" s="36">
        <v>0.23324831274275404</v>
      </c>
      <c r="L391" s="36">
        <v>2.1989272728958214E-2</v>
      </c>
      <c r="M391" s="36">
        <v>6.7338814622301013E-2</v>
      </c>
      <c r="N391" s="36">
        <v>0.32654677472858112</v>
      </c>
    </row>
    <row r="392" spans="2:14" ht="15" customHeight="1" x14ac:dyDescent="0.25">
      <c r="B392" s="42" t="s">
        <v>793</v>
      </c>
      <c r="C392" s="43" t="s">
        <v>794</v>
      </c>
      <c r="E392" s="34" t="s">
        <v>794</v>
      </c>
      <c r="F392" s="33">
        <v>37653</v>
      </c>
      <c r="G392" s="33">
        <v>41306</v>
      </c>
      <c r="H392" s="38">
        <v>41609</v>
      </c>
      <c r="I392" s="38">
        <v>41456</v>
      </c>
      <c r="J392" s="36">
        <v>0.13992273225515106</v>
      </c>
      <c r="K392" s="36">
        <v>6.3457688649721122E-2</v>
      </c>
      <c r="L392" s="36">
        <v>1.4363802084054805E-2</v>
      </c>
      <c r="M392" s="36">
        <v>8.3275408287069072E-2</v>
      </c>
      <c r="N392" s="36">
        <v>0.17248551978922214</v>
      </c>
    </row>
    <row r="393" spans="2:14" ht="15" customHeight="1" x14ac:dyDescent="0.25">
      <c r="B393" s="42" t="s">
        <v>795</v>
      </c>
      <c r="C393" s="43" t="s">
        <v>796</v>
      </c>
      <c r="E393" s="34" t="s">
        <v>796</v>
      </c>
      <c r="F393" s="33">
        <v>37653</v>
      </c>
      <c r="G393" s="33">
        <v>41306</v>
      </c>
      <c r="H393" s="38">
        <v>41275</v>
      </c>
      <c r="I393" s="38">
        <v>41365</v>
      </c>
      <c r="J393" s="36">
        <v>9.0832745253243807E-2</v>
      </c>
      <c r="K393" s="36">
        <v>-0.10128592035066231</v>
      </c>
      <c r="L393" s="36">
        <v>8.1417544908068823E-3</v>
      </c>
      <c r="M393" s="36">
        <v>4.1762983384450399E-2</v>
      </c>
      <c r="N393" s="36">
        <v>0.19495145775046088</v>
      </c>
    </row>
    <row r="394" spans="2:14" ht="15" customHeight="1" x14ac:dyDescent="0.25">
      <c r="B394" s="42" t="s">
        <v>797</v>
      </c>
      <c r="C394" s="43" t="s">
        <v>798</v>
      </c>
      <c r="E394" s="34" t="s">
        <v>798</v>
      </c>
      <c r="F394" s="33">
        <v>37653</v>
      </c>
      <c r="G394" s="33">
        <v>41306</v>
      </c>
      <c r="H394" s="38">
        <v>41518</v>
      </c>
      <c r="I394" s="38">
        <v>41365</v>
      </c>
      <c r="J394" s="36">
        <v>0.11850920586548552</v>
      </c>
      <c r="K394" s="36">
        <v>0.11706992187839638</v>
      </c>
      <c r="L394" s="36">
        <v>1.185079424245737E-2</v>
      </c>
      <c r="M394" s="36">
        <v>7.0746971200656844E-2</v>
      </c>
      <c r="N394" s="36">
        <v>0.16750956318462637</v>
      </c>
    </row>
    <row r="395" spans="2:14" ht="15" customHeight="1" x14ac:dyDescent="0.25">
      <c r="B395" s="42" t="s">
        <v>799</v>
      </c>
      <c r="C395" s="43" t="s">
        <v>800</v>
      </c>
      <c r="E395" s="34" t="s">
        <v>800</v>
      </c>
      <c r="F395" s="33">
        <v>37653</v>
      </c>
      <c r="G395" s="33">
        <v>41306</v>
      </c>
      <c r="H395" s="38">
        <v>41487</v>
      </c>
      <c r="I395" s="38">
        <v>41395</v>
      </c>
      <c r="J395" s="36">
        <v>0.34049960055665318</v>
      </c>
      <c r="K395" s="36">
        <v>0.25223445768379826</v>
      </c>
      <c r="L395" s="36">
        <v>3.2812547875938666E-2</v>
      </c>
      <c r="M395" s="36">
        <v>0.13149421563919445</v>
      </c>
      <c r="N395" s="36">
        <v>0.24953605538035728</v>
      </c>
    </row>
    <row r="396" spans="2:14" ht="15" customHeight="1" x14ac:dyDescent="0.25">
      <c r="B396" s="42" t="s">
        <v>801</v>
      </c>
      <c r="C396" s="43" t="s">
        <v>802</v>
      </c>
      <c r="E396" s="34" t="s">
        <v>802</v>
      </c>
      <c r="F396" s="33">
        <v>37653</v>
      </c>
      <c r="G396" s="33">
        <v>41306</v>
      </c>
      <c r="H396" s="38">
        <v>41426</v>
      </c>
      <c r="I396" s="38">
        <v>41365</v>
      </c>
      <c r="J396" s="36">
        <v>0.23189482442619602</v>
      </c>
      <c r="K396" s="36">
        <v>0.23493415643042503</v>
      </c>
      <c r="L396" s="36">
        <v>2.111580061708632E-2</v>
      </c>
      <c r="M396" s="36">
        <v>8.3613816953029718E-2</v>
      </c>
      <c r="N396" s="36">
        <v>0.25253960872218256</v>
      </c>
    </row>
    <row r="397" spans="2:14" ht="15" customHeight="1" x14ac:dyDescent="0.25">
      <c r="B397" s="42" t="s">
        <v>803</v>
      </c>
      <c r="C397" s="43" t="s">
        <v>804</v>
      </c>
      <c r="E397" s="34" t="s">
        <v>804</v>
      </c>
      <c r="F397" s="33">
        <v>37653</v>
      </c>
      <c r="G397" s="33">
        <v>41306</v>
      </c>
      <c r="H397" s="38">
        <v>41426</v>
      </c>
      <c r="I397" s="38">
        <v>41395</v>
      </c>
      <c r="J397" s="36">
        <v>0.19601228234225698</v>
      </c>
      <c r="K397" s="36">
        <v>0.17067884031321889</v>
      </c>
      <c r="L397" s="36">
        <v>1.9750932750035234E-2</v>
      </c>
      <c r="M397" s="36">
        <v>9.6680985853658571E-2</v>
      </c>
      <c r="N397" s="36">
        <v>0.20428973262572317</v>
      </c>
    </row>
    <row r="398" spans="2:14" ht="15" customHeight="1" x14ac:dyDescent="0.25">
      <c r="B398" s="42" t="s">
        <v>805</v>
      </c>
      <c r="C398" s="43" t="s">
        <v>806</v>
      </c>
      <c r="E398" s="34" t="s">
        <v>806</v>
      </c>
      <c r="F398" s="33">
        <v>37653</v>
      </c>
      <c r="G398" s="33">
        <v>41306</v>
      </c>
      <c r="H398" s="38">
        <v>41395</v>
      </c>
      <c r="I398" s="38">
        <v>41365</v>
      </c>
      <c r="J398" s="36">
        <v>0.20630514015856827</v>
      </c>
      <c r="K398" s="36">
        <v>0.24075421627954419</v>
      </c>
      <c r="L398" s="36">
        <v>1.7271174326565549E-2</v>
      </c>
      <c r="M398" s="36">
        <v>5.2611865706273978E-2</v>
      </c>
      <c r="N398" s="36">
        <v>0.32827526822539499</v>
      </c>
    </row>
    <row r="399" spans="2:14" ht="15" customHeight="1" x14ac:dyDescent="0.25">
      <c r="B399" s="42" t="s">
        <v>807</v>
      </c>
      <c r="C399" s="43" t="s">
        <v>808</v>
      </c>
      <c r="E399" s="34" t="s">
        <v>808</v>
      </c>
      <c r="F399" s="33">
        <v>37653</v>
      </c>
      <c r="G399" s="33">
        <v>41306</v>
      </c>
      <c r="H399" s="38">
        <v>41518</v>
      </c>
      <c r="I399" s="38">
        <v>41395</v>
      </c>
      <c r="J399" s="36">
        <v>0.23049993761822773</v>
      </c>
      <c r="K399" s="36">
        <v>0.22322079540199069</v>
      </c>
      <c r="L399" s="36">
        <v>1.9352296334906902E-2</v>
      </c>
      <c r="M399" s="36">
        <v>6.006517168213299E-2</v>
      </c>
      <c r="N399" s="36">
        <v>0.3221883130097411</v>
      </c>
    </row>
    <row r="400" spans="2:14" ht="15" customHeight="1" x14ac:dyDescent="0.25">
      <c r="B400" s="42" t="s">
        <v>809</v>
      </c>
      <c r="C400" s="43" t="s">
        <v>810</v>
      </c>
      <c r="E400" s="34" t="s">
        <v>810</v>
      </c>
      <c r="F400" s="33">
        <v>37653</v>
      </c>
      <c r="G400" s="33">
        <v>41306</v>
      </c>
      <c r="H400" s="38">
        <v>41395</v>
      </c>
      <c r="I400" s="38">
        <v>41365</v>
      </c>
      <c r="J400" s="36">
        <v>0.33990188385440079</v>
      </c>
      <c r="K400" s="36">
        <v>0.3293529093430938</v>
      </c>
      <c r="L400" s="36">
        <v>2.9227532856096434E-2</v>
      </c>
      <c r="M400" s="36">
        <v>9.4035645374289503E-2</v>
      </c>
      <c r="N400" s="36">
        <v>0.31081333827999225</v>
      </c>
    </row>
    <row r="401" spans="2:14" ht="15" customHeight="1" x14ac:dyDescent="0.25">
      <c r="B401" s="42" t="s">
        <v>811</v>
      </c>
      <c r="C401" s="43" t="s">
        <v>812</v>
      </c>
      <c r="E401" s="34" t="s">
        <v>812</v>
      </c>
      <c r="F401" s="33">
        <v>37653</v>
      </c>
      <c r="G401" s="33">
        <v>41306</v>
      </c>
      <c r="H401" s="38">
        <v>41334</v>
      </c>
      <c r="I401" s="38">
        <v>41395</v>
      </c>
      <c r="J401" s="36">
        <v>0.12501376815148824</v>
      </c>
      <c r="K401" s="36">
        <v>-1.7688813495288058E-2</v>
      </c>
      <c r="L401" s="36">
        <v>1.1777136445655499E-2</v>
      </c>
      <c r="M401" s="36">
        <v>6.8469841944371321E-2</v>
      </c>
      <c r="N401" s="36">
        <v>0.17200472662437127</v>
      </c>
    </row>
    <row r="402" spans="2:14" ht="15" customHeight="1" x14ac:dyDescent="0.25">
      <c r="B402" s="42" t="s">
        <v>813</v>
      </c>
      <c r="C402" s="43" t="s">
        <v>814</v>
      </c>
      <c r="E402" s="34" t="s">
        <v>814</v>
      </c>
      <c r="F402" s="33">
        <v>37653</v>
      </c>
      <c r="G402" s="33">
        <v>41306</v>
      </c>
      <c r="H402" s="38">
        <v>41334</v>
      </c>
      <c r="I402" s="38">
        <v>41275</v>
      </c>
      <c r="J402" s="36">
        <v>0.12662013671120853</v>
      </c>
      <c r="K402" s="36">
        <v>0.11825192353527081</v>
      </c>
      <c r="L402" s="36">
        <v>1.1467928027708784E-2</v>
      </c>
      <c r="M402" s="36">
        <v>5.2893550710647087E-2</v>
      </c>
      <c r="N402" s="36">
        <v>0.21681146139051644</v>
      </c>
    </row>
    <row r="403" spans="2:14" ht="15" customHeight="1" x14ac:dyDescent="0.25">
      <c r="B403" s="42" t="s">
        <v>815</v>
      </c>
      <c r="C403" s="43" t="s">
        <v>816</v>
      </c>
      <c r="E403" s="34" t="s">
        <v>816</v>
      </c>
      <c r="F403" s="33">
        <v>37653</v>
      </c>
      <c r="G403" s="33">
        <v>41306</v>
      </c>
      <c r="H403" s="38">
        <v>41609</v>
      </c>
      <c r="I403" s="38">
        <v>41275</v>
      </c>
      <c r="J403" s="36">
        <v>3.2621189102918446E-2</v>
      </c>
      <c r="K403" s="36">
        <v>-0.14889712178035475</v>
      </c>
      <c r="L403" s="36">
        <v>4.5181899159140154E-3</v>
      </c>
      <c r="M403" s="36">
        <v>6.5349582671937037E-2</v>
      </c>
      <c r="N403" s="36">
        <v>6.9138772294780909E-2</v>
      </c>
    </row>
    <row r="404" spans="2:14" ht="15" customHeight="1" x14ac:dyDescent="0.25">
      <c r="B404" s="42" t="s">
        <v>817</v>
      </c>
      <c r="C404" s="43" t="s">
        <v>818</v>
      </c>
      <c r="E404" s="34" t="s">
        <v>818</v>
      </c>
      <c r="F404" s="33">
        <v>37653</v>
      </c>
      <c r="G404" s="33">
        <v>41306</v>
      </c>
      <c r="H404" s="38">
        <v>41456</v>
      </c>
      <c r="I404" s="38">
        <v>41365</v>
      </c>
      <c r="J404" s="36">
        <v>9.9985584768572E-2</v>
      </c>
      <c r="K404" s="36">
        <v>9.6154627858995312E-2</v>
      </c>
      <c r="L404" s="36">
        <v>9.1522991268325592E-3</v>
      </c>
      <c r="M404" s="36">
        <v>4.6888055936574372E-2</v>
      </c>
      <c r="N404" s="36">
        <v>0.1951946811190659</v>
      </c>
    </row>
    <row r="405" spans="2:14" ht="15" customHeight="1" x14ac:dyDescent="0.25">
      <c r="B405" s="42" t="s">
        <v>819</v>
      </c>
      <c r="C405" s="43" t="s">
        <v>820</v>
      </c>
      <c r="E405" s="34" t="s">
        <v>820</v>
      </c>
      <c r="F405" s="33">
        <v>37653</v>
      </c>
      <c r="G405" s="33">
        <v>41306</v>
      </c>
      <c r="H405" s="38">
        <v>41275</v>
      </c>
      <c r="I405" s="38">
        <v>41395</v>
      </c>
      <c r="J405" s="36">
        <v>0.20016519734924554</v>
      </c>
      <c r="K405" s="36">
        <v>-5.9747293166065307E-2</v>
      </c>
      <c r="L405" s="36">
        <v>1.7823168699602873E-2</v>
      </c>
      <c r="M405" s="36">
        <v>6.9887812204447633E-2</v>
      </c>
      <c r="N405" s="36">
        <v>0.25502542056207927</v>
      </c>
    </row>
    <row r="406" spans="2:14" ht="15" customHeight="1" x14ac:dyDescent="0.25">
      <c r="B406" s="42" t="s">
        <v>821</v>
      </c>
      <c r="C406" s="43" t="s">
        <v>822</v>
      </c>
      <c r="E406" s="34" t="s">
        <v>822</v>
      </c>
      <c r="F406" s="33">
        <v>38991</v>
      </c>
      <c r="G406" s="33">
        <v>41306</v>
      </c>
      <c r="H406" s="38">
        <v>41548</v>
      </c>
      <c r="I406" s="38">
        <v>41275</v>
      </c>
      <c r="J406" s="36">
        <v>4.1716551576491234E-2</v>
      </c>
      <c r="K406" s="36">
        <v>-6.8470123202076683E-2</v>
      </c>
      <c r="L406" s="36">
        <v>3.6754777037562871E-3</v>
      </c>
      <c r="M406" s="36">
        <v>2.1194728044140822E-2</v>
      </c>
      <c r="N406" s="36">
        <v>0.17341471407897374</v>
      </c>
    </row>
    <row r="407" spans="2:14" ht="15" customHeight="1" x14ac:dyDescent="0.25">
      <c r="B407" s="42" t="s">
        <v>823</v>
      </c>
      <c r="C407" s="43" t="s">
        <v>824</v>
      </c>
      <c r="E407" s="34" t="s">
        <v>824</v>
      </c>
      <c r="F407" s="33">
        <v>37653</v>
      </c>
      <c r="G407" s="33">
        <v>41306</v>
      </c>
      <c r="H407" s="38">
        <v>41426</v>
      </c>
      <c r="I407" s="38">
        <v>41395</v>
      </c>
      <c r="J407" s="36">
        <v>0.19586589336890747</v>
      </c>
      <c r="K407" s="36">
        <v>0.17450497020977962</v>
      </c>
      <c r="L407" s="36">
        <v>1.8676743718077489E-2</v>
      </c>
      <c r="M407" s="36">
        <v>8.4078910393827422E-2</v>
      </c>
      <c r="N407" s="36">
        <v>0.22213351279881269</v>
      </c>
    </row>
    <row r="408" spans="2:14" ht="15" customHeight="1" x14ac:dyDescent="0.25">
      <c r="B408" s="42" t="s">
        <v>825</v>
      </c>
      <c r="C408" s="43" t="s">
        <v>826</v>
      </c>
      <c r="E408" s="34" t="s">
        <v>826</v>
      </c>
      <c r="F408" s="33">
        <v>37653</v>
      </c>
      <c r="G408" s="33">
        <v>41306</v>
      </c>
      <c r="H408" s="38">
        <v>41334</v>
      </c>
      <c r="I408" s="38">
        <v>41609</v>
      </c>
      <c r="J408" s="36">
        <v>0.10460658494156161</v>
      </c>
      <c r="K408" s="36">
        <v>9.3972649873828917E-2</v>
      </c>
      <c r="L408" s="36">
        <v>9.0287478660199937E-3</v>
      </c>
      <c r="M408" s="36">
        <v>3.5417096371057964E-2</v>
      </c>
      <c r="N408" s="36">
        <v>0.25492625853422807</v>
      </c>
    </row>
    <row r="409" spans="2:14" ht="15" customHeight="1" x14ac:dyDescent="0.25">
      <c r="B409" s="42" t="s">
        <v>827</v>
      </c>
      <c r="C409" s="43" t="s">
        <v>828</v>
      </c>
      <c r="E409" s="34" t="s">
        <v>828</v>
      </c>
      <c r="F409" s="33">
        <v>37653</v>
      </c>
      <c r="G409" s="33">
        <v>41306</v>
      </c>
      <c r="H409" s="38">
        <v>41426</v>
      </c>
      <c r="I409" s="38">
        <v>41365</v>
      </c>
      <c r="J409" s="36">
        <v>0.13544471795484436</v>
      </c>
      <c r="K409" s="36">
        <v>9.4415381252855202E-2</v>
      </c>
      <c r="L409" s="36">
        <v>1.3789788321994349E-2</v>
      </c>
      <c r="M409" s="36">
        <v>7.8041318577365723E-2</v>
      </c>
      <c r="N409" s="36">
        <v>0.17669855626957323</v>
      </c>
    </row>
    <row r="410" spans="2:14" ht="15" customHeight="1" x14ac:dyDescent="0.25">
      <c r="B410" s="42" t="s">
        <v>829</v>
      </c>
      <c r="C410" s="43" t="s">
        <v>830</v>
      </c>
      <c r="E410" s="34" t="s">
        <v>830</v>
      </c>
      <c r="F410" s="33">
        <v>39083</v>
      </c>
      <c r="G410" s="33">
        <v>41306</v>
      </c>
      <c r="H410" s="38">
        <v>41579</v>
      </c>
      <c r="I410" s="38">
        <v>41456</v>
      </c>
      <c r="J410" s="36">
        <v>9.8837836163588877E-2</v>
      </c>
      <c r="K410" s="36">
        <v>5.6520740227091526E-2</v>
      </c>
      <c r="L410" s="36">
        <v>8.9299115242814329E-3</v>
      </c>
      <c r="M410" s="36">
        <v>4.3120372331704557E-2</v>
      </c>
      <c r="N410" s="36">
        <v>0.20709263490555838</v>
      </c>
    </row>
    <row r="411" spans="2:14" ht="15" customHeight="1" x14ac:dyDescent="0.25">
      <c r="B411" s="42" t="s">
        <v>831</v>
      </c>
      <c r="C411" s="43" t="s">
        <v>832</v>
      </c>
      <c r="E411" s="34" t="s">
        <v>832</v>
      </c>
      <c r="F411" s="33">
        <v>37653</v>
      </c>
      <c r="G411" s="33">
        <v>41306</v>
      </c>
      <c r="H411" s="38">
        <v>41518</v>
      </c>
      <c r="I411" s="38">
        <v>41365</v>
      </c>
      <c r="J411" s="36">
        <v>9.4202200777921075E-2</v>
      </c>
      <c r="K411" s="36">
        <v>2.1018300332888318E-2</v>
      </c>
      <c r="L411" s="36">
        <v>9.5517280674096879E-3</v>
      </c>
      <c r="M411" s="36">
        <v>6.438925746895964E-2</v>
      </c>
      <c r="N411" s="36">
        <v>0.14834350391467588</v>
      </c>
    </row>
    <row r="412" spans="2:14" ht="15" customHeight="1" x14ac:dyDescent="0.25">
      <c r="B412" s="42" t="s">
        <v>833</v>
      </c>
      <c r="C412" s="43" t="s">
        <v>834</v>
      </c>
      <c r="E412" s="34" t="s">
        <v>834</v>
      </c>
      <c r="F412" s="33">
        <v>37742</v>
      </c>
      <c r="G412" s="33">
        <v>41306</v>
      </c>
      <c r="H412" s="38">
        <v>41609</v>
      </c>
      <c r="I412" s="38">
        <v>41365</v>
      </c>
      <c r="J412" s="36">
        <v>0.34457174351009368</v>
      </c>
      <c r="K412" s="36">
        <v>0.11784529029410717</v>
      </c>
      <c r="L412" s="36">
        <v>2.9143592969137089E-2</v>
      </c>
      <c r="M412" s="36">
        <v>9.8410808484134013E-2</v>
      </c>
      <c r="N412" s="36">
        <v>0.29614219635067501</v>
      </c>
    </row>
    <row r="413" spans="2:14" ht="15" customHeight="1" x14ac:dyDescent="0.25">
      <c r="B413" s="42" t="s">
        <v>835</v>
      </c>
      <c r="C413" s="43" t="s">
        <v>836</v>
      </c>
      <c r="E413" s="34" t="s">
        <v>836</v>
      </c>
      <c r="F413" s="33">
        <v>37653</v>
      </c>
      <c r="G413" s="33">
        <v>41306</v>
      </c>
      <c r="H413" s="38">
        <v>41426</v>
      </c>
      <c r="I413" s="38">
        <v>41395</v>
      </c>
      <c r="J413" s="36">
        <v>0.24719168884051057</v>
      </c>
      <c r="K413" s="36">
        <v>0.22012285094783568</v>
      </c>
      <c r="L413" s="36">
        <v>2.0375797204294843E-2</v>
      </c>
      <c r="M413" s="36">
        <v>5.7544718762841104E-2</v>
      </c>
      <c r="N413" s="36">
        <v>0.35408631134804153</v>
      </c>
    </row>
    <row r="414" spans="2:14" ht="15" customHeight="1" x14ac:dyDescent="0.25">
      <c r="B414" s="42" t="s">
        <v>837</v>
      </c>
      <c r="C414" s="43" t="s">
        <v>838</v>
      </c>
      <c r="E414" s="34" t="s">
        <v>838</v>
      </c>
      <c r="F414" s="33">
        <v>37653</v>
      </c>
      <c r="G414" s="33">
        <v>41306</v>
      </c>
      <c r="H414" s="38">
        <v>41548</v>
      </c>
      <c r="I414" s="38">
        <v>41518</v>
      </c>
      <c r="J414" s="36">
        <v>0.14059364636511651</v>
      </c>
      <c r="K414" s="36">
        <v>0.1468014448578645</v>
      </c>
      <c r="L414" s="36">
        <v>1.2506133087676036E-2</v>
      </c>
      <c r="M414" s="36">
        <v>5.3217397440428679E-2</v>
      </c>
      <c r="N414" s="36">
        <v>0.23500083974747818</v>
      </c>
    </row>
    <row r="415" spans="2:14" ht="15" customHeight="1" x14ac:dyDescent="0.25">
      <c r="B415" s="42" t="s">
        <v>839</v>
      </c>
      <c r="C415" s="43" t="s">
        <v>840</v>
      </c>
      <c r="E415" s="34" t="s">
        <v>840</v>
      </c>
      <c r="F415" s="33">
        <v>37653</v>
      </c>
      <c r="G415" s="33">
        <v>41306</v>
      </c>
      <c r="H415" s="38">
        <v>41365</v>
      </c>
      <c r="I415" s="38">
        <v>41334</v>
      </c>
      <c r="J415" s="36">
        <v>0.12030603122340722</v>
      </c>
      <c r="K415" s="36">
        <v>0.13742778588579974</v>
      </c>
      <c r="L415" s="36">
        <v>1.1489023036753209E-2</v>
      </c>
      <c r="M415" s="36">
        <v>6.1312784498768598E-2</v>
      </c>
      <c r="N415" s="36">
        <v>0.18738380797211965</v>
      </c>
    </row>
    <row r="416" spans="2:14" ht="15" customHeight="1" x14ac:dyDescent="0.25">
      <c r="B416" s="42" t="s">
        <v>841</v>
      </c>
      <c r="C416" s="43" t="s">
        <v>842</v>
      </c>
      <c r="E416" s="34" t="s">
        <v>842</v>
      </c>
      <c r="F416" s="33">
        <v>37653</v>
      </c>
      <c r="G416" s="33">
        <v>41306</v>
      </c>
      <c r="H416" s="38">
        <v>41548</v>
      </c>
      <c r="I416" s="38">
        <v>41456</v>
      </c>
      <c r="J416" s="36">
        <v>0.20560450792969709</v>
      </c>
      <c r="K416" s="36">
        <v>0.15590796713440946</v>
      </c>
      <c r="L416" s="36">
        <v>1.8558389894700576E-2</v>
      </c>
      <c r="M416" s="36">
        <v>7.4234143580638984E-2</v>
      </c>
      <c r="N416" s="36">
        <v>0.24999803324383998</v>
      </c>
    </row>
    <row r="417" spans="2:14" ht="15" customHeight="1" x14ac:dyDescent="0.25">
      <c r="B417" s="42" t="s">
        <v>843</v>
      </c>
      <c r="C417" s="43" t="s">
        <v>844</v>
      </c>
      <c r="E417" s="34" t="s">
        <v>844</v>
      </c>
      <c r="F417" s="33"/>
      <c r="G417" s="33"/>
      <c r="H417" s="38"/>
      <c r="I417" s="38"/>
      <c r="J417" s="36"/>
      <c r="K417" s="36"/>
      <c r="L417" s="36"/>
      <c r="M417" s="36"/>
      <c r="N417" s="36"/>
    </row>
    <row r="418" spans="2:14" ht="15" customHeight="1" x14ac:dyDescent="0.25">
      <c r="B418" s="42" t="s">
        <v>845</v>
      </c>
      <c r="C418" s="43" t="s">
        <v>846</v>
      </c>
      <c r="E418" s="34" t="s">
        <v>846</v>
      </c>
      <c r="F418" s="33">
        <v>37653</v>
      </c>
      <c r="G418" s="33">
        <v>41306</v>
      </c>
      <c r="H418" s="38">
        <v>41334</v>
      </c>
      <c r="I418" s="38">
        <v>41426</v>
      </c>
      <c r="J418" s="36">
        <v>0.13785869047044996</v>
      </c>
      <c r="K418" s="36">
        <v>-6.0157215383613516E-2</v>
      </c>
      <c r="L418" s="36">
        <v>1.3315282518268686E-2</v>
      </c>
      <c r="M418" s="36">
        <v>7.6561760249912403E-2</v>
      </c>
      <c r="N418" s="36">
        <v>0.17391557449574077</v>
      </c>
    </row>
    <row r="419" spans="2:14" ht="15" customHeight="1" x14ac:dyDescent="0.25">
      <c r="B419" s="42" t="s">
        <v>847</v>
      </c>
      <c r="C419" s="43" t="s">
        <v>848</v>
      </c>
      <c r="E419" s="34" t="s">
        <v>848</v>
      </c>
      <c r="F419" s="33">
        <v>37653</v>
      </c>
      <c r="G419" s="33">
        <v>41306</v>
      </c>
      <c r="H419" s="38">
        <v>41426</v>
      </c>
      <c r="I419" s="38">
        <v>41365</v>
      </c>
      <c r="J419" s="36">
        <v>0.1916572569121231</v>
      </c>
      <c r="K419" s="36">
        <v>0.15543314214473503</v>
      </c>
      <c r="L419" s="36">
        <v>1.7921595609356397E-2</v>
      </c>
      <c r="M419" s="36">
        <v>7.8091915489814034E-2</v>
      </c>
      <c r="N419" s="36">
        <v>0.22949361015089983</v>
      </c>
    </row>
    <row r="420" spans="2:14" ht="15" customHeight="1" x14ac:dyDescent="0.25">
      <c r="B420" s="42" t="s">
        <v>849</v>
      </c>
      <c r="C420" s="43" t="s">
        <v>850</v>
      </c>
      <c r="E420" s="34" t="s">
        <v>850</v>
      </c>
      <c r="F420" s="33">
        <v>37653</v>
      </c>
      <c r="G420" s="33">
        <v>41306</v>
      </c>
      <c r="H420" s="38">
        <v>41334</v>
      </c>
      <c r="I420" s="38">
        <v>41518</v>
      </c>
      <c r="J420" s="36">
        <v>0.25057230584304158</v>
      </c>
      <c r="K420" s="36">
        <v>0.19495733171077068</v>
      </c>
      <c r="L420" s="36">
        <v>2.6363572933432451E-2</v>
      </c>
      <c r="M420" s="36">
        <v>0.12620215889078035</v>
      </c>
      <c r="N420" s="36">
        <v>0.20889953995357866</v>
      </c>
    </row>
    <row r="421" spans="2:14" ht="15" customHeight="1" x14ac:dyDescent="0.25">
      <c r="B421" s="42" t="s">
        <v>851</v>
      </c>
      <c r="C421" s="43" t="s">
        <v>852</v>
      </c>
      <c r="E421" s="34" t="s">
        <v>852</v>
      </c>
      <c r="F421" s="33">
        <v>39600</v>
      </c>
      <c r="G421" s="33">
        <v>41306</v>
      </c>
      <c r="H421" s="38">
        <v>41275</v>
      </c>
      <c r="I421" s="38">
        <v>41609</v>
      </c>
      <c r="J421" s="36">
        <v>0.25786024996504997</v>
      </c>
      <c r="K421" s="36">
        <v>0.11626681131952332</v>
      </c>
      <c r="L421" s="36">
        <v>2.2006659974308583E-2</v>
      </c>
      <c r="M421" s="36">
        <v>7.0131880177596501E-2</v>
      </c>
      <c r="N421" s="36">
        <v>0.3137896762297066</v>
      </c>
    </row>
    <row r="422" spans="2:14" ht="15" customHeight="1" x14ac:dyDescent="0.25">
      <c r="B422" s="42" t="s">
        <v>853</v>
      </c>
      <c r="C422" s="43" t="s">
        <v>854</v>
      </c>
      <c r="E422" s="34" t="s">
        <v>854</v>
      </c>
      <c r="F422" s="33">
        <v>37653</v>
      </c>
      <c r="G422" s="33">
        <v>41306</v>
      </c>
      <c r="H422" s="38">
        <v>41334</v>
      </c>
      <c r="I422" s="38">
        <v>41609</v>
      </c>
      <c r="J422" s="36">
        <v>0.1236924456324513</v>
      </c>
      <c r="K422" s="36">
        <v>9.4660837173193402E-2</v>
      </c>
      <c r="L422" s="36">
        <v>1.029086360295379E-2</v>
      </c>
      <c r="M422" s="36">
        <v>2.9885726446178762E-2</v>
      </c>
      <c r="N422" s="36">
        <v>0.3443404202165411</v>
      </c>
    </row>
    <row r="423" spans="2:14" ht="15" customHeight="1" x14ac:dyDescent="0.25">
      <c r="B423" s="42" t="s">
        <v>855</v>
      </c>
      <c r="C423" s="43" t="s">
        <v>856</v>
      </c>
      <c r="E423" s="34" t="s">
        <v>856</v>
      </c>
      <c r="F423" s="33">
        <v>37653</v>
      </c>
      <c r="G423" s="33">
        <v>41306</v>
      </c>
      <c r="H423" s="38">
        <v>41426</v>
      </c>
      <c r="I423" s="38">
        <v>41395</v>
      </c>
      <c r="J423" s="36">
        <v>0.21804953802189075</v>
      </c>
      <c r="K423" s="36">
        <v>0.20898273305708326</v>
      </c>
      <c r="L423" s="36">
        <v>2.0410189403814099E-2</v>
      </c>
      <c r="M423" s="36">
        <v>8.5803099144952377E-2</v>
      </c>
      <c r="N423" s="36">
        <v>0.23787240329552584</v>
      </c>
    </row>
    <row r="424" spans="2:14" ht="15" customHeight="1" x14ac:dyDescent="0.25">
      <c r="B424" s="42" t="s">
        <v>857</v>
      </c>
      <c r="C424" s="43" t="s">
        <v>858</v>
      </c>
      <c r="E424" s="34" t="s">
        <v>858</v>
      </c>
      <c r="F424" s="33">
        <v>37653</v>
      </c>
      <c r="G424" s="33">
        <v>41306</v>
      </c>
      <c r="H424" s="38">
        <v>41487</v>
      </c>
      <c r="I424" s="38">
        <v>41365</v>
      </c>
      <c r="J424" s="36">
        <v>7.2005314108863683E-2</v>
      </c>
      <c r="K424" s="36">
        <v>3.0183302106004284E-2</v>
      </c>
      <c r="L424" s="36">
        <v>7.2863947051029212E-3</v>
      </c>
      <c r="M424" s="36">
        <v>5.4024337107195508E-2</v>
      </c>
      <c r="N424" s="36">
        <v>0.13487244999684495</v>
      </c>
    </row>
    <row r="425" spans="2:14" ht="15" customHeight="1" x14ac:dyDescent="0.25">
      <c r="B425" s="42" t="s">
        <v>859</v>
      </c>
      <c r="C425" s="43" t="s">
        <v>860</v>
      </c>
      <c r="E425" s="34" t="s">
        <v>860</v>
      </c>
      <c r="F425" s="33">
        <v>37653</v>
      </c>
      <c r="G425" s="33">
        <v>41306</v>
      </c>
      <c r="H425" s="38">
        <v>41334</v>
      </c>
      <c r="I425" s="38">
        <v>41306</v>
      </c>
      <c r="J425" s="36">
        <v>0.1650786054456006</v>
      </c>
      <c r="K425" s="36">
        <v>0.18143368606284072</v>
      </c>
      <c r="L425" s="36">
        <v>1.433382143499388E-2</v>
      </c>
      <c r="M425" s="36">
        <v>5.3885352831397788E-2</v>
      </c>
      <c r="N425" s="36">
        <v>0.26600589365802357</v>
      </c>
    </row>
    <row r="426" spans="2:14" ht="15" customHeight="1" x14ac:dyDescent="0.25">
      <c r="B426" s="42" t="s">
        <v>861</v>
      </c>
      <c r="C426" s="43" t="s">
        <v>862</v>
      </c>
      <c r="E426" s="34" t="s">
        <v>862</v>
      </c>
      <c r="F426" s="33">
        <v>37653</v>
      </c>
      <c r="G426" s="33">
        <v>41306</v>
      </c>
      <c r="H426" s="38">
        <v>41395</v>
      </c>
      <c r="I426" s="38">
        <v>41365</v>
      </c>
      <c r="J426" s="36">
        <v>0.15339061144420008</v>
      </c>
      <c r="K426" s="36">
        <v>0.16461709563743332</v>
      </c>
      <c r="L426" s="36">
        <v>1.3173758428637529E-2</v>
      </c>
      <c r="M426" s="36">
        <v>4.678196796338252E-2</v>
      </c>
      <c r="N426" s="36">
        <v>0.28159906481379698</v>
      </c>
    </row>
    <row r="427" spans="2:14" ht="15" customHeight="1" x14ac:dyDescent="0.25">
      <c r="B427" s="42" t="s">
        <v>863</v>
      </c>
      <c r="C427" s="43" t="s">
        <v>864</v>
      </c>
      <c r="E427" s="34" t="s">
        <v>864</v>
      </c>
      <c r="F427" s="33">
        <v>37653</v>
      </c>
      <c r="G427" s="33">
        <v>41306</v>
      </c>
      <c r="H427" s="38">
        <v>41334</v>
      </c>
      <c r="I427" s="38">
        <v>41365</v>
      </c>
      <c r="J427" s="36">
        <v>4.5299145636481075E-2</v>
      </c>
      <c r="K427" s="36">
        <v>-3.9914184841479239E-2</v>
      </c>
      <c r="L427" s="36">
        <v>4.010360882106833E-3</v>
      </c>
      <c r="M427" s="36">
        <v>2.5059513813210678E-2</v>
      </c>
      <c r="N427" s="36">
        <v>0.16003346720927533</v>
      </c>
    </row>
    <row r="428" spans="2:14" ht="15" customHeight="1" x14ac:dyDescent="0.25">
      <c r="B428" s="42" t="s">
        <v>865</v>
      </c>
      <c r="C428" s="43" t="s">
        <v>866</v>
      </c>
      <c r="E428" s="34" t="s">
        <v>866</v>
      </c>
      <c r="F428" s="33">
        <v>37653</v>
      </c>
      <c r="G428" s="33">
        <v>41306</v>
      </c>
      <c r="H428" s="38">
        <v>41579</v>
      </c>
      <c r="I428" s="38">
        <v>41365</v>
      </c>
      <c r="J428" s="36">
        <v>0.11232868870001678</v>
      </c>
      <c r="K428" s="36">
        <v>6.4746342939850487E-2</v>
      </c>
      <c r="L428" s="36">
        <v>1.037365068811716E-2</v>
      </c>
      <c r="M428" s="36">
        <v>5.4016674285611951E-2</v>
      </c>
      <c r="N428" s="36">
        <v>0.19204534202284865</v>
      </c>
    </row>
    <row r="429" spans="2:14" ht="15" customHeight="1" x14ac:dyDescent="0.25">
      <c r="B429" s="42" t="s">
        <v>867</v>
      </c>
      <c r="C429" s="43" t="s">
        <v>868</v>
      </c>
      <c r="E429" s="34" t="s">
        <v>868</v>
      </c>
      <c r="F429" s="33">
        <v>37653</v>
      </c>
      <c r="G429" s="33">
        <v>41306</v>
      </c>
      <c r="H429" s="38">
        <v>41518</v>
      </c>
      <c r="I429" s="38">
        <v>41395</v>
      </c>
      <c r="J429" s="36">
        <v>8.7582339267419096E-2</v>
      </c>
      <c r="K429" s="36">
        <v>5.6211629566364163E-2</v>
      </c>
      <c r="L429" s="36">
        <v>1.0542567920432606E-2</v>
      </c>
      <c r="M429" s="36">
        <v>8.1262470358739541E-2</v>
      </c>
      <c r="N429" s="36">
        <v>0.12973477023146865</v>
      </c>
    </row>
    <row r="430" spans="2:14" ht="15" customHeight="1" x14ac:dyDescent="0.25">
      <c r="B430" s="42" t="s">
        <v>869</v>
      </c>
      <c r="C430" s="43" t="s">
        <v>870</v>
      </c>
      <c r="E430" s="34" t="s">
        <v>870</v>
      </c>
      <c r="F430" s="33">
        <v>37653</v>
      </c>
      <c r="G430" s="33">
        <v>41306</v>
      </c>
      <c r="H430" s="38">
        <v>41334</v>
      </c>
      <c r="I430" s="38">
        <v>41609</v>
      </c>
      <c r="J430" s="36">
        <v>0.20651427070458128</v>
      </c>
      <c r="K430" s="36">
        <v>0.10167112448012516</v>
      </c>
      <c r="L430" s="36">
        <v>1.9275638746789076E-2</v>
      </c>
      <c r="M430" s="36">
        <v>8.0866901023470938E-2</v>
      </c>
      <c r="N430" s="36">
        <v>0.23836252536986033</v>
      </c>
    </row>
    <row r="431" spans="2:14" ht="15" customHeight="1" x14ac:dyDescent="0.25">
      <c r="B431" s="42" t="s">
        <v>871</v>
      </c>
      <c r="C431" s="43" t="s">
        <v>872</v>
      </c>
      <c r="E431" s="34" t="s">
        <v>872</v>
      </c>
      <c r="F431" s="33">
        <v>37653</v>
      </c>
      <c r="G431" s="33">
        <v>41244</v>
      </c>
      <c r="H431" s="38">
        <v>41365</v>
      </c>
      <c r="I431" s="38">
        <v>41548</v>
      </c>
      <c r="J431" s="36">
        <v>4.3892417315691503</v>
      </c>
      <c r="K431" s="36">
        <v>-1.1718403546458034E-2</v>
      </c>
      <c r="L431" s="36">
        <v>29.047540747656303</v>
      </c>
      <c r="M431" s="36">
        <v>191.90267316471665</v>
      </c>
      <c r="N431" s="36">
        <v>0.15136600375922749</v>
      </c>
    </row>
    <row r="432" spans="2:14" ht="15" customHeight="1" x14ac:dyDescent="0.25">
      <c r="B432" s="42" t="s">
        <v>873</v>
      </c>
      <c r="C432" s="43" t="s">
        <v>874</v>
      </c>
      <c r="E432" s="34" t="s">
        <v>874</v>
      </c>
      <c r="F432" s="33">
        <v>37653</v>
      </c>
      <c r="G432" s="33">
        <v>41306</v>
      </c>
      <c r="H432" s="38">
        <v>41579</v>
      </c>
      <c r="I432" s="38">
        <v>41365</v>
      </c>
      <c r="J432" s="36">
        <v>0.11262413525617898</v>
      </c>
      <c r="K432" s="36">
        <v>-9.2948283148534205E-2</v>
      </c>
      <c r="L432" s="36">
        <v>1.2404626716657147E-2</v>
      </c>
      <c r="M432" s="36">
        <v>8.710864575080994E-2</v>
      </c>
      <c r="N432" s="36">
        <v>0.14240408181918968</v>
      </c>
    </row>
    <row r="433" spans="2:14" ht="15" customHeight="1" x14ac:dyDescent="0.25">
      <c r="B433" s="42" t="s">
        <v>875</v>
      </c>
      <c r="C433" s="43" t="s">
        <v>876</v>
      </c>
      <c r="E433" s="34" t="s">
        <v>876</v>
      </c>
      <c r="F433" s="33">
        <v>37653</v>
      </c>
      <c r="G433" s="33">
        <v>41306</v>
      </c>
      <c r="H433" s="38">
        <v>41426</v>
      </c>
      <c r="I433" s="38">
        <v>41365</v>
      </c>
      <c r="J433" s="36">
        <v>0.18305753256582613</v>
      </c>
      <c r="K433" s="36">
        <v>0.14553188466778311</v>
      </c>
      <c r="L433" s="36">
        <v>1.6995790748169513E-2</v>
      </c>
      <c r="M433" s="36">
        <v>7.5605625961524425E-2</v>
      </c>
      <c r="N433" s="36">
        <v>0.22479531823225221</v>
      </c>
    </row>
    <row r="434" spans="2:14" ht="15" customHeight="1" x14ac:dyDescent="0.25">
      <c r="B434" s="42" t="s">
        <v>877</v>
      </c>
      <c r="C434" s="43" t="s">
        <v>878</v>
      </c>
      <c r="E434" s="34" t="s">
        <v>878</v>
      </c>
      <c r="F434" s="33">
        <v>37653</v>
      </c>
      <c r="G434" s="33">
        <v>41306</v>
      </c>
      <c r="H434" s="38">
        <v>41487</v>
      </c>
      <c r="I434" s="38">
        <v>41456</v>
      </c>
      <c r="J434" s="36">
        <v>0.35252275761424268</v>
      </c>
      <c r="K434" s="36">
        <v>0.36677368780365627</v>
      </c>
      <c r="L434" s="36">
        <v>3.1349792210422299E-2</v>
      </c>
      <c r="M434" s="36">
        <v>0.1076392819796171</v>
      </c>
      <c r="N434" s="36">
        <v>0.29124861884863551</v>
      </c>
    </row>
    <row r="435" spans="2:14" ht="15" customHeight="1" x14ac:dyDescent="0.25">
      <c r="B435" s="42" t="s">
        <v>879</v>
      </c>
      <c r="C435" s="43" t="s">
        <v>880</v>
      </c>
      <c r="E435" s="34" t="s">
        <v>880</v>
      </c>
      <c r="F435" s="33">
        <v>37653</v>
      </c>
      <c r="G435" s="33">
        <v>41306</v>
      </c>
      <c r="H435" s="38">
        <v>41487</v>
      </c>
      <c r="I435" s="38">
        <v>41365</v>
      </c>
      <c r="J435" s="36">
        <v>8.2711904124540103E-2</v>
      </c>
      <c r="K435" s="36">
        <v>1.069464570097689E-2</v>
      </c>
      <c r="L435" s="36">
        <v>8.0947657534363275E-3</v>
      </c>
      <c r="M435" s="36">
        <v>5.3120137378083576E-2</v>
      </c>
      <c r="N435" s="36">
        <v>0.15238600939266553</v>
      </c>
    </row>
    <row r="436" spans="2:14" ht="15" customHeight="1" x14ac:dyDescent="0.25">
      <c r="B436" s="42" t="s">
        <v>881</v>
      </c>
      <c r="C436" s="43" t="s">
        <v>882</v>
      </c>
      <c r="E436" s="34" t="s">
        <v>882</v>
      </c>
      <c r="F436" s="33">
        <v>37653</v>
      </c>
      <c r="G436" s="33">
        <v>41306</v>
      </c>
      <c r="H436" s="38">
        <v>41579</v>
      </c>
      <c r="I436" s="38">
        <v>41365</v>
      </c>
      <c r="J436" s="36">
        <v>0.10664458263719956</v>
      </c>
      <c r="K436" s="36">
        <v>7.5220616263316886E-2</v>
      </c>
      <c r="L436" s="36">
        <v>9.5071583777586385E-3</v>
      </c>
      <c r="M436" s="36">
        <v>4.3742203973275447E-2</v>
      </c>
      <c r="N436" s="36">
        <v>0.21734520701259341</v>
      </c>
    </row>
    <row r="437" spans="2:14" ht="15" customHeight="1" x14ac:dyDescent="0.25">
      <c r="B437" s="42" t="s">
        <v>883</v>
      </c>
      <c r="C437" s="43" t="s">
        <v>884</v>
      </c>
      <c r="E437" s="34" t="s">
        <v>884</v>
      </c>
      <c r="F437" s="33">
        <v>37653</v>
      </c>
      <c r="G437" s="33">
        <v>41306</v>
      </c>
      <c r="H437" s="38">
        <v>41426</v>
      </c>
      <c r="I437" s="38">
        <v>41518</v>
      </c>
      <c r="J437" s="36">
        <v>0.11249629859333288</v>
      </c>
      <c r="K437" s="36">
        <v>8.0636907315583262E-2</v>
      </c>
      <c r="L437" s="36">
        <v>9.8849598568913431E-3</v>
      </c>
      <c r="M437" s="36">
        <v>4.3270397513753805E-2</v>
      </c>
      <c r="N437" s="36">
        <v>0.22844624558277601</v>
      </c>
    </row>
    <row r="438" spans="2:14" ht="15" customHeight="1" x14ac:dyDescent="0.25">
      <c r="B438" s="42" t="s">
        <v>885</v>
      </c>
      <c r="C438" s="43" t="s">
        <v>886</v>
      </c>
      <c r="E438" s="34" t="s">
        <v>886</v>
      </c>
      <c r="F438" s="33">
        <v>37653</v>
      </c>
      <c r="G438" s="33">
        <v>41306</v>
      </c>
      <c r="H438" s="38">
        <v>41456</v>
      </c>
      <c r="I438" s="38">
        <v>41395</v>
      </c>
      <c r="J438" s="36">
        <v>5.8813380088043488E-2</v>
      </c>
      <c r="K438" s="36">
        <v>4.4838966534436642E-2</v>
      </c>
      <c r="L438" s="36">
        <v>5.9524686708000559E-3</v>
      </c>
      <c r="M438" s="36">
        <v>4.7676117664169265E-2</v>
      </c>
      <c r="N438" s="36">
        <v>0.12485221033997075</v>
      </c>
    </row>
    <row r="439" spans="2:14" ht="15" customHeight="1" x14ac:dyDescent="0.25">
      <c r="B439" s="42" t="s">
        <v>887</v>
      </c>
      <c r="C439" s="43" t="s">
        <v>888</v>
      </c>
      <c r="E439" s="34" t="s">
        <v>888</v>
      </c>
      <c r="F439" s="33">
        <v>37653</v>
      </c>
      <c r="G439" s="33">
        <v>41306</v>
      </c>
      <c r="H439" s="38">
        <v>41306</v>
      </c>
      <c r="I439" s="38">
        <v>41609</v>
      </c>
      <c r="J439" s="36">
        <v>0.11703423731963958</v>
      </c>
      <c r="K439" s="36">
        <v>0.11132085106037026</v>
      </c>
      <c r="L439" s="36">
        <v>1.0188881388268709E-2</v>
      </c>
      <c r="M439" s="36">
        <v>4.0873807430882342E-2</v>
      </c>
      <c r="N439" s="36">
        <v>0.24927654233088317</v>
      </c>
    </row>
    <row r="440" spans="2:14" ht="15" customHeight="1" x14ac:dyDescent="0.25">
      <c r="B440" s="42" t="s">
        <v>889</v>
      </c>
      <c r="C440" s="43" t="s">
        <v>890</v>
      </c>
      <c r="E440" s="34" t="s">
        <v>890</v>
      </c>
      <c r="F440" s="33">
        <v>37653</v>
      </c>
      <c r="G440" s="33">
        <v>41306</v>
      </c>
      <c r="H440" s="38">
        <v>41275</v>
      </c>
      <c r="I440" s="38">
        <v>41609</v>
      </c>
      <c r="J440" s="36">
        <v>0.11839976673633501</v>
      </c>
      <c r="K440" s="36">
        <v>8.6088691953056351E-2</v>
      </c>
      <c r="L440" s="36">
        <v>1.1672310421388825E-2</v>
      </c>
      <c r="M440" s="36">
        <v>6.7026838961179877E-2</v>
      </c>
      <c r="N440" s="36">
        <v>0.1741438295807014</v>
      </c>
    </row>
    <row r="441" spans="2:14" ht="15" customHeight="1" x14ac:dyDescent="0.25">
      <c r="B441" s="42" t="s">
        <v>891</v>
      </c>
      <c r="C441" s="43" t="s">
        <v>892</v>
      </c>
      <c r="E441" s="34" t="s">
        <v>892</v>
      </c>
      <c r="F441" s="33">
        <v>39356</v>
      </c>
      <c r="G441" s="33">
        <v>41306</v>
      </c>
      <c r="H441" s="38">
        <v>41275</v>
      </c>
      <c r="I441" s="38">
        <v>41487</v>
      </c>
      <c r="J441" s="36">
        <v>0.30842575680620277</v>
      </c>
      <c r="K441" s="36">
        <v>0.16883527696886702</v>
      </c>
      <c r="L441" s="36">
        <v>2.568554201394237E-2</v>
      </c>
      <c r="M441" s="36">
        <v>7.6089032227830505E-2</v>
      </c>
      <c r="N441" s="36">
        <v>0.33757220011726691</v>
      </c>
    </row>
    <row r="442" spans="2:14" ht="15" customHeight="1" x14ac:dyDescent="0.25">
      <c r="B442" s="42" t="s">
        <v>893</v>
      </c>
      <c r="C442" s="43" t="s">
        <v>894</v>
      </c>
      <c r="E442" s="34" t="s">
        <v>894</v>
      </c>
      <c r="F442" s="33">
        <v>37653</v>
      </c>
      <c r="G442" s="33">
        <v>41306</v>
      </c>
      <c r="H442" s="38">
        <v>41334</v>
      </c>
      <c r="I442" s="38">
        <v>41609</v>
      </c>
      <c r="J442" s="36">
        <v>0.11568842646555888</v>
      </c>
      <c r="K442" s="36">
        <v>0.1012918346654581</v>
      </c>
      <c r="L442" s="36">
        <v>1.1151079248955479E-2</v>
      </c>
      <c r="M442" s="36">
        <v>6.192703835594747E-2</v>
      </c>
      <c r="N442" s="36">
        <v>0.18006802109380271</v>
      </c>
    </row>
    <row r="443" spans="2:14" ht="15" customHeight="1" x14ac:dyDescent="0.25">
      <c r="B443" s="42" t="s">
        <v>895</v>
      </c>
      <c r="C443" s="43" t="s">
        <v>896</v>
      </c>
      <c r="E443" s="34" t="s">
        <v>896</v>
      </c>
      <c r="F443" s="33">
        <v>37653</v>
      </c>
      <c r="G443" s="33">
        <v>41306</v>
      </c>
      <c r="H443" s="38">
        <v>41334</v>
      </c>
      <c r="I443" s="38">
        <v>41609</v>
      </c>
      <c r="J443" s="36">
        <v>0.11850595956618482</v>
      </c>
      <c r="K443" s="36">
        <v>9.309799720723988E-2</v>
      </c>
      <c r="L443" s="36">
        <v>1.0247869844331492E-2</v>
      </c>
      <c r="M443" s="36">
        <v>4.0134825079094633E-2</v>
      </c>
      <c r="N443" s="36">
        <v>0.2553361033500402</v>
      </c>
    </row>
    <row r="444" spans="2:14" ht="15" customHeight="1" x14ac:dyDescent="0.25">
      <c r="B444" s="42" t="s">
        <v>897</v>
      </c>
      <c r="C444" s="43" t="s">
        <v>898</v>
      </c>
      <c r="E444" s="34" t="s">
        <v>898</v>
      </c>
      <c r="F444" s="33">
        <v>37653</v>
      </c>
      <c r="G444" s="33">
        <v>41306</v>
      </c>
      <c r="H444" s="38">
        <v>41579</v>
      </c>
      <c r="I444" s="38">
        <v>41395</v>
      </c>
      <c r="J444" s="36">
        <v>0.13958158262849207</v>
      </c>
      <c r="K444" s="36">
        <v>3.6518788543316694E-2</v>
      </c>
      <c r="L444" s="36">
        <v>1.401973688181804E-2</v>
      </c>
      <c r="M444" s="36">
        <v>7.8564034664490731E-2</v>
      </c>
      <c r="N444" s="36">
        <v>0.17844980774841318</v>
      </c>
    </row>
    <row r="445" spans="2:14" ht="15" customHeight="1" x14ac:dyDescent="0.25">
      <c r="B445" s="42" t="s">
        <v>899</v>
      </c>
      <c r="C445" s="43" t="s">
        <v>900</v>
      </c>
      <c r="E445" s="34" t="s">
        <v>900</v>
      </c>
      <c r="F445" s="33">
        <v>37653</v>
      </c>
      <c r="G445" s="33">
        <v>41306</v>
      </c>
      <c r="H445" s="38">
        <v>41334</v>
      </c>
      <c r="I445" s="38">
        <v>41548</v>
      </c>
      <c r="J445" s="36">
        <v>0.10675414898909064</v>
      </c>
      <c r="K445" s="36">
        <v>9.1705354605108536E-2</v>
      </c>
      <c r="L445" s="36">
        <v>1.0034164078550288E-2</v>
      </c>
      <c r="M445" s="36">
        <v>5.488669438939503E-2</v>
      </c>
      <c r="N445" s="36">
        <v>0.18281596642280293</v>
      </c>
    </row>
    <row r="446" spans="2:14" ht="15" customHeight="1" x14ac:dyDescent="0.25">
      <c r="B446" s="42" t="s">
        <v>901</v>
      </c>
      <c r="C446" s="43" t="s">
        <v>902</v>
      </c>
      <c r="E446" s="34" t="s">
        <v>902</v>
      </c>
      <c r="F446" s="33">
        <v>37653</v>
      </c>
      <c r="G446" s="33">
        <v>41306</v>
      </c>
      <c r="H446" s="38">
        <v>41579</v>
      </c>
      <c r="I446" s="38">
        <v>41395</v>
      </c>
      <c r="J446" s="36">
        <v>0.22687860896225387</v>
      </c>
      <c r="K446" s="36">
        <v>-5.9083014453258587E-2</v>
      </c>
      <c r="L446" s="36">
        <v>2.3547871301769403E-2</v>
      </c>
      <c r="M446" s="36">
        <v>0.12977942778789292</v>
      </c>
      <c r="N446" s="36">
        <v>0.18144533153787087</v>
      </c>
    </row>
    <row r="447" spans="2:14" ht="15" customHeight="1" x14ac:dyDescent="0.25">
      <c r="B447" s="42" t="s">
        <v>903</v>
      </c>
      <c r="C447" s="43" t="s">
        <v>904</v>
      </c>
      <c r="E447" s="34" t="s">
        <v>904</v>
      </c>
      <c r="F447" s="33">
        <v>37653</v>
      </c>
      <c r="G447" s="33">
        <v>41306</v>
      </c>
      <c r="H447" s="38">
        <v>41334</v>
      </c>
      <c r="I447" s="38">
        <v>41306</v>
      </c>
      <c r="J447" s="36">
        <v>0.39345377079707133</v>
      </c>
      <c r="K447" s="36">
        <v>0.42622391235063617</v>
      </c>
      <c r="L447" s="36">
        <v>3.8423870621549949E-2</v>
      </c>
      <c r="M447" s="36">
        <v>0.14869467846918669</v>
      </c>
      <c r="N447" s="36">
        <v>0.25840783958863967</v>
      </c>
    </row>
    <row r="448" spans="2:14" ht="15" customHeight="1" x14ac:dyDescent="0.25">
      <c r="B448" s="42" t="s">
        <v>905</v>
      </c>
      <c r="C448" s="43" t="s">
        <v>906</v>
      </c>
      <c r="E448" s="34" t="s">
        <v>906</v>
      </c>
      <c r="F448" s="33">
        <v>37653</v>
      </c>
      <c r="G448" s="33">
        <v>41306</v>
      </c>
      <c r="H448" s="38">
        <v>41426</v>
      </c>
      <c r="I448" s="38">
        <v>41365</v>
      </c>
      <c r="J448" s="36">
        <v>0.13619116110187157</v>
      </c>
      <c r="K448" s="36">
        <v>0.11924035749964834</v>
      </c>
      <c r="L448" s="36">
        <v>1.5396202516373697E-2</v>
      </c>
      <c r="M448" s="36">
        <v>9.6992736802937837E-2</v>
      </c>
      <c r="N448" s="36">
        <v>0.15873562313902412</v>
      </c>
    </row>
    <row r="449" spans="2:14" ht="15" customHeight="1" x14ac:dyDescent="0.25">
      <c r="B449" s="42" t="s">
        <v>907</v>
      </c>
      <c r="C449" s="43" t="s">
        <v>908</v>
      </c>
      <c r="E449" s="34" t="s">
        <v>908</v>
      </c>
      <c r="F449" s="33">
        <v>37653</v>
      </c>
      <c r="G449" s="33">
        <v>41306</v>
      </c>
      <c r="H449" s="38">
        <v>41426</v>
      </c>
      <c r="I449" s="38">
        <v>41395</v>
      </c>
      <c r="J449" s="36">
        <v>0.18817298671813365</v>
      </c>
      <c r="K449" s="36">
        <v>0.20030483527734111</v>
      </c>
      <c r="L449" s="36">
        <v>1.6265873655632392E-2</v>
      </c>
      <c r="M449" s="36">
        <v>5.7840525932699442E-2</v>
      </c>
      <c r="N449" s="36">
        <v>0.2812193249169036</v>
      </c>
    </row>
    <row r="450" spans="2:14" ht="15" customHeight="1" x14ac:dyDescent="0.25">
      <c r="B450" s="42" t="s">
        <v>909</v>
      </c>
      <c r="C450" s="43" t="s">
        <v>910</v>
      </c>
      <c r="E450" s="34" t="s">
        <v>910</v>
      </c>
      <c r="F450" s="33">
        <v>37653</v>
      </c>
      <c r="G450" s="33">
        <v>41306</v>
      </c>
      <c r="H450" s="38">
        <v>41334</v>
      </c>
      <c r="I450" s="38">
        <v>41395</v>
      </c>
      <c r="J450" s="36">
        <v>4.8583967354323132E-2</v>
      </c>
      <c r="K450" s="36">
        <v>-6.4209350404465182E-2</v>
      </c>
      <c r="L450" s="36">
        <v>4.7545808921781747E-3</v>
      </c>
      <c r="M450" s="36">
        <v>4.0863426828908297E-2</v>
      </c>
      <c r="N450" s="36">
        <v>0.11635296550348559</v>
      </c>
    </row>
    <row r="451" spans="2:14" ht="15" customHeight="1" x14ac:dyDescent="0.25">
      <c r="B451" s="42" t="s">
        <v>911</v>
      </c>
      <c r="C451" s="43" t="s">
        <v>912</v>
      </c>
      <c r="E451" s="34" t="s">
        <v>912</v>
      </c>
      <c r="F451" s="33">
        <v>37653</v>
      </c>
      <c r="G451" s="33">
        <v>41306</v>
      </c>
      <c r="H451" s="38">
        <v>41306</v>
      </c>
      <c r="I451" s="38">
        <v>41609</v>
      </c>
      <c r="J451" s="36">
        <v>0.1153498560831705</v>
      </c>
      <c r="K451" s="36">
        <v>9.7920655705435067E-2</v>
      </c>
      <c r="L451" s="36">
        <v>1.1478357869206483E-2</v>
      </c>
      <c r="M451" s="36">
        <v>6.8621945763117934E-2</v>
      </c>
      <c r="N451" s="36">
        <v>0.16726948997962876</v>
      </c>
    </row>
    <row r="452" spans="2:14" ht="15" customHeight="1" x14ac:dyDescent="0.25">
      <c r="B452" s="42" t="s">
        <v>913</v>
      </c>
      <c r="C452" s="43" t="s">
        <v>914</v>
      </c>
      <c r="E452" s="34" t="s">
        <v>914</v>
      </c>
      <c r="F452" s="33">
        <v>37653</v>
      </c>
      <c r="G452" s="33">
        <v>41306</v>
      </c>
      <c r="H452" s="38">
        <v>41426</v>
      </c>
      <c r="I452" s="38">
        <v>41395</v>
      </c>
      <c r="J452" s="36">
        <v>0.1469666513036314</v>
      </c>
      <c r="K452" s="36">
        <v>0.15538331072118439</v>
      </c>
      <c r="L452" s="36">
        <v>1.3658688995445334E-2</v>
      </c>
      <c r="M452" s="36">
        <v>6.348624137014855E-2</v>
      </c>
      <c r="N452" s="36">
        <v>0.2151440800505115</v>
      </c>
    </row>
    <row r="453" spans="2:14" ht="15" customHeight="1" x14ac:dyDescent="0.25">
      <c r="B453" s="42" t="s">
        <v>915</v>
      </c>
      <c r="C453" s="43" t="s">
        <v>916</v>
      </c>
      <c r="E453" s="34" t="s">
        <v>916</v>
      </c>
      <c r="F453" s="33">
        <v>37653</v>
      </c>
      <c r="G453" s="33">
        <v>41306</v>
      </c>
      <c r="H453" s="38">
        <v>41395</v>
      </c>
      <c r="I453" s="38">
        <v>41365</v>
      </c>
      <c r="J453" s="36">
        <v>0.19446200449338646</v>
      </c>
      <c r="K453" s="36">
        <v>0.21024362934074459</v>
      </c>
      <c r="L453" s="36">
        <v>1.8241626417753832E-2</v>
      </c>
      <c r="M453" s="36">
        <v>8.0099186236859854E-2</v>
      </c>
      <c r="N453" s="36">
        <v>0.2277379743136447</v>
      </c>
    </row>
    <row r="454" spans="2:14" ht="15" customHeight="1" x14ac:dyDescent="0.25">
      <c r="B454" s="42" t="s">
        <v>917</v>
      </c>
      <c r="C454" s="43" t="s">
        <v>918</v>
      </c>
      <c r="E454" s="34" t="s">
        <v>918</v>
      </c>
      <c r="F454" s="33">
        <v>37653</v>
      </c>
      <c r="G454" s="33">
        <v>41306</v>
      </c>
      <c r="H454" s="38">
        <v>41487</v>
      </c>
      <c r="I454" s="38">
        <v>41365</v>
      </c>
      <c r="J454" s="36">
        <v>0.13192811397165438</v>
      </c>
      <c r="K454" s="36">
        <v>0.12774583116697724</v>
      </c>
      <c r="L454" s="36">
        <v>1.1350937138904249E-2</v>
      </c>
      <c r="M454" s="36">
        <v>4.2406215539429214E-2</v>
      </c>
      <c r="N454" s="36">
        <v>0.26767154282725775</v>
      </c>
    </row>
    <row r="455" spans="2:14" ht="15" customHeight="1" x14ac:dyDescent="0.25">
      <c r="B455" s="42" t="s">
        <v>919</v>
      </c>
      <c r="C455" s="43" t="s">
        <v>920</v>
      </c>
      <c r="E455" s="34" t="s">
        <v>920</v>
      </c>
      <c r="F455" s="33">
        <v>37653</v>
      </c>
      <c r="G455" s="33">
        <v>41306</v>
      </c>
      <c r="H455" s="38">
        <v>41579</v>
      </c>
      <c r="I455" s="38">
        <v>41395</v>
      </c>
      <c r="J455" s="36">
        <v>0.27817516241900719</v>
      </c>
      <c r="K455" s="36">
        <v>0.10567348146732281</v>
      </c>
      <c r="L455" s="36">
        <v>2.2723511683323133E-2</v>
      </c>
      <c r="M455" s="36">
        <v>6.3806718358777881E-2</v>
      </c>
      <c r="N455" s="36">
        <v>0.35613039297133925</v>
      </c>
    </row>
    <row r="456" spans="2:14" ht="15" customHeight="1" x14ac:dyDescent="0.25">
      <c r="B456" s="42" t="s">
        <v>921</v>
      </c>
      <c r="C456" s="43" t="s">
        <v>922</v>
      </c>
      <c r="E456" s="34" t="s">
        <v>922</v>
      </c>
      <c r="F456" s="33">
        <v>37653</v>
      </c>
      <c r="G456" s="33">
        <v>41306</v>
      </c>
      <c r="H456" s="38">
        <v>41426</v>
      </c>
      <c r="I456" s="38">
        <v>41395</v>
      </c>
      <c r="J456" s="36">
        <v>0.34293480245615671</v>
      </c>
      <c r="K456" s="36">
        <v>0.34481178141928681</v>
      </c>
      <c r="L456" s="36">
        <v>3.4438708730002467E-2</v>
      </c>
      <c r="M456" s="36">
        <v>0.13893747375040502</v>
      </c>
      <c r="N456" s="36">
        <v>0.24787199450502512</v>
      </c>
    </row>
    <row r="457" spans="2:14" ht="15" customHeight="1" x14ac:dyDescent="0.25">
      <c r="B457" s="42" t="s">
        <v>923</v>
      </c>
      <c r="C457" s="43" t="s">
        <v>924</v>
      </c>
      <c r="E457" s="34" t="s">
        <v>924</v>
      </c>
      <c r="F457" s="33">
        <v>37653</v>
      </c>
      <c r="G457" s="33">
        <v>41306</v>
      </c>
      <c r="H457" s="38">
        <v>41334</v>
      </c>
      <c r="I457" s="38">
        <v>41609</v>
      </c>
      <c r="J457" s="36">
        <v>6.557017126322795E-2</v>
      </c>
      <c r="K457" s="36">
        <v>6.3719254191909158E-2</v>
      </c>
      <c r="L457" s="36">
        <v>7.0465504196400063E-3</v>
      </c>
      <c r="M457" s="36">
        <v>5.8245355834107955E-2</v>
      </c>
      <c r="N457" s="36">
        <v>0.12098046820607816</v>
      </c>
    </row>
    <row r="458" spans="2:14" ht="15" customHeight="1" x14ac:dyDescent="0.25">
      <c r="B458" s="42" t="s">
        <v>925</v>
      </c>
      <c r="C458" s="43" t="s">
        <v>926</v>
      </c>
      <c r="E458" s="34" t="s">
        <v>926</v>
      </c>
      <c r="F458" s="33">
        <v>39083</v>
      </c>
      <c r="G458" s="33">
        <v>41306</v>
      </c>
      <c r="H458" s="38">
        <v>41334</v>
      </c>
      <c r="I458" s="38">
        <v>41306</v>
      </c>
      <c r="J458" s="36">
        <v>0.10206553624672887</v>
      </c>
      <c r="K458" s="36">
        <v>-6.8688097465359199E-3</v>
      </c>
      <c r="L458" s="36">
        <v>1.130553476206367E-2</v>
      </c>
      <c r="M458" s="36">
        <v>7.8932597893183062E-2</v>
      </c>
      <c r="N458" s="36">
        <v>0.14323023774490592</v>
      </c>
    </row>
    <row r="459" spans="2:14" ht="15" customHeight="1" x14ac:dyDescent="0.25">
      <c r="B459" s="42" t="s">
        <v>927</v>
      </c>
      <c r="C459" s="43" t="s">
        <v>928</v>
      </c>
      <c r="E459" s="34" t="s">
        <v>928</v>
      </c>
      <c r="F459" s="33">
        <v>37653</v>
      </c>
      <c r="G459" s="33">
        <v>41306</v>
      </c>
      <c r="H459" s="38">
        <v>41334</v>
      </c>
      <c r="I459" s="38">
        <v>41609</v>
      </c>
      <c r="J459" s="36">
        <v>0.12687999279065276</v>
      </c>
      <c r="K459" s="36">
        <v>8.9954368346352842E-2</v>
      </c>
      <c r="L459" s="36">
        <v>1.2128605401038748E-2</v>
      </c>
      <c r="M459" s="36">
        <v>6.3918350772657367E-2</v>
      </c>
      <c r="N459" s="36">
        <v>0.18975153855545118</v>
      </c>
    </row>
    <row r="460" spans="2:14" ht="15" customHeight="1" x14ac:dyDescent="0.25">
      <c r="B460" s="42" t="s">
        <v>929</v>
      </c>
      <c r="C460" s="43" t="s">
        <v>930</v>
      </c>
      <c r="E460" s="34" t="s">
        <v>930</v>
      </c>
      <c r="F460" s="33">
        <v>37653</v>
      </c>
      <c r="G460" s="33">
        <v>41306</v>
      </c>
      <c r="H460" s="38">
        <v>41456</v>
      </c>
      <c r="I460" s="38">
        <v>41395</v>
      </c>
      <c r="J460" s="36">
        <v>0.11210596947706986</v>
      </c>
      <c r="K460" s="36">
        <v>8.5676585625094726E-2</v>
      </c>
      <c r="L460" s="36">
        <v>1.1794338420033438E-2</v>
      </c>
      <c r="M460" s="36">
        <v>7.6055682996924084E-2</v>
      </c>
      <c r="N460" s="36">
        <v>0.1550750444317282</v>
      </c>
    </row>
    <row r="461" spans="2:14" ht="15" customHeight="1" x14ac:dyDescent="0.25">
      <c r="B461" s="42" t="s">
        <v>931</v>
      </c>
      <c r="C461" s="43" t="s">
        <v>932</v>
      </c>
      <c r="E461" s="34" t="s">
        <v>932</v>
      </c>
      <c r="F461" s="33">
        <v>37653</v>
      </c>
      <c r="G461" s="33">
        <v>41306</v>
      </c>
      <c r="H461" s="38">
        <v>41334</v>
      </c>
      <c r="I461" s="38">
        <v>41456</v>
      </c>
      <c r="J461" s="36">
        <v>0.12335668261635213</v>
      </c>
      <c r="K461" s="36">
        <v>6.3833619717736489E-2</v>
      </c>
      <c r="L461" s="36">
        <v>1.3774582282167774E-2</v>
      </c>
      <c r="M461" s="36">
        <v>0.10134288089410824</v>
      </c>
      <c r="N461" s="36">
        <v>0.13592057143669167</v>
      </c>
    </row>
    <row r="462" spans="2:14" ht="15" customHeight="1" x14ac:dyDescent="0.25">
      <c r="B462" s="42" t="s">
        <v>933</v>
      </c>
      <c r="C462" s="43" t="s">
        <v>934</v>
      </c>
      <c r="E462" s="34" t="s">
        <v>934</v>
      </c>
      <c r="F462" s="33">
        <v>37653</v>
      </c>
      <c r="G462" s="33">
        <v>41306</v>
      </c>
      <c r="H462" s="38">
        <v>41548</v>
      </c>
      <c r="I462" s="38">
        <v>41395</v>
      </c>
      <c r="J462" s="36">
        <v>0.14137622292470176</v>
      </c>
      <c r="K462" s="36">
        <v>3.6858784974839631E-2</v>
      </c>
      <c r="L462" s="36">
        <v>1.2336547436480621E-2</v>
      </c>
      <c r="M462" s="36">
        <v>4.899137889971858E-2</v>
      </c>
      <c r="N462" s="36">
        <v>0.25181057797398482</v>
      </c>
    </row>
    <row r="463" spans="2:14" ht="15" customHeight="1" x14ac:dyDescent="0.25">
      <c r="B463" s="42" t="s">
        <v>935</v>
      </c>
      <c r="C463" s="43" t="s">
        <v>936</v>
      </c>
      <c r="E463" s="34" t="s">
        <v>936</v>
      </c>
      <c r="F463" s="33">
        <v>37653</v>
      </c>
      <c r="G463" s="33">
        <v>41306</v>
      </c>
      <c r="H463" s="38">
        <v>41426</v>
      </c>
      <c r="I463" s="38">
        <v>41275</v>
      </c>
      <c r="J463" s="36">
        <v>0.1626024861491886</v>
      </c>
      <c r="K463" s="36">
        <v>0.107992075420966</v>
      </c>
      <c r="L463" s="36">
        <v>1.4208052916634436E-2</v>
      </c>
      <c r="M463" s="36">
        <v>5.4870705714786361E-2</v>
      </c>
      <c r="N463" s="36">
        <v>0.25893694516135413</v>
      </c>
    </row>
    <row r="464" spans="2:14" ht="15" customHeight="1" x14ac:dyDescent="0.25">
      <c r="B464" s="42" t="s">
        <v>937</v>
      </c>
      <c r="C464" s="43" t="s">
        <v>938</v>
      </c>
      <c r="E464" s="34" t="s">
        <v>938</v>
      </c>
      <c r="F464" s="33">
        <v>37653</v>
      </c>
      <c r="G464" s="33">
        <v>41306</v>
      </c>
      <c r="H464" s="38">
        <v>41426</v>
      </c>
      <c r="I464" s="38">
        <v>41365</v>
      </c>
      <c r="J464" s="36">
        <v>0.12710006558907794</v>
      </c>
      <c r="K464" s="36">
        <v>7.8422513184700282E-2</v>
      </c>
      <c r="L464" s="36">
        <v>1.420540697595765E-2</v>
      </c>
      <c r="M464" s="36">
        <v>8.9115741890391689E-2</v>
      </c>
      <c r="N464" s="36">
        <v>0.15940401409023397</v>
      </c>
    </row>
    <row r="465" spans="2:14" ht="15" customHeight="1" x14ac:dyDescent="0.25">
      <c r="B465" s="42" t="s">
        <v>939</v>
      </c>
      <c r="C465" s="43" t="s">
        <v>940</v>
      </c>
      <c r="E465" s="34" t="s">
        <v>940</v>
      </c>
      <c r="F465" s="33">
        <v>37653</v>
      </c>
      <c r="G465" s="33">
        <v>41306</v>
      </c>
      <c r="H465" s="38">
        <v>41518</v>
      </c>
      <c r="I465" s="38">
        <v>41456</v>
      </c>
      <c r="J465" s="36">
        <v>0.20878012203099683</v>
      </c>
      <c r="K465" s="36">
        <v>0.19023423418456575</v>
      </c>
      <c r="L465" s="36">
        <v>1.8085029944499561E-2</v>
      </c>
      <c r="M465" s="36">
        <v>6.3754884440702736E-2</v>
      </c>
      <c r="N465" s="36">
        <v>0.28366501018945645</v>
      </c>
    </row>
    <row r="466" spans="2:14" ht="15" customHeight="1" x14ac:dyDescent="0.25">
      <c r="B466" s="42" t="s">
        <v>941</v>
      </c>
      <c r="C466" s="43" t="s">
        <v>942</v>
      </c>
      <c r="E466" s="34" t="s">
        <v>942</v>
      </c>
      <c r="F466" s="33">
        <v>37653</v>
      </c>
      <c r="G466" s="33">
        <v>41306</v>
      </c>
      <c r="H466" s="38">
        <v>41487</v>
      </c>
      <c r="I466" s="38">
        <v>41365</v>
      </c>
      <c r="J466" s="36">
        <v>7.7042867994279396E-2</v>
      </c>
      <c r="K466" s="36">
        <v>5.797367985018842E-2</v>
      </c>
      <c r="L466" s="36">
        <v>7.4136372396633263E-3</v>
      </c>
      <c r="M466" s="36">
        <v>4.7536535642072511E-2</v>
      </c>
      <c r="N466" s="36">
        <v>0.1559566160959748</v>
      </c>
    </row>
    <row r="467" spans="2:14" ht="15" customHeight="1" x14ac:dyDescent="0.25">
      <c r="B467" s="42" t="s">
        <v>943</v>
      </c>
      <c r="C467" s="43" t="s">
        <v>944</v>
      </c>
      <c r="E467" s="34" t="s">
        <v>944</v>
      </c>
      <c r="F467" s="33">
        <v>37653</v>
      </c>
      <c r="G467" s="33">
        <v>41306</v>
      </c>
      <c r="H467" s="38">
        <v>41334</v>
      </c>
      <c r="I467" s="38">
        <v>41306</v>
      </c>
      <c r="J467" s="36">
        <v>0.28845573744516728</v>
      </c>
      <c r="K467" s="36">
        <v>0.33407701404573298</v>
      </c>
      <c r="L467" s="36">
        <v>2.7168014527728712E-2</v>
      </c>
      <c r="M467" s="36">
        <v>0.10683474401784097</v>
      </c>
      <c r="N467" s="36">
        <v>0.25429943018529405</v>
      </c>
    </row>
    <row r="468" spans="2:14" ht="15" customHeight="1" x14ac:dyDescent="0.25">
      <c r="B468" s="42" t="s">
        <v>945</v>
      </c>
      <c r="C468" s="43" t="s">
        <v>946</v>
      </c>
      <c r="E468" s="34" t="s">
        <v>946</v>
      </c>
      <c r="F468" s="33">
        <v>37653</v>
      </c>
      <c r="G468" s="33">
        <v>41306</v>
      </c>
      <c r="H468" s="38">
        <v>41334</v>
      </c>
      <c r="I468" s="38">
        <v>41609</v>
      </c>
      <c r="J468" s="36">
        <v>0.12363704495486827</v>
      </c>
      <c r="K468" s="36">
        <v>8.3055793954815993E-2</v>
      </c>
      <c r="L468" s="36">
        <v>1.1561999279519211E-2</v>
      </c>
      <c r="M468" s="36">
        <v>5.9149348499430723E-2</v>
      </c>
      <c r="N468" s="36">
        <v>0.19547128705281494</v>
      </c>
    </row>
    <row r="469" spans="2:14" ht="15" customHeight="1" x14ac:dyDescent="0.25">
      <c r="B469" s="42" t="s">
        <v>947</v>
      </c>
      <c r="C469" s="43" t="s">
        <v>948</v>
      </c>
      <c r="E469" s="34" t="s">
        <v>948</v>
      </c>
      <c r="F469" s="33">
        <v>37653</v>
      </c>
      <c r="G469" s="33">
        <v>41306</v>
      </c>
      <c r="H469" s="38">
        <v>41334</v>
      </c>
      <c r="I469" s="38">
        <v>41275</v>
      </c>
      <c r="J469" s="36">
        <v>0.14838577097313621</v>
      </c>
      <c r="K469" s="36">
        <v>0.13980661709014996</v>
      </c>
      <c r="L469" s="36">
        <v>1.2994453121707548E-2</v>
      </c>
      <c r="M469" s="36">
        <v>5.1069965242608963E-2</v>
      </c>
      <c r="N469" s="36">
        <v>0.25444413482517797</v>
      </c>
    </row>
    <row r="470" spans="2:14" ht="15" customHeight="1" x14ac:dyDescent="0.25">
      <c r="B470" s="42" t="s">
        <v>949</v>
      </c>
      <c r="C470" s="43" t="s">
        <v>950</v>
      </c>
      <c r="E470" s="34" t="s">
        <v>950</v>
      </c>
      <c r="F470" s="33">
        <v>39508</v>
      </c>
      <c r="G470" s="33">
        <v>41306</v>
      </c>
      <c r="H470" s="38">
        <v>41275</v>
      </c>
      <c r="I470" s="38">
        <v>41609</v>
      </c>
      <c r="J470" s="36">
        <v>0.2803619125558956</v>
      </c>
      <c r="K470" s="36">
        <v>0.21305578410311776</v>
      </c>
      <c r="L470" s="36">
        <v>2.2824458904202056E-2</v>
      </c>
      <c r="M470" s="36">
        <v>5.7577403362315017E-2</v>
      </c>
      <c r="N470" s="36">
        <v>0.39641348118072461</v>
      </c>
    </row>
    <row r="471" spans="2:14" ht="15" customHeight="1" x14ac:dyDescent="0.25">
      <c r="B471" s="42" t="s">
        <v>951</v>
      </c>
      <c r="C471" s="43" t="s">
        <v>952</v>
      </c>
      <c r="E471" s="34" t="s">
        <v>952</v>
      </c>
      <c r="F471" s="33">
        <v>37653</v>
      </c>
      <c r="G471" s="33">
        <v>41306</v>
      </c>
      <c r="H471" s="38">
        <v>41395</v>
      </c>
      <c r="I471" s="38">
        <v>41275</v>
      </c>
      <c r="J471" s="36">
        <v>0.16799867915620004</v>
      </c>
      <c r="K471" s="36">
        <v>0.10822457031021249</v>
      </c>
      <c r="L471" s="36">
        <v>1.5519010279388368E-2</v>
      </c>
      <c r="M471" s="36">
        <v>6.9807872576923571E-2</v>
      </c>
      <c r="N471" s="36">
        <v>0.22231031696729425</v>
      </c>
    </row>
    <row r="472" spans="2:14" ht="15" customHeight="1" x14ac:dyDescent="0.25">
      <c r="B472" s="42" t="s">
        <v>953</v>
      </c>
      <c r="C472" s="43" t="s">
        <v>954</v>
      </c>
      <c r="E472" s="34" t="s">
        <v>954</v>
      </c>
      <c r="F472" s="33">
        <v>37653</v>
      </c>
      <c r="G472" s="33">
        <v>41306</v>
      </c>
      <c r="H472" s="38">
        <v>41426</v>
      </c>
      <c r="I472" s="38">
        <v>41365</v>
      </c>
      <c r="J472" s="36">
        <v>0.19723535607330867</v>
      </c>
      <c r="K472" s="36">
        <v>0.18895659487190963</v>
      </c>
      <c r="L472" s="36">
        <v>1.7215365726352003E-2</v>
      </c>
      <c r="M472" s="36">
        <v>6.2007500589100491E-2</v>
      </c>
      <c r="N472" s="36">
        <v>0.27763360178684693</v>
      </c>
    </row>
    <row r="473" spans="2:14" ht="15" customHeight="1" x14ac:dyDescent="0.25">
      <c r="B473" s="42" t="s">
        <v>955</v>
      </c>
      <c r="C473" s="43" t="s">
        <v>956</v>
      </c>
      <c r="E473" s="34" t="s">
        <v>956</v>
      </c>
      <c r="F473" s="33">
        <v>38687</v>
      </c>
      <c r="G473" s="33">
        <v>41122</v>
      </c>
      <c r="H473" s="38">
        <v>41456</v>
      </c>
      <c r="I473" s="38">
        <v>41395</v>
      </c>
      <c r="J473" s="36">
        <v>0.13150469030675072</v>
      </c>
      <c r="K473" s="36">
        <v>3.4636085165925756E-2</v>
      </c>
      <c r="L473" s="36">
        <v>1.349327349558142E-2</v>
      </c>
      <c r="M473" s="36">
        <v>7.6137498767053599E-2</v>
      </c>
      <c r="N473" s="36">
        <v>0.17722244247692914</v>
      </c>
    </row>
    <row r="474" spans="2:14" ht="15" customHeight="1" x14ac:dyDescent="0.25">
      <c r="B474" s="42" t="s">
        <v>957</v>
      </c>
      <c r="C474" s="43" t="s">
        <v>958</v>
      </c>
      <c r="E474" s="34" t="s">
        <v>958</v>
      </c>
      <c r="F474" s="33">
        <v>37653</v>
      </c>
      <c r="G474" s="33">
        <v>41306</v>
      </c>
      <c r="H474" s="38">
        <v>41579</v>
      </c>
      <c r="I474" s="38">
        <v>41365</v>
      </c>
      <c r="J474" s="36">
        <v>0.24461735538943596</v>
      </c>
      <c r="K474" s="36">
        <v>0.17856435385829594</v>
      </c>
      <c r="L474" s="36">
        <v>2.1063851230840428E-2</v>
      </c>
      <c r="M474" s="36">
        <v>7.3201753148568055E-2</v>
      </c>
      <c r="N474" s="36">
        <v>0.28775063881448132</v>
      </c>
    </row>
    <row r="475" spans="2:14" ht="15" customHeight="1" x14ac:dyDescent="0.25">
      <c r="B475" s="42" t="s">
        <v>959</v>
      </c>
      <c r="C475" s="43" t="s">
        <v>960</v>
      </c>
      <c r="E475" s="34" t="s">
        <v>960</v>
      </c>
      <c r="F475" s="33">
        <v>37653</v>
      </c>
      <c r="G475" s="33">
        <v>41306</v>
      </c>
      <c r="H475" s="38">
        <v>41548</v>
      </c>
      <c r="I475" s="38">
        <v>41365</v>
      </c>
      <c r="J475" s="36">
        <v>0.16041493575177967</v>
      </c>
      <c r="K475" s="36">
        <v>8.1748282572524866E-2</v>
      </c>
      <c r="L475" s="36">
        <v>1.4564522635829379E-2</v>
      </c>
      <c r="M475" s="36">
        <v>6.2474766734207363E-2</v>
      </c>
      <c r="N475" s="36">
        <v>0.23312648285335233</v>
      </c>
    </row>
    <row r="476" spans="2:14" ht="15" customHeight="1" x14ac:dyDescent="0.25">
      <c r="B476" s="42" t="s">
        <v>961</v>
      </c>
      <c r="C476" s="43" t="s">
        <v>962</v>
      </c>
      <c r="E476" s="34" t="s">
        <v>962</v>
      </c>
      <c r="F476" s="33">
        <v>37653</v>
      </c>
      <c r="G476" s="33">
        <v>41306</v>
      </c>
      <c r="H476" s="38">
        <v>41334</v>
      </c>
      <c r="I476" s="38">
        <v>41518</v>
      </c>
      <c r="J476" s="36">
        <v>0.15259896003193374</v>
      </c>
      <c r="K476" s="36">
        <v>0.13864918754476263</v>
      </c>
      <c r="L476" s="36">
        <v>1.3813438220143573E-2</v>
      </c>
      <c r="M476" s="36">
        <v>6.3591578370275972E-2</v>
      </c>
      <c r="N476" s="36">
        <v>0.21722118831068771</v>
      </c>
    </row>
    <row r="477" spans="2:14" ht="15" customHeight="1" x14ac:dyDescent="0.25">
      <c r="B477" s="42" t="s">
        <v>963</v>
      </c>
      <c r="C477" s="43" t="s">
        <v>964</v>
      </c>
      <c r="E477" s="34" t="s">
        <v>964</v>
      </c>
      <c r="F477" s="33">
        <v>37653</v>
      </c>
      <c r="G477" s="33">
        <v>41306</v>
      </c>
      <c r="H477" s="38">
        <v>41456</v>
      </c>
      <c r="I477" s="38">
        <v>41395</v>
      </c>
      <c r="J477" s="36">
        <v>0.23521587969510382</v>
      </c>
      <c r="K477" s="36">
        <v>0.20884057925142963</v>
      </c>
      <c r="L477" s="36">
        <v>2.1613166232187966E-2</v>
      </c>
      <c r="M477" s="36">
        <v>8.6769443041351063E-2</v>
      </c>
      <c r="N477" s="36">
        <v>0.24908729933748613</v>
      </c>
    </row>
    <row r="478" spans="2:14" ht="15" customHeight="1" x14ac:dyDescent="0.25">
      <c r="B478" s="42" t="s">
        <v>965</v>
      </c>
      <c r="C478" s="43" t="s">
        <v>966</v>
      </c>
      <c r="E478" s="34" t="s">
        <v>966</v>
      </c>
      <c r="F478" s="33">
        <v>37653</v>
      </c>
      <c r="G478" s="33">
        <v>41306</v>
      </c>
      <c r="H478" s="38">
        <v>41334</v>
      </c>
      <c r="I478" s="38">
        <v>41609</v>
      </c>
      <c r="J478" s="36">
        <v>0.24071100507959575</v>
      </c>
      <c r="K478" s="36">
        <v>0.2438024325027619</v>
      </c>
      <c r="L478" s="36">
        <v>2.1861369441035127E-2</v>
      </c>
      <c r="M478" s="36">
        <v>8.4462129015751453E-2</v>
      </c>
      <c r="N478" s="36">
        <v>0.25883043318690407</v>
      </c>
    </row>
    <row r="479" spans="2:14" ht="15" customHeight="1" x14ac:dyDescent="0.25">
      <c r="B479" s="42" t="s">
        <v>967</v>
      </c>
      <c r="C479" s="43" t="s">
        <v>968</v>
      </c>
      <c r="E479" s="34" t="s">
        <v>968</v>
      </c>
      <c r="F479" s="33">
        <v>37653</v>
      </c>
      <c r="G479" s="33">
        <v>41306</v>
      </c>
      <c r="H479" s="38">
        <v>41275</v>
      </c>
      <c r="I479" s="38">
        <v>41609</v>
      </c>
      <c r="J479" s="36">
        <v>0.10860909504669292</v>
      </c>
      <c r="K479" s="36">
        <v>8.114500777375433E-2</v>
      </c>
      <c r="L479" s="36">
        <v>9.5663832315768006E-3</v>
      </c>
      <c r="M479" s="36">
        <v>4.1889775733760244E-2</v>
      </c>
      <c r="N479" s="36">
        <v>0.2283703615979725</v>
      </c>
    </row>
    <row r="480" spans="2:14" ht="15" customHeight="1" x14ac:dyDescent="0.25">
      <c r="B480" s="42" t="s">
        <v>969</v>
      </c>
      <c r="C480" s="43" t="s">
        <v>970</v>
      </c>
      <c r="E480" s="34" t="s">
        <v>970</v>
      </c>
      <c r="F480" s="33">
        <v>37653</v>
      </c>
      <c r="G480" s="33">
        <v>41306</v>
      </c>
      <c r="H480" s="38">
        <v>41426</v>
      </c>
      <c r="I480" s="38">
        <v>41365</v>
      </c>
      <c r="J480" s="36">
        <v>8.3166326916653155E-2</v>
      </c>
      <c r="K480" s="36">
        <v>4.9480333904143636E-2</v>
      </c>
      <c r="L480" s="36">
        <v>8.9099608387147415E-3</v>
      </c>
      <c r="M480" s="36">
        <v>6.6649112531749918E-2</v>
      </c>
      <c r="N480" s="36">
        <v>0.13368461334680587</v>
      </c>
    </row>
    <row r="481" spans="2:14" ht="15" customHeight="1" x14ac:dyDescent="0.25">
      <c r="B481" s="42" t="s">
        <v>971</v>
      </c>
      <c r="C481" s="43" t="s">
        <v>972</v>
      </c>
      <c r="E481" s="34" t="s">
        <v>972</v>
      </c>
      <c r="F481" s="33">
        <v>37653</v>
      </c>
      <c r="G481" s="33">
        <v>41306</v>
      </c>
      <c r="H481" s="38">
        <v>41334</v>
      </c>
      <c r="I481" s="38">
        <v>41306</v>
      </c>
      <c r="J481" s="36">
        <v>0.15263046339713382</v>
      </c>
      <c r="K481" s="36">
        <v>0.14788543435518209</v>
      </c>
      <c r="L481" s="36">
        <v>1.5260563369002816E-2</v>
      </c>
      <c r="M481" s="36">
        <v>8.0225924629195602E-2</v>
      </c>
      <c r="N481" s="36">
        <v>0.19021985024837262</v>
      </c>
    </row>
    <row r="482" spans="2:14" ht="15" customHeight="1" x14ac:dyDescent="0.25">
      <c r="B482" s="42" t="s">
        <v>973</v>
      </c>
      <c r="C482" s="43" t="s">
        <v>974</v>
      </c>
      <c r="E482" s="34" t="s">
        <v>974</v>
      </c>
      <c r="F482" s="33">
        <v>37653</v>
      </c>
      <c r="G482" s="33">
        <v>41306</v>
      </c>
      <c r="H482" s="38">
        <v>41548</v>
      </c>
      <c r="I482" s="38">
        <v>41395</v>
      </c>
      <c r="J482" s="36">
        <v>0.24177318786555912</v>
      </c>
      <c r="K482" s="36">
        <v>0.19094784508846963</v>
      </c>
      <c r="L482" s="36">
        <v>2.3403566339910354E-2</v>
      </c>
      <c r="M482" s="36">
        <v>0.10264365110987791</v>
      </c>
      <c r="N482" s="36">
        <v>0.22800792924695673</v>
      </c>
    </row>
    <row r="483" spans="2:14" ht="15" customHeight="1" x14ac:dyDescent="0.25">
      <c r="B483" s="42" t="s">
        <v>975</v>
      </c>
      <c r="C483" s="43" t="s">
        <v>976</v>
      </c>
      <c r="E483" s="34" t="s">
        <v>976</v>
      </c>
      <c r="F483" s="33">
        <v>37653</v>
      </c>
      <c r="G483" s="33">
        <v>41306</v>
      </c>
      <c r="H483" s="38">
        <v>41334</v>
      </c>
      <c r="I483" s="38">
        <v>41275</v>
      </c>
      <c r="J483" s="36">
        <v>0.14691778224562158</v>
      </c>
      <c r="K483" s="36">
        <v>0.16203774153809469</v>
      </c>
      <c r="L483" s="36">
        <v>1.2146268655924504E-2</v>
      </c>
      <c r="M483" s="36">
        <v>3.3647367078954937E-2</v>
      </c>
      <c r="N483" s="36">
        <v>0.36098719485012848</v>
      </c>
    </row>
    <row r="484" spans="2:14" ht="15" customHeight="1" x14ac:dyDescent="0.25">
      <c r="B484" s="42" t="s">
        <v>977</v>
      </c>
      <c r="C484" s="43" t="s">
        <v>978</v>
      </c>
      <c r="E484" s="34" t="s">
        <v>978</v>
      </c>
      <c r="F484" s="33">
        <v>37653</v>
      </c>
      <c r="G484" s="33">
        <v>41306</v>
      </c>
      <c r="H484" s="38">
        <v>41306</v>
      </c>
      <c r="I484" s="38">
        <v>41609</v>
      </c>
      <c r="J484" s="36">
        <v>0.120314377922216</v>
      </c>
      <c r="K484" s="36">
        <v>7.3454637366801023E-2</v>
      </c>
      <c r="L484" s="36">
        <v>1.2107170715487269E-2</v>
      </c>
      <c r="M484" s="36">
        <v>7.4256907523849752E-2</v>
      </c>
      <c r="N484" s="36">
        <v>0.16304437013618836</v>
      </c>
    </row>
    <row r="485" spans="2:14" ht="15" customHeight="1" x14ac:dyDescent="0.25">
      <c r="B485" s="42" t="s">
        <v>979</v>
      </c>
      <c r="C485" s="43" t="s">
        <v>980</v>
      </c>
      <c r="E485" s="34" t="s">
        <v>980</v>
      </c>
      <c r="F485" s="33"/>
      <c r="G485" s="33"/>
      <c r="H485" s="38"/>
      <c r="I485" s="38"/>
      <c r="J485" s="36"/>
      <c r="K485" s="36"/>
      <c r="L485" s="36"/>
      <c r="M485" s="36"/>
      <c r="N485" s="36"/>
    </row>
    <row r="486" spans="2:14" ht="15" customHeight="1" x14ac:dyDescent="0.25">
      <c r="B486" s="42" t="s">
        <v>981</v>
      </c>
      <c r="C486" s="43" t="s">
        <v>982</v>
      </c>
      <c r="E486" s="34" t="s">
        <v>982</v>
      </c>
      <c r="F486" s="33">
        <v>37653</v>
      </c>
      <c r="G486" s="33">
        <v>41306</v>
      </c>
      <c r="H486" s="38">
        <v>41579</v>
      </c>
      <c r="I486" s="38">
        <v>41334</v>
      </c>
      <c r="J486" s="36">
        <v>0.16964808471311899</v>
      </c>
      <c r="K486" s="36">
        <v>-7.3168993269411731E-2</v>
      </c>
      <c r="L486" s="36">
        <v>1.6032931618114477E-2</v>
      </c>
      <c r="M486" s="36">
        <v>7.8223431113320502E-2</v>
      </c>
      <c r="N486" s="36">
        <v>0.20496328772497763</v>
      </c>
    </row>
    <row r="487" spans="2:14" ht="15" customHeight="1" x14ac:dyDescent="0.25">
      <c r="B487" s="42" t="s">
        <v>983</v>
      </c>
      <c r="C487" s="43" t="s">
        <v>984</v>
      </c>
      <c r="E487" s="34" t="s">
        <v>984</v>
      </c>
      <c r="F487" s="33">
        <v>37653</v>
      </c>
      <c r="G487" s="33">
        <v>41306</v>
      </c>
      <c r="H487" s="38">
        <v>41548</v>
      </c>
      <c r="I487" s="38">
        <v>41395</v>
      </c>
      <c r="J487" s="36">
        <v>0.13908863669691085</v>
      </c>
      <c r="K487" s="36">
        <v>0.11278317705594976</v>
      </c>
      <c r="L487" s="36">
        <v>1.5153160276432048E-2</v>
      </c>
      <c r="M487" s="36">
        <v>9.5389825354859931E-2</v>
      </c>
      <c r="N487" s="36">
        <v>0.1588551003218712</v>
      </c>
    </row>
    <row r="488" spans="2:14" ht="15" customHeight="1" x14ac:dyDescent="0.25">
      <c r="B488" s="42" t="s">
        <v>985</v>
      </c>
      <c r="C488" s="43" t="s">
        <v>986</v>
      </c>
      <c r="E488" s="34" t="s">
        <v>986</v>
      </c>
      <c r="F488" s="33">
        <v>38384</v>
      </c>
      <c r="G488" s="33">
        <v>41306</v>
      </c>
      <c r="H488" s="38">
        <v>41579</v>
      </c>
      <c r="I488" s="38">
        <v>41518</v>
      </c>
      <c r="J488" s="36">
        <v>0.10694324894224505</v>
      </c>
      <c r="K488" s="36">
        <v>3.1951475392798745E-2</v>
      </c>
      <c r="L488" s="36">
        <v>1.0213584462646015E-2</v>
      </c>
      <c r="M488" s="36">
        <v>5.7395168628351569E-2</v>
      </c>
      <c r="N488" s="36">
        <v>0.17795198980565058</v>
      </c>
    </row>
    <row r="489" spans="2:14" ht="15" customHeight="1" x14ac:dyDescent="0.25">
      <c r="B489" s="42" t="s">
        <v>987</v>
      </c>
      <c r="C489" s="43" t="s">
        <v>988</v>
      </c>
      <c r="E489" s="34" t="s">
        <v>988</v>
      </c>
      <c r="F489" s="33">
        <v>37653</v>
      </c>
      <c r="G489" s="33">
        <v>41306</v>
      </c>
      <c r="H489" s="38">
        <v>41548</v>
      </c>
      <c r="I489" s="38">
        <v>41275</v>
      </c>
      <c r="J489" s="36">
        <v>0.11930296840839039</v>
      </c>
      <c r="K489" s="36">
        <v>8.452992656220526E-2</v>
      </c>
      <c r="L489" s="36">
        <v>1.0395502251911805E-2</v>
      </c>
      <c r="M489" s="36">
        <v>4.352199451780335E-2</v>
      </c>
      <c r="N489" s="36">
        <v>0.2388562924812502</v>
      </c>
    </row>
    <row r="490" spans="2:14" ht="15" customHeight="1" x14ac:dyDescent="0.25">
      <c r="B490" s="42" t="s">
        <v>989</v>
      </c>
      <c r="C490" s="43" t="s">
        <v>990</v>
      </c>
      <c r="E490" s="34" t="s">
        <v>990</v>
      </c>
      <c r="F490" s="33">
        <v>37653</v>
      </c>
      <c r="G490" s="33">
        <v>41306</v>
      </c>
      <c r="H490" s="38">
        <v>41456</v>
      </c>
      <c r="I490" s="38">
        <v>41395</v>
      </c>
      <c r="J490" s="36">
        <v>0.10472563236780652</v>
      </c>
      <c r="K490" s="36">
        <v>9.3349560726071479E-2</v>
      </c>
      <c r="L490" s="36">
        <v>9.3681636751145238E-3</v>
      </c>
      <c r="M490" s="36">
        <v>4.4071231138975334E-2</v>
      </c>
      <c r="N490" s="36">
        <v>0.21256868558023079</v>
      </c>
    </row>
    <row r="491" spans="2:14" ht="15" customHeight="1" x14ac:dyDescent="0.25">
      <c r="B491" s="42" t="s">
        <v>991</v>
      </c>
      <c r="C491" s="43" t="s">
        <v>992</v>
      </c>
      <c r="E491" s="34" t="s">
        <v>992</v>
      </c>
      <c r="F491" s="33">
        <v>37653</v>
      </c>
      <c r="G491" s="33">
        <v>41306</v>
      </c>
      <c r="H491" s="38">
        <v>41334</v>
      </c>
      <c r="I491" s="38">
        <v>41306</v>
      </c>
      <c r="J491" s="36">
        <v>0.25557481320484432</v>
      </c>
      <c r="K491" s="36">
        <v>0.2971855989093386</v>
      </c>
      <c r="L491" s="36">
        <v>2.4738518725695133E-2</v>
      </c>
      <c r="M491" s="36">
        <v>0.10767720080556827</v>
      </c>
      <c r="N491" s="36">
        <v>0.22974704524837389</v>
      </c>
    </row>
    <row r="492" spans="2:14" ht="15" customHeight="1" x14ac:dyDescent="0.25">
      <c r="B492" s="42" t="s">
        <v>993</v>
      </c>
      <c r="C492" s="43" t="s">
        <v>994</v>
      </c>
      <c r="E492" s="34" t="s">
        <v>994</v>
      </c>
      <c r="F492" s="33">
        <v>37653</v>
      </c>
      <c r="G492" s="33">
        <v>41306</v>
      </c>
      <c r="H492" s="38">
        <v>41426</v>
      </c>
      <c r="I492" s="38">
        <v>41395</v>
      </c>
      <c r="J492" s="36">
        <v>5.7482029245911281E-2</v>
      </c>
      <c r="K492" s="36">
        <v>5.6886042319848062E-2</v>
      </c>
      <c r="L492" s="36">
        <v>5.6734060975580057E-3</v>
      </c>
      <c r="M492" s="36">
        <v>4.3968322229668566E-2</v>
      </c>
      <c r="N492" s="36">
        <v>0.12903394557388304</v>
      </c>
    </row>
    <row r="493" spans="2:14" ht="15" customHeight="1" x14ac:dyDescent="0.25">
      <c r="B493" s="42" t="s">
        <v>995</v>
      </c>
      <c r="C493" s="43" t="s">
        <v>996</v>
      </c>
      <c r="E493" s="34" t="s">
        <v>996</v>
      </c>
      <c r="F493" s="33">
        <v>37653</v>
      </c>
      <c r="G493" s="33">
        <v>41275</v>
      </c>
      <c r="H493" s="38">
        <v>41426</v>
      </c>
      <c r="I493" s="38">
        <v>41365</v>
      </c>
      <c r="J493" s="36">
        <v>0.11526535185880449</v>
      </c>
      <c r="K493" s="36">
        <v>0.10732547248647473</v>
      </c>
      <c r="L493" s="36">
        <v>1.078294548234086E-2</v>
      </c>
      <c r="M493" s="36">
        <v>5.6639020695372889E-2</v>
      </c>
      <c r="N493" s="36">
        <v>0.19038015399905689</v>
      </c>
    </row>
    <row r="494" spans="2:14" ht="15" customHeight="1" x14ac:dyDescent="0.25">
      <c r="B494" s="42" t="s">
        <v>997</v>
      </c>
      <c r="C494" s="43" t="s">
        <v>998</v>
      </c>
      <c r="E494" s="34" t="s">
        <v>998</v>
      </c>
      <c r="F494" s="33">
        <v>37653</v>
      </c>
      <c r="G494" s="33">
        <v>41306</v>
      </c>
      <c r="H494" s="38">
        <v>41579</v>
      </c>
      <c r="I494" s="38">
        <v>41365</v>
      </c>
      <c r="J494" s="36">
        <v>5.1425789142203637E-2</v>
      </c>
      <c r="K494" s="36">
        <v>-4.1805041670437859E-2</v>
      </c>
      <c r="L494" s="36">
        <v>4.7724803545522391E-3</v>
      </c>
      <c r="M494" s="36">
        <v>3.403954147112654E-2</v>
      </c>
      <c r="N494" s="36">
        <v>0.14020401416395148</v>
      </c>
    </row>
    <row r="495" spans="2:14" ht="15" customHeight="1" x14ac:dyDescent="0.25">
      <c r="B495" s="42" t="s">
        <v>999</v>
      </c>
      <c r="C495" s="43" t="s">
        <v>1000</v>
      </c>
      <c r="E495" s="34" t="s">
        <v>1000</v>
      </c>
      <c r="F495" s="33">
        <v>38991</v>
      </c>
      <c r="G495" s="33">
        <v>41306</v>
      </c>
      <c r="H495" s="38">
        <v>41306</v>
      </c>
      <c r="I495" s="38">
        <v>41365</v>
      </c>
      <c r="J495" s="36">
        <v>0.10684758170929021</v>
      </c>
      <c r="K495" s="36">
        <v>-5.4764260542708665E-2</v>
      </c>
      <c r="L495" s="36">
        <v>9.4323809714189511E-3</v>
      </c>
      <c r="M495" s="36">
        <v>4.381473088409641E-2</v>
      </c>
      <c r="N495" s="36">
        <v>0.2152787608434828</v>
      </c>
    </row>
    <row r="496" spans="2:14" ht="15" customHeight="1" x14ac:dyDescent="0.25">
      <c r="B496" s="42" t="s">
        <v>1001</v>
      </c>
      <c r="C496" s="43" t="s">
        <v>1002</v>
      </c>
      <c r="E496" s="34" t="s">
        <v>1002</v>
      </c>
      <c r="F496" s="33">
        <v>37653</v>
      </c>
      <c r="G496" s="33">
        <v>41306</v>
      </c>
      <c r="H496" s="38">
        <v>41426</v>
      </c>
      <c r="I496" s="38">
        <v>41365</v>
      </c>
      <c r="J496" s="36">
        <v>0.15644707479717823</v>
      </c>
      <c r="K496" s="36">
        <v>8.0741504172891831E-2</v>
      </c>
      <c r="L496" s="36">
        <v>1.5718759429487635E-2</v>
      </c>
      <c r="M496" s="36">
        <v>8.1513664340481531E-2</v>
      </c>
      <c r="N496" s="36">
        <v>0.19283588287517758</v>
      </c>
    </row>
    <row r="497" spans="2:14" ht="15" customHeight="1" x14ac:dyDescent="0.25">
      <c r="B497" s="42" t="s">
        <v>1003</v>
      </c>
      <c r="C497" s="43" t="s">
        <v>1004</v>
      </c>
      <c r="E497" s="34" t="s">
        <v>1004</v>
      </c>
      <c r="F497" s="33">
        <v>38899</v>
      </c>
      <c r="G497" s="33">
        <v>41306</v>
      </c>
      <c r="H497" s="38">
        <v>41579</v>
      </c>
      <c r="I497" s="38">
        <v>41365</v>
      </c>
      <c r="J497" s="36">
        <v>0.29835918189753108</v>
      </c>
      <c r="K497" s="36">
        <v>9.7228277657624096E-2</v>
      </c>
      <c r="L497" s="36">
        <v>3.4844940847410903E-2</v>
      </c>
      <c r="M497" s="36">
        <v>0.21215848642245197</v>
      </c>
      <c r="N497" s="36">
        <v>0.16424014629340505</v>
      </c>
    </row>
    <row r="498" spans="2:14" ht="15" customHeight="1" x14ac:dyDescent="0.25">
      <c r="B498" s="42" t="s">
        <v>1005</v>
      </c>
      <c r="C498" s="43" t="s">
        <v>1006</v>
      </c>
      <c r="E498" s="34" t="s">
        <v>1006</v>
      </c>
      <c r="F498" s="33">
        <v>37653</v>
      </c>
      <c r="G498" s="33">
        <v>41306</v>
      </c>
      <c r="H498" s="38">
        <v>41426</v>
      </c>
      <c r="I498" s="38">
        <v>41365</v>
      </c>
      <c r="J498" s="36">
        <v>0.40754841099651173</v>
      </c>
      <c r="K498" s="36">
        <v>0.29088641306251106</v>
      </c>
      <c r="L498" s="36">
        <v>4.0170886923705865E-2</v>
      </c>
      <c r="M498" s="36">
        <v>0.15716524027785453</v>
      </c>
      <c r="N498" s="36">
        <v>0.2555965100978258</v>
      </c>
    </row>
    <row r="499" spans="2:14" ht="15" customHeight="1" x14ac:dyDescent="0.25">
      <c r="B499" s="42" t="s">
        <v>1007</v>
      </c>
      <c r="C499" s="43" t="s">
        <v>1008</v>
      </c>
      <c r="E499" s="34" t="s">
        <v>1008</v>
      </c>
      <c r="F499" s="33">
        <v>37653</v>
      </c>
      <c r="G499" s="33">
        <v>41306</v>
      </c>
      <c r="H499" s="38">
        <v>41548</v>
      </c>
      <c r="I499" s="38">
        <v>41334</v>
      </c>
      <c r="J499" s="36">
        <v>0.26979115561223677</v>
      </c>
      <c r="K499" s="36">
        <v>7.6388716163586556E-2</v>
      </c>
      <c r="L499" s="36">
        <v>2.5475736268966629E-2</v>
      </c>
      <c r="M499" s="36">
        <v>0.10509045760384611</v>
      </c>
      <c r="N499" s="36">
        <v>0.24241721703221764</v>
      </c>
    </row>
    <row r="500" spans="2:14" ht="15" customHeight="1" x14ac:dyDescent="0.25">
      <c r="B500" s="42" t="s">
        <v>1009</v>
      </c>
      <c r="C500" s="43" t="s">
        <v>1010</v>
      </c>
      <c r="E500" s="34" t="s">
        <v>1010</v>
      </c>
      <c r="F500" s="33">
        <v>37653</v>
      </c>
      <c r="G500" s="33">
        <v>41306</v>
      </c>
      <c r="H500" s="38">
        <v>41334</v>
      </c>
      <c r="I500" s="38">
        <v>41609</v>
      </c>
      <c r="J500" s="36">
        <v>0.12514562970734611</v>
      </c>
      <c r="K500" s="36">
        <v>0.14581068743422954</v>
      </c>
      <c r="L500" s="36">
        <v>1.0625874044642778E-2</v>
      </c>
      <c r="M500" s="36">
        <v>3.6617394418989216E-2</v>
      </c>
      <c r="N500" s="36">
        <v>0.29018651417568814</v>
      </c>
    </row>
    <row r="501" spans="2:14" ht="15" customHeight="1" x14ac:dyDescent="0.25">
      <c r="B501" s="42" t="s">
        <v>1011</v>
      </c>
      <c r="C501" s="43" t="s">
        <v>1012</v>
      </c>
      <c r="E501" s="34" t="s">
        <v>1012</v>
      </c>
      <c r="F501" s="33">
        <v>37653</v>
      </c>
      <c r="G501" s="33">
        <v>41306</v>
      </c>
      <c r="H501" s="38">
        <v>41275</v>
      </c>
      <c r="I501" s="38">
        <v>41518</v>
      </c>
      <c r="J501" s="36">
        <v>0.13730449483500329</v>
      </c>
      <c r="K501" s="36">
        <v>-6.018744969310641E-2</v>
      </c>
      <c r="L501" s="36">
        <v>1.660678489161398E-2</v>
      </c>
      <c r="M501" s="36">
        <v>0.11673516261355983</v>
      </c>
      <c r="N501" s="36">
        <v>0.14226034829444742</v>
      </c>
    </row>
    <row r="502" spans="2:14" ht="15" customHeight="1" x14ac:dyDescent="0.25">
      <c r="B502" s="42" t="s">
        <v>1013</v>
      </c>
      <c r="C502" s="43" t="s">
        <v>1014</v>
      </c>
      <c r="E502" s="34" t="s">
        <v>1014</v>
      </c>
      <c r="F502" s="33">
        <v>37653</v>
      </c>
      <c r="G502" s="33">
        <v>41306</v>
      </c>
      <c r="H502" s="38">
        <v>41518</v>
      </c>
      <c r="I502" s="38">
        <v>41395</v>
      </c>
      <c r="J502" s="36">
        <v>0.1160919300399228</v>
      </c>
      <c r="K502" s="36">
        <v>6.721530318334179E-2</v>
      </c>
      <c r="L502" s="36">
        <v>1.1292767090148721E-2</v>
      </c>
      <c r="M502" s="36">
        <v>6.3825143300947906E-2</v>
      </c>
      <c r="N502" s="36">
        <v>0.17693289048958555</v>
      </c>
    </row>
    <row r="503" spans="2:14" ht="15" customHeight="1" x14ac:dyDescent="0.25">
      <c r="B503" s="42" t="s">
        <v>1015</v>
      </c>
      <c r="C503" s="43" t="s">
        <v>1016</v>
      </c>
      <c r="E503" s="34" t="s">
        <v>1016</v>
      </c>
      <c r="F503" s="33">
        <v>37653</v>
      </c>
      <c r="G503" s="33">
        <v>41306</v>
      </c>
      <c r="H503" s="38">
        <v>41395</v>
      </c>
      <c r="I503" s="38">
        <v>41365</v>
      </c>
      <c r="J503" s="36">
        <v>0.14000811669596125</v>
      </c>
      <c r="K503" s="36">
        <v>0.1254214078040099</v>
      </c>
      <c r="L503" s="36">
        <v>1.2237586454409139E-2</v>
      </c>
      <c r="M503" s="36">
        <v>4.8966219934071721E-2</v>
      </c>
      <c r="N503" s="36">
        <v>0.24991895373761472</v>
      </c>
    </row>
    <row r="504" spans="2:14" ht="15" customHeight="1" x14ac:dyDescent="0.25">
      <c r="B504" s="42" t="s">
        <v>1017</v>
      </c>
      <c r="C504" s="43" t="s">
        <v>1018</v>
      </c>
      <c r="E504" s="34" t="s">
        <v>1018</v>
      </c>
      <c r="F504" s="33">
        <v>37653</v>
      </c>
      <c r="G504" s="33">
        <v>41306</v>
      </c>
      <c r="H504" s="38">
        <v>41395</v>
      </c>
      <c r="I504" s="38">
        <v>41365</v>
      </c>
      <c r="J504" s="36">
        <v>8.7517204436263096E-2</v>
      </c>
      <c r="K504" s="36">
        <v>9.7969243694488561E-2</v>
      </c>
      <c r="L504" s="36">
        <v>8.7430224749202399E-3</v>
      </c>
      <c r="M504" s="36">
        <v>5.7642594670610683E-2</v>
      </c>
      <c r="N504" s="36">
        <v>0.15167642131449552</v>
      </c>
    </row>
    <row r="505" spans="2:14" ht="15" customHeight="1" x14ac:dyDescent="0.25">
      <c r="B505" s="42" t="s">
        <v>1019</v>
      </c>
      <c r="C505" s="43" t="s">
        <v>1020</v>
      </c>
      <c r="E505" s="34" t="s">
        <v>1020</v>
      </c>
      <c r="F505" s="33">
        <v>37653</v>
      </c>
      <c r="G505" s="33">
        <v>41306</v>
      </c>
      <c r="H505" s="38">
        <v>41548</v>
      </c>
      <c r="I505" s="38">
        <v>41609</v>
      </c>
      <c r="J505" s="36">
        <v>5.8057867856740497E-2</v>
      </c>
      <c r="K505" s="36">
        <v>-1.3500797235456163E-3</v>
      </c>
      <c r="L505" s="36">
        <v>5.2080202397035685E-3</v>
      </c>
      <c r="M505" s="36">
        <v>3.0886878151954636E-2</v>
      </c>
      <c r="N505" s="36">
        <v>0.16861594797899593</v>
      </c>
    </row>
    <row r="506" spans="2:14" ht="15" customHeight="1" x14ac:dyDescent="0.25">
      <c r="B506" s="42" t="s">
        <v>1021</v>
      </c>
      <c r="C506" s="43" t="s">
        <v>1022</v>
      </c>
      <c r="E506" s="34" t="s">
        <v>1022</v>
      </c>
      <c r="F506" s="33">
        <v>37653</v>
      </c>
      <c r="G506" s="33">
        <v>41306</v>
      </c>
      <c r="H506" s="38">
        <v>41487</v>
      </c>
      <c r="I506" s="38">
        <v>41395</v>
      </c>
      <c r="J506" s="36">
        <v>0.15717617099644965</v>
      </c>
      <c r="K506" s="36">
        <v>6.5420189117072258E-2</v>
      </c>
      <c r="L506" s="36">
        <v>1.6020670861675985E-2</v>
      </c>
      <c r="M506" s="36">
        <v>8.8030340431171639E-2</v>
      </c>
      <c r="N506" s="36">
        <v>0.18199033177887208</v>
      </c>
    </row>
    <row r="507" spans="2:14" ht="15" customHeight="1" x14ac:dyDescent="0.25">
      <c r="B507" s="42" t="s">
        <v>1023</v>
      </c>
      <c r="C507" s="43" t="s">
        <v>1024</v>
      </c>
      <c r="E507" s="34" t="s">
        <v>1024</v>
      </c>
      <c r="F507" s="33">
        <v>37653</v>
      </c>
      <c r="G507" s="33">
        <v>41306</v>
      </c>
      <c r="H507" s="38">
        <v>41426</v>
      </c>
      <c r="I507" s="38">
        <v>41395</v>
      </c>
      <c r="J507" s="36">
        <v>0.21597895604461614</v>
      </c>
      <c r="K507" s="36">
        <v>0.20272920172188003</v>
      </c>
      <c r="L507" s="36">
        <v>1.8327374828007011E-2</v>
      </c>
      <c r="M507" s="36">
        <v>6.0271467254597512E-2</v>
      </c>
      <c r="N507" s="36">
        <v>0.30408044905541931</v>
      </c>
    </row>
    <row r="508" spans="2:14" ht="15" customHeight="1" x14ac:dyDescent="0.25">
      <c r="B508" s="42" t="s">
        <v>1025</v>
      </c>
      <c r="C508" s="43" t="s">
        <v>1026</v>
      </c>
      <c r="E508" s="34" t="s">
        <v>1026</v>
      </c>
      <c r="F508" s="33">
        <v>37653</v>
      </c>
      <c r="G508" s="33">
        <v>41306</v>
      </c>
      <c r="H508" s="38">
        <v>41306</v>
      </c>
      <c r="I508" s="38">
        <v>41365</v>
      </c>
      <c r="J508" s="36">
        <v>6.8667983124868437E-2</v>
      </c>
      <c r="K508" s="36">
        <v>-4.1408388629373682E-2</v>
      </c>
      <c r="L508" s="36">
        <v>6.2169675760700392E-3</v>
      </c>
      <c r="M508" s="36">
        <v>3.7711840027346608E-2</v>
      </c>
      <c r="N508" s="36">
        <v>0.16485452769108661</v>
      </c>
    </row>
    <row r="509" spans="2:14" ht="15" customHeight="1" x14ac:dyDescent="0.25">
      <c r="B509" s="42" t="s">
        <v>1027</v>
      </c>
      <c r="C509" s="43" t="s">
        <v>1028</v>
      </c>
      <c r="E509" s="34" t="s">
        <v>1028</v>
      </c>
      <c r="F509" s="33">
        <v>37653</v>
      </c>
      <c r="G509" s="33">
        <v>41306</v>
      </c>
      <c r="H509" s="38">
        <v>41579</v>
      </c>
      <c r="I509" s="38">
        <v>41365</v>
      </c>
      <c r="J509" s="36">
        <v>0.14339480311527764</v>
      </c>
      <c r="K509" s="36">
        <v>5.2397289702528882E-2</v>
      </c>
      <c r="L509" s="36">
        <v>1.2199711164751794E-2</v>
      </c>
      <c r="M509" s="36">
        <v>4.297777454731843E-2</v>
      </c>
      <c r="N509" s="36">
        <v>0.28386093261576262</v>
      </c>
    </row>
  </sheetData>
  <dataValidations count="2">
    <dataValidation type="list" allowBlank="1" showErrorMessage="1" sqref="C4:C5">
      <formula1>"0,1,2,3,4,5,6,7,8,9,10,11,12"</formula1>
    </dataValidation>
    <dataValidation type="list" allowBlank="1" showInputMessage="1" showErrorMessage="1" sqref="C7">
      <formula1>"0,1"</formula1>
    </dataValidation>
  </dataValidation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0000"/>
  </sheetPr>
  <dimension ref="B1:AA236"/>
  <sheetViews>
    <sheetView showGridLines="0" workbookViewId="0">
      <selection activeCell="C11" sqref="C11"/>
    </sheetView>
  </sheetViews>
  <sheetFormatPr defaultColWidth="15.7109375" defaultRowHeight="15" customHeight="1" x14ac:dyDescent="0.2"/>
  <cols>
    <col min="1" max="1" width="3.7109375" style="2" customWidth="1"/>
    <col min="2" max="2" width="48" style="2" bestFit="1" customWidth="1"/>
    <col min="3" max="3" width="18.42578125" style="2" bestFit="1" customWidth="1"/>
    <col min="4" max="4" width="3.7109375" style="2" customWidth="1"/>
    <col min="5" max="22" width="15.7109375" style="3" customWidth="1"/>
    <col min="23" max="26" width="15.7109375" style="2"/>
    <col min="27" max="27" width="16" style="2" bestFit="1" customWidth="1"/>
    <col min="28" max="16384" width="15.7109375" style="2"/>
  </cols>
  <sheetData>
    <row r="1" spans="2:27" ht="15" customHeight="1" x14ac:dyDescent="0.2">
      <c r="E1" s="29"/>
    </row>
    <row r="2" spans="2:27" ht="29.25" x14ac:dyDescent="0.2">
      <c r="B2" s="1" t="s">
        <v>16</v>
      </c>
    </row>
    <row r="3" spans="2:27" ht="15" customHeight="1" x14ac:dyDescent="0.2">
      <c r="E3" s="2"/>
      <c r="F3" s="2"/>
      <c r="G3" s="2"/>
      <c r="H3" s="2"/>
      <c r="I3" s="2"/>
      <c r="J3" s="31"/>
      <c r="K3" s="31"/>
      <c r="L3" s="31"/>
      <c r="M3" s="31"/>
      <c r="N3" s="31"/>
      <c r="O3" s="2"/>
      <c r="P3" s="2"/>
      <c r="Q3" s="2"/>
      <c r="R3" s="2"/>
      <c r="S3" s="2"/>
      <c r="T3" s="2"/>
      <c r="U3" s="2"/>
      <c r="V3" s="2"/>
    </row>
    <row r="4" spans="2:27" ht="15" customHeight="1" x14ac:dyDescent="0.25">
      <c r="B4" s="4" t="s">
        <v>0</v>
      </c>
      <c r="C4" s="5" t="s">
        <v>642</v>
      </c>
      <c r="D4" s="6"/>
      <c r="E4" s="7" t="s">
        <v>1</v>
      </c>
      <c r="F4" s="8" t="s">
        <v>2</v>
      </c>
      <c r="G4" s="8" t="s">
        <v>3</v>
      </c>
      <c r="H4" s="8" t="s">
        <v>4</v>
      </c>
      <c r="I4" s="8" t="s">
        <v>5</v>
      </c>
      <c r="J4" s="8" t="s">
        <v>6</v>
      </c>
      <c r="K4" s="8" t="s">
        <v>28</v>
      </c>
      <c r="L4" s="9" t="s">
        <v>29</v>
      </c>
      <c r="M4" s="22" t="s">
        <v>13</v>
      </c>
      <c r="N4" s="8" t="s">
        <v>14</v>
      </c>
      <c r="O4" s="8" t="s">
        <v>15</v>
      </c>
      <c r="P4" s="8" t="s">
        <v>1029</v>
      </c>
      <c r="Q4" s="8" t="s">
        <v>1030</v>
      </c>
      <c r="R4"/>
      <c r="S4"/>
      <c r="T4" s="20"/>
      <c r="U4"/>
      <c r="V4" s="10"/>
      <c r="W4" s="10"/>
      <c r="X4" s="10"/>
      <c r="Y4" s="10"/>
    </row>
    <row r="5" spans="2:27" ht="15" customHeight="1" x14ac:dyDescent="0.25">
      <c r="B5" s="4" t="s">
        <v>7</v>
      </c>
      <c r="C5" s="11">
        <f ca="1">DATE(YEAR(C6)-10,MONTH(C6),1)</f>
        <v>37653</v>
      </c>
      <c r="D5" s="6"/>
      <c r="E5" s="12">
        <v>37653</v>
      </c>
      <c r="F5" s="13">
        <v>36.18007172995781</v>
      </c>
      <c r="G5" s="13">
        <v>37.063248945147677</v>
      </c>
      <c r="H5" s="13">
        <v>17.588059071729958</v>
      </c>
      <c r="I5" s="13">
        <v>17.89</v>
      </c>
      <c r="J5" s="13">
        <v>73871.3</v>
      </c>
      <c r="K5" s="13">
        <v>17.89</v>
      </c>
      <c r="L5" s="14">
        <v>-0.50552889630711451</v>
      </c>
      <c r="M5" s="23">
        <v>2</v>
      </c>
      <c r="N5" s="13">
        <v>0</v>
      </c>
      <c r="O5" s="13">
        <v>5000</v>
      </c>
      <c r="P5" s="13">
        <v>5000</v>
      </c>
      <c r="Q5" s="13">
        <v>5000</v>
      </c>
      <c r="R5"/>
      <c r="S5"/>
      <c r="T5" s="20"/>
      <c r="U5"/>
      <c r="V5" s="10"/>
      <c r="W5" s="10"/>
      <c r="X5" s="10"/>
      <c r="Y5" s="10"/>
    </row>
    <row r="6" spans="2:27" ht="15" customHeight="1" x14ac:dyDescent="0.25">
      <c r="B6" s="4" t="s">
        <v>8</v>
      </c>
      <c r="C6" s="11">
        <f ca="1">DATE(YEAR(TODAY())-0,MONTH(TODAY())-0,1)</f>
        <v>41306</v>
      </c>
      <c r="D6" s="6"/>
      <c r="E6" s="12">
        <v>37681</v>
      </c>
      <c r="F6" s="13">
        <v>18.126617100371746</v>
      </c>
      <c r="G6" s="13">
        <v>20.224535315985133</v>
      </c>
      <c r="H6" s="13">
        <v>17.017286245353159</v>
      </c>
      <c r="I6" s="13">
        <v>18.27</v>
      </c>
      <c r="J6" s="13">
        <v>68727.899999999994</v>
      </c>
      <c r="K6" s="13">
        <v>18.27</v>
      </c>
      <c r="L6" s="14">
        <v>2.1240916713247623E-2</v>
      </c>
      <c r="M6" s="23">
        <v>3</v>
      </c>
      <c r="N6" s="13">
        <v>0</v>
      </c>
      <c r="O6" s="13">
        <v>5000</v>
      </c>
      <c r="P6" s="13">
        <v>5000</v>
      </c>
      <c r="Q6" s="13">
        <v>5106.2045835662375</v>
      </c>
      <c r="R6"/>
      <c r="S6"/>
      <c r="T6" s="20"/>
      <c r="U6"/>
      <c r="V6" s="10"/>
      <c r="W6" s="10"/>
      <c r="X6" s="10"/>
      <c r="Y6" s="10"/>
    </row>
    <row r="7" spans="2:27" ht="15" customHeight="1" x14ac:dyDescent="0.25">
      <c r="B7" s="4" t="s">
        <v>11</v>
      </c>
      <c r="C7" s="39">
        <v>9</v>
      </c>
      <c r="D7" s="6"/>
      <c r="E7" s="12">
        <v>37712</v>
      </c>
      <c r="F7" s="13">
        <v>18.462182244818145</v>
      </c>
      <c r="G7" s="13">
        <v>19.949120062573328</v>
      </c>
      <c r="H7" s="13">
        <v>18.077238951896753</v>
      </c>
      <c r="I7" s="13">
        <v>19.299999999999997</v>
      </c>
      <c r="J7" s="13">
        <v>62151.6</v>
      </c>
      <c r="K7" s="13">
        <v>19.3</v>
      </c>
      <c r="L7" s="14">
        <v>5.6376573617952931E-2</v>
      </c>
      <c r="M7" s="23">
        <v>4</v>
      </c>
      <c r="N7" s="13">
        <v>0</v>
      </c>
      <c r="O7" s="13">
        <v>5000</v>
      </c>
      <c r="P7" s="13">
        <v>5000</v>
      </c>
      <c r="Q7" s="13">
        <v>5394.0749021799875</v>
      </c>
      <c r="R7"/>
      <c r="S7"/>
      <c r="T7" s="20"/>
      <c r="U7"/>
      <c r="V7" s="10"/>
      <c r="W7" s="10"/>
      <c r="X7" s="10"/>
      <c r="Y7" s="10"/>
      <c r="AA7" s="15"/>
    </row>
    <row r="8" spans="2:27" ht="15" customHeight="1" x14ac:dyDescent="0.25">
      <c r="B8" s="4" t="s">
        <v>12</v>
      </c>
      <c r="C8" s="39">
        <v>6</v>
      </c>
      <c r="D8" s="6"/>
      <c r="E8" s="12">
        <v>37742</v>
      </c>
      <c r="F8" s="13">
        <v>19.271751320601382</v>
      </c>
      <c r="G8" s="13">
        <v>19.996139780577003</v>
      </c>
      <c r="H8" s="13">
        <v>18.026708655018286</v>
      </c>
      <c r="I8" s="13">
        <v>18.57</v>
      </c>
      <c r="J8" s="13">
        <v>66480.899999999994</v>
      </c>
      <c r="K8" s="13">
        <v>18.57</v>
      </c>
      <c r="L8" s="14">
        <v>-3.7823834196891191E-2</v>
      </c>
      <c r="M8" s="23">
        <v>5</v>
      </c>
      <c r="N8" s="13">
        <v>0</v>
      </c>
      <c r="O8" s="13">
        <v>5000</v>
      </c>
      <c r="P8" s="13">
        <v>5000</v>
      </c>
      <c r="Q8" s="13">
        <v>5190.0503074343205</v>
      </c>
      <c r="R8"/>
      <c r="S8"/>
      <c r="T8" s="20"/>
      <c r="U8"/>
      <c r="V8" s="10"/>
      <c r="W8" s="10"/>
      <c r="X8" s="10"/>
      <c r="Y8" s="10"/>
      <c r="AA8" s="16"/>
    </row>
    <row r="9" spans="2:27" ht="15" customHeight="1" x14ac:dyDescent="0.25">
      <c r="B9" s="4" t="s">
        <v>9</v>
      </c>
      <c r="C9" s="17">
        <v>5000</v>
      </c>
      <c r="D9" s="6"/>
      <c r="E9" s="12">
        <v>37773</v>
      </c>
      <c r="F9" s="13">
        <v>18.851911076443059</v>
      </c>
      <c r="G9" s="13">
        <v>20.006571762870518</v>
      </c>
      <c r="H9" s="13">
        <v>17.810452418096723</v>
      </c>
      <c r="I9" s="13">
        <v>19.350000000000001</v>
      </c>
      <c r="J9" s="13">
        <v>77050.899999999994</v>
      </c>
      <c r="K9" s="13">
        <v>19.350000000000001</v>
      </c>
      <c r="L9" s="14">
        <v>4.2003231017770599E-2</v>
      </c>
      <c r="M9" s="23">
        <v>6</v>
      </c>
      <c r="N9" s="13">
        <v>0</v>
      </c>
      <c r="O9" s="13">
        <v>5000</v>
      </c>
      <c r="P9" s="13">
        <v>5000</v>
      </c>
      <c r="Q9" s="13">
        <v>5408.0491894913357</v>
      </c>
      <c r="R9"/>
      <c r="S9"/>
      <c r="T9" s="20"/>
      <c r="U9"/>
      <c r="V9" s="10"/>
      <c r="W9" s="10"/>
      <c r="X9" s="10"/>
      <c r="Y9" s="10"/>
    </row>
    <row r="10" spans="2:27" ht="15" customHeight="1" x14ac:dyDescent="0.25">
      <c r="D10" s="6"/>
      <c r="E10" s="12">
        <v>37803</v>
      </c>
      <c r="F10" s="13">
        <v>19.311196516471036</v>
      </c>
      <c r="G10" s="13">
        <v>20.986493752366528</v>
      </c>
      <c r="H10" s="13">
        <v>19.160268837561528</v>
      </c>
      <c r="I10" s="13">
        <v>19.93</v>
      </c>
      <c r="J10" s="13">
        <v>61659.8</v>
      </c>
      <c r="K10" s="13">
        <v>19.93</v>
      </c>
      <c r="L10" s="14">
        <v>2.9974160206718347E-2</v>
      </c>
      <c r="M10" s="23">
        <v>7</v>
      </c>
      <c r="N10" s="13">
        <v>0</v>
      </c>
      <c r="O10" s="13">
        <v>5000</v>
      </c>
      <c r="P10" s="13">
        <v>5000</v>
      </c>
      <c r="Q10" s="13">
        <v>5570.1509223029625</v>
      </c>
      <c r="R10"/>
      <c r="S10"/>
      <c r="T10" s="20"/>
      <c r="U10"/>
      <c r="V10" s="10"/>
      <c r="W10" s="10"/>
      <c r="X10" s="10"/>
      <c r="Y10" s="10"/>
    </row>
    <row r="11" spans="2:27" ht="15" customHeight="1" x14ac:dyDescent="0.25">
      <c r="B11" s="19" t="s">
        <v>10</v>
      </c>
      <c r="C11" s="18" t="b">
        <v>0</v>
      </c>
      <c r="D11" s="6"/>
      <c r="E11" s="12">
        <v>37834</v>
      </c>
      <c r="F11" s="13">
        <v>19.876568627450983</v>
      </c>
      <c r="G11" s="13">
        <v>20.344607843137258</v>
      </c>
      <c r="H11" s="13">
        <v>19.1971568627451</v>
      </c>
      <c r="I11" s="13">
        <v>20.02</v>
      </c>
      <c r="J11" s="13">
        <v>47667.1</v>
      </c>
      <c r="K11" s="13">
        <v>20.02</v>
      </c>
      <c r="L11" s="14">
        <v>4.5158053186151528E-3</v>
      </c>
      <c r="M11" s="23">
        <v>8</v>
      </c>
      <c r="N11" s="13">
        <v>0</v>
      </c>
      <c r="O11" s="13">
        <v>5000</v>
      </c>
      <c r="P11" s="13">
        <v>5000</v>
      </c>
      <c r="Q11" s="13">
        <v>5595.3046394633866</v>
      </c>
      <c r="R11"/>
      <c r="S11"/>
      <c r="T11" s="20"/>
      <c r="U11"/>
      <c r="V11" s="10"/>
      <c r="W11" s="10"/>
      <c r="X11" s="10"/>
      <c r="Y11" s="10"/>
    </row>
    <row r="12" spans="2:27" ht="15" customHeight="1" x14ac:dyDescent="0.25">
      <c r="D12" s="6"/>
      <c r="E12" s="12">
        <v>37865</v>
      </c>
      <c r="F12" s="13">
        <v>20.149856115107916</v>
      </c>
      <c r="G12" s="13">
        <v>22.640287769784173</v>
      </c>
      <c r="H12" s="13">
        <v>19.976280575539569</v>
      </c>
      <c r="I12" s="13">
        <v>20.98</v>
      </c>
      <c r="J12" s="13">
        <v>62697.2</v>
      </c>
      <c r="K12" s="13">
        <v>20.98</v>
      </c>
      <c r="L12" s="14">
        <v>4.7952047952047952E-2</v>
      </c>
      <c r="M12" s="23">
        <v>9</v>
      </c>
      <c r="N12" s="13">
        <v>5000</v>
      </c>
      <c r="O12" s="13">
        <v>0</v>
      </c>
      <c r="P12" s="13">
        <v>5000</v>
      </c>
      <c r="Q12" s="13">
        <v>5863.6109558412518</v>
      </c>
      <c r="R12"/>
      <c r="S12"/>
      <c r="T12" s="20"/>
      <c r="U12"/>
      <c r="V12" s="10"/>
      <c r="W12" s="10"/>
      <c r="X12" s="10"/>
      <c r="Y12" s="10"/>
    </row>
    <row r="13" spans="2:27" ht="15" customHeight="1" x14ac:dyDescent="0.25">
      <c r="B13" s="4" t="s">
        <v>18</v>
      </c>
      <c r="C13" s="28" t="str">
        <f t="array" ref="C13:C17">IF($C$11=FALSE,"--",[1]!MATRIX_TRANSPOSE_FUNC([1]!ASSET_MONTHLY_SYSTEM_FUNC(HIST_DATA,,,C$7,C$8,C$9,2)))</f>
        <v>--</v>
      </c>
      <c r="D13" s="6"/>
      <c r="E13" s="12">
        <v>37895</v>
      </c>
      <c r="F13" s="13">
        <v>21.274491201224176</v>
      </c>
      <c r="G13" s="13">
        <v>22.359846977811785</v>
      </c>
      <c r="H13" s="13">
        <v>19.665432287681714</v>
      </c>
      <c r="I13" s="13">
        <v>19.84</v>
      </c>
      <c r="J13" s="13">
        <v>63898</v>
      </c>
      <c r="K13" s="13">
        <v>19.84</v>
      </c>
      <c r="L13" s="14">
        <v>-5.4337464251668258E-2</v>
      </c>
      <c r="M13" s="23">
        <v>10</v>
      </c>
      <c r="N13" s="13">
        <v>4728.3126787416577</v>
      </c>
      <c r="O13" s="13">
        <v>0</v>
      </c>
      <c r="P13" s="13">
        <v>4728.3126787416577</v>
      </c>
      <c r="Q13" s="13">
        <v>5544.9972051425375</v>
      </c>
      <c r="R13"/>
      <c r="S13"/>
      <c r="T13" s="20"/>
      <c r="U13"/>
      <c r="V13" s="10"/>
      <c r="W13" s="10"/>
      <c r="X13" s="10"/>
      <c r="Y13" s="10"/>
    </row>
    <row r="14" spans="2:27" ht="15" customHeight="1" x14ac:dyDescent="0.25">
      <c r="B14" s="4" t="s">
        <v>19</v>
      </c>
      <c r="C14" s="28" t="str">
        <v>--</v>
      </c>
      <c r="D14" s="6"/>
      <c r="E14" s="12">
        <v>37926</v>
      </c>
      <c r="F14" s="13">
        <v>19.995663166083236</v>
      </c>
      <c r="G14" s="13">
        <v>20.299202644885259</v>
      </c>
      <c r="H14" s="13">
        <v>18.849801633605601</v>
      </c>
      <c r="I14" s="13">
        <v>19.510000000000002</v>
      </c>
      <c r="J14" s="13">
        <v>77670.399999999994</v>
      </c>
      <c r="K14" s="13">
        <v>19.510000000000002</v>
      </c>
      <c r="L14" s="14">
        <v>-1.6633064516129035E-2</v>
      </c>
      <c r="M14" s="23">
        <v>11</v>
      </c>
      <c r="N14" s="13">
        <v>4649.6663489037173</v>
      </c>
      <c r="O14" s="13">
        <v>0</v>
      </c>
      <c r="P14" s="13">
        <v>4649.6663489037173</v>
      </c>
      <c r="Q14" s="13">
        <v>5452.7669088876464</v>
      </c>
      <c r="R14"/>
      <c r="S14"/>
      <c r="T14" s="20"/>
      <c r="U14"/>
      <c r="V14" s="10"/>
      <c r="W14" s="10"/>
      <c r="X14" s="10"/>
      <c r="Y14" s="10"/>
    </row>
    <row r="15" spans="2:27" ht="15" customHeight="1" x14ac:dyDescent="0.25">
      <c r="B15" s="4" t="s">
        <v>20</v>
      </c>
      <c r="C15" s="28" t="str">
        <v>--</v>
      </c>
      <c r="D15" s="6"/>
      <c r="E15" s="12">
        <v>37956</v>
      </c>
      <c r="F15" s="13">
        <v>19.654475703324806</v>
      </c>
      <c r="G15" s="13">
        <v>20.906594811837778</v>
      </c>
      <c r="H15" s="13">
        <v>19.350931677018632</v>
      </c>
      <c r="I15" s="13">
        <v>20.77</v>
      </c>
      <c r="J15" s="13">
        <v>69030</v>
      </c>
      <c r="K15" s="13">
        <v>20.77</v>
      </c>
      <c r="L15" s="14">
        <v>6.4582265504869299E-2</v>
      </c>
      <c r="M15" s="23">
        <v>12</v>
      </c>
      <c r="N15" s="13">
        <v>4949.952335557673</v>
      </c>
      <c r="O15" s="13">
        <v>0</v>
      </c>
      <c r="P15" s="13">
        <v>4949.952335557673</v>
      </c>
      <c r="Q15" s="13">
        <v>5804.9189491335937</v>
      </c>
      <c r="R15"/>
      <c r="S15"/>
      <c r="T15" s="20"/>
      <c r="U15"/>
      <c r="V15" s="10"/>
      <c r="W15" s="10"/>
      <c r="X15" s="10"/>
      <c r="Y15" s="10"/>
    </row>
    <row r="16" spans="2:27" ht="15" customHeight="1" x14ac:dyDescent="0.25">
      <c r="B16" s="40" t="str">
        <f ca="1">"SYSTEM: Buy "&amp;TEXT(DATE(YEAR($C$6),$C$7,1),"mmm dd")&amp;" /  Sell "&amp;TEXT(DATE(YEAR($C$6),$C$8,1),"mmm dd")</f>
        <v>SYSTEM: Buy Sep 01 /  Sell Jun 01</v>
      </c>
      <c r="C16" s="28" t="str">
        <v>--</v>
      </c>
      <c r="D16" s="6"/>
      <c r="E16" s="12">
        <v>37987</v>
      </c>
      <c r="F16" s="13">
        <v>20.936860759493669</v>
      </c>
      <c r="G16" s="13">
        <v>21.885775768535261</v>
      </c>
      <c r="H16" s="13">
        <v>20.693938517179021</v>
      </c>
      <c r="I16" s="13">
        <v>20.99</v>
      </c>
      <c r="J16" s="13">
        <v>63635.8</v>
      </c>
      <c r="K16" s="13">
        <v>20.99</v>
      </c>
      <c r="L16" s="14">
        <v>1.059220028887819E-2</v>
      </c>
      <c r="M16" s="23">
        <v>1</v>
      </c>
      <c r="N16" s="13">
        <v>5002.3832221163011</v>
      </c>
      <c r="O16" s="13">
        <v>0</v>
      </c>
      <c r="P16" s="13">
        <v>5002.3832221163011</v>
      </c>
      <c r="Q16" s="13">
        <v>5866.4058133035214</v>
      </c>
      <c r="R16"/>
      <c r="S16"/>
      <c r="T16" s="20"/>
      <c r="U16"/>
      <c r="V16" s="10"/>
      <c r="W16" s="10"/>
      <c r="X16" s="10"/>
      <c r="Y16" s="10"/>
    </row>
    <row r="17" spans="2:25" ht="15" customHeight="1" x14ac:dyDescent="0.25">
      <c r="B17" s="40" t="str">
        <f ca="1">"BUY HOLD CAGR CAGR: Buy "&amp;TEXT(DATE(YEAR($C$6),$C$7,1),"mmm dd")&amp;" /  Sell "&amp;TEXT(DATE(YEAR($C$6),$C$8,1),"mmm dd")</f>
        <v>BUY HOLD CAGR CAGR: Buy Sep 01 /  Sell Jun 01</v>
      </c>
      <c r="C17" s="28" t="str">
        <v>--</v>
      </c>
      <c r="D17" s="6"/>
      <c r="E17" s="12">
        <v>38018</v>
      </c>
      <c r="F17" s="13">
        <v>20.949464756879003</v>
      </c>
      <c r="G17" s="13">
        <v>21.093629852996607</v>
      </c>
      <c r="H17" s="13">
        <v>19.993422540520164</v>
      </c>
      <c r="I17" s="13">
        <v>20.13</v>
      </c>
      <c r="J17" s="13">
        <v>57385.9</v>
      </c>
      <c r="K17" s="13">
        <v>20.13</v>
      </c>
      <c r="L17" s="14">
        <v>-4.097189137684612E-2</v>
      </c>
      <c r="M17" s="23">
        <v>2</v>
      </c>
      <c r="N17" s="13">
        <v>4797.4261201143945</v>
      </c>
      <c r="O17" s="13">
        <v>0</v>
      </c>
      <c r="P17" s="13">
        <v>4797.4261201143945</v>
      </c>
      <c r="Q17" s="13">
        <v>5626.0480715483509</v>
      </c>
      <c r="R17"/>
      <c r="S17"/>
      <c r="T17" s="20"/>
      <c r="U17"/>
      <c r="V17" s="10"/>
      <c r="W17" s="10"/>
      <c r="X17" s="10"/>
      <c r="Y17" s="10"/>
    </row>
    <row r="18" spans="2:25" ht="15" customHeight="1" x14ac:dyDescent="0.25">
      <c r="C18" s="30"/>
      <c r="E18" s="12">
        <v>38047</v>
      </c>
      <c r="F18" s="13">
        <v>20.210172482952267</v>
      </c>
      <c r="G18" s="13">
        <v>20.278475732049738</v>
      </c>
      <c r="H18" s="13">
        <v>18.221789009225834</v>
      </c>
      <c r="I18" s="13">
        <v>18.919999999999998</v>
      </c>
      <c r="J18" s="13">
        <v>77111.899999999994</v>
      </c>
      <c r="K18" s="13">
        <v>18.920000000000002</v>
      </c>
      <c r="L18" s="14">
        <v>-6.0109289617486343E-2</v>
      </c>
      <c r="M18" s="23">
        <v>3</v>
      </c>
      <c r="N18" s="13">
        <v>4509.0562440419444</v>
      </c>
      <c r="O18" s="13">
        <v>0</v>
      </c>
      <c r="P18" s="13">
        <v>4509.0562440419444</v>
      </c>
      <c r="Q18" s="13">
        <v>5287.87031861375</v>
      </c>
      <c r="T18" s="21"/>
    </row>
    <row r="19" spans="2:25" ht="15" customHeight="1" x14ac:dyDescent="0.25">
      <c r="E19" s="12">
        <v>38078</v>
      </c>
      <c r="F19" s="13">
        <v>18.934500574052812</v>
      </c>
      <c r="G19" s="13">
        <v>21.036647531572903</v>
      </c>
      <c r="H19" s="13">
        <v>18.858610792192881</v>
      </c>
      <c r="I19" s="13">
        <v>19.830000000000002</v>
      </c>
      <c r="J19" s="13">
        <v>77386.600000000006</v>
      </c>
      <c r="K19" s="13">
        <v>19.829999999999998</v>
      </c>
      <c r="L19" s="14">
        <v>4.8097251585623682E-2</v>
      </c>
      <c r="M19" s="23">
        <v>4</v>
      </c>
      <c r="N19" s="13">
        <v>4725.9294566253566</v>
      </c>
      <c r="O19" s="13">
        <v>0</v>
      </c>
      <c r="P19" s="13">
        <v>4725.9294566253566</v>
      </c>
      <c r="Q19" s="13">
        <v>5542.2023476802678</v>
      </c>
      <c r="T19" s="21"/>
    </row>
    <row r="20" spans="2:25" ht="15" customHeight="1" x14ac:dyDescent="0.25">
      <c r="E20" s="12">
        <v>38108</v>
      </c>
      <c r="F20" s="13">
        <v>19.879637819290888</v>
      </c>
      <c r="G20" s="13">
        <v>20.190850171559283</v>
      </c>
      <c r="H20" s="13">
        <v>19.295165840640486</v>
      </c>
      <c r="I20" s="13">
        <v>19.91</v>
      </c>
      <c r="J20" s="13">
        <v>58942.400000000001</v>
      </c>
      <c r="K20" s="13">
        <v>19.91</v>
      </c>
      <c r="L20" s="14">
        <v>4.034291477559254E-3</v>
      </c>
      <c r="M20" s="23">
        <v>5</v>
      </c>
      <c r="N20" s="13">
        <v>4744.9952335557673</v>
      </c>
      <c r="O20" s="13">
        <v>0</v>
      </c>
      <c r="P20" s="13">
        <v>4744.9952335557673</v>
      </c>
      <c r="Q20" s="13">
        <v>5564.5612073784232</v>
      </c>
      <c r="T20" s="21"/>
    </row>
    <row r="21" spans="2:25" ht="15" customHeight="1" x14ac:dyDescent="0.25">
      <c r="E21" s="12">
        <v>38139</v>
      </c>
      <c r="F21" s="13">
        <v>19.835378151260503</v>
      </c>
      <c r="G21" s="13">
        <v>21.86218487394958</v>
      </c>
      <c r="H21" s="13">
        <v>19.630420168067225</v>
      </c>
      <c r="I21" s="13">
        <v>21.68</v>
      </c>
      <c r="J21" s="13">
        <v>77068.2</v>
      </c>
      <c r="K21" s="13">
        <v>21.68</v>
      </c>
      <c r="L21" s="14">
        <v>8.8900050226017074E-2</v>
      </c>
      <c r="M21" s="23">
        <v>6</v>
      </c>
      <c r="N21" s="13">
        <v>0</v>
      </c>
      <c r="O21" s="13">
        <v>5166.8255481410861</v>
      </c>
      <c r="P21" s="13">
        <v>5166.8255481410861</v>
      </c>
      <c r="Q21" s="13">
        <v>6059.2509782001116</v>
      </c>
      <c r="T21" s="21"/>
    </row>
    <row r="22" spans="2:25" ht="15" customHeight="1" x14ac:dyDescent="0.25">
      <c r="E22" s="12">
        <v>38169</v>
      </c>
      <c r="F22" s="13">
        <v>21.779361179361182</v>
      </c>
      <c r="G22" s="13">
        <v>22.68240786240786</v>
      </c>
      <c r="H22" s="13">
        <v>20.679010179010181</v>
      </c>
      <c r="I22" s="13">
        <v>21.619999999999997</v>
      </c>
      <c r="J22" s="13">
        <v>76666.600000000006</v>
      </c>
      <c r="K22" s="13">
        <v>21.62</v>
      </c>
      <c r="L22" s="14">
        <v>-2.7675276752767526E-3</v>
      </c>
      <c r="M22" s="23">
        <v>7</v>
      </c>
      <c r="N22" s="13">
        <v>0</v>
      </c>
      <c r="O22" s="13">
        <v>5166.8255481410861</v>
      </c>
      <c r="P22" s="13">
        <v>5166.8255481410861</v>
      </c>
      <c r="Q22" s="13">
        <v>6042.4818334264946</v>
      </c>
      <c r="T22" s="21"/>
    </row>
    <row r="23" spans="2:25" ht="15" customHeight="1" x14ac:dyDescent="0.25">
      <c r="E23" s="12">
        <v>38200</v>
      </c>
      <c r="F23" s="13">
        <v>21.518336996336995</v>
      </c>
      <c r="G23" s="13">
        <v>21.731465201465198</v>
      </c>
      <c r="H23" s="13">
        <v>20.437472527472526</v>
      </c>
      <c r="I23" s="13">
        <v>20.779999999999998</v>
      </c>
      <c r="J23" s="13">
        <v>52104.6</v>
      </c>
      <c r="K23" s="13">
        <v>20.78</v>
      </c>
      <c r="L23" s="14">
        <v>-3.8852913968547641E-2</v>
      </c>
      <c r="M23" s="23">
        <v>8</v>
      </c>
      <c r="N23" s="13">
        <v>0</v>
      </c>
      <c r="O23" s="13">
        <v>5166.8255481410861</v>
      </c>
      <c r="P23" s="13">
        <v>5166.8255481410861</v>
      </c>
      <c r="Q23" s="13">
        <v>5807.7138065958634</v>
      </c>
      <c r="T23" s="21"/>
    </row>
    <row r="24" spans="2:25" ht="15" customHeight="1" x14ac:dyDescent="0.25">
      <c r="E24" s="12">
        <v>38231</v>
      </c>
      <c r="F24" s="13">
        <v>20.730253164556963</v>
      </c>
      <c r="G24" s="13">
        <v>21.156582278481014</v>
      </c>
      <c r="H24" s="13">
        <v>20.357215189873418</v>
      </c>
      <c r="I24" s="13">
        <v>21.05</v>
      </c>
      <c r="J24" s="13">
        <v>57725.2</v>
      </c>
      <c r="K24" s="13">
        <v>21.05</v>
      </c>
      <c r="L24" s="14">
        <v>1.2993262752646777E-2</v>
      </c>
      <c r="M24" s="23">
        <v>9</v>
      </c>
      <c r="N24" s="13">
        <v>5166.8255481410861</v>
      </c>
      <c r="O24" s="13">
        <v>0</v>
      </c>
      <c r="P24" s="13">
        <v>5166.8255481410861</v>
      </c>
      <c r="Q24" s="13">
        <v>5883.1749580771375</v>
      </c>
      <c r="T24" s="21"/>
    </row>
    <row r="25" spans="2:25" ht="15" customHeight="1" x14ac:dyDescent="0.25">
      <c r="E25" s="12">
        <v>38261</v>
      </c>
      <c r="F25" s="13">
        <v>21.175824097247048</v>
      </c>
      <c r="G25" s="13">
        <v>21.990278870218091</v>
      </c>
      <c r="H25" s="13">
        <v>20.97030747229174</v>
      </c>
      <c r="I25" s="13">
        <v>21.290000000000003</v>
      </c>
      <c r="J25" s="13">
        <v>65742.899999999994</v>
      </c>
      <c r="K25" s="13">
        <v>21.29</v>
      </c>
      <c r="L25" s="14">
        <v>1.1401425178147269E-2</v>
      </c>
      <c r="M25" s="23">
        <v>10</v>
      </c>
      <c r="N25" s="13">
        <v>5225.7347230367568</v>
      </c>
      <c r="O25" s="13">
        <v>0</v>
      </c>
      <c r="P25" s="13">
        <v>5225.7347230367568</v>
      </c>
      <c r="Q25" s="13">
        <v>5950.2515371716036</v>
      </c>
      <c r="T25" s="21"/>
    </row>
    <row r="26" spans="2:25" ht="15" customHeight="1" x14ac:dyDescent="0.25">
      <c r="C26" s="24"/>
      <c r="E26" s="12">
        <v>38292</v>
      </c>
      <c r="F26" s="13">
        <v>23.895561357702352</v>
      </c>
      <c r="G26" s="13">
        <v>25.626631853785902</v>
      </c>
      <c r="H26" s="13">
        <v>22.14751958224543</v>
      </c>
      <c r="I26" s="13">
        <v>22.749999999999996</v>
      </c>
      <c r="J26" s="13">
        <v>86446</v>
      </c>
      <c r="K26" s="13">
        <v>22.75</v>
      </c>
      <c r="L26" s="14">
        <v>6.8576796618130584E-2</v>
      </c>
      <c r="M26" s="23">
        <v>11</v>
      </c>
      <c r="N26" s="13">
        <v>5584.0988703187513</v>
      </c>
      <c r="O26" s="13">
        <v>0</v>
      </c>
      <c r="P26" s="13">
        <v>5584.0988703187513</v>
      </c>
      <c r="Q26" s="13">
        <v>6358.3007266629402</v>
      </c>
      <c r="T26" s="21"/>
    </row>
    <row r="27" spans="2:25" ht="15" customHeight="1" x14ac:dyDescent="0.25">
      <c r="C27" s="24"/>
      <c r="E27" s="12">
        <v>38322</v>
      </c>
      <c r="F27" s="13">
        <v>22.865138473053889</v>
      </c>
      <c r="G27" s="13">
        <v>23.280868263473057</v>
      </c>
      <c r="H27" s="13">
        <v>22.6360628742515</v>
      </c>
      <c r="I27" s="13">
        <v>22.67</v>
      </c>
      <c r="J27" s="13">
        <v>84488</v>
      </c>
      <c r="K27" s="13">
        <v>22.67</v>
      </c>
      <c r="L27" s="14">
        <v>-3.5164835164835165E-3</v>
      </c>
      <c r="M27" s="23">
        <v>12</v>
      </c>
      <c r="N27" s="13">
        <v>5564.4624786868608</v>
      </c>
      <c r="O27" s="13">
        <v>0</v>
      </c>
      <c r="P27" s="13">
        <v>5564.4624786868608</v>
      </c>
      <c r="Q27" s="13">
        <v>6335.9418669647839</v>
      </c>
      <c r="T27" s="21"/>
    </row>
    <row r="28" spans="2:25" ht="15" customHeight="1" x14ac:dyDescent="0.25">
      <c r="C28" s="24"/>
      <c r="E28" s="12">
        <v>38353</v>
      </c>
      <c r="F28" s="13">
        <v>22.74124809741248</v>
      </c>
      <c r="G28" s="13">
        <v>22.995814307458144</v>
      </c>
      <c r="H28" s="13">
        <v>21.756925418569253</v>
      </c>
      <c r="I28" s="13">
        <v>22.3</v>
      </c>
      <c r="J28" s="13">
        <v>79642.8</v>
      </c>
      <c r="K28" s="13">
        <v>22.3</v>
      </c>
      <c r="L28" s="14">
        <v>-1.6321129245699163E-2</v>
      </c>
      <c r="M28" s="23">
        <v>1</v>
      </c>
      <c r="N28" s="13">
        <v>5473.6441673893696</v>
      </c>
      <c r="O28" s="13">
        <v>0</v>
      </c>
      <c r="P28" s="13">
        <v>5473.6441673893696</v>
      </c>
      <c r="Q28" s="13">
        <v>6232.5321408608152</v>
      </c>
      <c r="T28" s="21"/>
    </row>
    <row r="29" spans="2:25" ht="15" customHeight="1" x14ac:dyDescent="0.25">
      <c r="C29" s="24"/>
      <c r="E29" s="12">
        <v>38384</v>
      </c>
      <c r="F29" s="13">
        <v>22.337539745627982</v>
      </c>
      <c r="G29" s="13">
        <v>22.550278219395867</v>
      </c>
      <c r="H29" s="13">
        <v>21.384471383147854</v>
      </c>
      <c r="I29" s="13">
        <v>21.409999999999997</v>
      </c>
      <c r="J29" s="13">
        <v>75992.3</v>
      </c>
      <c r="K29" s="13">
        <v>21.41</v>
      </c>
      <c r="L29" s="14">
        <v>-3.9910313901345293E-2</v>
      </c>
      <c r="M29" s="23">
        <v>2</v>
      </c>
      <c r="N29" s="13">
        <v>5255.1893104845922</v>
      </c>
      <c r="O29" s="13">
        <v>0</v>
      </c>
      <c r="P29" s="13">
        <v>5255.1893104845922</v>
      </c>
      <c r="Q29" s="13">
        <v>5983.7898267188375</v>
      </c>
      <c r="T29" s="21"/>
    </row>
    <row r="30" spans="2:25" ht="15" customHeight="1" x14ac:dyDescent="0.25">
      <c r="E30" s="12">
        <v>38412</v>
      </c>
      <c r="F30" s="13">
        <v>21.438076127430698</v>
      </c>
      <c r="G30" s="13">
        <v>21.948709143566408</v>
      </c>
      <c r="H30" s="13">
        <v>20.272130740587507</v>
      </c>
      <c r="I30" s="13">
        <v>20.569999999999997</v>
      </c>
      <c r="J30" s="13">
        <v>72899.7</v>
      </c>
      <c r="K30" s="13">
        <v>20.57</v>
      </c>
      <c r="L30" s="14">
        <v>-3.9234002802428773E-2</v>
      </c>
      <c r="M30" s="23">
        <v>3</v>
      </c>
      <c r="N30" s="13">
        <v>5049.0071983497455</v>
      </c>
      <c r="O30" s="13">
        <v>0</v>
      </c>
      <c r="P30" s="13">
        <v>5049.0071983497455</v>
      </c>
      <c r="Q30" s="13">
        <v>5749.0217998882044</v>
      </c>
      <c r="T30" s="21"/>
    </row>
    <row r="31" spans="2:25" ht="15" customHeight="1" x14ac:dyDescent="0.25">
      <c r="E31" s="12">
        <v>38443</v>
      </c>
      <c r="F31" s="13">
        <v>20.627952569169963</v>
      </c>
      <c r="G31" s="13">
        <v>21.657648221343873</v>
      </c>
      <c r="H31" s="13">
        <v>20.372656126482212</v>
      </c>
      <c r="I31" s="13">
        <v>21.529999999999998</v>
      </c>
      <c r="J31" s="13">
        <v>77090.2</v>
      </c>
      <c r="K31" s="13">
        <v>21.53</v>
      </c>
      <c r="L31" s="14">
        <v>4.6669907632474479E-2</v>
      </c>
      <c r="M31" s="23">
        <v>4</v>
      </c>
      <c r="N31" s="13">
        <v>5284.6438979324275</v>
      </c>
      <c r="O31" s="13">
        <v>0</v>
      </c>
      <c r="P31" s="13">
        <v>5284.6438979324275</v>
      </c>
      <c r="Q31" s="13">
        <v>6017.3281162660696</v>
      </c>
      <c r="T31" s="21"/>
    </row>
    <row r="32" spans="2:25" ht="15" customHeight="1" x14ac:dyDescent="0.25">
      <c r="E32" s="12">
        <v>38473</v>
      </c>
      <c r="F32" s="13">
        <v>21.543290697674419</v>
      </c>
      <c r="G32" s="13">
        <v>22.277624031007754</v>
      </c>
      <c r="H32" s="13">
        <v>21.039503875968993</v>
      </c>
      <c r="I32" s="13">
        <v>22.029999999999998</v>
      </c>
      <c r="J32" s="13">
        <v>62699.7</v>
      </c>
      <c r="K32" s="13">
        <v>22.03</v>
      </c>
      <c r="L32" s="14">
        <v>2.3223409196470042E-2</v>
      </c>
      <c r="M32" s="23">
        <v>5</v>
      </c>
      <c r="N32" s="13">
        <v>5407.37134563174</v>
      </c>
      <c r="O32" s="13">
        <v>0</v>
      </c>
      <c r="P32" s="13">
        <v>5407.37134563174</v>
      </c>
      <c r="Q32" s="13">
        <v>6157.0709893795411</v>
      </c>
      <c r="T32" s="21"/>
    </row>
    <row r="33" spans="5:20" ht="15" customHeight="1" x14ac:dyDescent="0.25">
      <c r="E33" s="12">
        <v>38504</v>
      </c>
      <c r="F33" s="13">
        <v>21.96993961352657</v>
      </c>
      <c r="G33" s="13">
        <v>22.200483091787437</v>
      </c>
      <c r="H33" s="13">
        <v>21.192922705314007</v>
      </c>
      <c r="I33" s="13">
        <v>21.21</v>
      </c>
      <c r="J33" s="13">
        <v>62956.7</v>
      </c>
      <c r="K33" s="13">
        <v>21.21</v>
      </c>
      <c r="L33" s="14">
        <v>-3.7221970040853383E-2</v>
      </c>
      <c r="M33" s="23">
        <v>6</v>
      </c>
      <c r="N33" s="13">
        <v>0</v>
      </c>
      <c r="O33" s="13">
        <v>5206.0983314048663</v>
      </c>
      <c r="P33" s="13">
        <v>5206.0983314048663</v>
      </c>
      <c r="Q33" s="13">
        <v>5927.8926774734482</v>
      </c>
      <c r="T33" s="21"/>
    </row>
    <row r="34" spans="5:20" ht="15" customHeight="1" x14ac:dyDescent="0.25">
      <c r="E34" s="12">
        <v>38534</v>
      </c>
      <c r="F34" s="13">
        <v>21.211284654431861</v>
      </c>
      <c r="G34" s="13">
        <v>22.602608356110892</v>
      </c>
      <c r="H34" s="13">
        <v>20.91253416634127</v>
      </c>
      <c r="I34" s="13">
        <v>21.86</v>
      </c>
      <c r="J34" s="13">
        <v>69046.600000000006</v>
      </c>
      <c r="K34" s="13">
        <v>21.86</v>
      </c>
      <c r="L34" s="14">
        <v>3.0645921735030647E-2</v>
      </c>
      <c r="M34" s="23">
        <v>7</v>
      </c>
      <c r="N34" s="13">
        <v>0</v>
      </c>
      <c r="O34" s="13">
        <v>5206.0983314048663</v>
      </c>
      <c r="P34" s="13">
        <v>5206.0983314048663</v>
      </c>
      <c r="Q34" s="13">
        <v>6109.5584125209607</v>
      </c>
      <c r="T34" s="21"/>
    </row>
    <row r="35" spans="5:20" ht="15" customHeight="1" x14ac:dyDescent="0.25">
      <c r="E35" s="12">
        <v>38565</v>
      </c>
      <c r="F35" s="13">
        <v>22.095924032140246</v>
      </c>
      <c r="G35" s="13">
        <v>23.919415631848064</v>
      </c>
      <c r="H35" s="13">
        <v>22.053119065010957</v>
      </c>
      <c r="I35" s="13">
        <v>23.439999999999998</v>
      </c>
      <c r="J35" s="13">
        <v>65529.9</v>
      </c>
      <c r="K35" s="13">
        <v>23.44</v>
      </c>
      <c r="L35" s="14">
        <v>7.2278133577310166E-2</v>
      </c>
      <c r="M35" s="23">
        <v>8</v>
      </c>
      <c r="N35" s="13">
        <v>0</v>
      </c>
      <c r="O35" s="13">
        <v>5206.0983314048663</v>
      </c>
      <c r="P35" s="13">
        <v>5206.0983314048663</v>
      </c>
      <c r="Q35" s="13">
        <v>6551.1458915595294</v>
      </c>
      <c r="T35" s="21"/>
    </row>
    <row r="36" spans="5:20" ht="15" customHeight="1" x14ac:dyDescent="0.25">
      <c r="E36" s="12">
        <v>38596</v>
      </c>
      <c r="F36" s="13">
        <v>23.442728332685579</v>
      </c>
      <c r="G36" s="13">
        <v>23.451290322580643</v>
      </c>
      <c r="H36" s="13">
        <v>21.507718616401089</v>
      </c>
      <c r="I36" s="13">
        <v>22.029999999999998</v>
      </c>
      <c r="J36" s="13">
        <v>66976.399999999994</v>
      </c>
      <c r="K36" s="13">
        <v>22.03</v>
      </c>
      <c r="L36" s="14">
        <v>-6.0153583617747447E-2</v>
      </c>
      <c r="M36" s="23">
        <v>9</v>
      </c>
      <c r="N36" s="13">
        <v>5206.0983314048663</v>
      </c>
      <c r="O36" s="13">
        <v>0</v>
      </c>
      <c r="P36" s="13">
        <v>5206.0983314048663</v>
      </c>
      <c r="Q36" s="13">
        <v>6157.0709893795411</v>
      </c>
      <c r="T36" s="21"/>
    </row>
    <row r="37" spans="5:20" ht="15" customHeight="1" x14ac:dyDescent="0.25">
      <c r="E37" s="12">
        <v>38626</v>
      </c>
      <c r="F37" s="13">
        <v>22.01856420233463</v>
      </c>
      <c r="G37" s="13">
        <v>22.095642023346304</v>
      </c>
      <c r="H37" s="13">
        <v>20.768190661478599</v>
      </c>
      <c r="I37" s="13">
        <v>22.01</v>
      </c>
      <c r="J37" s="13">
        <v>72132.399999999994</v>
      </c>
      <c r="K37" s="13">
        <v>22.01</v>
      </c>
      <c r="L37" s="14">
        <v>-9.0785292782569226E-4</v>
      </c>
      <c r="M37" s="23">
        <v>10</v>
      </c>
      <c r="N37" s="13">
        <v>5201.3719597921527</v>
      </c>
      <c r="O37" s="13">
        <v>0</v>
      </c>
      <c r="P37" s="13">
        <v>5201.3719597921527</v>
      </c>
      <c r="Q37" s="13">
        <v>6151.4812744550027</v>
      </c>
      <c r="T37" s="21"/>
    </row>
    <row r="38" spans="5:20" ht="15" customHeight="1" x14ac:dyDescent="0.25">
      <c r="E38" s="12">
        <v>38657</v>
      </c>
      <c r="F38" s="13">
        <v>21.992402456647397</v>
      </c>
      <c r="G38" s="13">
        <v>24.259483381502889</v>
      </c>
      <c r="H38" s="13">
        <v>21.992402456647397</v>
      </c>
      <c r="I38" s="13">
        <v>23.77</v>
      </c>
      <c r="J38" s="13">
        <v>71469.100000000006</v>
      </c>
      <c r="K38" s="13">
        <v>23.77</v>
      </c>
      <c r="L38" s="14">
        <v>7.996365288505225E-2</v>
      </c>
      <c r="M38" s="23">
        <v>11</v>
      </c>
      <c r="N38" s="13">
        <v>5617.2926617110161</v>
      </c>
      <c r="O38" s="13">
        <v>0</v>
      </c>
      <c r="P38" s="13">
        <v>5617.2926617110161</v>
      </c>
      <c r="Q38" s="13">
        <v>6643.3761878144214</v>
      </c>
      <c r="T38" s="21"/>
    </row>
    <row r="39" spans="5:20" ht="15" customHeight="1" x14ac:dyDescent="0.25">
      <c r="E39" s="12">
        <v>38687</v>
      </c>
      <c r="F39" s="13">
        <v>23.817047801147226</v>
      </c>
      <c r="G39" s="13">
        <v>24.134837476099428</v>
      </c>
      <c r="H39" s="13">
        <v>22.417055449330782</v>
      </c>
      <c r="I39" s="13">
        <v>22.46</v>
      </c>
      <c r="J39" s="13">
        <v>62892.3</v>
      </c>
      <c r="K39" s="13">
        <v>22.46</v>
      </c>
      <c r="L39" s="14">
        <v>-5.511148506520825E-2</v>
      </c>
      <c r="M39" s="23">
        <v>12</v>
      </c>
      <c r="N39" s="13">
        <v>5307.7153210782253</v>
      </c>
      <c r="O39" s="13">
        <v>0</v>
      </c>
      <c r="P39" s="13">
        <v>5307.7153210782253</v>
      </c>
      <c r="Q39" s="13">
        <v>6277.2498602571268</v>
      </c>
      <c r="T39" s="21"/>
    </row>
    <row r="40" spans="5:20" ht="15" customHeight="1" x14ac:dyDescent="0.25">
      <c r="E40" s="12">
        <v>38718</v>
      </c>
      <c r="F40" s="13">
        <v>22.538632326820604</v>
      </c>
      <c r="G40" s="13">
        <v>24.367481349911188</v>
      </c>
      <c r="H40" s="13">
        <v>22.409840142095916</v>
      </c>
      <c r="I40" s="13">
        <v>24.17</v>
      </c>
      <c r="J40" s="13">
        <v>74173.2</v>
      </c>
      <c r="K40" s="13">
        <v>24.17</v>
      </c>
      <c r="L40" s="14">
        <v>7.6135351736420304E-2</v>
      </c>
      <c r="M40" s="23">
        <v>1</v>
      </c>
      <c r="N40" s="13">
        <v>5711.8200939653034</v>
      </c>
      <c r="O40" s="13">
        <v>0</v>
      </c>
      <c r="P40" s="13">
        <v>5711.8200939653034</v>
      </c>
      <c r="Q40" s="13">
        <v>6755.1704863051973</v>
      </c>
      <c r="T40" s="21"/>
    </row>
    <row r="41" spans="5:20" ht="15" customHeight="1" x14ac:dyDescent="0.25">
      <c r="E41" s="12">
        <v>38749</v>
      </c>
      <c r="F41" s="13">
        <v>24.089095645701523</v>
      </c>
      <c r="G41" s="13">
        <v>24.183866765909936</v>
      </c>
      <c r="H41" s="13">
        <v>22.693375511723112</v>
      </c>
      <c r="I41" s="13">
        <v>23.15</v>
      </c>
      <c r="J41" s="13">
        <v>58565</v>
      </c>
      <c r="K41" s="13">
        <v>23.15</v>
      </c>
      <c r="L41" s="14">
        <v>-4.2201075713694663E-2</v>
      </c>
      <c r="M41" s="23">
        <v>2</v>
      </c>
      <c r="N41" s="13">
        <v>5470.7751417168711</v>
      </c>
      <c r="O41" s="13">
        <v>0</v>
      </c>
      <c r="P41" s="13">
        <v>5470.7751417168711</v>
      </c>
      <c r="Q41" s="13">
        <v>6470.0950251537161</v>
      </c>
      <c r="T41" s="21"/>
    </row>
    <row r="42" spans="5:20" ht="15" customHeight="1" x14ac:dyDescent="0.25">
      <c r="E42" s="12">
        <v>38777</v>
      </c>
      <c r="F42" s="13">
        <v>23.251782432929069</v>
      </c>
      <c r="G42" s="13">
        <v>24.320433664094082</v>
      </c>
      <c r="H42" s="13">
        <v>22.941528849687614</v>
      </c>
      <c r="I42" s="13">
        <v>23.45</v>
      </c>
      <c r="J42" s="13">
        <v>65223.1</v>
      </c>
      <c r="K42" s="13">
        <v>23.45</v>
      </c>
      <c r="L42" s="14">
        <v>1.2958963282937365E-2</v>
      </c>
      <c r="M42" s="23">
        <v>3</v>
      </c>
      <c r="N42" s="13">
        <v>5541.6707159075859</v>
      </c>
      <c r="O42" s="13">
        <v>0</v>
      </c>
      <c r="P42" s="13">
        <v>5541.6707159075859</v>
      </c>
      <c r="Q42" s="13">
        <v>6553.9407490217991</v>
      </c>
      <c r="T42" s="21"/>
    </row>
    <row r="43" spans="5:20" ht="15" customHeight="1" x14ac:dyDescent="0.25">
      <c r="E43" s="12">
        <v>38808</v>
      </c>
      <c r="F43" s="13">
        <v>23.843175983436851</v>
      </c>
      <c r="G43" s="13">
        <v>24.075834368530021</v>
      </c>
      <c r="H43" s="13">
        <v>20.680745341614905</v>
      </c>
      <c r="I43" s="13">
        <v>20.81</v>
      </c>
      <c r="J43" s="13">
        <v>107219.9</v>
      </c>
      <c r="K43" s="13">
        <v>20.81</v>
      </c>
      <c r="L43" s="14">
        <v>-0.11257995735607676</v>
      </c>
      <c r="M43" s="23">
        <v>4</v>
      </c>
      <c r="N43" s="13">
        <v>4917.7896630292908</v>
      </c>
      <c r="O43" s="13">
        <v>0</v>
      </c>
      <c r="P43" s="13">
        <v>4917.7896630292908</v>
      </c>
      <c r="Q43" s="13">
        <v>5816.0983789826714</v>
      </c>
      <c r="T43" s="21"/>
    </row>
    <row r="44" spans="5:20" ht="15" customHeight="1" x14ac:dyDescent="0.25">
      <c r="E44" s="12">
        <v>38838</v>
      </c>
      <c r="F44" s="13">
        <v>21.034384105960264</v>
      </c>
      <c r="G44" s="13">
        <v>21.622516556291387</v>
      </c>
      <c r="H44" s="13">
        <v>19.417019867549669</v>
      </c>
      <c r="I44" s="13">
        <v>19.59</v>
      </c>
      <c r="J44" s="13">
        <v>110427</v>
      </c>
      <c r="K44" s="13">
        <v>19.59</v>
      </c>
      <c r="L44" s="14">
        <v>-5.8625660740028833E-2</v>
      </c>
      <c r="M44" s="23">
        <v>5</v>
      </c>
      <c r="N44" s="13">
        <v>4629.4809946537152</v>
      </c>
      <c r="O44" s="13">
        <v>0</v>
      </c>
      <c r="P44" s="13">
        <v>4629.4809946537152</v>
      </c>
      <c r="Q44" s="13">
        <v>5475.1257685858018</v>
      </c>
      <c r="T44" s="21"/>
    </row>
    <row r="45" spans="5:20" ht="15" customHeight="1" x14ac:dyDescent="0.25">
      <c r="E45" s="12">
        <v>38869</v>
      </c>
      <c r="F45" s="13">
        <v>19.665708154506437</v>
      </c>
      <c r="G45" s="13">
        <v>20.452682403433478</v>
      </c>
      <c r="H45" s="13">
        <v>18.558755364806867</v>
      </c>
      <c r="I45" s="13">
        <v>20.149999999999999</v>
      </c>
      <c r="J45" s="13">
        <v>92940.2</v>
      </c>
      <c r="K45" s="13">
        <v>20.149999999999999</v>
      </c>
      <c r="L45" s="14">
        <v>2.858601327207759E-2</v>
      </c>
      <c r="M45" s="23">
        <v>6</v>
      </c>
      <c r="N45" s="13">
        <v>0</v>
      </c>
      <c r="O45" s="13">
        <v>4761.8193998097167</v>
      </c>
      <c r="P45" s="13">
        <v>4761.8193998097167</v>
      </c>
      <c r="Q45" s="13">
        <v>5631.6377864728893</v>
      </c>
      <c r="T45" s="21"/>
    </row>
    <row r="46" spans="5:20" ht="15" customHeight="1" x14ac:dyDescent="0.25">
      <c r="E46" s="12">
        <v>38899</v>
      </c>
      <c r="F46" s="13">
        <v>20.351591853699084</v>
      </c>
      <c r="G46" s="13">
        <v>21.277057356608477</v>
      </c>
      <c r="H46" s="13">
        <v>19.227194513715709</v>
      </c>
      <c r="I46" s="13">
        <v>20.81</v>
      </c>
      <c r="J46" s="13">
        <v>68627.600000000006</v>
      </c>
      <c r="K46" s="13">
        <v>20.81</v>
      </c>
      <c r="L46" s="14">
        <v>3.2754342431761792E-2</v>
      </c>
      <c r="M46" s="23">
        <v>7</v>
      </c>
      <c r="N46" s="13">
        <v>0</v>
      </c>
      <c r="O46" s="13">
        <v>4761.8193998097167</v>
      </c>
      <c r="P46" s="13">
        <v>4761.8193998097167</v>
      </c>
      <c r="Q46" s="13">
        <v>5816.0983789826714</v>
      </c>
      <c r="T46" s="21"/>
    </row>
    <row r="47" spans="5:20" ht="15" customHeight="1" x14ac:dyDescent="0.25">
      <c r="E47" s="12">
        <v>38930</v>
      </c>
      <c r="F47" s="13">
        <v>20.851603112840468</v>
      </c>
      <c r="G47" s="13">
        <v>22.787451361867706</v>
      </c>
      <c r="H47" s="13">
        <v>20.704027237354083</v>
      </c>
      <c r="I47" s="13">
        <v>22.31</v>
      </c>
      <c r="J47" s="13">
        <v>50459.5</v>
      </c>
      <c r="K47" s="13">
        <v>22.31</v>
      </c>
      <c r="L47" s="14">
        <v>7.2080730418068242E-2</v>
      </c>
      <c r="M47" s="23">
        <v>8</v>
      </c>
      <c r="N47" s="13">
        <v>0</v>
      </c>
      <c r="O47" s="13">
        <v>4761.8193998097167</v>
      </c>
      <c r="P47" s="13">
        <v>4761.8193998097167</v>
      </c>
      <c r="Q47" s="13">
        <v>6235.3269983230848</v>
      </c>
      <c r="T47" s="21"/>
    </row>
    <row r="48" spans="5:20" ht="15" customHeight="1" x14ac:dyDescent="0.25">
      <c r="E48" s="12">
        <v>38961</v>
      </c>
      <c r="F48" s="13">
        <v>22.48217550274223</v>
      </c>
      <c r="G48" s="13">
        <v>23.897623400365632</v>
      </c>
      <c r="H48" s="13">
        <v>22.047989031078608</v>
      </c>
      <c r="I48" s="13">
        <v>23.749999999999996</v>
      </c>
      <c r="J48" s="13">
        <v>56588.3</v>
      </c>
      <c r="K48" s="13">
        <v>23.75</v>
      </c>
      <c r="L48" s="14">
        <v>6.4545047064096819E-2</v>
      </c>
      <c r="M48" s="23">
        <v>9</v>
      </c>
      <c r="N48" s="13">
        <v>4761.8193998097167</v>
      </c>
      <c r="O48" s="13">
        <v>0</v>
      </c>
      <c r="P48" s="13">
        <v>4761.8193998097167</v>
      </c>
      <c r="Q48" s="13">
        <v>6637.7864728898821</v>
      </c>
      <c r="T48" s="21"/>
    </row>
    <row r="49" spans="5:20" ht="15" customHeight="1" x14ac:dyDescent="0.25">
      <c r="E49" s="12">
        <v>38991</v>
      </c>
      <c r="F49" s="13">
        <v>23.723009404388716</v>
      </c>
      <c r="G49" s="13">
        <v>25.051567398119122</v>
      </c>
      <c r="H49" s="13">
        <v>23.575391849529783</v>
      </c>
      <c r="I49" s="13">
        <v>24.93</v>
      </c>
      <c r="J49" s="13">
        <v>61492.2</v>
      </c>
      <c r="K49" s="13">
        <v>24.93</v>
      </c>
      <c r="L49" s="14">
        <v>4.9684210526315796E-2</v>
      </c>
      <c r="M49" s="23">
        <v>10</v>
      </c>
      <c r="N49" s="13">
        <v>4998.4066373581582</v>
      </c>
      <c r="O49" s="13">
        <v>0</v>
      </c>
      <c r="P49" s="13">
        <v>4998.4066373581582</v>
      </c>
      <c r="Q49" s="13">
        <v>6967.5796534376741</v>
      </c>
      <c r="T49" s="21"/>
    </row>
    <row r="50" spans="5:20" ht="15" customHeight="1" x14ac:dyDescent="0.25">
      <c r="E50" s="12">
        <v>39022</v>
      </c>
      <c r="F50" s="13">
        <v>25.074673024523161</v>
      </c>
      <c r="G50" s="13">
        <v>26.137602179836513</v>
      </c>
      <c r="H50" s="13">
        <v>24.900422343324252</v>
      </c>
      <c r="I50" s="13">
        <v>25.58</v>
      </c>
      <c r="J50" s="13">
        <v>61544.7</v>
      </c>
      <c r="K50" s="13">
        <v>25.58</v>
      </c>
      <c r="L50" s="14">
        <v>2.6073004412354592E-2</v>
      </c>
      <c r="M50" s="23">
        <v>11</v>
      </c>
      <c r="N50" s="13">
        <v>5128.730115668739</v>
      </c>
      <c r="O50" s="13">
        <v>0</v>
      </c>
      <c r="P50" s="13">
        <v>5128.730115668739</v>
      </c>
      <c r="Q50" s="13">
        <v>7149.2453884851866</v>
      </c>
      <c r="T50" s="21"/>
    </row>
    <row r="51" spans="5:20" ht="15" customHeight="1" x14ac:dyDescent="0.25">
      <c r="E51" s="12">
        <v>39052</v>
      </c>
      <c r="F51" s="13">
        <v>25.461229068988615</v>
      </c>
      <c r="G51" s="13">
        <v>26.35842598794374</v>
      </c>
      <c r="H51" s="13">
        <v>25.086671131949096</v>
      </c>
      <c r="I51" s="13">
        <v>26.01</v>
      </c>
      <c r="J51" s="13">
        <v>58945</v>
      </c>
      <c r="K51" s="13">
        <v>26.01</v>
      </c>
      <c r="L51" s="14">
        <v>1.6810007818608291E-2</v>
      </c>
      <c r="M51" s="23">
        <v>12</v>
      </c>
      <c r="N51" s="13">
        <v>5214.944109012662</v>
      </c>
      <c r="O51" s="13">
        <v>0</v>
      </c>
      <c r="P51" s="13">
        <v>5214.944109012662</v>
      </c>
      <c r="Q51" s="13">
        <v>7269.4242593627714</v>
      </c>
      <c r="T51" s="21"/>
    </row>
    <row r="52" spans="5:20" ht="15" customHeight="1" x14ac:dyDescent="0.25">
      <c r="E52" s="12">
        <v>39083</v>
      </c>
      <c r="F52" s="13">
        <v>26.05252106286455</v>
      </c>
      <c r="G52" s="13">
        <v>27.420038885288399</v>
      </c>
      <c r="H52" s="13">
        <v>25.608295528191835</v>
      </c>
      <c r="I52" s="13">
        <v>26.88</v>
      </c>
      <c r="J52" s="13">
        <v>69924.3</v>
      </c>
      <c r="K52" s="13">
        <v>26.88</v>
      </c>
      <c r="L52" s="14">
        <v>3.3448673587081895E-2</v>
      </c>
      <c r="M52" s="23">
        <v>1</v>
      </c>
      <c r="N52" s="13">
        <v>5389.3770722899026</v>
      </c>
      <c r="O52" s="13">
        <v>0</v>
      </c>
      <c r="P52" s="13">
        <v>5389.3770722899026</v>
      </c>
      <c r="Q52" s="13">
        <v>7512.5768585802116</v>
      </c>
      <c r="T52" s="21"/>
    </row>
    <row r="53" spans="5:20" ht="15" customHeight="1" x14ac:dyDescent="0.25">
      <c r="E53" s="12">
        <v>39114</v>
      </c>
      <c r="F53" s="13">
        <v>26.96447284345048</v>
      </c>
      <c r="G53" s="13">
        <v>27.051906283280083</v>
      </c>
      <c r="H53" s="13">
        <v>24.297752928647494</v>
      </c>
      <c r="I53" s="13">
        <v>24.630000000000003</v>
      </c>
      <c r="J53" s="13">
        <v>72483.3</v>
      </c>
      <c r="K53" s="13">
        <v>24.63</v>
      </c>
      <c r="L53" s="14">
        <v>-8.3705357142857137E-2</v>
      </c>
      <c r="M53" s="23">
        <v>2</v>
      </c>
      <c r="N53" s="13">
        <v>4938.257339676351</v>
      </c>
      <c r="O53" s="13">
        <v>0</v>
      </c>
      <c r="P53" s="13">
        <v>4938.257339676351</v>
      </c>
      <c r="Q53" s="13">
        <v>6883.7339295695911</v>
      </c>
      <c r="T53" s="21"/>
    </row>
    <row r="54" spans="5:20" ht="15" customHeight="1" x14ac:dyDescent="0.25">
      <c r="E54" s="12">
        <v>39142</v>
      </c>
      <c r="F54" s="13">
        <v>24.316297093649084</v>
      </c>
      <c r="G54" s="13">
        <v>24.954359526372443</v>
      </c>
      <c r="H54" s="13">
        <v>23.249946178686759</v>
      </c>
      <c r="I54" s="13">
        <v>24.36</v>
      </c>
      <c r="J54" s="13">
        <v>59843.9</v>
      </c>
      <c r="K54" s="13">
        <v>24.36</v>
      </c>
      <c r="L54" s="14">
        <v>-1.0962241169305725E-2</v>
      </c>
      <c r="M54" s="23">
        <v>3</v>
      </c>
      <c r="N54" s="13">
        <v>4884.1229717627239</v>
      </c>
      <c r="O54" s="13">
        <v>0</v>
      </c>
      <c r="P54" s="13">
        <v>4884.1229717627239</v>
      </c>
      <c r="Q54" s="13">
        <v>6808.272778088317</v>
      </c>
      <c r="T54" s="21"/>
    </row>
    <row r="55" spans="5:20" ht="15" customHeight="1" x14ac:dyDescent="0.25">
      <c r="E55" s="12">
        <v>39173</v>
      </c>
      <c r="F55" s="13">
        <v>24.378132932531731</v>
      </c>
      <c r="G55" s="13">
        <v>26.869265197060788</v>
      </c>
      <c r="H55" s="13">
        <v>24.089686038744155</v>
      </c>
      <c r="I55" s="13">
        <v>26.169999999999998</v>
      </c>
      <c r="J55" s="13">
        <v>51337.599999999999</v>
      </c>
      <c r="K55" s="13">
        <v>26.17</v>
      </c>
      <c r="L55" s="14">
        <v>7.430213464696224E-2</v>
      </c>
      <c r="M55" s="23">
        <v>4</v>
      </c>
      <c r="N55" s="13">
        <v>5247.0237344429597</v>
      </c>
      <c r="O55" s="13">
        <v>0</v>
      </c>
      <c r="P55" s="13">
        <v>5247.0237344429597</v>
      </c>
      <c r="Q55" s="13">
        <v>7314.141978759083</v>
      </c>
      <c r="T55" s="21"/>
    </row>
    <row r="56" spans="5:20" ht="15" customHeight="1" x14ac:dyDescent="0.25">
      <c r="E56" s="12">
        <v>39203</v>
      </c>
      <c r="F56" s="13">
        <v>26.262130987292277</v>
      </c>
      <c r="G56" s="13">
        <v>27.33226458129684</v>
      </c>
      <c r="H56" s="13">
        <v>26.227044639947867</v>
      </c>
      <c r="I56" s="13">
        <v>26.919999999999998</v>
      </c>
      <c r="J56" s="13">
        <v>64202</v>
      </c>
      <c r="K56" s="13">
        <v>26.92</v>
      </c>
      <c r="L56" s="14">
        <v>2.865876958349255E-2</v>
      </c>
      <c r="M56" s="23">
        <v>5</v>
      </c>
      <c r="N56" s="13">
        <v>5397.3969786474763</v>
      </c>
      <c r="O56" s="13">
        <v>0</v>
      </c>
      <c r="P56" s="13">
        <v>5397.3969786474763</v>
      </c>
      <c r="Q56" s="13">
        <v>7523.7562884292893</v>
      </c>
      <c r="T56" s="21"/>
    </row>
    <row r="57" spans="5:20" ht="15" customHeight="1" x14ac:dyDescent="0.25">
      <c r="E57" s="12">
        <v>39234</v>
      </c>
      <c r="F57" s="13">
        <v>27.007855446216492</v>
      </c>
      <c r="G57" s="13">
        <v>27.104343400067865</v>
      </c>
      <c r="H57" s="13">
        <v>25.472819816762808</v>
      </c>
      <c r="I57" s="13">
        <v>25.85</v>
      </c>
      <c r="J57" s="13">
        <v>59647.9</v>
      </c>
      <c r="K57" s="13">
        <v>25.85</v>
      </c>
      <c r="L57" s="14">
        <v>-3.9747399702823177E-2</v>
      </c>
      <c r="M57" s="23">
        <v>6</v>
      </c>
      <c r="N57" s="13">
        <v>0</v>
      </c>
      <c r="O57" s="13">
        <v>5182.8644835823652</v>
      </c>
      <c r="P57" s="13">
        <v>5182.8644835823652</v>
      </c>
      <c r="Q57" s="13">
        <v>7224.7065399664616</v>
      </c>
      <c r="T57" s="21"/>
    </row>
    <row r="58" spans="5:20" ht="15" customHeight="1" x14ac:dyDescent="0.25">
      <c r="E58" s="12">
        <v>39264</v>
      </c>
      <c r="F58" s="13">
        <v>26.016260779579166</v>
      </c>
      <c r="G58" s="13">
        <v>27.919034149706793</v>
      </c>
      <c r="H58" s="13">
        <v>25.384925836495341</v>
      </c>
      <c r="I58" s="13">
        <v>25.419999999999998</v>
      </c>
      <c r="J58" s="13">
        <v>64862</v>
      </c>
      <c r="K58" s="13">
        <v>25.42</v>
      </c>
      <c r="L58" s="14">
        <v>-1.6634429400386848E-2</v>
      </c>
      <c r="M58" s="23">
        <v>7</v>
      </c>
      <c r="N58" s="13">
        <v>0</v>
      </c>
      <c r="O58" s="13">
        <v>5182.8644835823652</v>
      </c>
      <c r="P58" s="13">
        <v>5182.8644835823652</v>
      </c>
      <c r="Q58" s="13">
        <v>7104.5276690888759</v>
      </c>
    </row>
    <row r="59" spans="5:20" ht="15" customHeight="1" x14ac:dyDescent="0.25">
      <c r="E59" s="12">
        <v>39295</v>
      </c>
      <c r="F59" s="13">
        <v>25.473581621997912</v>
      </c>
      <c r="G59" s="13">
        <v>26.485485555168815</v>
      </c>
      <c r="H59" s="13">
        <v>24.206501914375217</v>
      </c>
      <c r="I59" s="13">
        <v>25.279999999999998</v>
      </c>
      <c r="J59" s="13">
        <v>55264.800000000003</v>
      </c>
      <c r="K59" s="13">
        <v>25.28</v>
      </c>
      <c r="L59" s="14">
        <v>-5.5074744295830055E-3</v>
      </c>
      <c r="M59" s="23">
        <v>8</v>
      </c>
      <c r="N59" s="13">
        <v>0</v>
      </c>
      <c r="O59" s="13">
        <v>5182.8644835823652</v>
      </c>
      <c r="P59" s="13">
        <v>5182.8644835823652</v>
      </c>
      <c r="Q59" s="13">
        <v>7065.3996646171045</v>
      </c>
    </row>
    <row r="60" spans="5:20" ht="15" customHeight="1" x14ac:dyDescent="0.25">
      <c r="E60" s="12">
        <v>39326</v>
      </c>
      <c r="F60" s="13">
        <v>25.085030549898168</v>
      </c>
      <c r="G60" s="13">
        <v>26.273268839103871</v>
      </c>
      <c r="H60" s="13">
        <v>24.882589952477936</v>
      </c>
      <c r="I60" s="13">
        <v>25.93</v>
      </c>
      <c r="J60" s="13">
        <v>61223</v>
      </c>
      <c r="K60" s="13">
        <v>25.93</v>
      </c>
      <c r="L60" s="14">
        <v>2.5712025316455694E-2</v>
      </c>
      <c r="M60" s="23">
        <v>9</v>
      </c>
      <c r="N60" s="13">
        <v>5182.8644835823652</v>
      </c>
      <c r="O60" s="13">
        <v>0</v>
      </c>
      <c r="P60" s="13">
        <v>5182.8644835823652</v>
      </c>
      <c r="Q60" s="13">
        <v>7247.0653996646161</v>
      </c>
    </row>
    <row r="61" spans="5:20" ht="15" customHeight="1" x14ac:dyDescent="0.25">
      <c r="E61" s="12">
        <v>39356</v>
      </c>
      <c r="F61" s="13">
        <v>25.930562347188264</v>
      </c>
      <c r="G61" s="13">
        <v>32.567237163814184</v>
      </c>
      <c r="H61" s="13">
        <v>25.780929095354523</v>
      </c>
      <c r="I61" s="13">
        <v>32.4</v>
      </c>
      <c r="J61" s="13">
        <v>85080.9</v>
      </c>
      <c r="K61" s="13">
        <v>32.4</v>
      </c>
      <c r="L61" s="14">
        <v>0.24951793289625918</v>
      </c>
      <c r="M61" s="23">
        <v>10</v>
      </c>
      <c r="N61" s="13">
        <v>6476.0821160072746</v>
      </c>
      <c r="O61" s="13">
        <v>0</v>
      </c>
      <c r="P61" s="13">
        <v>6476.0821160072746</v>
      </c>
      <c r="Q61" s="13">
        <v>9055.3381777529357</v>
      </c>
    </row>
    <row r="62" spans="5:20" ht="15" customHeight="1" x14ac:dyDescent="0.25">
      <c r="E62" s="12">
        <v>39387</v>
      </c>
      <c r="F62" s="13">
        <v>32.25729464285714</v>
      </c>
      <c r="G62" s="13">
        <v>33.113839285714285</v>
      </c>
      <c r="H62" s="13">
        <v>28.857607142857141</v>
      </c>
      <c r="I62" s="13">
        <v>29.669999999999998</v>
      </c>
      <c r="J62" s="13">
        <v>90498.8</v>
      </c>
      <c r="K62" s="13">
        <v>29.67</v>
      </c>
      <c r="L62" s="14">
        <v>-8.4259259259259256E-2</v>
      </c>
      <c r="M62" s="23">
        <v>11</v>
      </c>
      <c r="N62" s="13">
        <v>5930.4122340103659</v>
      </c>
      <c r="O62" s="13">
        <v>0</v>
      </c>
      <c r="P62" s="13">
        <v>5930.4122340103659</v>
      </c>
      <c r="Q62" s="13">
        <v>8292.3420905533821</v>
      </c>
    </row>
    <row r="63" spans="5:20" ht="15" customHeight="1" x14ac:dyDescent="0.25">
      <c r="E63" s="12">
        <v>39417</v>
      </c>
      <c r="F63" s="13">
        <v>29.575983146067415</v>
      </c>
      <c r="G63" s="13">
        <v>32.418808988764042</v>
      </c>
      <c r="H63" s="13">
        <v>28.807890449438201</v>
      </c>
      <c r="I63" s="13">
        <v>31.43</v>
      </c>
      <c r="J63" s="13">
        <v>55002.3</v>
      </c>
      <c r="K63" s="13">
        <v>31.43</v>
      </c>
      <c r="L63" s="14">
        <v>5.9319177620492082E-2</v>
      </c>
      <c r="M63" s="23">
        <v>12</v>
      </c>
      <c r="N63" s="13">
        <v>6282.1994106823659</v>
      </c>
      <c r="O63" s="13">
        <v>0</v>
      </c>
      <c r="P63" s="13">
        <v>6282.1994106823659</v>
      </c>
      <c r="Q63" s="13">
        <v>8784.2370039128</v>
      </c>
    </row>
    <row r="64" spans="5:20" ht="15" customHeight="1" x14ac:dyDescent="0.25">
      <c r="E64" s="12">
        <v>39448</v>
      </c>
      <c r="F64" s="13">
        <v>31.607180981595089</v>
      </c>
      <c r="G64" s="13">
        <v>31.757312883435581</v>
      </c>
      <c r="H64" s="13">
        <v>27.412319018404908</v>
      </c>
      <c r="I64" s="13">
        <v>28.79</v>
      </c>
      <c r="J64" s="13">
        <v>97806.8</v>
      </c>
      <c r="K64" s="13">
        <v>28.79</v>
      </c>
      <c r="L64" s="14">
        <v>-8.3996181991727648E-2</v>
      </c>
      <c r="M64" s="23">
        <v>1</v>
      </c>
      <c r="N64" s="13">
        <v>5754.5186456743659</v>
      </c>
      <c r="O64" s="13">
        <v>0</v>
      </c>
      <c r="P64" s="13">
        <v>5754.5186456743659</v>
      </c>
      <c r="Q64" s="13">
        <v>8046.3946338736732</v>
      </c>
    </row>
    <row r="65" spans="5:17" ht="15" customHeight="1" x14ac:dyDescent="0.25">
      <c r="E65" s="12">
        <v>39479</v>
      </c>
      <c r="F65" s="13">
        <v>27.531492647058823</v>
      </c>
      <c r="G65" s="13">
        <v>29.472702205882353</v>
      </c>
      <c r="H65" s="13">
        <v>23.950448529411762</v>
      </c>
      <c r="I65" s="13">
        <v>24.11</v>
      </c>
      <c r="J65" s="13">
        <v>122053.5</v>
      </c>
      <c r="K65" s="13">
        <v>24.11</v>
      </c>
      <c r="L65" s="14">
        <v>-0.16255644320944773</v>
      </c>
      <c r="M65" s="23">
        <v>2</v>
      </c>
      <c r="N65" s="13">
        <v>4819.0845622510924</v>
      </c>
      <c r="O65" s="13">
        <v>0</v>
      </c>
      <c r="P65" s="13">
        <v>4819.0845622510924</v>
      </c>
      <c r="Q65" s="13">
        <v>6738.4013415315812</v>
      </c>
    </row>
    <row r="66" spans="5:17" ht="15" customHeight="1" x14ac:dyDescent="0.25">
      <c r="E66" s="12">
        <v>39508</v>
      </c>
      <c r="F66" s="13">
        <v>24.149344608879495</v>
      </c>
      <c r="G66" s="13">
        <v>26.232713178294574</v>
      </c>
      <c r="H66" s="13">
        <v>23.821324876673714</v>
      </c>
      <c r="I66" s="13">
        <v>25.16</v>
      </c>
      <c r="J66" s="13">
        <v>74958.5</v>
      </c>
      <c r="K66" s="13">
        <v>25.16</v>
      </c>
      <c r="L66" s="14">
        <v>4.3550394027374532E-2</v>
      </c>
      <c r="M66" s="23">
        <v>3</v>
      </c>
      <c r="N66" s="13">
        <v>5028.9575937883656</v>
      </c>
      <c r="O66" s="13">
        <v>0</v>
      </c>
      <c r="P66" s="13">
        <v>5028.9575937883656</v>
      </c>
      <c r="Q66" s="13">
        <v>7031.8613750698705</v>
      </c>
    </row>
    <row r="67" spans="5:17" ht="15" customHeight="1" x14ac:dyDescent="0.25">
      <c r="E67" s="12">
        <v>39539</v>
      </c>
      <c r="F67" s="13">
        <v>25.55478260869565</v>
      </c>
      <c r="G67" s="13">
        <v>28.45329593267882</v>
      </c>
      <c r="H67" s="13">
        <v>24.757026647966342</v>
      </c>
      <c r="I67" s="13">
        <v>25.279999999999998</v>
      </c>
      <c r="J67" s="13">
        <v>69066</v>
      </c>
      <c r="K67" s="13">
        <v>25.28</v>
      </c>
      <c r="L67" s="14">
        <v>4.7694753577106523E-3</v>
      </c>
      <c r="M67" s="23">
        <v>4</v>
      </c>
      <c r="N67" s="13">
        <v>5052.9430831069112</v>
      </c>
      <c r="O67" s="13">
        <v>0</v>
      </c>
      <c r="P67" s="13">
        <v>5052.9430831069112</v>
      </c>
      <c r="Q67" s="13">
        <v>7065.3996646171045</v>
      </c>
    </row>
    <row r="68" spans="5:17" ht="15" customHeight="1" x14ac:dyDescent="0.25">
      <c r="E68" s="12">
        <v>39569</v>
      </c>
      <c r="F68" s="13">
        <v>25.360169491525422</v>
      </c>
      <c r="G68" s="13">
        <v>27.166525423728814</v>
      </c>
      <c r="H68" s="13">
        <v>24.870762711864408</v>
      </c>
      <c r="I68" s="13">
        <v>25.2</v>
      </c>
      <c r="J68" s="13">
        <v>69931.8</v>
      </c>
      <c r="K68" s="13">
        <v>25.2</v>
      </c>
      <c r="L68" s="14">
        <v>-3.1645569620253164E-3</v>
      </c>
      <c r="M68" s="23">
        <v>5</v>
      </c>
      <c r="N68" s="13">
        <v>5036.9527568945468</v>
      </c>
      <c r="O68" s="13">
        <v>0</v>
      </c>
      <c r="P68" s="13">
        <v>5036.9527568945468</v>
      </c>
      <c r="Q68" s="13">
        <v>7043.0408049189482</v>
      </c>
    </row>
    <row r="69" spans="5:17" ht="15" customHeight="1" x14ac:dyDescent="0.25">
      <c r="E69" s="12">
        <v>39600</v>
      </c>
      <c r="F69" s="13">
        <v>25.129596510359871</v>
      </c>
      <c r="G69" s="13">
        <v>26.313107960741551</v>
      </c>
      <c r="H69" s="13">
        <v>24.124056706652127</v>
      </c>
      <c r="I69" s="13">
        <v>24.48</v>
      </c>
      <c r="J69" s="13">
        <v>77058.100000000006</v>
      </c>
      <c r="K69" s="13">
        <v>24.48</v>
      </c>
      <c r="L69" s="14">
        <v>-2.8571428571428574E-2</v>
      </c>
      <c r="M69" s="23">
        <v>6</v>
      </c>
      <c r="N69" s="13">
        <v>0</v>
      </c>
      <c r="O69" s="13">
        <v>4893.0398209832747</v>
      </c>
      <c r="P69" s="13">
        <v>4893.0398209832747</v>
      </c>
      <c r="Q69" s="13">
        <v>6841.81106763555</v>
      </c>
    </row>
    <row r="70" spans="5:17" ht="15" customHeight="1" x14ac:dyDescent="0.25">
      <c r="E70" s="12">
        <v>39630</v>
      </c>
      <c r="F70" s="13">
        <v>24.258849144634524</v>
      </c>
      <c r="G70" s="13">
        <v>24.828180404354587</v>
      </c>
      <c r="H70" s="13">
        <v>22.123856920684293</v>
      </c>
      <c r="I70" s="13">
        <v>22.880000000000003</v>
      </c>
      <c r="J70" s="13">
        <v>77180.100000000006</v>
      </c>
      <c r="K70" s="13">
        <v>22.88</v>
      </c>
      <c r="L70" s="14">
        <v>-6.535947712418301E-2</v>
      </c>
      <c r="M70" s="23">
        <v>7</v>
      </c>
      <c r="N70" s="13">
        <v>0</v>
      </c>
      <c r="O70" s="13">
        <v>4893.0398209832747</v>
      </c>
      <c r="P70" s="13">
        <v>4893.0398209832747</v>
      </c>
      <c r="Q70" s="13">
        <v>6394.633873672442</v>
      </c>
    </row>
    <row r="71" spans="5:17" ht="15" customHeight="1" x14ac:dyDescent="0.25">
      <c r="E71" s="12">
        <v>39661</v>
      </c>
      <c r="F71" s="13">
        <v>23.156086478563576</v>
      </c>
      <c r="G71" s="13">
        <v>25.46097471601319</v>
      </c>
      <c r="H71" s="13">
        <v>22.396724074752655</v>
      </c>
      <c r="I71" s="13">
        <v>24.380000000000003</v>
      </c>
      <c r="J71" s="13">
        <v>59889.7</v>
      </c>
      <c r="K71" s="13">
        <v>24.38</v>
      </c>
      <c r="L71" s="14">
        <v>6.5559440559440574E-2</v>
      </c>
      <c r="M71" s="23">
        <v>8</v>
      </c>
      <c r="N71" s="13">
        <v>0</v>
      </c>
      <c r="O71" s="13">
        <v>4893.0398209832747</v>
      </c>
      <c r="P71" s="13">
        <v>4893.0398209832747</v>
      </c>
      <c r="Q71" s="13">
        <v>6813.8624930128553</v>
      </c>
    </row>
    <row r="72" spans="5:17" ht="15" customHeight="1" x14ac:dyDescent="0.25">
      <c r="E72" s="12">
        <v>39692</v>
      </c>
      <c r="F72" s="13">
        <v>24.715354065192955</v>
      </c>
      <c r="G72" s="13">
        <v>24.795743724241287</v>
      </c>
      <c r="H72" s="13">
        <v>20.990633195953539</v>
      </c>
      <c r="I72" s="13">
        <v>23.84</v>
      </c>
      <c r="J72" s="13">
        <v>96891.9</v>
      </c>
      <c r="K72" s="13">
        <v>23.84</v>
      </c>
      <c r="L72" s="14">
        <v>-2.2149302707136997E-2</v>
      </c>
      <c r="M72" s="23">
        <v>9</v>
      </c>
      <c r="N72" s="13">
        <v>4893.0398209832747</v>
      </c>
      <c r="O72" s="13">
        <v>0</v>
      </c>
      <c r="P72" s="13">
        <v>4893.0398209832747</v>
      </c>
      <c r="Q72" s="13">
        <v>6662.9401900503071</v>
      </c>
    </row>
    <row r="73" spans="5:17" ht="15" customHeight="1" x14ac:dyDescent="0.25">
      <c r="E73" s="12">
        <v>39722</v>
      </c>
      <c r="F73" s="13">
        <v>23.56833855799373</v>
      </c>
      <c r="G73" s="13">
        <v>24.542163009404391</v>
      </c>
      <c r="H73" s="13">
        <v>18.449059561128525</v>
      </c>
      <c r="I73" s="13">
        <v>19.950000000000003</v>
      </c>
      <c r="J73" s="13">
        <v>136418.79999999999</v>
      </c>
      <c r="K73" s="13">
        <v>19.95</v>
      </c>
      <c r="L73" s="14">
        <v>-0.16317114093959731</v>
      </c>
      <c r="M73" s="23">
        <v>10</v>
      </c>
      <c r="N73" s="13">
        <v>4094.6369307305508</v>
      </c>
      <c r="O73" s="13">
        <v>0</v>
      </c>
      <c r="P73" s="13">
        <v>4094.6369307305508</v>
      </c>
      <c r="Q73" s="13">
        <v>5575.7406372275009</v>
      </c>
    </row>
    <row r="74" spans="5:17" ht="15" customHeight="1" x14ac:dyDescent="0.25">
      <c r="E74" s="12">
        <v>39753</v>
      </c>
      <c r="F74" s="13">
        <v>20.2119881305638</v>
      </c>
      <c r="G74" s="13">
        <v>21.27293768545994</v>
      </c>
      <c r="H74" s="13">
        <v>15.734421364985163</v>
      </c>
      <c r="I74" s="13">
        <v>18.18</v>
      </c>
      <c r="J74" s="13">
        <v>95976.9</v>
      </c>
      <c r="K74" s="13">
        <v>18.18</v>
      </c>
      <c r="L74" s="14">
        <v>-8.8721804511278202E-2</v>
      </c>
      <c r="M74" s="23">
        <v>11</v>
      </c>
      <c r="N74" s="13">
        <v>3731.3533534176145</v>
      </c>
      <c r="O74" s="13">
        <v>0</v>
      </c>
      <c r="P74" s="13">
        <v>3731.3533534176145</v>
      </c>
      <c r="Q74" s="13">
        <v>5081.0508664058125</v>
      </c>
    </row>
    <row r="75" spans="5:17" ht="15" customHeight="1" x14ac:dyDescent="0.25">
      <c r="E75" s="12">
        <v>39783</v>
      </c>
      <c r="F75" s="13">
        <v>17.875637860082303</v>
      </c>
      <c r="G75" s="13">
        <v>19.107510288065843</v>
      </c>
      <c r="H75" s="13">
        <v>16.607798353909466</v>
      </c>
      <c r="I75" s="13">
        <v>17.48</v>
      </c>
      <c r="J75" s="13">
        <v>72425.5</v>
      </c>
      <c r="K75" s="13">
        <v>17.48</v>
      </c>
      <c r="L75" s="14">
        <v>-3.8503850385038507E-2</v>
      </c>
      <c r="M75" s="23">
        <v>12</v>
      </c>
      <c r="N75" s="13">
        <v>3587.6818821639108</v>
      </c>
      <c r="O75" s="13">
        <v>0</v>
      </c>
      <c r="P75" s="13">
        <v>3587.6818821639108</v>
      </c>
      <c r="Q75" s="13">
        <v>4885.4108440469527</v>
      </c>
    </row>
    <row r="76" spans="5:17" ht="15" customHeight="1" x14ac:dyDescent="0.25">
      <c r="E76" s="12">
        <v>39814</v>
      </c>
      <c r="F76" s="13">
        <v>17.565578947368419</v>
      </c>
      <c r="G76" s="13">
        <v>18.887719298245614</v>
      </c>
      <c r="H76" s="13">
        <v>15.065204678362573</v>
      </c>
      <c r="I76" s="13">
        <v>15.379999999999999</v>
      </c>
      <c r="J76" s="13">
        <v>81319.399999999994</v>
      </c>
      <c r="K76" s="13">
        <v>15.38</v>
      </c>
      <c r="L76" s="14">
        <v>-0.12013729977116705</v>
      </c>
      <c r="M76" s="23">
        <v>1</v>
      </c>
      <c r="N76" s="13">
        <v>3156.6674684028003</v>
      </c>
      <c r="O76" s="13">
        <v>0</v>
      </c>
      <c r="P76" s="13">
        <v>3156.6674684028003</v>
      </c>
      <c r="Q76" s="13">
        <v>4298.4907769703741</v>
      </c>
    </row>
    <row r="77" spans="5:17" ht="15" customHeight="1" x14ac:dyDescent="0.25">
      <c r="E77" s="12">
        <v>39845</v>
      </c>
      <c r="F77" s="13">
        <v>15.416631578947367</v>
      </c>
      <c r="G77" s="13">
        <v>18.041894736842107</v>
      </c>
      <c r="H77" s="13">
        <v>14.574736842105263</v>
      </c>
      <c r="I77" s="13">
        <v>14.62</v>
      </c>
      <c r="J77" s="13">
        <v>81560</v>
      </c>
      <c r="K77" s="13">
        <v>14.62</v>
      </c>
      <c r="L77" s="14">
        <v>-4.9414824447334207E-2</v>
      </c>
      <c r="M77" s="23">
        <v>2</v>
      </c>
      <c r="N77" s="13">
        <v>3000.6812996130652</v>
      </c>
      <c r="O77" s="13">
        <v>0</v>
      </c>
      <c r="P77" s="13">
        <v>3000.6812996130652</v>
      </c>
      <c r="Q77" s="13">
        <v>4086.0816098378978</v>
      </c>
    </row>
    <row r="78" spans="5:17" ht="15" customHeight="1" x14ac:dyDescent="0.25">
      <c r="E78" s="12">
        <v>39873</v>
      </c>
      <c r="F78" s="13">
        <v>14.448274360370169</v>
      </c>
      <c r="G78" s="13">
        <v>17.091692977680999</v>
      </c>
      <c r="H78" s="13">
        <v>13.461518780620576</v>
      </c>
      <c r="I78" s="13">
        <v>16.63</v>
      </c>
      <c r="J78" s="13">
        <v>78069.100000000006</v>
      </c>
      <c r="K78" s="13">
        <v>16.63</v>
      </c>
      <c r="L78" s="14">
        <v>0.1374829001367989</v>
      </c>
      <c r="M78" s="23">
        <v>3</v>
      </c>
      <c r="N78" s="13">
        <v>3413.2236670701282</v>
      </c>
      <c r="O78" s="13">
        <v>0</v>
      </c>
      <c r="P78" s="13">
        <v>3413.2236670701282</v>
      </c>
      <c r="Q78" s="13">
        <v>4647.8479597540518</v>
      </c>
    </row>
    <row r="79" spans="5:17" ht="15" customHeight="1" x14ac:dyDescent="0.25">
      <c r="E79" s="12">
        <v>39904</v>
      </c>
      <c r="F79" s="13">
        <v>16.502379072063178</v>
      </c>
      <c r="G79" s="13">
        <v>19.19091806515301</v>
      </c>
      <c r="H79" s="13">
        <v>16.457117472852911</v>
      </c>
      <c r="I79" s="13">
        <v>18.34</v>
      </c>
      <c r="J79" s="13">
        <v>78563.8</v>
      </c>
      <c r="K79" s="13">
        <v>18.34</v>
      </c>
      <c r="L79" s="14">
        <v>0.10282621767889356</v>
      </c>
      <c r="M79" s="23">
        <v>4</v>
      </c>
      <c r="N79" s="13">
        <v>3764.1925468470322</v>
      </c>
      <c r="O79" s="13">
        <v>0</v>
      </c>
      <c r="P79" s="13">
        <v>3764.1925468470322</v>
      </c>
      <c r="Q79" s="13">
        <v>5125.7685858021241</v>
      </c>
    </row>
    <row r="80" spans="5:17" ht="15" customHeight="1" x14ac:dyDescent="0.25">
      <c r="E80" s="12">
        <v>39934</v>
      </c>
      <c r="F80" s="13">
        <v>18.40199138343705</v>
      </c>
      <c r="G80" s="13">
        <v>19.085572044040212</v>
      </c>
      <c r="H80" s="13">
        <v>17.326491144088081</v>
      </c>
      <c r="I80" s="13">
        <v>19.04</v>
      </c>
      <c r="J80" s="13">
        <v>57362.8</v>
      </c>
      <c r="K80" s="13">
        <v>19.04</v>
      </c>
      <c r="L80" s="14">
        <v>3.8167938931297711E-2</v>
      </c>
      <c r="M80" s="23">
        <v>5</v>
      </c>
      <c r="N80" s="13">
        <v>3907.8640181007358</v>
      </c>
      <c r="O80" s="13">
        <v>0</v>
      </c>
      <c r="P80" s="13">
        <v>3907.8640181007358</v>
      </c>
      <c r="Q80" s="13">
        <v>5321.408608160983</v>
      </c>
    </row>
    <row r="81" spans="5:17" ht="15" customHeight="1" x14ac:dyDescent="0.25">
      <c r="E81" s="12">
        <v>39965</v>
      </c>
      <c r="F81" s="13">
        <v>19.135885570046277</v>
      </c>
      <c r="G81" s="13">
        <v>22.179402608329827</v>
      </c>
      <c r="H81" s="13">
        <v>19.008312999579303</v>
      </c>
      <c r="I81" s="13">
        <v>21.659999999999997</v>
      </c>
      <c r="J81" s="13">
        <v>67163.5</v>
      </c>
      <c r="K81" s="13">
        <v>21.66</v>
      </c>
      <c r="L81" s="14">
        <v>0.13760504201680673</v>
      </c>
      <c r="M81" s="23">
        <v>6</v>
      </c>
      <c r="N81" s="13">
        <v>0</v>
      </c>
      <c r="O81" s="13">
        <v>4445.6058105074553</v>
      </c>
      <c r="P81" s="13">
        <v>4445.6058105074553</v>
      </c>
      <c r="Q81" s="13">
        <v>6053.6612632755732</v>
      </c>
    </row>
    <row r="82" spans="5:17" ht="15" customHeight="1" x14ac:dyDescent="0.25">
      <c r="E82" s="12">
        <v>39995</v>
      </c>
      <c r="F82" s="13">
        <v>21.912903911564626</v>
      </c>
      <c r="G82" s="13">
        <v>23.434506802721089</v>
      </c>
      <c r="H82" s="13">
        <v>20.045068027210885</v>
      </c>
      <c r="I82" s="13">
        <v>21.43</v>
      </c>
      <c r="J82" s="13">
        <v>71441.7</v>
      </c>
      <c r="K82" s="13">
        <v>21.43</v>
      </c>
      <c r="L82" s="14">
        <v>-1.0618651892890119E-2</v>
      </c>
      <c r="M82" s="23">
        <v>7</v>
      </c>
      <c r="N82" s="13">
        <v>0</v>
      </c>
      <c r="O82" s="13">
        <v>4445.6058105074553</v>
      </c>
      <c r="P82" s="13">
        <v>4445.6058105074553</v>
      </c>
      <c r="Q82" s="13">
        <v>5989.3795416433759</v>
      </c>
    </row>
    <row r="83" spans="5:17" ht="15" customHeight="1" x14ac:dyDescent="0.25">
      <c r="E83" s="12">
        <v>40026</v>
      </c>
      <c r="F83" s="13">
        <v>21.829363083164299</v>
      </c>
      <c r="G83" s="13">
        <v>23.359801217038537</v>
      </c>
      <c r="H83" s="13">
        <v>21.105383367139957</v>
      </c>
      <c r="I83" s="13">
        <v>22.59</v>
      </c>
      <c r="J83" s="13">
        <v>49659.199999999997</v>
      </c>
      <c r="K83" s="13">
        <v>22.59</v>
      </c>
      <c r="L83" s="14">
        <v>5.4129724685021002E-2</v>
      </c>
      <c r="M83" s="23">
        <v>8</v>
      </c>
      <c r="N83" s="13">
        <v>0</v>
      </c>
      <c r="O83" s="13">
        <v>4445.6058105074553</v>
      </c>
      <c r="P83" s="13">
        <v>4445.6058105074553</v>
      </c>
      <c r="Q83" s="13">
        <v>6313.5830072666286</v>
      </c>
    </row>
    <row r="84" spans="5:17" ht="15" customHeight="1" x14ac:dyDescent="0.25">
      <c r="E84" s="12">
        <v>40057</v>
      </c>
      <c r="F84" s="13">
        <v>22.314521772939344</v>
      </c>
      <c r="G84" s="13">
        <v>24.05569595645412</v>
      </c>
      <c r="H84" s="13">
        <v>21.773841368584758</v>
      </c>
      <c r="I84" s="13">
        <v>23.57</v>
      </c>
      <c r="J84" s="13">
        <v>52500.6</v>
      </c>
      <c r="K84" s="13">
        <v>23.57</v>
      </c>
      <c r="L84" s="14">
        <v>4.3382027445772471E-2</v>
      </c>
      <c r="M84" s="23">
        <v>9</v>
      </c>
      <c r="N84" s="13">
        <v>4445.6058105074553</v>
      </c>
      <c r="O84" s="13">
        <v>0</v>
      </c>
      <c r="P84" s="13">
        <v>4445.6058105074553</v>
      </c>
      <c r="Q84" s="13">
        <v>6587.4790385690321</v>
      </c>
    </row>
    <row r="85" spans="5:17" ht="15" customHeight="1" x14ac:dyDescent="0.25">
      <c r="E85" s="12">
        <v>40087</v>
      </c>
      <c r="F85" s="13">
        <v>23.284100252434186</v>
      </c>
      <c r="G85" s="13">
        <v>26.894464478903711</v>
      </c>
      <c r="H85" s="13">
        <v>22.38609087630725</v>
      </c>
      <c r="I85" s="13">
        <v>25.41</v>
      </c>
      <c r="J85" s="13">
        <v>72581.899999999994</v>
      </c>
      <c r="K85" s="13">
        <v>25.41</v>
      </c>
      <c r="L85" s="14">
        <v>7.8065337293169293E-2</v>
      </c>
      <c r="M85" s="23">
        <v>10</v>
      </c>
      <c r="N85" s="13">
        <v>4792.6535275771921</v>
      </c>
      <c r="O85" s="13">
        <v>0</v>
      </c>
      <c r="P85" s="13">
        <v>4792.6535275771921</v>
      </c>
      <c r="Q85" s="13">
        <v>7101.7328116266062</v>
      </c>
    </row>
    <row r="86" spans="5:17" ht="15" customHeight="1" x14ac:dyDescent="0.25">
      <c r="E86" s="12">
        <v>40118</v>
      </c>
      <c r="F86" s="13">
        <v>25.496055763345797</v>
      </c>
      <c r="G86" s="13">
        <v>27.741917715062904</v>
      </c>
      <c r="H86" s="13">
        <v>25.229129547772867</v>
      </c>
      <c r="I86" s="13">
        <v>27.07</v>
      </c>
      <c r="J86" s="13">
        <v>53121.4</v>
      </c>
      <c r="K86" s="13">
        <v>27.07</v>
      </c>
      <c r="L86" s="14">
        <v>6.5328610783156243E-2</v>
      </c>
      <c r="M86" s="23">
        <v>11</v>
      </c>
      <c r="N86" s="13">
        <v>5105.7509244988041</v>
      </c>
      <c r="O86" s="13">
        <v>0</v>
      </c>
      <c r="P86" s="13">
        <v>5105.7509244988041</v>
      </c>
      <c r="Q86" s="13">
        <v>7565.6791503633303</v>
      </c>
    </row>
    <row r="87" spans="5:17" ht="15" customHeight="1" x14ac:dyDescent="0.25">
      <c r="E87" s="12">
        <v>40148</v>
      </c>
      <c r="F87" s="13">
        <v>27.166535433070866</v>
      </c>
      <c r="G87" s="13">
        <v>28.988681102362204</v>
      </c>
      <c r="H87" s="13">
        <v>26.918061023622045</v>
      </c>
      <c r="I87" s="13">
        <v>28.049999999999997</v>
      </c>
      <c r="J87" s="13">
        <v>43297</v>
      </c>
      <c r="K87" s="13">
        <v>28.05</v>
      </c>
      <c r="L87" s="14">
        <v>3.6202438123383821E-2</v>
      </c>
      <c r="M87" s="23">
        <v>12</v>
      </c>
      <c r="N87" s="13">
        <v>5290.5915564163815</v>
      </c>
      <c r="O87" s="13">
        <v>0</v>
      </c>
      <c r="P87" s="13">
        <v>5290.5915564163815</v>
      </c>
      <c r="Q87" s="13">
        <v>7839.5751816657339</v>
      </c>
    </row>
    <row r="88" spans="5:17" ht="15" customHeight="1" x14ac:dyDescent="0.25">
      <c r="E88" s="12">
        <v>40179</v>
      </c>
      <c r="F88" s="13">
        <v>28.186046841731724</v>
      </c>
      <c r="G88" s="13">
        <v>28.756763662171753</v>
      </c>
      <c r="H88" s="13">
        <v>25.461334279630943</v>
      </c>
      <c r="I88" s="13">
        <v>25.94</v>
      </c>
      <c r="J88" s="13">
        <v>81765.2</v>
      </c>
      <c r="K88" s="13">
        <v>25.94</v>
      </c>
      <c r="L88" s="14">
        <v>-7.522281639928699E-2</v>
      </c>
      <c r="M88" s="23">
        <v>1</v>
      </c>
      <c r="N88" s="13">
        <v>4892.6183591244535</v>
      </c>
      <c r="O88" s="13">
        <v>0</v>
      </c>
      <c r="P88" s="13">
        <v>4892.6183591244535</v>
      </c>
      <c r="Q88" s="13">
        <v>7249.8602571268857</v>
      </c>
    </row>
    <row r="89" spans="5:17" ht="15" customHeight="1" x14ac:dyDescent="0.25">
      <c r="E89" s="12">
        <v>40210</v>
      </c>
      <c r="F89" s="13">
        <v>26.251095221485873</v>
      </c>
      <c r="G89" s="13">
        <v>26.842877572375308</v>
      </c>
      <c r="H89" s="13">
        <v>25.49287408440879</v>
      </c>
      <c r="I89" s="13">
        <v>26.51</v>
      </c>
      <c r="J89" s="13">
        <v>58684.9</v>
      </c>
      <c r="K89" s="13">
        <v>26.51</v>
      </c>
      <c r="L89" s="14">
        <v>2.1973785659213572E-2</v>
      </c>
      <c r="M89" s="23">
        <v>2</v>
      </c>
      <c r="N89" s="13">
        <v>5000.1277062601876</v>
      </c>
      <c r="O89" s="13">
        <v>0</v>
      </c>
      <c r="P89" s="13">
        <v>5000.1277062601876</v>
      </c>
      <c r="Q89" s="13">
        <v>7409.1671324762428</v>
      </c>
    </row>
    <row r="90" spans="5:17" ht="15" customHeight="1" x14ac:dyDescent="0.25">
      <c r="E90" s="12">
        <v>40238</v>
      </c>
      <c r="F90" s="13">
        <v>26.599235233868214</v>
      </c>
      <c r="G90" s="13">
        <v>28.263420962785933</v>
      </c>
      <c r="H90" s="13">
        <v>26.109224991464664</v>
      </c>
      <c r="I90" s="13">
        <v>27.08</v>
      </c>
      <c r="J90" s="13">
        <v>51043.3</v>
      </c>
      <c r="K90" s="13">
        <v>27.08</v>
      </c>
      <c r="L90" s="14">
        <v>2.150132025650698E-2</v>
      </c>
      <c r="M90" s="23">
        <v>3</v>
      </c>
      <c r="N90" s="13">
        <v>5107.6370533959216</v>
      </c>
      <c r="O90" s="13">
        <v>0</v>
      </c>
      <c r="P90" s="13">
        <v>5107.6370533959216</v>
      </c>
      <c r="Q90" s="13">
        <v>7568.4740078256</v>
      </c>
    </row>
    <row r="91" spans="5:17" ht="15" customHeight="1" x14ac:dyDescent="0.25">
      <c r="E91" s="12">
        <v>40269</v>
      </c>
      <c r="F91" s="13">
        <v>27.139620170268497</v>
      </c>
      <c r="G91" s="13">
        <v>29.201676489849376</v>
      </c>
      <c r="H91" s="13">
        <v>26.464597249508842</v>
      </c>
      <c r="I91" s="13">
        <v>28.24</v>
      </c>
      <c r="J91" s="13">
        <v>65821.100000000006</v>
      </c>
      <c r="K91" s="13">
        <v>28.24</v>
      </c>
      <c r="L91" s="14">
        <v>4.2836041358936483E-2</v>
      </c>
      <c r="M91" s="23">
        <v>4</v>
      </c>
      <c r="N91" s="13">
        <v>5326.4280054616265</v>
      </c>
      <c r="O91" s="13">
        <v>0</v>
      </c>
      <c r="P91" s="13">
        <v>5326.4280054616265</v>
      </c>
      <c r="Q91" s="13">
        <v>7892.6774734488536</v>
      </c>
    </row>
    <row r="92" spans="5:17" ht="15" customHeight="1" x14ac:dyDescent="0.25">
      <c r="E92" s="12">
        <v>40299</v>
      </c>
      <c r="F92" s="13">
        <v>28.482682170542638</v>
      </c>
      <c r="G92" s="13">
        <v>28.844868217054263</v>
      </c>
      <c r="H92" s="13">
        <v>22.80843410852713</v>
      </c>
      <c r="I92" s="13">
        <v>23.959999999999997</v>
      </c>
      <c r="J92" s="13">
        <v>89381.3</v>
      </c>
      <c r="K92" s="13">
        <v>23.96</v>
      </c>
      <c r="L92" s="14">
        <v>-0.15155807365439095</v>
      </c>
      <c r="M92" s="23">
        <v>5</v>
      </c>
      <c r="N92" s="13">
        <v>4519.1648374950628</v>
      </c>
      <c r="O92" s="13">
        <v>0</v>
      </c>
      <c r="P92" s="13">
        <v>4519.1648374950628</v>
      </c>
      <c r="Q92" s="13">
        <v>6696.4784795975393</v>
      </c>
    </row>
    <row r="93" spans="5:17" ht="15" customHeight="1" x14ac:dyDescent="0.25">
      <c r="E93" s="12">
        <v>40330</v>
      </c>
      <c r="F93" s="13">
        <v>23.710391134289441</v>
      </c>
      <c r="G93" s="13">
        <v>25.010608431116907</v>
      </c>
      <c r="H93" s="13">
        <v>21.314276401564538</v>
      </c>
      <c r="I93" s="13">
        <v>21.37</v>
      </c>
      <c r="J93" s="13">
        <v>79675.5</v>
      </c>
      <c r="K93" s="13">
        <v>21.37</v>
      </c>
      <c r="L93" s="14">
        <v>-0.10809682804674459</v>
      </c>
      <c r="M93" s="23">
        <v>6</v>
      </c>
      <c r="N93" s="13">
        <v>0</v>
      </c>
      <c r="O93" s="13">
        <v>4030.657453141464</v>
      </c>
      <c r="P93" s="13">
        <v>4030.657453141464</v>
      </c>
      <c r="Q93" s="13">
        <v>5972.6103968697589</v>
      </c>
    </row>
    <row r="94" spans="5:17" ht="15" customHeight="1" x14ac:dyDescent="0.25">
      <c r="E94" s="12">
        <v>40360</v>
      </c>
      <c r="F94" s="13">
        <v>21.443909337466099</v>
      </c>
      <c r="G94" s="13">
        <v>24.527225881441304</v>
      </c>
      <c r="H94" s="13">
        <v>21.109573808601318</v>
      </c>
      <c r="I94" s="13">
        <v>23.97</v>
      </c>
      <c r="J94" s="13">
        <v>71053.5</v>
      </c>
      <c r="K94" s="13">
        <v>23.97</v>
      </c>
      <c r="L94" s="14">
        <v>0.12166588675713617</v>
      </c>
      <c r="M94" s="23">
        <v>7</v>
      </c>
      <c r="N94" s="13">
        <v>0</v>
      </c>
      <c r="O94" s="13">
        <v>4030.657453141464</v>
      </c>
      <c r="P94" s="13">
        <v>4030.657453141464</v>
      </c>
      <c r="Q94" s="13">
        <v>6699.2733370598089</v>
      </c>
    </row>
    <row r="95" spans="5:17" ht="15" customHeight="1" x14ac:dyDescent="0.25">
      <c r="E95" s="12">
        <v>40391</v>
      </c>
      <c r="F95" s="13">
        <v>24.273574776310184</v>
      </c>
      <c r="G95" s="13">
        <v>24.637818491691519</v>
      </c>
      <c r="H95" s="13">
        <v>21.779906263314867</v>
      </c>
      <c r="I95" s="13">
        <v>21.92</v>
      </c>
      <c r="J95" s="13">
        <v>61156.6</v>
      </c>
      <c r="K95" s="13">
        <v>21.92</v>
      </c>
      <c r="L95" s="14">
        <v>-8.5523571130579901E-2</v>
      </c>
      <c r="M95" s="23">
        <v>8</v>
      </c>
      <c r="N95" s="13">
        <v>0</v>
      </c>
      <c r="O95" s="13">
        <v>4030.657453141464</v>
      </c>
      <c r="P95" s="13">
        <v>4030.657453141464</v>
      </c>
      <c r="Q95" s="13">
        <v>6126.3275572945777</v>
      </c>
    </row>
    <row r="96" spans="5:17" ht="15" customHeight="1" x14ac:dyDescent="0.25">
      <c r="E96" s="12">
        <v>40422</v>
      </c>
      <c r="F96" s="13">
        <v>22.104242547978767</v>
      </c>
      <c r="G96" s="13">
        <v>23.841204573295222</v>
      </c>
      <c r="H96" s="13">
        <v>21.982841976316866</v>
      </c>
      <c r="I96" s="13">
        <v>22.869999999999997</v>
      </c>
      <c r="J96" s="13">
        <v>63542.9</v>
      </c>
      <c r="K96" s="13">
        <v>22.87</v>
      </c>
      <c r="L96" s="14">
        <v>4.3339416058394163E-2</v>
      </c>
      <c r="M96" s="23">
        <v>9</v>
      </c>
      <c r="N96" s="13">
        <v>4030.657453141464</v>
      </c>
      <c r="O96" s="13">
        <v>0</v>
      </c>
      <c r="P96" s="13">
        <v>4030.657453141464</v>
      </c>
      <c r="Q96" s="13">
        <v>6391.8390162101723</v>
      </c>
    </row>
    <row r="97" spans="5:17" ht="15" customHeight="1" x14ac:dyDescent="0.25">
      <c r="E97" s="12">
        <v>40452</v>
      </c>
      <c r="F97" s="13">
        <v>23.126096737907762</v>
      </c>
      <c r="G97" s="13">
        <v>25.39482564679415</v>
      </c>
      <c r="H97" s="13">
        <v>22.201799775028121</v>
      </c>
      <c r="I97" s="13">
        <v>24.9</v>
      </c>
      <c r="J97" s="13">
        <v>66458.3</v>
      </c>
      <c r="K97" s="13">
        <v>24.9</v>
      </c>
      <c r="L97" s="14">
        <v>8.8762571053782255E-2</v>
      </c>
      <c r="M97" s="23">
        <v>10</v>
      </c>
      <c r="N97" s="13">
        <v>4388.4289717193906</v>
      </c>
      <c r="O97" s="13">
        <v>0</v>
      </c>
      <c r="P97" s="13">
        <v>4388.4289717193906</v>
      </c>
      <c r="Q97" s="13">
        <v>6959.1950810508661</v>
      </c>
    </row>
    <row r="98" spans="5:17" ht="15" customHeight="1" x14ac:dyDescent="0.25">
      <c r="E98" s="12">
        <v>40483</v>
      </c>
      <c r="F98" s="13">
        <v>25.251876484560572</v>
      </c>
      <c r="G98" s="13">
        <v>27.121342042755344</v>
      </c>
      <c r="H98" s="13">
        <v>23.419988123515438</v>
      </c>
      <c r="I98" s="13">
        <v>23.73</v>
      </c>
      <c r="J98" s="13">
        <v>68402.7</v>
      </c>
      <c r="K98" s="13">
        <v>23.73</v>
      </c>
      <c r="L98" s="14">
        <v>-4.6987951807228916E-2</v>
      </c>
      <c r="M98" s="23">
        <v>11</v>
      </c>
      <c r="N98" s="13">
        <v>4182.2256826867924</v>
      </c>
      <c r="O98" s="13">
        <v>0</v>
      </c>
      <c r="P98" s="13">
        <v>4182.2256826867924</v>
      </c>
      <c r="Q98" s="13">
        <v>6632.1967579653437</v>
      </c>
    </row>
    <row r="99" spans="5:17" ht="15" customHeight="1" x14ac:dyDescent="0.25">
      <c r="E99" s="12">
        <v>40513</v>
      </c>
      <c r="F99" s="13">
        <v>24.021691150125402</v>
      </c>
      <c r="G99" s="13">
        <v>26.680329630956646</v>
      </c>
      <c r="H99" s="13">
        <v>24.012296667860983</v>
      </c>
      <c r="I99" s="13">
        <v>26.220000000000002</v>
      </c>
      <c r="J99" s="13">
        <v>48111.9</v>
      </c>
      <c r="K99" s="13">
        <v>26.22</v>
      </c>
      <c r="L99" s="14">
        <v>0.10493046776232617</v>
      </c>
      <c r="M99" s="23">
        <v>12</v>
      </c>
      <c r="N99" s="13">
        <v>4621.0685798587319</v>
      </c>
      <c r="O99" s="13">
        <v>0</v>
      </c>
      <c r="P99" s="13">
        <v>4621.0685798587319</v>
      </c>
      <c r="Q99" s="13">
        <v>7328.1162660704294</v>
      </c>
    </row>
    <row r="100" spans="5:17" ht="15" customHeight="1" x14ac:dyDescent="0.25">
      <c r="E100" s="12">
        <v>40544</v>
      </c>
      <c r="F100" s="13">
        <v>26.350613054453657</v>
      </c>
      <c r="G100" s="13">
        <v>27.675189325640101</v>
      </c>
      <c r="H100" s="13">
        <v>25.758781103498016</v>
      </c>
      <c r="I100" s="13">
        <v>26.05</v>
      </c>
      <c r="J100" s="13">
        <v>71312.7</v>
      </c>
      <c r="K100" s="13">
        <v>26.05</v>
      </c>
      <c r="L100" s="14">
        <v>-6.4836003051106017E-3</v>
      </c>
      <c r="M100" s="23">
        <v>1</v>
      </c>
      <c r="N100" s="13">
        <v>4591.1074182044231</v>
      </c>
      <c r="O100" s="13">
        <v>0</v>
      </c>
      <c r="P100" s="13">
        <v>4591.1074182044231</v>
      </c>
      <c r="Q100" s="13">
        <v>7280.6036892118491</v>
      </c>
    </row>
    <row r="101" spans="5:17" ht="15" customHeight="1" x14ac:dyDescent="0.25">
      <c r="E101" s="12">
        <v>40575</v>
      </c>
      <c r="F101" s="13">
        <v>26.272987208427391</v>
      </c>
      <c r="G101" s="13">
        <v>26.783325808878857</v>
      </c>
      <c r="H101" s="13">
        <v>24.978239277652367</v>
      </c>
      <c r="I101" s="13">
        <v>25.119999999999997</v>
      </c>
      <c r="J101" s="13">
        <v>61355.1</v>
      </c>
      <c r="K101" s="13">
        <v>25.12</v>
      </c>
      <c r="L101" s="14">
        <v>-3.5700575815738968E-2</v>
      </c>
      <c r="M101" s="23">
        <v>2</v>
      </c>
      <c r="N101" s="13">
        <v>4427.2022397426135</v>
      </c>
      <c r="O101" s="13">
        <v>0</v>
      </c>
      <c r="P101" s="13">
        <v>4427.2022397426135</v>
      </c>
      <c r="Q101" s="13">
        <v>7020.6819452207928</v>
      </c>
    </row>
    <row r="102" spans="5:17" ht="15" customHeight="1" x14ac:dyDescent="0.25">
      <c r="E102" s="12">
        <v>40603</v>
      </c>
      <c r="F102" s="13">
        <v>25.143757384797166</v>
      </c>
      <c r="G102" s="13">
        <v>25.313903111461205</v>
      </c>
      <c r="H102" s="13">
        <v>23.32886963371406</v>
      </c>
      <c r="I102" s="13">
        <v>23.999999999999996</v>
      </c>
      <c r="J102" s="13">
        <v>59744.3</v>
      </c>
      <c r="K102" s="13">
        <v>24</v>
      </c>
      <c r="L102" s="14">
        <v>-4.4585987261146501E-2</v>
      </c>
      <c r="M102" s="23">
        <v>3</v>
      </c>
      <c r="N102" s="13">
        <v>4229.8110570789304</v>
      </c>
      <c r="O102" s="13">
        <v>0</v>
      </c>
      <c r="P102" s="13">
        <v>4229.8110570789304</v>
      </c>
      <c r="Q102" s="13">
        <v>6707.6579094466179</v>
      </c>
    </row>
    <row r="103" spans="5:17" ht="15" customHeight="1" x14ac:dyDescent="0.25">
      <c r="E103" s="12">
        <v>40634</v>
      </c>
      <c r="F103" s="13">
        <v>24.13136574074074</v>
      </c>
      <c r="G103" s="13">
        <v>25.397955246913579</v>
      </c>
      <c r="H103" s="13">
        <v>23.36574074074074</v>
      </c>
      <c r="I103" s="13">
        <v>24.499999999999996</v>
      </c>
      <c r="J103" s="13">
        <v>81660.3</v>
      </c>
      <c r="K103" s="13">
        <v>24.5</v>
      </c>
      <c r="L103" s="14">
        <v>2.0833333333333336E-2</v>
      </c>
      <c r="M103" s="23">
        <v>4</v>
      </c>
      <c r="N103" s="13">
        <v>4317.932120768075</v>
      </c>
      <c r="O103" s="13">
        <v>0</v>
      </c>
      <c r="P103" s="13">
        <v>4317.932120768075</v>
      </c>
      <c r="Q103" s="13">
        <v>6847.4007825600893</v>
      </c>
    </row>
    <row r="104" spans="5:17" ht="15" customHeight="1" x14ac:dyDescent="0.25">
      <c r="E104" s="12">
        <v>40664</v>
      </c>
      <c r="F104" s="13">
        <v>24.674634146341461</v>
      </c>
      <c r="G104" s="13">
        <v>24.969512195121951</v>
      </c>
      <c r="H104" s="13">
        <v>22.857804878048782</v>
      </c>
      <c r="I104" s="13">
        <v>23.790000000000003</v>
      </c>
      <c r="J104" s="13">
        <v>67821.8</v>
      </c>
      <c r="K104" s="13">
        <v>23.79</v>
      </c>
      <c r="L104" s="14">
        <v>-2.8979591836734694E-2</v>
      </c>
      <c r="M104" s="23">
        <v>5</v>
      </c>
      <c r="N104" s="13">
        <v>4192.8002103294893</v>
      </c>
      <c r="O104" s="13">
        <v>0</v>
      </c>
      <c r="P104" s="13">
        <v>4192.8002103294893</v>
      </c>
      <c r="Q104" s="13">
        <v>6648.9659027389598</v>
      </c>
    </row>
    <row r="105" spans="5:17" ht="15" customHeight="1" x14ac:dyDescent="0.25">
      <c r="E105" s="12">
        <v>40695</v>
      </c>
      <c r="F105" s="13">
        <v>23.769334615384615</v>
      </c>
      <c r="G105" s="13">
        <v>24.73</v>
      </c>
      <c r="H105" s="13">
        <v>22.494788461538462</v>
      </c>
      <c r="I105" s="13">
        <v>24.73</v>
      </c>
      <c r="J105" s="13">
        <v>61377</v>
      </c>
      <c r="K105" s="13">
        <v>24.73</v>
      </c>
      <c r="L105" s="14">
        <v>3.9512400168137875E-2</v>
      </c>
      <c r="M105" s="23">
        <v>6</v>
      </c>
      <c r="N105" s="13">
        <v>0</v>
      </c>
      <c r="O105" s="13">
        <v>4358.4678100650808</v>
      </c>
      <c r="P105" s="13">
        <v>4358.4678100650808</v>
      </c>
      <c r="Q105" s="13">
        <v>6911.6825041922848</v>
      </c>
    </row>
    <row r="106" spans="5:17" ht="15" customHeight="1" x14ac:dyDescent="0.25">
      <c r="E106" s="12">
        <v>40725</v>
      </c>
      <c r="F106" s="13">
        <v>24.671354014598542</v>
      </c>
      <c r="G106" s="13">
        <v>26.783594890510948</v>
      </c>
      <c r="H106" s="13">
        <v>24.585722627737226</v>
      </c>
      <c r="I106" s="13">
        <v>26.07</v>
      </c>
      <c r="J106" s="13">
        <v>68186.7</v>
      </c>
      <c r="K106" s="13">
        <v>26.07</v>
      </c>
      <c r="L106" s="14">
        <v>5.4185200161746869E-2</v>
      </c>
      <c r="M106" s="23">
        <v>7</v>
      </c>
      <c r="N106" s="13">
        <v>0</v>
      </c>
      <c r="O106" s="13">
        <v>4358.4678100650808</v>
      </c>
      <c r="P106" s="13">
        <v>4358.4678100650808</v>
      </c>
      <c r="Q106" s="13">
        <v>7286.1934041363884</v>
      </c>
    </row>
    <row r="107" spans="5:17" ht="15" customHeight="1" x14ac:dyDescent="0.25">
      <c r="E107" s="12">
        <v>40756</v>
      </c>
      <c r="F107" s="13">
        <v>26.331</v>
      </c>
      <c r="G107" s="13">
        <v>26.503285714285713</v>
      </c>
      <c r="H107" s="13">
        <v>22.770428571428571</v>
      </c>
      <c r="I107" s="13">
        <v>25.459999999999997</v>
      </c>
      <c r="J107" s="13">
        <v>77332.100000000006</v>
      </c>
      <c r="K107" s="13">
        <v>25.46</v>
      </c>
      <c r="L107" s="14">
        <v>-2.3398542385884159E-2</v>
      </c>
      <c r="M107" s="23">
        <v>8</v>
      </c>
      <c r="N107" s="13">
        <v>0</v>
      </c>
      <c r="O107" s="13">
        <v>4358.4678100650808</v>
      </c>
      <c r="P107" s="13">
        <v>4358.4678100650808</v>
      </c>
      <c r="Q107" s="13">
        <v>7115.7070989379536</v>
      </c>
    </row>
    <row r="108" spans="5:17" ht="15" customHeight="1" x14ac:dyDescent="0.25">
      <c r="E108" s="12">
        <v>40787</v>
      </c>
      <c r="F108" s="13">
        <v>25.333137806347931</v>
      </c>
      <c r="G108" s="13">
        <v>26.328846926476498</v>
      </c>
      <c r="H108" s="13">
        <v>23.552350341502613</v>
      </c>
      <c r="I108" s="13">
        <v>23.83</v>
      </c>
      <c r="J108" s="13">
        <v>63522.8</v>
      </c>
      <c r="K108" s="13">
        <v>23.83</v>
      </c>
      <c r="L108" s="14">
        <v>-6.4021995286724281E-2</v>
      </c>
      <c r="M108" s="23">
        <v>9</v>
      </c>
      <c r="N108" s="13">
        <v>4358.4678100650808</v>
      </c>
      <c r="O108" s="13">
        <v>0</v>
      </c>
      <c r="P108" s="13">
        <v>4358.4678100650808</v>
      </c>
      <c r="Q108" s="13">
        <v>6660.1453325880375</v>
      </c>
    </row>
    <row r="109" spans="5:17" ht="15" customHeight="1" x14ac:dyDescent="0.25">
      <c r="E109" s="12">
        <v>40817</v>
      </c>
      <c r="F109" s="13">
        <v>23.661764926774318</v>
      </c>
      <c r="G109" s="13">
        <v>26.32275628989861</v>
      </c>
      <c r="H109" s="13">
        <v>23.221457003379648</v>
      </c>
      <c r="I109" s="13">
        <v>25.49</v>
      </c>
      <c r="J109" s="13">
        <v>60235.3</v>
      </c>
      <c r="K109" s="13">
        <v>25.49</v>
      </c>
      <c r="L109" s="14">
        <v>6.9660092320604286E-2</v>
      </c>
      <c r="M109" s="23">
        <v>10</v>
      </c>
      <c r="N109" s="13">
        <v>4662.079080090597</v>
      </c>
      <c r="O109" s="13">
        <v>0</v>
      </c>
      <c r="P109" s="13">
        <v>4662.079080090597</v>
      </c>
      <c r="Q109" s="13">
        <v>7124.0916713247616</v>
      </c>
    </row>
    <row r="110" spans="5:17" ht="15" customHeight="1" x14ac:dyDescent="0.25">
      <c r="E110" s="12">
        <v>40848</v>
      </c>
      <c r="F110" s="13">
        <v>25.258299452697418</v>
      </c>
      <c r="G110" s="13">
        <v>26.23236903831118</v>
      </c>
      <c r="H110" s="13">
        <v>23.435535574667711</v>
      </c>
      <c r="I110" s="13">
        <v>24.67</v>
      </c>
      <c r="J110" s="13">
        <v>53693.2</v>
      </c>
      <c r="K110" s="13">
        <v>24.67</v>
      </c>
      <c r="L110" s="14">
        <v>-3.2169478226755588E-2</v>
      </c>
      <c r="M110" s="23">
        <v>11</v>
      </c>
      <c r="N110" s="13">
        <v>4512.102428632209</v>
      </c>
      <c r="O110" s="13">
        <v>0</v>
      </c>
      <c r="P110" s="13">
        <v>4512.102428632209</v>
      </c>
      <c r="Q110" s="13">
        <v>6894.9133594186687</v>
      </c>
    </row>
    <row r="111" spans="5:17" ht="15" customHeight="1" x14ac:dyDescent="0.25">
      <c r="E111" s="12">
        <v>40878</v>
      </c>
      <c r="F111" s="13">
        <v>24.654175654853617</v>
      </c>
      <c r="G111" s="13">
        <v>25.261848998459168</v>
      </c>
      <c r="H111" s="13">
        <v>24.268351309707242</v>
      </c>
      <c r="I111" s="13">
        <v>25.04</v>
      </c>
      <c r="J111" s="13">
        <v>49264.800000000003</v>
      </c>
      <c r="K111" s="13">
        <v>25.04</v>
      </c>
      <c r="L111" s="14">
        <v>1.4997973246858533E-2</v>
      </c>
      <c r="M111" s="23">
        <v>12</v>
      </c>
      <c r="N111" s="13">
        <v>4579.7748201439208</v>
      </c>
      <c r="O111" s="13">
        <v>0</v>
      </c>
      <c r="P111" s="13">
        <v>4579.7748201439208</v>
      </c>
      <c r="Q111" s="13">
        <v>6998.3230855226384</v>
      </c>
    </row>
    <row r="112" spans="5:17" ht="15" customHeight="1" x14ac:dyDescent="0.25">
      <c r="E112" s="12">
        <v>40909</v>
      </c>
      <c r="F112" s="13">
        <v>25.605960040636642</v>
      </c>
      <c r="G112" s="13">
        <v>28.885066034541143</v>
      </c>
      <c r="H112" s="13">
        <v>25.451649170335251</v>
      </c>
      <c r="I112" s="13">
        <v>28.48</v>
      </c>
      <c r="J112" s="13">
        <v>70271.5</v>
      </c>
      <c r="K112" s="13">
        <v>28.48</v>
      </c>
      <c r="L112" s="14">
        <v>0.13738019169329074</v>
      </c>
      <c r="M112" s="23">
        <v>1</v>
      </c>
      <c r="N112" s="13">
        <v>5208.9451628473989</v>
      </c>
      <c r="O112" s="13">
        <v>0</v>
      </c>
      <c r="P112" s="13">
        <v>5208.9451628473989</v>
      </c>
      <c r="Q112" s="13">
        <v>7959.7540525433205</v>
      </c>
    </row>
    <row r="113" spans="5:17" ht="15" customHeight="1" x14ac:dyDescent="0.25">
      <c r="E113" s="12">
        <v>40940</v>
      </c>
      <c r="F113" s="13">
        <v>28.926521739130433</v>
      </c>
      <c r="G113" s="13">
        <v>31.072463768115941</v>
      </c>
      <c r="H113" s="13">
        <v>28.848840579710146</v>
      </c>
      <c r="I113" s="13">
        <v>30.82</v>
      </c>
      <c r="J113" s="13">
        <v>52182.7</v>
      </c>
      <c r="K113" s="13">
        <v>30.82</v>
      </c>
      <c r="L113" s="14">
        <v>8.2162921348314613E-2</v>
      </c>
      <c r="M113" s="23">
        <v>2</v>
      </c>
      <c r="N113" s="13">
        <v>5636.9273145701136</v>
      </c>
      <c r="O113" s="13">
        <v>0</v>
      </c>
      <c r="P113" s="13">
        <v>5636.9273145701136</v>
      </c>
      <c r="Q113" s="13">
        <v>8613.7506987143661</v>
      </c>
    </row>
    <row r="114" spans="5:17" ht="15" customHeight="1" x14ac:dyDescent="0.25">
      <c r="E114" s="12">
        <v>40969</v>
      </c>
      <c r="F114" s="13">
        <v>30.999615623062613</v>
      </c>
      <c r="G114" s="13">
        <v>31.98989460632362</v>
      </c>
      <c r="H114" s="13">
        <v>30.572436453812774</v>
      </c>
      <c r="I114" s="13">
        <v>31.32</v>
      </c>
      <c r="J114" s="13">
        <v>44277.9</v>
      </c>
      <c r="K114" s="13">
        <v>31.32</v>
      </c>
      <c r="L114" s="14">
        <v>1.6223231667748216E-2</v>
      </c>
      <c r="M114" s="23">
        <v>3</v>
      </c>
      <c r="N114" s="13">
        <v>5728.3764922886421</v>
      </c>
      <c r="O114" s="13">
        <v>0</v>
      </c>
      <c r="P114" s="13">
        <v>5728.3764922886421</v>
      </c>
      <c r="Q114" s="13">
        <v>8753.4935718278375</v>
      </c>
    </row>
    <row r="115" spans="5:17" ht="15" customHeight="1" x14ac:dyDescent="0.25">
      <c r="E115" s="12">
        <v>41000</v>
      </c>
      <c r="F115" s="13">
        <v>31.284191130543409</v>
      </c>
      <c r="G115" s="13">
        <v>31.934731417863837</v>
      </c>
      <c r="H115" s="13">
        <v>29.351989381636475</v>
      </c>
      <c r="I115" s="13">
        <v>31.09</v>
      </c>
      <c r="J115" s="13">
        <v>48821.8</v>
      </c>
      <c r="K115" s="13">
        <v>31.09</v>
      </c>
      <c r="L115" s="14">
        <v>-7.3435504469987227E-3</v>
      </c>
      <c r="M115" s="23">
        <v>4</v>
      </c>
      <c r="N115" s="13">
        <v>5686.309870538119</v>
      </c>
      <c r="O115" s="13">
        <v>0</v>
      </c>
      <c r="P115" s="13">
        <v>5686.309870538119</v>
      </c>
      <c r="Q115" s="13">
        <v>8689.2118501956411</v>
      </c>
    </row>
    <row r="116" spans="5:17" ht="15" customHeight="1" x14ac:dyDescent="0.25">
      <c r="E116" s="12">
        <v>41030</v>
      </c>
      <c r="F116" s="13">
        <v>31.325334018499483</v>
      </c>
      <c r="G116" s="13">
        <v>31.608776978417268</v>
      </c>
      <c r="H116" s="13">
        <v>27.992435765673175</v>
      </c>
      <c r="I116" s="13">
        <v>28.53</v>
      </c>
      <c r="J116" s="13">
        <v>47886.6</v>
      </c>
      <c r="K116" s="13">
        <v>28.53</v>
      </c>
      <c r="L116" s="14">
        <v>-8.2341588935348986E-2</v>
      </c>
      <c r="M116" s="23">
        <v>5</v>
      </c>
      <c r="N116" s="13">
        <v>5218.0900806192512</v>
      </c>
      <c r="O116" s="13">
        <v>0</v>
      </c>
      <c r="P116" s="13">
        <v>5218.0900806192512</v>
      </c>
      <c r="Q116" s="13">
        <v>7973.7283398546679</v>
      </c>
    </row>
    <row r="117" spans="5:17" ht="15" customHeight="1" x14ac:dyDescent="0.25">
      <c r="E117" s="12">
        <v>41061</v>
      </c>
      <c r="F117" s="13">
        <v>28.101876430205948</v>
      </c>
      <c r="G117" s="13">
        <v>30.427414187643024</v>
      </c>
      <c r="H117" s="13">
        <v>27.671945080091533</v>
      </c>
      <c r="I117" s="13">
        <v>29.889999999999997</v>
      </c>
      <c r="J117" s="13">
        <v>48969.4</v>
      </c>
      <c r="K117" s="13">
        <v>29.89</v>
      </c>
      <c r="L117" s="14">
        <v>4.7669120224325276E-2</v>
      </c>
      <c r="M117" s="23">
        <v>6</v>
      </c>
      <c r="N117" s="13">
        <v>0</v>
      </c>
      <c r="O117" s="13">
        <v>5466.83184401365</v>
      </c>
      <c r="P117" s="13">
        <v>5466.83184401365</v>
      </c>
      <c r="Q117" s="13">
        <v>8353.8289547233089</v>
      </c>
    </row>
    <row r="118" spans="5:17" ht="15" customHeight="1" x14ac:dyDescent="0.25">
      <c r="E118" s="12">
        <v>41091</v>
      </c>
      <c r="F118" s="13">
        <v>29.923854767560229</v>
      </c>
      <c r="G118" s="13">
        <v>30.344078724126231</v>
      </c>
      <c r="H118" s="13">
        <v>27.891143535799117</v>
      </c>
      <c r="I118" s="13">
        <v>28.799999999999997</v>
      </c>
      <c r="J118" s="13">
        <v>42105.9</v>
      </c>
      <c r="K118" s="13">
        <v>28.8</v>
      </c>
      <c r="L118" s="14">
        <v>-3.6467045834727332E-2</v>
      </c>
      <c r="M118" s="23">
        <v>7</v>
      </c>
      <c r="N118" s="13">
        <v>0</v>
      </c>
      <c r="O118" s="13">
        <v>5466.83184401365</v>
      </c>
      <c r="P118" s="13">
        <v>5466.83184401365</v>
      </c>
      <c r="Q118" s="13">
        <v>8049.189491335942</v>
      </c>
    </row>
    <row r="119" spans="5:17" ht="15" customHeight="1" x14ac:dyDescent="0.25">
      <c r="E119" s="12">
        <v>41122</v>
      </c>
      <c r="F119" s="13">
        <v>29.109954574951331</v>
      </c>
      <c r="G119" s="13">
        <v>30.457728747566517</v>
      </c>
      <c r="H119" s="13">
        <v>28.500012978585332</v>
      </c>
      <c r="I119" s="13">
        <v>30.32</v>
      </c>
      <c r="J119" s="13">
        <v>30797.3</v>
      </c>
      <c r="K119" s="13">
        <v>30.32</v>
      </c>
      <c r="L119" s="14">
        <v>5.2777777777777785E-2</v>
      </c>
      <c r="M119" s="23">
        <v>8</v>
      </c>
      <c r="N119" s="13">
        <v>0</v>
      </c>
      <c r="O119" s="13">
        <v>5466.83184401365</v>
      </c>
      <c r="P119" s="13">
        <v>5466.83184401365</v>
      </c>
      <c r="Q119" s="13">
        <v>8474.0078256008946</v>
      </c>
    </row>
    <row r="120" spans="5:17" ht="15" customHeight="1" x14ac:dyDescent="0.25">
      <c r="E120" s="12">
        <v>41153</v>
      </c>
      <c r="F120" s="13">
        <v>29.958870967741934</v>
      </c>
      <c r="G120" s="13">
        <v>31.100161290322582</v>
      </c>
      <c r="H120" s="13">
        <v>29.260322580645159</v>
      </c>
      <c r="I120" s="13">
        <v>29.28</v>
      </c>
      <c r="J120" s="13">
        <v>49859.8</v>
      </c>
      <c r="K120" s="13">
        <v>29.28</v>
      </c>
      <c r="L120" s="14">
        <v>-3.4300791556728237E-2</v>
      </c>
      <c r="M120" s="23">
        <v>9</v>
      </c>
      <c r="N120" s="13">
        <v>5466.83184401365</v>
      </c>
      <c r="O120" s="13">
        <v>0</v>
      </c>
      <c r="P120" s="13">
        <v>5466.83184401365</v>
      </c>
      <c r="Q120" s="13">
        <v>8183.3426495248741</v>
      </c>
    </row>
    <row r="121" spans="5:17" ht="15" customHeight="1" x14ac:dyDescent="0.25">
      <c r="E121" s="12">
        <v>41183</v>
      </c>
      <c r="F121" s="13">
        <v>29.319085494043449</v>
      </c>
      <c r="G121" s="13">
        <v>29.751839523475823</v>
      </c>
      <c r="H121" s="13">
        <v>27.302845129642606</v>
      </c>
      <c r="I121" s="13">
        <v>28.07</v>
      </c>
      <c r="J121" s="13">
        <v>55946</v>
      </c>
      <c r="K121" s="13">
        <v>28.07</v>
      </c>
      <c r="L121" s="14">
        <v>-4.1325136612021862E-2</v>
      </c>
      <c r="M121" s="23">
        <v>10</v>
      </c>
      <c r="N121" s="13">
        <v>5240.9142712248349</v>
      </c>
      <c r="O121" s="13">
        <v>0</v>
      </c>
      <c r="P121" s="13">
        <v>5240.9142712248349</v>
      </c>
      <c r="Q121" s="13">
        <v>7845.1648965902732</v>
      </c>
    </row>
    <row r="122" spans="5:17" ht="15" customHeight="1" x14ac:dyDescent="0.25">
      <c r="E122" s="12">
        <v>41214</v>
      </c>
      <c r="F122" s="13">
        <v>28.601652892561983</v>
      </c>
      <c r="G122" s="13">
        <v>29.950413223140497</v>
      </c>
      <c r="H122" s="13">
        <v>26.122314049586777</v>
      </c>
      <c r="I122" s="13">
        <v>26.4</v>
      </c>
      <c r="J122" s="13">
        <v>66390.7</v>
      </c>
      <c r="K122" s="13">
        <v>26.4</v>
      </c>
      <c r="L122" s="14">
        <v>-5.9494121838261492E-2</v>
      </c>
      <c r="M122" s="23">
        <v>11</v>
      </c>
      <c r="N122" s="13">
        <v>4929.1106790287013</v>
      </c>
      <c r="O122" s="13">
        <v>0</v>
      </c>
      <c r="P122" s="13">
        <v>4929.1106790287013</v>
      </c>
      <c r="Q122" s="13">
        <v>7378.4237003912795</v>
      </c>
    </row>
    <row r="123" spans="5:17" ht="15" customHeight="1" x14ac:dyDescent="0.25">
      <c r="E123" s="12">
        <v>41244</v>
      </c>
      <c r="F123" s="13">
        <v>26.559423436915012</v>
      </c>
      <c r="G123" s="13">
        <v>27.501598652190193</v>
      </c>
      <c r="H123" s="13">
        <v>26.043706476974915</v>
      </c>
      <c r="I123" s="13">
        <v>26.49</v>
      </c>
      <c r="J123" s="13">
        <v>49503</v>
      </c>
      <c r="K123" s="13">
        <v>26.49</v>
      </c>
      <c r="L123" s="14">
        <v>3.4090909090909094E-3</v>
      </c>
      <c r="M123" s="23">
        <v>12</v>
      </c>
      <c r="N123" s="13">
        <v>4945.91446543448</v>
      </c>
      <c r="O123" s="13">
        <v>0</v>
      </c>
      <c r="P123" s="13">
        <v>4945.91446543448</v>
      </c>
      <c r="Q123" s="13">
        <v>7403.5774175517045</v>
      </c>
    </row>
    <row r="124" spans="5:17" ht="15" customHeight="1" x14ac:dyDescent="0.25">
      <c r="E124" s="12">
        <v>41275</v>
      </c>
      <c r="F124" s="13">
        <v>27.021675774134788</v>
      </c>
      <c r="G124" s="13">
        <v>27.993464480874319</v>
      </c>
      <c r="H124" s="13">
        <v>26.059803278688523</v>
      </c>
      <c r="I124" s="13">
        <v>27.220000000000002</v>
      </c>
      <c r="J124" s="13">
        <v>56932.5</v>
      </c>
      <c r="K124" s="13">
        <v>27.22</v>
      </c>
      <c r="L124" s="14">
        <v>2.7557568893922236E-2</v>
      </c>
      <c r="M124" s="23">
        <v>1</v>
      </c>
      <c r="N124" s="13">
        <v>5082.2118440591375</v>
      </c>
      <c r="O124" s="13">
        <v>0</v>
      </c>
      <c r="P124" s="13">
        <v>5082.2118440591375</v>
      </c>
      <c r="Q124" s="13">
        <v>7607.6020122973723</v>
      </c>
    </row>
    <row r="125" spans="5:17" ht="15" customHeight="1" x14ac:dyDescent="0.25">
      <c r="E125" s="12">
        <v>41306</v>
      </c>
      <c r="F125" s="13">
        <v>27.442141066953095</v>
      </c>
      <c r="G125" s="13">
        <v>27.819011815252416</v>
      </c>
      <c r="H125" s="13">
        <v>27.323129251700681</v>
      </c>
      <c r="I125" s="13">
        <v>27.7</v>
      </c>
      <c r="J125" s="13">
        <v>111131.8</v>
      </c>
      <c r="K125" s="13">
        <v>27.7</v>
      </c>
      <c r="L125" s="14">
        <v>1.763409257898604E-2</v>
      </c>
      <c r="M125" s="23">
        <v>2</v>
      </c>
      <c r="N125" s="13">
        <v>5171.832038223296</v>
      </c>
      <c r="O125" s="13">
        <v>0</v>
      </c>
      <c r="P125" s="13">
        <v>5171.832038223296</v>
      </c>
      <c r="Q125" s="13">
        <v>7741.7551704863045</v>
      </c>
    </row>
    <row r="126" spans="5:17" ht="15" customHeight="1" x14ac:dyDescent="0.2"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5:17" ht="15" customHeight="1" x14ac:dyDescent="0.2"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5:17" ht="15" customHeight="1" x14ac:dyDescent="0.2"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5:17" ht="15" customHeight="1" x14ac:dyDescent="0.2"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5:17" ht="15" customHeight="1" x14ac:dyDescent="0.2"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5:17" ht="15" customHeight="1" x14ac:dyDescent="0.2"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5:17" ht="15" customHeight="1" x14ac:dyDescent="0.2"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5:17" ht="15" customHeight="1" x14ac:dyDescent="0.2"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5:17" ht="15" customHeight="1" x14ac:dyDescent="0.2"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5:17" ht="15" customHeight="1" x14ac:dyDescent="0.2"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5:17" ht="15" customHeight="1" x14ac:dyDescent="0.2"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5:17" ht="15" customHeight="1" x14ac:dyDescent="0.2"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5:17" ht="15" customHeight="1" x14ac:dyDescent="0.2"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5:17" ht="15" customHeight="1" x14ac:dyDescent="0.2"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5:17" ht="15" customHeight="1" x14ac:dyDescent="0.2"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5:17" ht="15" customHeight="1" x14ac:dyDescent="0.2"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5:17" ht="15" customHeight="1" x14ac:dyDescent="0.2"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5:17" ht="15" customHeight="1" x14ac:dyDescent="0.2"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5:17" ht="15" customHeight="1" x14ac:dyDescent="0.2"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5:17" ht="15" customHeight="1" x14ac:dyDescent="0.2"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5:17" ht="15" customHeight="1" x14ac:dyDescent="0.2"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5:17" ht="15" customHeight="1" x14ac:dyDescent="0.2"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5:17" ht="15" customHeight="1" x14ac:dyDescent="0.2"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5:17" ht="15" customHeight="1" x14ac:dyDescent="0.2"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5:17" ht="15" customHeight="1" x14ac:dyDescent="0.2"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5:17" ht="15" customHeight="1" x14ac:dyDescent="0.2"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5:17" ht="15" customHeight="1" x14ac:dyDescent="0.2"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5:17" ht="15" customHeight="1" x14ac:dyDescent="0.2"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5:17" ht="15" customHeight="1" x14ac:dyDescent="0.2"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5:17" ht="15" customHeight="1" x14ac:dyDescent="0.2"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5:17" ht="15" customHeight="1" x14ac:dyDescent="0.2"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5:17" ht="15" customHeight="1" x14ac:dyDescent="0.2"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5:17" ht="15" customHeight="1" x14ac:dyDescent="0.2"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5:17" ht="15" customHeight="1" x14ac:dyDescent="0.2"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5:17" ht="15" customHeight="1" x14ac:dyDescent="0.2"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5:17" ht="15" customHeight="1" x14ac:dyDescent="0.2"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5:17" ht="15" customHeight="1" x14ac:dyDescent="0.2"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5:17" ht="15" customHeight="1" x14ac:dyDescent="0.2"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5:17" ht="15" customHeight="1" x14ac:dyDescent="0.2"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5:17" ht="15" customHeight="1" x14ac:dyDescent="0.2"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5:17" ht="15" customHeight="1" x14ac:dyDescent="0.2"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5:17" ht="15" customHeight="1" x14ac:dyDescent="0.2"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5:17" ht="15" customHeight="1" x14ac:dyDescent="0.2"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5:17" ht="15" customHeight="1" x14ac:dyDescent="0.2"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5:17" ht="15" customHeight="1" x14ac:dyDescent="0.2"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5:17" ht="15" customHeight="1" x14ac:dyDescent="0.2"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5:17" ht="15" customHeight="1" x14ac:dyDescent="0.2"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5:17" ht="15" customHeight="1" x14ac:dyDescent="0.2"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5:17" ht="15" customHeight="1" x14ac:dyDescent="0.2"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5:17" ht="15" customHeight="1" x14ac:dyDescent="0.2"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5:17" ht="15" customHeight="1" x14ac:dyDescent="0.2"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5:17" ht="15" customHeight="1" x14ac:dyDescent="0.2"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5:17" ht="15" customHeight="1" x14ac:dyDescent="0.2"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5:17" ht="15" customHeight="1" x14ac:dyDescent="0.2"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5:17" ht="15" customHeight="1" x14ac:dyDescent="0.2"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5:17" ht="15" customHeight="1" x14ac:dyDescent="0.2"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5:17" ht="15" customHeight="1" x14ac:dyDescent="0.2"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5:17" ht="15" customHeight="1" x14ac:dyDescent="0.2"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5:17" ht="15" customHeight="1" x14ac:dyDescent="0.2"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5:17" ht="15" customHeight="1" x14ac:dyDescent="0.2"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5:17" ht="15" customHeight="1" x14ac:dyDescent="0.2"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5:17" ht="15" customHeight="1" x14ac:dyDescent="0.2"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5:17" ht="15" customHeight="1" x14ac:dyDescent="0.2"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5:17" ht="15" customHeight="1" x14ac:dyDescent="0.2"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5:17" ht="15" customHeight="1" x14ac:dyDescent="0.2"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5:17" ht="15" customHeight="1" x14ac:dyDescent="0.2"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5:17" ht="15" customHeight="1" x14ac:dyDescent="0.2"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5:17" ht="15" customHeight="1" x14ac:dyDescent="0.2"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5:17" ht="15" customHeight="1" x14ac:dyDescent="0.2"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5:17" ht="15" customHeight="1" x14ac:dyDescent="0.2"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5:17" ht="15" customHeight="1" x14ac:dyDescent="0.2"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5:17" ht="15" customHeight="1" x14ac:dyDescent="0.2"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5:17" ht="15" customHeight="1" x14ac:dyDescent="0.2"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5:17" ht="15" customHeight="1" x14ac:dyDescent="0.2"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5:17" ht="15" customHeight="1" x14ac:dyDescent="0.2"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5:17" ht="15" customHeight="1" x14ac:dyDescent="0.2"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5:17" ht="15" customHeight="1" x14ac:dyDescent="0.2"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5:17" ht="15" customHeight="1" x14ac:dyDescent="0.2"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5:17" ht="15" customHeight="1" x14ac:dyDescent="0.2"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5:17" ht="15" customHeight="1" x14ac:dyDescent="0.2"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5:17" ht="15" customHeight="1" x14ac:dyDescent="0.2"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5:17" ht="15" customHeight="1" x14ac:dyDescent="0.2"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5:17" ht="15" customHeight="1" x14ac:dyDescent="0.2"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5:17" ht="15" customHeight="1" x14ac:dyDescent="0.2"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5:17" ht="15" customHeight="1" x14ac:dyDescent="0.2"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5:17" ht="15" customHeight="1" x14ac:dyDescent="0.2"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5:17" ht="15" customHeight="1" x14ac:dyDescent="0.2"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5:17" ht="15" customHeight="1" x14ac:dyDescent="0.2"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5:17" ht="15" customHeight="1" x14ac:dyDescent="0.2"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5:17" ht="15" customHeight="1" x14ac:dyDescent="0.2"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5:17" ht="15" customHeight="1" x14ac:dyDescent="0.2"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5:17" ht="15" customHeight="1" x14ac:dyDescent="0.2"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5:17" ht="15" customHeight="1" x14ac:dyDescent="0.2"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5:17" ht="15" customHeight="1" x14ac:dyDescent="0.2"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5:17" ht="15" customHeight="1" x14ac:dyDescent="0.2"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5:17" ht="15" customHeight="1" x14ac:dyDescent="0.2"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5:17" ht="15" customHeight="1" x14ac:dyDescent="0.2"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5:17" ht="15" customHeight="1" x14ac:dyDescent="0.2"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5:17" ht="15" customHeight="1" x14ac:dyDescent="0.2"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5:17" ht="15" customHeight="1" x14ac:dyDescent="0.2"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5:17" ht="15" customHeight="1" x14ac:dyDescent="0.2"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5:17" ht="15" customHeight="1" x14ac:dyDescent="0.2"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5:17" ht="15" customHeight="1" x14ac:dyDescent="0.2"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5:17" ht="15" customHeight="1" x14ac:dyDescent="0.2"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5:17" ht="15" customHeight="1" x14ac:dyDescent="0.2"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5:17" ht="15" customHeight="1" x14ac:dyDescent="0.2"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5:17" ht="15" customHeight="1" x14ac:dyDescent="0.2"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5:17" ht="15" customHeight="1" x14ac:dyDescent="0.2"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5:17" ht="15" customHeight="1" x14ac:dyDescent="0.2"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5:17" ht="15" customHeight="1" x14ac:dyDescent="0.2"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5:17" ht="15" customHeight="1" x14ac:dyDescent="0.2">
      <c r="E236"/>
      <c r="F236"/>
      <c r="G236"/>
      <c r="H236"/>
      <c r="I236"/>
      <c r="J236"/>
      <c r="K236"/>
      <c r="L236"/>
      <c r="M236"/>
      <c r="N236"/>
      <c r="O236"/>
      <c r="P236"/>
      <c r="Q236"/>
    </row>
  </sheetData>
  <dataValidations count="3">
    <dataValidation type="list" allowBlank="1" showInputMessage="1" showErrorMessage="1" sqref="C11">
      <formula1>"TRUE, FALSE"</formula1>
    </dataValidation>
    <dataValidation type="list" allowBlank="1" showErrorMessage="1" sqref="C8">
      <formula1>"0,1,2,3,4,5,6,7,8,9,10,11,12"</formula1>
    </dataValidation>
    <dataValidation type="list" allowBlank="1" showErrorMessage="1" sqref="C7">
      <formula1>"0,1,2,3,4,5,6,7,8,9,10,11,12"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12</vt:i4>
      </vt:variant>
    </vt:vector>
  </HeadingPairs>
  <TitlesOfParts>
    <vt:vector size="16" baseType="lpstr">
      <vt:lpstr>SCREENER</vt:lpstr>
      <vt:lpstr>MODEL</vt:lpstr>
      <vt:lpstr>SYSTEM_CHART</vt:lpstr>
      <vt:lpstr>PRICES_CHART</vt:lpstr>
      <vt:lpstr>BUY_HOLD</vt:lpstr>
      <vt:lpstr>CASH</vt:lpstr>
      <vt:lpstr>DATES</vt:lpstr>
      <vt:lpstr>HIST_DATA</vt:lpstr>
      <vt:lpstr>INPUTS1</vt:lpstr>
      <vt:lpstr>INPUTS2</vt:lpstr>
      <vt:lpstr>PARAMETERS</vt:lpstr>
      <vt:lpstr>POSITION1</vt:lpstr>
      <vt:lpstr>POSITION2</vt:lpstr>
      <vt:lpstr>PRICES</vt:lpstr>
      <vt:lpstr>SYSTEM</vt:lpstr>
      <vt:lpstr>VOLUME</vt:lpstr>
    </vt:vector>
  </TitlesOfParts>
  <Company>Ivey Business School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</dc:creator>
  <cp:lastModifiedBy>Windows User</cp:lastModifiedBy>
  <dcterms:created xsi:type="dcterms:W3CDTF">2009-06-20T23:41:00Z</dcterms:created>
  <dcterms:modified xsi:type="dcterms:W3CDTF">2013-02-28T03:50:39Z</dcterms:modified>
</cp:coreProperties>
</file>