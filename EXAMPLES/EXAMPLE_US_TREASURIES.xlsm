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240" yWindow="15" windowWidth="14805" windowHeight="8265" tabRatio="764"/>
  </bookViews>
  <sheets>
    <sheet name="US Historical Treasury Yields" sheetId="15" r:id="rId1"/>
    <sheet name="US Treasury Yield Analysis" sheetId="16" r:id="rId2"/>
  </sheets>
  <externalReferences>
    <externalReference r:id="rId3"/>
  </externalReferences>
  <calcPr calcId="145621"/>
</workbook>
</file>

<file path=xl/calcChain.xml><?xml version="1.0" encoding="utf-8"?>
<calcChain xmlns="http://schemas.openxmlformats.org/spreadsheetml/2006/main">
  <c r="B17" i="16" l="1" a="1"/>
  <c r="N7" i="16" a="1"/>
  <c r="B7" i="16" a="1"/>
  <c r="F14" i="16" l="1"/>
  <c r="F28" i="16"/>
  <c r="B7" i="16"/>
  <c r="C7" i="16"/>
  <c r="D7" i="16"/>
  <c r="E7" i="16"/>
  <c r="F7" i="16"/>
  <c r="B8" i="16"/>
  <c r="C8" i="16"/>
  <c r="D8" i="16"/>
  <c r="E8" i="16"/>
  <c r="F8" i="16"/>
  <c r="B9" i="16"/>
  <c r="C9" i="16"/>
  <c r="D9" i="16"/>
  <c r="E9" i="16"/>
  <c r="F9" i="16"/>
  <c r="B10" i="16"/>
  <c r="C10" i="16"/>
  <c r="D10" i="16"/>
  <c r="E10" i="16"/>
  <c r="F10" i="16"/>
  <c r="B11" i="16"/>
  <c r="C11" i="16"/>
  <c r="D11" i="16"/>
  <c r="E11" i="16"/>
  <c r="F11" i="16"/>
  <c r="B12" i="16"/>
  <c r="C12" i="16"/>
  <c r="D12" i="16"/>
  <c r="E12" i="16"/>
  <c r="F12" i="16"/>
  <c r="B13" i="16"/>
  <c r="C13" i="16"/>
  <c r="D13" i="16"/>
  <c r="E13" i="16"/>
  <c r="F13" i="16"/>
  <c r="B14" i="16"/>
  <c r="C14" i="16"/>
  <c r="D14" i="16"/>
  <c r="E14" i="16"/>
  <c r="R19" i="16"/>
  <c r="Q19" i="16"/>
  <c r="P19" i="16"/>
  <c r="O19" i="16"/>
  <c r="N19" i="16"/>
  <c r="R18" i="16"/>
  <c r="Q18" i="16"/>
  <c r="P18" i="16"/>
  <c r="O18" i="16"/>
  <c r="N18" i="16"/>
  <c r="R17" i="16"/>
  <c r="Q17" i="16"/>
  <c r="P17" i="16"/>
  <c r="N7" i="16"/>
  <c r="O7" i="16"/>
  <c r="P7" i="16"/>
  <c r="Q7" i="16"/>
  <c r="R7" i="16"/>
  <c r="N8" i="16"/>
  <c r="O8" i="16"/>
  <c r="P8" i="16"/>
  <c r="Q8" i="16"/>
  <c r="R8" i="16"/>
  <c r="N9" i="16"/>
  <c r="O9" i="16"/>
  <c r="P9" i="16"/>
  <c r="Q9" i="16"/>
  <c r="R9" i="16"/>
  <c r="N10" i="16"/>
  <c r="O10" i="16"/>
  <c r="P10" i="16"/>
  <c r="Q10" i="16"/>
  <c r="R10" i="16"/>
  <c r="N11" i="16"/>
  <c r="O11" i="16"/>
  <c r="P11" i="16"/>
  <c r="Q11" i="16"/>
  <c r="R11" i="16"/>
  <c r="N12" i="16"/>
  <c r="O12" i="16"/>
  <c r="P12" i="16"/>
  <c r="Q12" i="16"/>
  <c r="R12" i="16"/>
  <c r="N13" i="16"/>
  <c r="O13" i="16"/>
  <c r="P13" i="16"/>
  <c r="Q13" i="16"/>
  <c r="R13" i="16"/>
  <c r="N14" i="16"/>
  <c r="O14" i="16"/>
  <c r="P14" i="16"/>
  <c r="Q14" i="16"/>
  <c r="R14" i="16"/>
  <c r="N15" i="16"/>
  <c r="O15" i="16"/>
  <c r="P15" i="16"/>
  <c r="Q15" i="16"/>
  <c r="R15" i="16"/>
  <c r="N16" i="16"/>
  <c r="O16" i="16"/>
  <c r="P16" i="16"/>
  <c r="Q16" i="16"/>
  <c r="R16" i="16"/>
  <c r="N17" i="16"/>
  <c r="O17" i="16"/>
  <c r="B17" i="16"/>
  <c r="C17" i="16"/>
  <c r="D17" i="16"/>
  <c r="E17" i="16"/>
  <c r="F17" i="16"/>
  <c r="B18" i="16"/>
  <c r="C18" i="16"/>
  <c r="D18" i="16"/>
  <c r="E18" i="16"/>
  <c r="F18" i="16"/>
  <c r="B19" i="16"/>
  <c r="C19" i="16"/>
  <c r="D19" i="16"/>
  <c r="E19" i="16"/>
  <c r="F19" i="16"/>
  <c r="B20" i="16"/>
  <c r="C20" i="16"/>
  <c r="D20" i="16"/>
  <c r="E20" i="16"/>
  <c r="F20" i="16"/>
  <c r="B21" i="16"/>
  <c r="C21" i="16"/>
  <c r="D21" i="16"/>
  <c r="E21" i="16"/>
  <c r="F21" i="16"/>
  <c r="B22" i="16"/>
  <c r="C22" i="16"/>
  <c r="D22" i="16"/>
  <c r="E22" i="16"/>
  <c r="F22" i="16"/>
  <c r="B23" i="16"/>
  <c r="C23" i="16"/>
  <c r="D23" i="16"/>
  <c r="E23" i="16"/>
  <c r="F23" i="16"/>
  <c r="B24" i="16"/>
  <c r="C24" i="16"/>
  <c r="D24" i="16"/>
  <c r="E24" i="16"/>
  <c r="F24" i="16"/>
  <c r="B25" i="16"/>
  <c r="C25" i="16"/>
  <c r="D25" i="16"/>
  <c r="E25" i="16"/>
  <c r="F25" i="16"/>
  <c r="B26" i="16"/>
  <c r="C26" i="16"/>
  <c r="D26" i="16"/>
  <c r="E26" i="16"/>
  <c r="F26" i="16"/>
  <c r="B27" i="16"/>
  <c r="C27" i="16"/>
  <c r="D27" i="16"/>
  <c r="E27" i="16"/>
  <c r="F27" i="16"/>
  <c r="B28" i="16"/>
  <c r="C28" i="16"/>
  <c r="D28" i="16"/>
  <c r="E28" i="16"/>
  <c r="U4" i="16"/>
  <c r="V29" i="16" s="1"/>
  <c r="W29" i="16" l="1"/>
  <c r="V25" i="16"/>
  <c r="W25" i="16" s="1"/>
  <c r="V36" i="16"/>
  <c r="W36" i="16" s="1"/>
  <c r="V35" i="16"/>
  <c r="W35" i="16" s="1"/>
  <c r="V34" i="16"/>
  <c r="W34" i="16" s="1"/>
  <c r="V33" i="16"/>
  <c r="W33" i="16" s="1"/>
  <c r="V28" i="16"/>
  <c r="W28" i="16" s="1"/>
  <c r="V27" i="16"/>
  <c r="W27" i="16" s="1"/>
  <c r="V26" i="16"/>
  <c r="W26" i="16" s="1"/>
  <c r="V32" i="16"/>
  <c r="W32" i="16" s="1"/>
  <c r="V31" i="16"/>
  <c r="W31" i="16" s="1"/>
  <c r="V30" i="16"/>
  <c r="W30" i="16" s="1"/>
  <c r="B33" i="16" l="1"/>
  <c r="X25" i="16" l="1"/>
  <c r="AB15" i="16"/>
  <c r="AA15" i="16"/>
  <c r="Z15" i="16"/>
  <c r="Y15" i="16"/>
  <c r="X15" i="16"/>
  <c r="W15" i="16"/>
  <c r="V15" i="16"/>
  <c r="U15" i="16"/>
  <c r="AB14" i="16"/>
  <c r="AA14" i="16"/>
  <c r="Z14" i="16"/>
  <c r="Y14" i="16"/>
  <c r="X14" i="16"/>
  <c r="W14" i="16"/>
  <c r="V14" i="16"/>
  <c r="U14" i="16"/>
  <c r="AB11" i="16"/>
  <c r="AA11" i="16"/>
  <c r="Z11" i="16"/>
  <c r="Y11" i="16"/>
  <c r="X11" i="16"/>
  <c r="W11" i="16"/>
  <c r="V11" i="16"/>
  <c r="U11" i="16"/>
  <c r="Z10" i="16"/>
  <c r="V10" i="16"/>
  <c r="U10" i="16"/>
  <c r="AB8" i="16"/>
  <c r="AA8" i="16"/>
  <c r="Y8" i="16"/>
  <c r="Y10" i="16" s="1"/>
  <c r="X8" i="16"/>
  <c r="W8" i="16"/>
  <c r="W10" i="16" s="1"/>
  <c r="AC6" i="16"/>
  <c r="AB6" i="16"/>
  <c r="AA6" i="16"/>
  <c r="Z6" i="16"/>
  <c r="Y6" i="16"/>
  <c r="X6" i="16"/>
  <c r="W6" i="16"/>
  <c r="V6" i="16"/>
  <c r="U6" i="16"/>
  <c r="N151" i="15"/>
  <c r="J151" i="15"/>
  <c r="G151" i="15"/>
  <c r="E151" i="15"/>
  <c r="X10" i="16" l="1"/>
  <c r="F91" i="16"/>
  <c r="AB16" i="16"/>
  <c r="AA16" i="16" s="1"/>
  <c r="Z16" i="16" s="1"/>
  <c r="Y16" i="16" s="1"/>
  <c r="X16" i="16" s="1"/>
  <c r="W16" i="16" s="1"/>
  <c r="V16" i="16" s="1"/>
  <c r="U16" i="16" s="1"/>
  <c r="U20" i="16" s="1"/>
  <c r="B31" i="16"/>
  <c r="L7" i="16"/>
  <c r="L11" i="16" s="1"/>
  <c r="D32" i="16"/>
  <c r="F32" i="16"/>
  <c r="C35" i="16"/>
  <c r="D37" i="16"/>
  <c r="C37" i="16" s="1"/>
  <c r="C41" i="16"/>
  <c r="E41" i="16"/>
  <c r="C91" i="16"/>
  <c r="E91" i="16"/>
  <c r="I8" i="16"/>
  <c r="C32" i="16"/>
  <c r="E32" i="16"/>
  <c r="F35" i="16"/>
  <c r="E37" i="16"/>
  <c r="D41" i="16"/>
  <c r="C51" i="16"/>
  <c r="E51" i="16"/>
  <c r="J8" i="16"/>
  <c r="I9" i="16"/>
  <c r="K12" i="16"/>
  <c r="J13" i="16"/>
  <c r="D38" i="16" l="1"/>
  <c r="X20" i="16"/>
  <c r="W20" i="16"/>
  <c r="AA20" i="16"/>
  <c r="AB20" i="16"/>
  <c r="V20" i="16"/>
  <c r="Z20" i="16"/>
  <c r="Y20" i="16"/>
  <c r="L8" i="16"/>
  <c r="L12" i="16"/>
  <c r="I13" i="16"/>
  <c r="C36" i="16"/>
  <c r="C33" i="16"/>
  <c r="C42" i="16"/>
  <c r="C52" i="16"/>
  <c r="K8" i="16"/>
  <c r="K13" i="16"/>
  <c r="J9" i="16"/>
  <c r="L13" i="16"/>
  <c r="J14" i="16"/>
  <c r="I10" i="16"/>
  <c r="L9" i="16" s="1"/>
  <c r="K9" i="16" s="1"/>
  <c r="I14" i="16"/>
  <c r="D51" i="16"/>
  <c r="D42" i="16" s="1"/>
  <c r="E42" i="16"/>
  <c r="D91" i="16"/>
  <c r="E52" i="16"/>
  <c r="E35" i="16"/>
  <c r="F33" i="16"/>
  <c r="F34" i="16" s="1"/>
  <c r="C38" i="16"/>
  <c r="E38" i="16"/>
  <c r="L14" i="16"/>
  <c r="K14" i="16" s="1"/>
  <c r="K10" i="16"/>
  <c r="J10" i="16"/>
  <c r="L10" i="16"/>
  <c r="J12" i="16"/>
  <c r="I12" i="16" s="1"/>
  <c r="K7" i="16"/>
  <c r="J7" i="16" s="1"/>
  <c r="I7" i="16" s="1"/>
  <c r="Q26" i="15"/>
  <c r="P26" i="15"/>
  <c r="O26" i="15"/>
  <c r="L26" i="15"/>
  <c r="K26" i="15"/>
  <c r="H26" i="15"/>
  <c r="D35" i="16" l="1"/>
  <c r="E36" i="16"/>
  <c r="E33" i="16"/>
  <c r="E34" i="16" s="1"/>
  <c r="D52" i="16"/>
  <c r="K11" i="16"/>
  <c r="J11" i="16" s="1"/>
  <c r="I11" i="16" s="1"/>
  <c r="AB10" i="16" s="1"/>
  <c r="AA10" i="16" s="1"/>
  <c r="D36" i="16" l="1"/>
  <c r="D33" i="16"/>
  <c r="D34" i="16" s="1"/>
  <c r="C34" i="16" s="1"/>
  <c r="B34" i="16" s="1"/>
  <c r="B35" i="16" s="1"/>
  <c r="B36" i="16" s="1"/>
  <c r="B37" i="16" s="1"/>
  <c r="J11" i="15"/>
  <c r="I11" i="15" s="1"/>
  <c r="H11" i="15"/>
  <c r="G11" i="15"/>
  <c r="F11" i="15"/>
  <c r="E11" i="15"/>
  <c r="D11" i="15"/>
  <c r="C11" i="15"/>
  <c r="C6" i="15"/>
  <c r="E8" i="15" s="1"/>
  <c r="C8" i="15" s="1"/>
  <c r="B38" i="16" l="1"/>
  <c r="F37" i="16" s="1"/>
  <c r="F36" i="16" s="1"/>
  <c r="F7" i="15"/>
  <c r="G8" i="15"/>
  <c r="E7" i="15"/>
  <c r="G7" i="15"/>
  <c r="F8" i="15"/>
  <c r="B28" i="15" a="1"/>
  <c r="F28" i="15" a="1"/>
  <c r="I28" i="15" a="1"/>
  <c r="M28" i="15" a="1"/>
  <c r="M151" i="15" l="1"/>
  <c r="M150" i="15"/>
  <c r="M149" i="15"/>
  <c r="M148" i="15"/>
  <c r="M147" i="15"/>
  <c r="M146" i="15"/>
  <c r="M145" i="15"/>
  <c r="M144" i="15"/>
  <c r="M143" i="15"/>
  <c r="M142" i="15"/>
  <c r="M141" i="15"/>
  <c r="M140" i="15"/>
  <c r="M139" i="15"/>
  <c r="M138" i="15"/>
  <c r="M137" i="15"/>
  <c r="M136" i="15"/>
  <c r="M135" i="15"/>
  <c r="M134" i="15"/>
  <c r="M133" i="15"/>
  <c r="M132" i="15"/>
  <c r="M131" i="15"/>
  <c r="M130" i="15"/>
  <c r="M129" i="15"/>
  <c r="M128" i="15"/>
  <c r="M127" i="15"/>
  <c r="M126" i="15"/>
  <c r="M125" i="15"/>
  <c r="M124" i="15"/>
  <c r="M123" i="15"/>
  <c r="M122" i="15"/>
  <c r="M121" i="15"/>
  <c r="M120" i="15"/>
  <c r="M119" i="15"/>
  <c r="M118" i="15"/>
  <c r="M117" i="15"/>
  <c r="M116" i="15"/>
  <c r="M115" i="15"/>
  <c r="M114" i="15"/>
  <c r="M113" i="15"/>
  <c r="M112" i="15"/>
  <c r="M111" i="15"/>
  <c r="M110" i="15"/>
  <c r="M109" i="15"/>
  <c r="M108" i="15"/>
  <c r="M107" i="15"/>
  <c r="M106" i="15"/>
  <c r="M105" i="15"/>
  <c r="M104" i="15"/>
  <c r="M103" i="15"/>
  <c r="M102" i="15"/>
  <c r="M101" i="15"/>
  <c r="M100" i="15"/>
  <c r="M99" i="15"/>
  <c r="M98" i="15"/>
  <c r="M97" i="15"/>
  <c r="M96" i="15"/>
  <c r="M95" i="15"/>
  <c r="M94" i="15"/>
  <c r="M93" i="15"/>
  <c r="M92" i="15"/>
  <c r="M91" i="15"/>
  <c r="M90" i="15"/>
  <c r="M89" i="15"/>
  <c r="M88" i="15"/>
  <c r="M87" i="15"/>
  <c r="M86" i="15"/>
  <c r="M85" i="15"/>
  <c r="M84" i="15"/>
  <c r="M83" i="15"/>
  <c r="M82" i="15"/>
  <c r="M81" i="15"/>
  <c r="M80" i="15"/>
  <c r="M79" i="15"/>
  <c r="M78" i="15"/>
  <c r="M77" i="15"/>
  <c r="M76" i="15"/>
  <c r="M75" i="15"/>
  <c r="M74" i="15"/>
  <c r="M73" i="15"/>
  <c r="M72" i="15"/>
  <c r="M71" i="15"/>
  <c r="M70" i="15"/>
  <c r="M69" i="15"/>
  <c r="M68" i="15"/>
  <c r="M67" i="15"/>
  <c r="M66" i="15"/>
  <c r="M65" i="15"/>
  <c r="M64" i="15"/>
  <c r="M63" i="15"/>
  <c r="M62" i="15"/>
  <c r="M61" i="15"/>
  <c r="M60" i="15"/>
  <c r="M59" i="15"/>
  <c r="M58" i="15"/>
  <c r="M57" i="15"/>
  <c r="M56" i="15"/>
  <c r="M55" i="15"/>
  <c r="M54" i="15"/>
  <c r="M53" i="15"/>
  <c r="M52" i="15"/>
  <c r="M51" i="15"/>
  <c r="M50" i="15"/>
  <c r="M49" i="15"/>
  <c r="M48" i="15"/>
  <c r="M47" i="15"/>
  <c r="M46" i="15"/>
  <c r="M45" i="15"/>
  <c r="M44" i="15"/>
  <c r="M43" i="15"/>
  <c r="M42" i="15"/>
  <c r="M41" i="15"/>
  <c r="M40" i="15"/>
  <c r="M39" i="15"/>
  <c r="M38" i="15"/>
  <c r="M37" i="15"/>
  <c r="M36" i="15"/>
  <c r="M35" i="15"/>
  <c r="M34" i="15"/>
  <c r="M33" i="15"/>
  <c r="M32" i="15"/>
  <c r="M31" i="15"/>
  <c r="M30" i="15"/>
  <c r="M29" i="15"/>
  <c r="M28" i="15"/>
  <c r="I151" i="15"/>
  <c r="I150" i="15"/>
  <c r="I149" i="15"/>
  <c r="I148" i="15"/>
  <c r="I147" i="15"/>
  <c r="I146" i="15"/>
  <c r="I145" i="15"/>
  <c r="I144" i="15"/>
  <c r="I143" i="15"/>
  <c r="I142" i="15"/>
  <c r="I141" i="15"/>
  <c r="I140" i="15"/>
  <c r="I139" i="15"/>
  <c r="I138" i="15"/>
  <c r="I137" i="15"/>
  <c r="I136" i="15"/>
  <c r="I135" i="15"/>
  <c r="I134" i="15"/>
  <c r="I133" i="15"/>
  <c r="I132" i="15"/>
  <c r="I131" i="15"/>
  <c r="I130" i="15"/>
  <c r="I129" i="15"/>
  <c r="I128" i="15"/>
  <c r="I127" i="15"/>
  <c r="I126" i="15"/>
  <c r="I125" i="15"/>
  <c r="I124" i="15"/>
  <c r="I123" i="15"/>
  <c r="I122" i="15"/>
  <c r="I121" i="15"/>
  <c r="I120" i="15"/>
  <c r="I119" i="15"/>
  <c r="I118" i="15"/>
  <c r="I117" i="15"/>
  <c r="I116" i="15"/>
  <c r="I115" i="15"/>
  <c r="I114" i="15"/>
  <c r="I113" i="15"/>
  <c r="I112" i="15"/>
  <c r="I111" i="15"/>
  <c r="I110" i="15"/>
  <c r="I109" i="15"/>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8" i="15"/>
  <c r="I77" i="15"/>
  <c r="I76"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C151" i="15"/>
  <c r="B151" i="15"/>
  <c r="C150" i="15"/>
  <c r="B150" i="15"/>
  <c r="C149" i="15"/>
  <c r="B149" i="15"/>
  <c r="C148" i="15"/>
  <c r="B148" i="15"/>
  <c r="C147" i="15"/>
  <c r="B147" i="15"/>
  <c r="C146" i="15"/>
  <c r="B146" i="15"/>
  <c r="C145" i="15"/>
  <c r="B145" i="15"/>
  <c r="C144" i="15"/>
  <c r="B144" i="15"/>
  <c r="C143" i="15"/>
  <c r="B143" i="15"/>
  <c r="C142" i="15"/>
  <c r="B142" i="15"/>
  <c r="C141" i="15"/>
  <c r="B141" i="15"/>
  <c r="C140" i="15"/>
  <c r="B140" i="15"/>
  <c r="C139" i="15"/>
  <c r="B139" i="15"/>
  <c r="C138" i="15"/>
  <c r="B138" i="15"/>
  <c r="C137" i="15"/>
  <c r="B137" i="15"/>
  <c r="C136" i="15"/>
  <c r="B136" i="15"/>
  <c r="C135" i="15"/>
  <c r="B135" i="15"/>
  <c r="C134" i="15"/>
  <c r="B134" i="15"/>
  <c r="C133" i="15"/>
  <c r="B133" i="15"/>
  <c r="C132" i="15"/>
  <c r="B132" i="15"/>
  <c r="C131" i="15"/>
  <c r="B131" i="15"/>
  <c r="C130" i="15"/>
  <c r="B130" i="15"/>
  <c r="C129" i="15"/>
  <c r="B129" i="15"/>
  <c r="C128" i="15"/>
  <c r="B128" i="15"/>
  <c r="C127" i="15"/>
  <c r="B127" i="15"/>
  <c r="C126" i="15"/>
  <c r="B126" i="15"/>
  <c r="C125" i="15"/>
  <c r="B125" i="15"/>
  <c r="C124" i="15"/>
  <c r="B124" i="15"/>
  <c r="C123" i="15"/>
  <c r="B123" i="15"/>
  <c r="C122" i="15"/>
  <c r="B122" i="15"/>
  <c r="C121" i="15"/>
  <c r="B121" i="15"/>
  <c r="C120" i="15"/>
  <c r="B120" i="15"/>
  <c r="C119" i="15"/>
  <c r="B119" i="15"/>
  <c r="C118" i="15"/>
  <c r="B118" i="15"/>
  <c r="C117" i="15"/>
  <c r="B117" i="15"/>
  <c r="C116" i="15"/>
  <c r="B116" i="15"/>
  <c r="C115" i="15"/>
  <c r="B115" i="15"/>
  <c r="C114" i="15"/>
  <c r="B114" i="15"/>
  <c r="C113" i="15"/>
  <c r="B113" i="15"/>
  <c r="C112" i="15"/>
  <c r="B112" i="15"/>
  <c r="C111" i="15"/>
  <c r="B111" i="15"/>
  <c r="C110" i="15"/>
  <c r="B110" i="15"/>
  <c r="C109" i="15"/>
  <c r="B109" i="15"/>
  <c r="C108" i="15"/>
  <c r="B108" i="15"/>
  <c r="C107" i="15"/>
  <c r="B107" i="15"/>
  <c r="C106" i="15"/>
  <c r="B106" i="15"/>
  <c r="C105" i="15"/>
  <c r="B105" i="15"/>
  <c r="C104" i="15"/>
  <c r="B104" i="15"/>
  <c r="C103" i="15"/>
  <c r="B103" i="15"/>
  <c r="C102" i="15"/>
  <c r="B102" i="15"/>
  <c r="C101" i="15"/>
  <c r="B101" i="15"/>
  <c r="C100" i="15"/>
  <c r="B100" i="15"/>
  <c r="C99" i="15"/>
  <c r="B99" i="15"/>
  <c r="C98" i="15"/>
  <c r="B98" i="15"/>
  <c r="C97" i="15"/>
  <c r="B97" i="15"/>
  <c r="C96" i="15"/>
  <c r="B96" i="15"/>
  <c r="C95" i="15"/>
  <c r="B95" i="15"/>
  <c r="C94" i="15"/>
  <c r="B94" i="15"/>
  <c r="C93" i="15"/>
  <c r="B93" i="15"/>
  <c r="C92" i="15"/>
  <c r="B92" i="15"/>
  <c r="C91" i="15"/>
  <c r="B91" i="15"/>
  <c r="C90" i="15"/>
  <c r="B90" i="15"/>
  <c r="C89" i="15"/>
  <c r="B89" i="15"/>
  <c r="C88" i="15"/>
  <c r="B88" i="15"/>
  <c r="C87" i="15"/>
  <c r="B87" i="15"/>
  <c r="C86" i="15"/>
  <c r="B86" i="15"/>
  <c r="C85" i="15"/>
  <c r="B85" i="15"/>
  <c r="C84" i="15"/>
  <c r="B84" i="15"/>
  <c r="C83" i="15"/>
  <c r="B83" i="15"/>
  <c r="C82" i="15"/>
  <c r="B82" i="15"/>
  <c r="C81" i="15"/>
  <c r="B81" i="15"/>
  <c r="C80" i="15"/>
  <c r="B80" i="15"/>
  <c r="C79" i="15"/>
  <c r="B79" i="15"/>
  <c r="C78" i="15"/>
  <c r="B78" i="15"/>
  <c r="C77" i="15"/>
  <c r="B77" i="15"/>
  <c r="C76" i="15"/>
  <c r="B76" i="15"/>
  <c r="C75" i="15"/>
  <c r="B75" i="15"/>
  <c r="C74" i="15"/>
  <c r="B74" i="15"/>
  <c r="C73" i="15"/>
  <c r="B73" i="15"/>
  <c r="C72" i="15"/>
  <c r="B72" i="15"/>
  <c r="C71" i="15"/>
  <c r="B71" i="15"/>
  <c r="C70" i="15"/>
  <c r="B70" i="15"/>
  <c r="C69" i="15"/>
  <c r="B69" i="15"/>
  <c r="C68" i="15"/>
  <c r="B68" i="15"/>
  <c r="C67" i="15"/>
  <c r="B67" i="15"/>
  <c r="C66" i="15"/>
  <c r="B66" i="15"/>
  <c r="C65" i="15"/>
  <c r="B65" i="15"/>
  <c r="C64" i="15"/>
  <c r="B64" i="15"/>
  <c r="C63" i="15"/>
  <c r="B63" i="15"/>
  <c r="C62" i="15"/>
  <c r="B62" i="15"/>
  <c r="C61" i="15"/>
  <c r="B61" i="15"/>
  <c r="C60" i="15"/>
  <c r="B60" i="15"/>
  <c r="C59" i="15"/>
  <c r="B59" i="15"/>
  <c r="C58" i="15"/>
  <c r="B58" i="15"/>
  <c r="C57" i="15"/>
  <c r="B57" i="15"/>
  <c r="C56" i="15"/>
  <c r="B56" i="15"/>
  <c r="C55" i="15"/>
  <c r="B55" i="15"/>
  <c r="C54" i="15"/>
  <c r="B54" i="15"/>
  <c r="C53" i="15"/>
  <c r="B53" i="15"/>
  <c r="C52" i="15"/>
  <c r="B52" i="15"/>
  <c r="C51" i="15"/>
  <c r="B51" i="15"/>
  <c r="C50" i="15"/>
  <c r="B50" i="15"/>
  <c r="C49" i="15"/>
  <c r="B49" i="15"/>
  <c r="C48" i="15"/>
  <c r="B48" i="15"/>
  <c r="C47" i="15"/>
  <c r="B47" i="15"/>
  <c r="C46" i="15"/>
  <c r="B46" i="15"/>
  <c r="C45" i="15"/>
  <c r="B45" i="15"/>
  <c r="C44" i="15"/>
  <c r="B44" i="15"/>
  <c r="C43" i="15"/>
  <c r="B43" i="15"/>
  <c r="C42" i="15"/>
  <c r="B42" i="15"/>
  <c r="C41" i="15"/>
  <c r="B41" i="15"/>
  <c r="C40" i="15"/>
  <c r="B40" i="15"/>
  <c r="C39" i="15"/>
  <c r="B39" i="15"/>
  <c r="C38" i="15"/>
  <c r="B38" i="15"/>
  <c r="C37" i="15"/>
  <c r="B37" i="15"/>
  <c r="C36" i="15"/>
  <c r="B36" i="15"/>
  <c r="C35" i="15"/>
  <c r="B35" i="15"/>
  <c r="C34" i="15"/>
  <c r="B34" i="15"/>
  <c r="C33" i="15"/>
  <c r="B33" i="15"/>
  <c r="C32" i="15"/>
  <c r="B32" i="15"/>
  <c r="C31" i="15"/>
  <c r="B31" i="15"/>
  <c r="C30" i="15"/>
  <c r="B30" i="15"/>
  <c r="C29" i="15"/>
  <c r="B29" i="15"/>
  <c r="C28" i="15"/>
  <c r="B28" i="15"/>
  <c r="N127" i="15"/>
  <c r="N131" i="15"/>
  <c r="N147" i="15"/>
  <c r="N33" i="15"/>
  <c r="M11" i="15"/>
  <c r="L11" i="15" s="1"/>
  <c r="K11" i="15" s="1"/>
  <c r="Q28" i="15" l="1"/>
  <c r="N135" i="15"/>
  <c r="N37" i="15"/>
  <c r="N123" i="15"/>
  <c r="N143" i="15"/>
  <c r="N139" i="15"/>
  <c r="N45" i="15"/>
  <c r="N53" i="15"/>
  <c r="N61" i="15"/>
  <c r="N69" i="15"/>
  <c r="N77" i="15"/>
  <c r="N85" i="15"/>
  <c r="N93" i="15"/>
  <c r="N101" i="15"/>
  <c r="N109" i="15"/>
  <c r="N117" i="15"/>
  <c r="N125" i="15"/>
  <c r="N133" i="15"/>
  <c r="N141" i="15"/>
  <c r="N149" i="15"/>
  <c r="N29" i="15"/>
  <c r="N41" i="15"/>
  <c r="N49" i="15"/>
  <c r="N57" i="15"/>
  <c r="N65" i="15"/>
  <c r="N73" i="15"/>
  <c r="N81" i="15"/>
  <c r="N89" i="15"/>
  <c r="N97" i="15"/>
  <c r="N105" i="15"/>
  <c r="N113" i="15"/>
  <c r="N121" i="15"/>
  <c r="N129" i="15"/>
  <c r="N137" i="15"/>
  <c r="N145" i="15"/>
  <c r="D32" i="15"/>
  <c r="E31" i="15"/>
  <c r="E35" i="15"/>
  <c r="D36" i="15"/>
  <c r="E39" i="15"/>
  <c r="D40" i="15"/>
  <c r="E43" i="15"/>
  <c r="D44" i="15"/>
  <c r="D48" i="15"/>
  <c r="E47" i="15"/>
  <c r="E51" i="15"/>
  <c r="D52" i="15"/>
  <c r="E55" i="15"/>
  <c r="D56" i="15"/>
  <c r="E59" i="15"/>
  <c r="D60" i="15"/>
  <c r="E63" i="15"/>
  <c r="D64" i="15"/>
  <c r="E67" i="15"/>
  <c r="D68" i="15"/>
  <c r="E71" i="15"/>
  <c r="D72" i="15"/>
  <c r="E75" i="15"/>
  <c r="D76" i="15"/>
  <c r="E79" i="15"/>
  <c r="D80" i="15"/>
  <c r="E83" i="15"/>
  <c r="D84" i="15"/>
  <c r="E87" i="15"/>
  <c r="D88" i="15"/>
  <c r="E91" i="15"/>
  <c r="D92" i="15"/>
  <c r="E95" i="15"/>
  <c r="D96" i="15"/>
  <c r="E103" i="15"/>
  <c r="D104" i="15"/>
  <c r="E107" i="15"/>
  <c r="D108" i="15"/>
  <c r="E111" i="15"/>
  <c r="D112" i="15"/>
  <c r="E115" i="15"/>
  <c r="D116" i="15"/>
  <c r="D120" i="15"/>
  <c r="E119" i="15"/>
  <c r="D124" i="15"/>
  <c r="E123" i="15"/>
  <c r="D128" i="15"/>
  <c r="E127" i="15"/>
  <c r="D132" i="15"/>
  <c r="E131" i="15"/>
  <c r="D136" i="15"/>
  <c r="E135" i="15"/>
  <c r="D140" i="15"/>
  <c r="E139" i="15"/>
  <c r="D144" i="15"/>
  <c r="E143" i="15"/>
  <c r="D148" i="15"/>
  <c r="E147" i="15"/>
  <c r="E29" i="15"/>
  <c r="D30" i="15"/>
  <c r="D34" i="15"/>
  <c r="E33" i="15"/>
  <c r="E37" i="15"/>
  <c r="D38" i="15"/>
  <c r="D42" i="15"/>
  <c r="E41" i="15"/>
  <c r="E45" i="15"/>
  <c r="D46" i="15"/>
  <c r="E49" i="15"/>
  <c r="D50" i="15"/>
  <c r="D54" i="15"/>
  <c r="E53" i="15"/>
  <c r="D58" i="15"/>
  <c r="E57" i="15"/>
  <c r="E61" i="15"/>
  <c r="D62" i="15"/>
  <c r="D66" i="15"/>
  <c r="E65" i="15"/>
  <c r="E69" i="15"/>
  <c r="D70" i="15"/>
  <c r="D74" i="15"/>
  <c r="E73" i="15"/>
  <c r="D78" i="15"/>
  <c r="E77" i="15"/>
  <c r="D82" i="15"/>
  <c r="E81" i="15"/>
  <c r="D86" i="15"/>
  <c r="E85" i="15"/>
  <c r="D90" i="15"/>
  <c r="E89" i="15"/>
  <c r="D94" i="15"/>
  <c r="E93" i="15"/>
  <c r="D98" i="15"/>
  <c r="E97" i="15"/>
  <c r="D102" i="15"/>
  <c r="E101" i="15"/>
  <c r="D106" i="15"/>
  <c r="E105" i="15"/>
  <c r="D110" i="15"/>
  <c r="E109" i="15"/>
  <c r="D114" i="15"/>
  <c r="E113" i="15"/>
  <c r="D118" i="15"/>
  <c r="E117" i="15"/>
  <c r="E121" i="15"/>
  <c r="D122" i="15"/>
  <c r="E125" i="15"/>
  <c r="D126" i="15"/>
  <c r="E129" i="15"/>
  <c r="D130" i="15"/>
  <c r="E133" i="15"/>
  <c r="D134" i="15"/>
  <c r="E137" i="15"/>
  <c r="D138" i="15"/>
  <c r="E141" i="15"/>
  <c r="D142" i="15"/>
  <c r="E145" i="15"/>
  <c r="D146" i="15"/>
  <c r="E149" i="15"/>
  <c r="D150" i="15"/>
  <c r="D29" i="15"/>
  <c r="E28" i="15"/>
  <c r="D28" i="15" s="1"/>
  <c r="D33" i="15"/>
  <c r="E32" i="15"/>
  <c r="D37" i="15"/>
  <c r="E36" i="15"/>
  <c r="D41" i="15"/>
  <c r="E40" i="15"/>
  <c r="D45" i="15"/>
  <c r="E44" i="15"/>
  <c r="D49" i="15"/>
  <c r="E48" i="15"/>
  <c r="D53" i="15"/>
  <c r="E52" i="15"/>
  <c r="D57" i="15"/>
  <c r="E56" i="15"/>
  <c r="D61" i="15"/>
  <c r="E60" i="15"/>
  <c r="D65" i="15"/>
  <c r="E64" i="15"/>
  <c r="D69" i="15"/>
  <c r="E68" i="15"/>
  <c r="D73" i="15"/>
  <c r="E72" i="15"/>
  <c r="D77" i="15"/>
  <c r="E76" i="15"/>
  <c r="D81" i="15"/>
  <c r="E80" i="15"/>
  <c r="D85" i="15"/>
  <c r="E84" i="15"/>
  <c r="D89" i="15"/>
  <c r="E88" i="15"/>
  <c r="D93" i="15"/>
  <c r="E92" i="15"/>
  <c r="D97" i="15"/>
  <c r="E96" i="15"/>
  <c r="D101" i="15"/>
  <c r="E100" i="15"/>
  <c r="D105" i="15"/>
  <c r="E104" i="15"/>
  <c r="D109" i="15"/>
  <c r="E108" i="15"/>
  <c r="D113" i="15"/>
  <c r="E112" i="15"/>
  <c r="D117" i="15"/>
  <c r="E116" i="15"/>
  <c r="D121" i="15"/>
  <c r="E120" i="15"/>
  <c r="D125" i="15"/>
  <c r="E124" i="15"/>
  <c r="D129" i="15"/>
  <c r="E128" i="15"/>
  <c r="D133" i="15"/>
  <c r="E132" i="15"/>
  <c r="D137" i="15"/>
  <c r="E136" i="15"/>
  <c r="D141" i="15"/>
  <c r="E140" i="15"/>
  <c r="D145" i="15"/>
  <c r="E144" i="15"/>
  <c r="D149" i="15"/>
  <c r="E148" i="15"/>
  <c r="G34" i="15"/>
  <c r="L35" i="15"/>
  <c r="G42" i="15"/>
  <c r="L43" i="15"/>
  <c r="L51" i="15"/>
  <c r="G50" i="15"/>
  <c r="G58" i="15"/>
  <c r="L59" i="15"/>
  <c r="G66" i="15"/>
  <c r="L67" i="15"/>
  <c r="G74" i="15"/>
  <c r="L75" i="15"/>
  <c r="G82" i="15"/>
  <c r="L83" i="15"/>
  <c r="G90" i="15"/>
  <c r="L91" i="15"/>
  <c r="G98" i="15"/>
  <c r="L99" i="15"/>
  <c r="G106" i="15"/>
  <c r="L107" i="15"/>
  <c r="G114" i="15"/>
  <c r="L115" i="15"/>
  <c r="L123" i="15"/>
  <c r="G122" i="15"/>
  <c r="L131" i="15"/>
  <c r="G130" i="15"/>
  <c r="L139" i="15"/>
  <c r="G138" i="15"/>
  <c r="L147" i="15"/>
  <c r="G146" i="15"/>
  <c r="G29" i="15"/>
  <c r="L30" i="15"/>
  <c r="G37" i="15"/>
  <c r="L38" i="15"/>
  <c r="G45" i="15"/>
  <c r="L46" i="15"/>
  <c r="G53" i="15"/>
  <c r="L54" i="15"/>
  <c r="G61" i="15"/>
  <c r="L62" i="15"/>
  <c r="G69" i="15"/>
  <c r="L70" i="15"/>
  <c r="G77" i="15"/>
  <c r="L78" i="15"/>
  <c r="G85" i="15"/>
  <c r="L86" i="15"/>
  <c r="G93" i="15"/>
  <c r="L94" i="15"/>
  <c r="G101" i="15"/>
  <c r="L102" i="15"/>
  <c r="G109" i="15"/>
  <c r="L110" i="15"/>
  <c r="G117" i="15"/>
  <c r="L118" i="15"/>
  <c r="G125" i="15"/>
  <c r="L126" i="15"/>
  <c r="G133" i="15"/>
  <c r="L134" i="15"/>
  <c r="G141" i="15"/>
  <c r="L142" i="15"/>
  <c r="G149" i="15"/>
  <c r="L150" i="15"/>
  <c r="G32" i="15"/>
  <c r="L33" i="15"/>
  <c r="P33" i="15"/>
  <c r="G40" i="15"/>
  <c r="L41" i="15"/>
  <c r="P41" i="15"/>
  <c r="P49" i="15"/>
  <c r="G48" i="15"/>
  <c r="L49" i="15"/>
  <c r="G56" i="15"/>
  <c r="L57" i="15"/>
  <c r="P57" i="15"/>
  <c r="G64" i="15"/>
  <c r="L65" i="15"/>
  <c r="P65" i="15"/>
  <c r="G72" i="15"/>
  <c r="L73" i="15"/>
  <c r="P73" i="15"/>
  <c r="G80" i="15"/>
  <c r="L81" i="15"/>
  <c r="P81" i="15"/>
  <c r="G88" i="15"/>
  <c r="L89" i="15"/>
  <c r="P89" i="15"/>
  <c r="G96" i="15"/>
  <c r="L97" i="15"/>
  <c r="P97" i="15"/>
  <c r="G104" i="15"/>
  <c r="L105" i="15"/>
  <c r="P105" i="15"/>
  <c r="G112" i="15"/>
  <c r="L113" i="15"/>
  <c r="P113" i="15"/>
  <c r="P121" i="15"/>
  <c r="G120" i="15"/>
  <c r="L121" i="15"/>
  <c r="P129" i="15"/>
  <c r="G128" i="15"/>
  <c r="L129" i="15"/>
  <c r="P137" i="15"/>
  <c r="G136" i="15"/>
  <c r="L137" i="15"/>
  <c r="P145" i="15"/>
  <c r="G144" i="15"/>
  <c r="L145" i="15"/>
  <c r="P28" i="15"/>
  <c r="L28" i="15"/>
  <c r="G35" i="15"/>
  <c r="P36" i="15"/>
  <c r="L36" i="15"/>
  <c r="G43" i="15"/>
  <c r="P44" i="15"/>
  <c r="O44" i="15" s="1"/>
  <c r="N44" i="15" s="1"/>
  <c r="L44" i="15"/>
  <c r="P52" i="15"/>
  <c r="L52" i="15"/>
  <c r="G51" i="15"/>
  <c r="G59" i="15"/>
  <c r="P60" i="15"/>
  <c r="L60" i="15"/>
  <c r="G67" i="15"/>
  <c r="P68" i="15"/>
  <c r="L68" i="15"/>
  <c r="G75" i="15"/>
  <c r="L76" i="15"/>
  <c r="P76" i="15"/>
  <c r="G83" i="15"/>
  <c r="L84" i="15"/>
  <c r="P84" i="15"/>
  <c r="G91" i="15"/>
  <c r="L92" i="15"/>
  <c r="P92" i="15"/>
  <c r="G99" i="15"/>
  <c r="L100" i="15"/>
  <c r="P100" i="15"/>
  <c r="G107" i="15"/>
  <c r="L108" i="15"/>
  <c r="P108" i="15"/>
  <c r="G115" i="15"/>
  <c r="L116" i="15"/>
  <c r="P116" i="15"/>
  <c r="L124" i="15"/>
  <c r="P124" i="15"/>
  <c r="G123" i="15"/>
  <c r="L132" i="15"/>
  <c r="P132" i="15"/>
  <c r="O132" i="15" s="1"/>
  <c r="N132" i="15" s="1"/>
  <c r="G131" i="15"/>
  <c r="L140" i="15"/>
  <c r="P140" i="15"/>
  <c r="G139" i="15"/>
  <c r="L148" i="15"/>
  <c r="P148" i="15"/>
  <c r="G147" i="15"/>
  <c r="J33" i="15"/>
  <c r="Q34" i="15"/>
  <c r="P34" i="15" s="1"/>
  <c r="J41" i="15"/>
  <c r="Q42" i="15"/>
  <c r="P42" i="15" s="1"/>
  <c r="J49" i="15"/>
  <c r="Q50" i="15"/>
  <c r="P50" i="15" s="1"/>
  <c r="O50" i="15" s="1"/>
  <c r="N50" i="15" s="1"/>
  <c r="J57" i="15"/>
  <c r="Q58" i="15"/>
  <c r="P58" i="15" s="1"/>
  <c r="J65" i="15"/>
  <c r="Q66" i="15"/>
  <c r="P66" i="15" s="1"/>
  <c r="J73" i="15"/>
  <c r="Q74" i="15"/>
  <c r="P74" i="15" s="1"/>
  <c r="J81" i="15"/>
  <c r="Q82" i="15"/>
  <c r="P82" i="15" s="1"/>
  <c r="J89" i="15"/>
  <c r="Q90" i="15"/>
  <c r="P90" i="15" s="1"/>
  <c r="J97" i="15"/>
  <c r="Q98" i="15"/>
  <c r="P98" i="15" s="1"/>
  <c r="J105" i="15"/>
  <c r="Q106" i="15"/>
  <c r="P106" i="15" s="1"/>
  <c r="J113" i="15"/>
  <c r="Q114" i="15"/>
  <c r="P114" i="15" s="1"/>
  <c r="J121" i="15"/>
  <c r="Q122" i="15"/>
  <c r="P122" i="15" s="1"/>
  <c r="J129" i="15"/>
  <c r="Q130" i="15"/>
  <c r="P130" i="15" s="1"/>
  <c r="J137" i="15"/>
  <c r="Q138" i="15"/>
  <c r="P138" i="15" s="1"/>
  <c r="J145" i="15"/>
  <c r="Q146" i="15"/>
  <c r="P146" i="15" s="1"/>
  <c r="O146" i="15" s="1"/>
  <c r="N146" i="15" s="1"/>
  <c r="J30" i="15"/>
  <c r="Q31" i="15"/>
  <c r="P31" i="15" s="1"/>
  <c r="Q39" i="15"/>
  <c r="P39" i="15" s="1"/>
  <c r="J38" i="15"/>
  <c r="J46" i="15"/>
  <c r="Q47" i="15"/>
  <c r="P47" i="15" s="1"/>
  <c r="J54" i="15"/>
  <c r="Q55" i="15"/>
  <c r="P55" i="15" s="1"/>
  <c r="Q63" i="15"/>
  <c r="P63" i="15" s="1"/>
  <c r="J62" i="15"/>
  <c r="Q71" i="15"/>
  <c r="P71" i="15" s="1"/>
  <c r="J70" i="15"/>
  <c r="J78" i="15"/>
  <c r="Q79" i="15"/>
  <c r="P79" i="15" s="1"/>
  <c r="J86" i="15"/>
  <c r="Q87" i="15"/>
  <c r="P87" i="15" s="1"/>
  <c r="J94" i="15"/>
  <c r="Q95" i="15"/>
  <c r="P95" i="15" s="1"/>
  <c r="J102" i="15"/>
  <c r="Q103" i="15"/>
  <c r="P103" i="15" s="1"/>
  <c r="J110" i="15"/>
  <c r="Q111" i="15"/>
  <c r="P111" i="15" s="1"/>
  <c r="J118" i="15"/>
  <c r="Q119" i="15"/>
  <c r="P119" i="15" s="1"/>
  <c r="J126" i="15"/>
  <c r="Q127" i="15"/>
  <c r="P127" i="15" s="1"/>
  <c r="J134" i="15"/>
  <c r="Q135" i="15"/>
  <c r="P135" i="15" s="1"/>
  <c r="J142" i="15"/>
  <c r="Q143" i="15"/>
  <c r="P143" i="15" s="1"/>
  <c r="Q151" i="15"/>
  <c r="P151" i="15" s="1"/>
  <c r="J150" i="15"/>
  <c r="J31" i="15"/>
  <c r="Q32" i="15"/>
  <c r="J39" i="15"/>
  <c r="Q40" i="15"/>
  <c r="J47" i="15"/>
  <c r="Q48" i="15"/>
  <c r="J55" i="15"/>
  <c r="Q56" i="15"/>
  <c r="J63" i="15"/>
  <c r="Q64" i="15"/>
  <c r="J71" i="15"/>
  <c r="Q72" i="15"/>
  <c r="J79" i="15"/>
  <c r="Q80" i="15"/>
  <c r="J87" i="15"/>
  <c r="Q88" i="15"/>
  <c r="J95" i="15"/>
  <c r="Q96" i="15"/>
  <c r="J103" i="15"/>
  <c r="Q104" i="15"/>
  <c r="J111" i="15"/>
  <c r="Q112" i="15"/>
  <c r="J119" i="15"/>
  <c r="Q120" i="15"/>
  <c r="J127" i="15"/>
  <c r="Q128" i="15"/>
  <c r="J135" i="15"/>
  <c r="Q136" i="15"/>
  <c r="J143" i="15"/>
  <c r="Q144" i="15"/>
  <c r="J28" i="15"/>
  <c r="Q29" i="15"/>
  <c r="J36" i="15"/>
  <c r="Q37" i="15"/>
  <c r="J44" i="15"/>
  <c r="Q45" i="15"/>
  <c r="J52" i="15"/>
  <c r="Q53" i="15"/>
  <c r="J60" i="15"/>
  <c r="Q61" i="15"/>
  <c r="J68" i="15"/>
  <c r="Q69" i="15"/>
  <c r="J76" i="15"/>
  <c r="Q77" i="15"/>
  <c r="J84" i="15"/>
  <c r="Q85" i="15"/>
  <c r="J92" i="15"/>
  <c r="Q93" i="15"/>
  <c r="J100" i="15"/>
  <c r="Q101" i="15"/>
  <c r="J108" i="15"/>
  <c r="Q109" i="15"/>
  <c r="J116" i="15"/>
  <c r="Q117" i="15"/>
  <c r="J124" i="15"/>
  <c r="Q125" i="15"/>
  <c r="J132" i="15"/>
  <c r="Q133" i="15"/>
  <c r="J140" i="15"/>
  <c r="Q141" i="15"/>
  <c r="J148" i="15"/>
  <c r="Q149" i="15"/>
  <c r="N31" i="15"/>
  <c r="N39" i="15"/>
  <c r="N47" i="15"/>
  <c r="N55" i="15"/>
  <c r="N63" i="15"/>
  <c r="N71" i="15"/>
  <c r="N79" i="15"/>
  <c r="N87" i="15"/>
  <c r="N95" i="15"/>
  <c r="N103" i="15"/>
  <c r="N111" i="15"/>
  <c r="N119" i="15"/>
  <c r="E99" i="15"/>
  <c r="D100" i="15"/>
  <c r="D31" i="15"/>
  <c r="E30" i="15"/>
  <c r="D35" i="15"/>
  <c r="E34" i="15"/>
  <c r="D39" i="15"/>
  <c r="E38" i="15"/>
  <c r="D43" i="15"/>
  <c r="E42" i="15"/>
  <c r="D47" i="15"/>
  <c r="E46" i="15"/>
  <c r="D51" i="15"/>
  <c r="E50" i="15"/>
  <c r="D55" i="15"/>
  <c r="E54" i="15"/>
  <c r="D59" i="15"/>
  <c r="E58" i="15"/>
  <c r="D63" i="15"/>
  <c r="E62" i="15"/>
  <c r="D67" i="15"/>
  <c r="E66" i="15"/>
  <c r="D71" i="15"/>
  <c r="E70" i="15"/>
  <c r="D75" i="15"/>
  <c r="E74" i="15"/>
  <c r="D79" i="15"/>
  <c r="E78" i="15"/>
  <c r="D83" i="15"/>
  <c r="E82" i="15"/>
  <c r="D87" i="15"/>
  <c r="E86" i="15"/>
  <c r="D91" i="15"/>
  <c r="E90" i="15"/>
  <c r="D95" i="15"/>
  <c r="E94" i="15"/>
  <c r="D99" i="15"/>
  <c r="E98" i="15"/>
  <c r="D103" i="15"/>
  <c r="E102" i="15"/>
  <c r="D107" i="15"/>
  <c r="E106" i="15"/>
  <c r="D111" i="15"/>
  <c r="E110" i="15"/>
  <c r="D115" i="15"/>
  <c r="E114" i="15"/>
  <c r="D119" i="15"/>
  <c r="E118" i="15"/>
  <c r="D123" i="15"/>
  <c r="E122" i="15"/>
  <c r="D127" i="15"/>
  <c r="E126" i="15"/>
  <c r="D131" i="15"/>
  <c r="E130" i="15"/>
  <c r="D135" i="15"/>
  <c r="E134" i="15"/>
  <c r="D139" i="15"/>
  <c r="E138" i="15"/>
  <c r="D143" i="15"/>
  <c r="E142" i="15"/>
  <c r="E146" i="15"/>
  <c r="D147" i="15"/>
  <c r="D151" i="15"/>
  <c r="E150" i="15"/>
  <c r="G30" i="15"/>
  <c r="L31" i="15"/>
  <c r="L39" i="15"/>
  <c r="G38" i="15"/>
  <c r="L47" i="15"/>
  <c r="G46" i="15"/>
  <c r="G54" i="15"/>
  <c r="L55" i="15"/>
  <c r="L63" i="15"/>
  <c r="G62" i="15"/>
  <c r="L71" i="15"/>
  <c r="G70" i="15"/>
  <c r="G78" i="15"/>
  <c r="L79" i="15"/>
  <c r="G86" i="15"/>
  <c r="L87" i="15"/>
  <c r="G94" i="15"/>
  <c r="L95" i="15"/>
  <c r="G102" i="15"/>
  <c r="L103" i="15"/>
  <c r="G110" i="15"/>
  <c r="L111" i="15"/>
  <c r="G118" i="15"/>
  <c r="L119" i="15"/>
  <c r="L127" i="15"/>
  <c r="G126" i="15"/>
  <c r="L135" i="15"/>
  <c r="G134" i="15"/>
  <c r="L143" i="15"/>
  <c r="G142" i="15"/>
  <c r="L151" i="15"/>
  <c r="G150" i="15"/>
  <c r="G33" i="15"/>
  <c r="L34" i="15"/>
  <c r="G41" i="15"/>
  <c r="L42" i="15"/>
  <c r="G49" i="15"/>
  <c r="L50" i="15"/>
  <c r="G57" i="15"/>
  <c r="L58" i="15"/>
  <c r="G65" i="15"/>
  <c r="L66" i="15"/>
  <c r="G73" i="15"/>
  <c r="L74" i="15"/>
  <c r="G81" i="15"/>
  <c r="L82" i="15"/>
  <c r="G89" i="15"/>
  <c r="L90" i="15"/>
  <c r="G97" i="15"/>
  <c r="L98" i="15"/>
  <c r="G105" i="15"/>
  <c r="L106" i="15"/>
  <c r="G113" i="15"/>
  <c r="L114" i="15"/>
  <c r="G121" i="15"/>
  <c r="L122" i="15"/>
  <c r="G129" i="15"/>
  <c r="L130" i="15"/>
  <c r="G137" i="15"/>
  <c r="L138" i="15"/>
  <c r="G145" i="15"/>
  <c r="L146" i="15"/>
  <c r="L29" i="15"/>
  <c r="P29" i="15"/>
  <c r="G28" i="15"/>
  <c r="L37" i="15"/>
  <c r="P37" i="15"/>
  <c r="G36" i="15"/>
  <c r="L45" i="15"/>
  <c r="P45" i="15"/>
  <c r="G44" i="15"/>
  <c r="P53" i="15"/>
  <c r="G52" i="15"/>
  <c r="L53" i="15"/>
  <c r="L61" i="15"/>
  <c r="P61" i="15"/>
  <c r="G60" i="15"/>
  <c r="L69" i="15"/>
  <c r="P69" i="15"/>
  <c r="G68" i="15"/>
  <c r="P77" i="15"/>
  <c r="G76" i="15"/>
  <c r="L77" i="15"/>
  <c r="P85" i="15"/>
  <c r="G84" i="15"/>
  <c r="L85" i="15"/>
  <c r="P93" i="15"/>
  <c r="G92" i="15"/>
  <c r="L93" i="15"/>
  <c r="P101" i="15"/>
  <c r="G100" i="15"/>
  <c r="L101" i="15"/>
  <c r="P109" i="15"/>
  <c r="G108" i="15"/>
  <c r="L109" i="15"/>
  <c r="L117" i="15"/>
  <c r="G116" i="15"/>
  <c r="P117" i="15"/>
  <c r="L125" i="15"/>
  <c r="P125" i="15"/>
  <c r="G124" i="15"/>
  <c r="L133" i="15"/>
  <c r="P133" i="15"/>
  <c r="G132" i="15"/>
  <c r="L141" i="15"/>
  <c r="P141" i="15"/>
  <c r="G140" i="15"/>
  <c r="L149" i="15"/>
  <c r="P149" i="15"/>
  <c r="G148" i="15"/>
  <c r="L32" i="15"/>
  <c r="P32" i="15"/>
  <c r="G31" i="15"/>
  <c r="L40" i="15"/>
  <c r="G39" i="15"/>
  <c r="P40" i="15"/>
  <c r="O40" i="15" s="1"/>
  <c r="N40" i="15" s="1"/>
  <c r="P48" i="15"/>
  <c r="G47" i="15"/>
  <c r="L48" i="15"/>
  <c r="L56" i="15"/>
  <c r="G55" i="15"/>
  <c r="P56" i="15"/>
  <c r="L64" i="15"/>
  <c r="G63" i="15"/>
  <c r="P64" i="15"/>
  <c r="L72" i="15"/>
  <c r="G71" i="15"/>
  <c r="P72" i="15"/>
  <c r="L80" i="15"/>
  <c r="P80" i="15"/>
  <c r="O80" i="15" s="1"/>
  <c r="N80" i="15" s="1"/>
  <c r="G79" i="15"/>
  <c r="L88" i="15"/>
  <c r="P88" i="15"/>
  <c r="G87" i="15"/>
  <c r="L96" i="15"/>
  <c r="P96" i="15"/>
  <c r="G95" i="15"/>
  <c r="L104" i="15"/>
  <c r="P104" i="15"/>
  <c r="G103" i="15"/>
  <c r="L112" i="15"/>
  <c r="P112" i="15"/>
  <c r="G111" i="15"/>
  <c r="P120" i="15"/>
  <c r="G119" i="15"/>
  <c r="L120" i="15"/>
  <c r="P128" i="15"/>
  <c r="G127" i="15"/>
  <c r="L128" i="15"/>
  <c r="P136" i="15"/>
  <c r="G135" i="15"/>
  <c r="L136" i="15"/>
  <c r="P144" i="15"/>
  <c r="G143" i="15"/>
  <c r="L144" i="15"/>
  <c r="J29" i="15"/>
  <c r="Q30" i="15"/>
  <c r="P30" i="15" s="1"/>
  <c r="J37" i="15"/>
  <c r="Q38" i="15"/>
  <c r="P38" i="15" s="1"/>
  <c r="J45" i="15"/>
  <c r="Q46" i="15"/>
  <c r="P46" i="15" s="1"/>
  <c r="J53" i="15"/>
  <c r="Q54" i="15"/>
  <c r="P54" i="15" s="1"/>
  <c r="J61" i="15"/>
  <c r="Q62" i="15"/>
  <c r="P62" i="15" s="1"/>
  <c r="J69" i="15"/>
  <c r="Q70" i="15"/>
  <c r="P70" i="15" s="1"/>
  <c r="J77" i="15"/>
  <c r="Q78" i="15"/>
  <c r="P78" i="15" s="1"/>
  <c r="J85" i="15"/>
  <c r="Q86" i="15"/>
  <c r="P86" i="15" s="1"/>
  <c r="J93" i="15"/>
  <c r="Q94" i="15"/>
  <c r="P94" i="15" s="1"/>
  <c r="J101" i="15"/>
  <c r="Q102" i="15"/>
  <c r="P102" i="15" s="1"/>
  <c r="O102" i="15" s="1"/>
  <c r="N102" i="15" s="1"/>
  <c r="J109" i="15"/>
  <c r="Q110" i="15"/>
  <c r="P110" i="15" s="1"/>
  <c r="J117" i="15"/>
  <c r="Q118" i="15"/>
  <c r="P118" i="15" s="1"/>
  <c r="J125" i="15"/>
  <c r="Q126" i="15"/>
  <c r="P126" i="15" s="1"/>
  <c r="J133" i="15"/>
  <c r="Q134" i="15"/>
  <c r="P134" i="15" s="1"/>
  <c r="J141" i="15"/>
  <c r="Q142" i="15"/>
  <c r="P142" i="15" s="1"/>
  <c r="J149" i="15"/>
  <c r="Q150" i="15"/>
  <c r="P150" i="15" s="1"/>
  <c r="J34" i="15"/>
  <c r="Q35" i="15"/>
  <c r="P35" i="15" s="1"/>
  <c r="J42" i="15"/>
  <c r="Q43" i="15"/>
  <c r="P43" i="15" s="1"/>
  <c r="Q51" i="15"/>
  <c r="P51" i="15" s="1"/>
  <c r="J50" i="15"/>
  <c r="J58" i="15"/>
  <c r="Q59" i="15"/>
  <c r="P59" i="15" s="1"/>
  <c r="J66" i="15"/>
  <c r="Q67" i="15"/>
  <c r="P67" i="15" s="1"/>
  <c r="J74" i="15"/>
  <c r="Q75" i="15"/>
  <c r="P75" i="15" s="1"/>
  <c r="J82" i="15"/>
  <c r="Q83" i="15"/>
  <c r="P83" i="15" s="1"/>
  <c r="J90" i="15"/>
  <c r="Q91" i="15"/>
  <c r="P91" i="15" s="1"/>
  <c r="J98" i="15"/>
  <c r="Q99" i="15"/>
  <c r="P99" i="15" s="1"/>
  <c r="O99" i="15" s="1"/>
  <c r="J106" i="15"/>
  <c r="Q107" i="15"/>
  <c r="P107" i="15" s="1"/>
  <c r="J114" i="15"/>
  <c r="Q115" i="15"/>
  <c r="P115" i="15" s="1"/>
  <c r="J122" i="15"/>
  <c r="Q123" i="15"/>
  <c r="P123" i="15" s="1"/>
  <c r="J130" i="15"/>
  <c r="Q131" i="15"/>
  <c r="P131" i="15" s="1"/>
  <c r="O131" i="15" s="1"/>
  <c r="J138" i="15"/>
  <c r="Q139" i="15"/>
  <c r="P139" i="15" s="1"/>
  <c r="J146" i="15"/>
  <c r="Q147" i="15"/>
  <c r="P147" i="15" s="1"/>
  <c r="Q36" i="15"/>
  <c r="J35" i="15"/>
  <c r="Q44" i="15"/>
  <c r="J43" i="15"/>
  <c r="J51" i="15"/>
  <c r="Q52" i="15"/>
  <c r="Q60" i="15"/>
  <c r="J59" i="15"/>
  <c r="Q68" i="15"/>
  <c r="J67" i="15"/>
  <c r="J75" i="15"/>
  <c r="Q76" i="15"/>
  <c r="J83" i="15"/>
  <c r="Q84" i="15"/>
  <c r="J91" i="15"/>
  <c r="Q92" i="15"/>
  <c r="J99" i="15"/>
  <c r="Q100" i="15"/>
  <c r="J107" i="15"/>
  <c r="Q108" i="15"/>
  <c r="J115" i="15"/>
  <c r="Q116" i="15"/>
  <c r="J123" i="15"/>
  <c r="Q124" i="15"/>
  <c r="J131" i="15"/>
  <c r="Q132" i="15"/>
  <c r="J139" i="15"/>
  <c r="Q140" i="15"/>
  <c r="J147" i="15"/>
  <c r="Q148" i="15"/>
  <c r="J32" i="15"/>
  <c r="Q33" i="15"/>
  <c r="J40" i="15"/>
  <c r="Q41" i="15"/>
  <c r="J48" i="15"/>
  <c r="Q49" i="15"/>
  <c r="J56" i="15"/>
  <c r="Q57" i="15"/>
  <c r="J64" i="15"/>
  <c r="Q65" i="15"/>
  <c r="J72" i="15"/>
  <c r="Q73" i="15"/>
  <c r="J80" i="15"/>
  <c r="Q81" i="15"/>
  <c r="J88" i="15"/>
  <c r="Q89" i="15"/>
  <c r="J96" i="15"/>
  <c r="Q97" i="15"/>
  <c r="J104" i="15"/>
  <c r="Q105" i="15"/>
  <c r="J112" i="15"/>
  <c r="Q113" i="15"/>
  <c r="J120" i="15"/>
  <c r="Q121" i="15"/>
  <c r="J128" i="15"/>
  <c r="Q129" i="15"/>
  <c r="J136" i="15"/>
  <c r="Q137" i="15"/>
  <c r="J144" i="15"/>
  <c r="Q145" i="15"/>
  <c r="C9" i="15"/>
  <c r="N35" i="15"/>
  <c r="N43" i="15"/>
  <c r="N51" i="15"/>
  <c r="N59" i="15"/>
  <c r="N67" i="15"/>
  <c r="N75" i="15"/>
  <c r="N83" i="15"/>
  <c r="N91" i="15"/>
  <c r="N99" i="15"/>
  <c r="N107" i="15"/>
  <c r="N115" i="15"/>
  <c r="O48" i="15" l="1"/>
  <c r="N48" i="15" s="1"/>
  <c r="O148" i="15"/>
  <c r="N148" i="15" s="1"/>
  <c r="O138" i="15"/>
  <c r="N138" i="15" s="1"/>
  <c r="O116" i="15"/>
  <c r="N116" i="15" s="1"/>
  <c r="O107" i="15"/>
  <c r="O139" i="15"/>
  <c r="O75" i="15"/>
  <c r="O96" i="15"/>
  <c r="N96" i="15" s="1"/>
  <c r="O122" i="15"/>
  <c r="N122" i="15" s="1"/>
  <c r="O56" i="15"/>
  <c r="N56" i="15" s="1"/>
  <c r="O130" i="15"/>
  <c r="N130" i="15" s="1"/>
  <c r="O52" i="15"/>
  <c r="N52" i="15" s="1"/>
  <c r="O72" i="15"/>
  <c r="N72" i="15" s="1"/>
  <c r="O84" i="15"/>
  <c r="N84" i="15" s="1"/>
  <c r="O94" i="15"/>
  <c r="N94" i="15" s="1"/>
  <c r="O110" i="15"/>
  <c r="N110" i="15" s="1"/>
  <c r="O78" i="15"/>
  <c r="N78" i="15" s="1"/>
  <c r="O83" i="15"/>
  <c r="O144" i="15"/>
  <c r="N144" i="15" s="1"/>
  <c r="O112" i="15"/>
  <c r="N112" i="15" s="1"/>
  <c r="O60" i="15"/>
  <c r="N60" i="15" s="1"/>
  <c r="O115" i="15"/>
  <c r="O123" i="15"/>
  <c r="O91" i="15"/>
  <c r="O118" i="15"/>
  <c r="N118" i="15" s="1"/>
  <c r="O86" i="15"/>
  <c r="N86" i="15" s="1"/>
  <c r="O54" i="15"/>
  <c r="N54" i="15" s="1"/>
  <c r="O128" i="15"/>
  <c r="N128" i="15" s="1"/>
  <c r="O136" i="15"/>
  <c r="N136" i="15" s="1"/>
  <c r="O120" i="15"/>
  <c r="N120" i="15" s="1"/>
  <c r="O32" i="15"/>
  <c r="N32" i="15" s="1"/>
  <c r="O114" i="15"/>
  <c r="N114" i="15" s="1"/>
  <c r="O106" i="15"/>
  <c r="N106" i="15" s="1"/>
  <c r="O98" i="15"/>
  <c r="N98" i="15" s="1"/>
  <c r="O90" i="15"/>
  <c r="N90" i="15" s="1"/>
  <c r="O82" i="15"/>
  <c r="N82" i="15" s="1"/>
  <c r="O74" i="15"/>
  <c r="N74" i="15" s="1"/>
  <c r="O66" i="15"/>
  <c r="N66" i="15" s="1"/>
  <c r="O58" i="15"/>
  <c r="N58" i="15" s="1"/>
  <c r="O42" i="15"/>
  <c r="N42" i="15" s="1"/>
  <c r="O34" i="15"/>
  <c r="N34" i="15" s="1"/>
  <c r="O140" i="15"/>
  <c r="N140" i="15" s="1"/>
  <c r="O124" i="15"/>
  <c r="N124" i="15" s="1"/>
  <c r="O147" i="15"/>
  <c r="O150" i="15"/>
  <c r="N150" i="15" s="1"/>
  <c r="O142" i="15"/>
  <c r="N142" i="15" s="1"/>
  <c r="O134" i="15"/>
  <c r="N134" i="15" s="1"/>
  <c r="O126" i="15"/>
  <c r="N126" i="15" s="1"/>
  <c r="O70" i="15"/>
  <c r="N70" i="15" s="1"/>
  <c r="O62" i="15"/>
  <c r="N62" i="15" s="1"/>
  <c r="O46" i="15"/>
  <c r="N46" i="15" s="1"/>
  <c r="O38" i="15"/>
  <c r="N38" i="15" s="1"/>
  <c r="O30" i="15"/>
  <c r="N30" i="15" s="1"/>
  <c r="O104" i="15"/>
  <c r="N104" i="15" s="1"/>
  <c r="O88" i="15"/>
  <c r="N88" i="15" s="1"/>
  <c r="O64" i="15"/>
  <c r="N64" i="15" s="1"/>
  <c r="O108" i="15"/>
  <c r="N108" i="15" s="1"/>
  <c r="O92" i="15"/>
  <c r="N92" i="15" s="1"/>
  <c r="O76" i="15"/>
  <c r="N76" i="15" s="1"/>
  <c r="O68" i="15"/>
  <c r="N68" i="15" s="1"/>
  <c r="O36" i="15"/>
  <c r="N36" i="15" s="1"/>
  <c r="K151" i="15"/>
  <c r="O151" i="15"/>
  <c r="H151" i="15"/>
  <c r="K143" i="15"/>
  <c r="H143" i="15"/>
  <c r="H139" i="15"/>
  <c r="K139" i="15"/>
  <c r="K135" i="15"/>
  <c r="H135" i="15"/>
  <c r="H131" i="15"/>
  <c r="K131" i="15"/>
  <c r="K127" i="15"/>
  <c r="H127" i="15"/>
  <c r="H123" i="15"/>
  <c r="K123" i="15"/>
  <c r="K119" i="15"/>
  <c r="H119" i="15"/>
  <c r="K115" i="15"/>
  <c r="H115" i="15"/>
  <c r="K111" i="15"/>
  <c r="H111" i="15"/>
  <c r="H107" i="15"/>
  <c r="K107" i="15"/>
  <c r="K103" i="15"/>
  <c r="H103" i="15"/>
  <c r="H99" i="15"/>
  <c r="K99" i="15"/>
  <c r="K95" i="15"/>
  <c r="H95" i="15"/>
  <c r="H91" i="15"/>
  <c r="K91" i="15"/>
  <c r="K87" i="15"/>
  <c r="H87" i="15"/>
  <c r="H83" i="15"/>
  <c r="K83" i="15"/>
  <c r="K79" i="15"/>
  <c r="H79" i="15"/>
  <c r="H75" i="15"/>
  <c r="K75" i="15"/>
  <c r="K71" i="15"/>
  <c r="H71" i="15"/>
  <c r="O71" i="15"/>
  <c r="O67" i="15"/>
  <c r="H67" i="15"/>
  <c r="K67" i="15"/>
  <c r="K63" i="15"/>
  <c r="O63" i="15"/>
  <c r="H63" i="15"/>
  <c r="H59" i="15"/>
  <c r="O59" i="15"/>
  <c r="K59" i="15"/>
  <c r="O55" i="15"/>
  <c r="K55" i="15"/>
  <c r="H55" i="15"/>
  <c r="H51" i="15"/>
  <c r="K51" i="15"/>
  <c r="O51" i="15"/>
  <c r="K47" i="15"/>
  <c r="H47" i="15"/>
  <c r="H43" i="15"/>
  <c r="O43" i="15"/>
  <c r="K43" i="15"/>
  <c r="K39" i="15"/>
  <c r="O39" i="15"/>
  <c r="H39" i="15"/>
  <c r="O35" i="15"/>
  <c r="H35" i="15"/>
  <c r="K35" i="15"/>
  <c r="K31" i="15"/>
  <c r="H31" i="15"/>
  <c r="O149" i="15"/>
  <c r="K149" i="15"/>
  <c r="H149" i="15"/>
  <c r="H145" i="15"/>
  <c r="K145" i="15"/>
  <c r="O145" i="15"/>
  <c r="K141" i="15"/>
  <c r="O141" i="15"/>
  <c r="H141" i="15"/>
  <c r="H137" i="15"/>
  <c r="O137" i="15"/>
  <c r="K137" i="15"/>
  <c r="O133" i="15"/>
  <c r="K133" i="15"/>
  <c r="H133" i="15"/>
  <c r="H129" i="15"/>
  <c r="K129" i="15"/>
  <c r="O129" i="15"/>
  <c r="K125" i="15"/>
  <c r="O125" i="15"/>
  <c r="H125" i="15"/>
  <c r="H121" i="15"/>
  <c r="O121" i="15"/>
  <c r="K121" i="15"/>
  <c r="O117" i="15"/>
  <c r="K117" i="15"/>
  <c r="H117" i="15"/>
  <c r="H113" i="15"/>
  <c r="O113" i="15"/>
  <c r="K113" i="15"/>
  <c r="K109" i="15"/>
  <c r="H109" i="15"/>
  <c r="O109" i="15"/>
  <c r="O105" i="15"/>
  <c r="H105" i="15"/>
  <c r="K105" i="15"/>
  <c r="K101" i="15"/>
  <c r="O101" i="15"/>
  <c r="H101" i="15"/>
  <c r="H97" i="15"/>
  <c r="O97" i="15"/>
  <c r="K97" i="15"/>
  <c r="K93" i="15"/>
  <c r="H93" i="15"/>
  <c r="O93" i="15"/>
  <c r="O89" i="15"/>
  <c r="H89" i="15"/>
  <c r="K89" i="15"/>
  <c r="K85" i="15"/>
  <c r="O85" i="15"/>
  <c r="H85" i="15"/>
  <c r="H81" i="15"/>
  <c r="O81" i="15"/>
  <c r="K81" i="15"/>
  <c r="K77" i="15"/>
  <c r="H77" i="15"/>
  <c r="O77" i="15"/>
  <c r="O73" i="15"/>
  <c r="H73" i="15"/>
  <c r="K73" i="15"/>
  <c r="K69" i="15"/>
  <c r="O69" i="15"/>
  <c r="H69" i="15"/>
  <c r="O65" i="15"/>
  <c r="H65" i="15"/>
  <c r="K65" i="15"/>
  <c r="K61" i="15"/>
  <c r="O61" i="15"/>
  <c r="H61" i="15"/>
  <c r="O57" i="15"/>
  <c r="H57" i="15"/>
  <c r="K57" i="15"/>
  <c r="K53" i="15"/>
  <c r="O53" i="15"/>
  <c r="H53" i="15"/>
  <c r="H49" i="15"/>
  <c r="K49" i="15"/>
  <c r="O49" i="15"/>
  <c r="K45" i="15"/>
  <c r="O45" i="15"/>
  <c r="H45" i="15"/>
  <c r="O41" i="15"/>
  <c r="H41" i="15"/>
  <c r="K41" i="15"/>
  <c r="K37" i="15"/>
  <c r="O37" i="15"/>
  <c r="H37" i="15"/>
  <c r="O33" i="15"/>
  <c r="H33" i="15"/>
  <c r="K33" i="15"/>
  <c r="K29" i="15"/>
  <c r="O29" i="15"/>
  <c r="H29" i="15"/>
  <c r="K118" i="15"/>
  <c r="H118" i="15"/>
  <c r="K114" i="15"/>
  <c r="H114" i="15"/>
  <c r="K110" i="15"/>
  <c r="H110" i="15"/>
  <c r="K106" i="15"/>
  <c r="H106" i="15"/>
  <c r="K102" i="15"/>
  <c r="H102" i="15"/>
  <c r="K98" i="15"/>
  <c r="H98" i="15"/>
  <c r="K94" i="15"/>
  <c r="H94" i="15"/>
  <c r="K90" i="15"/>
  <c r="H90" i="15"/>
  <c r="K86" i="15"/>
  <c r="H86" i="15"/>
  <c r="K82" i="15"/>
  <c r="H82" i="15"/>
  <c r="K78" i="15"/>
  <c r="H78" i="15"/>
  <c r="K74" i="15"/>
  <c r="H74" i="15"/>
  <c r="K66" i="15"/>
  <c r="H66" i="15"/>
  <c r="K58" i="15"/>
  <c r="H58" i="15"/>
  <c r="K54" i="15"/>
  <c r="H54" i="15"/>
  <c r="H42" i="15"/>
  <c r="K42" i="15"/>
  <c r="H34" i="15"/>
  <c r="K34" i="15"/>
  <c r="H148" i="15"/>
  <c r="K148" i="15"/>
  <c r="K144" i="15"/>
  <c r="H144" i="15"/>
  <c r="H140" i="15"/>
  <c r="K140" i="15"/>
  <c r="K136" i="15"/>
  <c r="H136" i="15"/>
  <c r="H132" i="15"/>
  <c r="K132" i="15"/>
  <c r="K128" i="15"/>
  <c r="H128" i="15"/>
  <c r="H124" i="15"/>
  <c r="K124" i="15"/>
  <c r="K120" i="15"/>
  <c r="H120" i="15"/>
  <c r="H48" i="15"/>
  <c r="K48" i="15"/>
  <c r="K32" i="15"/>
  <c r="H32" i="15"/>
  <c r="D12" i="15"/>
  <c r="J19" i="15"/>
  <c r="E19" i="15"/>
  <c r="G19" i="15"/>
  <c r="E12" i="15"/>
  <c r="I12" i="15"/>
  <c r="M12" i="15"/>
  <c r="J13" i="15"/>
  <c r="C14" i="15"/>
  <c r="G14" i="15"/>
  <c r="D15" i="15"/>
  <c r="L15" i="15"/>
  <c r="E16" i="15"/>
  <c r="I16" i="15"/>
  <c r="M16" i="15"/>
  <c r="E18" i="15"/>
  <c r="I18" i="15"/>
  <c r="M18" i="15"/>
  <c r="L12" i="15"/>
  <c r="E13" i="15"/>
  <c r="I13" i="15"/>
  <c r="M13" i="15"/>
  <c r="J14" i="15"/>
  <c r="C15" i="15"/>
  <c r="G15" i="15"/>
  <c r="D16" i="15"/>
  <c r="L16" i="15"/>
  <c r="L17" i="15" s="1"/>
  <c r="J18" i="15"/>
  <c r="L19" i="15"/>
  <c r="D19" i="15"/>
  <c r="M19" i="15"/>
  <c r="I19" i="15"/>
  <c r="C19" i="15"/>
  <c r="C12" i="15"/>
  <c r="G12" i="15"/>
  <c r="D13" i="15"/>
  <c r="L13" i="15"/>
  <c r="E14" i="15"/>
  <c r="I14" i="15"/>
  <c r="M14" i="15"/>
  <c r="J15" i="15"/>
  <c r="C16" i="15"/>
  <c r="C17" i="15" s="1"/>
  <c r="G16" i="15"/>
  <c r="C18" i="15"/>
  <c r="G18" i="15"/>
  <c r="J12" i="15"/>
  <c r="C13" i="15"/>
  <c r="G13" i="15"/>
  <c r="D14" i="15"/>
  <c r="L14" i="15"/>
  <c r="E15" i="15"/>
  <c r="I15" i="15"/>
  <c r="M15" i="15"/>
  <c r="J16" i="15"/>
  <c r="D18" i="15"/>
  <c r="L18" i="15"/>
  <c r="H147" i="15"/>
  <c r="K147" i="15"/>
  <c r="K100" i="15"/>
  <c r="H100" i="15"/>
  <c r="H28" i="15"/>
  <c r="O28" i="15"/>
  <c r="N28" i="15" s="1"/>
  <c r="K28" i="15"/>
  <c r="H150" i="15"/>
  <c r="K150" i="15"/>
  <c r="H146" i="15"/>
  <c r="K146" i="15"/>
  <c r="H142" i="15"/>
  <c r="K142" i="15"/>
  <c r="H138" i="15"/>
  <c r="K138" i="15"/>
  <c r="H134" i="15"/>
  <c r="K134" i="15"/>
  <c r="H130" i="15"/>
  <c r="K130" i="15"/>
  <c r="H126" i="15"/>
  <c r="K126" i="15"/>
  <c r="H122" i="15"/>
  <c r="K122" i="15"/>
  <c r="K70" i="15"/>
  <c r="H70" i="15"/>
  <c r="K62" i="15"/>
  <c r="H62" i="15"/>
  <c r="K50" i="15"/>
  <c r="H50" i="15"/>
  <c r="K46" i="15"/>
  <c r="H46" i="15"/>
  <c r="K38" i="15"/>
  <c r="H38" i="15"/>
  <c r="K30" i="15"/>
  <c r="H30" i="15"/>
  <c r="H116" i="15"/>
  <c r="K116" i="15"/>
  <c r="H112" i="15"/>
  <c r="K112" i="15"/>
  <c r="K108" i="15"/>
  <c r="H108" i="15"/>
  <c r="H104" i="15"/>
  <c r="K104" i="15"/>
  <c r="H96" i="15"/>
  <c r="K96" i="15"/>
  <c r="K92" i="15"/>
  <c r="H92" i="15"/>
  <c r="H88" i="15"/>
  <c r="K88" i="15"/>
  <c r="K84" i="15"/>
  <c r="H84" i="15"/>
  <c r="H80" i="15"/>
  <c r="K80" i="15"/>
  <c r="K76" i="15"/>
  <c r="H76" i="15"/>
  <c r="K72" i="15"/>
  <c r="H72" i="15"/>
  <c r="K68" i="15"/>
  <c r="H68" i="15"/>
  <c r="K64" i="15"/>
  <c r="H64" i="15"/>
  <c r="K60" i="15"/>
  <c r="H60" i="15"/>
  <c r="K56" i="15"/>
  <c r="H56" i="15"/>
  <c r="K52" i="15"/>
  <c r="H52" i="15"/>
  <c r="K44" i="15"/>
  <c r="H44" i="15"/>
  <c r="K40" i="15"/>
  <c r="H40" i="15"/>
  <c r="K36" i="15"/>
  <c r="H36" i="15"/>
  <c r="O143" i="15"/>
  <c r="O135" i="15"/>
  <c r="O127" i="15"/>
  <c r="O119" i="15"/>
  <c r="O111" i="15"/>
  <c r="O103" i="15"/>
  <c r="O95" i="15"/>
  <c r="O87" i="15"/>
  <c r="O79" i="15"/>
  <c r="O47" i="15"/>
  <c r="O31" i="15"/>
  <c r="O100" i="15"/>
  <c r="N100" i="15" s="1"/>
  <c r="E17" i="15" l="1"/>
  <c r="M17" i="15"/>
  <c r="I17" i="15"/>
  <c r="D17" i="15"/>
  <c r="F15" i="15"/>
  <c r="H19" i="15"/>
  <c r="F12" i="15"/>
  <c r="C21" i="15"/>
  <c r="D21" i="15" s="1"/>
  <c r="E21" i="15" s="1"/>
  <c r="C22" i="15"/>
  <c r="D22" i="15" s="1"/>
  <c r="E22" i="15" s="1"/>
  <c r="F16" i="15"/>
  <c r="H18" i="15"/>
  <c r="J17" i="15"/>
  <c r="H14" i="15"/>
  <c r="K13" i="15"/>
  <c r="K18" i="15"/>
  <c r="G17" i="15"/>
  <c r="H13" i="15"/>
  <c r="K12" i="15"/>
  <c r="F18" i="15"/>
  <c r="H16" i="15"/>
  <c r="K15" i="15"/>
  <c r="F14" i="15"/>
  <c r="H15" i="15"/>
  <c r="K14" i="15"/>
  <c r="F13" i="15"/>
  <c r="H12" i="15"/>
  <c r="K16" i="15"/>
  <c r="K19" i="15"/>
  <c r="F19" i="15"/>
  <c r="C23" i="15" l="1"/>
  <c r="D23" i="15" s="1"/>
  <c r="E23" i="15" s="1"/>
  <c r="K17" i="15"/>
  <c r="F17" i="15"/>
  <c r="H17" i="15"/>
  <c r="C24" i="15"/>
  <c r="D24" i="15" s="1"/>
  <c r="E24" i="15" s="1"/>
  <c r="B39" i="16"/>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F41" i="16"/>
  <c r="E39" i="16"/>
  <c r="E40" i="16" s="1"/>
  <c r="D39" i="16"/>
  <c r="D40" i="16" s="1"/>
  <c r="C39" i="16"/>
  <c r="C40" i="16" s="1"/>
  <c r="F51" i="16"/>
  <c r="E43" i="16"/>
  <c r="E44" i="16" s="1"/>
  <c r="E45" i="16" s="1"/>
  <c r="E46" i="16" s="1"/>
  <c r="E47" i="16" s="1"/>
  <c r="E48" i="16" s="1"/>
  <c r="E49" i="16" s="1"/>
  <c r="E50" i="16" s="1"/>
  <c r="D43" i="16"/>
  <c r="D44" i="16" s="1"/>
  <c r="D45" i="16" s="1"/>
  <c r="D46" i="16" s="1"/>
  <c r="D47" i="16" s="1"/>
  <c r="D48" i="16" s="1"/>
  <c r="D49" i="16" s="1"/>
  <c r="D50" i="16" s="1"/>
  <c r="C43" i="16"/>
  <c r="C44" i="16" s="1"/>
  <c r="C45" i="16" s="1"/>
  <c r="C46" i="16" s="1"/>
  <c r="C47" i="16" s="1"/>
  <c r="C48" i="16" s="1"/>
  <c r="C49" i="16" s="1"/>
  <c r="C50" i="16" s="1"/>
  <c r="E53" i="16"/>
  <c r="E54" i="16" s="1"/>
  <c r="E55" i="16" s="1"/>
  <c r="E56" i="16" s="1"/>
  <c r="E57" i="16" s="1"/>
  <c r="E58" i="16" s="1"/>
  <c r="E59" i="16" s="1"/>
  <c r="E60" i="16" s="1"/>
  <c r="E61" i="16" s="1"/>
  <c r="E62" i="16" s="1"/>
  <c r="E63" i="16" s="1"/>
  <c r="E64" i="16" s="1"/>
  <c r="E65" i="16" s="1"/>
  <c r="E66" i="16" s="1"/>
  <c r="E67" i="16" s="1"/>
  <c r="E68" i="16" s="1"/>
  <c r="E69" i="16" s="1"/>
  <c r="E70" i="16" s="1"/>
  <c r="E71" i="16" s="1"/>
  <c r="E72" i="16" s="1"/>
  <c r="E73" i="16" s="1"/>
  <c r="E74" i="16" s="1"/>
  <c r="E75" i="16" s="1"/>
  <c r="E76" i="16" s="1"/>
  <c r="E77" i="16" s="1"/>
  <c r="E78" i="16" s="1"/>
  <c r="E79" i="16" s="1"/>
  <c r="E80" i="16" s="1"/>
  <c r="E81" i="16" s="1"/>
  <c r="E82" i="16" s="1"/>
  <c r="E83" i="16" s="1"/>
  <c r="E84" i="16" s="1"/>
  <c r="E85" i="16" s="1"/>
  <c r="E86" i="16" s="1"/>
  <c r="E87" i="16" s="1"/>
  <c r="E88" i="16" s="1"/>
  <c r="E89" i="16" s="1"/>
  <c r="E90" i="16" s="1"/>
  <c r="D53" i="16"/>
  <c r="D54" i="16" s="1"/>
  <c r="D55" i="16" s="1"/>
  <c r="D56" i="16" s="1"/>
  <c r="D57" i="16" s="1"/>
  <c r="D58" i="16" s="1"/>
  <c r="D59" i="16" s="1"/>
  <c r="D60" i="16" s="1"/>
  <c r="D61" i="16" s="1"/>
  <c r="D62" i="16" s="1"/>
  <c r="D63" i="16" s="1"/>
  <c r="D64" i="16" s="1"/>
  <c r="D65" i="16" s="1"/>
  <c r="D66" i="16" s="1"/>
  <c r="D67" i="16" s="1"/>
  <c r="D68" i="16" s="1"/>
  <c r="D69" i="16" s="1"/>
  <c r="D70" i="16" s="1"/>
  <c r="D71" i="16" s="1"/>
  <c r="D72" i="16" s="1"/>
  <c r="D73" i="16" s="1"/>
  <c r="D74" i="16" s="1"/>
  <c r="D75" i="16" s="1"/>
  <c r="D76" i="16" s="1"/>
  <c r="D77" i="16" s="1"/>
  <c r="D78" i="16" s="1"/>
  <c r="D79" i="16" s="1"/>
  <c r="D80" i="16" s="1"/>
  <c r="D81" i="16" s="1"/>
  <c r="D82" i="16" s="1"/>
  <c r="D83" i="16" s="1"/>
  <c r="D84" i="16" s="1"/>
  <c r="D85" i="16" s="1"/>
  <c r="D86" i="16" s="1"/>
  <c r="D87" i="16" s="1"/>
  <c r="D88" i="16" s="1"/>
  <c r="D89" i="16" s="1"/>
  <c r="D90" i="16" s="1"/>
  <c r="C53" i="16"/>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F38" i="16" l="1"/>
  <c r="F39" i="16" s="1"/>
  <c r="F40" i="16" s="1"/>
  <c r="F52" i="16"/>
  <c r="F53" i="16" s="1"/>
  <c r="F54" i="16" s="1"/>
  <c r="F55" i="16" s="1"/>
  <c r="F56" i="16" s="1"/>
  <c r="F57" i="16" s="1"/>
  <c r="F58" i="16" s="1"/>
  <c r="F59" i="16" s="1"/>
  <c r="F60" i="16" s="1"/>
  <c r="F61" i="16" s="1"/>
  <c r="F62" i="16" s="1"/>
  <c r="F63" i="16" s="1"/>
  <c r="F64" i="16" s="1"/>
  <c r="F65" i="16" s="1"/>
  <c r="F66" i="16" s="1"/>
  <c r="F67" i="16" s="1"/>
  <c r="F68" i="16" s="1"/>
  <c r="F69" i="16" s="1"/>
  <c r="F70" i="16" s="1"/>
  <c r="F71" i="16" s="1"/>
  <c r="F72" i="16" s="1"/>
  <c r="F73" i="16" s="1"/>
  <c r="F74" i="16" s="1"/>
  <c r="F75" i="16" s="1"/>
  <c r="F76" i="16" s="1"/>
  <c r="F77" i="16" s="1"/>
  <c r="F78" i="16" s="1"/>
  <c r="F79" i="16" s="1"/>
  <c r="F80" i="16" s="1"/>
  <c r="F81" i="16" s="1"/>
  <c r="F82" i="16" s="1"/>
  <c r="F83" i="16" s="1"/>
  <c r="F84" i="16" s="1"/>
  <c r="F85" i="16" s="1"/>
  <c r="F86" i="16" s="1"/>
  <c r="F87" i="16" s="1"/>
  <c r="F88" i="16" s="1"/>
  <c r="F89" i="16" s="1"/>
  <c r="F90" i="16" s="1"/>
  <c r="F42" i="16"/>
  <c r="F43" i="16" s="1"/>
  <c r="F44" i="16" s="1"/>
  <c r="F45" i="16" s="1"/>
  <c r="F46" i="16" s="1"/>
  <c r="F47" i="16" s="1"/>
  <c r="F48" i="16" s="1"/>
  <c r="F49" i="16" s="1"/>
  <c r="F50" i="16" s="1"/>
  <c r="AB21" i="16"/>
  <c r="AA21" i="16"/>
  <c r="Z21" i="16"/>
  <c r="Y21" i="16"/>
  <c r="X21" i="16"/>
  <c r="W21" i="16"/>
  <c r="V21" i="16"/>
  <c r="U21" i="16"/>
  <c r="X27" i="16" l="1"/>
  <c r="X26" i="16"/>
  <c r="X29" i="16" l="1"/>
  <c r="X28" i="16"/>
  <c r="X30" i="16" l="1"/>
  <c r="X31" i="16" l="1"/>
  <c r="X32" i="16" l="1"/>
  <c r="X33" i="16" l="1"/>
  <c r="X34" i="16" l="1"/>
  <c r="X35" i="16" l="1"/>
  <c r="X36" i="16"/>
  <c r="Y25" i="16" a="1"/>
  <c r="Y36" i="16" l="1"/>
  <c r="Y25" i="16"/>
  <c r="Y26" i="16"/>
  <c r="Y27" i="16"/>
  <c r="Y28" i="16"/>
  <c r="Y29" i="16"/>
  <c r="Y30" i="16"/>
  <c r="Y31" i="16"/>
  <c r="Y32" i="16"/>
  <c r="Y33" i="16"/>
  <c r="Y34" i="16"/>
  <c r="Y35" i="16"/>
  <c r="X17" i="16"/>
  <c r="X18" i="16" s="1"/>
  <c r="X19" i="16" s="1"/>
  <c r="X22" i="16" s="1"/>
  <c r="Z17" i="16"/>
  <c r="Z18" i="16" s="1"/>
  <c r="Z19" i="16" s="1"/>
  <c r="Z22" i="16" s="1"/>
  <c r="Y17" i="16"/>
  <c r="Y18" i="16" s="1"/>
  <c r="Y19" i="16" s="1"/>
  <c r="Y22" i="16" s="1"/>
  <c r="W17" i="16"/>
  <c r="W18" i="16" s="1"/>
  <c r="W19" i="16" s="1"/>
  <c r="W22" i="16" s="1"/>
  <c r="AB17" i="16"/>
  <c r="AB18" i="16" s="1"/>
  <c r="AB19" i="16" s="1"/>
  <c r="AB22" i="16" s="1"/>
  <c r="AA17" i="16"/>
  <c r="AA18" i="16" s="1"/>
  <c r="AA19" i="16" s="1"/>
  <c r="AA22" i="16" s="1"/>
  <c r="V17" i="16" l="1"/>
  <c r="V18" i="16" s="1"/>
  <c r="V19" i="16" s="1"/>
  <c r="V22" i="16" s="1"/>
  <c r="U17" i="16"/>
  <c r="U18" i="16" s="1"/>
  <c r="U19" i="16" s="1"/>
  <c r="U22" i="16" s="1"/>
</calcChain>
</file>

<file path=xl/comments1.xml><?xml version="1.0" encoding="utf-8"?>
<comments xmlns="http://schemas.openxmlformats.org/spreadsheetml/2006/main">
  <authors>
    <author>NICO</author>
  </authors>
  <commentList>
    <comment ref="T5" authorId="0">
      <text>
        <r>
          <rPr>
            <b/>
            <sz val="8"/>
            <color indexed="81"/>
            <rFont val="Tahoma"/>
            <family val="2"/>
          </rPr>
          <t>NICO:</t>
        </r>
        <r>
          <rPr>
            <sz val="8"/>
            <color indexed="81"/>
            <rFont val="Tahoma"/>
            <family val="2"/>
          </rPr>
          <t xml:space="preserve">
Prob that the Fed will change the rate from the Current to the New
If the Fed Futures are, say, 94.90, then "the markets" think the Fed rate will be 100 - 94.90 = 5.10%.
In general, we do it like so:
(N/D)(Current Fed Rate) + (M/D) [ p (New "Target" Fed Rate) + (1-p) (Current Fed Rate) ] = FedFuturesRate = 100 - FedFutures
where D = N + M is the number of days in the month,   it is currently day N and there are M days left in the month.
We can solve for:
p = { [(FedFuturesRate) - (Current Fed Rate)] / [(New "Target" Fed Rate) - (Current Fed Rate)] } (D/M) 
</t>
        </r>
      </text>
    </comment>
    <comment ref="T7" authorId="0">
      <text>
        <r>
          <rPr>
            <b/>
            <sz val="8"/>
            <color indexed="81"/>
            <rFont val="Tahoma"/>
            <family val="2"/>
          </rPr>
          <t>NICO:</t>
        </r>
        <r>
          <rPr>
            <sz val="8"/>
            <color indexed="81"/>
            <rFont val="Tahoma"/>
            <family val="2"/>
          </rPr>
          <t xml:space="preserve">
http://www.federalreserve.gov/monetarypolicy/fomc.htm</t>
        </r>
      </text>
    </comment>
    <comment ref="T8" authorId="0">
      <text>
        <r>
          <rPr>
            <b/>
            <sz val="8"/>
            <color indexed="81"/>
            <rFont val="Tahoma"/>
            <family val="2"/>
          </rPr>
          <t>NICO:</t>
        </r>
        <r>
          <rPr>
            <sz val="8"/>
            <color indexed="81"/>
            <rFont val="Tahoma"/>
            <family val="2"/>
          </rPr>
          <t xml:space="preserve">
http://www.federalreserve.gov/fomc/fundsrate.htm</t>
        </r>
      </text>
    </comment>
    <comment ref="T17" authorId="0">
      <text>
        <r>
          <rPr>
            <b/>
            <sz val="8"/>
            <color indexed="81"/>
            <rFont val="Tahoma"/>
            <family val="2"/>
          </rPr>
          <t>NICO:</t>
        </r>
        <r>
          <rPr>
            <sz val="8"/>
            <color indexed="81"/>
            <rFont val="Tahoma"/>
            <family val="2"/>
          </rPr>
          <t xml:space="preserve">
Wonderful! Now how do we find out the average Rate for the month ... even though we're only at the 10th day of the month?
We ask the market what it thinks the future Rate will be ... by looking at the Fed Futures:
http://www.cbot.com/cbot/pub/page/0,3181,1525,00.html</t>
        </r>
      </text>
    </comment>
    <comment ref="T22" authorId="0">
      <text>
        <r>
          <rPr>
            <b/>
            <sz val="8"/>
            <color indexed="81"/>
            <rFont val="Tahoma"/>
            <family val="2"/>
          </rPr>
          <t>NICO:</t>
        </r>
        <r>
          <rPr>
            <sz val="8"/>
            <color indexed="81"/>
            <rFont val="Tahoma"/>
            <family val="2"/>
          </rPr>
          <t xml:space="preserve">
&gt;And if the probability if negative or greater than 100%? What then?
Note that the magic formula gives the Fed two choices: leave the Rate unchanged (like 5.00%) or change it to some preassigned "Target" value (like 5.25%).
We can know the current rate, but how would we know that "Target" rate?
&gt;And how do we know that the Fed Futures correctly gauges the Fed Rate for the month?
Exactly. Take a peek at this
Try the above calculator with, say, Fed Rate = 94.80 or maybe 95.05 or maybe ...
&gt;Yeah, yeah ... I get it. </t>
        </r>
      </text>
    </comment>
    <comment ref="T24" authorId="0">
      <text>
        <r>
          <rPr>
            <b/>
            <sz val="8"/>
            <color indexed="81"/>
            <rFont val="Tahoma"/>
            <family val="2"/>
          </rPr>
          <t>NICO:</t>
        </r>
        <r>
          <rPr>
            <sz val="8"/>
            <color indexed="81"/>
            <rFont val="Tahoma"/>
            <family val="2"/>
          </rPr>
          <t xml:space="preserve">
http://www.cbot.com/cbot/pub/page/0,3181,1525,00.html</t>
        </r>
      </text>
    </comment>
    <comment ref="Y25" authorId="0">
      <text>
        <r>
          <rPr>
            <b/>
            <sz val="8"/>
            <color indexed="81"/>
            <rFont val="Tahoma"/>
            <family val="2"/>
          </rPr>
          <t>NICO:</t>
        </r>
        <r>
          <rPr>
            <sz val="8"/>
            <color indexed="81"/>
            <rFont val="Tahoma"/>
            <family val="2"/>
          </rPr>
          <t xml:space="preserve">
Delayed 10 minute data </t>
        </r>
      </text>
    </comment>
  </commentList>
</comments>
</file>

<file path=xl/sharedStrings.xml><?xml version="1.0" encoding="utf-8"?>
<sst xmlns="http://schemas.openxmlformats.org/spreadsheetml/2006/main" count="129" uniqueCount="119">
  <si>
    <t>U.S. Historical Treasury Yields</t>
  </si>
  <si>
    <t>CONNECTION</t>
  </si>
  <si>
    <t>Today</t>
  </si>
  <si>
    <t>DAY</t>
  </si>
  <si>
    <t>MONTH</t>
  </si>
  <si>
    <t>YEAR</t>
  </si>
  <si>
    <t>Days</t>
  </si>
  <si>
    <t>Start Period</t>
  </si>
  <si>
    <t>Data Points</t>
  </si>
  <si>
    <t>3m</t>
  </si>
  <si>
    <t>5yr</t>
  </si>
  <si>
    <t>10yr</t>
  </si>
  <si>
    <t>Min</t>
  </si>
  <si>
    <t>Max</t>
  </si>
  <si>
    <t>Range</t>
  </si>
  <si>
    <t>Mean</t>
  </si>
  <si>
    <t>Std Dev</t>
  </si>
  <si>
    <t>MIN</t>
  </si>
  <si>
    <t>MAX</t>
  </si>
  <si>
    <t>Date</t>
  </si>
  <si>
    <t>3m BEY</t>
  </si>
  <si>
    <t>^IRX</t>
  </si>
  <si>
    <t>^FVX</t>
  </si>
  <si>
    <t>^TNX</t>
  </si>
  <si>
    <t>US TREASURY YIELD ANALYSIS</t>
  </si>
  <si>
    <t>Predicting Fed Rate Increase</t>
  </si>
  <si>
    <t>References:</t>
  </si>
  <si>
    <t>US Treasury Bonds</t>
  </si>
  <si>
    <t>US Corporate Spreads</t>
  </si>
  <si>
    <t>U.S. Municipal Bonds</t>
  </si>
  <si>
    <t>Schedule: Fed Month</t>
  </si>
  <si>
    <t xml:space="preserve">http://www.clevelandfed.org/Research/policy/fedfunds/index.cfm </t>
  </si>
  <si>
    <t>5 YEAR</t>
  </si>
  <si>
    <t>Schedule: Fed Meetings</t>
  </si>
  <si>
    <t xml:space="preserve">http://www.cbot.com/cbot/pub/cont_detail/0,3206,991+23425,00.html </t>
  </si>
  <si>
    <t>AAA - Govt</t>
  </si>
  <si>
    <t xml:space="preserve">Current Fed Funds </t>
  </si>
  <si>
    <t>http://www.bus.ucf.edu/ssmith/FedFundsProbability.doc</t>
  </si>
  <si>
    <t>AA - AAA</t>
  </si>
  <si>
    <t>Expected New Fed Funds</t>
  </si>
  <si>
    <t xml:space="preserve">AA - A </t>
  </si>
  <si>
    <t>Expected Fed Move</t>
  </si>
  <si>
    <r>
      <t xml:space="preserve">Suppose the Fed Rate on the 10th day of the month is </t>
    </r>
    <r>
      <rPr>
        <b/>
        <sz val="8"/>
        <color indexed="10"/>
        <rFont val="Courier New"/>
        <family val="3"/>
      </rPr>
      <t>5.00</t>
    </r>
    <r>
      <rPr>
        <sz val="8"/>
        <rFont val="Courier New"/>
        <family val="3"/>
      </rPr>
      <t>%.</t>
    </r>
  </si>
  <si>
    <t>10 YEAR</t>
  </si>
  <si>
    <t>Next Fed Mtg</t>
  </si>
  <si>
    <r>
      <t xml:space="preserve">Suppose it changes to </t>
    </r>
    <r>
      <rPr>
        <b/>
        <sz val="8"/>
        <color indexed="12"/>
        <rFont val="Courier New"/>
        <family val="3"/>
      </rPr>
      <t>5.25</t>
    </r>
    <r>
      <rPr>
        <sz val="8"/>
        <rFont val="Courier New"/>
        <family val="3"/>
      </rPr>
      <t>% for the remaining 21 days of the month.</t>
    </r>
  </si>
  <si>
    <t># days in Contract Month</t>
  </si>
  <si>
    <t>What's the average Rate for the month?</t>
  </si>
  <si>
    <t># Days @ Current FF</t>
  </si>
  <si>
    <t># Days @ New FF</t>
  </si>
  <si>
    <t>&gt;Uh ... I have no idea.</t>
  </si>
  <si>
    <t>Current FF Weigtht</t>
  </si>
  <si>
    <t>It'd be:</t>
  </si>
  <si>
    <t>U.S. Corporate Bonds</t>
  </si>
  <si>
    <t>New FF Weight</t>
  </si>
  <si>
    <r>
      <t>[1]         (10/31)*</t>
    </r>
    <r>
      <rPr>
        <b/>
        <sz val="8"/>
        <color indexed="10"/>
        <rFont val="Courier New"/>
        <family val="3"/>
      </rPr>
      <t>5.00</t>
    </r>
    <r>
      <rPr>
        <sz val="8"/>
        <rFont val="Courier New"/>
        <family val="3"/>
      </rPr>
      <t xml:space="preserve"> + (21/31)*</t>
    </r>
    <r>
      <rPr>
        <b/>
        <sz val="8"/>
        <color indexed="12"/>
        <rFont val="Courier New"/>
        <family val="3"/>
      </rPr>
      <t>5.25</t>
    </r>
    <r>
      <rPr>
        <sz val="8"/>
        <rFont val="Courier New"/>
        <family val="3"/>
      </rPr>
      <t xml:space="preserve"> = </t>
    </r>
    <r>
      <rPr>
        <b/>
        <sz val="8"/>
        <color indexed="17"/>
        <rFont val="Courier New"/>
        <family val="3"/>
      </rPr>
      <t>5.17</t>
    </r>
    <r>
      <rPr>
        <sz val="8"/>
        <rFont val="Courier New"/>
        <family val="3"/>
      </rPr>
      <t>.</t>
    </r>
  </si>
  <si>
    <t>Fed Funds Future</t>
  </si>
  <si>
    <t>Implied Rate</t>
  </si>
  <si>
    <r>
      <t xml:space="preserve">See? (10/31) if the fraction of the 31-day month it was at </t>
    </r>
    <r>
      <rPr>
        <b/>
        <sz val="8"/>
        <color indexed="10"/>
        <rFont val="Courier New"/>
        <family val="3"/>
      </rPr>
      <t>5.00</t>
    </r>
    <r>
      <rPr>
        <sz val="8"/>
        <rFont val="Courier New"/>
        <family val="3"/>
      </rPr>
      <t xml:space="preserve"> and (21/31) the fraction it was at </t>
    </r>
    <r>
      <rPr>
        <b/>
        <sz val="8"/>
        <color indexed="12"/>
        <rFont val="Courier New"/>
        <family val="3"/>
      </rPr>
      <t>5.25</t>
    </r>
    <r>
      <rPr>
        <sz val="8"/>
        <rFont val="Courier New"/>
        <family val="3"/>
      </rPr>
      <t>.</t>
    </r>
  </si>
  <si>
    <t>Bps chg Priced-In</t>
  </si>
  <si>
    <t>Wt. Avg. FF (contract Mo.)</t>
  </si>
  <si>
    <r>
      <t xml:space="preserve">&gt;Yeah, sure ... you actually </t>
    </r>
    <r>
      <rPr>
        <b/>
        <sz val="8"/>
        <color indexed="18"/>
        <rFont val="Courier New"/>
        <family val="3"/>
      </rPr>
      <t>know</t>
    </r>
    <r>
      <rPr>
        <sz val="8"/>
        <color indexed="18"/>
        <rFont val="Courier New"/>
        <family val="3"/>
      </rPr>
      <t xml:space="preserve"> the Fed Rate for the last 21 days? Good luck!</t>
    </r>
  </si>
  <si>
    <t>Bps needed for 100% Price-In</t>
  </si>
  <si>
    <t>Okay, suppose we don't know the Fed Rate for the remainder of the month ... the last 21 days.</t>
  </si>
  <si>
    <t>Probabilty of Exp. Fed Move</t>
  </si>
  <si>
    <r>
      <t xml:space="preserve">But, suppose that we figure there's a possibility of a Fed Rate increase from </t>
    </r>
    <r>
      <rPr>
        <b/>
        <sz val="8"/>
        <color indexed="10"/>
        <rFont val="Courier New"/>
        <family val="3"/>
      </rPr>
      <t>5.00</t>
    </r>
    <r>
      <rPr>
        <sz val="8"/>
        <rFont val="Courier New"/>
        <family val="3"/>
      </rPr>
      <t xml:space="preserve">% to </t>
    </r>
    <r>
      <rPr>
        <b/>
        <sz val="8"/>
        <color indexed="12"/>
        <rFont val="Courier New"/>
        <family val="3"/>
      </rPr>
      <t>5.25</t>
    </r>
    <r>
      <rPr>
        <sz val="8"/>
        <rFont val="Courier New"/>
        <family val="3"/>
      </rPr>
      <t>%.</t>
    </r>
  </si>
  <si>
    <r>
      <t xml:space="preserve">Indeed, we assume a probability of </t>
    </r>
    <r>
      <rPr>
        <b/>
        <sz val="8"/>
        <color indexed="14"/>
        <rFont val="Courier New"/>
        <family val="3"/>
      </rPr>
      <t>p</t>
    </r>
    <r>
      <rPr>
        <sz val="8"/>
        <rFont val="Courier New"/>
        <family val="3"/>
      </rPr>
      <t xml:space="preserve"> that the Rate will change to </t>
    </r>
    <r>
      <rPr>
        <b/>
        <sz val="8"/>
        <color indexed="12"/>
        <rFont val="Courier New"/>
        <family val="3"/>
      </rPr>
      <t>5.25</t>
    </r>
    <r>
      <rPr>
        <sz val="8"/>
        <rFont val="Courier New"/>
        <family val="3"/>
      </rPr>
      <t>% and a probability (1-</t>
    </r>
    <r>
      <rPr>
        <b/>
        <sz val="8"/>
        <color indexed="14"/>
        <rFont val="Courier New"/>
        <family val="3"/>
      </rPr>
      <t>p</t>
    </r>
    <r>
      <rPr>
        <sz val="8"/>
        <rFont val="Courier New"/>
        <family val="3"/>
      </rPr>
      <t xml:space="preserve">) it'll </t>
    </r>
  </si>
  <si>
    <t>30 Day Federal Funds Futures (FF)</t>
  </si>
  <si>
    <t>remain unchanged at 5.00%.</t>
  </si>
  <si>
    <t>F</t>
  </si>
  <si>
    <r>
      <t xml:space="preserve">That gives an "Expected" Rate of </t>
    </r>
    <r>
      <rPr>
        <b/>
        <sz val="8"/>
        <color indexed="12"/>
        <rFont val="Courier New"/>
        <family val="3"/>
      </rPr>
      <t>5.25</t>
    </r>
    <r>
      <rPr>
        <b/>
        <sz val="8"/>
        <color indexed="14"/>
        <rFont val="Courier New"/>
        <family val="3"/>
      </rPr>
      <t>p</t>
    </r>
    <r>
      <rPr>
        <sz val="8"/>
        <rFont val="Courier New"/>
        <family val="3"/>
      </rPr>
      <t xml:space="preserve"> + (1-</t>
    </r>
    <r>
      <rPr>
        <b/>
        <sz val="8"/>
        <color indexed="14"/>
        <rFont val="Courier New"/>
        <family val="3"/>
      </rPr>
      <t>p</t>
    </r>
    <r>
      <rPr>
        <sz val="8"/>
        <rFont val="Courier New"/>
        <family val="3"/>
      </rPr>
      <t>)</t>
    </r>
    <r>
      <rPr>
        <b/>
        <sz val="8"/>
        <color indexed="10"/>
        <rFont val="Courier New"/>
        <family val="3"/>
      </rPr>
      <t>5.00</t>
    </r>
    <r>
      <rPr>
        <sz val="8"/>
        <rFont val="Courier New"/>
        <family val="3"/>
      </rPr>
      <t xml:space="preserve"> for the last 21 days of the month.</t>
    </r>
  </si>
  <si>
    <t>G</t>
  </si>
  <si>
    <t>H</t>
  </si>
  <si>
    <t>That's (probability of changing)*(the changed Rate) + (probability of no change)*(the current Rate)</t>
  </si>
  <si>
    <t>J</t>
  </si>
  <si>
    <t>... and that's what we should use for the Rate for the last 21 days.</t>
  </si>
  <si>
    <t>K</t>
  </si>
  <si>
    <t>Linear Interpolation</t>
  </si>
  <si>
    <t>M</t>
  </si>
  <si>
    <t>&gt;We should? Is that the best you can do ... calculate an "Expected" Rate?</t>
  </si>
  <si>
    <t>Yield</t>
  </si>
  <si>
    <t>Yesterday</t>
  </si>
  <si>
    <t>Last Week</t>
  </si>
  <si>
    <t>Last Month</t>
  </si>
  <si>
    <t>N</t>
  </si>
  <si>
    <t>Q</t>
  </si>
  <si>
    <t>Yes.</t>
  </si>
  <si>
    <t>U</t>
  </si>
  <si>
    <t>In place of [1], above, we can now write the average Rate for the 31-day month as:</t>
  </si>
  <si>
    <t>V</t>
  </si>
  <si>
    <r>
      <t>[2]         (10/31)*</t>
    </r>
    <r>
      <rPr>
        <b/>
        <sz val="8"/>
        <color indexed="10"/>
        <rFont val="Courier New"/>
        <family val="3"/>
      </rPr>
      <t>5.00</t>
    </r>
    <r>
      <rPr>
        <sz val="8"/>
        <rFont val="Courier New"/>
        <family val="3"/>
      </rPr>
      <t xml:space="preserve"> + (21/31)*</t>
    </r>
    <r>
      <rPr>
        <b/>
        <sz val="8"/>
        <rFont val="Courier New"/>
        <family val="3"/>
      </rPr>
      <t>[</t>
    </r>
    <r>
      <rPr>
        <b/>
        <sz val="8"/>
        <color indexed="12"/>
        <rFont val="Courier New"/>
        <family val="3"/>
      </rPr>
      <t>5.25</t>
    </r>
    <r>
      <rPr>
        <b/>
        <sz val="8"/>
        <color indexed="14"/>
        <rFont val="Courier New"/>
        <family val="3"/>
      </rPr>
      <t>p</t>
    </r>
    <r>
      <rPr>
        <b/>
        <sz val="8"/>
        <rFont val="Courier New"/>
        <family val="3"/>
      </rPr>
      <t xml:space="preserve"> + (1-</t>
    </r>
    <r>
      <rPr>
        <b/>
        <sz val="8"/>
        <color indexed="14"/>
        <rFont val="Courier New"/>
        <family val="3"/>
      </rPr>
      <t>p</t>
    </r>
    <r>
      <rPr>
        <b/>
        <sz val="8"/>
        <rFont val="Courier New"/>
        <family val="3"/>
      </rPr>
      <t>)</t>
    </r>
    <r>
      <rPr>
        <b/>
        <sz val="8"/>
        <color indexed="10"/>
        <rFont val="Courier New"/>
        <family val="3"/>
      </rPr>
      <t>5.00</t>
    </r>
    <r>
      <rPr>
        <b/>
        <sz val="8"/>
        <rFont val="Courier New"/>
        <family val="3"/>
      </rPr>
      <t>]</t>
    </r>
  </si>
  <si>
    <t>X</t>
  </si>
  <si>
    <t>Z</t>
  </si>
  <si>
    <r>
      <t xml:space="preserve">See? We've just replaced the unknown Rate for the last 21 days </t>
    </r>
    <r>
      <rPr>
        <sz val="8"/>
        <color indexed="63"/>
        <rFont val="Courier New"/>
        <family val="3"/>
      </rPr>
      <t>(in the magic formula [1])</t>
    </r>
    <r>
      <rPr>
        <sz val="8"/>
        <rFont val="Courier New"/>
        <family val="3"/>
      </rPr>
      <t xml:space="preserve"> by our </t>
    </r>
  </si>
  <si>
    <t>Expected Rate: [5.25p + (1-p)5.00]</t>
  </si>
  <si>
    <r>
      <t xml:space="preserve">&gt;And what's the probability of a change in Rate ... to </t>
    </r>
    <r>
      <rPr>
        <b/>
        <sz val="8"/>
        <color indexed="18"/>
        <rFont val="Courier New"/>
        <family val="3"/>
      </rPr>
      <t>5.25</t>
    </r>
    <r>
      <rPr>
        <sz val="8"/>
        <color indexed="18"/>
        <rFont val="Courier New"/>
        <family val="3"/>
      </rPr>
      <t>%?</t>
    </r>
  </si>
  <si>
    <r>
      <t xml:space="preserve">You mean </t>
    </r>
    <r>
      <rPr>
        <b/>
        <sz val="8"/>
        <color indexed="14"/>
        <rFont val="Courier New"/>
        <family val="3"/>
      </rPr>
      <t>p</t>
    </r>
    <r>
      <rPr>
        <sz val="8"/>
        <rFont val="Courier New"/>
        <family val="3"/>
      </rPr>
      <t>? Aah, that's the problem, eh?</t>
    </r>
  </si>
  <si>
    <r>
      <t xml:space="preserve">We'd like to attach a probability to a Rate change to </t>
    </r>
    <r>
      <rPr>
        <b/>
        <sz val="8"/>
        <color indexed="12"/>
        <rFont val="Courier New"/>
        <family val="3"/>
      </rPr>
      <t>5.25</t>
    </r>
    <r>
      <rPr>
        <sz val="8"/>
        <rFont val="Courier New"/>
        <family val="3"/>
      </rPr>
      <t xml:space="preserve">%. That is, we'd like to find the value of </t>
    </r>
    <r>
      <rPr>
        <b/>
        <sz val="8"/>
        <color indexed="14"/>
        <rFont val="Courier New"/>
        <family val="3"/>
      </rPr>
      <t>p</t>
    </r>
    <r>
      <rPr>
        <sz val="8"/>
        <rFont val="Courier New"/>
        <family val="3"/>
      </rPr>
      <t>.</t>
    </r>
  </si>
  <si>
    <r>
      <t xml:space="preserve">Wouldn't it be great if we knew the average Rate for the month? Suppose it's </t>
    </r>
    <r>
      <rPr>
        <b/>
        <sz val="8"/>
        <color indexed="17"/>
        <rFont val="Courier New"/>
        <family val="3"/>
      </rPr>
      <t>5.10</t>
    </r>
    <r>
      <rPr>
        <sz val="8"/>
        <rFont val="Courier New"/>
        <family val="3"/>
      </rPr>
      <t>. Then we'd have:</t>
    </r>
  </si>
  <si>
    <r>
      <t>[3]         (10/31)*</t>
    </r>
    <r>
      <rPr>
        <b/>
        <sz val="8"/>
        <color indexed="10"/>
        <rFont val="Courier New"/>
        <family val="3"/>
      </rPr>
      <t>5.00</t>
    </r>
    <r>
      <rPr>
        <sz val="8"/>
        <rFont val="Courier New"/>
        <family val="3"/>
      </rPr>
      <t xml:space="preserve"> + (21/31)*</t>
    </r>
    <r>
      <rPr>
        <b/>
        <sz val="8"/>
        <rFont val="Courier New"/>
        <family val="3"/>
      </rPr>
      <t>[</t>
    </r>
    <r>
      <rPr>
        <b/>
        <sz val="8"/>
        <color indexed="12"/>
        <rFont val="Courier New"/>
        <family val="3"/>
      </rPr>
      <t>5.25</t>
    </r>
    <r>
      <rPr>
        <b/>
        <sz val="8"/>
        <color indexed="14"/>
        <rFont val="Courier New"/>
        <family val="3"/>
      </rPr>
      <t>p</t>
    </r>
    <r>
      <rPr>
        <b/>
        <sz val="8"/>
        <rFont val="Courier New"/>
        <family val="3"/>
      </rPr>
      <t xml:space="preserve"> + (1-</t>
    </r>
    <r>
      <rPr>
        <b/>
        <sz val="8"/>
        <color indexed="14"/>
        <rFont val="Courier New"/>
        <family val="3"/>
      </rPr>
      <t>p</t>
    </r>
    <r>
      <rPr>
        <b/>
        <sz val="8"/>
        <rFont val="Courier New"/>
        <family val="3"/>
      </rPr>
      <t>)</t>
    </r>
    <r>
      <rPr>
        <b/>
        <sz val="8"/>
        <color indexed="10"/>
        <rFont val="Courier New"/>
        <family val="3"/>
      </rPr>
      <t>5.00</t>
    </r>
    <r>
      <rPr>
        <b/>
        <sz val="8"/>
        <rFont val="Courier New"/>
        <family val="3"/>
      </rPr>
      <t>]</t>
    </r>
    <r>
      <rPr>
        <sz val="8"/>
        <rFont val="Courier New"/>
        <family val="3"/>
      </rPr>
      <t xml:space="preserve"> = </t>
    </r>
    <r>
      <rPr>
        <b/>
        <sz val="8"/>
        <color indexed="17"/>
        <rFont val="Courier New"/>
        <family val="3"/>
      </rPr>
      <t>5.10</t>
    </r>
  </si>
  <si>
    <r>
      <t xml:space="preserve">and we could solve for: </t>
    </r>
    <r>
      <rPr>
        <b/>
        <sz val="8"/>
        <color indexed="14"/>
        <rFont val="Courier New"/>
        <family val="3"/>
      </rPr>
      <t>p</t>
    </r>
    <r>
      <rPr>
        <sz val="8"/>
        <rFont val="Courier New"/>
        <family val="3"/>
      </rPr>
      <t xml:space="preserve"> = 0.59 or 59%.</t>
    </r>
  </si>
  <si>
    <t>We conclude that there's a 59% probability of a change in the Fed Rate ... namely an increase from</t>
  </si>
  <si>
    <t>the current 5.00% to 5.25%.</t>
  </si>
  <si>
    <t>&gt;And if the probability if negative or greater than 100%? What then?</t>
  </si>
  <si>
    <r>
      <t xml:space="preserve">Note that the magic formula gives the Fed two choices: leave the Rate unchanged </t>
    </r>
    <r>
      <rPr>
        <sz val="8"/>
        <color indexed="63"/>
        <rFont val="Courier New"/>
        <family val="3"/>
      </rPr>
      <t>(like 5.00%)</t>
    </r>
    <r>
      <rPr>
        <sz val="8"/>
        <rFont val="Courier New"/>
        <family val="3"/>
      </rPr>
      <t xml:space="preserve"> or change </t>
    </r>
  </si>
  <si>
    <t>it to some preassigned "Target" value (like 5.25%).</t>
  </si>
  <si>
    <t>We can know the current rate, but how would we know that "Target" rate?</t>
  </si>
  <si>
    <t>&gt;And how do we know that the Fed Futures correctly gauges the Fed Rate for the month?</t>
  </si>
  <si>
    <t>Exactly. Take a peek at this</t>
  </si>
  <si>
    <t>Try the above calculator with, say, Fed Rate = 94.80 or maybe 95.05 or maybe ...</t>
  </si>
  <si>
    <t>The probability changes as the day changes (that's N).</t>
  </si>
  <si>
    <t>The probability changes as the Target Rate changes (that's T).</t>
  </si>
  <si>
    <t>DELTA</t>
  </si>
  <si>
    <t>25 Percentile</t>
  </si>
  <si>
    <t>50 Percentile</t>
  </si>
  <si>
    <t>75 Percentile</t>
  </si>
  <si>
    <t>30yr</t>
  </si>
  <si>
    <t>^TYX</t>
  </si>
  <si>
    <t>TODAY</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</si>
</sst>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5" formatCode="&quot;$&quot;#,##0_);\(&quot;$&quot;#,##0\)"/>
    <numFmt numFmtId="44" formatCode="_(&quot;$&quot;* #,##0.00_);_(&quot;$&quot;* \(#,##0.00\);_(&quot;$&quot;* &quot;-&quot;??_);_(@_)"/>
    <numFmt numFmtId="43" formatCode="_(* #,##0.00_);_(* \(#,##0.00\);_(* &quot;-&quot;??_);_(@_)"/>
    <numFmt numFmtId="164" formatCode="mm/dd/yy;@"/>
    <numFmt numFmtId="165" formatCode="0.0%"/>
    <numFmt numFmtId="166" formatCode="0.0000"/>
    <numFmt numFmtId="167" formatCode="0.000"/>
    <numFmt numFmtId="168" formatCode="0.0"/>
    <numFmt numFmtId="169" formatCode="#,##0_)\x;\(#,##0\)\x;0_)\x;@_)_x"/>
    <numFmt numFmtId="170" formatCode="0.000%"/>
    <numFmt numFmtId="171" formatCode="General_)"/>
    <numFmt numFmtId="172" formatCode="&quot;$&quot;\ #,##0.00;\-&quot;$&quot;\ #,##0.00;&quot;-&quot;"/>
    <numFmt numFmtId="173" formatCode="_(* #,##0_);_(* \(#,##0\);_(* &quot;-&quot;??_);_(@_)"/>
    <numFmt numFmtId="174" formatCode="&quot;$&quot;#,##0.00"/>
    <numFmt numFmtId="175" formatCode="0.00&quot;%&quot;"/>
    <numFmt numFmtId="176" formatCode="#,##0%;[Red]\-#,##0%;&quot; - &quot;"/>
    <numFmt numFmtId="177" formatCode="#,##0.0%;[Red]\-#,##0.0%;&quot; - &quot;"/>
    <numFmt numFmtId="178" formatCode="d\.m\.yy"/>
    <numFmt numFmtId="179" formatCode="_-[$€-2]* #,##0.00_-;\-[$€-2]* #,##0.00_-;_-[$€-2]* &quot;-&quot;??_-"/>
    <numFmt numFmtId="180" formatCode="#,##0.0000"/>
    <numFmt numFmtId="181" formatCode="#,##0.0#;[Red]\ \ \(#,##0.0#\);\ &quot; - &quot;;"/>
    <numFmt numFmtId="182" formatCode="#,##0;[Red]\ \ \(#,##0\);\ &quot; - &quot;;"/>
    <numFmt numFmtId="183" formatCode="#,##0.00;[Red]\ \ \(#,##0.00\);\ &quot; - &quot;;"/>
    <numFmt numFmtId="184" formatCode="[$-409]d\-mmm\-yy;@"/>
    <numFmt numFmtId="185" formatCode="_(* #,##0.0000_);_(* \(#,##0.0000\);_(* &quot;-&quot;??_);_(@_)"/>
    <numFmt numFmtId="186" formatCode="[$-409]dd\-mmm\-yy;@"/>
    <numFmt numFmtId="187" formatCode="mmm"/>
  </numFmts>
  <fonts count="47">
    <font>
      <sz val="10"/>
      <color theme="1"/>
      <name val="Courier New"/>
      <family val="2"/>
    </font>
    <font>
      <sz val="10"/>
      <color theme="1"/>
      <name val="Courier New"/>
      <family val="2"/>
    </font>
    <font>
      <sz val="8"/>
      <color indexed="81"/>
      <name val="Tahoma"/>
      <family val="2"/>
    </font>
    <font>
      <b/>
      <sz val="8"/>
      <color indexed="81"/>
      <name val="Tahoma"/>
      <family val="2"/>
    </font>
    <font>
      <u/>
      <sz val="10"/>
      <color theme="10"/>
      <name val="Courier New"/>
      <family val="2"/>
    </font>
    <font>
      <b/>
      <sz val="10"/>
      <color theme="1"/>
      <name val="Courier New"/>
      <family val="3"/>
    </font>
    <font>
      <sz val="10"/>
      <name val="Arial"/>
      <family val="2"/>
    </font>
    <font>
      <sz val="10"/>
      <name val="Courier New"/>
      <family val="3"/>
    </font>
    <font>
      <b/>
      <sz val="10"/>
      <name val="Courier New"/>
      <family val="3"/>
    </font>
    <font>
      <b/>
      <sz val="10"/>
      <color rgb="FFFF0000"/>
      <name val="Courier New"/>
      <family val="3"/>
    </font>
    <font>
      <b/>
      <sz val="10"/>
      <color indexed="12"/>
      <name val="Courier New"/>
      <family val="3"/>
    </font>
    <font>
      <b/>
      <sz val="10"/>
      <color theme="4"/>
      <name val="Courier New"/>
      <family val="3"/>
    </font>
    <font>
      <b/>
      <sz val="8"/>
      <name val="Courier New"/>
      <family val="3"/>
    </font>
    <font>
      <sz val="8"/>
      <name val="Courier New"/>
      <family val="3"/>
    </font>
    <font>
      <sz val="10"/>
      <color theme="1"/>
      <name val="Courier New"/>
      <family val="3"/>
    </font>
    <font>
      <sz val="10"/>
      <color indexed="12"/>
      <name val="Courier New"/>
      <family val="3"/>
    </font>
    <font>
      <b/>
      <sz val="8"/>
      <color indexed="10"/>
      <name val="Courier New"/>
      <family val="3"/>
    </font>
    <font>
      <b/>
      <sz val="8"/>
      <color indexed="12"/>
      <name val="Courier New"/>
      <family val="3"/>
    </font>
    <font>
      <sz val="8"/>
      <color indexed="18"/>
      <name val="Courier New"/>
      <family val="3"/>
    </font>
    <font>
      <b/>
      <sz val="8"/>
      <color indexed="17"/>
      <name val="Courier New"/>
      <family val="3"/>
    </font>
    <font>
      <b/>
      <sz val="8"/>
      <color indexed="18"/>
      <name val="Courier New"/>
      <family val="3"/>
    </font>
    <font>
      <b/>
      <sz val="8"/>
      <color indexed="14"/>
      <name val="Courier New"/>
      <family val="3"/>
    </font>
    <font>
      <u/>
      <sz val="8.5"/>
      <color theme="10"/>
      <name val="Arial"/>
      <family val="2"/>
    </font>
    <font>
      <b/>
      <sz val="11"/>
      <color theme="1"/>
      <name val="Courier New"/>
      <family val="3"/>
    </font>
    <font>
      <sz val="8"/>
      <color indexed="63"/>
      <name val="Courier New"/>
      <family val="3"/>
    </font>
    <font>
      <sz val="10"/>
      <color indexed="8"/>
      <name val="Arial"/>
      <family val="2"/>
    </font>
    <font>
      <sz val="10"/>
      <color indexed="9"/>
      <name val="Arial"/>
      <family val="2"/>
    </font>
    <font>
      <b/>
      <sz val="9"/>
      <color indexed="12"/>
      <name val="Tahoma"/>
      <family val="2"/>
    </font>
    <font>
      <sz val="10"/>
      <color indexed="12"/>
      <name val="Helv"/>
    </font>
    <font>
      <sz val="9"/>
      <name val="Geneva"/>
    </font>
    <font>
      <sz val="11"/>
      <color theme="1"/>
      <name val="Calibri"/>
      <family val="2"/>
      <scheme val="minor"/>
    </font>
    <font>
      <sz val="10"/>
      <name val="Geneva"/>
    </font>
    <font>
      <sz val="14"/>
      <name val="Helv"/>
    </font>
    <font>
      <b/>
      <sz val="10"/>
      <color indexed="8"/>
      <name val="Arial"/>
      <family val="2"/>
    </font>
    <font>
      <b/>
      <sz val="10"/>
      <color indexed="12"/>
      <name val="Arial"/>
      <family val="2"/>
    </font>
    <font>
      <b/>
      <sz val="9"/>
      <color indexed="46"/>
      <name val="Arial"/>
      <family val="2"/>
    </font>
    <font>
      <u/>
      <sz val="10"/>
      <color indexed="12"/>
      <name val="Arial"/>
      <family val="2"/>
    </font>
    <font>
      <u/>
      <sz val="6"/>
      <color indexed="12"/>
      <name val="Times New Roman"/>
      <family val="1"/>
    </font>
    <font>
      <u/>
      <sz val="10"/>
      <color theme="10"/>
      <name val="Arial"/>
      <family val="2"/>
    </font>
    <font>
      <u/>
      <sz val="6.3"/>
      <color theme="10"/>
      <name val="Courier New"/>
      <family val="2"/>
    </font>
    <font>
      <sz val="10"/>
      <color indexed="10"/>
      <name val="Courier"/>
      <family val="3"/>
    </font>
    <font>
      <b/>
      <sz val="18"/>
      <color indexed="62"/>
      <name val="Cambria"/>
      <family val="2"/>
    </font>
    <font>
      <sz val="10"/>
      <name val="Courier"/>
      <family val="3"/>
    </font>
    <font>
      <sz val="11"/>
      <color theme="1"/>
      <name val="Calibri"/>
      <family val="3"/>
      <charset val="129"/>
      <scheme val="minor"/>
    </font>
    <font>
      <b/>
      <sz val="24"/>
      <name val="Courier New"/>
      <family val="3"/>
    </font>
    <font>
      <b/>
      <sz val="12"/>
      <color theme="1"/>
      <name val="Courier New"/>
      <family val="3"/>
    </font>
    <font>
      <b/>
      <sz val="10"/>
      <color rgb="FF0070C0"/>
      <name val="Courier New"/>
      <family val="3"/>
    </font>
  </fonts>
  <fills count="1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indexed="47"/>
        <bgColor indexed="47"/>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55"/>
        <bgColor indexed="55"/>
      </patternFill>
    </fill>
    <fill>
      <patternFill patternType="solid">
        <fgColor indexed="26"/>
        <bgColor indexed="26"/>
      </patternFill>
    </fill>
    <fill>
      <patternFill patternType="solid">
        <fgColor indexed="43"/>
        <bgColor indexed="43"/>
      </patternFill>
    </fill>
    <fill>
      <patternFill patternType="solid">
        <fgColor indexed="46"/>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63"/>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medium">
        <color indexed="63"/>
      </left>
      <right style="medium">
        <color indexed="63"/>
      </right>
      <top style="medium">
        <color indexed="63"/>
      </top>
      <bottom style="medium">
        <color indexed="63"/>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s>
  <cellStyleXfs count="94">
    <xf numFmtId="0" fontId="0" fillId="0" borderId="0"/>
    <xf numFmtId="9" fontId="1" fillId="0" borderId="0" applyFont="0" applyFill="0" applyBorder="0" applyAlignment="0" applyProtection="0"/>
    <xf numFmtId="9" fontId="6" fillId="0" borderId="0" applyFont="0" applyFill="0" applyBorder="0" applyAlignment="0" applyProtection="0">
      <alignment horizontal="right" indent="1"/>
    </xf>
    <xf numFmtId="0" fontId="6" fillId="0" borderId="0" applyFont="0" applyFill="0" applyBorder="0" applyAlignment="0" applyProtection="0"/>
    <xf numFmtId="0" fontId="22" fillId="0" borderId="0" applyNumberFormat="0" applyFill="0" applyBorder="0" applyAlignment="0" applyProtection="0">
      <alignment vertical="top"/>
      <protection locked="0"/>
    </xf>
    <xf numFmtId="169" fontId="6" fillId="0" borderId="0" applyFont="0" applyFill="0" applyBorder="0" applyAlignment="0" applyProtection="0"/>
    <xf numFmtId="0" fontId="25" fillId="5" borderId="0" applyNumberFormat="0" applyBorder="0" applyAlignment="0" applyProtection="0"/>
    <xf numFmtId="0" fontId="25" fillId="6" borderId="0" applyNumberFormat="0" applyBorder="0" applyAlignment="0" applyProtection="0"/>
    <xf numFmtId="0" fontId="26" fillId="7" borderId="0" applyNumberFormat="0" applyBorder="0" applyAlignment="0" applyProtection="0"/>
    <xf numFmtId="0" fontId="25" fillId="5" borderId="0" applyNumberFormat="0" applyBorder="0" applyAlignment="0" applyProtection="0"/>
    <xf numFmtId="0" fontId="25" fillId="8" borderId="0" applyNumberFormat="0" applyBorder="0" applyAlignment="0" applyProtection="0"/>
    <xf numFmtId="0" fontId="26" fillId="9"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6" fillId="8" borderId="0" applyNumberFormat="0" applyBorder="0" applyAlignment="0" applyProtection="0"/>
    <xf numFmtId="0" fontId="25" fillId="5" borderId="0" applyNumberFormat="0" applyBorder="0" applyAlignment="0" applyProtection="0"/>
    <xf numFmtId="0" fontId="25" fillId="8" borderId="0" applyNumberFormat="0" applyBorder="0" applyAlignment="0" applyProtection="0"/>
    <xf numFmtId="0" fontId="26" fillId="8"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6" fillId="7" borderId="0" applyNumberFormat="0" applyBorder="0" applyAlignment="0" applyProtection="0"/>
    <xf numFmtId="0" fontId="25" fillId="10" borderId="0" applyNumberFormat="0" applyBorder="0" applyAlignment="0" applyProtection="0"/>
    <xf numFmtId="0" fontId="25" fillId="10" borderId="0" applyNumberFormat="0" applyBorder="0" applyAlignment="0" applyProtection="0"/>
    <xf numFmtId="0" fontId="26" fillId="11" borderId="0" applyNumberFormat="0" applyBorder="0" applyAlignment="0" applyProtection="0"/>
    <xf numFmtId="170" fontId="27" fillId="12" borderId="0"/>
    <xf numFmtId="171" fontId="28" fillId="0" borderId="0"/>
    <xf numFmtId="171" fontId="28" fillId="0" borderId="0"/>
    <xf numFmtId="172" fontId="6" fillId="0" borderId="0" applyFont="0" applyFill="0" applyBorder="0" applyProtection="0">
      <alignment horizontal="right"/>
    </xf>
    <xf numFmtId="43" fontId="29" fillId="0" borderId="0" applyFont="0" applyFill="0" applyBorder="0" applyAlignment="0" applyProtection="0"/>
    <xf numFmtId="173" fontId="6" fillId="0" borderId="0" applyFont="0" applyFill="0" applyBorder="0" applyProtection="0">
      <alignment horizontal="right"/>
    </xf>
    <xf numFmtId="174" fontId="6" fillId="0" borderId="0" applyFont="0" applyFill="0" applyBorder="0" applyAlignment="0" applyProtection="0"/>
    <xf numFmtId="43" fontId="1" fillId="0" borderId="0" applyFont="0" applyFill="0" applyBorder="0" applyAlignment="0" applyProtection="0"/>
    <xf numFmtId="167" fontId="6" fillId="0" borderId="0" applyFont="0" applyFill="0" applyBorder="0" applyProtection="0">
      <alignment horizontal="right"/>
    </xf>
    <xf numFmtId="43" fontId="3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5" fontId="6" fillId="0" borderId="0" applyFont="0" applyFill="0" applyBorder="0" applyProtection="0">
      <alignment horizontal="right"/>
    </xf>
    <xf numFmtId="175" fontId="6" fillId="0" borderId="0" applyFont="0" applyFill="0" applyBorder="0" applyAlignment="0" applyProtection="0"/>
    <xf numFmtId="176" fontId="6" fillId="0" borderId="0" applyFont="0" applyFill="0" applyBorder="0" applyProtection="0">
      <alignment horizontal="right"/>
    </xf>
    <xf numFmtId="176" fontId="6" fillId="0" borderId="0" applyFont="0" applyFill="0" applyBorder="0" applyProtection="0">
      <alignment horizontal="right"/>
    </xf>
    <xf numFmtId="177" fontId="6" fillId="0" borderId="0" applyFont="0" applyFill="0" applyBorder="0" applyProtection="0">
      <alignment horizontal="right"/>
    </xf>
    <xf numFmtId="177" fontId="6" fillId="0" borderId="0" applyFont="0" applyFill="0" applyBorder="0" applyProtection="0">
      <alignment horizontal="right"/>
    </xf>
    <xf numFmtId="177" fontId="6" fillId="0" borderId="0" applyFont="0" applyFill="0" applyBorder="0" applyProtection="0">
      <alignment horizontal="right"/>
    </xf>
    <xf numFmtId="3" fontId="6" fillId="0" borderId="0" applyFont="0" applyFill="0" applyBorder="0" applyAlignment="0" applyProtection="0"/>
    <xf numFmtId="171" fontId="28" fillId="0" borderId="0"/>
    <xf numFmtId="171" fontId="28" fillId="0" borderId="0"/>
    <xf numFmtId="171" fontId="28" fillId="0" borderId="0"/>
    <xf numFmtId="171" fontId="28" fillId="0" borderId="0"/>
    <xf numFmtId="44" fontId="6" fillId="0" borderId="0" applyFont="0" applyFill="0" applyBorder="0" applyAlignment="0" applyProtection="0"/>
    <xf numFmtId="44" fontId="31" fillId="0" borderId="0" applyFont="0" applyFill="0" applyBorder="0" applyAlignment="0" applyProtection="0"/>
    <xf numFmtId="5" fontId="6" fillId="0" borderId="0" applyFont="0" applyFill="0" applyBorder="0" applyAlignment="0" applyProtection="0"/>
    <xf numFmtId="178" fontId="32" fillId="0" borderId="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179" fontId="6" fillId="0" borderId="0" applyFont="0" applyFill="0" applyBorder="0" applyAlignment="0" applyProtection="0"/>
    <xf numFmtId="180" fontId="34" fillId="16" borderId="23">
      <alignment horizontal="center"/>
    </xf>
    <xf numFmtId="2" fontId="6" fillId="0" borderId="0" applyFont="0" applyFill="0" applyBorder="0" applyAlignment="0" applyProtection="0"/>
    <xf numFmtId="0" fontId="35" fillId="17" borderId="24">
      <alignment horizontal="left"/>
    </xf>
    <xf numFmtId="0" fontId="36"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38" fillId="0" borderId="0" applyNumberFormat="0" applyFill="0" applyBorder="0" applyAlignment="0" applyProtection="0">
      <alignment vertical="top"/>
      <protection locked="0"/>
    </xf>
    <xf numFmtId="0" fontId="39"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applyFont="0" applyFill="0" applyBorder="0" applyAlignment="0" applyProtection="0"/>
    <xf numFmtId="0" fontId="6" fillId="0" borderId="0" applyFont="0" applyFill="0" applyBorder="0" applyAlignment="0" applyProtection="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181" fontId="6" fillId="0" borderId="0" applyFont="0" applyFill="0" applyBorder="0" applyAlignment="0" applyProtection="0">
      <protection locked="0"/>
    </xf>
    <xf numFmtId="1" fontId="6" fillId="0" borderId="0" applyFont="0" applyFill="0" applyBorder="0" applyAlignment="0" applyProtection="0">
      <protection locked="0"/>
    </xf>
    <xf numFmtId="182" fontId="6" fillId="0" borderId="0"/>
    <xf numFmtId="183" fontId="6" fillId="0" borderId="0"/>
    <xf numFmtId="181" fontId="6" fillId="0" borderId="0"/>
    <xf numFmtId="167" fontId="6" fillId="16" borderId="23" applyProtection="0">
      <alignment horizontal="center"/>
    </xf>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10" fontId="6" fillId="0" borderId="0" applyFont="0" applyFill="0" applyBorder="0" applyProtection="0">
      <alignment horizontal="right" indent="1"/>
    </xf>
    <xf numFmtId="168" fontId="40" fillId="0" borderId="0">
      <alignment horizontal="center"/>
    </xf>
    <xf numFmtId="0" fontId="41" fillId="0" borderId="0" applyNumberFormat="0" applyFill="0" applyBorder="0" applyAlignment="0" applyProtection="0"/>
    <xf numFmtId="0" fontId="42" fillId="0" borderId="0">
      <alignment vertical="center"/>
    </xf>
    <xf numFmtId="2" fontId="6" fillId="0" borderId="0" applyBorder="0">
      <alignment horizontal="center"/>
    </xf>
    <xf numFmtId="0" fontId="43" fillId="0" borderId="0">
      <alignment vertical="center"/>
    </xf>
    <xf numFmtId="43" fontId="1" fillId="0" borderId="0" applyFont="0" applyFill="0" applyBorder="0" applyAlignment="0" applyProtection="0"/>
  </cellStyleXfs>
  <cellXfs count="139">
    <xf numFmtId="0" fontId="0" fillId="0" borderId="0" xfId="0"/>
    <xf numFmtId="0" fontId="7" fillId="0" borderId="0" xfId="3" applyNumberFormat="1" applyFont="1" applyBorder="1" applyAlignment="1">
      <alignment horizontal="right" vertical="center"/>
    </xf>
    <xf numFmtId="0" fontId="7" fillId="0" borderId="0" xfId="3" applyNumberFormat="1" applyFont="1" applyBorder="1" applyAlignment="1">
      <alignment horizontal="center" vertical="center"/>
    </xf>
    <xf numFmtId="0" fontId="7" fillId="0" borderId="0" xfId="3" applyNumberFormat="1" applyFont="1" applyAlignment="1">
      <alignment horizontal="right" vertical="center"/>
    </xf>
    <xf numFmtId="0" fontId="7" fillId="0" borderId="0" xfId="2" applyNumberFormat="1" applyFont="1" applyBorder="1" applyAlignment="1">
      <alignment horizontal="left" vertical="center"/>
    </xf>
    <xf numFmtId="0" fontId="8" fillId="2" borderId="1" xfId="3" applyFont="1" applyFill="1" applyBorder="1" applyAlignment="1" applyProtection="1">
      <alignment horizontal="center" vertical="center"/>
      <protection locked="0"/>
    </xf>
    <xf numFmtId="0" fontId="9" fillId="0" borderId="1" xfId="3" applyFont="1" applyFill="1" applyBorder="1" applyAlignment="1" applyProtection="1">
      <alignment horizontal="center" vertical="center"/>
      <protection locked="0"/>
    </xf>
    <xf numFmtId="0" fontId="7" fillId="2" borderId="1" xfId="3" applyNumberFormat="1" applyFont="1" applyFill="1" applyBorder="1" applyAlignment="1">
      <alignment horizontal="center" vertical="center"/>
    </xf>
    <xf numFmtId="14" fontId="7" fillId="0" borderId="1" xfId="3" applyNumberFormat="1" applyFont="1" applyBorder="1" applyAlignment="1">
      <alignment horizontal="center" vertical="center"/>
    </xf>
    <xf numFmtId="0" fontId="8" fillId="3" borderId="1" xfId="3" applyNumberFormat="1" applyFont="1" applyFill="1" applyBorder="1" applyAlignment="1">
      <alignment horizontal="center" vertical="center"/>
    </xf>
    <xf numFmtId="0" fontId="7" fillId="2" borderId="5" xfId="3" applyNumberFormat="1" applyFont="1" applyFill="1" applyBorder="1" applyAlignment="1">
      <alignment horizontal="center" vertical="center"/>
    </xf>
    <xf numFmtId="0" fontId="10" fillId="0" borderId="5" xfId="3" applyNumberFormat="1" applyFont="1" applyBorder="1" applyAlignment="1">
      <alignment horizontal="center" vertical="center"/>
    </xf>
    <xf numFmtId="0" fontId="7" fillId="0" borderId="1" xfId="3" applyNumberFormat="1" applyFont="1" applyBorder="1" applyAlignment="1">
      <alignment horizontal="center" vertical="center"/>
    </xf>
    <xf numFmtId="1" fontId="7" fillId="0" borderId="1" xfId="3" applyNumberFormat="1" applyFont="1" applyBorder="1" applyAlignment="1">
      <alignment horizontal="center" vertical="center"/>
    </xf>
    <xf numFmtId="0" fontId="7" fillId="0" borderId="0" xfId="3" applyNumberFormat="1" applyFont="1" applyAlignment="1">
      <alignment horizontal="center" vertical="center"/>
    </xf>
    <xf numFmtId="0" fontId="7" fillId="4" borderId="1" xfId="3" applyNumberFormat="1" applyFont="1" applyFill="1" applyBorder="1" applyAlignment="1">
      <alignment horizontal="center" vertical="center"/>
    </xf>
    <xf numFmtId="0" fontId="8" fillId="4" borderId="1" xfId="3" applyNumberFormat="1" applyFont="1" applyFill="1" applyBorder="1" applyAlignment="1">
      <alignment horizontal="center" vertical="center"/>
    </xf>
    <xf numFmtId="2" fontId="7" fillId="0" borderId="1" xfId="3" applyNumberFormat="1" applyFont="1" applyBorder="1" applyAlignment="1">
      <alignment horizontal="center" vertical="center"/>
    </xf>
    <xf numFmtId="1" fontId="7" fillId="0" borderId="0" xfId="3" applyNumberFormat="1" applyFont="1" applyAlignment="1">
      <alignment horizontal="right" vertical="center"/>
    </xf>
    <xf numFmtId="0" fontId="7" fillId="0" borderId="0" xfId="3" applyNumberFormat="1" applyFont="1" applyAlignment="1">
      <alignment horizontal="left" vertical="center"/>
    </xf>
    <xf numFmtId="2" fontId="7" fillId="0" borderId="0" xfId="3" applyNumberFormat="1" applyFont="1" applyAlignment="1">
      <alignment horizontal="right" vertical="center"/>
    </xf>
    <xf numFmtId="2" fontId="7" fillId="0" borderId="0" xfId="3" applyNumberFormat="1" applyFont="1" applyAlignment="1">
      <alignment horizontal="center" vertical="center"/>
    </xf>
    <xf numFmtId="0" fontId="7" fillId="2" borderId="6" xfId="3" applyNumberFormat="1" applyFont="1" applyFill="1" applyBorder="1" applyAlignment="1">
      <alignment horizontal="center" vertical="center"/>
    </xf>
    <xf numFmtId="2" fontId="7" fillId="0" borderId="7" xfId="3" applyNumberFormat="1" applyFont="1" applyFill="1" applyBorder="1" applyAlignment="1">
      <alignment horizontal="center" vertical="center"/>
    </xf>
    <xf numFmtId="2" fontId="7" fillId="0" borderId="8" xfId="3" applyNumberFormat="1" applyFont="1" applyFill="1" applyBorder="1" applyAlignment="1">
      <alignment horizontal="center" vertical="center"/>
    </xf>
    <xf numFmtId="0" fontId="7" fillId="2" borderId="9" xfId="3" applyNumberFormat="1" applyFont="1" applyFill="1" applyBorder="1" applyAlignment="1">
      <alignment horizontal="center" vertical="center"/>
    </xf>
    <xf numFmtId="2" fontId="7" fillId="0" borderId="10" xfId="3" applyNumberFormat="1" applyFont="1" applyFill="1" applyBorder="1" applyAlignment="1">
      <alignment horizontal="center" vertical="center"/>
    </xf>
    <xf numFmtId="2" fontId="7" fillId="0" borderId="11" xfId="3" applyNumberFormat="1" applyFont="1" applyFill="1" applyBorder="1" applyAlignment="1">
      <alignment horizontal="center" vertical="center"/>
    </xf>
    <xf numFmtId="165" fontId="7" fillId="0" borderId="1" xfId="2" applyNumberFormat="1" applyFont="1" applyBorder="1" applyAlignment="1">
      <alignment horizontal="right" vertical="center"/>
    </xf>
    <xf numFmtId="0" fontId="7" fillId="0" borderId="0" xfId="3" applyNumberFormat="1" applyFont="1" applyBorder="1" applyAlignment="1">
      <alignment horizontal="left" vertical="center"/>
    </xf>
    <xf numFmtId="14" fontId="7" fillId="0" borderId="0" xfId="3" applyNumberFormat="1" applyFont="1" applyAlignment="1">
      <alignment horizontal="center" vertical="center"/>
    </xf>
    <xf numFmtId="0" fontId="7" fillId="3" borderId="3" xfId="3" applyNumberFormat="1" applyFont="1" applyFill="1" applyBorder="1" applyAlignment="1">
      <alignment horizontal="centerContinuous" vertical="center"/>
    </xf>
    <xf numFmtId="0" fontId="7" fillId="3" borderId="4" xfId="3" applyNumberFormat="1" applyFont="1" applyFill="1" applyBorder="1" applyAlignment="1">
      <alignment horizontal="centerContinuous" vertical="center"/>
    </xf>
    <xf numFmtId="0" fontId="12" fillId="2" borderId="12" xfId="3" applyFont="1" applyFill="1" applyBorder="1" applyAlignment="1">
      <alignment horizontal="left" vertical="center" indent="1"/>
    </xf>
    <xf numFmtId="0" fontId="13" fillId="2" borderId="13" xfId="3" applyFont="1" applyFill="1" applyBorder="1" applyAlignment="1">
      <alignment horizontal="center" vertical="center"/>
    </xf>
    <xf numFmtId="0" fontId="13" fillId="2" borderId="14" xfId="3" applyFont="1" applyFill="1" applyBorder="1" applyAlignment="1">
      <alignment horizontal="center" vertical="center"/>
    </xf>
    <xf numFmtId="0" fontId="5" fillId="2" borderId="2" xfId="3" applyFont="1" applyFill="1" applyBorder="1" applyAlignment="1">
      <alignment horizontal="centerContinuous" vertical="center"/>
    </xf>
    <xf numFmtId="0" fontId="14" fillId="2" borderId="3" xfId="3" applyFont="1" applyFill="1" applyBorder="1" applyAlignment="1">
      <alignment horizontal="centerContinuous" vertical="center"/>
    </xf>
    <xf numFmtId="0" fontId="14" fillId="2" borderId="4" xfId="3" applyFont="1" applyFill="1" applyBorder="1" applyAlignment="1">
      <alignment horizontal="centerContinuous" vertical="center"/>
    </xf>
    <xf numFmtId="0" fontId="7" fillId="4" borderId="1" xfId="3" applyNumberFormat="1" applyFont="1" applyFill="1" applyBorder="1" applyAlignment="1">
      <alignment horizontal="left" vertical="center" indent="1"/>
    </xf>
    <xf numFmtId="0" fontId="13" fillId="2" borderId="15" xfId="3" applyFont="1" applyFill="1" applyBorder="1" applyAlignment="1">
      <alignment horizontal="left" vertical="center" indent="2"/>
    </xf>
    <xf numFmtId="0" fontId="13" fillId="2" borderId="0" xfId="3" applyFont="1" applyFill="1" applyBorder="1" applyAlignment="1">
      <alignment horizontal="center" vertical="center"/>
    </xf>
    <xf numFmtId="0" fontId="13" fillId="2" borderId="16" xfId="3" applyFont="1" applyFill="1" applyBorder="1" applyAlignment="1">
      <alignment horizontal="center" vertical="center"/>
    </xf>
    <xf numFmtId="0" fontId="8" fillId="4" borderId="1" xfId="3" applyFont="1" applyFill="1" applyBorder="1" applyAlignment="1">
      <alignment horizontal="center" vertical="center"/>
    </xf>
    <xf numFmtId="0" fontId="14" fillId="0" borderId="1" xfId="3" applyFont="1" applyBorder="1" applyAlignment="1">
      <alignment horizontal="center" vertical="center"/>
    </xf>
    <xf numFmtId="2" fontId="14" fillId="0" borderId="1" xfId="3" applyNumberFormat="1" applyFont="1" applyBorder="1" applyAlignment="1">
      <alignment horizontal="center" vertical="center"/>
    </xf>
    <xf numFmtId="0" fontId="7" fillId="2" borderId="1" xfId="3" applyNumberFormat="1" applyFont="1" applyFill="1" applyBorder="1" applyAlignment="1">
      <alignment horizontal="left" vertical="center" indent="1"/>
    </xf>
    <xf numFmtId="2" fontId="15" fillId="0" borderId="1" xfId="3" applyNumberFormat="1" applyFont="1" applyFill="1" applyBorder="1" applyAlignment="1">
      <alignment horizontal="right" vertical="center"/>
    </xf>
    <xf numFmtId="0" fontId="13" fillId="2" borderId="17" xfId="3" applyFont="1" applyFill="1" applyBorder="1" applyAlignment="1">
      <alignment horizontal="left" vertical="center" indent="2"/>
    </xf>
    <xf numFmtId="0" fontId="13" fillId="2" borderId="18" xfId="3" applyFont="1" applyFill="1" applyBorder="1" applyAlignment="1">
      <alignment horizontal="center" vertical="center"/>
    </xf>
    <xf numFmtId="0" fontId="13" fillId="2" borderId="19" xfId="3" applyFont="1" applyFill="1" applyBorder="1" applyAlignment="1">
      <alignment horizontal="center" vertical="center"/>
    </xf>
    <xf numFmtId="0" fontId="13" fillId="0" borderId="15" xfId="3" applyFont="1" applyBorder="1" applyAlignment="1">
      <alignment horizontal="center" vertical="center"/>
    </xf>
    <xf numFmtId="0" fontId="13" fillId="0" borderId="0" xfId="3" applyFont="1" applyBorder="1" applyAlignment="1">
      <alignment horizontal="center" vertical="center"/>
    </xf>
    <xf numFmtId="0" fontId="13" fillId="0" borderId="16" xfId="3" applyFont="1" applyBorder="1" applyAlignment="1">
      <alignment horizontal="center" vertical="center"/>
    </xf>
    <xf numFmtId="2" fontId="7" fillId="0" borderId="1" xfId="3" applyNumberFormat="1" applyFont="1" applyBorder="1" applyAlignment="1">
      <alignment horizontal="right" vertical="center"/>
    </xf>
    <xf numFmtId="0" fontId="13" fillId="0" borderId="15" xfId="3" applyFont="1" applyFill="1" applyBorder="1" applyAlignment="1">
      <alignment horizontal="left" vertical="center" indent="1"/>
    </xf>
    <xf numFmtId="0" fontId="13" fillId="0" borderId="0" xfId="3" applyFont="1" applyFill="1" applyBorder="1" applyAlignment="1">
      <alignment horizontal="center" vertical="center"/>
    </xf>
    <xf numFmtId="0" fontId="13" fillId="0" borderId="16" xfId="3" applyFont="1" applyFill="1" applyBorder="1" applyAlignment="1">
      <alignment horizontal="center" vertical="center"/>
    </xf>
    <xf numFmtId="14" fontId="7" fillId="0" borderId="1" xfId="3" applyNumberFormat="1" applyFont="1" applyBorder="1" applyAlignment="1">
      <alignment horizontal="right" vertical="center"/>
    </xf>
    <xf numFmtId="0" fontId="18" fillId="0" borderId="15" xfId="3" applyFont="1" applyFill="1" applyBorder="1" applyAlignment="1">
      <alignment horizontal="left" vertical="center" indent="1"/>
    </xf>
    <xf numFmtId="0" fontId="6" fillId="0" borderId="0" xfId="3" applyAlignment="1">
      <alignment horizontal="center" vertical="center"/>
    </xf>
    <xf numFmtId="10" fontId="7" fillId="0" borderId="1" xfId="2" applyNumberFormat="1" applyFont="1" applyBorder="1" applyAlignment="1">
      <alignment horizontal="right" vertical="center"/>
    </xf>
    <xf numFmtId="0" fontId="7" fillId="2" borderId="1" xfId="3" applyFont="1" applyFill="1" applyBorder="1" applyAlignment="1">
      <alignment horizontal="left" vertical="center" indent="1"/>
    </xf>
    <xf numFmtId="166" fontId="7" fillId="0" borderId="1" xfId="3" applyNumberFormat="1" applyFont="1" applyBorder="1" applyAlignment="1">
      <alignment horizontal="right" vertical="center"/>
    </xf>
    <xf numFmtId="167" fontId="7" fillId="2" borderId="1" xfId="3" applyNumberFormat="1" applyFont="1" applyFill="1" applyBorder="1" applyAlignment="1">
      <alignment horizontal="left" vertical="center" indent="1"/>
    </xf>
    <xf numFmtId="10" fontId="7" fillId="0" borderId="1" xfId="1" applyNumberFormat="1" applyFont="1" applyBorder="1" applyAlignment="1">
      <alignment horizontal="right" vertical="center"/>
    </xf>
    <xf numFmtId="0" fontId="7" fillId="0" borderId="0" xfId="3" quotePrefix="1" applyNumberFormat="1" applyFont="1" applyAlignment="1">
      <alignment horizontal="right" vertical="center"/>
    </xf>
    <xf numFmtId="0" fontId="23" fillId="4" borderId="2" xfId="4" applyNumberFormat="1" applyFont="1" applyFill="1" applyBorder="1" applyAlignment="1" applyProtection="1">
      <alignment horizontal="centerContinuous" vertical="center"/>
    </xf>
    <xf numFmtId="0" fontId="23" fillId="4" borderId="3" xfId="3" applyNumberFormat="1" applyFont="1" applyFill="1" applyBorder="1" applyAlignment="1">
      <alignment horizontal="centerContinuous" vertical="center"/>
    </xf>
    <xf numFmtId="0" fontId="23" fillId="4" borderId="4" xfId="3" applyNumberFormat="1" applyFont="1" applyFill="1" applyBorder="1" applyAlignment="1">
      <alignment horizontal="centerContinuous" vertical="center"/>
    </xf>
    <xf numFmtId="0" fontId="8" fillId="2" borderId="1" xfId="3" applyNumberFormat="1" applyFont="1" applyFill="1" applyBorder="1" applyAlignment="1">
      <alignment horizontal="center" vertical="center"/>
    </xf>
    <xf numFmtId="0" fontId="7" fillId="0" borderId="1" xfId="3" applyNumberFormat="1" applyFont="1" applyFill="1" applyBorder="1" applyAlignment="1">
      <alignment horizontal="center" vertical="center"/>
    </xf>
    <xf numFmtId="166" fontId="7" fillId="0" borderId="1" xfId="3" applyNumberFormat="1" applyFont="1" applyFill="1" applyBorder="1" applyAlignment="1">
      <alignment horizontal="right" vertical="center"/>
    </xf>
    <xf numFmtId="0" fontId="6" fillId="0" borderId="0" xfId="3" applyNumberFormat="1" applyAlignment="1">
      <alignment horizontal="center" vertical="center"/>
    </xf>
    <xf numFmtId="168" fontId="7" fillId="0" borderId="1" xfId="3" applyNumberFormat="1" applyFont="1" applyBorder="1" applyAlignment="1">
      <alignment horizontal="center" vertical="center"/>
    </xf>
    <xf numFmtId="168" fontId="8" fillId="0" borderId="1" xfId="3" applyNumberFormat="1" applyFont="1" applyBorder="1" applyAlignment="1">
      <alignment horizontal="center" vertical="center"/>
    </xf>
    <xf numFmtId="2" fontId="8" fillId="0" borderId="1" xfId="3" applyNumberFormat="1" applyFont="1" applyBorder="1" applyAlignment="1">
      <alignment horizontal="center" vertical="center"/>
    </xf>
    <xf numFmtId="0" fontId="13" fillId="0" borderId="15" xfId="3" applyFont="1" applyFill="1" applyBorder="1" applyAlignment="1">
      <alignment horizontal="center" vertical="center"/>
    </xf>
    <xf numFmtId="0" fontId="13" fillId="0" borderId="0" xfId="3" applyFont="1" applyFill="1" applyBorder="1" applyAlignment="1">
      <alignment vertical="center"/>
    </xf>
    <xf numFmtId="0" fontId="13" fillId="0" borderId="15" xfId="3" applyFont="1" applyFill="1" applyBorder="1" applyAlignment="1">
      <alignment vertical="center"/>
    </xf>
    <xf numFmtId="0" fontId="13" fillId="0" borderId="0" xfId="3" applyFont="1" applyFill="1" applyBorder="1" applyAlignment="1">
      <alignment horizontal="left" vertical="center"/>
    </xf>
    <xf numFmtId="168" fontId="7" fillId="0" borderId="0" xfId="3" applyNumberFormat="1" applyFont="1" applyAlignment="1">
      <alignment horizontal="center" vertical="center"/>
    </xf>
    <xf numFmtId="0" fontId="13" fillId="0" borderId="15" xfId="3" applyFont="1" applyFill="1" applyBorder="1" applyAlignment="1">
      <alignment horizontal="left" vertical="center"/>
    </xf>
    <xf numFmtId="0" fontId="7" fillId="0" borderId="15" xfId="3" applyNumberFormat="1" applyFont="1" applyBorder="1" applyAlignment="1">
      <alignment horizontal="center" vertical="center"/>
    </xf>
    <xf numFmtId="0" fontId="7" fillId="0" borderId="16" xfId="3" applyNumberFormat="1" applyFont="1" applyBorder="1" applyAlignment="1">
      <alignment horizontal="center" vertical="center"/>
    </xf>
    <xf numFmtId="0" fontId="7" fillId="0" borderId="20" xfId="3" applyNumberFormat="1" applyFont="1" applyBorder="1" applyAlignment="1">
      <alignment horizontal="center" vertical="center"/>
    </xf>
    <xf numFmtId="0" fontId="7" fillId="0" borderId="21" xfId="3" applyNumberFormat="1" applyFont="1" applyBorder="1" applyAlignment="1">
      <alignment horizontal="center" vertical="center"/>
    </xf>
    <xf numFmtId="0" fontId="7" fillId="0" borderId="22" xfId="3" applyNumberFormat="1" applyFont="1" applyBorder="1" applyAlignment="1">
      <alignment horizontal="center" vertical="center"/>
    </xf>
    <xf numFmtId="0" fontId="44" fillId="0" borderId="0" xfId="2" applyNumberFormat="1" applyFont="1" applyBorder="1" applyAlignment="1">
      <alignment vertical="center"/>
    </xf>
    <xf numFmtId="0" fontId="45" fillId="3" borderId="2" xfId="3" applyFont="1" applyFill="1" applyBorder="1" applyAlignment="1">
      <alignment horizontal="centerContinuous" vertical="center"/>
    </xf>
    <xf numFmtId="14" fontId="46" fillId="0" borderId="1" xfId="3" applyNumberFormat="1" applyFont="1" applyBorder="1" applyAlignment="1">
      <alignment horizontal="center" vertical="center"/>
    </xf>
    <xf numFmtId="184" fontId="15" fillId="0" borderId="1" xfId="3" applyNumberFormat="1" applyFont="1" applyFill="1" applyBorder="1" applyAlignment="1">
      <alignment horizontal="center" vertical="center"/>
    </xf>
    <xf numFmtId="165" fontId="7" fillId="0" borderId="29" xfId="2" applyNumberFormat="1" applyFont="1" applyBorder="1" applyAlignment="1">
      <alignment horizontal="right" vertical="center"/>
    </xf>
    <xf numFmtId="165" fontId="7" fillId="0" borderId="11" xfId="2" applyNumberFormat="1" applyFont="1" applyBorder="1" applyAlignment="1">
      <alignment horizontal="right" vertical="center"/>
    </xf>
    <xf numFmtId="165" fontId="7" fillId="0" borderId="10" xfId="2" applyNumberFormat="1" applyFont="1" applyBorder="1" applyAlignment="1">
      <alignment horizontal="right" vertical="center"/>
    </xf>
    <xf numFmtId="0" fontId="8" fillId="4" borderId="32" xfId="3" applyNumberFormat="1" applyFont="1" applyFill="1" applyBorder="1" applyAlignment="1">
      <alignment horizontal="center" vertical="center"/>
    </xf>
    <xf numFmtId="0" fontId="8" fillId="4" borderId="33" xfId="3" applyNumberFormat="1" applyFont="1" applyFill="1" applyBorder="1" applyAlignment="1">
      <alignment horizontal="center" vertical="center"/>
    </xf>
    <xf numFmtId="185" fontId="7" fillId="0" borderId="7" xfId="93" applyNumberFormat="1" applyFont="1" applyBorder="1" applyAlignment="1">
      <alignment horizontal="center" vertical="center"/>
    </xf>
    <xf numFmtId="185" fontId="7" fillId="0" borderId="8" xfId="93" applyNumberFormat="1" applyFont="1" applyBorder="1" applyAlignment="1">
      <alignment horizontal="center" vertical="center"/>
    </xf>
    <xf numFmtId="185" fontId="7" fillId="0" borderId="1" xfId="93" applyNumberFormat="1" applyFont="1" applyBorder="1" applyAlignment="1">
      <alignment horizontal="center" vertical="center"/>
    </xf>
    <xf numFmtId="185" fontId="7" fillId="0" borderId="10" xfId="93" applyNumberFormat="1" applyFont="1" applyBorder="1" applyAlignment="1">
      <alignment horizontal="center" vertical="center"/>
    </xf>
    <xf numFmtId="185" fontId="7" fillId="0" borderId="11" xfId="93" applyNumberFormat="1" applyFont="1" applyBorder="1" applyAlignment="1">
      <alignment horizontal="center" vertical="center"/>
    </xf>
    <xf numFmtId="185" fontId="7" fillId="0" borderId="29" xfId="93" applyNumberFormat="1" applyFont="1" applyBorder="1" applyAlignment="1">
      <alignment horizontal="center" vertical="center"/>
    </xf>
    <xf numFmtId="0" fontId="7" fillId="4" borderId="34" xfId="3" applyNumberFormat="1" applyFont="1" applyFill="1" applyBorder="1" applyAlignment="1">
      <alignment horizontal="center" vertical="center"/>
    </xf>
    <xf numFmtId="0" fontId="7" fillId="2" borderId="35" xfId="3" applyNumberFormat="1" applyFont="1" applyFill="1" applyBorder="1" applyAlignment="1">
      <alignment horizontal="center" vertical="center"/>
    </xf>
    <xf numFmtId="0" fontId="7" fillId="2" borderId="26" xfId="3" applyNumberFormat="1" applyFont="1" applyFill="1" applyBorder="1" applyAlignment="1">
      <alignment horizontal="center" vertical="center"/>
    </xf>
    <xf numFmtId="0" fontId="7" fillId="2" borderId="36" xfId="3" applyNumberFormat="1" applyFont="1" applyFill="1" applyBorder="1" applyAlignment="1">
      <alignment horizontal="center" vertical="center"/>
    </xf>
    <xf numFmtId="0" fontId="8" fillId="4" borderId="31" xfId="3" applyNumberFormat="1" applyFont="1" applyFill="1" applyBorder="1" applyAlignment="1">
      <alignment horizontal="center" vertical="center"/>
    </xf>
    <xf numFmtId="185" fontId="7" fillId="0" borderId="6" xfId="93" applyNumberFormat="1" applyFont="1" applyBorder="1" applyAlignment="1">
      <alignment horizontal="center" vertical="center"/>
    </xf>
    <xf numFmtId="185" fontId="7" fillId="0" borderId="28" xfId="93" applyNumberFormat="1" applyFont="1" applyBorder="1" applyAlignment="1">
      <alignment horizontal="center" vertical="center"/>
    </xf>
    <xf numFmtId="185" fontId="7" fillId="0" borderId="9" xfId="93" applyNumberFormat="1" applyFont="1" applyBorder="1" applyAlignment="1">
      <alignment horizontal="center" vertical="center"/>
    </xf>
    <xf numFmtId="164" fontId="7" fillId="0" borderId="37" xfId="3" applyNumberFormat="1" applyFont="1" applyBorder="1" applyAlignment="1">
      <alignment horizontal="center" vertical="center"/>
    </xf>
    <xf numFmtId="164" fontId="7" fillId="0" borderId="38" xfId="3" applyNumberFormat="1" applyFont="1" applyBorder="1" applyAlignment="1">
      <alignment horizontal="center" vertical="center"/>
    </xf>
    <xf numFmtId="185" fontId="7" fillId="0" borderId="27" xfId="93" applyNumberFormat="1" applyFont="1" applyBorder="1" applyAlignment="1">
      <alignment horizontal="center" vertical="center"/>
    </xf>
    <xf numFmtId="185" fontId="7" fillId="0" borderId="39" xfId="93" applyNumberFormat="1" applyFont="1" applyBorder="1" applyAlignment="1">
      <alignment horizontal="center" vertical="center"/>
    </xf>
    <xf numFmtId="0" fontId="7" fillId="0" borderId="40" xfId="3" applyNumberFormat="1" applyFont="1" applyFill="1" applyBorder="1" applyAlignment="1">
      <alignment horizontal="left" vertical="center"/>
    </xf>
    <xf numFmtId="0" fontId="11" fillId="0" borderId="17" xfId="3" applyNumberFormat="1" applyFont="1" applyFill="1" applyBorder="1" applyAlignment="1">
      <alignment horizontal="center" vertical="center"/>
    </xf>
    <xf numFmtId="0" fontId="8" fillId="0" borderId="18" xfId="3" applyNumberFormat="1" applyFont="1" applyFill="1" applyBorder="1" applyAlignment="1">
      <alignment horizontal="center" vertical="center"/>
    </xf>
    <xf numFmtId="0" fontId="7" fillId="0" borderId="19" xfId="3" applyNumberFormat="1" applyFont="1" applyFill="1" applyBorder="1" applyAlignment="1">
      <alignment horizontal="right" vertical="center"/>
    </xf>
    <xf numFmtId="0" fontId="7" fillId="0" borderId="18" xfId="3" applyNumberFormat="1" applyFont="1" applyFill="1" applyBorder="1" applyAlignment="1">
      <alignment horizontal="right" vertical="center"/>
    </xf>
    <xf numFmtId="0" fontId="7" fillId="0" borderId="19" xfId="3" applyNumberFormat="1" applyFont="1" applyFill="1" applyBorder="1" applyAlignment="1">
      <alignment horizontal="center" vertical="center"/>
    </xf>
    <xf numFmtId="0" fontId="7" fillId="0" borderId="41" xfId="3" applyNumberFormat="1" applyFont="1" applyFill="1" applyBorder="1" applyAlignment="1">
      <alignment horizontal="right" vertical="center"/>
    </xf>
    <xf numFmtId="0" fontId="7" fillId="0" borderId="18" xfId="3" applyNumberFormat="1" applyFont="1" applyFill="1" applyBorder="1" applyAlignment="1">
      <alignment horizontal="center" vertical="center"/>
    </xf>
    <xf numFmtId="0" fontId="5" fillId="4" borderId="25" xfId="3" applyNumberFormat="1" applyFont="1" applyFill="1" applyBorder="1" applyAlignment="1">
      <alignment horizontal="center" vertical="center"/>
    </xf>
    <xf numFmtId="0" fontId="5" fillId="4" borderId="31" xfId="3" applyNumberFormat="1" applyFont="1" applyFill="1" applyBorder="1" applyAlignment="1">
      <alignment horizontal="center" vertical="center"/>
    </xf>
    <xf numFmtId="0" fontId="5" fillId="4" borderId="32" xfId="3" applyNumberFormat="1" applyFont="1" applyFill="1" applyBorder="1" applyAlignment="1">
      <alignment horizontal="center" vertical="center"/>
    </xf>
    <xf numFmtId="0" fontId="5" fillId="4" borderId="33" xfId="3" applyNumberFormat="1" applyFont="1" applyFill="1" applyBorder="1" applyAlignment="1">
      <alignment horizontal="center" vertical="center"/>
    </xf>
    <xf numFmtId="0" fontId="5" fillId="4" borderId="42" xfId="3" applyNumberFormat="1" applyFont="1" applyFill="1" applyBorder="1" applyAlignment="1">
      <alignment horizontal="center" vertical="center"/>
    </xf>
    <xf numFmtId="185" fontId="7" fillId="0" borderId="5" xfId="93" applyNumberFormat="1" applyFont="1" applyBorder="1" applyAlignment="1">
      <alignment horizontal="center" vertical="center"/>
    </xf>
    <xf numFmtId="185" fontId="7" fillId="0" borderId="30" xfId="93" applyNumberFormat="1" applyFont="1" applyBorder="1" applyAlignment="1">
      <alignment horizontal="center" vertical="center"/>
    </xf>
    <xf numFmtId="185" fontId="7" fillId="0" borderId="43" xfId="93" applyNumberFormat="1" applyFont="1" applyBorder="1" applyAlignment="1">
      <alignment horizontal="center" vertical="center"/>
    </xf>
    <xf numFmtId="185" fontId="7" fillId="0" borderId="44" xfId="93" applyNumberFormat="1" applyFont="1" applyBorder="1" applyAlignment="1">
      <alignment horizontal="center" vertical="center"/>
    </xf>
    <xf numFmtId="185" fontId="7" fillId="0" borderId="45" xfId="93" applyNumberFormat="1" applyFont="1" applyBorder="1" applyAlignment="1">
      <alignment horizontal="center" vertical="center"/>
    </xf>
    <xf numFmtId="185" fontId="7" fillId="0" borderId="46" xfId="93" applyNumberFormat="1" applyFont="1" applyBorder="1" applyAlignment="1">
      <alignment horizontal="center" vertical="center"/>
    </xf>
    <xf numFmtId="0" fontId="7" fillId="2" borderId="17" xfId="3" applyNumberFormat="1" applyFont="1" applyFill="1" applyBorder="1" applyAlignment="1">
      <alignment horizontal="center" vertical="center"/>
    </xf>
    <xf numFmtId="0" fontId="7" fillId="2" borderId="47" xfId="3" applyNumberFormat="1" applyFont="1" applyFill="1" applyBorder="1" applyAlignment="1">
      <alignment horizontal="center" vertical="center"/>
    </xf>
    <xf numFmtId="186" fontId="5" fillId="0" borderId="1" xfId="3" applyNumberFormat="1" applyFont="1" applyFill="1" applyBorder="1" applyAlignment="1" applyProtection="1">
      <alignment horizontal="center" vertical="center"/>
      <protection locked="0"/>
    </xf>
    <xf numFmtId="0" fontId="14" fillId="0" borderId="1" xfId="3" applyNumberFormat="1" applyFont="1" applyFill="1" applyBorder="1" applyAlignment="1">
      <alignment horizontal="center" vertical="center"/>
    </xf>
    <xf numFmtId="187" fontId="7" fillId="0" borderId="1" xfId="3" applyNumberFormat="1" applyFont="1" applyFill="1" applyBorder="1" applyAlignment="1">
      <alignment horizontal="center" vertical="center"/>
    </xf>
  </cellXfs>
  <cellStyles count="94">
    <cellStyle name="_Multiple" xfId="5"/>
    <cellStyle name="Accent1 - 20%" xfId="6"/>
    <cellStyle name="Accent1 - 40%" xfId="7"/>
    <cellStyle name="Accent1 - 60%" xfId="8"/>
    <cellStyle name="Accent2 - 20%" xfId="9"/>
    <cellStyle name="Accent2 - 40%" xfId="10"/>
    <cellStyle name="Accent2 - 60%" xfId="11"/>
    <cellStyle name="Accent3 - 20%" xfId="12"/>
    <cellStyle name="Accent3 - 40%" xfId="13"/>
    <cellStyle name="Accent3 - 60%" xfId="14"/>
    <cellStyle name="Accent4 - 20%" xfId="15"/>
    <cellStyle name="Accent4 - 40%" xfId="16"/>
    <cellStyle name="Accent4 - 60%" xfId="17"/>
    <cellStyle name="Accent5 - 20%" xfId="18"/>
    <cellStyle name="Accent5 - 40%" xfId="19"/>
    <cellStyle name="Accent5 - 60%" xfId="20"/>
    <cellStyle name="Accent6 - 20%" xfId="21"/>
    <cellStyle name="Accent6 - 40%" xfId="22"/>
    <cellStyle name="Accent6 - 60%" xfId="23"/>
    <cellStyle name="calc" xfId="24"/>
    <cellStyle name="Comma" xfId="93" builtinId="3"/>
    <cellStyle name="Comma  - Style1" xfId="25"/>
    <cellStyle name="Comma  - Style2" xfId="26"/>
    <cellStyle name="Comma 10" xfId="27"/>
    <cellStyle name="Comma 11" xfId="28"/>
    <cellStyle name="Comma 12" xfId="29"/>
    <cellStyle name="Comma 13" xfId="30"/>
    <cellStyle name="Comma 14" xfId="31"/>
    <cellStyle name="Comma 2" xfId="32"/>
    <cellStyle name="Comma 2 2" xfId="33"/>
    <cellStyle name="Comma 2 3" xfId="34"/>
    <cellStyle name="Comma 3" xfId="35"/>
    <cellStyle name="Comma 3 2" xfId="36"/>
    <cellStyle name="Comma 4" xfId="37"/>
    <cellStyle name="Comma 4 2" xfId="38"/>
    <cellStyle name="Comma 5" xfId="39"/>
    <cellStyle name="Comma 6" xfId="40"/>
    <cellStyle name="Comma 7" xfId="41"/>
    <cellStyle name="Comma 8" xfId="42"/>
    <cellStyle name="Comma 9" xfId="43"/>
    <cellStyle name="Comma0" xfId="44"/>
    <cellStyle name="Curren - Style5" xfId="45"/>
    <cellStyle name="Curren - Style6" xfId="46"/>
    <cellStyle name="Curren - Style7" xfId="47"/>
    <cellStyle name="Curren - Style8" xfId="48"/>
    <cellStyle name="Currency 2" xfId="49"/>
    <cellStyle name="Currency 3" xfId="50"/>
    <cellStyle name="Currency0" xfId="51"/>
    <cellStyle name="Date" xfId="52"/>
    <cellStyle name="Emphasis 1" xfId="53"/>
    <cellStyle name="Emphasis 2" xfId="54"/>
    <cellStyle name="Emphasis 3" xfId="55"/>
    <cellStyle name="Euro" xfId="56"/>
    <cellStyle name="FeedData" xfId="57"/>
    <cellStyle name="Fixed" xfId="58"/>
    <cellStyle name="Header" xfId="59"/>
    <cellStyle name="Hyperlink 2" xfId="60"/>
    <cellStyle name="Hyperlink 2 2" xfId="61"/>
    <cellStyle name="Hyperlink 3" xfId="4"/>
    <cellStyle name="Hyperlink 4" xfId="62"/>
    <cellStyle name="Hyperlink 5" xfId="63"/>
    <cellStyle name="Hyperlink 6" xfId="64"/>
    <cellStyle name="Normal" xfId="0" builtinId="0"/>
    <cellStyle name="Normal 2" xfId="3"/>
    <cellStyle name="Normal 2 2" xfId="65"/>
    <cellStyle name="Normal 2 2 2" xfId="66"/>
    <cellStyle name="Normal 2 3" xfId="67"/>
    <cellStyle name="Normal 3" xfId="68"/>
    <cellStyle name="Normal 3 2" xfId="69"/>
    <cellStyle name="Normal 4" xfId="70"/>
    <cellStyle name="Normal 5" xfId="71"/>
    <cellStyle name="Normal 6" xfId="72"/>
    <cellStyle name="Normal 7" xfId="73"/>
    <cellStyle name="Normal 8" xfId="74"/>
    <cellStyle name="number" xfId="75"/>
    <cellStyle name="number 2" xfId="76"/>
    <cellStyle name="number(0)" xfId="77"/>
    <cellStyle name="number(2)" xfId="78"/>
    <cellStyle name="number_3 Stage_FCFF_Valuation_bb_v15" xfId="79"/>
    <cellStyle name="Outline Grey" xfId="80"/>
    <cellStyle name="Percent" xfId="1" builtinId="5"/>
    <cellStyle name="Percent 2" xfId="2"/>
    <cellStyle name="Percent 2 2" xfId="81"/>
    <cellStyle name="Percent 2 2 2" xfId="82"/>
    <cellStyle name="Percent 3" xfId="83"/>
    <cellStyle name="Percent 3 2" xfId="84"/>
    <cellStyle name="Percent 4" xfId="85"/>
    <cellStyle name="Percent 4 2" xfId="86"/>
    <cellStyle name="Percent(2)" xfId="87"/>
    <cellStyle name="RED" xfId="88"/>
    <cellStyle name="Sheet Title" xfId="89"/>
    <cellStyle name="Style 1" xfId="90"/>
    <cellStyle name="XX" xfId="91"/>
    <cellStyle name="표준 2" xfId="9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83021394604279"/>
          <c:y val="0.13522054104185413"/>
          <c:w val="0.71628782793330292"/>
          <c:h val="0.66981337771895177"/>
        </c:manualLayout>
      </c:layout>
      <c:lineChart>
        <c:grouping val="standard"/>
        <c:varyColors val="0"/>
        <c:ser>
          <c:idx val="0"/>
          <c:order val="0"/>
          <c:tx>
            <c:v>25th Percentile</c:v>
          </c:tx>
          <c:spPr>
            <a:ln w="28575">
              <a:noFill/>
            </a:ln>
          </c:spPr>
          <c:marker>
            <c:symbol val="none"/>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Yields'!$C$13:$M$13</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1"/>
          <c:order val="1"/>
          <c:tx>
            <c:v>Minimum</c:v>
          </c:tx>
          <c:spPr>
            <a:ln w="28575">
              <a:noFill/>
            </a:ln>
          </c:spPr>
          <c:marker>
            <c:symbol val="dash"/>
            <c:size val="8"/>
            <c:spPr>
              <a:solidFill>
                <a:srgbClr val="000000"/>
              </a:solidFill>
              <a:ln>
                <a:solidFill>
                  <a:srgbClr val="000000"/>
                </a:solidFill>
                <a:prstDash val="solid"/>
              </a:ln>
            </c:spPr>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Yields'!$C$12:$M$12</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2"/>
          <c:order val="2"/>
          <c:tx>
            <c:v>Mean</c:v>
          </c:tx>
          <c:spPr>
            <a:ln w="28575">
              <a:noFill/>
            </a:ln>
          </c:spPr>
          <c:marker>
            <c:symbol val="square"/>
            <c:size val="5"/>
            <c:spPr>
              <a:solidFill>
                <a:srgbClr val="3366FF"/>
              </a:solidFill>
              <a:ln>
                <a:solidFill>
                  <a:srgbClr val="3366FF"/>
                </a:solidFill>
                <a:prstDash val="solid"/>
              </a:ln>
            </c:spPr>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Yields'!$C$18:$M$18</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5"/>
          <c:order val="3"/>
          <c:tx>
            <c:v>50th Percentile</c:v>
          </c:tx>
          <c:spPr>
            <a:ln w="28575">
              <a:noFill/>
            </a:ln>
          </c:spPr>
          <c:marker>
            <c:symbol val="dash"/>
            <c:size val="8"/>
            <c:spPr>
              <a:solidFill>
                <a:srgbClr val="FF0000"/>
              </a:solidFill>
              <a:ln>
                <a:solidFill>
                  <a:srgbClr val="FF0000"/>
                </a:solidFill>
                <a:prstDash val="solid"/>
              </a:ln>
            </c:spPr>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Yields'!$C$14:$M$14</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3"/>
          <c:order val="4"/>
          <c:tx>
            <c:v>Maximum</c:v>
          </c:tx>
          <c:spPr>
            <a:ln w="28575">
              <a:noFill/>
            </a:ln>
          </c:spPr>
          <c:marker>
            <c:symbol val="dash"/>
            <c:size val="7"/>
            <c:spPr>
              <a:solidFill>
                <a:srgbClr val="000000"/>
              </a:solidFill>
              <a:ln>
                <a:solidFill>
                  <a:srgbClr val="000000"/>
                </a:solidFill>
                <a:prstDash val="solid"/>
              </a:ln>
            </c:spPr>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Yields'!$C$16:$M$16</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4"/>
          <c:order val="5"/>
          <c:tx>
            <c:v>75th Percentile</c:v>
          </c:tx>
          <c:spPr>
            <a:ln w="28575">
              <a:noFill/>
            </a:ln>
          </c:spPr>
          <c:marker>
            <c:symbol val="none"/>
          </c:marker>
          <c:cat>
            <c:strRef>
              <c:f>'US Historical Treasury Yields'!$C$11:$M$11</c:f>
              <c:strCache>
                <c:ptCount val="11"/>
                <c:pt idx="0">
                  <c:v>-</c:v>
                </c:pt>
                <c:pt idx="1">
                  <c:v>-</c:v>
                </c:pt>
                <c:pt idx="2">
                  <c:v>-</c:v>
                </c:pt>
                <c:pt idx="3">
                  <c:v>-</c:v>
                </c:pt>
                <c:pt idx="4">
                  <c:v>-</c:v>
                </c:pt>
                <c:pt idx="5">
                  <c:v>-</c:v>
                </c:pt>
                <c:pt idx="6">
                  <c:v>-</c:v>
                </c:pt>
                <c:pt idx="7">
                  <c:v>-</c:v>
                </c:pt>
                <c:pt idx="8">
                  <c:v>-</c:v>
                </c:pt>
                <c:pt idx="9">
                  <c:v>-</c:v>
                </c:pt>
                <c:pt idx="10">
                  <c:v>-</c:v>
                </c:pt>
              </c:strCache>
            </c:strRef>
          </c:cat>
          <c:val>
            <c:numRef>
              <c:f>'US Historical Treasury Yields'!$C$15:$M$15</c:f>
              <c:numCache>
                <c:formatCode>_(* #,##0.0000_);_(* \(#,##0.0000\);_(* "-"??_);_(@_)</c:formatCode>
                <c:ptCount val="11"/>
                <c:pt idx="0">
                  <c:v>0</c:v>
                </c:pt>
                <c:pt idx="1">
                  <c:v>0</c:v>
                </c:pt>
                <c:pt idx="2">
                  <c:v>0</c:v>
                </c:pt>
                <c:pt idx="3">
                  <c:v>0</c:v>
                </c:pt>
                <c:pt idx="4">
                  <c:v>0</c:v>
                </c:pt>
                <c:pt idx="5">
                  <c:v>0</c:v>
                </c:pt>
                <c:pt idx="6">
                  <c:v>0</c:v>
                </c:pt>
                <c:pt idx="7">
                  <c:v>0</c:v>
                </c:pt>
                <c:pt idx="8">
                  <c:v>0</c:v>
                </c:pt>
                <c:pt idx="9">
                  <c:v>0</c:v>
                </c:pt>
                <c:pt idx="10">
                  <c:v>0</c:v>
                </c:pt>
              </c:numCache>
            </c:numRef>
          </c:val>
          <c:smooth val="0"/>
        </c:ser>
        <c:dLbls>
          <c:showLegendKey val="0"/>
          <c:showVal val="0"/>
          <c:showCatName val="0"/>
          <c:showSerName val="0"/>
          <c:showPercent val="0"/>
          <c:showBubbleSize val="0"/>
        </c:dLbls>
        <c:hiLowLines>
          <c:spPr>
            <a:ln w="3175">
              <a:solidFill>
                <a:srgbClr val="000000"/>
              </a:solidFill>
              <a:prstDash val="solid"/>
            </a:ln>
          </c:spPr>
        </c:hiLowLines>
        <c:upDownBars>
          <c:gapWidth val="220"/>
          <c:upBars>
            <c:spPr>
              <a:solidFill>
                <a:srgbClr val="FFFFCC"/>
              </a:solidFill>
              <a:ln w="3175">
                <a:solidFill>
                  <a:srgbClr val="000000"/>
                </a:solidFill>
                <a:prstDash val="solid"/>
              </a:ln>
            </c:spPr>
          </c:upBars>
          <c:downBars>
            <c:spPr>
              <a:solidFill>
                <a:srgbClr val="000000"/>
              </a:solidFill>
              <a:ln w="3175">
                <a:solidFill>
                  <a:srgbClr val="000000"/>
                </a:solidFill>
                <a:prstDash val="solid"/>
              </a:ln>
            </c:spPr>
          </c:downBars>
        </c:upDownBars>
        <c:marker val="1"/>
        <c:smooth val="0"/>
        <c:axId val="46219264"/>
        <c:axId val="90934656"/>
      </c:lineChart>
      <c:catAx>
        <c:axId val="46219264"/>
        <c:scaling>
          <c:orientation val="minMax"/>
        </c:scaling>
        <c:delete val="0"/>
        <c:axPos val="b"/>
        <c:title>
          <c:tx>
            <c:rich>
              <a:bodyPr/>
              <a:lstStyle/>
              <a:p>
                <a:pPr>
                  <a:defRPr b="1"/>
                </a:pPr>
                <a:r>
                  <a:rPr lang="en-CA" b="1"/>
                  <a:t>Tenor/Spread</a:t>
                </a:r>
              </a:p>
            </c:rich>
          </c:tx>
          <c:layout/>
          <c:overlay val="0"/>
        </c:title>
        <c:numFmt formatCode="General" sourceLinked="1"/>
        <c:majorTickMark val="out"/>
        <c:minorTickMark val="none"/>
        <c:tickLblPos val="nextTo"/>
        <c:spPr>
          <a:ln w="3175">
            <a:solidFill>
              <a:srgbClr val="000000"/>
            </a:solidFill>
            <a:prstDash val="solid"/>
          </a:ln>
        </c:spPr>
        <c:txPr>
          <a:bodyPr rot="0" vert="horz"/>
          <a:lstStyle/>
          <a:p>
            <a:pPr>
              <a:defRPr sz="850" b="1" i="0" u="none" strike="noStrike" baseline="0">
                <a:solidFill>
                  <a:srgbClr val="000000"/>
                </a:solidFill>
                <a:latin typeface="Arial"/>
                <a:ea typeface="Arial"/>
                <a:cs typeface="Arial"/>
              </a:defRPr>
            </a:pPr>
            <a:endParaRPr lang="en-US"/>
          </a:p>
        </c:txPr>
        <c:crossAx val="90934656"/>
        <c:crosses val="autoZero"/>
        <c:auto val="1"/>
        <c:lblAlgn val="ctr"/>
        <c:lblOffset val="100"/>
        <c:tickMarkSkip val="1"/>
        <c:noMultiLvlLbl val="0"/>
      </c:catAx>
      <c:valAx>
        <c:axId val="90934656"/>
        <c:scaling>
          <c:orientation val="minMax"/>
        </c:scaling>
        <c:delete val="0"/>
        <c:axPos val="l"/>
        <c:majorGridlines>
          <c:spPr>
            <a:ln w="3175">
              <a:pattFill prst="pct50">
                <a:fgClr>
                  <a:srgbClr val="000000"/>
                </a:fgClr>
                <a:bgClr>
                  <a:srgbClr val="FFFFFF"/>
                </a:bgClr>
              </a:pattFill>
              <a:prstDash val="solid"/>
            </a:ln>
          </c:spPr>
        </c:majorGridlines>
        <c:title>
          <c:tx>
            <c:rich>
              <a:bodyPr rot="-5400000" vert="horz"/>
              <a:lstStyle/>
              <a:p>
                <a:pPr>
                  <a:defRPr b="1"/>
                </a:pPr>
                <a:r>
                  <a:rPr lang="en-CA" b="1"/>
                  <a:t>Rate</a:t>
                </a:r>
              </a:p>
            </c:rich>
          </c:tx>
          <c:layout/>
          <c:overlay val="0"/>
        </c:title>
        <c:numFmt formatCode="0.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46219264"/>
        <c:crosses val="autoZero"/>
        <c:crossBetween val="between"/>
        <c:majorUnit val="0.2"/>
      </c:valAx>
      <c:spPr>
        <a:noFill/>
        <a:ln w="3175">
          <a:noFill/>
          <a:prstDash val="solid"/>
        </a:ln>
      </c:spPr>
    </c:plotArea>
    <c:legend>
      <c:legendPos val="t"/>
      <c:layout>
        <c:manualLayout>
          <c:xMode val="edge"/>
          <c:yMode val="edge"/>
          <c:x val="0.26115826054442381"/>
          <c:y val="1.6930229457932735E-2"/>
          <c:w val="0.45276894083516928"/>
          <c:h val="3.9878466725544792E-2"/>
        </c:manualLayout>
      </c:layout>
      <c:overlay val="0"/>
      <c:spPr>
        <a:noFill/>
        <a:ln w="3175">
          <a:noFill/>
          <a:prstDash val="solid"/>
        </a:ln>
      </c:spPr>
      <c:txPr>
        <a:bodyPr/>
        <a:lstStyle/>
        <a:p>
          <a:pPr>
            <a:defRPr sz="735" b="1" i="0" u="none" strike="noStrike" baseline="0">
              <a:solidFill>
                <a:srgbClr val="000000"/>
              </a:solidFill>
              <a:latin typeface="Arial"/>
              <a:ea typeface="Arial"/>
              <a:cs typeface="Arial"/>
            </a:defRPr>
          </a:pPr>
          <a:endParaRPr lang="en-US"/>
        </a:p>
      </c:txPr>
    </c:legend>
    <c:plotVisOnly val="1"/>
    <c:dispBlanksAs val="gap"/>
    <c:showDLblsOverMax val="0"/>
  </c:chart>
  <c:spPr>
    <a:noFill/>
    <a:ln w="3175">
      <a:no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autoTitleDeleted val="0"/>
    <c:plotArea>
      <c:layout>
        <c:manualLayout>
          <c:layoutTarget val="inner"/>
          <c:xMode val="edge"/>
          <c:yMode val="edge"/>
          <c:x val="5.1660578659020719E-2"/>
          <c:y val="6.6098149838991954E-2"/>
          <c:w val="0.92989041586237364"/>
          <c:h val="0.83795396408786549"/>
        </c:manualLayout>
      </c:layout>
      <c:lineChart>
        <c:grouping val="standard"/>
        <c:varyColors val="0"/>
        <c:ser>
          <c:idx val="0"/>
          <c:order val="0"/>
          <c:tx>
            <c:v>TODAY</c:v>
          </c:tx>
          <c:marker>
            <c:symbol val="none"/>
          </c:marker>
          <c:cat>
            <c:strRef>
              <c:f>'US Treasury Yield Analysis'!$B$32:$B$91</c:f>
              <c:strCache>
                <c:ptCount val="60"/>
                <c:pt idx="0">
                  <c:v>0.5</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pt idx="28">
                  <c:v>-</c:v>
                </c:pt>
                <c:pt idx="29">
                  <c:v>-</c:v>
                </c:pt>
                <c:pt idx="30">
                  <c:v>-</c:v>
                </c:pt>
                <c:pt idx="31">
                  <c:v>-</c:v>
                </c:pt>
                <c:pt idx="32">
                  <c:v>-</c:v>
                </c:pt>
                <c:pt idx="33">
                  <c:v>-</c:v>
                </c:pt>
                <c:pt idx="34">
                  <c:v>-</c:v>
                </c:pt>
                <c:pt idx="35">
                  <c:v>-</c:v>
                </c:pt>
                <c:pt idx="36">
                  <c:v>-</c:v>
                </c:pt>
                <c:pt idx="37">
                  <c:v>-</c:v>
                </c:pt>
                <c:pt idx="38">
                  <c:v>-</c:v>
                </c:pt>
                <c:pt idx="39">
                  <c:v>-</c:v>
                </c:pt>
                <c:pt idx="40">
                  <c:v>-</c:v>
                </c:pt>
                <c:pt idx="41">
                  <c:v>-</c:v>
                </c:pt>
                <c:pt idx="42">
                  <c:v>-</c:v>
                </c:pt>
                <c:pt idx="43">
                  <c:v>-</c:v>
                </c:pt>
                <c:pt idx="44">
                  <c:v>-</c:v>
                </c:pt>
                <c:pt idx="45">
                  <c:v>-</c:v>
                </c:pt>
                <c:pt idx="46">
                  <c:v>-</c:v>
                </c:pt>
                <c:pt idx="47">
                  <c:v>-</c:v>
                </c:pt>
                <c:pt idx="48">
                  <c:v>-</c:v>
                </c:pt>
                <c:pt idx="49">
                  <c:v>-</c:v>
                </c:pt>
                <c:pt idx="50">
                  <c:v>-</c:v>
                </c:pt>
                <c:pt idx="51">
                  <c:v>-</c:v>
                </c:pt>
                <c:pt idx="52">
                  <c:v>-</c:v>
                </c:pt>
                <c:pt idx="53">
                  <c:v>-</c:v>
                </c:pt>
                <c:pt idx="54">
                  <c:v>-</c:v>
                </c:pt>
                <c:pt idx="55">
                  <c:v>-</c:v>
                </c:pt>
                <c:pt idx="56">
                  <c:v>-</c:v>
                </c:pt>
                <c:pt idx="57">
                  <c:v>-</c:v>
                </c:pt>
                <c:pt idx="58">
                  <c:v>-</c:v>
                </c:pt>
                <c:pt idx="59">
                  <c:v>-</c:v>
                </c:pt>
              </c:strCache>
            </c:strRef>
          </c:cat>
          <c:val>
            <c:numRef>
              <c:f>'US Treasury Yield Analysis'!$C$32:$C$91</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ser>
        <c:ser>
          <c:idx val="1"/>
          <c:order val="1"/>
          <c:tx>
            <c:v>LAST WEEK</c:v>
          </c:tx>
          <c:marker>
            <c:symbol val="none"/>
          </c:marker>
          <c:val>
            <c:numRef>
              <c:f>'US Treasury Yield Analysis'!$E$32:$E$91</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ser>
        <c:ser>
          <c:idx val="2"/>
          <c:order val="2"/>
          <c:tx>
            <c:v>LAST MONTH</c:v>
          </c:tx>
          <c:marker>
            <c:symbol val="none"/>
          </c:marker>
          <c:val>
            <c:numRef>
              <c:f>'US Treasury Yield Analysis'!$F$32:$F$91</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ser>
        <c:dLbls>
          <c:showLegendKey val="0"/>
          <c:showVal val="0"/>
          <c:showCatName val="0"/>
          <c:showSerName val="0"/>
          <c:showPercent val="0"/>
          <c:showBubbleSize val="0"/>
        </c:dLbls>
        <c:marker val="1"/>
        <c:smooth val="0"/>
        <c:axId val="157758976"/>
        <c:axId val="90932928"/>
      </c:lineChart>
      <c:catAx>
        <c:axId val="157758976"/>
        <c:scaling>
          <c:orientation val="minMax"/>
        </c:scaling>
        <c:delete val="0"/>
        <c:axPos val="b"/>
        <c:majorGridlines/>
        <c:numFmt formatCode="0.0" sourceLinked="1"/>
        <c:majorTickMark val="out"/>
        <c:minorTickMark val="none"/>
        <c:tickLblPos val="nextTo"/>
        <c:txPr>
          <a:bodyPr rot="0" vert="horz"/>
          <a:lstStyle/>
          <a:p>
            <a:pPr>
              <a:defRPr lang="en-US"/>
            </a:pPr>
            <a:endParaRPr lang="en-US"/>
          </a:p>
        </c:txPr>
        <c:crossAx val="90932928"/>
        <c:crosses val="autoZero"/>
        <c:auto val="1"/>
        <c:lblAlgn val="ctr"/>
        <c:lblOffset val="100"/>
        <c:tickLblSkip val="3"/>
        <c:tickMarkSkip val="3"/>
        <c:noMultiLvlLbl val="0"/>
      </c:catAx>
      <c:valAx>
        <c:axId val="90932928"/>
        <c:scaling>
          <c:orientation val="minMax"/>
        </c:scaling>
        <c:delete val="0"/>
        <c:axPos val="l"/>
        <c:majorGridlines/>
        <c:numFmt formatCode="0.00" sourceLinked="1"/>
        <c:majorTickMark val="out"/>
        <c:minorTickMark val="none"/>
        <c:tickLblPos val="nextTo"/>
        <c:txPr>
          <a:bodyPr rot="0" vert="horz"/>
          <a:lstStyle/>
          <a:p>
            <a:pPr>
              <a:defRPr lang="en-US"/>
            </a:pPr>
            <a:endParaRPr lang="en-US"/>
          </a:p>
        </c:txPr>
        <c:crossAx val="157758976"/>
        <c:crosses val="autoZero"/>
        <c:crossBetween val="between"/>
      </c:valAx>
    </c:plotArea>
    <c:legend>
      <c:legendPos val="r"/>
      <c:layout>
        <c:manualLayout>
          <c:xMode val="edge"/>
          <c:yMode val="edge"/>
          <c:x val="0.21894244769220139"/>
          <c:y val="1.9189765458422499E-2"/>
          <c:w val="0.65805735537670362"/>
          <c:h val="5.3304904051172913E-2"/>
        </c:manualLayout>
      </c:layout>
      <c:overlay val="0"/>
      <c:txPr>
        <a:bodyPr/>
        <a:lstStyle/>
        <a:p>
          <a:pPr>
            <a:defRPr lang="en-US"/>
          </a:pPr>
          <a:endParaRPr lang="en-US"/>
        </a:p>
      </c:txPr>
    </c:legend>
    <c:plotVisOnly val="1"/>
    <c:dispBlanksAs val="gap"/>
    <c:showDLblsOverMax val="0"/>
  </c:chart>
  <c:printSettings>
    <c:headerFooter alignWithMargins="0"/>
    <c:pageMargins b="1" l="0.75000000000001021" r="0.7500000000000102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4"/>
    </mc:Choice>
    <mc:Fallback>
      <c:style val="44"/>
    </mc:Fallback>
  </mc:AlternateContent>
  <c:chart>
    <c:autoTitleDeleted val="1"/>
    <c:plotArea>
      <c:layout>
        <c:manualLayout>
          <c:layoutTarget val="inner"/>
          <c:xMode val="edge"/>
          <c:yMode val="edge"/>
          <c:x val="9.7447795823665889E-2"/>
          <c:y val="6.5306122448979598E-2"/>
          <c:w val="0.83526682134570751"/>
          <c:h val="0.79183673469389049"/>
        </c:manualLayout>
      </c:layout>
      <c:lineChart>
        <c:grouping val="standard"/>
        <c:varyColors val="0"/>
        <c:ser>
          <c:idx val="0"/>
          <c:order val="0"/>
          <c:tx>
            <c:v>TODAY</c:v>
          </c:tx>
          <c:cat>
            <c:strRef>
              <c:f>'US Treasury Yield Analysis'!$B$9:$B$14</c:f>
              <c:strCache>
                <c:ptCount val="6"/>
                <c:pt idx="0">
                  <c:v>-</c:v>
                </c:pt>
                <c:pt idx="1">
                  <c:v>-</c:v>
                </c:pt>
                <c:pt idx="2">
                  <c:v>-</c:v>
                </c:pt>
                <c:pt idx="3">
                  <c:v>-</c:v>
                </c:pt>
                <c:pt idx="4">
                  <c:v>-</c:v>
                </c:pt>
                <c:pt idx="5">
                  <c:v>-</c:v>
                </c:pt>
              </c:strCache>
            </c:strRef>
          </c:cat>
          <c:val>
            <c:numRef>
              <c:f>'US Treasury Yield Analysis'!$C$9:$C$14</c:f>
              <c:numCache>
                <c:formatCode>0.00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57789696"/>
        <c:axId val="90931776"/>
      </c:lineChart>
      <c:catAx>
        <c:axId val="157789696"/>
        <c:scaling>
          <c:orientation val="minMax"/>
        </c:scaling>
        <c:delete val="0"/>
        <c:axPos val="b"/>
        <c:majorGridlines/>
        <c:numFmt formatCode="General" sourceLinked="1"/>
        <c:majorTickMark val="out"/>
        <c:minorTickMark val="none"/>
        <c:tickLblPos val="nextTo"/>
        <c:txPr>
          <a:bodyPr rot="0" vert="horz"/>
          <a:lstStyle/>
          <a:p>
            <a:pPr>
              <a:defRPr lang="en-US"/>
            </a:pPr>
            <a:endParaRPr lang="en-US"/>
          </a:p>
        </c:txPr>
        <c:crossAx val="90931776"/>
        <c:crosses val="autoZero"/>
        <c:auto val="1"/>
        <c:lblAlgn val="ctr"/>
        <c:lblOffset val="100"/>
        <c:tickLblSkip val="1"/>
        <c:tickMarkSkip val="1"/>
        <c:noMultiLvlLbl val="0"/>
      </c:catAx>
      <c:valAx>
        <c:axId val="90931776"/>
        <c:scaling>
          <c:orientation val="minMax"/>
        </c:scaling>
        <c:delete val="0"/>
        <c:axPos val="l"/>
        <c:majorGridlines/>
        <c:numFmt formatCode="0.00" sourceLinked="1"/>
        <c:majorTickMark val="out"/>
        <c:minorTickMark val="none"/>
        <c:tickLblPos val="nextTo"/>
        <c:txPr>
          <a:bodyPr rot="0" vert="horz"/>
          <a:lstStyle/>
          <a:p>
            <a:pPr>
              <a:defRPr lang="en-US"/>
            </a:pPr>
            <a:endParaRPr lang="en-US"/>
          </a:p>
        </c:txPr>
        <c:crossAx val="157789696"/>
        <c:crosses val="autoZero"/>
        <c:crossBetween val="midCat"/>
      </c:valAx>
    </c:plotArea>
    <c:legend>
      <c:legendPos val="r"/>
      <c:layout>
        <c:manualLayout>
          <c:xMode val="edge"/>
          <c:yMode val="edge"/>
          <c:x val="0.2807424593967518"/>
          <c:y val="2.0408163265306142E-2"/>
          <c:w val="0.41995359628770873"/>
          <c:h val="8.1632653061224497E-2"/>
        </c:manualLayout>
      </c:layout>
      <c:overlay val="0"/>
      <c:txPr>
        <a:bodyPr/>
        <a:lstStyle/>
        <a:p>
          <a:pPr>
            <a:defRPr lang="en-US"/>
          </a:pPr>
          <a:endParaRPr lang="en-US"/>
        </a:p>
      </c:txPr>
    </c:legend>
    <c:plotVisOnly val="1"/>
    <c:dispBlanksAs val="gap"/>
    <c:showDLblsOverMax val="0"/>
  </c:chart>
  <c:printSettings>
    <c:headerFooter alignWithMargins="0"/>
    <c:pageMargins b="1" l="0.75000000000001021" r="0.75000000000001021"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146537</xdr:colOff>
      <xdr:row>0</xdr:row>
      <xdr:rowOff>146538</xdr:rowOff>
    </xdr:from>
    <xdr:to>
      <xdr:col>21</xdr:col>
      <xdr:colOff>795494</xdr:colOff>
      <xdr:row>23</xdr:row>
      <xdr:rowOff>94204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31</xdr:row>
      <xdr:rowOff>0</xdr:rowOff>
    </xdr:from>
    <xdr:to>
      <xdr:col>6</xdr:col>
      <xdr:colOff>0</xdr:colOff>
      <xdr:row>45</xdr:row>
      <xdr:rowOff>0</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235323</xdr:colOff>
      <xdr:row>14</xdr:row>
      <xdr:rowOff>190499</xdr:rowOff>
    </xdr:from>
    <xdr:to>
      <xdr:col>11</xdr:col>
      <xdr:colOff>1042147</xdr:colOff>
      <xdr:row>28</xdr:row>
      <xdr:rowOff>44262</xdr:rowOff>
    </xdr:to>
    <xdr:graphicFrame macro="">
      <xdr:nvGraphicFramePr>
        <xdr:cNvPr id="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638175</xdr:colOff>
      <xdr:row>54</xdr:row>
      <xdr:rowOff>114300</xdr:rowOff>
    </xdr:from>
    <xdr:to>
      <xdr:col>35</xdr:col>
      <xdr:colOff>485775</xdr:colOff>
      <xdr:row>70</xdr:row>
      <xdr:rowOff>142875</xdr:rowOff>
    </xdr:to>
    <xdr:pic>
      <xdr:nvPicPr>
        <xdr:cNvPr id="4"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30470475" y="10801350"/>
          <a:ext cx="4038600" cy="3076575"/>
        </a:xfrm>
        <a:prstGeom prst="rect">
          <a:avLst/>
        </a:prstGeom>
        <a:noFill/>
        <a:ln w="1">
          <a:noFill/>
          <a:miter lim="800000"/>
          <a:headEnd/>
          <a:tailEnd/>
        </a:ln>
      </xdr:spPr>
    </xdr:pic>
    <xdr:clientData/>
  </xdr:twoCellAnchor>
  <xdr:twoCellAnchor>
    <xdr:from>
      <xdr:col>31</xdr:col>
      <xdr:colOff>647700</xdr:colOff>
      <xdr:row>73</xdr:row>
      <xdr:rowOff>28575</xdr:rowOff>
    </xdr:from>
    <xdr:to>
      <xdr:col>35</xdr:col>
      <xdr:colOff>495300</xdr:colOff>
      <xdr:row>89</xdr:row>
      <xdr:rowOff>57150</xdr:rowOff>
    </xdr:to>
    <xdr:pic>
      <xdr:nvPicPr>
        <xdr:cNvPr id="5" name="Picture 5"/>
        <xdr:cNvPicPr>
          <a:picLocks noChangeAspect="1" noChangeArrowheads="1"/>
        </xdr:cNvPicPr>
      </xdr:nvPicPr>
      <xdr:blipFill>
        <a:blip xmlns:r="http://schemas.openxmlformats.org/officeDocument/2006/relationships" r:embed="rId4" cstate="print"/>
        <a:srcRect/>
        <a:stretch>
          <a:fillRect/>
        </a:stretch>
      </xdr:blipFill>
      <xdr:spPr bwMode="auto">
        <a:xfrm>
          <a:off x="30480000" y="14335125"/>
          <a:ext cx="4038600" cy="3076575"/>
        </a:xfrm>
        <a:prstGeom prst="rect">
          <a:avLst/>
        </a:prstGeom>
        <a:noFill/>
        <a:ln w="1">
          <a:noFill/>
          <a:miter lim="800000"/>
          <a:headEnd/>
          <a:tailEnd/>
        </a:ln>
      </xdr:spPr>
    </xdr:pic>
    <xdr:clientData/>
  </xdr:twoCellAnchor>
  <xdr:twoCellAnchor>
    <xdr:from>
      <xdr:col>32</xdr:col>
      <xdr:colOff>19050</xdr:colOff>
      <xdr:row>91</xdr:row>
      <xdr:rowOff>19050</xdr:rowOff>
    </xdr:from>
    <xdr:to>
      <xdr:col>34</xdr:col>
      <xdr:colOff>866775</xdr:colOff>
      <xdr:row>103</xdr:row>
      <xdr:rowOff>85725</xdr:rowOff>
    </xdr:to>
    <xdr:pic>
      <xdr:nvPicPr>
        <xdr:cNvPr id="6" name="Picture 6"/>
        <xdr:cNvPicPr>
          <a:picLocks noChangeAspect="1" noChangeArrowheads="1"/>
        </xdr:cNvPicPr>
      </xdr:nvPicPr>
      <xdr:blipFill>
        <a:blip xmlns:r="http://schemas.openxmlformats.org/officeDocument/2006/relationships" r:embed="rId5" cstate="print"/>
        <a:srcRect/>
        <a:stretch>
          <a:fillRect/>
        </a:stretch>
      </xdr:blipFill>
      <xdr:spPr bwMode="auto">
        <a:xfrm>
          <a:off x="30899100" y="17754600"/>
          <a:ext cx="2943225" cy="235267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hared%20Folders/Desktop/XLS/2.%20GITHUB/BGCVI/ADD-IN/BGCVI.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YAHOO_HISTORICAL_DATA_MATRIX_FUNC"/>
      <definedName name="YAHOO_QUOTES_FUNC"/>
      <definedName name="YAHOO_US_BONDS_SNAPSHOT_FUNC"/>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cbot.com/cbot/pub/page/0,3181,1525,00.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pageSetUpPr fitToPage="1"/>
  </sheetPr>
  <dimension ref="B2:AD151"/>
  <sheetViews>
    <sheetView showGridLines="0" tabSelected="1" zoomScale="91" zoomScaleNormal="91" workbookViewId="0">
      <selection activeCell="C4" sqref="C4"/>
    </sheetView>
  </sheetViews>
  <sheetFormatPr defaultColWidth="15.625" defaultRowHeight="15" customHeight="1" outlineLevelRow="1"/>
  <cols>
    <col min="1" max="1" width="3.5" style="3" customWidth="1"/>
    <col min="2" max="2" width="15.625" style="19"/>
    <col min="3" max="6" width="15.625" style="3"/>
    <col min="7" max="7" width="15.625" style="14"/>
    <col min="8" max="16384" width="15.625" style="3"/>
  </cols>
  <sheetData>
    <row r="2" spans="2:30" ht="32.25">
      <c r="B2" s="88" t="s">
        <v>0</v>
      </c>
      <c r="C2" s="1"/>
      <c r="D2" s="1"/>
      <c r="E2" s="1"/>
      <c r="F2" s="1"/>
      <c r="G2" s="2"/>
      <c r="H2" s="1"/>
      <c r="I2" s="1"/>
      <c r="J2" s="1"/>
      <c r="K2" s="1"/>
      <c r="L2" s="1"/>
      <c r="M2" s="1"/>
      <c r="N2" s="1"/>
      <c r="O2" s="1"/>
      <c r="P2" s="1"/>
      <c r="Q2" s="1"/>
      <c r="R2" s="1"/>
      <c r="S2" s="1"/>
      <c r="T2" s="1"/>
      <c r="U2" s="1"/>
      <c r="V2" s="1"/>
      <c r="W2" s="1"/>
      <c r="X2" s="1"/>
      <c r="Y2" s="1"/>
      <c r="Z2" s="1"/>
      <c r="AA2" s="1"/>
      <c r="AB2" s="1"/>
      <c r="AC2" s="1"/>
      <c r="AD2" s="1"/>
    </row>
    <row r="3" spans="2:30" ht="15" customHeight="1">
      <c r="B3" s="4"/>
      <c r="C3" s="1"/>
      <c r="D3" s="1"/>
      <c r="E3" s="1"/>
      <c r="G3" s="2"/>
      <c r="H3" s="1"/>
      <c r="I3" s="1"/>
      <c r="J3" s="29"/>
      <c r="K3" s="1"/>
      <c r="L3" s="1"/>
      <c r="M3" s="1"/>
      <c r="N3" s="1"/>
      <c r="O3" s="1"/>
      <c r="P3" s="1"/>
      <c r="Q3" s="1"/>
      <c r="R3" s="1"/>
      <c r="S3" s="1"/>
      <c r="T3" s="1"/>
      <c r="U3" s="1"/>
      <c r="V3" s="1"/>
      <c r="W3" s="1"/>
      <c r="X3" s="1"/>
      <c r="Y3" s="1"/>
      <c r="Z3" s="1"/>
      <c r="AA3" s="1"/>
      <c r="AB3" s="1"/>
      <c r="AC3" s="1"/>
      <c r="AD3" s="1"/>
    </row>
    <row r="4" spans="2:30" ht="15" customHeight="1">
      <c r="B4" s="5" t="s">
        <v>1</v>
      </c>
      <c r="C4" s="6" t="b">
        <v>0</v>
      </c>
      <c r="D4" s="1"/>
      <c r="E4" s="1"/>
      <c r="G4" s="2"/>
      <c r="H4" s="1"/>
      <c r="I4" s="1"/>
      <c r="J4" s="29"/>
      <c r="K4" s="1"/>
      <c r="L4" s="1"/>
      <c r="M4" s="1"/>
      <c r="N4" s="1"/>
      <c r="O4" s="1"/>
      <c r="P4" s="1"/>
      <c r="Q4" s="1"/>
      <c r="R4" s="1"/>
      <c r="S4" s="1"/>
      <c r="T4" s="1"/>
      <c r="U4" s="1"/>
      <c r="V4" s="1"/>
      <c r="W4" s="1"/>
      <c r="X4" s="1"/>
      <c r="Y4" s="1"/>
      <c r="Z4" s="1"/>
      <c r="AA4" s="1"/>
      <c r="AB4" s="1"/>
      <c r="AC4" s="1"/>
      <c r="AD4" s="1"/>
    </row>
    <row r="5" spans="2:30" ht="15" customHeight="1">
      <c r="B5" s="4"/>
      <c r="C5" s="1"/>
      <c r="D5" s="1"/>
      <c r="E5" s="1"/>
      <c r="G5" s="2"/>
      <c r="H5" s="1"/>
      <c r="I5" s="1"/>
      <c r="J5" s="29"/>
      <c r="K5" s="1"/>
      <c r="L5" s="1"/>
      <c r="M5" s="1"/>
      <c r="N5" s="1"/>
      <c r="O5" s="1"/>
      <c r="P5" s="1"/>
      <c r="Q5" s="1"/>
      <c r="R5" s="1"/>
      <c r="S5" s="1"/>
      <c r="T5" s="1"/>
      <c r="U5" s="1"/>
      <c r="V5" s="1"/>
      <c r="W5" s="1"/>
      <c r="X5" s="1"/>
      <c r="Y5" s="1"/>
      <c r="Z5" s="1"/>
      <c r="AA5" s="1"/>
      <c r="AB5" s="1"/>
      <c r="AC5" s="1"/>
      <c r="AD5" s="1"/>
    </row>
    <row r="6" spans="2:30" ht="15" customHeight="1">
      <c r="B6" s="7" t="s">
        <v>2</v>
      </c>
      <c r="C6" s="90" t="str">
        <f ca="1">IF($C$4=FALSE,"-",TODAY())</f>
        <v>-</v>
      </c>
      <c r="E6" s="9" t="s">
        <v>3</v>
      </c>
      <c r="F6" s="9" t="s">
        <v>4</v>
      </c>
      <c r="G6" s="9" t="s">
        <v>5</v>
      </c>
      <c r="H6" s="1"/>
      <c r="I6" s="1"/>
      <c r="J6" s="29"/>
      <c r="K6" s="1"/>
      <c r="L6" s="1"/>
      <c r="M6" s="1"/>
      <c r="N6" s="1"/>
      <c r="O6" s="1"/>
      <c r="P6" s="1"/>
      <c r="Q6" s="1"/>
      <c r="R6" s="1"/>
      <c r="S6" s="1"/>
      <c r="T6" s="1"/>
      <c r="U6" s="1"/>
      <c r="V6" s="1"/>
      <c r="W6" s="1"/>
      <c r="X6" s="1"/>
      <c r="Y6" s="1"/>
      <c r="Z6" s="1"/>
      <c r="AA6" s="1"/>
      <c r="AB6" s="1"/>
      <c r="AC6" s="1"/>
      <c r="AD6" s="1"/>
    </row>
    <row r="7" spans="2:30" ht="15" customHeight="1">
      <c r="B7" s="10" t="s">
        <v>6</v>
      </c>
      <c r="C7" s="11">
        <v>182</v>
      </c>
      <c r="E7" s="12" t="str">
        <f>IF($C$4=FALSE,"-",DAY(C6))</f>
        <v>-</v>
      </c>
      <c r="F7" s="12" t="str">
        <f>IF($C$4=FALSE,"-",MONTH(C6))</f>
        <v>-</v>
      </c>
      <c r="G7" s="12" t="str">
        <f>IF($C$4=FALSE,"-",YEAR(C6))</f>
        <v>-</v>
      </c>
      <c r="J7" s="19"/>
    </row>
    <row r="8" spans="2:30" ht="15" customHeight="1">
      <c r="B8" s="7" t="s">
        <v>7</v>
      </c>
      <c r="C8" s="8" t="str">
        <f>IF($C$4=FALSE,"-",DATE(YEAR(C6),MONTH(C6),DAY(C6)-C7))</f>
        <v>-</v>
      </c>
      <c r="E8" s="13" t="str">
        <f>IF($C$4=FALSE,"-",DAY($C$6-$C$7))</f>
        <v>-</v>
      </c>
      <c r="F8" s="13" t="str">
        <f>IF($C$4=FALSE,"-",MONTH($C$6-$C$7))</f>
        <v>-</v>
      </c>
      <c r="G8" s="13" t="str">
        <f>IF($C$4=FALSE,"-",YEAR($C$6-$C$7))</f>
        <v>-</v>
      </c>
      <c r="J8" s="19"/>
    </row>
    <row r="9" spans="2:30" ht="15" customHeight="1">
      <c r="B9" s="7" t="s">
        <v>8</v>
      </c>
      <c r="C9" s="12" t="str">
        <f>IF($C$4=FALSE,"-",COUNT(B28:B151))</f>
        <v>-</v>
      </c>
      <c r="J9" s="19"/>
    </row>
    <row r="10" spans="2:30" ht="15" customHeight="1" thickBot="1">
      <c r="B10" s="3"/>
      <c r="J10" s="19"/>
    </row>
    <row r="11" spans="2:30" ht="15" customHeight="1" thickBot="1">
      <c r="B11" s="103"/>
      <c r="C11" s="107" t="str">
        <f>IF($C$4=FALSE,"-",C26)</f>
        <v>-</v>
      </c>
      <c r="D11" s="96" t="str">
        <f>IF($C$4=FALSE,"-",D26)</f>
        <v>-</v>
      </c>
      <c r="E11" s="107" t="str">
        <f>IF($C$4=FALSE,"-",F26)</f>
        <v>-</v>
      </c>
      <c r="F11" s="96" t="str">
        <f>IF($C$4=FALSE,"-",H26)</f>
        <v>-</v>
      </c>
      <c r="G11" s="107" t="str">
        <f>IF($C$4=FALSE,"-",I26)</f>
        <v>-</v>
      </c>
      <c r="H11" s="95" t="str">
        <f>IF($C$4=FALSE,"-",K26)</f>
        <v>-</v>
      </c>
      <c r="I11" s="96" t="str">
        <f>IF($C$4=FALSE,"-",L26)</f>
        <v>-</v>
      </c>
      <c r="J11" s="107" t="str">
        <f>IF($C$4=FALSE,"-",M26)</f>
        <v>-</v>
      </c>
      <c r="K11" s="95" t="str">
        <f>IF($C$4=FALSE,"-",O26)</f>
        <v>-</v>
      </c>
      <c r="L11" s="95" t="str">
        <f>IF($C$4=FALSE,"-",P26)</f>
        <v>-</v>
      </c>
      <c r="M11" s="96" t="str">
        <f>IF($C$4=FALSE,"-",Q26)</f>
        <v>-</v>
      </c>
    </row>
    <row r="12" spans="2:30" ht="15" customHeight="1">
      <c r="B12" s="134" t="s">
        <v>12</v>
      </c>
      <c r="C12" s="130" t="str">
        <f ca="1">IF($C$4=FALSE,"-",MIN(OFFSET(C$28,0,0,$C$9)))</f>
        <v>-</v>
      </c>
      <c r="D12" s="131" t="str">
        <f ca="1">IF($C$4=FALSE,"-",MIN(OFFSET(D$28,0,0,$C$9)))</f>
        <v>-</v>
      </c>
      <c r="E12" s="130" t="str">
        <f ca="1">IF($C$4=FALSE,"-",MIN(OFFSET(F$28,0,0,$C$9)))</f>
        <v>-</v>
      </c>
      <c r="F12" s="131" t="str">
        <f ca="1">IF($C$4=FALSE,"-",MIN(OFFSET(H$28,0,0,$C$9)))</f>
        <v>-</v>
      </c>
      <c r="G12" s="130" t="str">
        <f ca="1">IF($C$4=FALSE,"-",MIN(OFFSET(I$28,0,0,$C$9)))</f>
        <v>-</v>
      </c>
      <c r="H12" s="128" t="str">
        <f ca="1">IF($C$4=FALSE,"-",MIN(OFFSET(K$28,0,0,$C$9)))</f>
        <v>-</v>
      </c>
      <c r="I12" s="131" t="str">
        <f ca="1">IF($C$4=FALSE,"-",MIN(OFFSET(L$28,0,0,$C$9)))</f>
        <v>-</v>
      </c>
      <c r="J12" s="130" t="str">
        <f ca="1">IF($C$4=FALSE,"-",MIN(OFFSET(M$28,0,0,$C$9)))</f>
        <v>-</v>
      </c>
      <c r="K12" s="128" t="str">
        <f ca="1">IF($C$4=FALSE,"-",MIN(OFFSET(O$28,0,0,$C$9)))</f>
        <v>-</v>
      </c>
      <c r="L12" s="128" t="str">
        <f ca="1">IF($C$4=FALSE,"-",MIN(OFFSET(P$28,0,0,$C$9)))</f>
        <v>-</v>
      </c>
      <c r="M12" s="131" t="str">
        <f ca="1">IF($C$4=FALSE,"-",MIN(OFFSET(Q$28,0,0,$C$9)))</f>
        <v>-</v>
      </c>
    </row>
    <row r="13" spans="2:30" ht="15" customHeight="1">
      <c r="B13" s="105" t="s">
        <v>113</v>
      </c>
      <c r="C13" s="109" t="str">
        <f ca="1">IF($C$4=FALSE,"-",PERCENTILE(OFFSET(C$28,0,0,$C$9),0.25))</f>
        <v>-</v>
      </c>
      <c r="D13" s="102" t="str">
        <f ca="1">IF($C$4=FALSE,"-",PERCENTILE(OFFSET(D$28,0,0,$C$9),0.25))</f>
        <v>-</v>
      </c>
      <c r="E13" s="109" t="str">
        <f ca="1">IF($C$4=FALSE,"-",PERCENTILE(OFFSET(F$28,0,0,$C$9),0.25))</f>
        <v>-</v>
      </c>
      <c r="F13" s="102" t="str">
        <f ca="1">IF($C$4=FALSE,"-",PERCENTILE(OFFSET(H$28,0,0,$C$9),0.25))</f>
        <v>-</v>
      </c>
      <c r="G13" s="109" t="str">
        <f ca="1">IF($C$4=FALSE,"-",PERCENTILE(OFFSET(I$28,0,0,$C$9),0.25))</f>
        <v>-</v>
      </c>
      <c r="H13" s="99" t="str">
        <f ca="1">IF($C$4=FALSE,"-",PERCENTILE(OFFSET(K$28,0,0,$C$9),0.25))</f>
        <v>-</v>
      </c>
      <c r="I13" s="102" t="str">
        <f ca="1">IF($C$4=FALSE,"-",PERCENTILE(OFFSET(L$28,0,0,$C$9),0.25))</f>
        <v>-</v>
      </c>
      <c r="J13" s="109" t="str">
        <f ca="1">IF($C$4=FALSE,"-",PERCENTILE(OFFSET(M$28,0,0,$C$9),0.25))</f>
        <v>-</v>
      </c>
      <c r="K13" s="99" t="str">
        <f ca="1">IF($C$4=FALSE,"-",PERCENTILE(OFFSET(O$28,0,0,$C$9),0.25))</f>
        <v>-</v>
      </c>
      <c r="L13" s="99" t="str">
        <f ca="1">IF($C$4=FALSE,"-",PERCENTILE(OFFSET(P$28,0,0,$C$9),0.25))</f>
        <v>-</v>
      </c>
      <c r="M13" s="102" t="str">
        <f ca="1">IF($C$4=FALSE,"-",PERCENTILE(OFFSET(Q$28,0,0,$C$9),0.25))</f>
        <v>-</v>
      </c>
    </row>
    <row r="14" spans="2:30" ht="15" customHeight="1">
      <c r="B14" s="105" t="s">
        <v>114</v>
      </c>
      <c r="C14" s="109" t="str">
        <f ca="1">IF($C$4=FALSE,"-",PERCENTILE(OFFSET(C$28,0,0,$C$9),0.5))</f>
        <v>-</v>
      </c>
      <c r="D14" s="102" t="str">
        <f ca="1">IF($C$4=FALSE,"-",PERCENTILE(OFFSET(D$28,0,0,$C$9),0.5))</f>
        <v>-</v>
      </c>
      <c r="E14" s="109" t="str">
        <f ca="1">IF($C$4=FALSE,"-",PERCENTILE(OFFSET(F$28,0,0,$C$9),0.5))</f>
        <v>-</v>
      </c>
      <c r="F14" s="102" t="str">
        <f ca="1">IF($C$4=FALSE,"-",PERCENTILE(OFFSET(H$28,0,0,$C$9),0.5))</f>
        <v>-</v>
      </c>
      <c r="G14" s="109" t="str">
        <f ca="1">IF($C$4=FALSE,"-",PERCENTILE(OFFSET(I$28,0,0,$C$9),0.5))</f>
        <v>-</v>
      </c>
      <c r="H14" s="99" t="str">
        <f ca="1">IF($C$4=FALSE,"-",PERCENTILE(OFFSET(K$28,0,0,$C$9),0.5))</f>
        <v>-</v>
      </c>
      <c r="I14" s="102" t="str">
        <f ca="1">IF($C$4=FALSE,"-",PERCENTILE(OFFSET(L$28,0,0,$C$9),0.5))</f>
        <v>-</v>
      </c>
      <c r="J14" s="109" t="str">
        <f ca="1">IF($C$4=FALSE,"-",PERCENTILE(OFFSET(M$28,0,0,$C$9),0.5))</f>
        <v>-</v>
      </c>
      <c r="K14" s="99" t="str">
        <f ca="1">IF($C$4=FALSE,"-",PERCENTILE(OFFSET(O$28,0,0,$C$9),0.5))</f>
        <v>-</v>
      </c>
      <c r="L14" s="99" t="str">
        <f ca="1">IF($C$4=FALSE,"-",PERCENTILE(OFFSET(P$28,0,0,$C$9),0.5))</f>
        <v>-</v>
      </c>
      <c r="M14" s="102" t="str">
        <f ca="1">IF($C$4=FALSE,"-",PERCENTILE(OFFSET(Q$28,0,0,$C$9),0.5))</f>
        <v>-</v>
      </c>
    </row>
    <row r="15" spans="2:30" ht="15" customHeight="1">
      <c r="B15" s="105" t="s">
        <v>115</v>
      </c>
      <c r="C15" s="109" t="str">
        <f ca="1">IF($C$4=FALSE,"-",PERCENTILE(OFFSET(C$28,0,0,$C$9),0.75))</f>
        <v>-</v>
      </c>
      <c r="D15" s="102" t="str">
        <f ca="1">IF($C$4=FALSE,"-",PERCENTILE(OFFSET(D$28,0,0,$C$9),0.75))</f>
        <v>-</v>
      </c>
      <c r="E15" s="109" t="str">
        <f ca="1">IF($C$4=FALSE,"-",PERCENTILE(OFFSET(F$28,0,0,$C$9),0.75))</f>
        <v>-</v>
      </c>
      <c r="F15" s="102" t="str">
        <f ca="1">IF($C$4=FALSE,"-",PERCENTILE(OFFSET(H$28,0,0,$C$9),0.75))</f>
        <v>-</v>
      </c>
      <c r="G15" s="109" t="str">
        <f ca="1">IF($C$4=FALSE,"-",PERCENTILE(OFFSET(I$28,0,0,$C$9),0.75))</f>
        <v>-</v>
      </c>
      <c r="H15" s="99" t="str">
        <f ca="1">IF($C$4=FALSE,"-",PERCENTILE(OFFSET(K$28,0,0,$C$9),0.75))</f>
        <v>-</v>
      </c>
      <c r="I15" s="102" t="str">
        <f ca="1">IF($C$4=FALSE,"-",PERCENTILE(OFFSET(L$28,0,0,$C$9),0.75))</f>
        <v>-</v>
      </c>
      <c r="J15" s="109" t="str">
        <f ca="1">IF($C$4=FALSE,"-",PERCENTILE(OFFSET(M$28,0,0,$C$9),0.75))</f>
        <v>-</v>
      </c>
      <c r="K15" s="99" t="str">
        <f ca="1">IF($C$4=FALSE,"-",PERCENTILE(OFFSET(O$28,0,0,$C$9),0.75))</f>
        <v>-</v>
      </c>
      <c r="L15" s="99" t="str">
        <f ca="1">IF($C$4=FALSE,"-",PERCENTILE(OFFSET(P$28,0,0,$C$9),0.75))</f>
        <v>-</v>
      </c>
      <c r="M15" s="102" t="str">
        <f ca="1">IF($C$4=FALSE,"-",PERCENTILE(OFFSET(Q$28,0,0,$C$9),0.75))</f>
        <v>-</v>
      </c>
    </row>
    <row r="16" spans="2:30" ht="15" customHeight="1" thickBot="1">
      <c r="B16" s="135" t="s">
        <v>13</v>
      </c>
      <c r="C16" s="132" t="str">
        <f ca="1">IF($C$4=FALSE,"-",MAX(OFFSET(C$28,0,0,$C$9)))</f>
        <v>-</v>
      </c>
      <c r="D16" s="133" t="str">
        <f ca="1">IF($C$4=FALSE,"-",MAX(OFFSET(D$28,0,0,$C$9)))</f>
        <v>-</v>
      </c>
      <c r="E16" s="132" t="str">
        <f ca="1">IF($C$4=FALSE,"-",MAX(OFFSET(F$28,0,0,$C$9)))</f>
        <v>-</v>
      </c>
      <c r="F16" s="133" t="str">
        <f ca="1">IF($C$4=FALSE,"-",MAX(OFFSET(H$28,0,0,$C$9)))</f>
        <v>-</v>
      </c>
      <c r="G16" s="132" t="str">
        <f ca="1">IF($C$4=FALSE,"-",MAX(OFFSET(I$28,0,0,$C$9)))</f>
        <v>-</v>
      </c>
      <c r="H16" s="129" t="str">
        <f ca="1">IF($C$4=FALSE,"-",MAX(OFFSET(K$28,0,0,$C$9)))</f>
        <v>-</v>
      </c>
      <c r="I16" s="133" t="str">
        <f ca="1">IF($C$4=FALSE,"-",MAX(OFFSET(L$28,0,0,$C$9)))</f>
        <v>-</v>
      </c>
      <c r="J16" s="132" t="str">
        <f ca="1">IF($C$4=FALSE,"-",MAX(OFFSET(M$28,0,0,$C$9)))</f>
        <v>-</v>
      </c>
      <c r="K16" s="129" t="str">
        <f ca="1">IF($C$4=FALSE,"-",MAX(OFFSET(O$28,0,0,$C$9)))</f>
        <v>-</v>
      </c>
      <c r="L16" s="129" t="str">
        <f ca="1">IF($C$4=FALSE,"-",MAX(OFFSET(P$28,0,0,$C$9)))</f>
        <v>-</v>
      </c>
      <c r="M16" s="133" t="str">
        <f ca="1">IF($C$4=FALSE,"-",MAX(OFFSET(Q$28,0,0,$C$9)))</f>
        <v>-</v>
      </c>
      <c r="R16" s="18"/>
    </row>
    <row r="17" spans="2:18" ht="15" customHeight="1">
      <c r="B17" s="104" t="s">
        <v>14</v>
      </c>
      <c r="C17" s="108" t="str">
        <f t="shared" ref="C17:M17" si="0">IF($C$4=FALSE,"-",C16-C12)</f>
        <v>-</v>
      </c>
      <c r="D17" s="98" t="str">
        <f t="shared" si="0"/>
        <v>-</v>
      </c>
      <c r="E17" s="108" t="str">
        <f t="shared" si="0"/>
        <v>-</v>
      </c>
      <c r="F17" s="98" t="str">
        <f t="shared" si="0"/>
        <v>-</v>
      </c>
      <c r="G17" s="108" t="str">
        <f t="shared" si="0"/>
        <v>-</v>
      </c>
      <c r="H17" s="97" t="str">
        <f t="shared" si="0"/>
        <v>-</v>
      </c>
      <c r="I17" s="98" t="str">
        <f t="shared" si="0"/>
        <v>-</v>
      </c>
      <c r="J17" s="108" t="str">
        <f t="shared" si="0"/>
        <v>-</v>
      </c>
      <c r="K17" s="97" t="str">
        <f t="shared" si="0"/>
        <v>-</v>
      </c>
      <c r="L17" s="97" t="str">
        <f t="shared" si="0"/>
        <v>-</v>
      </c>
      <c r="M17" s="98" t="str">
        <f t="shared" si="0"/>
        <v>-</v>
      </c>
      <c r="R17" s="18"/>
    </row>
    <row r="18" spans="2:18" ht="15" customHeight="1">
      <c r="B18" s="105" t="s">
        <v>15</v>
      </c>
      <c r="C18" s="109" t="str">
        <f ca="1">IF($C$4=FALSE,"-",AVERAGE(OFFSET(C$28,0,0,$C$9)))</f>
        <v>-</v>
      </c>
      <c r="D18" s="102" t="str">
        <f ca="1">IF($C$4=FALSE,"-",AVERAGE(OFFSET(D$28,0,0,$C$9)))</f>
        <v>-</v>
      </c>
      <c r="E18" s="109" t="str">
        <f ca="1">IF($C$4=FALSE,"-",AVERAGE(OFFSET(F$28,0,0,$C$9)))</f>
        <v>-</v>
      </c>
      <c r="F18" s="102" t="str">
        <f ca="1">IF($C$4=FALSE,"-",AVERAGE(OFFSET(H$28,0,0,$C$9)))</f>
        <v>-</v>
      </c>
      <c r="G18" s="109" t="str">
        <f ca="1">IF($C$4=FALSE,"-",AVERAGE(OFFSET(I$28,0,0,$C$9)))</f>
        <v>-</v>
      </c>
      <c r="H18" s="99" t="str">
        <f ca="1">IF($C$4=FALSE,"-",AVERAGE(OFFSET(K$28,0,0,$C$9)))</f>
        <v>-</v>
      </c>
      <c r="I18" s="102" t="str">
        <f ca="1">IF($C$4=FALSE,"-",AVERAGE(OFFSET(L$28,0,0,$C$9)))</f>
        <v>-</v>
      </c>
      <c r="J18" s="109" t="str">
        <f ca="1">IF($C$4=FALSE,"-",AVERAGE(OFFSET(M$28,0,0,$C$9)))</f>
        <v>-</v>
      </c>
      <c r="K18" s="99" t="str">
        <f ca="1">IF($C$4=FALSE,"-",AVERAGE(OFFSET(O$28,0,0,$C$9)))</f>
        <v>-</v>
      </c>
      <c r="L18" s="99" t="str">
        <f ca="1">IF($C$4=FALSE,"-",AVERAGE(OFFSET(P$28,0,0,$C$9)))</f>
        <v>-</v>
      </c>
      <c r="M18" s="102" t="str">
        <f ca="1">IF($C$4=FALSE,"-",AVERAGE(OFFSET(Q$28,0,0,$C$9)))</f>
        <v>-</v>
      </c>
      <c r="R18" s="18"/>
    </row>
    <row r="19" spans="2:18" ht="15" customHeight="1" thickBot="1">
      <c r="B19" s="106" t="s">
        <v>16</v>
      </c>
      <c r="C19" s="110" t="str">
        <f ca="1">IF($C$4=FALSE,"-",STDEV(OFFSET(C$28,0,0,$C$9)))</f>
        <v>-</v>
      </c>
      <c r="D19" s="101" t="str">
        <f ca="1">IF($C$4=FALSE,"-",STDEV(OFFSET(D$28,0,0,$C$9)))</f>
        <v>-</v>
      </c>
      <c r="E19" s="110" t="str">
        <f ca="1">IF($C$4=FALSE,"-",STDEV(OFFSET(F$28,0,0,$C$9)))</f>
        <v>-</v>
      </c>
      <c r="F19" s="101" t="str">
        <f ca="1">IF($C$4=FALSE,"-",STDEV(OFFSET(H$28,0,0,$C$9)))</f>
        <v>-</v>
      </c>
      <c r="G19" s="110" t="str">
        <f ca="1">IF($C$4=FALSE,"-",STDEV(OFFSET(I$28,0,0,$C$9)))</f>
        <v>-</v>
      </c>
      <c r="H19" s="100" t="str">
        <f ca="1">IF($C$4=FALSE,"-",STDEV(OFFSET(K$28,0,0,$C$9)))</f>
        <v>-</v>
      </c>
      <c r="I19" s="101" t="str">
        <f ca="1">IF($C$4=FALSE,"-",STDEV(OFFSET(L$28,0,0,$C$9)))</f>
        <v>-</v>
      </c>
      <c r="J19" s="110" t="str">
        <f ca="1">IF($C$4=FALSE,"-",STDEV(OFFSET(M$28,0,0,$C$9)))</f>
        <v>-</v>
      </c>
      <c r="K19" s="100" t="str">
        <f ca="1">IF($C$4=FALSE,"-",STDEV(OFFSET(O$28,0,0,$C$9)))</f>
        <v>-</v>
      </c>
      <c r="L19" s="100" t="str">
        <f ca="1">IF($C$4=FALSE,"-",STDEV(OFFSET(P$28,0,0,$C$9)))</f>
        <v>-</v>
      </c>
      <c r="M19" s="101" t="str">
        <f ca="1">IF($C$4=FALSE,"-",STDEV(OFFSET(Q$28,0,0,$C$9)))</f>
        <v>-</v>
      </c>
      <c r="R19" s="18"/>
    </row>
    <row r="20" spans="2:18" ht="15" customHeight="1" thickBot="1">
      <c r="C20" s="20"/>
      <c r="D20" s="20"/>
      <c r="E20" s="20"/>
      <c r="F20" s="20"/>
      <c r="G20" s="21"/>
      <c r="R20" s="18"/>
    </row>
    <row r="21" spans="2:18" ht="15" customHeight="1">
      <c r="B21" s="22" t="s">
        <v>17</v>
      </c>
      <c r="C21" s="23" t="str">
        <f>IF($C$4=FALSE,"-",MIN($C$12,$D$12,$E$12,$G$12,$J$12))</f>
        <v>-</v>
      </c>
      <c r="D21" s="23" t="str">
        <f>IF($C$4=FALSE,"-",C21*0.95)</f>
        <v>-</v>
      </c>
      <c r="E21" s="24" t="str">
        <f>IF($C$4=FALSE,"-",FLOOR(D21,0.01))</f>
        <v>-</v>
      </c>
      <c r="F21" s="20"/>
      <c r="G21" s="21"/>
      <c r="R21" s="18"/>
    </row>
    <row r="22" spans="2:18" ht="15" customHeight="1" thickBot="1">
      <c r="B22" s="25" t="s">
        <v>18</v>
      </c>
      <c r="C22" s="26" t="str">
        <f>IF($C$4=FALSE,"-",MAX($C$12,$D$12,$E$12,$G$12,$J$12))</f>
        <v>-</v>
      </c>
      <c r="D22" s="26" t="str">
        <f>IF($C$4=FALSE,"-",C22*1.05)</f>
        <v>-</v>
      </c>
      <c r="E22" s="27" t="str">
        <f>IF($C$4=FALSE,"-",FLOOR(D22,0.01))</f>
        <v>-</v>
      </c>
      <c r="F22" s="20"/>
      <c r="G22" s="21"/>
      <c r="R22" s="18"/>
    </row>
    <row r="23" spans="2:18" ht="15" customHeight="1">
      <c r="B23" s="22" t="s">
        <v>17</v>
      </c>
      <c r="C23" s="23" t="str">
        <f>IF($C$4=FALSE,"-",MIN($F$12,$H$12,$I$12,$K$12,$L$12,$M$12))</f>
        <v>-</v>
      </c>
      <c r="D23" s="23" t="str">
        <f>IF($C$4=FALSE,"-",C23*0.98)</f>
        <v>-</v>
      </c>
      <c r="E23" s="24" t="str">
        <f>IF($C$4=FALSE,"-",FLOOR(D23,0.01))</f>
        <v>-</v>
      </c>
      <c r="F23" s="20"/>
      <c r="G23" s="21"/>
      <c r="R23" s="18"/>
    </row>
    <row r="24" spans="2:18" ht="15" customHeight="1" thickBot="1">
      <c r="B24" s="25" t="s">
        <v>18</v>
      </c>
      <c r="C24" s="26" t="str">
        <f>IF($C$4=FALSE,"-",MAX($F$12,$H$12,$I$12,$K$12,$L$12,$M$12))</f>
        <v>-</v>
      </c>
      <c r="D24" s="26" t="str">
        <f>IF($C$4=FALSE,"-",C24*1.02)</f>
        <v>-</v>
      </c>
      <c r="E24" s="27" t="str">
        <f>IF($C$4=FALSE,"-",FLOOR(D24,0.01))</f>
        <v>-</v>
      </c>
      <c r="F24" s="20"/>
      <c r="G24" s="21"/>
      <c r="R24" s="18"/>
    </row>
    <row r="25" spans="2:18" ht="15" customHeight="1" thickBot="1">
      <c r="C25" s="20"/>
      <c r="D25" s="20"/>
      <c r="E25" s="20"/>
      <c r="F25" s="20"/>
      <c r="G25" s="21"/>
      <c r="R25" s="18"/>
    </row>
    <row r="26" spans="2:18" ht="15" customHeight="1" thickBot="1">
      <c r="B26" s="123" t="s">
        <v>19</v>
      </c>
      <c r="C26" s="124" t="s">
        <v>9</v>
      </c>
      <c r="D26" s="125" t="s">
        <v>20</v>
      </c>
      <c r="E26" s="125" t="s">
        <v>112</v>
      </c>
      <c r="F26" s="124" t="s">
        <v>10</v>
      </c>
      <c r="G26" s="125" t="s">
        <v>112</v>
      </c>
      <c r="H26" s="126" t="str">
        <f>IF($C$4=FALSE,"-",$F$26&amp;"-"&amp;$D26)</f>
        <v>-</v>
      </c>
      <c r="I26" s="124" t="s">
        <v>11</v>
      </c>
      <c r="J26" s="125" t="s">
        <v>112</v>
      </c>
      <c r="K26" s="125" t="str">
        <f>IF($C$4=FALSE,"-",$I$26&amp;"-"&amp;$D26)</f>
        <v>-</v>
      </c>
      <c r="L26" s="126" t="str">
        <f>IF($C$4=FALSE,"-",$I$26&amp;"-"&amp;$F26)</f>
        <v>-</v>
      </c>
      <c r="M26" s="124" t="s">
        <v>116</v>
      </c>
      <c r="N26" s="125" t="s">
        <v>112</v>
      </c>
      <c r="O26" s="125" t="str">
        <f>IF($C$4=FALSE,"-",$M$26&amp;"-"&amp;$D26)</f>
        <v>-</v>
      </c>
      <c r="P26" s="125" t="str">
        <f>IF($C$4=FALSE,"-",$M$26&amp;"-"&amp;$F26)</f>
        <v>-</v>
      </c>
      <c r="Q26" s="127" t="str">
        <f>IF($C$4=FALSE,"-",M26&amp;"-"&amp;$I26)</f>
        <v>-</v>
      </c>
      <c r="R26" s="18"/>
    </row>
    <row r="27" spans="2:18" ht="15" customHeight="1" outlineLevel="1">
      <c r="B27" s="115"/>
      <c r="C27" s="116" t="s">
        <v>21</v>
      </c>
      <c r="D27" s="117"/>
      <c r="E27" s="118"/>
      <c r="F27" s="116" t="s">
        <v>22</v>
      </c>
      <c r="G27" s="119"/>
      <c r="H27" s="120"/>
      <c r="I27" s="116" t="s">
        <v>23</v>
      </c>
      <c r="J27" s="121"/>
      <c r="K27" s="122"/>
      <c r="L27" s="118"/>
      <c r="M27" s="116" t="s">
        <v>117</v>
      </c>
      <c r="N27" s="121"/>
      <c r="O27" s="122"/>
      <c r="P27" s="121"/>
      <c r="Q27" s="118"/>
    </row>
    <row r="28" spans="2:18" ht="14.25" customHeight="1">
      <c r="B28" s="111" t="str">
        <f t="array" ref="B28:C151">IF($C$4=FALSE,"-",[1]!YAHOO_HISTORICAL_DATA_MATRIX_FUNC(C$27,$G$8,$F$8,$E$8,$G$7,$F$7,$E$7,"d","dc",FALSE,FALSE,FALSE,0,0))</f>
        <v>-</v>
      </c>
      <c r="C28" s="109" t="str">
        <v>-</v>
      </c>
      <c r="D28" s="99" t="str">
        <f t="shared" ref="D28:D91" si="1">IF($C$4=FALSE,"-",IF(ISNUMBER(C28),100*(365*C28/100)/(360-91*C28/100),""))</f>
        <v>-</v>
      </c>
      <c r="E28" s="92" t="str">
        <f t="shared" ref="E28:E59" si="2">IF($C$4=FALSE,"-",IF(ISNUMBER(C29),C28/C29-1,""))</f>
        <v>-</v>
      </c>
      <c r="F28" s="109" t="str">
        <f t="array" ref="F28:F151">IF($C$4=FALSE,"-",[1]!YAHOO_HISTORICAL_DATA_MATRIX_FUNC(F$27,$G$8,$F$8,$E$8,$G$7,$F$7,$E$7,"d","c",FALSE,FALSE,FALSE,0,0))</f>
        <v>-</v>
      </c>
      <c r="G28" s="28" t="str">
        <f t="shared" ref="G28:G59" si="3">IF($C$4=FALSE,"-",IF(ISNUMBER(F29),F28/F29-1,""))</f>
        <v>-</v>
      </c>
      <c r="H28" s="102" t="str">
        <f>IF($C$4=FALSE,"-",IF(ISNUMBER($D28),F28-$D28,""))</f>
        <v>-</v>
      </c>
      <c r="I28" s="109" t="str">
        <f t="array" ref="I28:I151">IF($C$4=FALSE,"-",[1]!YAHOO_HISTORICAL_DATA_MATRIX_FUNC(I$27,$G$8,$F$8,$E$8,$G$7,$F$7,$E$7,"d","c",FALSE,FALSE,FALSE,0,0))</f>
        <v>-</v>
      </c>
      <c r="J28" s="28" t="str">
        <f t="shared" ref="J28:J59" si="4">IF($C$4=FALSE,"-",IF(ISNUMBER(I29),I28/I29-1,""))</f>
        <v>-</v>
      </c>
      <c r="K28" s="99" t="str">
        <f t="shared" ref="K28:K59" si="5">IF($C$4=FALSE,"-",IF(ISNUMBER($D28),I28-$D28,""))</f>
        <v>-</v>
      </c>
      <c r="L28" s="102" t="str">
        <f t="shared" ref="L28:L59" si="6">IF($C$4=FALSE,"-",IF(ISNUMBER($F28),I28-$F28,""))</f>
        <v>-</v>
      </c>
      <c r="M28" s="109" t="str">
        <f t="array" ref="M28:M151">IF($C$4=FALSE,"-",[1]!YAHOO_HISTORICAL_DATA_MATRIX_FUNC(M$27,$G$8,$F$8,$E$8,$G$7,$F$7,$E$7,"d","c",FALSE,FALSE,FALSE,0,0))</f>
        <v>-</v>
      </c>
      <c r="N28" s="28" t="str">
        <f t="shared" ref="N28:N59" si="7">IF($C$4=FALSE,"-",IF(ISNUMBER(M29),M28/M29-1,""))</f>
        <v>-</v>
      </c>
      <c r="O28" s="99" t="str">
        <f t="shared" ref="O28:O59" si="8">IF($C$4=FALSE,"-",IF(ISNUMBER($D28),M28-$D28,""))</f>
        <v>-</v>
      </c>
      <c r="P28" s="99" t="str">
        <f>IF($C$4=FALSE,"-",IF(ISNUMBER($F28),M28-$F28,""))</f>
        <v>-</v>
      </c>
      <c r="Q28" s="113" t="str">
        <f>IF($C$4=FALSE,"-",IF(ISNUMBER($I28),M28-$I28,""))</f>
        <v>-</v>
      </c>
    </row>
    <row r="29" spans="2:18" ht="15" customHeight="1">
      <c r="B29" s="111" t="str">
        <v>-</v>
      </c>
      <c r="C29" s="109" t="str">
        <v>-</v>
      </c>
      <c r="D29" s="99" t="str">
        <f t="shared" si="1"/>
        <v>-</v>
      </c>
      <c r="E29" s="92" t="str">
        <f t="shared" si="2"/>
        <v>-</v>
      </c>
      <c r="F29" s="109" t="str">
        <v>-</v>
      </c>
      <c r="G29" s="28" t="str">
        <f t="shared" si="3"/>
        <v>-</v>
      </c>
      <c r="H29" s="102" t="str">
        <f t="shared" ref="H29:H92" si="9">IF($C$4=FALSE,"-",IF(ISNUMBER($D29),F29-$D29,""))</f>
        <v>-</v>
      </c>
      <c r="I29" s="109" t="str">
        <v>-</v>
      </c>
      <c r="J29" s="28" t="str">
        <f t="shared" si="4"/>
        <v>-</v>
      </c>
      <c r="K29" s="99" t="str">
        <f t="shared" si="5"/>
        <v>-</v>
      </c>
      <c r="L29" s="102" t="str">
        <f t="shared" si="6"/>
        <v>-</v>
      </c>
      <c r="M29" s="109" t="str">
        <v>-</v>
      </c>
      <c r="N29" s="28" t="str">
        <f t="shared" si="7"/>
        <v>-</v>
      </c>
      <c r="O29" s="99" t="str">
        <f t="shared" si="8"/>
        <v>-</v>
      </c>
      <c r="P29" s="99" t="str">
        <f t="shared" ref="P29:P92" si="10">IF($C$4=FALSE,"-",IF(ISNUMBER($F29),M29-$F29,""))</f>
        <v>-</v>
      </c>
      <c r="Q29" s="113" t="str">
        <f t="shared" ref="Q29:Q92" si="11">IF($C$4=FALSE,"-",IF(ISNUMBER($I29),M29-$I29,""))</f>
        <v>-</v>
      </c>
      <c r="R29" s="18"/>
    </row>
    <row r="30" spans="2:18" ht="15" customHeight="1">
      <c r="B30" s="111" t="str">
        <v>-</v>
      </c>
      <c r="C30" s="109" t="str">
        <v>-</v>
      </c>
      <c r="D30" s="99" t="str">
        <f t="shared" si="1"/>
        <v>-</v>
      </c>
      <c r="E30" s="92" t="str">
        <f t="shared" si="2"/>
        <v>-</v>
      </c>
      <c r="F30" s="109" t="str">
        <v>-</v>
      </c>
      <c r="G30" s="28" t="str">
        <f t="shared" si="3"/>
        <v>-</v>
      </c>
      <c r="H30" s="102" t="str">
        <f t="shared" si="9"/>
        <v>-</v>
      </c>
      <c r="I30" s="109" t="str">
        <v>-</v>
      </c>
      <c r="J30" s="28" t="str">
        <f t="shared" si="4"/>
        <v>-</v>
      </c>
      <c r="K30" s="99" t="str">
        <f t="shared" si="5"/>
        <v>-</v>
      </c>
      <c r="L30" s="102" t="str">
        <f t="shared" si="6"/>
        <v>-</v>
      </c>
      <c r="M30" s="109" t="str">
        <v>-</v>
      </c>
      <c r="N30" s="28" t="str">
        <f t="shared" si="7"/>
        <v>-</v>
      </c>
      <c r="O30" s="99" t="str">
        <f t="shared" si="8"/>
        <v>-</v>
      </c>
      <c r="P30" s="99" t="str">
        <f t="shared" si="10"/>
        <v>-</v>
      </c>
      <c r="Q30" s="113" t="str">
        <f t="shared" si="11"/>
        <v>-</v>
      </c>
      <c r="R30" s="18"/>
    </row>
    <row r="31" spans="2:18" ht="15" customHeight="1">
      <c r="B31" s="111" t="str">
        <v>-</v>
      </c>
      <c r="C31" s="109" t="str">
        <v>-</v>
      </c>
      <c r="D31" s="99" t="str">
        <f t="shared" si="1"/>
        <v>-</v>
      </c>
      <c r="E31" s="92" t="str">
        <f t="shared" si="2"/>
        <v>-</v>
      </c>
      <c r="F31" s="109" t="str">
        <v>-</v>
      </c>
      <c r="G31" s="28" t="str">
        <f t="shared" si="3"/>
        <v>-</v>
      </c>
      <c r="H31" s="102" t="str">
        <f t="shared" si="9"/>
        <v>-</v>
      </c>
      <c r="I31" s="109" t="str">
        <v>-</v>
      </c>
      <c r="J31" s="28" t="str">
        <f t="shared" si="4"/>
        <v>-</v>
      </c>
      <c r="K31" s="99" t="str">
        <f t="shared" si="5"/>
        <v>-</v>
      </c>
      <c r="L31" s="102" t="str">
        <f t="shared" si="6"/>
        <v>-</v>
      </c>
      <c r="M31" s="109" t="str">
        <v>-</v>
      </c>
      <c r="N31" s="28" t="str">
        <f t="shared" si="7"/>
        <v>-</v>
      </c>
      <c r="O31" s="99" t="str">
        <f t="shared" si="8"/>
        <v>-</v>
      </c>
      <c r="P31" s="99" t="str">
        <f t="shared" si="10"/>
        <v>-</v>
      </c>
      <c r="Q31" s="113" t="str">
        <f t="shared" si="11"/>
        <v>-</v>
      </c>
      <c r="R31" s="18"/>
    </row>
    <row r="32" spans="2:18" ht="15" customHeight="1">
      <c r="B32" s="111" t="str">
        <v>-</v>
      </c>
      <c r="C32" s="109" t="str">
        <v>-</v>
      </c>
      <c r="D32" s="99" t="str">
        <f t="shared" si="1"/>
        <v>-</v>
      </c>
      <c r="E32" s="92" t="str">
        <f t="shared" si="2"/>
        <v>-</v>
      </c>
      <c r="F32" s="109" t="str">
        <v>-</v>
      </c>
      <c r="G32" s="28" t="str">
        <f t="shared" si="3"/>
        <v>-</v>
      </c>
      <c r="H32" s="102" t="str">
        <f t="shared" si="9"/>
        <v>-</v>
      </c>
      <c r="I32" s="109" t="str">
        <v>-</v>
      </c>
      <c r="J32" s="28" t="str">
        <f t="shared" si="4"/>
        <v>-</v>
      </c>
      <c r="K32" s="99" t="str">
        <f t="shared" si="5"/>
        <v>-</v>
      </c>
      <c r="L32" s="102" t="str">
        <f t="shared" si="6"/>
        <v>-</v>
      </c>
      <c r="M32" s="109" t="str">
        <v>-</v>
      </c>
      <c r="N32" s="28" t="str">
        <f t="shared" si="7"/>
        <v>-</v>
      </c>
      <c r="O32" s="99" t="str">
        <f t="shared" si="8"/>
        <v>-</v>
      </c>
      <c r="P32" s="99" t="str">
        <f t="shared" si="10"/>
        <v>-</v>
      </c>
      <c r="Q32" s="113" t="str">
        <f t="shared" si="11"/>
        <v>-</v>
      </c>
    </row>
    <row r="33" spans="2:17" ht="15" customHeight="1">
      <c r="B33" s="111" t="str">
        <v>-</v>
      </c>
      <c r="C33" s="109" t="str">
        <v>-</v>
      </c>
      <c r="D33" s="99" t="str">
        <f t="shared" si="1"/>
        <v>-</v>
      </c>
      <c r="E33" s="92" t="str">
        <f t="shared" si="2"/>
        <v>-</v>
      </c>
      <c r="F33" s="109" t="str">
        <v>-</v>
      </c>
      <c r="G33" s="28" t="str">
        <f t="shared" si="3"/>
        <v>-</v>
      </c>
      <c r="H33" s="102" t="str">
        <f t="shared" si="9"/>
        <v>-</v>
      </c>
      <c r="I33" s="109" t="str">
        <v>-</v>
      </c>
      <c r="J33" s="28" t="str">
        <f t="shared" si="4"/>
        <v>-</v>
      </c>
      <c r="K33" s="99" t="str">
        <f t="shared" si="5"/>
        <v>-</v>
      </c>
      <c r="L33" s="102" t="str">
        <f t="shared" si="6"/>
        <v>-</v>
      </c>
      <c r="M33" s="109" t="str">
        <v>-</v>
      </c>
      <c r="N33" s="28" t="str">
        <f t="shared" si="7"/>
        <v>-</v>
      </c>
      <c r="O33" s="99" t="str">
        <f t="shared" si="8"/>
        <v>-</v>
      </c>
      <c r="P33" s="99" t="str">
        <f t="shared" si="10"/>
        <v>-</v>
      </c>
      <c r="Q33" s="113" t="str">
        <f t="shared" si="11"/>
        <v>-</v>
      </c>
    </row>
    <row r="34" spans="2:17" ht="15" customHeight="1">
      <c r="B34" s="111" t="str">
        <v>-</v>
      </c>
      <c r="C34" s="109" t="str">
        <v>-</v>
      </c>
      <c r="D34" s="99" t="str">
        <f t="shared" si="1"/>
        <v>-</v>
      </c>
      <c r="E34" s="92" t="str">
        <f t="shared" si="2"/>
        <v>-</v>
      </c>
      <c r="F34" s="109" t="str">
        <v>-</v>
      </c>
      <c r="G34" s="28" t="str">
        <f t="shared" si="3"/>
        <v>-</v>
      </c>
      <c r="H34" s="102" t="str">
        <f t="shared" si="9"/>
        <v>-</v>
      </c>
      <c r="I34" s="109" t="str">
        <v>-</v>
      </c>
      <c r="J34" s="28" t="str">
        <f t="shared" si="4"/>
        <v>-</v>
      </c>
      <c r="K34" s="99" t="str">
        <f t="shared" si="5"/>
        <v>-</v>
      </c>
      <c r="L34" s="102" t="str">
        <f t="shared" si="6"/>
        <v>-</v>
      </c>
      <c r="M34" s="109" t="str">
        <v>-</v>
      </c>
      <c r="N34" s="28" t="str">
        <f t="shared" si="7"/>
        <v>-</v>
      </c>
      <c r="O34" s="99" t="str">
        <f t="shared" si="8"/>
        <v>-</v>
      </c>
      <c r="P34" s="99" t="str">
        <f t="shared" si="10"/>
        <v>-</v>
      </c>
      <c r="Q34" s="113" t="str">
        <f t="shared" si="11"/>
        <v>-</v>
      </c>
    </row>
    <row r="35" spans="2:17" ht="15" customHeight="1">
      <c r="B35" s="111" t="str">
        <v>-</v>
      </c>
      <c r="C35" s="109" t="str">
        <v>-</v>
      </c>
      <c r="D35" s="99" t="str">
        <f t="shared" si="1"/>
        <v>-</v>
      </c>
      <c r="E35" s="92" t="str">
        <f t="shared" si="2"/>
        <v>-</v>
      </c>
      <c r="F35" s="109" t="str">
        <v>-</v>
      </c>
      <c r="G35" s="28" t="str">
        <f t="shared" si="3"/>
        <v>-</v>
      </c>
      <c r="H35" s="102" t="str">
        <f t="shared" si="9"/>
        <v>-</v>
      </c>
      <c r="I35" s="109" t="str">
        <v>-</v>
      </c>
      <c r="J35" s="28" t="str">
        <f t="shared" si="4"/>
        <v>-</v>
      </c>
      <c r="K35" s="99" t="str">
        <f t="shared" si="5"/>
        <v>-</v>
      </c>
      <c r="L35" s="102" t="str">
        <f t="shared" si="6"/>
        <v>-</v>
      </c>
      <c r="M35" s="109" t="str">
        <v>-</v>
      </c>
      <c r="N35" s="28" t="str">
        <f t="shared" si="7"/>
        <v>-</v>
      </c>
      <c r="O35" s="99" t="str">
        <f t="shared" si="8"/>
        <v>-</v>
      </c>
      <c r="P35" s="99" t="str">
        <f t="shared" si="10"/>
        <v>-</v>
      </c>
      <c r="Q35" s="113" t="str">
        <f t="shared" si="11"/>
        <v>-</v>
      </c>
    </row>
    <row r="36" spans="2:17" ht="15" customHeight="1">
      <c r="B36" s="111" t="str">
        <v>-</v>
      </c>
      <c r="C36" s="109" t="str">
        <v>-</v>
      </c>
      <c r="D36" s="99" t="str">
        <f t="shared" si="1"/>
        <v>-</v>
      </c>
      <c r="E36" s="92" t="str">
        <f t="shared" si="2"/>
        <v>-</v>
      </c>
      <c r="F36" s="109" t="str">
        <v>-</v>
      </c>
      <c r="G36" s="28" t="str">
        <f t="shared" si="3"/>
        <v>-</v>
      </c>
      <c r="H36" s="102" t="str">
        <f t="shared" si="9"/>
        <v>-</v>
      </c>
      <c r="I36" s="109" t="str">
        <v>-</v>
      </c>
      <c r="J36" s="28" t="str">
        <f t="shared" si="4"/>
        <v>-</v>
      </c>
      <c r="K36" s="99" t="str">
        <f t="shared" si="5"/>
        <v>-</v>
      </c>
      <c r="L36" s="102" t="str">
        <f t="shared" si="6"/>
        <v>-</v>
      </c>
      <c r="M36" s="109" t="str">
        <v>-</v>
      </c>
      <c r="N36" s="28" t="str">
        <f t="shared" si="7"/>
        <v>-</v>
      </c>
      <c r="O36" s="99" t="str">
        <f t="shared" si="8"/>
        <v>-</v>
      </c>
      <c r="P36" s="99" t="str">
        <f t="shared" si="10"/>
        <v>-</v>
      </c>
      <c r="Q36" s="113" t="str">
        <f t="shared" si="11"/>
        <v>-</v>
      </c>
    </row>
    <row r="37" spans="2:17" ht="15" customHeight="1">
      <c r="B37" s="111" t="str">
        <v>-</v>
      </c>
      <c r="C37" s="109" t="str">
        <v>-</v>
      </c>
      <c r="D37" s="99" t="str">
        <f t="shared" si="1"/>
        <v>-</v>
      </c>
      <c r="E37" s="92" t="str">
        <f t="shared" si="2"/>
        <v>-</v>
      </c>
      <c r="F37" s="109" t="str">
        <v>-</v>
      </c>
      <c r="G37" s="28" t="str">
        <f t="shared" si="3"/>
        <v>-</v>
      </c>
      <c r="H37" s="102" t="str">
        <f t="shared" si="9"/>
        <v>-</v>
      </c>
      <c r="I37" s="109" t="str">
        <v>-</v>
      </c>
      <c r="J37" s="28" t="str">
        <f t="shared" si="4"/>
        <v>-</v>
      </c>
      <c r="K37" s="99" t="str">
        <f t="shared" si="5"/>
        <v>-</v>
      </c>
      <c r="L37" s="102" t="str">
        <f t="shared" si="6"/>
        <v>-</v>
      </c>
      <c r="M37" s="109" t="str">
        <v>-</v>
      </c>
      <c r="N37" s="28" t="str">
        <f t="shared" si="7"/>
        <v>-</v>
      </c>
      <c r="O37" s="99" t="str">
        <f t="shared" si="8"/>
        <v>-</v>
      </c>
      <c r="P37" s="99" t="str">
        <f t="shared" si="10"/>
        <v>-</v>
      </c>
      <c r="Q37" s="113" t="str">
        <f t="shared" si="11"/>
        <v>-</v>
      </c>
    </row>
    <row r="38" spans="2:17" ht="15" customHeight="1">
      <c r="B38" s="111" t="str">
        <v>-</v>
      </c>
      <c r="C38" s="109" t="str">
        <v>-</v>
      </c>
      <c r="D38" s="99" t="str">
        <f t="shared" si="1"/>
        <v>-</v>
      </c>
      <c r="E38" s="92" t="str">
        <f t="shared" si="2"/>
        <v>-</v>
      </c>
      <c r="F38" s="109" t="str">
        <v>-</v>
      </c>
      <c r="G38" s="28" t="str">
        <f t="shared" si="3"/>
        <v>-</v>
      </c>
      <c r="H38" s="102" t="str">
        <f t="shared" si="9"/>
        <v>-</v>
      </c>
      <c r="I38" s="109" t="str">
        <v>-</v>
      </c>
      <c r="J38" s="28" t="str">
        <f t="shared" si="4"/>
        <v>-</v>
      </c>
      <c r="K38" s="99" t="str">
        <f t="shared" si="5"/>
        <v>-</v>
      </c>
      <c r="L38" s="102" t="str">
        <f t="shared" si="6"/>
        <v>-</v>
      </c>
      <c r="M38" s="109" t="str">
        <v>-</v>
      </c>
      <c r="N38" s="28" t="str">
        <f t="shared" si="7"/>
        <v>-</v>
      </c>
      <c r="O38" s="99" t="str">
        <f t="shared" si="8"/>
        <v>-</v>
      </c>
      <c r="P38" s="99" t="str">
        <f t="shared" si="10"/>
        <v>-</v>
      </c>
      <c r="Q38" s="113" t="str">
        <f t="shared" si="11"/>
        <v>-</v>
      </c>
    </row>
    <row r="39" spans="2:17" ht="15" customHeight="1">
      <c r="B39" s="111" t="str">
        <v>-</v>
      </c>
      <c r="C39" s="109" t="str">
        <v>-</v>
      </c>
      <c r="D39" s="99" t="str">
        <f t="shared" si="1"/>
        <v>-</v>
      </c>
      <c r="E39" s="92" t="str">
        <f t="shared" si="2"/>
        <v>-</v>
      </c>
      <c r="F39" s="109" t="str">
        <v>-</v>
      </c>
      <c r="G39" s="28" t="str">
        <f t="shared" si="3"/>
        <v>-</v>
      </c>
      <c r="H39" s="102" t="str">
        <f t="shared" si="9"/>
        <v>-</v>
      </c>
      <c r="I39" s="109" t="str">
        <v>-</v>
      </c>
      <c r="J39" s="28" t="str">
        <f t="shared" si="4"/>
        <v>-</v>
      </c>
      <c r="K39" s="99" t="str">
        <f t="shared" si="5"/>
        <v>-</v>
      </c>
      <c r="L39" s="102" t="str">
        <f t="shared" si="6"/>
        <v>-</v>
      </c>
      <c r="M39" s="109" t="str">
        <v>-</v>
      </c>
      <c r="N39" s="28" t="str">
        <f t="shared" si="7"/>
        <v>-</v>
      </c>
      <c r="O39" s="99" t="str">
        <f t="shared" si="8"/>
        <v>-</v>
      </c>
      <c r="P39" s="99" t="str">
        <f t="shared" si="10"/>
        <v>-</v>
      </c>
      <c r="Q39" s="113" t="str">
        <f t="shared" si="11"/>
        <v>-</v>
      </c>
    </row>
    <row r="40" spans="2:17" ht="15" customHeight="1">
      <c r="B40" s="111" t="str">
        <v>-</v>
      </c>
      <c r="C40" s="109" t="str">
        <v>-</v>
      </c>
      <c r="D40" s="99" t="str">
        <f t="shared" si="1"/>
        <v>-</v>
      </c>
      <c r="E40" s="92" t="str">
        <f t="shared" si="2"/>
        <v>-</v>
      </c>
      <c r="F40" s="109" t="str">
        <v>-</v>
      </c>
      <c r="G40" s="28" t="str">
        <f t="shared" si="3"/>
        <v>-</v>
      </c>
      <c r="H40" s="102" t="str">
        <f t="shared" si="9"/>
        <v>-</v>
      </c>
      <c r="I40" s="109" t="str">
        <v>-</v>
      </c>
      <c r="J40" s="28" t="str">
        <f t="shared" si="4"/>
        <v>-</v>
      </c>
      <c r="K40" s="99" t="str">
        <f t="shared" si="5"/>
        <v>-</v>
      </c>
      <c r="L40" s="102" t="str">
        <f t="shared" si="6"/>
        <v>-</v>
      </c>
      <c r="M40" s="109" t="str">
        <v>-</v>
      </c>
      <c r="N40" s="28" t="str">
        <f t="shared" si="7"/>
        <v>-</v>
      </c>
      <c r="O40" s="99" t="str">
        <f t="shared" si="8"/>
        <v>-</v>
      </c>
      <c r="P40" s="99" t="str">
        <f t="shared" si="10"/>
        <v>-</v>
      </c>
      <c r="Q40" s="113" t="str">
        <f t="shared" si="11"/>
        <v>-</v>
      </c>
    </row>
    <row r="41" spans="2:17" ht="15" customHeight="1">
      <c r="B41" s="111" t="str">
        <v>-</v>
      </c>
      <c r="C41" s="109" t="str">
        <v>-</v>
      </c>
      <c r="D41" s="99" t="str">
        <f t="shared" si="1"/>
        <v>-</v>
      </c>
      <c r="E41" s="92" t="str">
        <f t="shared" si="2"/>
        <v>-</v>
      </c>
      <c r="F41" s="109" t="str">
        <v>-</v>
      </c>
      <c r="G41" s="28" t="str">
        <f t="shared" si="3"/>
        <v>-</v>
      </c>
      <c r="H41" s="102" t="str">
        <f t="shared" si="9"/>
        <v>-</v>
      </c>
      <c r="I41" s="109" t="str">
        <v>-</v>
      </c>
      <c r="J41" s="28" t="str">
        <f t="shared" si="4"/>
        <v>-</v>
      </c>
      <c r="K41" s="99" t="str">
        <f t="shared" si="5"/>
        <v>-</v>
      </c>
      <c r="L41" s="102" t="str">
        <f t="shared" si="6"/>
        <v>-</v>
      </c>
      <c r="M41" s="109" t="str">
        <v>-</v>
      </c>
      <c r="N41" s="28" t="str">
        <f t="shared" si="7"/>
        <v>-</v>
      </c>
      <c r="O41" s="99" t="str">
        <f t="shared" si="8"/>
        <v>-</v>
      </c>
      <c r="P41" s="99" t="str">
        <f t="shared" si="10"/>
        <v>-</v>
      </c>
      <c r="Q41" s="113" t="str">
        <f t="shared" si="11"/>
        <v>-</v>
      </c>
    </row>
    <row r="42" spans="2:17" ht="15" customHeight="1">
      <c r="B42" s="111" t="str">
        <v>-</v>
      </c>
      <c r="C42" s="109" t="str">
        <v>-</v>
      </c>
      <c r="D42" s="99" t="str">
        <f t="shared" si="1"/>
        <v>-</v>
      </c>
      <c r="E42" s="92" t="str">
        <f t="shared" si="2"/>
        <v>-</v>
      </c>
      <c r="F42" s="109" t="str">
        <v>-</v>
      </c>
      <c r="G42" s="28" t="str">
        <f t="shared" si="3"/>
        <v>-</v>
      </c>
      <c r="H42" s="102" t="str">
        <f t="shared" si="9"/>
        <v>-</v>
      </c>
      <c r="I42" s="109" t="str">
        <v>-</v>
      </c>
      <c r="J42" s="28" t="str">
        <f t="shared" si="4"/>
        <v>-</v>
      </c>
      <c r="K42" s="99" t="str">
        <f t="shared" si="5"/>
        <v>-</v>
      </c>
      <c r="L42" s="102" t="str">
        <f t="shared" si="6"/>
        <v>-</v>
      </c>
      <c r="M42" s="109" t="str">
        <v>-</v>
      </c>
      <c r="N42" s="28" t="str">
        <f t="shared" si="7"/>
        <v>-</v>
      </c>
      <c r="O42" s="99" t="str">
        <f t="shared" si="8"/>
        <v>-</v>
      </c>
      <c r="P42" s="99" t="str">
        <f t="shared" si="10"/>
        <v>-</v>
      </c>
      <c r="Q42" s="113" t="str">
        <f t="shared" si="11"/>
        <v>-</v>
      </c>
    </row>
    <row r="43" spans="2:17" ht="15" customHeight="1">
      <c r="B43" s="111" t="str">
        <v>-</v>
      </c>
      <c r="C43" s="109" t="str">
        <v>-</v>
      </c>
      <c r="D43" s="99" t="str">
        <f t="shared" si="1"/>
        <v>-</v>
      </c>
      <c r="E43" s="92" t="str">
        <f t="shared" si="2"/>
        <v>-</v>
      </c>
      <c r="F43" s="109" t="str">
        <v>-</v>
      </c>
      <c r="G43" s="28" t="str">
        <f t="shared" si="3"/>
        <v>-</v>
      </c>
      <c r="H43" s="102" t="str">
        <f t="shared" si="9"/>
        <v>-</v>
      </c>
      <c r="I43" s="109" t="str">
        <v>-</v>
      </c>
      <c r="J43" s="28" t="str">
        <f t="shared" si="4"/>
        <v>-</v>
      </c>
      <c r="K43" s="99" t="str">
        <f t="shared" si="5"/>
        <v>-</v>
      </c>
      <c r="L43" s="102" t="str">
        <f t="shared" si="6"/>
        <v>-</v>
      </c>
      <c r="M43" s="109" t="str">
        <v>-</v>
      </c>
      <c r="N43" s="28" t="str">
        <f t="shared" si="7"/>
        <v>-</v>
      </c>
      <c r="O43" s="99" t="str">
        <f t="shared" si="8"/>
        <v>-</v>
      </c>
      <c r="P43" s="99" t="str">
        <f t="shared" si="10"/>
        <v>-</v>
      </c>
      <c r="Q43" s="113" t="str">
        <f t="shared" si="11"/>
        <v>-</v>
      </c>
    </row>
    <row r="44" spans="2:17" ht="15" customHeight="1">
      <c r="B44" s="111" t="str">
        <v>-</v>
      </c>
      <c r="C44" s="109" t="str">
        <v>-</v>
      </c>
      <c r="D44" s="99" t="str">
        <f t="shared" si="1"/>
        <v>-</v>
      </c>
      <c r="E44" s="92" t="str">
        <f t="shared" si="2"/>
        <v>-</v>
      </c>
      <c r="F44" s="109" t="str">
        <v>-</v>
      </c>
      <c r="G44" s="28" t="str">
        <f t="shared" si="3"/>
        <v>-</v>
      </c>
      <c r="H44" s="102" t="str">
        <f t="shared" si="9"/>
        <v>-</v>
      </c>
      <c r="I44" s="109" t="str">
        <v>-</v>
      </c>
      <c r="J44" s="28" t="str">
        <f t="shared" si="4"/>
        <v>-</v>
      </c>
      <c r="K44" s="99" t="str">
        <f t="shared" si="5"/>
        <v>-</v>
      </c>
      <c r="L44" s="102" t="str">
        <f t="shared" si="6"/>
        <v>-</v>
      </c>
      <c r="M44" s="109" t="str">
        <v>-</v>
      </c>
      <c r="N44" s="28" t="str">
        <f t="shared" si="7"/>
        <v>-</v>
      </c>
      <c r="O44" s="99" t="str">
        <f t="shared" si="8"/>
        <v>-</v>
      </c>
      <c r="P44" s="99" t="str">
        <f t="shared" si="10"/>
        <v>-</v>
      </c>
      <c r="Q44" s="113" t="str">
        <f t="shared" si="11"/>
        <v>-</v>
      </c>
    </row>
    <row r="45" spans="2:17" ht="15" customHeight="1">
      <c r="B45" s="111" t="str">
        <v>-</v>
      </c>
      <c r="C45" s="109" t="str">
        <v>-</v>
      </c>
      <c r="D45" s="99" t="str">
        <f t="shared" si="1"/>
        <v>-</v>
      </c>
      <c r="E45" s="92" t="str">
        <f t="shared" si="2"/>
        <v>-</v>
      </c>
      <c r="F45" s="109" t="str">
        <v>-</v>
      </c>
      <c r="G45" s="28" t="str">
        <f t="shared" si="3"/>
        <v>-</v>
      </c>
      <c r="H45" s="102" t="str">
        <f t="shared" si="9"/>
        <v>-</v>
      </c>
      <c r="I45" s="109" t="str">
        <v>-</v>
      </c>
      <c r="J45" s="28" t="str">
        <f t="shared" si="4"/>
        <v>-</v>
      </c>
      <c r="K45" s="99" t="str">
        <f t="shared" si="5"/>
        <v>-</v>
      </c>
      <c r="L45" s="102" t="str">
        <f t="shared" si="6"/>
        <v>-</v>
      </c>
      <c r="M45" s="109" t="str">
        <v>-</v>
      </c>
      <c r="N45" s="28" t="str">
        <f t="shared" si="7"/>
        <v>-</v>
      </c>
      <c r="O45" s="99" t="str">
        <f t="shared" si="8"/>
        <v>-</v>
      </c>
      <c r="P45" s="99" t="str">
        <f t="shared" si="10"/>
        <v>-</v>
      </c>
      <c r="Q45" s="113" t="str">
        <f t="shared" si="11"/>
        <v>-</v>
      </c>
    </row>
    <row r="46" spans="2:17" ht="15" customHeight="1">
      <c r="B46" s="111" t="str">
        <v>-</v>
      </c>
      <c r="C46" s="109" t="str">
        <v>-</v>
      </c>
      <c r="D46" s="99" t="str">
        <f t="shared" si="1"/>
        <v>-</v>
      </c>
      <c r="E46" s="92" t="str">
        <f t="shared" si="2"/>
        <v>-</v>
      </c>
      <c r="F46" s="109" t="str">
        <v>-</v>
      </c>
      <c r="G46" s="28" t="str">
        <f t="shared" si="3"/>
        <v>-</v>
      </c>
      <c r="H46" s="102" t="str">
        <f t="shared" si="9"/>
        <v>-</v>
      </c>
      <c r="I46" s="109" t="str">
        <v>-</v>
      </c>
      <c r="J46" s="28" t="str">
        <f t="shared" si="4"/>
        <v>-</v>
      </c>
      <c r="K46" s="99" t="str">
        <f t="shared" si="5"/>
        <v>-</v>
      </c>
      <c r="L46" s="102" t="str">
        <f t="shared" si="6"/>
        <v>-</v>
      </c>
      <c r="M46" s="109" t="str">
        <v>-</v>
      </c>
      <c r="N46" s="28" t="str">
        <f t="shared" si="7"/>
        <v>-</v>
      </c>
      <c r="O46" s="99" t="str">
        <f t="shared" si="8"/>
        <v>-</v>
      </c>
      <c r="P46" s="99" t="str">
        <f t="shared" si="10"/>
        <v>-</v>
      </c>
      <c r="Q46" s="113" t="str">
        <f t="shared" si="11"/>
        <v>-</v>
      </c>
    </row>
    <row r="47" spans="2:17" ht="15" customHeight="1">
      <c r="B47" s="111" t="str">
        <v>-</v>
      </c>
      <c r="C47" s="109" t="str">
        <v>-</v>
      </c>
      <c r="D47" s="99" t="str">
        <f t="shared" si="1"/>
        <v>-</v>
      </c>
      <c r="E47" s="92" t="str">
        <f t="shared" si="2"/>
        <v>-</v>
      </c>
      <c r="F47" s="109" t="str">
        <v>-</v>
      </c>
      <c r="G47" s="28" t="str">
        <f t="shared" si="3"/>
        <v>-</v>
      </c>
      <c r="H47" s="102" t="str">
        <f t="shared" si="9"/>
        <v>-</v>
      </c>
      <c r="I47" s="109" t="str">
        <v>-</v>
      </c>
      <c r="J47" s="28" t="str">
        <f t="shared" si="4"/>
        <v>-</v>
      </c>
      <c r="K47" s="99" t="str">
        <f t="shared" si="5"/>
        <v>-</v>
      </c>
      <c r="L47" s="102" t="str">
        <f t="shared" si="6"/>
        <v>-</v>
      </c>
      <c r="M47" s="109" t="str">
        <v>-</v>
      </c>
      <c r="N47" s="28" t="str">
        <f t="shared" si="7"/>
        <v>-</v>
      </c>
      <c r="O47" s="99" t="str">
        <f t="shared" si="8"/>
        <v>-</v>
      </c>
      <c r="P47" s="99" t="str">
        <f t="shared" si="10"/>
        <v>-</v>
      </c>
      <c r="Q47" s="113" t="str">
        <f t="shared" si="11"/>
        <v>-</v>
      </c>
    </row>
    <row r="48" spans="2:17" ht="15" customHeight="1">
      <c r="B48" s="111" t="str">
        <v>-</v>
      </c>
      <c r="C48" s="109" t="str">
        <v>-</v>
      </c>
      <c r="D48" s="99" t="str">
        <f t="shared" si="1"/>
        <v>-</v>
      </c>
      <c r="E48" s="92" t="str">
        <f t="shared" si="2"/>
        <v>-</v>
      </c>
      <c r="F48" s="109" t="str">
        <v>-</v>
      </c>
      <c r="G48" s="28" t="str">
        <f t="shared" si="3"/>
        <v>-</v>
      </c>
      <c r="H48" s="102" t="str">
        <f t="shared" si="9"/>
        <v>-</v>
      </c>
      <c r="I48" s="109" t="str">
        <v>-</v>
      </c>
      <c r="J48" s="28" t="str">
        <f t="shared" si="4"/>
        <v>-</v>
      </c>
      <c r="K48" s="99" t="str">
        <f t="shared" si="5"/>
        <v>-</v>
      </c>
      <c r="L48" s="102" t="str">
        <f t="shared" si="6"/>
        <v>-</v>
      </c>
      <c r="M48" s="109" t="str">
        <v>-</v>
      </c>
      <c r="N48" s="28" t="str">
        <f t="shared" si="7"/>
        <v>-</v>
      </c>
      <c r="O48" s="99" t="str">
        <f t="shared" si="8"/>
        <v>-</v>
      </c>
      <c r="P48" s="99" t="str">
        <f t="shared" si="10"/>
        <v>-</v>
      </c>
      <c r="Q48" s="113" t="str">
        <f t="shared" si="11"/>
        <v>-</v>
      </c>
    </row>
    <row r="49" spans="2:17" ht="15" customHeight="1">
      <c r="B49" s="111" t="str">
        <v>-</v>
      </c>
      <c r="C49" s="109" t="str">
        <v>-</v>
      </c>
      <c r="D49" s="99" t="str">
        <f t="shared" si="1"/>
        <v>-</v>
      </c>
      <c r="E49" s="92" t="str">
        <f t="shared" si="2"/>
        <v>-</v>
      </c>
      <c r="F49" s="109" t="str">
        <v>-</v>
      </c>
      <c r="G49" s="28" t="str">
        <f t="shared" si="3"/>
        <v>-</v>
      </c>
      <c r="H49" s="102" t="str">
        <f t="shared" si="9"/>
        <v>-</v>
      </c>
      <c r="I49" s="109" t="str">
        <v>-</v>
      </c>
      <c r="J49" s="28" t="str">
        <f t="shared" si="4"/>
        <v>-</v>
      </c>
      <c r="K49" s="99" t="str">
        <f t="shared" si="5"/>
        <v>-</v>
      </c>
      <c r="L49" s="102" t="str">
        <f t="shared" si="6"/>
        <v>-</v>
      </c>
      <c r="M49" s="109" t="str">
        <v>-</v>
      </c>
      <c r="N49" s="28" t="str">
        <f t="shared" si="7"/>
        <v>-</v>
      </c>
      <c r="O49" s="99" t="str">
        <f t="shared" si="8"/>
        <v>-</v>
      </c>
      <c r="P49" s="99" t="str">
        <f t="shared" si="10"/>
        <v>-</v>
      </c>
      <c r="Q49" s="113" t="str">
        <f t="shared" si="11"/>
        <v>-</v>
      </c>
    </row>
    <row r="50" spans="2:17" ht="15" customHeight="1">
      <c r="B50" s="111" t="str">
        <v>-</v>
      </c>
      <c r="C50" s="109" t="str">
        <v>-</v>
      </c>
      <c r="D50" s="99" t="str">
        <f t="shared" si="1"/>
        <v>-</v>
      </c>
      <c r="E50" s="92" t="str">
        <f t="shared" si="2"/>
        <v>-</v>
      </c>
      <c r="F50" s="109" t="str">
        <v>-</v>
      </c>
      <c r="G50" s="28" t="str">
        <f t="shared" si="3"/>
        <v>-</v>
      </c>
      <c r="H50" s="102" t="str">
        <f t="shared" si="9"/>
        <v>-</v>
      </c>
      <c r="I50" s="109" t="str">
        <v>-</v>
      </c>
      <c r="J50" s="28" t="str">
        <f t="shared" si="4"/>
        <v>-</v>
      </c>
      <c r="K50" s="99" t="str">
        <f t="shared" si="5"/>
        <v>-</v>
      </c>
      <c r="L50" s="102" t="str">
        <f t="shared" si="6"/>
        <v>-</v>
      </c>
      <c r="M50" s="109" t="str">
        <v>-</v>
      </c>
      <c r="N50" s="28" t="str">
        <f t="shared" si="7"/>
        <v>-</v>
      </c>
      <c r="O50" s="99" t="str">
        <f t="shared" si="8"/>
        <v>-</v>
      </c>
      <c r="P50" s="99" t="str">
        <f t="shared" si="10"/>
        <v>-</v>
      </c>
      <c r="Q50" s="113" t="str">
        <f t="shared" si="11"/>
        <v>-</v>
      </c>
    </row>
    <row r="51" spans="2:17" ht="15" customHeight="1">
      <c r="B51" s="111" t="str">
        <v>-</v>
      </c>
      <c r="C51" s="109" t="str">
        <v>-</v>
      </c>
      <c r="D51" s="99" t="str">
        <f t="shared" si="1"/>
        <v>-</v>
      </c>
      <c r="E51" s="92" t="str">
        <f t="shared" si="2"/>
        <v>-</v>
      </c>
      <c r="F51" s="109" t="str">
        <v>-</v>
      </c>
      <c r="G51" s="28" t="str">
        <f t="shared" si="3"/>
        <v>-</v>
      </c>
      <c r="H51" s="102" t="str">
        <f t="shared" si="9"/>
        <v>-</v>
      </c>
      <c r="I51" s="109" t="str">
        <v>-</v>
      </c>
      <c r="J51" s="28" t="str">
        <f t="shared" si="4"/>
        <v>-</v>
      </c>
      <c r="K51" s="99" t="str">
        <f t="shared" si="5"/>
        <v>-</v>
      </c>
      <c r="L51" s="102" t="str">
        <f t="shared" si="6"/>
        <v>-</v>
      </c>
      <c r="M51" s="109" t="str">
        <v>-</v>
      </c>
      <c r="N51" s="28" t="str">
        <f t="shared" si="7"/>
        <v>-</v>
      </c>
      <c r="O51" s="99" t="str">
        <f t="shared" si="8"/>
        <v>-</v>
      </c>
      <c r="P51" s="99" t="str">
        <f t="shared" si="10"/>
        <v>-</v>
      </c>
      <c r="Q51" s="113" t="str">
        <f t="shared" si="11"/>
        <v>-</v>
      </c>
    </row>
    <row r="52" spans="2:17" ht="15" customHeight="1">
      <c r="B52" s="111" t="str">
        <v>-</v>
      </c>
      <c r="C52" s="109" t="str">
        <v>-</v>
      </c>
      <c r="D52" s="99" t="str">
        <f t="shared" si="1"/>
        <v>-</v>
      </c>
      <c r="E52" s="92" t="str">
        <f t="shared" si="2"/>
        <v>-</v>
      </c>
      <c r="F52" s="109" t="str">
        <v>-</v>
      </c>
      <c r="G52" s="28" t="str">
        <f t="shared" si="3"/>
        <v>-</v>
      </c>
      <c r="H52" s="102" t="str">
        <f t="shared" si="9"/>
        <v>-</v>
      </c>
      <c r="I52" s="109" t="str">
        <v>-</v>
      </c>
      <c r="J52" s="28" t="str">
        <f t="shared" si="4"/>
        <v>-</v>
      </c>
      <c r="K52" s="99" t="str">
        <f t="shared" si="5"/>
        <v>-</v>
      </c>
      <c r="L52" s="102" t="str">
        <f t="shared" si="6"/>
        <v>-</v>
      </c>
      <c r="M52" s="109" t="str">
        <v>-</v>
      </c>
      <c r="N52" s="28" t="str">
        <f t="shared" si="7"/>
        <v>-</v>
      </c>
      <c r="O52" s="99" t="str">
        <f t="shared" si="8"/>
        <v>-</v>
      </c>
      <c r="P52" s="99" t="str">
        <f t="shared" si="10"/>
        <v>-</v>
      </c>
      <c r="Q52" s="113" t="str">
        <f t="shared" si="11"/>
        <v>-</v>
      </c>
    </row>
    <row r="53" spans="2:17" ht="15" customHeight="1">
      <c r="B53" s="111" t="str">
        <v>-</v>
      </c>
      <c r="C53" s="109" t="str">
        <v>-</v>
      </c>
      <c r="D53" s="99" t="str">
        <f t="shared" si="1"/>
        <v>-</v>
      </c>
      <c r="E53" s="92" t="str">
        <f t="shared" si="2"/>
        <v>-</v>
      </c>
      <c r="F53" s="109" t="str">
        <v>-</v>
      </c>
      <c r="G53" s="28" t="str">
        <f t="shared" si="3"/>
        <v>-</v>
      </c>
      <c r="H53" s="102" t="str">
        <f t="shared" si="9"/>
        <v>-</v>
      </c>
      <c r="I53" s="109" t="str">
        <v>-</v>
      </c>
      <c r="J53" s="28" t="str">
        <f t="shared" si="4"/>
        <v>-</v>
      </c>
      <c r="K53" s="99" t="str">
        <f t="shared" si="5"/>
        <v>-</v>
      </c>
      <c r="L53" s="102" t="str">
        <f t="shared" si="6"/>
        <v>-</v>
      </c>
      <c r="M53" s="109" t="str">
        <v>-</v>
      </c>
      <c r="N53" s="28" t="str">
        <f t="shared" si="7"/>
        <v>-</v>
      </c>
      <c r="O53" s="99" t="str">
        <f t="shared" si="8"/>
        <v>-</v>
      </c>
      <c r="P53" s="99" t="str">
        <f t="shared" si="10"/>
        <v>-</v>
      </c>
      <c r="Q53" s="113" t="str">
        <f t="shared" si="11"/>
        <v>-</v>
      </c>
    </row>
    <row r="54" spans="2:17" ht="15" customHeight="1">
      <c r="B54" s="111" t="str">
        <v>-</v>
      </c>
      <c r="C54" s="109" t="str">
        <v>-</v>
      </c>
      <c r="D54" s="99" t="str">
        <f t="shared" si="1"/>
        <v>-</v>
      </c>
      <c r="E54" s="92" t="str">
        <f t="shared" si="2"/>
        <v>-</v>
      </c>
      <c r="F54" s="109" t="str">
        <v>-</v>
      </c>
      <c r="G54" s="28" t="str">
        <f t="shared" si="3"/>
        <v>-</v>
      </c>
      <c r="H54" s="102" t="str">
        <f t="shared" si="9"/>
        <v>-</v>
      </c>
      <c r="I54" s="109" t="str">
        <v>-</v>
      </c>
      <c r="J54" s="28" t="str">
        <f t="shared" si="4"/>
        <v>-</v>
      </c>
      <c r="K54" s="99" t="str">
        <f t="shared" si="5"/>
        <v>-</v>
      </c>
      <c r="L54" s="102" t="str">
        <f t="shared" si="6"/>
        <v>-</v>
      </c>
      <c r="M54" s="109" t="str">
        <v>-</v>
      </c>
      <c r="N54" s="28" t="str">
        <f t="shared" si="7"/>
        <v>-</v>
      </c>
      <c r="O54" s="99" t="str">
        <f t="shared" si="8"/>
        <v>-</v>
      </c>
      <c r="P54" s="99" t="str">
        <f t="shared" si="10"/>
        <v>-</v>
      </c>
      <c r="Q54" s="113" t="str">
        <f t="shared" si="11"/>
        <v>-</v>
      </c>
    </row>
    <row r="55" spans="2:17" ht="15" customHeight="1">
      <c r="B55" s="111" t="str">
        <v>-</v>
      </c>
      <c r="C55" s="109" t="str">
        <v>-</v>
      </c>
      <c r="D55" s="99" t="str">
        <f t="shared" si="1"/>
        <v>-</v>
      </c>
      <c r="E55" s="92" t="str">
        <f t="shared" si="2"/>
        <v>-</v>
      </c>
      <c r="F55" s="109" t="str">
        <v>-</v>
      </c>
      <c r="G55" s="28" t="str">
        <f t="shared" si="3"/>
        <v>-</v>
      </c>
      <c r="H55" s="102" t="str">
        <f t="shared" si="9"/>
        <v>-</v>
      </c>
      <c r="I55" s="109" t="str">
        <v>-</v>
      </c>
      <c r="J55" s="28" t="str">
        <f t="shared" si="4"/>
        <v>-</v>
      </c>
      <c r="K55" s="99" t="str">
        <f t="shared" si="5"/>
        <v>-</v>
      </c>
      <c r="L55" s="102" t="str">
        <f t="shared" si="6"/>
        <v>-</v>
      </c>
      <c r="M55" s="109" t="str">
        <v>-</v>
      </c>
      <c r="N55" s="28" t="str">
        <f t="shared" si="7"/>
        <v>-</v>
      </c>
      <c r="O55" s="99" t="str">
        <f t="shared" si="8"/>
        <v>-</v>
      </c>
      <c r="P55" s="99" t="str">
        <f t="shared" si="10"/>
        <v>-</v>
      </c>
      <c r="Q55" s="113" t="str">
        <f t="shared" si="11"/>
        <v>-</v>
      </c>
    </row>
    <row r="56" spans="2:17" ht="15" customHeight="1">
      <c r="B56" s="111" t="str">
        <v>-</v>
      </c>
      <c r="C56" s="109" t="str">
        <v>-</v>
      </c>
      <c r="D56" s="99" t="str">
        <f t="shared" si="1"/>
        <v>-</v>
      </c>
      <c r="E56" s="92" t="str">
        <f t="shared" si="2"/>
        <v>-</v>
      </c>
      <c r="F56" s="109" t="str">
        <v>-</v>
      </c>
      <c r="G56" s="28" t="str">
        <f t="shared" si="3"/>
        <v>-</v>
      </c>
      <c r="H56" s="102" t="str">
        <f t="shared" si="9"/>
        <v>-</v>
      </c>
      <c r="I56" s="109" t="str">
        <v>-</v>
      </c>
      <c r="J56" s="28" t="str">
        <f t="shared" si="4"/>
        <v>-</v>
      </c>
      <c r="K56" s="99" t="str">
        <f t="shared" si="5"/>
        <v>-</v>
      </c>
      <c r="L56" s="102" t="str">
        <f t="shared" si="6"/>
        <v>-</v>
      </c>
      <c r="M56" s="109" t="str">
        <v>-</v>
      </c>
      <c r="N56" s="28" t="str">
        <f t="shared" si="7"/>
        <v>-</v>
      </c>
      <c r="O56" s="99" t="str">
        <f t="shared" si="8"/>
        <v>-</v>
      </c>
      <c r="P56" s="99" t="str">
        <f t="shared" si="10"/>
        <v>-</v>
      </c>
      <c r="Q56" s="113" t="str">
        <f t="shared" si="11"/>
        <v>-</v>
      </c>
    </row>
    <row r="57" spans="2:17" ht="15" customHeight="1">
      <c r="B57" s="111" t="str">
        <v>-</v>
      </c>
      <c r="C57" s="109" t="str">
        <v>-</v>
      </c>
      <c r="D57" s="99" t="str">
        <f t="shared" si="1"/>
        <v>-</v>
      </c>
      <c r="E57" s="92" t="str">
        <f t="shared" si="2"/>
        <v>-</v>
      </c>
      <c r="F57" s="109" t="str">
        <v>-</v>
      </c>
      <c r="G57" s="28" t="str">
        <f t="shared" si="3"/>
        <v>-</v>
      </c>
      <c r="H57" s="102" t="str">
        <f t="shared" si="9"/>
        <v>-</v>
      </c>
      <c r="I57" s="109" t="str">
        <v>-</v>
      </c>
      <c r="J57" s="28" t="str">
        <f t="shared" si="4"/>
        <v>-</v>
      </c>
      <c r="K57" s="99" t="str">
        <f t="shared" si="5"/>
        <v>-</v>
      </c>
      <c r="L57" s="102" t="str">
        <f t="shared" si="6"/>
        <v>-</v>
      </c>
      <c r="M57" s="109" t="str">
        <v>-</v>
      </c>
      <c r="N57" s="28" t="str">
        <f t="shared" si="7"/>
        <v>-</v>
      </c>
      <c r="O57" s="99" t="str">
        <f t="shared" si="8"/>
        <v>-</v>
      </c>
      <c r="P57" s="99" t="str">
        <f t="shared" si="10"/>
        <v>-</v>
      </c>
      <c r="Q57" s="113" t="str">
        <f t="shared" si="11"/>
        <v>-</v>
      </c>
    </row>
    <row r="58" spans="2:17" ht="15" customHeight="1">
      <c r="B58" s="111" t="str">
        <v>-</v>
      </c>
      <c r="C58" s="109" t="str">
        <v>-</v>
      </c>
      <c r="D58" s="99" t="str">
        <f t="shared" si="1"/>
        <v>-</v>
      </c>
      <c r="E58" s="92" t="str">
        <f t="shared" si="2"/>
        <v>-</v>
      </c>
      <c r="F58" s="109" t="str">
        <v>-</v>
      </c>
      <c r="G58" s="28" t="str">
        <f t="shared" si="3"/>
        <v>-</v>
      </c>
      <c r="H58" s="102" t="str">
        <f t="shared" si="9"/>
        <v>-</v>
      </c>
      <c r="I58" s="109" t="str">
        <v>-</v>
      </c>
      <c r="J58" s="28" t="str">
        <f t="shared" si="4"/>
        <v>-</v>
      </c>
      <c r="K58" s="99" t="str">
        <f t="shared" si="5"/>
        <v>-</v>
      </c>
      <c r="L58" s="102" t="str">
        <f t="shared" si="6"/>
        <v>-</v>
      </c>
      <c r="M58" s="109" t="str">
        <v>-</v>
      </c>
      <c r="N58" s="28" t="str">
        <f t="shared" si="7"/>
        <v>-</v>
      </c>
      <c r="O58" s="99" t="str">
        <f t="shared" si="8"/>
        <v>-</v>
      </c>
      <c r="P58" s="99" t="str">
        <f t="shared" si="10"/>
        <v>-</v>
      </c>
      <c r="Q58" s="113" t="str">
        <f t="shared" si="11"/>
        <v>-</v>
      </c>
    </row>
    <row r="59" spans="2:17" ht="15" customHeight="1">
      <c r="B59" s="111" t="str">
        <v>-</v>
      </c>
      <c r="C59" s="109" t="str">
        <v>-</v>
      </c>
      <c r="D59" s="99" t="str">
        <f t="shared" si="1"/>
        <v>-</v>
      </c>
      <c r="E59" s="92" t="str">
        <f t="shared" si="2"/>
        <v>-</v>
      </c>
      <c r="F59" s="109" t="str">
        <v>-</v>
      </c>
      <c r="G59" s="28" t="str">
        <f t="shared" si="3"/>
        <v>-</v>
      </c>
      <c r="H59" s="102" t="str">
        <f t="shared" si="9"/>
        <v>-</v>
      </c>
      <c r="I59" s="109" t="str">
        <v>-</v>
      </c>
      <c r="J59" s="28" t="str">
        <f t="shared" si="4"/>
        <v>-</v>
      </c>
      <c r="K59" s="99" t="str">
        <f t="shared" si="5"/>
        <v>-</v>
      </c>
      <c r="L59" s="102" t="str">
        <f t="shared" si="6"/>
        <v>-</v>
      </c>
      <c r="M59" s="109" t="str">
        <v>-</v>
      </c>
      <c r="N59" s="28" t="str">
        <f t="shared" si="7"/>
        <v>-</v>
      </c>
      <c r="O59" s="99" t="str">
        <f t="shared" si="8"/>
        <v>-</v>
      </c>
      <c r="P59" s="99" t="str">
        <f t="shared" si="10"/>
        <v>-</v>
      </c>
      <c r="Q59" s="113" t="str">
        <f t="shared" si="11"/>
        <v>-</v>
      </c>
    </row>
    <row r="60" spans="2:17" ht="15" customHeight="1">
      <c r="B60" s="111" t="str">
        <v>-</v>
      </c>
      <c r="C60" s="109" t="str">
        <v>-</v>
      </c>
      <c r="D60" s="99" t="str">
        <f t="shared" si="1"/>
        <v>-</v>
      </c>
      <c r="E60" s="92" t="str">
        <f t="shared" ref="E60:E91" si="12">IF($C$4=FALSE,"-",IF(ISNUMBER(C61),C60/C61-1,""))</f>
        <v>-</v>
      </c>
      <c r="F60" s="109" t="str">
        <v>-</v>
      </c>
      <c r="G60" s="28" t="str">
        <f t="shared" ref="G60:G91" si="13">IF($C$4=FALSE,"-",IF(ISNUMBER(F61),F60/F61-1,""))</f>
        <v>-</v>
      </c>
      <c r="H60" s="102" t="str">
        <f t="shared" si="9"/>
        <v>-</v>
      </c>
      <c r="I60" s="109" t="str">
        <v>-</v>
      </c>
      <c r="J60" s="28" t="str">
        <f t="shared" ref="J60:J91" si="14">IF($C$4=FALSE,"-",IF(ISNUMBER(I61),I60/I61-1,""))</f>
        <v>-</v>
      </c>
      <c r="K60" s="99" t="str">
        <f t="shared" ref="K60:K91" si="15">IF($C$4=FALSE,"-",IF(ISNUMBER($D60),I60-$D60,""))</f>
        <v>-</v>
      </c>
      <c r="L60" s="102" t="str">
        <f t="shared" ref="L60:L91" si="16">IF($C$4=FALSE,"-",IF(ISNUMBER($F60),I60-$F60,""))</f>
        <v>-</v>
      </c>
      <c r="M60" s="109" t="str">
        <v>-</v>
      </c>
      <c r="N60" s="28" t="str">
        <f t="shared" ref="N60:N91" si="17">IF($C$4=FALSE,"-",IF(ISNUMBER(M61),M60/M61-1,""))</f>
        <v>-</v>
      </c>
      <c r="O60" s="99" t="str">
        <f t="shared" ref="O60:O91" si="18">IF($C$4=FALSE,"-",IF(ISNUMBER($D60),M60-$D60,""))</f>
        <v>-</v>
      </c>
      <c r="P60" s="99" t="str">
        <f t="shared" si="10"/>
        <v>-</v>
      </c>
      <c r="Q60" s="113" t="str">
        <f t="shared" si="11"/>
        <v>-</v>
      </c>
    </row>
    <row r="61" spans="2:17" ht="15" customHeight="1">
      <c r="B61" s="111" t="str">
        <v>-</v>
      </c>
      <c r="C61" s="109" t="str">
        <v>-</v>
      </c>
      <c r="D61" s="99" t="str">
        <f t="shared" si="1"/>
        <v>-</v>
      </c>
      <c r="E61" s="92" t="str">
        <f t="shared" si="12"/>
        <v>-</v>
      </c>
      <c r="F61" s="109" t="str">
        <v>-</v>
      </c>
      <c r="G61" s="28" t="str">
        <f t="shared" si="13"/>
        <v>-</v>
      </c>
      <c r="H61" s="102" t="str">
        <f t="shared" si="9"/>
        <v>-</v>
      </c>
      <c r="I61" s="109" t="str">
        <v>-</v>
      </c>
      <c r="J61" s="28" t="str">
        <f t="shared" si="14"/>
        <v>-</v>
      </c>
      <c r="K61" s="99" t="str">
        <f t="shared" si="15"/>
        <v>-</v>
      </c>
      <c r="L61" s="102" t="str">
        <f t="shared" si="16"/>
        <v>-</v>
      </c>
      <c r="M61" s="109" t="str">
        <v>-</v>
      </c>
      <c r="N61" s="28" t="str">
        <f t="shared" si="17"/>
        <v>-</v>
      </c>
      <c r="O61" s="99" t="str">
        <f t="shared" si="18"/>
        <v>-</v>
      </c>
      <c r="P61" s="99" t="str">
        <f t="shared" si="10"/>
        <v>-</v>
      </c>
      <c r="Q61" s="113" t="str">
        <f t="shared" si="11"/>
        <v>-</v>
      </c>
    </row>
    <row r="62" spans="2:17" ht="15" customHeight="1">
      <c r="B62" s="111" t="str">
        <v>-</v>
      </c>
      <c r="C62" s="109" t="str">
        <v>-</v>
      </c>
      <c r="D62" s="99" t="str">
        <f t="shared" si="1"/>
        <v>-</v>
      </c>
      <c r="E62" s="92" t="str">
        <f t="shared" si="12"/>
        <v>-</v>
      </c>
      <c r="F62" s="109" t="str">
        <v>-</v>
      </c>
      <c r="G62" s="28" t="str">
        <f t="shared" si="13"/>
        <v>-</v>
      </c>
      <c r="H62" s="102" t="str">
        <f t="shared" si="9"/>
        <v>-</v>
      </c>
      <c r="I62" s="109" t="str">
        <v>-</v>
      </c>
      <c r="J62" s="28" t="str">
        <f t="shared" si="14"/>
        <v>-</v>
      </c>
      <c r="K62" s="99" t="str">
        <f t="shared" si="15"/>
        <v>-</v>
      </c>
      <c r="L62" s="102" t="str">
        <f t="shared" si="16"/>
        <v>-</v>
      </c>
      <c r="M62" s="109" t="str">
        <v>-</v>
      </c>
      <c r="N62" s="28" t="str">
        <f t="shared" si="17"/>
        <v>-</v>
      </c>
      <c r="O62" s="99" t="str">
        <f t="shared" si="18"/>
        <v>-</v>
      </c>
      <c r="P62" s="99" t="str">
        <f t="shared" si="10"/>
        <v>-</v>
      </c>
      <c r="Q62" s="113" t="str">
        <f t="shared" si="11"/>
        <v>-</v>
      </c>
    </row>
    <row r="63" spans="2:17" ht="15" customHeight="1">
      <c r="B63" s="111" t="str">
        <v>-</v>
      </c>
      <c r="C63" s="109" t="str">
        <v>-</v>
      </c>
      <c r="D63" s="99" t="str">
        <f t="shared" si="1"/>
        <v>-</v>
      </c>
      <c r="E63" s="92" t="str">
        <f t="shared" si="12"/>
        <v>-</v>
      </c>
      <c r="F63" s="109" t="str">
        <v>-</v>
      </c>
      <c r="G63" s="28" t="str">
        <f t="shared" si="13"/>
        <v>-</v>
      </c>
      <c r="H63" s="102" t="str">
        <f t="shared" si="9"/>
        <v>-</v>
      </c>
      <c r="I63" s="109" t="str">
        <v>-</v>
      </c>
      <c r="J63" s="28" t="str">
        <f t="shared" si="14"/>
        <v>-</v>
      </c>
      <c r="K63" s="99" t="str">
        <f t="shared" si="15"/>
        <v>-</v>
      </c>
      <c r="L63" s="102" t="str">
        <f t="shared" si="16"/>
        <v>-</v>
      </c>
      <c r="M63" s="109" t="str">
        <v>-</v>
      </c>
      <c r="N63" s="28" t="str">
        <f t="shared" si="17"/>
        <v>-</v>
      </c>
      <c r="O63" s="99" t="str">
        <f t="shared" si="18"/>
        <v>-</v>
      </c>
      <c r="P63" s="99" t="str">
        <f t="shared" si="10"/>
        <v>-</v>
      </c>
      <c r="Q63" s="113" t="str">
        <f t="shared" si="11"/>
        <v>-</v>
      </c>
    </row>
    <row r="64" spans="2:17" ht="15" customHeight="1">
      <c r="B64" s="111" t="str">
        <v>-</v>
      </c>
      <c r="C64" s="109" t="str">
        <v>-</v>
      </c>
      <c r="D64" s="99" t="str">
        <f t="shared" si="1"/>
        <v>-</v>
      </c>
      <c r="E64" s="92" t="str">
        <f t="shared" si="12"/>
        <v>-</v>
      </c>
      <c r="F64" s="109" t="str">
        <v>-</v>
      </c>
      <c r="G64" s="28" t="str">
        <f t="shared" si="13"/>
        <v>-</v>
      </c>
      <c r="H64" s="102" t="str">
        <f t="shared" si="9"/>
        <v>-</v>
      </c>
      <c r="I64" s="109" t="str">
        <v>-</v>
      </c>
      <c r="J64" s="28" t="str">
        <f t="shared" si="14"/>
        <v>-</v>
      </c>
      <c r="K64" s="99" t="str">
        <f t="shared" si="15"/>
        <v>-</v>
      </c>
      <c r="L64" s="102" t="str">
        <f t="shared" si="16"/>
        <v>-</v>
      </c>
      <c r="M64" s="109" t="str">
        <v>-</v>
      </c>
      <c r="N64" s="28" t="str">
        <f t="shared" si="17"/>
        <v>-</v>
      </c>
      <c r="O64" s="99" t="str">
        <f t="shared" si="18"/>
        <v>-</v>
      </c>
      <c r="P64" s="99" t="str">
        <f t="shared" si="10"/>
        <v>-</v>
      </c>
      <c r="Q64" s="113" t="str">
        <f t="shared" si="11"/>
        <v>-</v>
      </c>
    </row>
    <row r="65" spans="2:17" ht="15" customHeight="1">
      <c r="B65" s="111" t="str">
        <v>-</v>
      </c>
      <c r="C65" s="109" t="str">
        <v>-</v>
      </c>
      <c r="D65" s="99" t="str">
        <f t="shared" si="1"/>
        <v>-</v>
      </c>
      <c r="E65" s="92" t="str">
        <f t="shared" si="12"/>
        <v>-</v>
      </c>
      <c r="F65" s="109" t="str">
        <v>-</v>
      </c>
      <c r="G65" s="28" t="str">
        <f t="shared" si="13"/>
        <v>-</v>
      </c>
      <c r="H65" s="102" t="str">
        <f t="shared" si="9"/>
        <v>-</v>
      </c>
      <c r="I65" s="109" t="str">
        <v>-</v>
      </c>
      <c r="J65" s="28" t="str">
        <f t="shared" si="14"/>
        <v>-</v>
      </c>
      <c r="K65" s="99" t="str">
        <f t="shared" si="15"/>
        <v>-</v>
      </c>
      <c r="L65" s="102" t="str">
        <f t="shared" si="16"/>
        <v>-</v>
      </c>
      <c r="M65" s="109" t="str">
        <v>-</v>
      </c>
      <c r="N65" s="28" t="str">
        <f t="shared" si="17"/>
        <v>-</v>
      </c>
      <c r="O65" s="99" t="str">
        <f t="shared" si="18"/>
        <v>-</v>
      </c>
      <c r="P65" s="99" t="str">
        <f t="shared" si="10"/>
        <v>-</v>
      </c>
      <c r="Q65" s="113" t="str">
        <f t="shared" si="11"/>
        <v>-</v>
      </c>
    </row>
    <row r="66" spans="2:17" ht="15" customHeight="1">
      <c r="B66" s="111" t="str">
        <v>-</v>
      </c>
      <c r="C66" s="109" t="str">
        <v>-</v>
      </c>
      <c r="D66" s="99" t="str">
        <f t="shared" si="1"/>
        <v>-</v>
      </c>
      <c r="E66" s="92" t="str">
        <f t="shared" si="12"/>
        <v>-</v>
      </c>
      <c r="F66" s="109" t="str">
        <v>-</v>
      </c>
      <c r="G66" s="28" t="str">
        <f t="shared" si="13"/>
        <v>-</v>
      </c>
      <c r="H66" s="102" t="str">
        <f t="shared" si="9"/>
        <v>-</v>
      </c>
      <c r="I66" s="109" t="str">
        <v>-</v>
      </c>
      <c r="J66" s="28" t="str">
        <f t="shared" si="14"/>
        <v>-</v>
      </c>
      <c r="K66" s="99" t="str">
        <f t="shared" si="15"/>
        <v>-</v>
      </c>
      <c r="L66" s="102" t="str">
        <f t="shared" si="16"/>
        <v>-</v>
      </c>
      <c r="M66" s="109" t="str">
        <v>-</v>
      </c>
      <c r="N66" s="28" t="str">
        <f t="shared" si="17"/>
        <v>-</v>
      </c>
      <c r="O66" s="99" t="str">
        <f t="shared" si="18"/>
        <v>-</v>
      </c>
      <c r="P66" s="99" t="str">
        <f t="shared" si="10"/>
        <v>-</v>
      </c>
      <c r="Q66" s="113" t="str">
        <f t="shared" si="11"/>
        <v>-</v>
      </c>
    </row>
    <row r="67" spans="2:17" ht="15" customHeight="1">
      <c r="B67" s="111" t="str">
        <v>-</v>
      </c>
      <c r="C67" s="109" t="str">
        <v>-</v>
      </c>
      <c r="D67" s="99" t="str">
        <f t="shared" si="1"/>
        <v>-</v>
      </c>
      <c r="E67" s="92" t="str">
        <f t="shared" si="12"/>
        <v>-</v>
      </c>
      <c r="F67" s="109" t="str">
        <v>-</v>
      </c>
      <c r="G67" s="28" t="str">
        <f t="shared" si="13"/>
        <v>-</v>
      </c>
      <c r="H67" s="102" t="str">
        <f t="shared" si="9"/>
        <v>-</v>
      </c>
      <c r="I67" s="109" t="str">
        <v>-</v>
      </c>
      <c r="J67" s="28" t="str">
        <f t="shared" si="14"/>
        <v>-</v>
      </c>
      <c r="K67" s="99" t="str">
        <f t="shared" si="15"/>
        <v>-</v>
      </c>
      <c r="L67" s="102" t="str">
        <f t="shared" si="16"/>
        <v>-</v>
      </c>
      <c r="M67" s="109" t="str">
        <v>-</v>
      </c>
      <c r="N67" s="28" t="str">
        <f t="shared" si="17"/>
        <v>-</v>
      </c>
      <c r="O67" s="99" t="str">
        <f t="shared" si="18"/>
        <v>-</v>
      </c>
      <c r="P67" s="99" t="str">
        <f t="shared" si="10"/>
        <v>-</v>
      </c>
      <c r="Q67" s="113" t="str">
        <f t="shared" si="11"/>
        <v>-</v>
      </c>
    </row>
    <row r="68" spans="2:17" ht="15" customHeight="1">
      <c r="B68" s="111" t="str">
        <v>-</v>
      </c>
      <c r="C68" s="109" t="str">
        <v>-</v>
      </c>
      <c r="D68" s="99" t="str">
        <f t="shared" si="1"/>
        <v>-</v>
      </c>
      <c r="E68" s="92" t="str">
        <f t="shared" si="12"/>
        <v>-</v>
      </c>
      <c r="F68" s="109" t="str">
        <v>-</v>
      </c>
      <c r="G68" s="28" t="str">
        <f t="shared" si="13"/>
        <v>-</v>
      </c>
      <c r="H68" s="102" t="str">
        <f t="shared" si="9"/>
        <v>-</v>
      </c>
      <c r="I68" s="109" t="str">
        <v>-</v>
      </c>
      <c r="J68" s="28" t="str">
        <f t="shared" si="14"/>
        <v>-</v>
      </c>
      <c r="K68" s="99" t="str">
        <f t="shared" si="15"/>
        <v>-</v>
      </c>
      <c r="L68" s="102" t="str">
        <f t="shared" si="16"/>
        <v>-</v>
      </c>
      <c r="M68" s="109" t="str">
        <v>-</v>
      </c>
      <c r="N68" s="28" t="str">
        <f t="shared" si="17"/>
        <v>-</v>
      </c>
      <c r="O68" s="99" t="str">
        <f t="shared" si="18"/>
        <v>-</v>
      </c>
      <c r="P68" s="99" t="str">
        <f t="shared" si="10"/>
        <v>-</v>
      </c>
      <c r="Q68" s="113" t="str">
        <f t="shared" si="11"/>
        <v>-</v>
      </c>
    </row>
    <row r="69" spans="2:17" ht="15" customHeight="1">
      <c r="B69" s="111" t="str">
        <v>-</v>
      </c>
      <c r="C69" s="109" t="str">
        <v>-</v>
      </c>
      <c r="D69" s="99" t="str">
        <f t="shared" si="1"/>
        <v>-</v>
      </c>
      <c r="E69" s="92" t="str">
        <f t="shared" si="12"/>
        <v>-</v>
      </c>
      <c r="F69" s="109" t="str">
        <v>-</v>
      </c>
      <c r="G69" s="28" t="str">
        <f t="shared" si="13"/>
        <v>-</v>
      </c>
      <c r="H69" s="102" t="str">
        <f t="shared" si="9"/>
        <v>-</v>
      </c>
      <c r="I69" s="109" t="str">
        <v>-</v>
      </c>
      <c r="J69" s="28" t="str">
        <f t="shared" si="14"/>
        <v>-</v>
      </c>
      <c r="K69" s="99" t="str">
        <f t="shared" si="15"/>
        <v>-</v>
      </c>
      <c r="L69" s="102" t="str">
        <f t="shared" si="16"/>
        <v>-</v>
      </c>
      <c r="M69" s="109" t="str">
        <v>-</v>
      </c>
      <c r="N69" s="28" t="str">
        <f t="shared" si="17"/>
        <v>-</v>
      </c>
      <c r="O69" s="99" t="str">
        <f t="shared" si="18"/>
        <v>-</v>
      </c>
      <c r="P69" s="99" t="str">
        <f t="shared" si="10"/>
        <v>-</v>
      </c>
      <c r="Q69" s="113" t="str">
        <f t="shared" si="11"/>
        <v>-</v>
      </c>
    </row>
    <row r="70" spans="2:17" ht="15" customHeight="1">
      <c r="B70" s="111" t="str">
        <v>-</v>
      </c>
      <c r="C70" s="109" t="str">
        <v>-</v>
      </c>
      <c r="D70" s="99" t="str">
        <f t="shared" si="1"/>
        <v>-</v>
      </c>
      <c r="E70" s="92" t="str">
        <f t="shared" si="12"/>
        <v>-</v>
      </c>
      <c r="F70" s="109" t="str">
        <v>-</v>
      </c>
      <c r="G70" s="28" t="str">
        <f t="shared" si="13"/>
        <v>-</v>
      </c>
      <c r="H70" s="102" t="str">
        <f t="shared" si="9"/>
        <v>-</v>
      </c>
      <c r="I70" s="109" t="str">
        <v>-</v>
      </c>
      <c r="J70" s="28" t="str">
        <f t="shared" si="14"/>
        <v>-</v>
      </c>
      <c r="K70" s="99" t="str">
        <f t="shared" si="15"/>
        <v>-</v>
      </c>
      <c r="L70" s="102" t="str">
        <f t="shared" si="16"/>
        <v>-</v>
      </c>
      <c r="M70" s="109" t="str">
        <v>-</v>
      </c>
      <c r="N70" s="28" t="str">
        <f t="shared" si="17"/>
        <v>-</v>
      </c>
      <c r="O70" s="99" t="str">
        <f t="shared" si="18"/>
        <v>-</v>
      </c>
      <c r="P70" s="99" t="str">
        <f t="shared" si="10"/>
        <v>-</v>
      </c>
      <c r="Q70" s="113" t="str">
        <f t="shared" si="11"/>
        <v>-</v>
      </c>
    </row>
    <row r="71" spans="2:17" ht="15" customHeight="1">
      <c r="B71" s="111" t="str">
        <v>-</v>
      </c>
      <c r="C71" s="109" t="str">
        <v>-</v>
      </c>
      <c r="D71" s="99" t="str">
        <f t="shared" si="1"/>
        <v>-</v>
      </c>
      <c r="E71" s="92" t="str">
        <f t="shared" si="12"/>
        <v>-</v>
      </c>
      <c r="F71" s="109" t="str">
        <v>-</v>
      </c>
      <c r="G71" s="28" t="str">
        <f t="shared" si="13"/>
        <v>-</v>
      </c>
      <c r="H71" s="102" t="str">
        <f t="shared" si="9"/>
        <v>-</v>
      </c>
      <c r="I71" s="109" t="str">
        <v>-</v>
      </c>
      <c r="J71" s="28" t="str">
        <f t="shared" si="14"/>
        <v>-</v>
      </c>
      <c r="K71" s="99" t="str">
        <f t="shared" si="15"/>
        <v>-</v>
      </c>
      <c r="L71" s="102" t="str">
        <f t="shared" si="16"/>
        <v>-</v>
      </c>
      <c r="M71" s="109" t="str">
        <v>-</v>
      </c>
      <c r="N71" s="28" t="str">
        <f t="shared" si="17"/>
        <v>-</v>
      </c>
      <c r="O71" s="99" t="str">
        <f t="shared" si="18"/>
        <v>-</v>
      </c>
      <c r="P71" s="99" t="str">
        <f t="shared" si="10"/>
        <v>-</v>
      </c>
      <c r="Q71" s="113" t="str">
        <f t="shared" si="11"/>
        <v>-</v>
      </c>
    </row>
    <row r="72" spans="2:17" ht="15" customHeight="1">
      <c r="B72" s="111" t="str">
        <v>-</v>
      </c>
      <c r="C72" s="109" t="str">
        <v>-</v>
      </c>
      <c r="D72" s="99" t="str">
        <f t="shared" si="1"/>
        <v>-</v>
      </c>
      <c r="E72" s="92" t="str">
        <f t="shared" si="12"/>
        <v>-</v>
      </c>
      <c r="F72" s="109" t="str">
        <v>-</v>
      </c>
      <c r="G72" s="28" t="str">
        <f t="shared" si="13"/>
        <v>-</v>
      </c>
      <c r="H72" s="102" t="str">
        <f t="shared" si="9"/>
        <v>-</v>
      </c>
      <c r="I72" s="109" t="str">
        <v>-</v>
      </c>
      <c r="J72" s="28" t="str">
        <f t="shared" si="14"/>
        <v>-</v>
      </c>
      <c r="K72" s="99" t="str">
        <f t="shared" si="15"/>
        <v>-</v>
      </c>
      <c r="L72" s="102" t="str">
        <f t="shared" si="16"/>
        <v>-</v>
      </c>
      <c r="M72" s="109" t="str">
        <v>-</v>
      </c>
      <c r="N72" s="28" t="str">
        <f t="shared" si="17"/>
        <v>-</v>
      </c>
      <c r="O72" s="99" t="str">
        <f t="shared" si="18"/>
        <v>-</v>
      </c>
      <c r="P72" s="99" t="str">
        <f t="shared" si="10"/>
        <v>-</v>
      </c>
      <c r="Q72" s="113" t="str">
        <f t="shared" si="11"/>
        <v>-</v>
      </c>
    </row>
    <row r="73" spans="2:17" ht="15" customHeight="1">
      <c r="B73" s="111" t="str">
        <v>-</v>
      </c>
      <c r="C73" s="109" t="str">
        <v>-</v>
      </c>
      <c r="D73" s="99" t="str">
        <f t="shared" si="1"/>
        <v>-</v>
      </c>
      <c r="E73" s="92" t="str">
        <f t="shared" si="12"/>
        <v>-</v>
      </c>
      <c r="F73" s="109" t="str">
        <v>-</v>
      </c>
      <c r="G73" s="28" t="str">
        <f t="shared" si="13"/>
        <v>-</v>
      </c>
      <c r="H73" s="102" t="str">
        <f t="shared" si="9"/>
        <v>-</v>
      </c>
      <c r="I73" s="109" t="str">
        <v>-</v>
      </c>
      <c r="J73" s="28" t="str">
        <f t="shared" si="14"/>
        <v>-</v>
      </c>
      <c r="K73" s="99" t="str">
        <f t="shared" si="15"/>
        <v>-</v>
      </c>
      <c r="L73" s="102" t="str">
        <f t="shared" si="16"/>
        <v>-</v>
      </c>
      <c r="M73" s="109" t="str">
        <v>-</v>
      </c>
      <c r="N73" s="28" t="str">
        <f t="shared" si="17"/>
        <v>-</v>
      </c>
      <c r="O73" s="99" t="str">
        <f t="shared" si="18"/>
        <v>-</v>
      </c>
      <c r="P73" s="99" t="str">
        <f t="shared" si="10"/>
        <v>-</v>
      </c>
      <c r="Q73" s="113" t="str">
        <f t="shared" si="11"/>
        <v>-</v>
      </c>
    </row>
    <row r="74" spans="2:17" ht="15" customHeight="1">
      <c r="B74" s="111" t="str">
        <v>-</v>
      </c>
      <c r="C74" s="109" t="str">
        <v>-</v>
      </c>
      <c r="D74" s="99" t="str">
        <f t="shared" si="1"/>
        <v>-</v>
      </c>
      <c r="E74" s="92" t="str">
        <f t="shared" si="12"/>
        <v>-</v>
      </c>
      <c r="F74" s="109" t="str">
        <v>-</v>
      </c>
      <c r="G74" s="28" t="str">
        <f t="shared" si="13"/>
        <v>-</v>
      </c>
      <c r="H74" s="102" t="str">
        <f t="shared" si="9"/>
        <v>-</v>
      </c>
      <c r="I74" s="109" t="str">
        <v>-</v>
      </c>
      <c r="J74" s="28" t="str">
        <f t="shared" si="14"/>
        <v>-</v>
      </c>
      <c r="K74" s="99" t="str">
        <f t="shared" si="15"/>
        <v>-</v>
      </c>
      <c r="L74" s="102" t="str">
        <f t="shared" si="16"/>
        <v>-</v>
      </c>
      <c r="M74" s="109" t="str">
        <v>-</v>
      </c>
      <c r="N74" s="28" t="str">
        <f t="shared" si="17"/>
        <v>-</v>
      </c>
      <c r="O74" s="99" t="str">
        <f t="shared" si="18"/>
        <v>-</v>
      </c>
      <c r="P74" s="99" t="str">
        <f t="shared" si="10"/>
        <v>-</v>
      </c>
      <c r="Q74" s="113" t="str">
        <f t="shared" si="11"/>
        <v>-</v>
      </c>
    </row>
    <row r="75" spans="2:17" ht="15" customHeight="1">
      <c r="B75" s="111" t="str">
        <v>-</v>
      </c>
      <c r="C75" s="109" t="str">
        <v>-</v>
      </c>
      <c r="D75" s="99" t="str">
        <f t="shared" si="1"/>
        <v>-</v>
      </c>
      <c r="E75" s="92" t="str">
        <f t="shared" si="12"/>
        <v>-</v>
      </c>
      <c r="F75" s="109" t="str">
        <v>-</v>
      </c>
      <c r="G75" s="28" t="str">
        <f t="shared" si="13"/>
        <v>-</v>
      </c>
      <c r="H75" s="102" t="str">
        <f t="shared" si="9"/>
        <v>-</v>
      </c>
      <c r="I75" s="109" t="str">
        <v>-</v>
      </c>
      <c r="J75" s="28" t="str">
        <f t="shared" si="14"/>
        <v>-</v>
      </c>
      <c r="K75" s="99" t="str">
        <f t="shared" si="15"/>
        <v>-</v>
      </c>
      <c r="L75" s="102" t="str">
        <f t="shared" si="16"/>
        <v>-</v>
      </c>
      <c r="M75" s="109" t="str">
        <v>-</v>
      </c>
      <c r="N75" s="28" t="str">
        <f t="shared" si="17"/>
        <v>-</v>
      </c>
      <c r="O75" s="99" t="str">
        <f t="shared" si="18"/>
        <v>-</v>
      </c>
      <c r="P75" s="99" t="str">
        <f t="shared" si="10"/>
        <v>-</v>
      </c>
      <c r="Q75" s="113" t="str">
        <f t="shared" si="11"/>
        <v>-</v>
      </c>
    </row>
    <row r="76" spans="2:17" ht="15" customHeight="1">
      <c r="B76" s="111" t="str">
        <v>-</v>
      </c>
      <c r="C76" s="109" t="str">
        <v>-</v>
      </c>
      <c r="D76" s="99" t="str">
        <f t="shared" si="1"/>
        <v>-</v>
      </c>
      <c r="E76" s="92" t="str">
        <f t="shared" si="12"/>
        <v>-</v>
      </c>
      <c r="F76" s="109" t="str">
        <v>-</v>
      </c>
      <c r="G76" s="28" t="str">
        <f t="shared" si="13"/>
        <v>-</v>
      </c>
      <c r="H76" s="102" t="str">
        <f t="shared" si="9"/>
        <v>-</v>
      </c>
      <c r="I76" s="109" t="str">
        <v>-</v>
      </c>
      <c r="J76" s="28" t="str">
        <f t="shared" si="14"/>
        <v>-</v>
      </c>
      <c r="K76" s="99" t="str">
        <f t="shared" si="15"/>
        <v>-</v>
      </c>
      <c r="L76" s="102" t="str">
        <f t="shared" si="16"/>
        <v>-</v>
      </c>
      <c r="M76" s="109" t="str">
        <v>-</v>
      </c>
      <c r="N76" s="28" t="str">
        <f t="shared" si="17"/>
        <v>-</v>
      </c>
      <c r="O76" s="99" t="str">
        <f t="shared" si="18"/>
        <v>-</v>
      </c>
      <c r="P76" s="99" t="str">
        <f t="shared" si="10"/>
        <v>-</v>
      </c>
      <c r="Q76" s="113" t="str">
        <f t="shared" si="11"/>
        <v>-</v>
      </c>
    </row>
    <row r="77" spans="2:17" ht="15" customHeight="1">
      <c r="B77" s="111" t="str">
        <v>-</v>
      </c>
      <c r="C77" s="109" t="str">
        <v>-</v>
      </c>
      <c r="D77" s="99" t="str">
        <f t="shared" si="1"/>
        <v>-</v>
      </c>
      <c r="E77" s="92" t="str">
        <f t="shared" si="12"/>
        <v>-</v>
      </c>
      <c r="F77" s="109" t="str">
        <v>-</v>
      </c>
      <c r="G77" s="28" t="str">
        <f t="shared" si="13"/>
        <v>-</v>
      </c>
      <c r="H77" s="102" t="str">
        <f t="shared" si="9"/>
        <v>-</v>
      </c>
      <c r="I77" s="109" t="str">
        <v>-</v>
      </c>
      <c r="J77" s="28" t="str">
        <f t="shared" si="14"/>
        <v>-</v>
      </c>
      <c r="K77" s="99" t="str">
        <f t="shared" si="15"/>
        <v>-</v>
      </c>
      <c r="L77" s="102" t="str">
        <f t="shared" si="16"/>
        <v>-</v>
      </c>
      <c r="M77" s="109" t="str">
        <v>-</v>
      </c>
      <c r="N77" s="28" t="str">
        <f t="shared" si="17"/>
        <v>-</v>
      </c>
      <c r="O77" s="99" t="str">
        <f t="shared" si="18"/>
        <v>-</v>
      </c>
      <c r="P77" s="99" t="str">
        <f t="shared" si="10"/>
        <v>-</v>
      </c>
      <c r="Q77" s="113" t="str">
        <f t="shared" si="11"/>
        <v>-</v>
      </c>
    </row>
    <row r="78" spans="2:17" ht="15" customHeight="1">
      <c r="B78" s="111" t="str">
        <v>-</v>
      </c>
      <c r="C78" s="109" t="str">
        <v>-</v>
      </c>
      <c r="D78" s="99" t="str">
        <f t="shared" si="1"/>
        <v>-</v>
      </c>
      <c r="E78" s="92" t="str">
        <f t="shared" si="12"/>
        <v>-</v>
      </c>
      <c r="F78" s="109" t="str">
        <v>-</v>
      </c>
      <c r="G78" s="28" t="str">
        <f t="shared" si="13"/>
        <v>-</v>
      </c>
      <c r="H78" s="102" t="str">
        <f t="shared" si="9"/>
        <v>-</v>
      </c>
      <c r="I78" s="109" t="str">
        <v>-</v>
      </c>
      <c r="J78" s="28" t="str">
        <f t="shared" si="14"/>
        <v>-</v>
      </c>
      <c r="K78" s="99" t="str">
        <f t="shared" si="15"/>
        <v>-</v>
      </c>
      <c r="L78" s="102" t="str">
        <f t="shared" si="16"/>
        <v>-</v>
      </c>
      <c r="M78" s="109" t="str">
        <v>-</v>
      </c>
      <c r="N78" s="28" t="str">
        <f t="shared" si="17"/>
        <v>-</v>
      </c>
      <c r="O78" s="99" t="str">
        <f t="shared" si="18"/>
        <v>-</v>
      </c>
      <c r="P78" s="99" t="str">
        <f t="shared" si="10"/>
        <v>-</v>
      </c>
      <c r="Q78" s="113" t="str">
        <f t="shared" si="11"/>
        <v>-</v>
      </c>
    </row>
    <row r="79" spans="2:17" ht="15" customHeight="1">
      <c r="B79" s="111" t="str">
        <v>-</v>
      </c>
      <c r="C79" s="109" t="str">
        <v>-</v>
      </c>
      <c r="D79" s="99" t="str">
        <f t="shared" si="1"/>
        <v>-</v>
      </c>
      <c r="E79" s="92" t="str">
        <f t="shared" si="12"/>
        <v>-</v>
      </c>
      <c r="F79" s="109" t="str">
        <v>-</v>
      </c>
      <c r="G79" s="28" t="str">
        <f t="shared" si="13"/>
        <v>-</v>
      </c>
      <c r="H79" s="102" t="str">
        <f t="shared" si="9"/>
        <v>-</v>
      </c>
      <c r="I79" s="109" t="str">
        <v>-</v>
      </c>
      <c r="J79" s="28" t="str">
        <f t="shared" si="14"/>
        <v>-</v>
      </c>
      <c r="K79" s="99" t="str">
        <f t="shared" si="15"/>
        <v>-</v>
      </c>
      <c r="L79" s="102" t="str">
        <f t="shared" si="16"/>
        <v>-</v>
      </c>
      <c r="M79" s="109" t="str">
        <v>-</v>
      </c>
      <c r="N79" s="28" t="str">
        <f t="shared" si="17"/>
        <v>-</v>
      </c>
      <c r="O79" s="99" t="str">
        <f t="shared" si="18"/>
        <v>-</v>
      </c>
      <c r="P79" s="99" t="str">
        <f t="shared" si="10"/>
        <v>-</v>
      </c>
      <c r="Q79" s="113" t="str">
        <f t="shared" si="11"/>
        <v>-</v>
      </c>
    </row>
    <row r="80" spans="2:17" ht="15" customHeight="1">
      <c r="B80" s="111" t="str">
        <v>-</v>
      </c>
      <c r="C80" s="109" t="str">
        <v>-</v>
      </c>
      <c r="D80" s="99" t="str">
        <f t="shared" si="1"/>
        <v>-</v>
      </c>
      <c r="E80" s="92" t="str">
        <f t="shared" si="12"/>
        <v>-</v>
      </c>
      <c r="F80" s="109" t="str">
        <v>-</v>
      </c>
      <c r="G80" s="28" t="str">
        <f t="shared" si="13"/>
        <v>-</v>
      </c>
      <c r="H80" s="102" t="str">
        <f t="shared" si="9"/>
        <v>-</v>
      </c>
      <c r="I80" s="109" t="str">
        <v>-</v>
      </c>
      <c r="J80" s="28" t="str">
        <f t="shared" si="14"/>
        <v>-</v>
      </c>
      <c r="K80" s="99" t="str">
        <f t="shared" si="15"/>
        <v>-</v>
      </c>
      <c r="L80" s="102" t="str">
        <f t="shared" si="16"/>
        <v>-</v>
      </c>
      <c r="M80" s="109" t="str">
        <v>-</v>
      </c>
      <c r="N80" s="28" t="str">
        <f t="shared" si="17"/>
        <v>-</v>
      </c>
      <c r="O80" s="99" t="str">
        <f t="shared" si="18"/>
        <v>-</v>
      </c>
      <c r="P80" s="99" t="str">
        <f t="shared" si="10"/>
        <v>-</v>
      </c>
      <c r="Q80" s="113" t="str">
        <f t="shared" si="11"/>
        <v>-</v>
      </c>
    </row>
    <row r="81" spans="2:17" ht="15" customHeight="1">
      <c r="B81" s="111" t="str">
        <v>-</v>
      </c>
      <c r="C81" s="109" t="str">
        <v>-</v>
      </c>
      <c r="D81" s="99" t="str">
        <f t="shared" si="1"/>
        <v>-</v>
      </c>
      <c r="E81" s="92" t="str">
        <f t="shared" si="12"/>
        <v>-</v>
      </c>
      <c r="F81" s="109" t="str">
        <v>-</v>
      </c>
      <c r="G81" s="28" t="str">
        <f t="shared" si="13"/>
        <v>-</v>
      </c>
      <c r="H81" s="102" t="str">
        <f t="shared" si="9"/>
        <v>-</v>
      </c>
      <c r="I81" s="109" t="str">
        <v>-</v>
      </c>
      <c r="J81" s="28" t="str">
        <f t="shared" si="14"/>
        <v>-</v>
      </c>
      <c r="K81" s="99" t="str">
        <f t="shared" si="15"/>
        <v>-</v>
      </c>
      <c r="L81" s="102" t="str">
        <f t="shared" si="16"/>
        <v>-</v>
      </c>
      <c r="M81" s="109" t="str">
        <v>-</v>
      </c>
      <c r="N81" s="28" t="str">
        <f t="shared" si="17"/>
        <v>-</v>
      </c>
      <c r="O81" s="99" t="str">
        <f t="shared" si="18"/>
        <v>-</v>
      </c>
      <c r="P81" s="99" t="str">
        <f t="shared" si="10"/>
        <v>-</v>
      </c>
      <c r="Q81" s="113" t="str">
        <f t="shared" si="11"/>
        <v>-</v>
      </c>
    </row>
    <row r="82" spans="2:17" ht="15" customHeight="1">
      <c r="B82" s="111" t="str">
        <v>-</v>
      </c>
      <c r="C82" s="109" t="str">
        <v>-</v>
      </c>
      <c r="D82" s="99" t="str">
        <f t="shared" si="1"/>
        <v>-</v>
      </c>
      <c r="E82" s="92" t="str">
        <f t="shared" si="12"/>
        <v>-</v>
      </c>
      <c r="F82" s="109" t="str">
        <v>-</v>
      </c>
      <c r="G82" s="28" t="str">
        <f t="shared" si="13"/>
        <v>-</v>
      </c>
      <c r="H82" s="102" t="str">
        <f t="shared" si="9"/>
        <v>-</v>
      </c>
      <c r="I82" s="109" t="str">
        <v>-</v>
      </c>
      <c r="J82" s="28" t="str">
        <f t="shared" si="14"/>
        <v>-</v>
      </c>
      <c r="K82" s="99" t="str">
        <f t="shared" si="15"/>
        <v>-</v>
      </c>
      <c r="L82" s="102" t="str">
        <f t="shared" si="16"/>
        <v>-</v>
      </c>
      <c r="M82" s="109" t="str">
        <v>-</v>
      </c>
      <c r="N82" s="28" t="str">
        <f t="shared" si="17"/>
        <v>-</v>
      </c>
      <c r="O82" s="99" t="str">
        <f t="shared" si="18"/>
        <v>-</v>
      </c>
      <c r="P82" s="99" t="str">
        <f t="shared" si="10"/>
        <v>-</v>
      </c>
      <c r="Q82" s="113" t="str">
        <f t="shared" si="11"/>
        <v>-</v>
      </c>
    </row>
    <row r="83" spans="2:17" ht="15" customHeight="1">
      <c r="B83" s="111" t="str">
        <v>-</v>
      </c>
      <c r="C83" s="109" t="str">
        <v>-</v>
      </c>
      <c r="D83" s="99" t="str">
        <f t="shared" si="1"/>
        <v>-</v>
      </c>
      <c r="E83" s="92" t="str">
        <f t="shared" si="12"/>
        <v>-</v>
      </c>
      <c r="F83" s="109" t="str">
        <v>-</v>
      </c>
      <c r="G83" s="28" t="str">
        <f t="shared" si="13"/>
        <v>-</v>
      </c>
      <c r="H83" s="102" t="str">
        <f t="shared" si="9"/>
        <v>-</v>
      </c>
      <c r="I83" s="109" t="str">
        <v>-</v>
      </c>
      <c r="J83" s="28" t="str">
        <f t="shared" si="14"/>
        <v>-</v>
      </c>
      <c r="K83" s="99" t="str">
        <f t="shared" si="15"/>
        <v>-</v>
      </c>
      <c r="L83" s="102" t="str">
        <f t="shared" si="16"/>
        <v>-</v>
      </c>
      <c r="M83" s="109" t="str">
        <v>-</v>
      </c>
      <c r="N83" s="28" t="str">
        <f t="shared" si="17"/>
        <v>-</v>
      </c>
      <c r="O83" s="99" t="str">
        <f t="shared" si="18"/>
        <v>-</v>
      </c>
      <c r="P83" s="99" t="str">
        <f t="shared" si="10"/>
        <v>-</v>
      </c>
      <c r="Q83" s="113" t="str">
        <f t="shared" si="11"/>
        <v>-</v>
      </c>
    </row>
    <row r="84" spans="2:17" ht="15" customHeight="1">
      <c r="B84" s="111" t="str">
        <v>-</v>
      </c>
      <c r="C84" s="109" t="str">
        <v>-</v>
      </c>
      <c r="D84" s="99" t="str">
        <f t="shared" si="1"/>
        <v>-</v>
      </c>
      <c r="E84" s="92" t="str">
        <f t="shared" si="12"/>
        <v>-</v>
      </c>
      <c r="F84" s="109" t="str">
        <v>-</v>
      </c>
      <c r="G84" s="28" t="str">
        <f t="shared" si="13"/>
        <v>-</v>
      </c>
      <c r="H84" s="102" t="str">
        <f t="shared" si="9"/>
        <v>-</v>
      </c>
      <c r="I84" s="109" t="str">
        <v>-</v>
      </c>
      <c r="J84" s="28" t="str">
        <f t="shared" si="14"/>
        <v>-</v>
      </c>
      <c r="K84" s="99" t="str">
        <f t="shared" si="15"/>
        <v>-</v>
      </c>
      <c r="L84" s="102" t="str">
        <f t="shared" si="16"/>
        <v>-</v>
      </c>
      <c r="M84" s="109" t="str">
        <v>-</v>
      </c>
      <c r="N84" s="28" t="str">
        <f t="shared" si="17"/>
        <v>-</v>
      </c>
      <c r="O84" s="99" t="str">
        <f t="shared" si="18"/>
        <v>-</v>
      </c>
      <c r="P84" s="99" t="str">
        <f t="shared" si="10"/>
        <v>-</v>
      </c>
      <c r="Q84" s="113" t="str">
        <f t="shared" si="11"/>
        <v>-</v>
      </c>
    </row>
    <row r="85" spans="2:17" ht="15" customHeight="1">
      <c r="B85" s="111" t="str">
        <v>-</v>
      </c>
      <c r="C85" s="109" t="str">
        <v>-</v>
      </c>
      <c r="D85" s="99" t="str">
        <f t="shared" si="1"/>
        <v>-</v>
      </c>
      <c r="E85" s="92" t="str">
        <f t="shared" si="12"/>
        <v>-</v>
      </c>
      <c r="F85" s="109" t="str">
        <v>-</v>
      </c>
      <c r="G85" s="28" t="str">
        <f t="shared" si="13"/>
        <v>-</v>
      </c>
      <c r="H85" s="102" t="str">
        <f t="shared" si="9"/>
        <v>-</v>
      </c>
      <c r="I85" s="109" t="str">
        <v>-</v>
      </c>
      <c r="J85" s="28" t="str">
        <f t="shared" si="14"/>
        <v>-</v>
      </c>
      <c r="K85" s="99" t="str">
        <f t="shared" si="15"/>
        <v>-</v>
      </c>
      <c r="L85" s="102" t="str">
        <f t="shared" si="16"/>
        <v>-</v>
      </c>
      <c r="M85" s="109" t="str">
        <v>-</v>
      </c>
      <c r="N85" s="28" t="str">
        <f t="shared" si="17"/>
        <v>-</v>
      </c>
      <c r="O85" s="99" t="str">
        <f t="shared" si="18"/>
        <v>-</v>
      </c>
      <c r="P85" s="99" t="str">
        <f t="shared" si="10"/>
        <v>-</v>
      </c>
      <c r="Q85" s="113" t="str">
        <f t="shared" si="11"/>
        <v>-</v>
      </c>
    </row>
    <row r="86" spans="2:17" ht="15" customHeight="1">
      <c r="B86" s="111" t="str">
        <v>-</v>
      </c>
      <c r="C86" s="109" t="str">
        <v>-</v>
      </c>
      <c r="D86" s="99" t="str">
        <f t="shared" si="1"/>
        <v>-</v>
      </c>
      <c r="E86" s="92" t="str">
        <f t="shared" si="12"/>
        <v>-</v>
      </c>
      <c r="F86" s="109" t="str">
        <v>-</v>
      </c>
      <c r="G86" s="28" t="str">
        <f t="shared" si="13"/>
        <v>-</v>
      </c>
      <c r="H86" s="102" t="str">
        <f t="shared" si="9"/>
        <v>-</v>
      </c>
      <c r="I86" s="109" t="str">
        <v>-</v>
      </c>
      <c r="J86" s="28" t="str">
        <f t="shared" si="14"/>
        <v>-</v>
      </c>
      <c r="K86" s="99" t="str">
        <f t="shared" si="15"/>
        <v>-</v>
      </c>
      <c r="L86" s="102" t="str">
        <f t="shared" si="16"/>
        <v>-</v>
      </c>
      <c r="M86" s="109" t="str">
        <v>-</v>
      </c>
      <c r="N86" s="28" t="str">
        <f t="shared" si="17"/>
        <v>-</v>
      </c>
      <c r="O86" s="99" t="str">
        <f t="shared" si="18"/>
        <v>-</v>
      </c>
      <c r="P86" s="99" t="str">
        <f t="shared" si="10"/>
        <v>-</v>
      </c>
      <c r="Q86" s="113" t="str">
        <f t="shared" si="11"/>
        <v>-</v>
      </c>
    </row>
    <row r="87" spans="2:17" ht="15" customHeight="1">
      <c r="B87" s="111" t="str">
        <v>-</v>
      </c>
      <c r="C87" s="109" t="str">
        <v>-</v>
      </c>
      <c r="D87" s="99" t="str">
        <f t="shared" si="1"/>
        <v>-</v>
      </c>
      <c r="E87" s="92" t="str">
        <f t="shared" si="12"/>
        <v>-</v>
      </c>
      <c r="F87" s="109" t="str">
        <v>-</v>
      </c>
      <c r="G87" s="28" t="str">
        <f t="shared" si="13"/>
        <v>-</v>
      </c>
      <c r="H87" s="102" t="str">
        <f t="shared" si="9"/>
        <v>-</v>
      </c>
      <c r="I87" s="109" t="str">
        <v>-</v>
      </c>
      <c r="J87" s="28" t="str">
        <f t="shared" si="14"/>
        <v>-</v>
      </c>
      <c r="K87" s="99" t="str">
        <f t="shared" si="15"/>
        <v>-</v>
      </c>
      <c r="L87" s="102" t="str">
        <f t="shared" si="16"/>
        <v>-</v>
      </c>
      <c r="M87" s="109" t="str">
        <v>-</v>
      </c>
      <c r="N87" s="28" t="str">
        <f t="shared" si="17"/>
        <v>-</v>
      </c>
      <c r="O87" s="99" t="str">
        <f t="shared" si="18"/>
        <v>-</v>
      </c>
      <c r="P87" s="99" t="str">
        <f t="shared" si="10"/>
        <v>-</v>
      </c>
      <c r="Q87" s="113" t="str">
        <f t="shared" si="11"/>
        <v>-</v>
      </c>
    </row>
    <row r="88" spans="2:17" ht="15" customHeight="1">
      <c r="B88" s="111" t="str">
        <v>-</v>
      </c>
      <c r="C88" s="109" t="str">
        <v>-</v>
      </c>
      <c r="D88" s="99" t="str">
        <f t="shared" si="1"/>
        <v>-</v>
      </c>
      <c r="E88" s="92" t="str">
        <f t="shared" si="12"/>
        <v>-</v>
      </c>
      <c r="F88" s="109" t="str">
        <v>-</v>
      </c>
      <c r="G88" s="28" t="str">
        <f t="shared" si="13"/>
        <v>-</v>
      </c>
      <c r="H88" s="102" t="str">
        <f t="shared" si="9"/>
        <v>-</v>
      </c>
      <c r="I88" s="109" t="str">
        <v>-</v>
      </c>
      <c r="J88" s="28" t="str">
        <f t="shared" si="14"/>
        <v>-</v>
      </c>
      <c r="K88" s="99" t="str">
        <f t="shared" si="15"/>
        <v>-</v>
      </c>
      <c r="L88" s="102" t="str">
        <f t="shared" si="16"/>
        <v>-</v>
      </c>
      <c r="M88" s="109" t="str">
        <v>-</v>
      </c>
      <c r="N88" s="28" t="str">
        <f t="shared" si="17"/>
        <v>-</v>
      </c>
      <c r="O88" s="99" t="str">
        <f t="shared" si="18"/>
        <v>-</v>
      </c>
      <c r="P88" s="99" t="str">
        <f t="shared" si="10"/>
        <v>-</v>
      </c>
      <c r="Q88" s="113" t="str">
        <f t="shared" si="11"/>
        <v>-</v>
      </c>
    </row>
    <row r="89" spans="2:17" ht="15" customHeight="1">
      <c r="B89" s="111" t="str">
        <v>-</v>
      </c>
      <c r="C89" s="109" t="str">
        <v>-</v>
      </c>
      <c r="D89" s="99" t="str">
        <f t="shared" si="1"/>
        <v>-</v>
      </c>
      <c r="E89" s="92" t="str">
        <f t="shared" si="12"/>
        <v>-</v>
      </c>
      <c r="F89" s="109" t="str">
        <v>-</v>
      </c>
      <c r="G89" s="28" t="str">
        <f t="shared" si="13"/>
        <v>-</v>
      </c>
      <c r="H89" s="102" t="str">
        <f t="shared" si="9"/>
        <v>-</v>
      </c>
      <c r="I89" s="109" t="str">
        <v>-</v>
      </c>
      <c r="J89" s="28" t="str">
        <f t="shared" si="14"/>
        <v>-</v>
      </c>
      <c r="K89" s="99" t="str">
        <f t="shared" si="15"/>
        <v>-</v>
      </c>
      <c r="L89" s="102" t="str">
        <f t="shared" si="16"/>
        <v>-</v>
      </c>
      <c r="M89" s="109" t="str">
        <v>-</v>
      </c>
      <c r="N89" s="28" t="str">
        <f t="shared" si="17"/>
        <v>-</v>
      </c>
      <c r="O89" s="99" t="str">
        <f t="shared" si="18"/>
        <v>-</v>
      </c>
      <c r="P89" s="99" t="str">
        <f t="shared" si="10"/>
        <v>-</v>
      </c>
      <c r="Q89" s="113" t="str">
        <f t="shared" si="11"/>
        <v>-</v>
      </c>
    </row>
    <row r="90" spans="2:17" ht="15" customHeight="1">
      <c r="B90" s="111" t="str">
        <v>-</v>
      </c>
      <c r="C90" s="109" t="str">
        <v>-</v>
      </c>
      <c r="D90" s="99" t="str">
        <f t="shared" si="1"/>
        <v>-</v>
      </c>
      <c r="E90" s="92" t="str">
        <f t="shared" si="12"/>
        <v>-</v>
      </c>
      <c r="F90" s="109" t="str">
        <v>-</v>
      </c>
      <c r="G90" s="28" t="str">
        <f t="shared" si="13"/>
        <v>-</v>
      </c>
      <c r="H90" s="102" t="str">
        <f t="shared" si="9"/>
        <v>-</v>
      </c>
      <c r="I90" s="109" t="str">
        <v>-</v>
      </c>
      <c r="J90" s="28" t="str">
        <f t="shared" si="14"/>
        <v>-</v>
      </c>
      <c r="K90" s="99" t="str">
        <f t="shared" si="15"/>
        <v>-</v>
      </c>
      <c r="L90" s="102" t="str">
        <f t="shared" si="16"/>
        <v>-</v>
      </c>
      <c r="M90" s="109" t="str">
        <v>-</v>
      </c>
      <c r="N90" s="28" t="str">
        <f t="shared" si="17"/>
        <v>-</v>
      </c>
      <c r="O90" s="99" t="str">
        <f t="shared" si="18"/>
        <v>-</v>
      </c>
      <c r="P90" s="99" t="str">
        <f t="shared" si="10"/>
        <v>-</v>
      </c>
      <c r="Q90" s="113" t="str">
        <f t="shared" si="11"/>
        <v>-</v>
      </c>
    </row>
    <row r="91" spans="2:17" ht="15" customHeight="1">
      <c r="B91" s="111" t="str">
        <v>-</v>
      </c>
      <c r="C91" s="109" t="str">
        <v>-</v>
      </c>
      <c r="D91" s="99" t="str">
        <f t="shared" si="1"/>
        <v>-</v>
      </c>
      <c r="E91" s="92" t="str">
        <f t="shared" si="12"/>
        <v>-</v>
      </c>
      <c r="F91" s="109" t="str">
        <v>-</v>
      </c>
      <c r="G91" s="28" t="str">
        <f t="shared" si="13"/>
        <v>-</v>
      </c>
      <c r="H91" s="102" t="str">
        <f t="shared" si="9"/>
        <v>-</v>
      </c>
      <c r="I91" s="109" t="str">
        <v>-</v>
      </c>
      <c r="J91" s="28" t="str">
        <f t="shared" si="14"/>
        <v>-</v>
      </c>
      <c r="K91" s="99" t="str">
        <f t="shared" si="15"/>
        <v>-</v>
      </c>
      <c r="L91" s="102" t="str">
        <f t="shared" si="16"/>
        <v>-</v>
      </c>
      <c r="M91" s="109" t="str">
        <v>-</v>
      </c>
      <c r="N91" s="28" t="str">
        <f t="shared" si="17"/>
        <v>-</v>
      </c>
      <c r="O91" s="99" t="str">
        <f t="shared" si="18"/>
        <v>-</v>
      </c>
      <c r="P91" s="99" t="str">
        <f t="shared" si="10"/>
        <v>-</v>
      </c>
      <c r="Q91" s="113" t="str">
        <f t="shared" si="11"/>
        <v>-</v>
      </c>
    </row>
    <row r="92" spans="2:17" ht="15" customHeight="1">
      <c r="B92" s="111" t="str">
        <v>-</v>
      </c>
      <c r="C92" s="109" t="str">
        <v>-</v>
      </c>
      <c r="D92" s="99" t="str">
        <f t="shared" ref="D92:D151" si="19">IF($C$4=FALSE,"-",IF(ISNUMBER(C92),100*(365*C92/100)/(360-91*C92/100),""))</f>
        <v>-</v>
      </c>
      <c r="E92" s="92" t="str">
        <f t="shared" ref="E92:E123" si="20">IF($C$4=FALSE,"-",IF(ISNUMBER(C93),C92/C93-1,""))</f>
        <v>-</v>
      </c>
      <c r="F92" s="109" t="str">
        <v>-</v>
      </c>
      <c r="G92" s="28" t="str">
        <f t="shared" ref="G92:G123" si="21">IF($C$4=FALSE,"-",IF(ISNUMBER(F93),F92/F93-1,""))</f>
        <v>-</v>
      </c>
      <c r="H92" s="102" t="str">
        <f t="shared" si="9"/>
        <v>-</v>
      </c>
      <c r="I92" s="109" t="str">
        <v>-</v>
      </c>
      <c r="J92" s="28" t="str">
        <f t="shared" ref="J92:J123" si="22">IF($C$4=FALSE,"-",IF(ISNUMBER(I93),I92/I93-1,""))</f>
        <v>-</v>
      </c>
      <c r="K92" s="99" t="str">
        <f t="shared" ref="K92:K123" si="23">IF($C$4=FALSE,"-",IF(ISNUMBER($D92),I92-$D92,""))</f>
        <v>-</v>
      </c>
      <c r="L92" s="102" t="str">
        <f t="shared" ref="L92:L123" si="24">IF($C$4=FALSE,"-",IF(ISNUMBER($F92),I92-$F92,""))</f>
        <v>-</v>
      </c>
      <c r="M92" s="109" t="str">
        <v>-</v>
      </c>
      <c r="N92" s="28" t="str">
        <f t="shared" ref="N92:N123" si="25">IF($C$4=FALSE,"-",IF(ISNUMBER(M93),M92/M93-1,""))</f>
        <v>-</v>
      </c>
      <c r="O92" s="99" t="str">
        <f t="shared" ref="O92:O123" si="26">IF($C$4=FALSE,"-",IF(ISNUMBER($D92),M92-$D92,""))</f>
        <v>-</v>
      </c>
      <c r="P92" s="99" t="str">
        <f t="shared" si="10"/>
        <v>-</v>
      </c>
      <c r="Q92" s="113" t="str">
        <f t="shared" si="11"/>
        <v>-</v>
      </c>
    </row>
    <row r="93" spans="2:17" ht="15" customHeight="1">
      <c r="B93" s="111" t="str">
        <v>-</v>
      </c>
      <c r="C93" s="109" t="str">
        <v>-</v>
      </c>
      <c r="D93" s="99" t="str">
        <f t="shared" si="19"/>
        <v>-</v>
      </c>
      <c r="E93" s="92" t="str">
        <f t="shared" si="20"/>
        <v>-</v>
      </c>
      <c r="F93" s="109" t="str">
        <v>-</v>
      </c>
      <c r="G93" s="28" t="str">
        <f t="shared" si="21"/>
        <v>-</v>
      </c>
      <c r="H93" s="102" t="str">
        <f t="shared" ref="H93:H151" si="27">IF($C$4=FALSE,"-",IF(ISNUMBER($D93),F93-$D93,""))</f>
        <v>-</v>
      </c>
      <c r="I93" s="109" t="str">
        <v>-</v>
      </c>
      <c r="J93" s="28" t="str">
        <f t="shared" si="22"/>
        <v>-</v>
      </c>
      <c r="K93" s="99" t="str">
        <f t="shared" si="23"/>
        <v>-</v>
      </c>
      <c r="L93" s="102" t="str">
        <f t="shared" si="24"/>
        <v>-</v>
      </c>
      <c r="M93" s="109" t="str">
        <v>-</v>
      </c>
      <c r="N93" s="28" t="str">
        <f t="shared" si="25"/>
        <v>-</v>
      </c>
      <c r="O93" s="99" t="str">
        <f t="shared" si="26"/>
        <v>-</v>
      </c>
      <c r="P93" s="99" t="str">
        <f t="shared" ref="P93:P151" si="28">IF($C$4=FALSE,"-",IF(ISNUMBER($F93),M93-$F93,""))</f>
        <v>-</v>
      </c>
      <c r="Q93" s="113" t="str">
        <f t="shared" ref="Q93:Q151" si="29">IF($C$4=FALSE,"-",IF(ISNUMBER($I93),M93-$I93,""))</f>
        <v>-</v>
      </c>
    </row>
    <row r="94" spans="2:17" ht="15" customHeight="1">
      <c r="B94" s="111" t="str">
        <v>-</v>
      </c>
      <c r="C94" s="109" t="str">
        <v>-</v>
      </c>
      <c r="D94" s="99" t="str">
        <f t="shared" si="19"/>
        <v>-</v>
      </c>
      <c r="E94" s="92" t="str">
        <f t="shared" si="20"/>
        <v>-</v>
      </c>
      <c r="F94" s="109" t="str">
        <v>-</v>
      </c>
      <c r="G94" s="28" t="str">
        <f t="shared" si="21"/>
        <v>-</v>
      </c>
      <c r="H94" s="102" t="str">
        <f t="shared" si="27"/>
        <v>-</v>
      </c>
      <c r="I94" s="109" t="str">
        <v>-</v>
      </c>
      <c r="J94" s="28" t="str">
        <f t="shared" si="22"/>
        <v>-</v>
      </c>
      <c r="K94" s="99" t="str">
        <f t="shared" si="23"/>
        <v>-</v>
      </c>
      <c r="L94" s="102" t="str">
        <f t="shared" si="24"/>
        <v>-</v>
      </c>
      <c r="M94" s="109" t="str">
        <v>-</v>
      </c>
      <c r="N94" s="28" t="str">
        <f t="shared" si="25"/>
        <v>-</v>
      </c>
      <c r="O94" s="99" t="str">
        <f t="shared" si="26"/>
        <v>-</v>
      </c>
      <c r="P94" s="99" t="str">
        <f t="shared" si="28"/>
        <v>-</v>
      </c>
      <c r="Q94" s="113" t="str">
        <f t="shared" si="29"/>
        <v>-</v>
      </c>
    </row>
    <row r="95" spans="2:17" ht="15" customHeight="1">
      <c r="B95" s="111" t="str">
        <v>-</v>
      </c>
      <c r="C95" s="109" t="str">
        <v>-</v>
      </c>
      <c r="D95" s="99" t="str">
        <f t="shared" si="19"/>
        <v>-</v>
      </c>
      <c r="E95" s="92" t="str">
        <f t="shared" si="20"/>
        <v>-</v>
      </c>
      <c r="F95" s="109" t="str">
        <v>-</v>
      </c>
      <c r="G95" s="28" t="str">
        <f t="shared" si="21"/>
        <v>-</v>
      </c>
      <c r="H95" s="102" t="str">
        <f t="shared" si="27"/>
        <v>-</v>
      </c>
      <c r="I95" s="109" t="str">
        <v>-</v>
      </c>
      <c r="J95" s="28" t="str">
        <f t="shared" si="22"/>
        <v>-</v>
      </c>
      <c r="K95" s="99" t="str">
        <f t="shared" si="23"/>
        <v>-</v>
      </c>
      <c r="L95" s="102" t="str">
        <f t="shared" si="24"/>
        <v>-</v>
      </c>
      <c r="M95" s="109" t="str">
        <v>-</v>
      </c>
      <c r="N95" s="28" t="str">
        <f t="shared" si="25"/>
        <v>-</v>
      </c>
      <c r="O95" s="99" t="str">
        <f t="shared" si="26"/>
        <v>-</v>
      </c>
      <c r="P95" s="99" t="str">
        <f t="shared" si="28"/>
        <v>-</v>
      </c>
      <c r="Q95" s="113" t="str">
        <f t="shared" si="29"/>
        <v>-</v>
      </c>
    </row>
    <row r="96" spans="2:17" ht="15" customHeight="1">
      <c r="B96" s="111" t="str">
        <v>-</v>
      </c>
      <c r="C96" s="109" t="str">
        <v>-</v>
      </c>
      <c r="D96" s="99" t="str">
        <f t="shared" si="19"/>
        <v>-</v>
      </c>
      <c r="E96" s="92" t="str">
        <f t="shared" si="20"/>
        <v>-</v>
      </c>
      <c r="F96" s="109" t="str">
        <v>-</v>
      </c>
      <c r="G96" s="28" t="str">
        <f t="shared" si="21"/>
        <v>-</v>
      </c>
      <c r="H96" s="102" t="str">
        <f t="shared" si="27"/>
        <v>-</v>
      </c>
      <c r="I96" s="109" t="str">
        <v>-</v>
      </c>
      <c r="J96" s="28" t="str">
        <f t="shared" si="22"/>
        <v>-</v>
      </c>
      <c r="K96" s="99" t="str">
        <f t="shared" si="23"/>
        <v>-</v>
      </c>
      <c r="L96" s="102" t="str">
        <f t="shared" si="24"/>
        <v>-</v>
      </c>
      <c r="M96" s="109" t="str">
        <v>-</v>
      </c>
      <c r="N96" s="28" t="str">
        <f t="shared" si="25"/>
        <v>-</v>
      </c>
      <c r="O96" s="99" t="str">
        <f t="shared" si="26"/>
        <v>-</v>
      </c>
      <c r="P96" s="99" t="str">
        <f t="shared" si="28"/>
        <v>-</v>
      </c>
      <c r="Q96" s="113" t="str">
        <f t="shared" si="29"/>
        <v>-</v>
      </c>
    </row>
    <row r="97" spans="2:17" ht="15" customHeight="1">
      <c r="B97" s="111" t="str">
        <v>-</v>
      </c>
      <c r="C97" s="109" t="str">
        <v>-</v>
      </c>
      <c r="D97" s="99" t="str">
        <f t="shared" si="19"/>
        <v>-</v>
      </c>
      <c r="E97" s="92" t="str">
        <f t="shared" si="20"/>
        <v>-</v>
      </c>
      <c r="F97" s="109" t="str">
        <v>-</v>
      </c>
      <c r="G97" s="28" t="str">
        <f t="shared" si="21"/>
        <v>-</v>
      </c>
      <c r="H97" s="102" t="str">
        <f t="shared" si="27"/>
        <v>-</v>
      </c>
      <c r="I97" s="109" t="str">
        <v>-</v>
      </c>
      <c r="J97" s="28" t="str">
        <f t="shared" si="22"/>
        <v>-</v>
      </c>
      <c r="K97" s="99" t="str">
        <f t="shared" si="23"/>
        <v>-</v>
      </c>
      <c r="L97" s="102" t="str">
        <f t="shared" si="24"/>
        <v>-</v>
      </c>
      <c r="M97" s="109" t="str">
        <v>-</v>
      </c>
      <c r="N97" s="28" t="str">
        <f t="shared" si="25"/>
        <v>-</v>
      </c>
      <c r="O97" s="99" t="str">
        <f t="shared" si="26"/>
        <v>-</v>
      </c>
      <c r="P97" s="99" t="str">
        <f t="shared" si="28"/>
        <v>-</v>
      </c>
      <c r="Q97" s="113" t="str">
        <f t="shared" si="29"/>
        <v>-</v>
      </c>
    </row>
    <row r="98" spans="2:17" ht="15" customHeight="1">
      <c r="B98" s="111" t="str">
        <v>-</v>
      </c>
      <c r="C98" s="109" t="str">
        <v>-</v>
      </c>
      <c r="D98" s="99" t="str">
        <f t="shared" si="19"/>
        <v>-</v>
      </c>
      <c r="E98" s="92" t="str">
        <f t="shared" si="20"/>
        <v>-</v>
      </c>
      <c r="F98" s="109" t="str">
        <v>-</v>
      </c>
      <c r="G98" s="28" t="str">
        <f t="shared" si="21"/>
        <v>-</v>
      </c>
      <c r="H98" s="102" t="str">
        <f t="shared" si="27"/>
        <v>-</v>
      </c>
      <c r="I98" s="109" t="str">
        <v>-</v>
      </c>
      <c r="J98" s="28" t="str">
        <f t="shared" si="22"/>
        <v>-</v>
      </c>
      <c r="K98" s="99" t="str">
        <f t="shared" si="23"/>
        <v>-</v>
      </c>
      <c r="L98" s="102" t="str">
        <f t="shared" si="24"/>
        <v>-</v>
      </c>
      <c r="M98" s="109" t="str">
        <v>-</v>
      </c>
      <c r="N98" s="28" t="str">
        <f t="shared" si="25"/>
        <v>-</v>
      </c>
      <c r="O98" s="99" t="str">
        <f t="shared" si="26"/>
        <v>-</v>
      </c>
      <c r="P98" s="99" t="str">
        <f t="shared" si="28"/>
        <v>-</v>
      </c>
      <c r="Q98" s="113" t="str">
        <f t="shared" si="29"/>
        <v>-</v>
      </c>
    </row>
    <row r="99" spans="2:17" ht="15" customHeight="1">
      <c r="B99" s="111" t="str">
        <v>-</v>
      </c>
      <c r="C99" s="109" t="str">
        <v>-</v>
      </c>
      <c r="D99" s="99" t="str">
        <f t="shared" si="19"/>
        <v>-</v>
      </c>
      <c r="E99" s="92" t="str">
        <f t="shared" si="20"/>
        <v>-</v>
      </c>
      <c r="F99" s="109" t="str">
        <v>-</v>
      </c>
      <c r="G99" s="28" t="str">
        <f t="shared" si="21"/>
        <v>-</v>
      </c>
      <c r="H99" s="102" t="str">
        <f t="shared" si="27"/>
        <v>-</v>
      </c>
      <c r="I99" s="109" t="str">
        <v>-</v>
      </c>
      <c r="J99" s="28" t="str">
        <f t="shared" si="22"/>
        <v>-</v>
      </c>
      <c r="K99" s="99" t="str">
        <f t="shared" si="23"/>
        <v>-</v>
      </c>
      <c r="L99" s="102" t="str">
        <f t="shared" si="24"/>
        <v>-</v>
      </c>
      <c r="M99" s="109" t="str">
        <v>-</v>
      </c>
      <c r="N99" s="28" t="str">
        <f t="shared" si="25"/>
        <v>-</v>
      </c>
      <c r="O99" s="99" t="str">
        <f t="shared" si="26"/>
        <v>-</v>
      </c>
      <c r="P99" s="99" t="str">
        <f t="shared" si="28"/>
        <v>-</v>
      </c>
      <c r="Q99" s="113" t="str">
        <f t="shared" si="29"/>
        <v>-</v>
      </c>
    </row>
    <row r="100" spans="2:17" ht="15" customHeight="1">
      <c r="B100" s="111" t="str">
        <v>-</v>
      </c>
      <c r="C100" s="109" t="str">
        <v>-</v>
      </c>
      <c r="D100" s="99" t="str">
        <f t="shared" si="19"/>
        <v>-</v>
      </c>
      <c r="E100" s="92" t="str">
        <f t="shared" si="20"/>
        <v>-</v>
      </c>
      <c r="F100" s="109" t="str">
        <v>-</v>
      </c>
      <c r="G100" s="28" t="str">
        <f t="shared" si="21"/>
        <v>-</v>
      </c>
      <c r="H100" s="102" t="str">
        <f t="shared" si="27"/>
        <v>-</v>
      </c>
      <c r="I100" s="109" t="str">
        <v>-</v>
      </c>
      <c r="J100" s="28" t="str">
        <f t="shared" si="22"/>
        <v>-</v>
      </c>
      <c r="K100" s="99" t="str">
        <f t="shared" si="23"/>
        <v>-</v>
      </c>
      <c r="L100" s="102" t="str">
        <f t="shared" si="24"/>
        <v>-</v>
      </c>
      <c r="M100" s="109" t="str">
        <v>-</v>
      </c>
      <c r="N100" s="28" t="str">
        <f t="shared" si="25"/>
        <v>-</v>
      </c>
      <c r="O100" s="99" t="str">
        <f t="shared" si="26"/>
        <v>-</v>
      </c>
      <c r="P100" s="99" t="str">
        <f t="shared" si="28"/>
        <v>-</v>
      </c>
      <c r="Q100" s="113" t="str">
        <f t="shared" si="29"/>
        <v>-</v>
      </c>
    </row>
    <row r="101" spans="2:17" ht="15" customHeight="1">
      <c r="B101" s="111" t="str">
        <v>-</v>
      </c>
      <c r="C101" s="109" t="str">
        <v>-</v>
      </c>
      <c r="D101" s="99" t="str">
        <f t="shared" si="19"/>
        <v>-</v>
      </c>
      <c r="E101" s="92" t="str">
        <f t="shared" si="20"/>
        <v>-</v>
      </c>
      <c r="F101" s="109" t="str">
        <v>-</v>
      </c>
      <c r="G101" s="28" t="str">
        <f t="shared" si="21"/>
        <v>-</v>
      </c>
      <c r="H101" s="102" t="str">
        <f t="shared" si="27"/>
        <v>-</v>
      </c>
      <c r="I101" s="109" t="str">
        <v>-</v>
      </c>
      <c r="J101" s="28" t="str">
        <f t="shared" si="22"/>
        <v>-</v>
      </c>
      <c r="K101" s="99" t="str">
        <f t="shared" si="23"/>
        <v>-</v>
      </c>
      <c r="L101" s="102" t="str">
        <f t="shared" si="24"/>
        <v>-</v>
      </c>
      <c r="M101" s="109" t="str">
        <v>-</v>
      </c>
      <c r="N101" s="28" t="str">
        <f t="shared" si="25"/>
        <v>-</v>
      </c>
      <c r="O101" s="99" t="str">
        <f t="shared" si="26"/>
        <v>-</v>
      </c>
      <c r="P101" s="99" t="str">
        <f t="shared" si="28"/>
        <v>-</v>
      </c>
      <c r="Q101" s="113" t="str">
        <f t="shared" si="29"/>
        <v>-</v>
      </c>
    </row>
    <row r="102" spans="2:17" ht="15" customHeight="1">
      <c r="B102" s="111" t="str">
        <v>-</v>
      </c>
      <c r="C102" s="109" t="str">
        <v>-</v>
      </c>
      <c r="D102" s="99" t="str">
        <f t="shared" si="19"/>
        <v>-</v>
      </c>
      <c r="E102" s="92" t="str">
        <f t="shared" si="20"/>
        <v>-</v>
      </c>
      <c r="F102" s="109" t="str">
        <v>-</v>
      </c>
      <c r="G102" s="28" t="str">
        <f t="shared" si="21"/>
        <v>-</v>
      </c>
      <c r="H102" s="102" t="str">
        <f t="shared" si="27"/>
        <v>-</v>
      </c>
      <c r="I102" s="109" t="str">
        <v>-</v>
      </c>
      <c r="J102" s="28" t="str">
        <f t="shared" si="22"/>
        <v>-</v>
      </c>
      <c r="K102" s="99" t="str">
        <f t="shared" si="23"/>
        <v>-</v>
      </c>
      <c r="L102" s="102" t="str">
        <f t="shared" si="24"/>
        <v>-</v>
      </c>
      <c r="M102" s="109" t="str">
        <v>-</v>
      </c>
      <c r="N102" s="28" t="str">
        <f t="shared" si="25"/>
        <v>-</v>
      </c>
      <c r="O102" s="99" t="str">
        <f t="shared" si="26"/>
        <v>-</v>
      </c>
      <c r="P102" s="99" t="str">
        <f t="shared" si="28"/>
        <v>-</v>
      </c>
      <c r="Q102" s="113" t="str">
        <f t="shared" si="29"/>
        <v>-</v>
      </c>
    </row>
    <row r="103" spans="2:17" ht="15" customHeight="1">
      <c r="B103" s="111" t="str">
        <v>-</v>
      </c>
      <c r="C103" s="109" t="str">
        <v>-</v>
      </c>
      <c r="D103" s="99" t="str">
        <f t="shared" si="19"/>
        <v>-</v>
      </c>
      <c r="E103" s="92" t="str">
        <f t="shared" si="20"/>
        <v>-</v>
      </c>
      <c r="F103" s="109" t="str">
        <v>-</v>
      </c>
      <c r="G103" s="28" t="str">
        <f t="shared" si="21"/>
        <v>-</v>
      </c>
      <c r="H103" s="102" t="str">
        <f t="shared" si="27"/>
        <v>-</v>
      </c>
      <c r="I103" s="109" t="str">
        <v>-</v>
      </c>
      <c r="J103" s="28" t="str">
        <f t="shared" si="22"/>
        <v>-</v>
      </c>
      <c r="K103" s="99" t="str">
        <f t="shared" si="23"/>
        <v>-</v>
      </c>
      <c r="L103" s="102" t="str">
        <f t="shared" si="24"/>
        <v>-</v>
      </c>
      <c r="M103" s="109" t="str">
        <v>-</v>
      </c>
      <c r="N103" s="28" t="str">
        <f t="shared" si="25"/>
        <v>-</v>
      </c>
      <c r="O103" s="99" t="str">
        <f t="shared" si="26"/>
        <v>-</v>
      </c>
      <c r="P103" s="99" t="str">
        <f t="shared" si="28"/>
        <v>-</v>
      </c>
      <c r="Q103" s="113" t="str">
        <f t="shared" si="29"/>
        <v>-</v>
      </c>
    </row>
    <row r="104" spans="2:17" ht="15" customHeight="1">
      <c r="B104" s="111" t="str">
        <v>-</v>
      </c>
      <c r="C104" s="109" t="str">
        <v>-</v>
      </c>
      <c r="D104" s="99" t="str">
        <f t="shared" si="19"/>
        <v>-</v>
      </c>
      <c r="E104" s="92" t="str">
        <f t="shared" si="20"/>
        <v>-</v>
      </c>
      <c r="F104" s="109" t="str">
        <v>-</v>
      </c>
      <c r="G104" s="28" t="str">
        <f t="shared" si="21"/>
        <v>-</v>
      </c>
      <c r="H104" s="102" t="str">
        <f t="shared" si="27"/>
        <v>-</v>
      </c>
      <c r="I104" s="109" t="str">
        <v>-</v>
      </c>
      <c r="J104" s="28" t="str">
        <f t="shared" si="22"/>
        <v>-</v>
      </c>
      <c r="K104" s="99" t="str">
        <f t="shared" si="23"/>
        <v>-</v>
      </c>
      <c r="L104" s="102" t="str">
        <f t="shared" si="24"/>
        <v>-</v>
      </c>
      <c r="M104" s="109" t="str">
        <v>-</v>
      </c>
      <c r="N104" s="28" t="str">
        <f t="shared" si="25"/>
        <v>-</v>
      </c>
      <c r="O104" s="99" t="str">
        <f t="shared" si="26"/>
        <v>-</v>
      </c>
      <c r="P104" s="99" t="str">
        <f t="shared" si="28"/>
        <v>-</v>
      </c>
      <c r="Q104" s="113" t="str">
        <f t="shared" si="29"/>
        <v>-</v>
      </c>
    </row>
    <row r="105" spans="2:17" ht="15" customHeight="1">
      <c r="B105" s="111" t="str">
        <v>-</v>
      </c>
      <c r="C105" s="109" t="str">
        <v>-</v>
      </c>
      <c r="D105" s="99" t="str">
        <f t="shared" si="19"/>
        <v>-</v>
      </c>
      <c r="E105" s="92" t="str">
        <f t="shared" si="20"/>
        <v>-</v>
      </c>
      <c r="F105" s="109" t="str">
        <v>-</v>
      </c>
      <c r="G105" s="28" t="str">
        <f t="shared" si="21"/>
        <v>-</v>
      </c>
      <c r="H105" s="102" t="str">
        <f t="shared" si="27"/>
        <v>-</v>
      </c>
      <c r="I105" s="109" t="str">
        <v>-</v>
      </c>
      <c r="J105" s="28" t="str">
        <f t="shared" si="22"/>
        <v>-</v>
      </c>
      <c r="K105" s="99" t="str">
        <f t="shared" si="23"/>
        <v>-</v>
      </c>
      <c r="L105" s="102" t="str">
        <f t="shared" si="24"/>
        <v>-</v>
      </c>
      <c r="M105" s="109" t="str">
        <v>-</v>
      </c>
      <c r="N105" s="28" t="str">
        <f t="shared" si="25"/>
        <v>-</v>
      </c>
      <c r="O105" s="99" t="str">
        <f t="shared" si="26"/>
        <v>-</v>
      </c>
      <c r="P105" s="99" t="str">
        <f t="shared" si="28"/>
        <v>-</v>
      </c>
      <c r="Q105" s="113" t="str">
        <f t="shared" si="29"/>
        <v>-</v>
      </c>
    </row>
    <row r="106" spans="2:17" ht="15" customHeight="1">
      <c r="B106" s="111" t="str">
        <v>-</v>
      </c>
      <c r="C106" s="109" t="str">
        <v>-</v>
      </c>
      <c r="D106" s="99" t="str">
        <f t="shared" si="19"/>
        <v>-</v>
      </c>
      <c r="E106" s="92" t="str">
        <f t="shared" si="20"/>
        <v>-</v>
      </c>
      <c r="F106" s="109" t="str">
        <v>-</v>
      </c>
      <c r="G106" s="28" t="str">
        <f t="shared" si="21"/>
        <v>-</v>
      </c>
      <c r="H106" s="102" t="str">
        <f t="shared" si="27"/>
        <v>-</v>
      </c>
      <c r="I106" s="109" t="str">
        <v>-</v>
      </c>
      <c r="J106" s="28" t="str">
        <f t="shared" si="22"/>
        <v>-</v>
      </c>
      <c r="K106" s="99" t="str">
        <f t="shared" si="23"/>
        <v>-</v>
      </c>
      <c r="L106" s="102" t="str">
        <f t="shared" si="24"/>
        <v>-</v>
      </c>
      <c r="M106" s="109" t="str">
        <v>-</v>
      </c>
      <c r="N106" s="28" t="str">
        <f t="shared" si="25"/>
        <v>-</v>
      </c>
      <c r="O106" s="99" t="str">
        <f t="shared" si="26"/>
        <v>-</v>
      </c>
      <c r="P106" s="99" t="str">
        <f t="shared" si="28"/>
        <v>-</v>
      </c>
      <c r="Q106" s="113" t="str">
        <f t="shared" si="29"/>
        <v>-</v>
      </c>
    </row>
    <row r="107" spans="2:17" ht="15" customHeight="1">
      <c r="B107" s="111" t="str">
        <v>-</v>
      </c>
      <c r="C107" s="109" t="str">
        <v>-</v>
      </c>
      <c r="D107" s="99" t="str">
        <f t="shared" si="19"/>
        <v>-</v>
      </c>
      <c r="E107" s="92" t="str">
        <f t="shared" si="20"/>
        <v>-</v>
      </c>
      <c r="F107" s="109" t="str">
        <v>-</v>
      </c>
      <c r="G107" s="28" t="str">
        <f t="shared" si="21"/>
        <v>-</v>
      </c>
      <c r="H107" s="102" t="str">
        <f t="shared" si="27"/>
        <v>-</v>
      </c>
      <c r="I107" s="109" t="str">
        <v>-</v>
      </c>
      <c r="J107" s="28" t="str">
        <f t="shared" si="22"/>
        <v>-</v>
      </c>
      <c r="K107" s="99" t="str">
        <f t="shared" si="23"/>
        <v>-</v>
      </c>
      <c r="L107" s="102" t="str">
        <f t="shared" si="24"/>
        <v>-</v>
      </c>
      <c r="M107" s="109" t="str">
        <v>-</v>
      </c>
      <c r="N107" s="28" t="str">
        <f t="shared" si="25"/>
        <v>-</v>
      </c>
      <c r="O107" s="99" t="str">
        <f t="shared" si="26"/>
        <v>-</v>
      </c>
      <c r="P107" s="99" t="str">
        <f t="shared" si="28"/>
        <v>-</v>
      </c>
      <c r="Q107" s="113" t="str">
        <f t="shared" si="29"/>
        <v>-</v>
      </c>
    </row>
    <row r="108" spans="2:17" ht="15" customHeight="1">
      <c r="B108" s="111" t="str">
        <v>-</v>
      </c>
      <c r="C108" s="109" t="str">
        <v>-</v>
      </c>
      <c r="D108" s="99" t="str">
        <f t="shared" si="19"/>
        <v>-</v>
      </c>
      <c r="E108" s="92" t="str">
        <f t="shared" si="20"/>
        <v>-</v>
      </c>
      <c r="F108" s="109" t="str">
        <v>-</v>
      </c>
      <c r="G108" s="28" t="str">
        <f t="shared" si="21"/>
        <v>-</v>
      </c>
      <c r="H108" s="102" t="str">
        <f t="shared" si="27"/>
        <v>-</v>
      </c>
      <c r="I108" s="109" t="str">
        <v>-</v>
      </c>
      <c r="J108" s="28" t="str">
        <f t="shared" si="22"/>
        <v>-</v>
      </c>
      <c r="K108" s="99" t="str">
        <f t="shared" si="23"/>
        <v>-</v>
      </c>
      <c r="L108" s="102" t="str">
        <f t="shared" si="24"/>
        <v>-</v>
      </c>
      <c r="M108" s="109" t="str">
        <v>-</v>
      </c>
      <c r="N108" s="28" t="str">
        <f t="shared" si="25"/>
        <v>-</v>
      </c>
      <c r="O108" s="99" t="str">
        <f t="shared" si="26"/>
        <v>-</v>
      </c>
      <c r="P108" s="99" t="str">
        <f t="shared" si="28"/>
        <v>-</v>
      </c>
      <c r="Q108" s="113" t="str">
        <f t="shared" si="29"/>
        <v>-</v>
      </c>
    </row>
    <row r="109" spans="2:17" ht="15" customHeight="1">
      <c r="B109" s="111" t="str">
        <v>-</v>
      </c>
      <c r="C109" s="109" t="str">
        <v>-</v>
      </c>
      <c r="D109" s="99" t="str">
        <f t="shared" si="19"/>
        <v>-</v>
      </c>
      <c r="E109" s="92" t="str">
        <f t="shared" si="20"/>
        <v>-</v>
      </c>
      <c r="F109" s="109" t="str">
        <v>-</v>
      </c>
      <c r="G109" s="28" t="str">
        <f t="shared" si="21"/>
        <v>-</v>
      </c>
      <c r="H109" s="102" t="str">
        <f t="shared" si="27"/>
        <v>-</v>
      </c>
      <c r="I109" s="109" t="str">
        <v>-</v>
      </c>
      <c r="J109" s="28" t="str">
        <f t="shared" si="22"/>
        <v>-</v>
      </c>
      <c r="K109" s="99" t="str">
        <f t="shared" si="23"/>
        <v>-</v>
      </c>
      <c r="L109" s="102" t="str">
        <f t="shared" si="24"/>
        <v>-</v>
      </c>
      <c r="M109" s="109" t="str">
        <v>-</v>
      </c>
      <c r="N109" s="28" t="str">
        <f t="shared" si="25"/>
        <v>-</v>
      </c>
      <c r="O109" s="99" t="str">
        <f t="shared" si="26"/>
        <v>-</v>
      </c>
      <c r="P109" s="99" t="str">
        <f t="shared" si="28"/>
        <v>-</v>
      </c>
      <c r="Q109" s="113" t="str">
        <f t="shared" si="29"/>
        <v>-</v>
      </c>
    </row>
    <row r="110" spans="2:17" ht="15" customHeight="1">
      <c r="B110" s="111" t="str">
        <v>-</v>
      </c>
      <c r="C110" s="109" t="str">
        <v>-</v>
      </c>
      <c r="D110" s="99" t="str">
        <f t="shared" si="19"/>
        <v>-</v>
      </c>
      <c r="E110" s="92" t="str">
        <f t="shared" si="20"/>
        <v>-</v>
      </c>
      <c r="F110" s="109" t="str">
        <v>-</v>
      </c>
      <c r="G110" s="28" t="str">
        <f t="shared" si="21"/>
        <v>-</v>
      </c>
      <c r="H110" s="102" t="str">
        <f t="shared" si="27"/>
        <v>-</v>
      </c>
      <c r="I110" s="109" t="str">
        <v>-</v>
      </c>
      <c r="J110" s="28" t="str">
        <f t="shared" si="22"/>
        <v>-</v>
      </c>
      <c r="K110" s="99" t="str">
        <f t="shared" si="23"/>
        <v>-</v>
      </c>
      <c r="L110" s="102" t="str">
        <f t="shared" si="24"/>
        <v>-</v>
      </c>
      <c r="M110" s="109" t="str">
        <v>-</v>
      </c>
      <c r="N110" s="28" t="str">
        <f t="shared" si="25"/>
        <v>-</v>
      </c>
      <c r="O110" s="99" t="str">
        <f t="shared" si="26"/>
        <v>-</v>
      </c>
      <c r="P110" s="99" t="str">
        <f t="shared" si="28"/>
        <v>-</v>
      </c>
      <c r="Q110" s="113" t="str">
        <f t="shared" si="29"/>
        <v>-</v>
      </c>
    </row>
    <row r="111" spans="2:17" ht="15" customHeight="1">
      <c r="B111" s="111" t="str">
        <v>-</v>
      </c>
      <c r="C111" s="109" t="str">
        <v>-</v>
      </c>
      <c r="D111" s="99" t="str">
        <f t="shared" si="19"/>
        <v>-</v>
      </c>
      <c r="E111" s="92" t="str">
        <f t="shared" si="20"/>
        <v>-</v>
      </c>
      <c r="F111" s="109" t="str">
        <v>-</v>
      </c>
      <c r="G111" s="28" t="str">
        <f t="shared" si="21"/>
        <v>-</v>
      </c>
      <c r="H111" s="102" t="str">
        <f t="shared" si="27"/>
        <v>-</v>
      </c>
      <c r="I111" s="109" t="str">
        <v>-</v>
      </c>
      <c r="J111" s="28" t="str">
        <f t="shared" si="22"/>
        <v>-</v>
      </c>
      <c r="K111" s="99" t="str">
        <f t="shared" si="23"/>
        <v>-</v>
      </c>
      <c r="L111" s="102" t="str">
        <f t="shared" si="24"/>
        <v>-</v>
      </c>
      <c r="M111" s="109" t="str">
        <v>-</v>
      </c>
      <c r="N111" s="28" t="str">
        <f t="shared" si="25"/>
        <v>-</v>
      </c>
      <c r="O111" s="99" t="str">
        <f t="shared" si="26"/>
        <v>-</v>
      </c>
      <c r="P111" s="99" t="str">
        <f t="shared" si="28"/>
        <v>-</v>
      </c>
      <c r="Q111" s="113" t="str">
        <f t="shared" si="29"/>
        <v>-</v>
      </c>
    </row>
    <row r="112" spans="2:17" ht="15" customHeight="1">
      <c r="B112" s="111" t="str">
        <v>-</v>
      </c>
      <c r="C112" s="109" t="str">
        <v>-</v>
      </c>
      <c r="D112" s="99" t="str">
        <f t="shared" si="19"/>
        <v>-</v>
      </c>
      <c r="E112" s="92" t="str">
        <f t="shared" si="20"/>
        <v>-</v>
      </c>
      <c r="F112" s="109" t="str">
        <v>-</v>
      </c>
      <c r="G112" s="28" t="str">
        <f t="shared" si="21"/>
        <v>-</v>
      </c>
      <c r="H112" s="102" t="str">
        <f t="shared" si="27"/>
        <v>-</v>
      </c>
      <c r="I112" s="109" t="str">
        <v>-</v>
      </c>
      <c r="J112" s="28" t="str">
        <f t="shared" si="22"/>
        <v>-</v>
      </c>
      <c r="K112" s="99" t="str">
        <f t="shared" si="23"/>
        <v>-</v>
      </c>
      <c r="L112" s="102" t="str">
        <f t="shared" si="24"/>
        <v>-</v>
      </c>
      <c r="M112" s="109" t="str">
        <v>-</v>
      </c>
      <c r="N112" s="28" t="str">
        <f t="shared" si="25"/>
        <v>-</v>
      </c>
      <c r="O112" s="99" t="str">
        <f t="shared" si="26"/>
        <v>-</v>
      </c>
      <c r="P112" s="99" t="str">
        <f t="shared" si="28"/>
        <v>-</v>
      </c>
      <c r="Q112" s="113" t="str">
        <f t="shared" si="29"/>
        <v>-</v>
      </c>
    </row>
    <row r="113" spans="2:17" ht="15" customHeight="1">
      <c r="B113" s="111" t="str">
        <v>-</v>
      </c>
      <c r="C113" s="109" t="str">
        <v>-</v>
      </c>
      <c r="D113" s="99" t="str">
        <f t="shared" si="19"/>
        <v>-</v>
      </c>
      <c r="E113" s="92" t="str">
        <f t="shared" si="20"/>
        <v>-</v>
      </c>
      <c r="F113" s="109" t="str">
        <v>-</v>
      </c>
      <c r="G113" s="28" t="str">
        <f t="shared" si="21"/>
        <v>-</v>
      </c>
      <c r="H113" s="102" t="str">
        <f t="shared" si="27"/>
        <v>-</v>
      </c>
      <c r="I113" s="109" t="str">
        <v>-</v>
      </c>
      <c r="J113" s="28" t="str">
        <f t="shared" si="22"/>
        <v>-</v>
      </c>
      <c r="K113" s="99" t="str">
        <f t="shared" si="23"/>
        <v>-</v>
      </c>
      <c r="L113" s="102" t="str">
        <f t="shared" si="24"/>
        <v>-</v>
      </c>
      <c r="M113" s="109" t="str">
        <v>-</v>
      </c>
      <c r="N113" s="28" t="str">
        <f t="shared" si="25"/>
        <v>-</v>
      </c>
      <c r="O113" s="99" t="str">
        <f t="shared" si="26"/>
        <v>-</v>
      </c>
      <c r="P113" s="99" t="str">
        <f t="shared" si="28"/>
        <v>-</v>
      </c>
      <c r="Q113" s="113" t="str">
        <f t="shared" si="29"/>
        <v>-</v>
      </c>
    </row>
    <row r="114" spans="2:17" ht="15" customHeight="1">
      <c r="B114" s="111" t="str">
        <v>-</v>
      </c>
      <c r="C114" s="109" t="str">
        <v>-</v>
      </c>
      <c r="D114" s="99" t="str">
        <f t="shared" si="19"/>
        <v>-</v>
      </c>
      <c r="E114" s="92" t="str">
        <f t="shared" si="20"/>
        <v>-</v>
      </c>
      <c r="F114" s="109" t="str">
        <v>-</v>
      </c>
      <c r="G114" s="28" t="str">
        <f t="shared" si="21"/>
        <v>-</v>
      </c>
      <c r="H114" s="102" t="str">
        <f t="shared" si="27"/>
        <v>-</v>
      </c>
      <c r="I114" s="109" t="str">
        <v>-</v>
      </c>
      <c r="J114" s="28" t="str">
        <f t="shared" si="22"/>
        <v>-</v>
      </c>
      <c r="K114" s="99" t="str">
        <f t="shared" si="23"/>
        <v>-</v>
      </c>
      <c r="L114" s="102" t="str">
        <f t="shared" si="24"/>
        <v>-</v>
      </c>
      <c r="M114" s="109" t="str">
        <v>-</v>
      </c>
      <c r="N114" s="28" t="str">
        <f t="shared" si="25"/>
        <v>-</v>
      </c>
      <c r="O114" s="99" t="str">
        <f t="shared" si="26"/>
        <v>-</v>
      </c>
      <c r="P114" s="99" t="str">
        <f t="shared" si="28"/>
        <v>-</v>
      </c>
      <c r="Q114" s="113" t="str">
        <f t="shared" si="29"/>
        <v>-</v>
      </c>
    </row>
    <row r="115" spans="2:17" ht="15" customHeight="1">
      <c r="B115" s="111" t="str">
        <v>-</v>
      </c>
      <c r="C115" s="109" t="str">
        <v>-</v>
      </c>
      <c r="D115" s="99" t="str">
        <f t="shared" si="19"/>
        <v>-</v>
      </c>
      <c r="E115" s="92" t="str">
        <f t="shared" si="20"/>
        <v>-</v>
      </c>
      <c r="F115" s="109" t="str">
        <v>-</v>
      </c>
      <c r="G115" s="28" t="str">
        <f t="shared" si="21"/>
        <v>-</v>
      </c>
      <c r="H115" s="102" t="str">
        <f t="shared" si="27"/>
        <v>-</v>
      </c>
      <c r="I115" s="109" t="str">
        <v>-</v>
      </c>
      <c r="J115" s="28" t="str">
        <f t="shared" si="22"/>
        <v>-</v>
      </c>
      <c r="K115" s="99" t="str">
        <f t="shared" si="23"/>
        <v>-</v>
      </c>
      <c r="L115" s="102" t="str">
        <f t="shared" si="24"/>
        <v>-</v>
      </c>
      <c r="M115" s="109" t="str">
        <v>-</v>
      </c>
      <c r="N115" s="28" t="str">
        <f t="shared" si="25"/>
        <v>-</v>
      </c>
      <c r="O115" s="99" t="str">
        <f t="shared" si="26"/>
        <v>-</v>
      </c>
      <c r="P115" s="99" t="str">
        <f t="shared" si="28"/>
        <v>-</v>
      </c>
      <c r="Q115" s="113" t="str">
        <f t="shared" si="29"/>
        <v>-</v>
      </c>
    </row>
    <row r="116" spans="2:17" ht="15" customHeight="1">
      <c r="B116" s="111" t="str">
        <v>-</v>
      </c>
      <c r="C116" s="109" t="str">
        <v>-</v>
      </c>
      <c r="D116" s="99" t="str">
        <f t="shared" si="19"/>
        <v>-</v>
      </c>
      <c r="E116" s="92" t="str">
        <f t="shared" si="20"/>
        <v>-</v>
      </c>
      <c r="F116" s="109" t="str">
        <v>-</v>
      </c>
      <c r="G116" s="28" t="str">
        <f t="shared" si="21"/>
        <v>-</v>
      </c>
      <c r="H116" s="102" t="str">
        <f t="shared" si="27"/>
        <v>-</v>
      </c>
      <c r="I116" s="109" t="str">
        <v>-</v>
      </c>
      <c r="J116" s="28" t="str">
        <f t="shared" si="22"/>
        <v>-</v>
      </c>
      <c r="K116" s="99" t="str">
        <f t="shared" si="23"/>
        <v>-</v>
      </c>
      <c r="L116" s="102" t="str">
        <f t="shared" si="24"/>
        <v>-</v>
      </c>
      <c r="M116" s="109" t="str">
        <v>-</v>
      </c>
      <c r="N116" s="28" t="str">
        <f t="shared" si="25"/>
        <v>-</v>
      </c>
      <c r="O116" s="99" t="str">
        <f t="shared" si="26"/>
        <v>-</v>
      </c>
      <c r="P116" s="99" t="str">
        <f t="shared" si="28"/>
        <v>-</v>
      </c>
      <c r="Q116" s="113" t="str">
        <f t="shared" si="29"/>
        <v>-</v>
      </c>
    </row>
    <row r="117" spans="2:17" ht="15" customHeight="1">
      <c r="B117" s="111" t="str">
        <v>-</v>
      </c>
      <c r="C117" s="109" t="str">
        <v>-</v>
      </c>
      <c r="D117" s="99" t="str">
        <f t="shared" si="19"/>
        <v>-</v>
      </c>
      <c r="E117" s="92" t="str">
        <f t="shared" si="20"/>
        <v>-</v>
      </c>
      <c r="F117" s="109" t="str">
        <v>-</v>
      </c>
      <c r="G117" s="28" t="str">
        <f t="shared" si="21"/>
        <v>-</v>
      </c>
      <c r="H117" s="102" t="str">
        <f t="shared" si="27"/>
        <v>-</v>
      </c>
      <c r="I117" s="109" t="str">
        <v>-</v>
      </c>
      <c r="J117" s="28" t="str">
        <f t="shared" si="22"/>
        <v>-</v>
      </c>
      <c r="K117" s="99" t="str">
        <f t="shared" si="23"/>
        <v>-</v>
      </c>
      <c r="L117" s="102" t="str">
        <f t="shared" si="24"/>
        <v>-</v>
      </c>
      <c r="M117" s="109" t="str">
        <v>-</v>
      </c>
      <c r="N117" s="28" t="str">
        <f t="shared" si="25"/>
        <v>-</v>
      </c>
      <c r="O117" s="99" t="str">
        <f t="shared" si="26"/>
        <v>-</v>
      </c>
      <c r="P117" s="99" t="str">
        <f t="shared" si="28"/>
        <v>-</v>
      </c>
      <c r="Q117" s="113" t="str">
        <f t="shared" si="29"/>
        <v>-</v>
      </c>
    </row>
    <row r="118" spans="2:17" ht="15" customHeight="1">
      <c r="B118" s="111" t="str">
        <v>-</v>
      </c>
      <c r="C118" s="109" t="str">
        <v>-</v>
      </c>
      <c r="D118" s="99" t="str">
        <f t="shared" si="19"/>
        <v>-</v>
      </c>
      <c r="E118" s="92" t="str">
        <f t="shared" si="20"/>
        <v>-</v>
      </c>
      <c r="F118" s="109" t="str">
        <v>-</v>
      </c>
      <c r="G118" s="28" t="str">
        <f t="shared" si="21"/>
        <v>-</v>
      </c>
      <c r="H118" s="102" t="str">
        <f t="shared" si="27"/>
        <v>-</v>
      </c>
      <c r="I118" s="109" t="str">
        <v>-</v>
      </c>
      <c r="J118" s="28" t="str">
        <f t="shared" si="22"/>
        <v>-</v>
      </c>
      <c r="K118" s="99" t="str">
        <f t="shared" si="23"/>
        <v>-</v>
      </c>
      <c r="L118" s="102" t="str">
        <f t="shared" si="24"/>
        <v>-</v>
      </c>
      <c r="M118" s="109" t="str">
        <v>-</v>
      </c>
      <c r="N118" s="28" t="str">
        <f t="shared" si="25"/>
        <v>-</v>
      </c>
      <c r="O118" s="99" t="str">
        <f t="shared" si="26"/>
        <v>-</v>
      </c>
      <c r="P118" s="99" t="str">
        <f t="shared" si="28"/>
        <v>-</v>
      </c>
      <c r="Q118" s="113" t="str">
        <f t="shared" si="29"/>
        <v>-</v>
      </c>
    </row>
    <row r="119" spans="2:17" ht="15" customHeight="1">
      <c r="B119" s="111" t="str">
        <v>-</v>
      </c>
      <c r="C119" s="109" t="str">
        <v>-</v>
      </c>
      <c r="D119" s="99" t="str">
        <f t="shared" si="19"/>
        <v>-</v>
      </c>
      <c r="E119" s="92" t="str">
        <f t="shared" si="20"/>
        <v>-</v>
      </c>
      <c r="F119" s="109" t="str">
        <v>-</v>
      </c>
      <c r="G119" s="28" t="str">
        <f t="shared" si="21"/>
        <v>-</v>
      </c>
      <c r="H119" s="102" t="str">
        <f t="shared" si="27"/>
        <v>-</v>
      </c>
      <c r="I119" s="109" t="str">
        <v>-</v>
      </c>
      <c r="J119" s="28" t="str">
        <f t="shared" si="22"/>
        <v>-</v>
      </c>
      <c r="K119" s="99" t="str">
        <f t="shared" si="23"/>
        <v>-</v>
      </c>
      <c r="L119" s="102" t="str">
        <f t="shared" si="24"/>
        <v>-</v>
      </c>
      <c r="M119" s="109" t="str">
        <v>-</v>
      </c>
      <c r="N119" s="28" t="str">
        <f t="shared" si="25"/>
        <v>-</v>
      </c>
      <c r="O119" s="99" t="str">
        <f t="shared" si="26"/>
        <v>-</v>
      </c>
      <c r="P119" s="99" t="str">
        <f t="shared" si="28"/>
        <v>-</v>
      </c>
      <c r="Q119" s="113" t="str">
        <f t="shared" si="29"/>
        <v>-</v>
      </c>
    </row>
    <row r="120" spans="2:17" ht="15" customHeight="1">
      <c r="B120" s="111" t="str">
        <v>-</v>
      </c>
      <c r="C120" s="109" t="str">
        <v>-</v>
      </c>
      <c r="D120" s="99" t="str">
        <f t="shared" si="19"/>
        <v>-</v>
      </c>
      <c r="E120" s="92" t="str">
        <f t="shared" si="20"/>
        <v>-</v>
      </c>
      <c r="F120" s="109" t="str">
        <v>-</v>
      </c>
      <c r="G120" s="28" t="str">
        <f t="shared" si="21"/>
        <v>-</v>
      </c>
      <c r="H120" s="102" t="str">
        <f t="shared" si="27"/>
        <v>-</v>
      </c>
      <c r="I120" s="109" t="str">
        <v>-</v>
      </c>
      <c r="J120" s="28" t="str">
        <f t="shared" si="22"/>
        <v>-</v>
      </c>
      <c r="K120" s="99" t="str">
        <f t="shared" si="23"/>
        <v>-</v>
      </c>
      <c r="L120" s="102" t="str">
        <f t="shared" si="24"/>
        <v>-</v>
      </c>
      <c r="M120" s="109" t="str">
        <v>-</v>
      </c>
      <c r="N120" s="28" t="str">
        <f t="shared" si="25"/>
        <v>-</v>
      </c>
      <c r="O120" s="99" t="str">
        <f t="shared" si="26"/>
        <v>-</v>
      </c>
      <c r="P120" s="99" t="str">
        <f t="shared" si="28"/>
        <v>-</v>
      </c>
      <c r="Q120" s="113" t="str">
        <f t="shared" si="29"/>
        <v>-</v>
      </c>
    </row>
    <row r="121" spans="2:17" ht="15" customHeight="1">
      <c r="B121" s="111" t="str">
        <v>-</v>
      </c>
      <c r="C121" s="109" t="str">
        <v>-</v>
      </c>
      <c r="D121" s="99" t="str">
        <f t="shared" si="19"/>
        <v>-</v>
      </c>
      <c r="E121" s="92" t="str">
        <f t="shared" si="20"/>
        <v>-</v>
      </c>
      <c r="F121" s="109" t="str">
        <v>-</v>
      </c>
      <c r="G121" s="28" t="str">
        <f t="shared" si="21"/>
        <v>-</v>
      </c>
      <c r="H121" s="102" t="str">
        <f t="shared" si="27"/>
        <v>-</v>
      </c>
      <c r="I121" s="109" t="str">
        <v>-</v>
      </c>
      <c r="J121" s="28" t="str">
        <f t="shared" si="22"/>
        <v>-</v>
      </c>
      <c r="K121" s="99" t="str">
        <f t="shared" si="23"/>
        <v>-</v>
      </c>
      <c r="L121" s="102" t="str">
        <f t="shared" si="24"/>
        <v>-</v>
      </c>
      <c r="M121" s="109" t="str">
        <v>-</v>
      </c>
      <c r="N121" s="28" t="str">
        <f t="shared" si="25"/>
        <v>-</v>
      </c>
      <c r="O121" s="99" t="str">
        <f t="shared" si="26"/>
        <v>-</v>
      </c>
      <c r="P121" s="99" t="str">
        <f t="shared" si="28"/>
        <v>-</v>
      </c>
      <c r="Q121" s="113" t="str">
        <f t="shared" si="29"/>
        <v>-</v>
      </c>
    </row>
    <row r="122" spans="2:17" ht="15" customHeight="1">
      <c r="B122" s="111" t="str">
        <v>-</v>
      </c>
      <c r="C122" s="109" t="str">
        <v>-</v>
      </c>
      <c r="D122" s="99" t="str">
        <f t="shared" si="19"/>
        <v>-</v>
      </c>
      <c r="E122" s="92" t="str">
        <f t="shared" si="20"/>
        <v>-</v>
      </c>
      <c r="F122" s="109" t="str">
        <v>-</v>
      </c>
      <c r="G122" s="28" t="str">
        <f t="shared" si="21"/>
        <v>-</v>
      </c>
      <c r="H122" s="102" t="str">
        <f t="shared" si="27"/>
        <v>-</v>
      </c>
      <c r="I122" s="109" t="str">
        <v>-</v>
      </c>
      <c r="J122" s="28" t="str">
        <f t="shared" si="22"/>
        <v>-</v>
      </c>
      <c r="K122" s="99" t="str">
        <f t="shared" si="23"/>
        <v>-</v>
      </c>
      <c r="L122" s="102" t="str">
        <f t="shared" si="24"/>
        <v>-</v>
      </c>
      <c r="M122" s="109" t="str">
        <v>-</v>
      </c>
      <c r="N122" s="28" t="str">
        <f t="shared" si="25"/>
        <v>-</v>
      </c>
      <c r="O122" s="99" t="str">
        <f t="shared" si="26"/>
        <v>-</v>
      </c>
      <c r="P122" s="99" t="str">
        <f t="shared" si="28"/>
        <v>-</v>
      </c>
      <c r="Q122" s="113" t="str">
        <f t="shared" si="29"/>
        <v>-</v>
      </c>
    </row>
    <row r="123" spans="2:17" ht="15" customHeight="1">
      <c r="B123" s="111" t="str">
        <v>-</v>
      </c>
      <c r="C123" s="109" t="str">
        <v>-</v>
      </c>
      <c r="D123" s="99" t="str">
        <f t="shared" si="19"/>
        <v>-</v>
      </c>
      <c r="E123" s="92" t="str">
        <f t="shared" si="20"/>
        <v>-</v>
      </c>
      <c r="F123" s="109" t="str">
        <v>-</v>
      </c>
      <c r="G123" s="28" t="str">
        <f t="shared" si="21"/>
        <v>-</v>
      </c>
      <c r="H123" s="102" t="str">
        <f t="shared" si="27"/>
        <v>-</v>
      </c>
      <c r="I123" s="109" t="str">
        <v>-</v>
      </c>
      <c r="J123" s="28" t="str">
        <f t="shared" si="22"/>
        <v>-</v>
      </c>
      <c r="K123" s="99" t="str">
        <f t="shared" si="23"/>
        <v>-</v>
      </c>
      <c r="L123" s="102" t="str">
        <f t="shared" si="24"/>
        <v>-</v>
      </c>
      <c r="M123" s="109" t="str">
        <v>-</v>
      </c>
      <c r="N123" s="28" t="str">
        <f t="shared" si="25"/>
        <v>-</v>
      </c>
      <c r="O123" s="99" t="str">
        <f t="shared" si="26"/>
        <v>-</v>
      </c>
      <c r="P123" s="99" t="str">
        <f t="shared" si="28"/>
        <v>-</v>
      </c>
      <c r="Q123" s="113" t="str">
        <f t="shared" si="29"/>
        <v>-</v>
      </c>
    </row>
    <row r="124" spans="2:17" ht="15" customHeight="1">
      <c r="B124" s="111" t="str">
        <v>-</v>
      </c>
      <c r="C124" s="109" t="str">
        <v>-</v>
      </c>
      <c r="D124" s="99" t="str">
        <f t="shared" si="19"/>
        <v>-</v>
      </c>
      <c r="E124" s="92" t="str">
        <f t="shared" ref="E124:E150" si="30">IF($C$4=FALSE,"-",IF(ISNUMBER(C125),C124/C125-1,""))</f>
        <v>-</v>
      </c>
      <c r="F124" s="109" t="str">
        <v>-</v>
      </c>
      <c r="G124" s="28" t="str">
        <f t="shared" ref="G124:G150" si="31">IF($C$4=FALSE,"-",IF(ISNUMBER(F125),F124/F125-1,""))</f>
        <v>-</v>
      </c>
      <c r="H124" s="102" t="str">
        <f t="shared" si="27"/>
        <v>-</v>
      </c>
      <c r="I124" s="109" t="str">
        <v>-</v>
      </c>
      <c r="J124" s="28" t="str">
        <f t="shared" ref="J124:J150" si="32">IF($C$4=FALSE,"-",IF(ISNUMBER(I125),I124/I125-1,""))</f>
        <v>-</v>
      </c>
      <c r="K124" s="99" t="str">
        <f t="shared" ref="K124:K151" si="33">IF($C$4=FALSE,"-",IF(ISNUMBER($D124),I124-$D124,""))</f>
        <v>-</v>
      </c>
      <c r="L124" s="102" t="str">
        <f t="shared" ref="L124:L151" si="34">IF($C$4=FALSE,"-",IF(ISNUMBER($F124),I124-$F124,""))</f>
        <v>-</v>
      </c>
      <c r="M124" s="109" t="str">
        <v>-</v>
      </c>
      <c r="N124" s="28" t="str">
        <f t="shared" ref="N124:N150" si="35">IF($C$4=FALSE,"-",IF(ISNUMBER(M125),M124/M125-1,""))</f>
        <v>-</v>
      </c>
      <c r="O124" s="99" t="str">
        <f t="shared" ref="O124:O151" si="36">IF($C$4=FALSE,"-",IF(ISNUMBER($D124),M124-$D124,""))</f>
        <v>-</v>
      </c>
      <c r="P124" s="99" t="str">
        <f t="shared" si="28"/>
        <v>-</v>
      </c>
      <c r="Q124" s="113" t="str">
        <f t="shared" si="29"/>
        <v>-</v>
      </c>
    </row>
    <row r="125" spans="2:17" ht="15" customHeight="1">
      <c r="B125" s="111" t="str">
        <v>-</v>
      </c>
      <c r="C125" s="109" t="str">
        <v>-</v>
      </c>
      <c r="D125" s="99" t="str">
        <f t="shared" si="19"/>
        <v>-</v>
      </c>
      <c r="E125" s="92" t="str">
        <f t="shared" si="30"/>
        <v>-</v>
      </c>
      <c r="F125" s="109" t="str">
        <v>-</v>
      </c>
      <c r="G125" s="28" t="str">
        <f t="shared" si="31"/>
        <v>-</v>
      </c>
      <c r="H125" s="102" t="str">
        <f t="shared" si="27"/>
        <v>-</v>
      </c>
      <c r="I125" s="109" t="str">
        <v>-</v>
      </c>
      <c r="J125" s="28" t="str">
        <f t="shared" si="32"/>
        <v>-</v>
      </c>
      <c r="K125" s="99" t="str">
        <f t="shared" si="33"/>
        <v>-</v>
      </c>
      <c r="L125" s="102" t="str">
        <f t="shared" si="34"/>
        <v>-</v>
      </c>
      <c r="M125" s="109" t="str">
        <v>-</v>
      </c>
      <c r="N125" s="28" t="str">
        <f t="shared" si="35"/>
        <v>-</v>
      </c>
      <c r="O125" s="99" t="str">
        <f t="shared" si="36"/>
        <v>-</v>
      </c>
      <c r="P125" s="99" t="str">
        <f t="shared" si="28"/>
        <v>-</v>
      </c>
      <c r="Q125" s="113" t="str">
        <f t="shared" si="29"/>
        <v>-</v>
      </c>
    </row>
    <row r="126" spans="2:17" ht="15" customHeight="1">
      <c r="B126" s="111" t="str">
        <v>-</v>
      </c>
      <c r="C126" s="109" t="str">
        <v>-</v>
      </c>
      <c r="D126" s="99" t="str">
        <f t="shared" si="19"/>
        <v>-</v>
      </c>
      <c r="E126" s="92" t="str">
        <f t="shared" si="30"/>
        <v>-</v>
      </c>
      <c r="F126" s="109" t="str">
        <v>-</v>
      </c>
      <c r="G126" s="28" t="str">
        <f t="shared" si="31"/>
        <v>-</v>
      </c>
      <c r="H126" s="102" t="str">
        <f t="shared" si="27"/>
        <v>-</v>
      </c>
      <c r="I126" s="109" t="str">
        <v>-</v>
      </c>
      <c r="J126" s="28" t="str">
        <f t="shared" si="32"/>
        <v>-</v>
      </c>
      <c r="K126" s="99" t="str">
        <f t="shared" si="33"/>
        <v>-</v>
      </c>
      <c r="L126" s="102" t="str">
        <f t="shared" si="34"/>
        <v>-</v>
      </c>
      <c r="M126" s="109" t="str">
        <v>-</v>
      </c>
      <c r="N126" s="28" t="str">
        <f t="shared" si="35"/>
        <v>-</v>
      </c>
      <c r="O126" s="99" t="str">
        <f t="shared" si="36"/>
        <v>-</v>
      </c>
      <c r="P126" s="99" t="str">
        <f t="shared" si="28"/>
        <v>-</v>
      </c>
      <c r="Q126" s="113" t="str">
        <f t="shared" si="29"/>
        <v>-</v>
      </c>
    </row>
    <row r="127" spans="2:17" ht="15" customHeight="1">
      <c r="B127" s="111" t="str">
        <v>-</v>
      </c>
      <c r="C127" s="109" t="str">
        <v>-</v>
      </c>
      <c r="D127" s="99" t="str">
        <f t="shared" si="19"/>
        <v>-</v>
      </c>
      <c r="E127" s="92" t="str">
        <f t="shared" si="30"/>
        <v>-</v>
      </c>
      <c r="F127" s="109" t="str">
        <v>-</v>
      </c>
      <c r="G127" s="28" t="str">
        <f t="shared" si="31"/>
        <v>-</v>
      </c>
      <c r="H127" s="102" t="str">
        <f t="shared" si="27"/>
        <v>-</v>
      </c>
      <c r="I127" s="109" t="str">
        <v>-</v>
      </c>
      <c r="J127" s="28" t="str">
        <f t="shared" si="32"/>
        <v>-</v>
      </c>
      <c r="K127" s="99" t="str">
        <f t="shared" si="33"/>
        <v>-</v>
      </c>
      <c r="L127" s="102" t="str">
        <f t="shared" si="34"/>
        <v>-</v>
      </c>
      <c r="M127" s="109" t="str">
        <v>-</v>
      </c>
      <c r="N127" s="28" t="str">
        <f t="shared" si="35"/>
        <v>-</v>
      </c>
      <c r="O127" s="99" t="str">
        <f t="shared" si="36"/>
        <v>-</v>
      </c>
      <c r="P127" s="99" t="str">
        <f t="shared" si="28"/>
        <v>-</v>
      </c>
      <c r="Q127" s="113" t="str">
        <f t="shared" si="29"/>
        <v>-</v>
      </c>
    </row>
    <row r="128" spans="2:17" ht="15" customHeight="1">
      <c r="B128" s="111" t="str">
        <v>-</v>
      </c>
      <c r="C128" s="109" t="str">
        <v>-</v>
      </c>
      <c r="D128" s="99" t="str">
        <f t="shared" si="19"/>
        <v>-</v>
      </c>
      <c r="E128" s="92" t="str">
        <f t="shared" si="30"/>
        <v>-</v>
      </c>
      <c r="F128" s="109" t="str">
        <v>-</v>
      </c>
      <c r="G128" s="28" t="str">
        <f t="shared" si="31"/>
        <v>-</v>
      </c>
      <c r="H128" s="102" t="str">
        <f t="shared" si="27"/>
        <v>-</v>
      </c>
      <c r="I128" s="109" t="str">
        <v>-</v>
      </c>
      <c r="J128" s="28" t="str">
        <f t="shared" si="32"/>
        <v>-</v>
      </c>
      <c r="K128" s="99" t="str">
        <f t="shared" si="33"/>
        <v>-</v>
      </c>
      <c r="L128" s="102" t="str">
        <f t="shared" si="34"/>
        <v>-</v>
      </c>
      <c r="M128" s="109" t="str">
        <v>-</v>
      </c>
      <c r="N128" s="28" t="str">
        <f t="shared" si="35"/>
        <v>-</v>
      </c>
      <c r="O128" s="99" t="str">
        <f t="shared" si="36"/>
        <v>-</v>
      </c>
      <c r="P128" s="99" t="str">
        <f t="shared" si="28"/>
        <v>-</v>
      </c>
      <c r="Q128" s="113" t="str">
        <f t="shared" si="29"/>
        <v>-</v>
      </c>
    </row>
    <row r="129" spans="2:17" ht="15" customHeight="1">
      <c r="B129" s="111" t="str">
        <v>-</v>
      </c>
      <c r="C129" s="109" t="str">
        <v>-</v>
      </c>
      <c r="D129" s="99" t="str">
        <f t="shared" si="19"/>
        <v>-</v>
      </c>
      <c r="E129" s="92" t="str">
        <f t="shared" si="30"/>
        <v>-</v>
      </c>
      <c r="F129" s="109" t="str">
        <v>-</v>
      </c>
      <c r="G129" s="28" t="str">
        <f t="shared" si="31"/>
        <v>-</v>
      </c>
      <c r="H129" s="102" t="str">
        <f t="shared" si="27"/>
        <v>-</v>
      </c>
      <c r="I129" s="109" t="str">
        <v>-</v>
      </c>
      <c r="J129" s="28" t="str">
        <f t="shared" si="32"/>
        <v>-</v>
      </c>
      <c r="K129" s="99" t="str">
        <f t="shared" si="33"/>
        <v>-</v>
      </c>
      <c r="L129" s="102" t="str">
        <f t="shared" si="34"/>
        <v>-</v>
      </c>
      <c r="M129" s="109" t="str">
        <v>-</v>
      </c>
      <c r="N129" s="28" t="str">
        <f t="shared" si="35"/>
        <v>-</v>
      </c>
      <c r="O129" s="99" t="str">
        <f t="shared" si="36"/>
        <v>-</v>
      </c>
      <c r="P129" s="99" t="str">
        <f t="shared" si="28"/>
        <v>-</v>
      </c>
      <c r="Q129" s="113" t="str">
        <f t="shared" si="29"/>
        <v>-</v>
      </c>
    </row>
    <row r="130" spans="2:17" ht="15" customHeight="1">
      <c r="B130" s="111" t="str">
        <v>-</v>
      </c>
      <c r="C130" s="109" t="str">
        <v>-</v>
      </c>
      <c r="D130" s="99" t="str">
        <f t="shared" si="19"/>
        <v>-</v>
      </c>
      <c r="E130" s="92" t="str">
        <f t="shared" si="30"/>
        <v>-</v>
      </c>
      <c r="F130" s="109" t="str">
        <v>-</v>
      </c>
      <c r="G130" s="28" t="str">
        <f t="shared" si="31"/>
        <v>-</v>
      </c>
      <c r="H130" s="102" t="str">
        <f t="shared" si="27"/>
        <v>-</v>
      </c>
      <c r="I130" s="109" t="str">
        <v>-</v>
      </c>
      <c r="J130" s="28" t="str">
        <f t="shared" si="32"/>
        <v>-</v>
      </c>
      <c r="K130" s="99" t="str">
        <f t="shared" si="33"/>
        <v>-</v>
      </c>
      <c r="L130" s="102" t="str">
        <f t="shared" si="34"/>
        <v>-</v>
      </c>
      <c r="M130" s="109" t="str">
        <v>-</v>
      </c>
      <c r="N130" s="28" t="str">
        <f t="shared" si="35"/>
        <v>-</v>
      </c>
      <c r="O130" s="99" t="str">
        <f t="shared" si="36"/>
        <v>-</v>
      </c>
      <c r="P130" s="99" t="str">
        <f t="shared" si="28"/>
        <v>-</v>
      </c>
      <c r="Q130" s="113" t="str">
        <f t="shared" si="29"/>
        <v>-</v>
      </c>
    </row>
    <row r="131" spans="2:17" ht="15" customHeight="1">
      <c r="B131" s="111" t="str">
        <v>-</v>
      </c>
      <c r="C131" s="109" t="str">
        <v>-</v>
      </c>
      <c r="D131" s="99" t="str">
        <f t="shared" si="19"/>
        <v>-</v>
      </c>
      <c r="E131" s="92" t="str">
        <f t="shared" si="30"/>
        <v>-</v>
      </c>
      <c r="F131" s="109" t="str">
        <v>-</v>
      </c>
      <c r="G131" s="28" t="str">
        <f t="shared" si="31"/>
        <v>-</v>
      </c>
      <c r="H131" s="102" t="str">
        <f t="shared" si="27"/>
        <v>-</v>
      </c>
      <c r="I131" s="109" t="str">
        <v>-</v>
      </c>
      <c r="J131" s="28" t="str">
        <f t="shared" si="32"/>
        <v>-</v>
      </c>
      <c r="K131" s="99" t="str">
        <f t="shared" si="33"/>
        <v>-</v>
      </c>
      <c r="L131" s="102" t="str">
        <f t="shared" si="34"/>
        <v>-</v>
      </c>
      <c r="M131" s="109" t="str">
        <v>-</v>
      </c>
      <c r="N131" s="28" t="str">
        <f t="shared" si="35"/>
        <v>-</v>
      </c>
      <c r="O131" s="99" t="str">
        <f t="shared" si="36"/>
        <v>-</v>
      </c>
      <c r="P131" s="99" t="str">
        <f t="shared" si="28"/>
        <v>-</v>
      </c>
      <c r="Q131" s="113" t="str">
        <f t="shared" si="29"/>
        <v>-</v>
      </c>
    </row>
    <row r="132" spans="2:17" ht="15" customHeight="1">
      <c r="B132" s="111" t="str">
        <v>-</v>
      </c>
      <c r="C132" s="109" t="str">
        <v>-</v>
      </c>
      <c r="D132" s="99" t="str">
        <f t="shared" si="19"/>
        <v>-</v>
      </c>
      <c r="E132" s="92" t="str">
        <f t="shared" si="30"/>
        <v>-</v>
      </c>
      <c r="F132" s="109" t="str">
        <v>-</v>
      </c>
      <c r="G132" s="28" t="str">
        <f t="shared" si="31"/>
        <v>-</v>
      </c>
      <c r="H132" s="102" t="str">
        <f t="shared" si="27"/>
        <v>-</v>
      </c>
      <c r="I132" s="109" t="str">
        <v>-</v>
      </c>
      <c r="J132" s="28" t="str">
        <f t="shared" si="32"/>
        <v>-</v>
      </c>
      <c r="K132" s="99" t="str">
        <f t="shared" si="33"/>
        <v>-</v>
      </c>
      <c r="L132" s="102" t="str">
        <f t="shared" si="34"/>
        <v>-</v>
      </c>
      <c r="M132" s="109" t="str">
        <v>-</v>
      </c>
      <c r="N132" s="28" t="str">
        <f t="shared" si="35"/>
        <v>-</v>
      </c>
      <c r="O132" s="99" t="str">
        <f t="shared" si="36"/>
        <v>-</v>
      </c>
      <c r="P132" s="99" t="str">
        <f t="shared" si="28"/>
        <v>-</v>
      </c>
      <c r="Q132" s="113" t="str">
        <f t="shared" si="29"/>
        <v>-</v>
      </c>
    </row>
    <row r="133" spans="2:17" ht="15" customHeight="1">
      <c r="B133" s="111" t="str">
        <v>-</v>
      </c>
      <c r="C133" s="109" t="str">
        <v>-</v>
      </c>
      <c r="D133" s="99" t="str">
        <f t="shared" si="19"/>
        <v>-</v>
      </c>
      <c r="E133" s="92" t="str">
        <f t="shared" si="30"/>
        <v>-</v>
      </c>
      <c r="F133" s="109" t="str">
        <v>-</v>
      </c>
      <c r="G133" s="28" t="str">
        <f t="shared" si="31"/>
        <v>-</v>
      </c>
      <c r="H133" s="102" t="str">
        <f t="shared" si="27"/>
        <v>-</v>
      </c>
      <c r="I133" s="109" t="str">
        <v>-</v>
      </c>
      <c r="J133" s="28" t="str">
        <f t="shared" si="32"/>
        <v>-</v>
      </c>
      <c r="K133" s="99" t="str">
        <f t="shared" si="33"/>
        <v>-</v>
      </c>
      <c r="L133" s="102" t="str">
        <f t="shared" si="34"/>
        <v>-</v>
      </c>
      <c r="M133" s="109" t="str">
        <v>-</v>
      </c>
      <c r="N133" s="28" t="str">
        <f t="shared" si="35"/>
        <v>-</v>
      </c>
      <c r="O133" s="99" t="str">
        <f t="shared" si="36"/>
        <v>-</v>
      </c>
      <c r="P133" s="99" t="str">
        <f t="shared" si="28"/>
        <v>-</v>
      </c>
      <c r="Q133" s="113" t="str">
        <f t="shared" si="29"/>
        <v>-</v>
      </c>
    </row>
    <row r="134" spans="2:17" ht="15" customHeight="1">
      <c r="B134" s="111" t="str">
        <v>-</v>
      </c>
      <c r="C134" s="109" t="str">
        <v>-</v>
      </c>
      <c r="D134" s="99" t="str">
        <f t="shared" si="19"/>
        <v>-</v>
      </c>
      <c r="E134" s="92" t="str">
        <f t="shared" si="30"/>
        <v>-</v>
      </c>
      <c r="F134" s="109" t="str">
        <v>-</v>
      </c>
      <c r="G134" s="28" t="str">
        <f t="shared" si="31"/>
        <v>-</v>
      </c>
      <c r="H134" s="102" t="str">
        <f t="shared" si="27"/>
        <v>-</v>
      </c>
      <c r="I134" s="109" t="str">
        <v>-</v>
      </c>
      <c r="J134" s="28" t="str">
        <f t="shared" si="32"/>
        <v>-</v>
      </c>
      <c r="K134" s="99" t="str">
        <f t="shared" si="33"/>
        <v>-</v>
      </c>
      <c r="L134" s="102" t="str">
        <f t="shared" si="34"/>
        <v>-</v>
      </c>
      <c r="M134" s="109" t="str">
        <v>-</v>
      </c>
      <c r="N134" s="28" t="str">
        <f t="shared" si="35"/>
        <v>-</v>
      </c>
      <c r="O134" s="99" t="str">
        <f t="shared" si="36"/>
        <v>-</v>
      </c>
      <c r="P134" s="99" t="str">
        <f t="shared" si="28"/>
        <v>-</v>
      </c>
      <c r="Q134" s="113" t="str">
        <f t="shared" si="29"/>
        <v>-</v>
      </c>
    </row>
    <row r="135" spans="2:17" ht="15" customHeight="1">
      <c r="B135" s="111" t="str">
        <v>-</v>
      </c>
      <c r="C135" s="109" t="str">
        <v>-</v>
      </c>
      <c r="D135" s="99" t="str">
        <f t="shared" si="19"/>
        <v>-</v>
      </c>
      <c r="E135" s="92" t="str">
        <f t="shared" si="30"/>
        <v>-</v>
      </c>
      <c r="F135" s="109" t="str">
        <v>-</v>
      </c>
      <c r="G135" s="28" t="str">
        <f t="shared" si="31"/>
        <v>-</v>
      </c>
      <c r="H135" s="102" t="str">
        <f t="shared" si="27"/>
        <v>-</v>
      </c>
      <c r="I135" s="109" t="str">
        <v>-</v>
      </c>
      <c r="J135" s="28" t="str">
        <f t="shared" si="32"/>
        <v>-</v>
      </c>
      <c r="K135" s="99" t="str">
        <f t="shared" si="33"/>
        <v>-</v>
      </c>
      <c r="L135" s="102" t="str">
        <f t="shared" si="34"/>
        <v>-</v>
      </c>
      <c r="M135" s="109" t="str">
        <v>-</v>
      </c>
      <c r="N135" s="28" t="str">
        <f t="shared" si="35"/>
        <v>-</v>
      </c>
      <c r="O135" s="99" t="str">
        <f t="shared" si="36"/>
        <v>-</v>
      </c>
      <c r="P135" s="99" t="str">
        <f t="shared" si="28"/>
        <v>-</v>
      </c>
      <c r="Q135" s="113" t="str">
        <f t="shared" si="29"/>
        <v>-</v>
      </c>
    </row>
    <row r="136" spans="2:17" ht="15" customHeight="1">
      <c r="B136" s="111" t="str">
        <v>-</v>
      </c>
      <c r="C136" s="109" t="str">
        <v>-</v>
      </c>
      <c r="D136" s="99" t="str">
        <f t="shared" si="19"/>
        <v>-</v>
      </c>
      <c r="E136" s="92" t="str">
        <f t="shared" si="30"/>
        <v>-</v>
      </c>
      <c r="F136" s="109" t="str">
        <v>-</v>
      </c>
      <c r="G136" s="28" t="str">
        <f t="shared" si="31"/>
        <v>-</v>
      </c>
      <c r="H136" s="102" t="str">
        <f t="shared" si="27"/>
        <v>-</v>
      </c>
      <c r="I136" s="109" t="str">
        <v>-</v>
      </c>
      <c r="J136" s="28" t="str">
        <f t="shared" si="32"/>
        <v>-</v>
      </c>
      <c r="K136" s="99" t="str">
        <f t="shared" si="33"/>
        <v>-</v>
      </c>
      <c r="L136" s="102" t="str">
        <f t="shared" si="34"/>
        <v>-</v>
      </c>
      <c r="M136" s="109" t="str">
        <v>-</v>
      </c>
      <c r="N136" s="28" t="str">
        <f t="shared" si="35"/>
        <v>-</v>
      </c>
      <c r="O136" s="99" t="str">
        <f t="shared" si="36"/>
        <v>-</v>
      </c>
      <c r="P136" s="99" t="str">
        <f t="shared" si="28"/>
        <v>-</v>
      </c>
      <c r="Q136" s="113" t="str">
        <f t="shared" si="29"/>
        <v>-</v>
      </c>
    </row>
    <row r="137" spans="2:17" ht="15" customHeight="1">
      <c r="B137" s="111" t="str">
        <v>-</v>
      </c>
      <c r="C137" s="109" t="str">
        <v>-</v>
      </c>
      <c r="D137" s="99" t="str">
        <f t="shared" si="19"/>
        <v>-</v>
      </c>
      <c r="E137" s="92" t="str">
        <f t="shared" si="30"/>
        <v>-</v>
      </c>
      <c r="F137" s="109" t="str">
        <v>-</v>
      </c>
      <c r="G137" s="28" t="str">
        <f t="shared" si="31"/>
        <v>-</v>
      </c>
      <c r="H137" s="102" t="str">
        <f t="shared" si="27"/>
        <v>-</v>
      </c>
      <c r="I137" s="109" t="str">
        <v>-</v>
      </c>
      <c r="J137" s="28" t="str">
        <f t="shared" si="32"/>
        <v>-</v>
      </c>
      <c r="K137" s="99" t="str">
        <f t="shared" si="33"/>
        <v>-</v>
      </c>
      <c r="L137" s="102" t="str">
        <f t="shared" si="34"/>
        <v>-</v>
      </c>
      <c r="M137" s="109" t="str">
        <v>-</v>
      </c>
      <c r="N137" s="28" t="str">
        <f t="shared" si="35"/>
        <v>-</v>
      </c>
      <c r="O137" s="99" t="str">
        <f t="shared" si="36"/>
        <v>-</v>
      </c>
      <c r="P137" s="99" t="str">
        <f t="shared" si="28"/>
        <v>-</v>
      </c>
      <c r="Q137" s="113" t="str">
        <f t="shared" si="29"/>
        <v>-</v>
      </c>
    </row>
    <row r="138" spans="2:17" ht="15" customHeight="1">
      <c r="B138" s="111" t="str">
        <v>-</v>
      </c>
      <c r="C138" s="109" t="str">
        <v>-</v>
      </c>
      <c r="D138" s="99" t="str">
        <f t="shared" si="19"/>
        <v>-</v>
      </c>
      <c r="E138" s="92" t="str">
        <f t="shared" si="30"/>
        <v>-</v>
      </c>
      <c r="F138" s="109" t="str">
        <v>-</v>
      </c>
      <c r="G138" s="28" t="str">
        <f t="shared" si="31"/>
        <v>-</v>
      </c>
      <c r="H138" s="102" t="str">
        <f t="shared" si="27"/>
        <v>-</v>
      </c>
      <c r="I138" s="109" t="str">
        <v>-</v>
      </c>
      <c r="J138" s="28" t="str">
        <f t="shared" si="32"/>
        <v>-</v>
      </c>
      <c r="K138" s="99" t="str">
        <f t="shared" si="33"/>
        <v>-</v>
      </c>
      <c r="L138" s="102" t="str">
        <f t="shared" si="34"/>
        <v>-</v>
      </c>
      <c r="M138" s="109" t="str">
        <v>-</v>
      </c>
      <c r="N138" s="28" t="str">
        <f t="shared" si="35"/>
        <v>-</v>
      </c>
      <c r="O138" s="99" t="str">
        <f t="shared" si="36"/>
        <v>-</v>
      </c>
      <c r="P138" s="99" t="str">
        <f t="shared" si="28"/>
        <v>-</v>
      </c>
      <c r="Q138" s="113" t="str">
        <f t="shared" si="29"/>
        <v>-</v>
      </c>
    </row>
    <row r="139" spans="2:17" ht="15" customHeight="1">
      <c r="B139" s="111" t="str">
        <v>-</v>
      </c>
      <c r="C139" s="109" t="str">
        <v>-</v>
      </c>
      <c r="D139" s="99" t="str">
        <f t="shared" si="19"/>
        <v>-</v>
      </c>
      <c r="E139" s="92" t="str">
        <f t="shared" si="30"/>
        <v>-</v>
      </c>
      <c r="F139" s="109" t="str">
        <v>-</v>
      </c>
      <c r="G139" s="28" t="str">
        <f t="shared" si="31"/>
        <v>-</v>
      </c>
      <c r="H139" s="102" t="str">
        <f t="shared" si="27"/>
        <v>-</v>
      </c>
      <c r="I139" s="109" t="str">
        <v>-</v>
      </c>
      <c r="J139" s="28" t="str">
        <f t="shared" si="32"/>
        <v>-</v>
      </c>
      <c r="K139" s="99" t="str">
        <f t="shared" si="33"/>
        <v>-</v>
      </c>
      <c r="L139" s="102" t="str">
        <f t="shared" si="34"/>
        <v>-</v>
      </c>
      <c r="M139" s="109" t="str">
        <v>-</v>
      </c>
      <c r="N139" s="28" t="str">
        <f t="shared" si="35"/>
        <v>-</v>
      </c>
      <c r="O139" s="99" t="str">
        <f t="shared" si="36"/>
        <v>-</v>
      </c>
      <c r="P139" s="99" t="str">
        <f t="shared" si="28"/>
        <v>-</v>
      </c>
      <c r="Q139" s="113" t="str">
        <f t="shared" si="29"/>
        <v>-</v>
      </c>
    </row>
    <row r="140" spans="2:17" ht="15" customHeight="1">
      <c r="B140" s="111" t="str">
        <v>-</v>
      </c>
      <c r="C140" s="109" t="str">
        <v>-</v>
      </c>
      <c r="D140" s="99" t="str">
        <f t="shared" si="19"/>
        <v>-</v>
      </c>
      <c r="E140" s="92" t="str">
        <f t="shared" si="30"/>
        <v>-</v>
      </c>
      <c r="F140" s="109" t="str">
        <v>-</v>
      </c>
      <c r="G140" s="28" t="str">
        <f t="shared" si="31"/>
        <v>-</v>
      </c>
      <c r="H140" s="102" t="str">
        <f t="shared" si="27"/>
        <v>-</v>
      </c>
      <c r="I140" s="109" t="str">
        <v>-</v>
      </c>
      <c r="J140" s="28" t="str">
        <f t="shared" si="32"/>
        <v>-</v>
      </c>
      <c r="K140" s="99" t="str">
        <f t="shared" si="33"/>
        <v>-</v>
      </c>
      <c r="L140" s="102" t="str">
        <f t="shared" si="34"/>
        <v>-</v>
      </c>
      <c r="M140" s="109" t="str">
        <v>-</v>
      </c>
      <c r="N140" s="28" t="str">
        <f t="shared" si="35"/>
        <v>-</v>
      </c>
      <c r="O140" s="99" t="str">
        <f t="shared" si="36"/>
        <v>-</v>
      </c>
      <c r="P140" s="99" t="str">
        <f t="shared" si="28"/>
        <v>-</v>
      </c>
      <c r="Q140" s="113" t="str">
        <f t="shared" si="29"/>
        <v>-</v>
      </c>
    </row>
    <row r="141" spans="2:17" ht="15" customHeight="1">
      <c r="B141" s="111" t="str">
        <v>-</v>
      </c>
      <c r="C141" s="109" t="str">
        <v>-</v>
      </c>
      <c r="D141" s="99" t="str">
        <f t="shared" si="19"/>
        <v>-</v>
      </c>
      <c r="E141" s="92" t="str">
        <f t="shared" si="30"/>
        <v>-</v>
      </c>
      <c r="F141" s="109" t="str">
        <v>-</v>
      </c>
      <c r="G141" s="28" t="str">
        <f t="shared" si="31"/>
        <v>-</v>
      </c>
      <c r="H141" s="102" t="str">
        <f t="shared" si="27"/>
        <v>-</v>
      </c>
      <c r="I141" s="109" t="str">
        <v>-</v>
      </c>
      <c r="J141" s="28" t="str">
        <f t="shared" si="32"/>
        <v>-</v>
      </c>
      <c r="K141" s="99" t="str">
        <f t="shared" si="33"/>
        <v>-</v>
      </c>
      <c r="L141" s="102" t="str">
        <f t="shared" si="34"/>
        <v>-</v>
      </c>
      <c r="M141" s="109" t="str">
        <v>-</v>
      </c>
      <c r="N141" s="28" t="str">
        <f t="shared" si="35"/>
        <v>-</v>
      </c>
      <c r="O141" s="99" t="str">
        <f t="shared" si="36"/>
        <v>-</v>
      </c>
      <c r="P141" s="99" t="str">
        <f t="shared" si="28"/>
        <v>-</v>
      </c>
      <c r="Q141" s="113" t="str">
        <f t="shared" si="29"/>
        <v>-</v>
      </c>
    </row>
    <row r="142" spans="2:17" ht="15" customHeight="1">
      <c r="B142" s="111" t="str">
        <v>-</v>
      </c>
      <c r="C142" s="109" t="str">
        <v>-</v>
      </c>
      <c r="D142" s="99" t="str">
        <f t="shared" si="19"/>
        <v>-</v>
      </c>
      <c r="E142" s="92" t="str">
        <f t="shared" si="30"/>
        <v>-</v>
      </c>
      <c r="F142" s="109" t="str">
        <v>-</v>
      </c>
      <c r="G142" s="28" t="str">
        <f t="shared" si="31"/>
        <v>-</v>
      </c>
      <c r="H142" s="102" t="str">
        <f t="shared" si="27"/>
        <v>-</v>
      </c>
      <c r="I142" s="109" t="str">
        <v>-</v>
      </c>
      <c r="J142" s="28" t="str">
        <f t="shared" si="32"/>
        <v>-</v>
      </c>
      <c r="K142" s="99" t="str">
        <f t="shared" si="33"/>
        <v>-</v>
      </c>
      <c r="L142" s="102" t="str">
        <f t="shared" si="34"/>
        <v>-</v>
      </c>
      <c r="M142" s="109" t="str">
        <v>-</v>
      </c>
      <c r="N142" s="28" t="str">
        <f t="shared" si="35"/>
        <v>-</v>
      </c>
      <c r="O142" s="99" t="str">
        <f t="shared" si="36"/>
        <v>-</v>
      </c>
      <c r="P142" s="99" t="str">
        <f t="shared" si="28"/>
        <v>-</v>
      </c>
      <c r="Q142" s="113" t="str">
        <f t="shared" si="29"/>
        <v>-</v>
      </c>
    </row>
    <row r="143" spans="2:17" ht="15" customHeight="1">
      <c r="B143" s="111" t="str">
        <v>-</v>
      </c>
      <c r="C143" s="109" t="str">
        <v>-</v>
      </c>
      <c r="D143" s="99" t="str">
        <f t="shared" si="19"/>
        <v>-</v>
      </c>
      <c r="E143" s="92" t="str">
        <f t="shared" si="30"/>
        <v>-</v>
      </c>
      <c r="F143" s="109" t="str">
        <v>-</v>
      </c>
      <c r="G143" s="28" t="str">
        <f t="shared" si="31"/>
        <v>-</v>
      </c>
      <c r="H143" s="102" t="str">
        <f t="shared" si="27"/>
        <v>-</v>
      </c>
      <c r="I143" s="109" t="str">
        <v>-</v>
      </c>
      <c r="J143" s="28" t="str">
        <f t="shared" si="32"/>
        <v>-</v>
      </c>
      <c r="K143" s="99" t="str">
        <f t="shared" si="33"/>
        <v>-</v>
      </c>
      <c r="L143" s="102" t="str">
        <f t="shared" si="34"/>
        <v>-</v>
      </c>
      <c r="M143" s="109" t="str">
        <v>-</v>
      </c>
      <c r="N143" s="28" t="str">
        <f t="shared" si="35"/>
        <v>-</v>
      </c>
      <c r="O143" s="99" t="str">
        <f t="shared" si="36"/>
        <v>-</v>
      </c>
      <c r="P143" s="99" t="str">
        <f t="shared" si="28"/>
        <v>-</v>
      </c>
      <c r="Q143" s="113" t="str">
        <f t="shared" si="29"/>
        <v>-</v>
      </c>
    </row>
    <row r="144" spans="2:17" ht="15" customHeight="1">
      <c r="B144" s="111" t="str">
        <v>-</v>
      </c>
      <c r="C144" s="109" t="str">
        <v>-</v>
      </c>
      <c r="D144" s="99" t="str">
        <f t="shared" si="19"/>
        <v>-</v>
      </c>
      <c r="E144" s="92" t="str">
        <f t="shared" si="30"/>
        <v>-</v>
      </c>
      <c r="F144" s="109" t="str">
        <v>-</v>
      </c>
      <c r="G144" s="28" t="str">
        <f t="shared" si="31"/>
        <v>-</v>
      </c>
      <c r="H144" s="102" t="str">
        <f t="shared" si="27"/>
        <v>-</v>
      </c>
      <c r="I144" s="109" t="str">
        <v>-</v>
      </c>
      <c r="J144" s="28" t="str">
        <f t="shared" si="32"/>
        <v>-</v>
      </c>
      <c r="K144" s="99" t="str">
        <f t="shared" si="33"/>
        <v>-</v>
      </c>
      <c r="L144" s="102" t="str">
        <f t="shared" si="34"/>
        <v>-</v>
      </c>
      <c r="M144" s="109" t="str">
        <v>-</v>
      </c>
      <c r="N144" s="28" t="str">
        <f t="shared" si="35"/>
        <v>-</v>
      </c>
      <c r="O144" s="99" t="str">
        <f t="shared" si="36"/>
        <v>-</v>
      </c>
      <c r="P144" s="99" t="str">
        <f t="shared" si="28"/>
        <v>-</v>
      </c>
      <c r="Q144" s="113" t="str">
        <f t="shared" si="29"/>
        <v>-</v>
      </c>
    </row>
    <row r="145" spans="2:17" ht="15" customHeight="1">
      <c r="B145" s="111" t="str">
        <v>-</v>
      </c>
      <c r="C145" s="109" t="str">
        <v>-</v>
      </c>
      <c r="D145" s="99" t="str">
        <f t="shared" si="19"/>
        <v>-</v>
      </c>
      <c r="E145" s="92" t="str">
        <f t="shared" si="30"/>
        <v>-</v>
      </c>
      <c r="F145" s="109" t="str">
        <v>-</v>
      </c>
      <c r="G145" s="28" t="str">
        <f t="shared" si="31"/>
        <v>-</v>
      </c>
      <c r="H145" s="102" t="str">
        <f t="shared" si="27"/>
        <v>-</v>
      </c>
      <c r="I145" s="109" t="str">
        <v>-</v>
      </c>
      <c r="J145" s="28" t="str">
        <f t="shared" si="32"/>
        <v>-</v>
      </c>
      <c r="K145" s="99" t="str">
        <f t="shared" si="33"/>
        <v>-</v>
      </c>
      <c r="L145" s="102" t="str">
        <f t="shared" si="34"/>
        <v>-</v>
      </c>
      <c r="M145" s="109" t="str">
        <v>-</v>
      </c>
      <c r="N145" s="28" t="str">
        <f t="shared" si="35"/>
        <v>-</v>
      </c>
      <c r="O145" s="99" t="str">
        <f t="shared" si="36"/>
        <v>-</v>
      </c>
      <c r="P145" s="99" t="str">
        <f t="shared" si="28"/>
        <v>-</v>
      </c>
      <c r="Q145" s="113" t="str">
        <f t="shared" si="29"/>
        <v>-</v>
      </c>
    </row>
    <row r="146" spans="2:17" ht="15" customHeight="1">
      <c r="B146" s="111" t="str">
        <v>-</v>
      </c>
      <c r="C146" s="109" t="str">
        <v>-</v>
      </c>
      <c r="D146" s="99" t="str">
        <f t="shared" si="19"/>
        <v>-</v>
      </c>
      <c r="E146" s="92" t="str">
        <f t="shared" si="30"/>
        <v>-</v>
      </c>
      <c r="F146" s="109" t="str">
        <v>-</v>
      </c>
      <c r="G146" s="28" t="str">
        <f t="shared" si="31"/>
        <v>-</v>
      </c>
      <c r="H146" s="102" t="str">
        <f t="shared" si="27"/>
        <v>-</v>
      </c>
      <c r="I146" s="109" t="str">
        <v>-</v>
      </c>
      <c r="J146" s="28" t="str">
        <f t="shared" si="32"/>
        <v>-</v>
      </c>
      <c r="K146" s="99" t="str">
        <f t="shared" si="33"/>
        <v>-</v>
      </c>
      <c r="L146" s="102" t="str">
        <f t="shared" si="34"/>
        <v>-</v>
      </c>
      <c r="M146" s="109" t="str">
        <v>-</v>
      </c>
      <c r="N146" s="28" t="str">
        <f t="shared" si="35"/>
        <v>-</v>
      </c>
      <c r="O146" s="99" t="str">
        <f t="shared" si="36"/>
        <v>-</v>
      </c>
      <c r="P146" s="99" t="str">
        <f t="shared" si="28"/>
        <v>-</v>
      </c>
      <c r="Q146" s="113" t="str">
        <f t="shared" si="29"/>
        <v>-</v>
      </c>
    </row>
    <row r="147" spans="2:17" ht="15" customHeight="1">
      <c r="B147" s="111" t="str">
        <v>-</v>
      </c>
      <c r="C147" s="109" t="str">
        <v>-</v>
      </c>
      <c r="D147" s="99" t="str">
        <f t="shared" si="19"/>
        <v>-</v>
      </c>
      <c r="E147" s="92" t="str">
        <f t="shared" si="30"/>
        <v>-</v>
      </c>
      <c r="F147" s="109" t="str">
        <v>-</v>
      </c>
      <c r="G147" s="28" t="str">
        <f t="shared" si="31"/>
        <v>-</v>
      </c>
      <c r="H147" s="102" t="str">
        <f t="shared" si="27"/>
        <v>-</v>
      </c>
      <c r="I147" s="109" t="str">
        <v>-</v>
      </c>
      <c r="J147" s="28" t="str">
        <f t="shared" si="32"/>
        <v>-</v>
      </c>
      <c r="K147" s="99" t="str">
        <f t="shared" si="33"/>
        <v>-</v>
      </c>
      <c r="L147" s="102" t="str">
        <f t="shared" si="34"/>
        <v>-</v>
      </c>
      <c r="M147" s="109" t="str">
        <v>-</v>
      </c>
      <c r="N147" s="28" t="str">
        <f t="shared" si="35"/>
        <v>-</v>
      </c>
      <c r="O147" s="99" t="str">
        <f t="shared" si="36"/>
        <v>-</v>
      </c>
      <c r="P147" s="99" t="str">
        <f t="shared" si="28"/>
        <v>-</v>
      </c>
      <c r="Q147" s="113" t="str">
        <f t="shared" si="29"/>
        <v>-</v>
      </c>
    </row>
    <row r="148" spans="2:17" ht="15" customHeight="1">
      <c r="B148" s="111" t="str">
        <v>-</v>
      </c>
      <c r="C148" s="109" t="str">
        <v>-</v>
      </c>
      <c r="D148" s="99" t="str">
        <f t="shared" si="19"/>
        <v>-</v>
      </c>
      <c r="E148" s="92" t="str">
        <f t="shared" si="30"/>
        <v>-</v>
      </c>
      <c r="F148" s="109" t="str">
        <v>-</v>
      </c>
      <c r="G148" s="28" t="str">
        <f t="shared" si="31"/>
        <v>-</v>
      </c>
      <c r="H148" s="102" t="str">
        <f t="shared" si="27"/>
        <v>-</v>
      </c>
      <c r="I148" s="109" t="str">
        <v>-</v>
      </c>
      <c r="J148" s="28" t="str">
        <f t="shared" si="32"/>
        <v>-</v>
      </c>
      <c r="K148" s="99" t="str">
        <f t="shared" si="33"/>
        <v>-</v>
      </c>
      <c r="L148" s="102" t="str">
        <f t="shared" si="34"/>
        <v>-</v>
      </c>
      <c r="M148" s="109" t="str">
        <v>-</v>
      </c>
      <c r="N148" s="28" t="str">
        <f t="shared" si="35"/>
        <v>-</v>
      </c>
      <c r="O148" s="99" t="str">
        <f t="shared" si="36"/>
        <v>-</v>
      </c>
      <c r="P148" s="99" t="str">
        <f t="shared" si="28"/>
        <v>-</v>
      </c>
      <c r="Q148" s="113" t="str">
        <f t="shared" si="29"/>
        <v>-</v>
      </c>
    </row>
    <row r="149" spans="2:17" ht="15" customHeight="1">
      <c r="B149" s="111" t="str">
        <v>-</v>
      </c>
      <c r="C149" s="109" t="str">
        <v>-</v>
      </c>
      <c r="D149" s="99" t="str">
        <f t="shared" si="19"/>
        <v>-</v>
      </c>
      <c r="E149" s="92" t="str">
        <f t="shared" si="30"/>
        <v>-</v>
      </c>
      <c r="F149" s="109" t="str">
        <v>-</v>
      </c>
      <c r="G149" s="28" t="str">
        <f t="shared" si="31"/>
        <v>-</v>
      </c>
      <c r="H149" s="102" t="str">
        <f t="shared" si="27"/>
        <v>-</v>
      </c>
      <c r="I149" s="109" t="str">
        <v>-</v>
      </c>
      <c r="J149" s="28" t="str">
        <f t="shared" si="32"/>
        <v>-</v>
      </c>
      <c r="K149" s="99" t="str">
        <f t="shared" si="33"/>
        <v>-</v>
      </c>
      <c r="L149" s="102" t="str">
        <f t="shared" si="34"/>
        <v>-</v>
      </c>
      <c r="M149" s="109" t="str">
        <v>-</v>
      </c>
      <c r="N149" s="28" t="str">
        <f t="shared" si="35"/>
        <v>-</v>
      </c>
      <c r="O149" s="99" t="str">
        <f t="shared" si="36"/>
        <v>-</v>
      </c>
      <c r="P149" s="99" t="str">
        <f t="shared" si="28"/>
        <v>-</v>
      </c>
      <c r="Q149" s="113" t="str">
        <f t="shared" si="29"/>
        <v>-</v>
      </c>
    </row>
    <row r="150" spans="2:17" ht="15" customHeight="1">
      <c r="B150" s="111" t="str">
        <v>-</v>
      </c>
      <c r="C150" s="109" t="str">
        <v>-</v>
      </c>
      <c r="D150" s="99" t="str">
        <f t="shared" si="19"/>
        <v>-</v>
      </c>
      <c r="E150" s="92" t="str">
        <f t="shared" si="30"/>
        <v>-</v>
      </c>
      <c r="F150" s="109" t="str">
        <v>-</v>
      </c>
      <c r="G150" s="28" t="str">
        <f t="shared" si="31"/>
        <v>-</v>
      </c>
      <c r="H150" s="102" t="str">
        <f t="shared" si="27"/>
        <v>-</v>
      </c>
      <c r="I150" s="109" t="str">
        <v>-</v>
      </c>
      <c r="J150" s="28" t="str">
        <f t="shared" si="32"/>
        <v>-</v>
      </c>
      <c r="K150" s="99" t="str">
        <f t="shared" si="33"/>
        <v>-</v>
      </c>
      <c r="L150" s="102" t="str">
        <f t="shared" si="34"/>
        <v>-</v>
      </c>
      <c r="M150" s="109" t="str">
        <v>-</v>
      </c>
      <c r="N150" s="28" t="str">
        <f t="shared" si="35"/>
        <v>-</v>
      </c>
      <c r="O150" s="99" t="str">
        <f t="shared" si="36"/>
        <v>-</v>
      </c>
      <c r="P150" s="99" t="str">
        <f t="shared" si="28"/>
        <v>-</v>
      </c>
      <c r="Q150" s="113" t="str">
        <f t="shared" si="29"/>
        <v>-</v>
      </c>
    </row>
    <row r="151" spans="2:17" ht="15" customHeight="1" thickBot="1">
      <c r="B151" s="112" t="str">
        <v>-</v>
      </c>
      <c r="C151" s="110" t="str">
        <v>-</v>
      </c>
      <c r="D151" s="100" t="str">
        <f t="shared" si="19"/>
        <v>-</v>
      </c>
      <c r="E151" s="93" t="str">
        <f>IF($C$4=FALSE,"-",IF(ISNUMBER(#REF!),C151/#REF!-1,""))</f>
        <v>-</v>
      </c>
      <c r="F151" s="110" t="str">
        <v>-</v>
      </c>
      <c r="G151" s="94" t="str">
        <f>IF($C$4=FALSE,"-",IF(ISNUMBER(#REF!),F151/#REF!-1,""))</f>
        <v>-</v>
      </c>
      <c r="H151" s="101" t="str">
        <f t="shared" si="27"/>
        <v>-</v>
      </c>
      <c r="I151" s="110" t="str">
        <v>-</v>
      </c>
      <c r="J151" s="94" t="str">
        <f>IF($C$4=FALSE,"-",IF(ISNUMBER(#REF!),I151/#REF!-1,""))</f>
        <v>-</v>
      </c>
      <c r="K151" s="100" t="str">
        <f t="shared" si="33"/>
        <v>-</v>
      </c>
      <c r="L151" s="101" t="str">
        <f t="shared" si="34"/>
        <v>-</v>
      </c>
      <c r="M151" s="110" t="str">
        <v>-</v>
      </c>
      <c r="N151" s="94" t="str">
        <f>IF($C$4=FALSE,"-",IF(ISNUMBER(#REF!),M151/#REF!-1,""))</f>
        <v>-</v>
      </c>
      <c r="O151" s="100" t="str">
        <f t="shared" si="36"/>
        <v>-</v>
      </c>
      <c r="P151" s="100" t="str">
        <f t="shared" si="28"/>
        <v>-</v>
      </c>
      <c r="Q151" s="114" t="str">
        <f t="shared" si="29"/>
        <v>-</v>
      </c>
    </row>
  </sheetData>
  <dataValidations count="1">
    <dataValidation type="list" allowBlank="1" showInputMessage="1" showErrorMessage="1" sqref="C4">
      <formula1>"TRUE,FALSE"</formula1>
    </dataValidation>
  </dataValidations>
  <pageMargins left="0.75" right="0.75" top="1" bottom="1" header="0.5" footer="0.5"/>
  <pageSetup scale="10"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pageSetUpPr autoPageBreaks="0"/>
  </sheetPr>
  <dimension ref="B2:AK112"/>
  <sheetViews>
    <sheetView showGridLines="0" zoomScale="85" workbookViewId="0">
      <selection activeCell="C4" sqref="C4"/>
    </sheetView>
  </sheetViews>
  <sheetFormatPr defaultRowHeight="15" customHeight="1"/>
  <cols>
    <col min="1" max="1" width="3.125" style="14" customWidth="1"/>
    <col min="2" max="6" width="13.75" style="14" customWidth="1"/>
    <col min="7" max="7" width="3.125" style="14" customWidth="1"/>
    <col min="8" max="12" width="13.75" style="14" customWidth="1"/>
    <col min="13" max="13" width="3.125" style="14" customWidth="1"/>
    <col min="14" max="18" width="13.75" style="14" customWidth="1"/>
    <col min="19" max="19" width="3.125" style="14" customWidth="1"/>
    <col min="20" max="20" width="32.125" style="14" bestFit="1" customWidth="1"/>
    <col min="21" max="29" width="13.75" style="14" customWidth="1"/>
    <col min="30" max="30" width="3.125" style="14" customWidth="1"/>
    <col min="31" max="256" width="13.75" style="14" customWidth="1"/>
    <col min="257" max="257" width="3.125" style="14" customWidth="1"/>
    <col min="258" max="262" width="13.75" style="14" customWidth="1"/>
    <col min="263" max="263" width="3.125" style="14" customWidth="1"/>
    <col min="264" max="268" width="13.75" style="14" customWidth="1"/>
    <col min="269" max="269" width="3.125" style="14" customWidth="1"/>
    <col min="270" max="274" width="13.75" style="14" customWidth="1"/>
    <col min="275" max="275" width="3.125" style="14" customWidth="1"/>
    <col min="276" max="276" width="32.125" style="14" bestFit="1" customWidth="1"/>
    <col min="277" max="285" width="13.75" style="14" customWidth="1"/>
    <col min="286" max="286" width="3.125" style="14" customWidth="1"/>
    <col min="287" max="512" width="13.75" style="14" customWidth="1"/>
    <col min="513" max="513" width="3.125" style="14" customWidth="1"/>
    <col min="514" max="518" width="13.75" style="14" customWidth="1"/>
    <col min="519" max="519" width="3.125" style="14" customWidth="1"/>
    <col min="520" max="524" width="13.75" style="14" customWidth="1"/>
    <col min="525" max="525" width="3.125" style="14" customWidth="1"/>
    <col min="526" max="530" width="13.75" style="14" customWidth="1"/>
    <col min="531" max="531" width="3.125" style="14" customWidth="1"/>
    <col min="532" max="532" width="32.125" style="14" bestFit="1" customWidth="1"/>
    <col min="533" max="541" width="13.75" style="14" customWidth="1"/>
    <col min="542" max="542" width="3.125" style="14" customWidth="1"/>
    <col min="543" max="768" width="13.75" style="14" customWidth="1"/>
    <col min="769" max="769" width="3.125" style="14" customWidth="1"/>
    <col min="770" max="774" width="13.75" style="14" customWidth="1"/>
    <col min="775" max="775" width="3.125" style="14" customWidth="1"/>
    <col min="776" max="780" width="13.75" style="14" customWidth="1"/>
    <col min="781" max="781" width="3.125" style="14" customWidth="1"/>
    <col min="782" max="786" width="13.75" style="14" customWidth="1"/>
    <col min="787" max="787" width="3.125" style="14" customWidth="1"/>
    <col min="788" max="788" width="32.125" style="14" bestFit="1" customWidth="1"/>
    <col min="789" max="797" width="13.75" style="14" customWidth="1"/>
    <col min="798" max="798" width="3.125" style="14" customWidth="1"/>
    <col min="799" max="1024" width="13.75" style="14" customWidth="1"/>
    <col min="1025" max="1025" width="3.125" style="14" customWidth="1"/>
    <col min="1026" max="1030" width="13.75" style="14" customWidth="1"/>
    <col min="1031" max="1031" width="3.125" style="14" customWidth="1"/>
    <col min="1032" max="1036" width="13.75" style="14" customWidth="1"/>
    <col min="1037" max="1037" width="3.125" style="14" customWidth="1"/>
    <col min="1038" max="1042" width="13.75" style="14" customWidth="1"/>
    <col min="1043" max="1043" width="3.125" style="14" customWidth="1"/>
    <col min="1044" max="1044" width="32.125" style="14" bestFit="1" customWidth="1"/>
    <col min="1045" max="1053" width="13.75" style="14" customWidth="1"/>
    <col min="1054" max="1054" width="3.125" style="14" customWidth="1"/>
    <col min="1055" max="1280" width="13.75" style="14" customWidth="1"/>
    <col min="1281" max="1281" width="3.125" style="14" customWidth="1"/>
    <col min="1282" max="1286" width="13.75" style="14" customWidth="1"/>
    <col min="1287" max="1287" width="3.125" style="14" customWidth="1"/>
    <col min="1288" max="1292" width="13.75" style="14" customWidth="1"/>
    <col min="1293" max="1293" width="3.125" style="14" customWidth="1"/>
    <col min="1294" max="1298" width="13.75" style="14" customWidth="1"/>
    <col min="1299" max="1299" width="3.125" style="14" customWidth="1"/>
    <col min="1300" max="1300" width="32.125" style="14" bestFit="1" customWidth="1"/>
    <col min="1301" max="1309" width="13.75" style="14" customWidth="1"/>
    <col min="1310" max="1310" width="3.125" style="14" customWidth="1"/>
    <col min="1311" max="1536" width="13.75" style="14" customWidth="1"/>
    <col min="1537" max="1537" width="3.125" style="14" customWidth="1"/>
    <col min="1538" max="1542" width="13.75" style="14" customWidth="1"/>
    <col min="1543" max="1543" width="3.125" style="14" customWidth="1"/>
    <col min="1544" max="1548" width="13.75" style="14" customWidth="1"/>
    <col min="1549" max="1549" width="3.125" style="14" customWidth="1"/>
    <col min="1550" max="1554" width="13.75" style="14" customWidth="1"/>
    <col min="1555" max="1555" width="3.125" style="14" customWidth="1"/>
    <col min="1556" max="1556" width="32.125" style="14" bestFit="1" customWidth="1"/>
    <col min="1557" max="1565" width="13.75" style="14" customWidth="1"/>
    <col min="1566" max="1566" width="3.125" style="14" customWidth="1"/>
    <col min="1567" max="1792" width="13.75" style="14" customWidth="1"/>
    <col min="1793" max="1793" width="3.125" style="14" customWidth="1"/>
    <col min="1794" max="1798" width="13.75" style="14" customWidth="1"/>
    <col min="1799" max="1799" width="3.125" style="14" customWidth="1"/>
    <col min="1800" max="1804" width="13.75" style="14" customWidth="1"/>
    <col min="1805" max="1805" width="3.125" style="14" customWidth="1"/>
    <col min="1806" max="1810" width="13.75" style="14" customWidth="1"/>
    <col min="1811" max="1811" width="3.125" style="14" customWidth="1"/>
    <col min="1812" max="1812" width="32.125" style="14" bestFit="1" customWidth="1"/>
    <col min="1813" max="1821" width="13.75" style="14" customWidth="1"/>
    <col min="1822" max="1822" width="3.125" style="14" customWidth="1"/>
    <col min="1823" max="2048" width="13.75" style="14" customWidth="1"/>
    <col min="2049" max="2049" width="3.125" style="14" customWidth="1"/>
    <col min="2050" max="2054" width="13.75" style="14" customWidth="1"/>
    <col min="2055" max="2055" width="3.125" style="14" customWidth="1"/>
    <col min="2056" max="2060" width="13.75" style="14" customWidth="1"/>
    <col min="2061" max="2061" width="3.125" style="14" customWidth="1"/>
    <col min="2062" max="2066" width="13.75" style="14" customWidth="1"/>
    <col min="2067" max="2067" width="3.125" style="14" customWidth="1"/>
    <col min="2068" max="2068" width="32.125" style="14" bestFit="1" customWidth="1"/>
    <col min="2069" max="2077" width="13.75" style="14" customWidth="1"/>
    <col min="2078" max="2078" width="3.125" style="14" customWidth="1"/>
    <col min="2079" max="2304" width="13.75" style="14" customWidth="1"/>
    <col min="2305" max="2305" width="3.125" style="14" customWidth="1"/>
    <col min="2306" max="2310" width="13.75" style="14" customWidth="1"/>
    <col min="2311" max="2311" width="3.125" style="14" customWidth="1"/>
    <col min="2312" max="2316" width="13.75" style="14" customWidth="1"/>
    <col min="2317" max="2317" width="3.125" style="14" customWidth="1"/>
    <col min="2318" max="2322" width="13.75" style="14" customWidth="1"/>
    <col min="2323" max="2323" width="3.125" style="14" customWidth="1"/>
    <col min="2324" max="2324" width="32.125" style="14" bestFit="1" customWidth="1"/>
    <col min="2325" max="2333" width="13.75" style="14" customWidth="1"/>
    <col min="2334" max="2334" width="3.125" style="14" customWidth="1"/>
    <col min="2335" max="2560" width="13.75" style="14" customWidth="1"/>
    <col min="2561" max="2561" width="3.125" style="14" customWidth="1"/>
    <col min="2562" max="2566" width="13.75" style="14" customWidth="1"/>
    <col min="2567" max="2567" width="3.125" style="14" customWidth="1"/>
    <col min="2568" max="2572" width="13.75" style="14" customWidth="1"/>
    <col min="2573" max="2573" width="3.125" style="14" customWidth="1"/>
    <col min="2574" max="2578" width="13.75" style="14" customWidth="1"/>
    <col min="2579" max="2579" width="3.125" style="14" customWidth="1"/>
    <col min="2580" max="2580" width="32.125" style="14" bestFit="1" customWidth="1"/>
    <col min="2581" max="2589" width="13.75" style="14" customWidth="1"/>
    <col min="2590" max="2590" width="3.125" style="14" customWidth="1"/>
    <col min="2591" max="2816" width="13.75" style="14" customWidth="1"/>
    <col min="2817" max="2817" width="3.125" style="14" customWidth="1"/>
    <col min="2818" max="2822" width="13.75" style="14" customWidth="1"/>
    <col min="2823" max="2823" width="3.125" style="14" customWidth="1"/>
    <col min="2824" max="2828" width="13.75" style="14" customWidth="1"/>
    <col min="2829" max="2829" width="3.125" style="14" customWidth="1"/>
    <col min="2830" max="2834" width="13.75" style="14" customWidth="1"/>
    <col min="2835" max="2835" width="3.125" style="14" customWidth="1"/>
    <col min="2836" max="2836" width="32.125" style="14" bestFit="1" customWidth="1"/>
    <col min="2837" max="2845" width="13.75" style="14" customWidth="1"/>
    <col min="2846" max="2846" width="3.125" style="14" customWidth="1"/>
    <col min="2847" max="3072" width="13.75" style="14" customWidth="1"/>
    <col min="3073" max="3073" width="3.125" style="14" customWidth="1"/>
    <col min="3074" max="3078" width="13.75" style="14" customWidth="1"/>
    <col min="3079" max="3079" width="3.125" style="14" customWidth="1"/>
    <col min="3080" max="3084" width="13.75" style="14" customWidth="1"/>
    <col min="3085" max="3085" width="3.125" style="14" customWidth="1"/>
    <col min="3086" max="3090" width="13.75" style="14" customWidth="1"/>
    <col min="3091" max="3091" width="3.125" style="14" customWidth="1"/>
    <col min="3092" max="3092" width="32.125" style="14" bestFit="1" customWidth="1"/>
    <col min="3093" max="3101" width="13.75" style="14" customWidth="1"/>
    <col min="3102" max="3102" width="3.125" style="14" customWidth="1"/>
    <col min="3103" max="3328" width="13.75" style="14" customWidth="1"/>
    <col min="3329" max="3329" width="3.125" style="14" customWidth="1"/>
    <col min="3330" max="3334" width="13.75" style="14" customWidth="1"/>
    <col min="3335" max="3335" width="3.125" style="14" customWidth="1"/>
    <col min="3336" max="3340" width="13.75" style="14" customWidth="1"/>
    <col min="3341" max="3341" width="3.125" style="14" customWidth="1"/>
    <col min="3342" max="3346" width="13.75" style="14" customWidth="1"/>
    <col min="3347" max="3347" width="3.125" style="14" customWidth="1"/>
    <col min="3348" max="3348" width="32.125" style="14" bestFit="1" customWidth="1"/>
    <col min="3349" max="3357" width="13.75" style="14" customWidth="1"/>
    <col min="3358" max="3358" width="3.125" style="14" customWidth="1"/>
    <col min="3359" max="3584" width="13.75" style="14" customWidth="1"/>
    <col min="3585" max="3585" width="3.125" style="14" customWidth="1"/>
    <col min="3586" max="3590" width="13.75" style="14" customWidth="1"/>
    <col min="3591" max="3591" width="3.125" style="14" customWidth="1"/>
    <col min="3592" max="3596" width="13.75" style="14" customWidth="1"/>
    <col min="3597" max="3597" width="3.125" style="14" customWidth="1"/>
    <col min="3598" max="3602" width="13.75" style="14" customWidth="1"/>
    <col min="3603" max="3603" width="3.125" style="14" customWidth="1"/>
    <col min="3604" max="3604" width="32.125" style="14" bestFit="1" customWidth="1"/>
    <col min="3605" max="3613" width="13.75" style="14" customWidth="1"/>
    <col min="3614" max="3614" width="3.125" style="14" customWidth="1"/>
    <col min="3615" max="3840" width="13.75" style="14" customWidth="1"/>
    <col min="3841" max="3841" width="3.125" style="14" customWidth="1"/>
    <col min="3842" max="3846" width="13.75" style="14" customWidth="1"/>
    <col min="3847" max="3847" width="3.125" style="14" customWidth="1"/>
    <col min="3848" max="3852" width="13.75" style="14" customWidth="1"/>
    <col min="3853" max="3853" width="3.125" style="14" customWidth="1"/>
    <col min="3854" max="3858" width="13.75" style="14" customWidth="1"/>
    <col min="3859" max="3859" width="3.125" style="14" customWidth="1"/>
    <col min="3860" max="3860" width="32.125" style="14" bestFit="1" customWidth="1"/>
    <col min="3861" max="3869" width="13.75" style="14" customWidth="1"/>
    <col min="3870" max="3870" width="3.125" style="14" customWidth="1"/>
    <col min="3871" max="4096" width="13.75" style="14" customWidth="1"/>
    <col min="4097" max="4097" width="3.125" style="14" customWidth="1"/>
    <col min="4098" max="4102" width="13.75" style="14" customWidth="1"/>
    <col min="4103" max="4103" width="3.125" style="14" customWidth="1"/>
    <col min="4104" max="4108" width="13.75" style="14" customWidth="1"/>
    <col min="4109" max="4109" width="3.125" style="14" customWidth="1"/>
    <col min="4110" max="4114" width="13.75" style="14" customWidth="1"/>
    <col min="4115" max="4115" width="3.125" style="14" customWidth="1"/>
    <col min="4116" max="4116" width="32.125" style="14" bestFit="1" customWidth="1"/>
    <col min="4117" max="4125" width="13.75" style="14" customWidth="1"/>
    <col min="4126" max="4126" width="3.125" style="14" customWidth="1"/>
    <col min="4127" max="4352" width="13.75" style="14" customWidth="1"/>
    <col min="4353" max="4353" width="3.125" style="14" customWidth="1"/>
    <col min="4354" max="4358" width="13.75" style="14" customWidth="1"/>
    <col min="4359" max="4359" width="3.125" style="14" customWidth="1"/>
    <col min="4360" max="4364" width="13.75" style="14" customWidth="1"/>
    <col min="4365" max="4365" width="3.125" style="14" customWidth="1"/>
    <col min="4366" max="4370" width="13.75" style="14" customWidth="1"/>
    <col min="4371" max="4371" width="3.125" style="14" customWidth="1"/>
    <col min="4372" max="4372" width="32.125" style="14" bestFit="1" customWidth="1"/>
    <col min="4373" max="4381" width="13.75" style="14" customWidth="1"/>
    <col min="4382" max="4382" width="3.125" style="14" customWidth="1"/>
    <col min="4383" max="4608" width="13.75" style="14" customWidth="1"/>
    <col min="4609" max="4609" width="3.125" style="14" customWidth="1"/>
    <col min="4610" max="4614" width="13.75" style="14" customWidth="1"/>
    <col min="4615" max="4615" width="3.125" style="14" customWidth="1"/>
    <col min="4616" max="4620" width="13.75" style="14" customWidth="1"/>
    <col min="4621" max="4621" width="3.125" style="14" customWidth="1"/>
    <col min="4622" max="4626" width="13.75" style="14" customWidth="1"/>
    <col min="4627" max="4627" width="3.125" style="14" customWidth="1"/>
    <col min="4628" max="4628" width="32.125" style="14" bestFit="1" customWidth="1"/>
    <col min="4629" max="4637" width="13.75" style="14" customWidth="1"/>
    <col min="4638" max="4638" width="3.125" style="14" customWidth="1"/>
    <col min="4639" max="4864" width="13.75" style="14" customWidth="1"/>
    <col min="4865" max="4865" width="3.125" style="14" customWidth="1"/>
    <col min="4866" max="4870" width="13.75" style="14" customWidth="1"/>
    <col min="4871" max="4871" width="3.125" style="14" customWidth="1"/>
    <col min="4872" max="4876" width="13.75" style="14" customWidth="1"/>
    <col min="4877" max="4877" width="3.125" style="14" customWidth="1"/>
    <col min="4878" max="4882" width="13.75" style="14" customWidth="1"/>
    <col min="4883" max="4883" width="3.125" style="14" customWidth="1"/>
    <col min="4884" max="4884" width="32.125" style="14" bestFit="1" customWidth="1"/>
    <col min="4885" max="4893" width="13.75" style="14" customWidth="1"/>
    <col min="4894" max="4894" width="3.125" style="14" customWidth="1"/>
    <col min="4895" max="5120" width="13.75" style="14" customWidth="1"/>
    <col min="5121" max="5121" width="3.125" style="14" customWidth="1"/>
    <col min="5122" max="5126" width="13.75" style="14" customWidth="1"/>
    <col min="5127" max="5127" width="3.125" style="14" customWidth="1"/>
    <col min="5128" max="5132" width="13.75" style="14" customWidth="1"/>
    <col min="5133" max="5133" width="3.125" style="14" customWidth="1"/>
    <col min="5134" max="5138" width="13.75" style="14" customWidth="1"/>
    <col min="5139" max="5139" width="3.125" style="14" customWidth="1"/>
    <col min="5140" max="5140" width="32.125" style="14" bestFit="1" customWidth="1"/>
    <col min="5141" max="5149" width="13.75" style="14" customWidth="1"/>
    <col min="5150" max="5150" width="3.125" style="14" customWidth="1"/>
    <col min="5151" max="5376" width="13.75" style="14" customWidth="1"/>
    <col min="5377" max="5377" width="3.125" style="14" customWidth="1"/>
    <col min="5378" max="5382" width="13.75" style="14" customWidth="1"/>
    <col min="5383" max="5383" width="3.125" style="14" customWidth="1"/>
    <col min="5384" max="5388" width="13.75" style="14" customWidth="1"/>
    <col min="5389" max="5389" width="3.125" style="14" customWidth="1"/>
    <col min="5390" max="5394" width="13.75" style="14" customWidth="1"/>
    <col min="5395" max="5395" width="3.125" style="14" customWidth="1"/>
    <col min="5396" max="5396" width="32.125" style="14" bestFit="1" customWidth="1"/>
    <col min="5397" max="5405" width="13.75" style="14" customWidth="1"/>
    <col min="5406" max="5406" width="3.125" style="14" customWidth="1"/>
    <col min="5407" max="5632" width="13.75" style="14" customWidth="1"/>
    <col min="5633" max="5633" width="3.125" style="14" customWidth="1"/>
    <col min="5634" max="5638" width="13.75" style="14" customWidth="1"/>
    <col min="5639" max="5639" width="3.125" style="14" customWidth="1"/>
    <col min="5640" max="5644" width="13.75" style="14" customWidth="1"/>
    <col min="5645" max="5645" width="3.125" style="14" customWidth="1"/>
    <col min="5646" max="5650" width="13.75" style="14" customWidth="1"/>
    <col min="5651" max="5651" width="3.125" style="14" customWidth="1"/>
    <col min="5652" max="5652" width="32.125" style="14" bestFit="1" customWidth="1"/>
    <col min="5653" max="5661" width="13.75" style="14" customWidth="1"/>
    <col min="5662" max="5662" width="3.125" style="14" customWidth="1"/>
    <col min="5663" max="5888" width="13.75" style="14" customWidth="1"/>
    <col min="5889" max="5889" width="3.125" style="14" customWidth="1"/>
    <col min="5890" max="5894" width="13.75" style="14" customWidth="1"/>
    <col min="5895" max="5895" width="3.125" style="14" customWidth="1"/>
    <col min="5896" max="5900" width="13.75" style="14" customWidth="1"/>
    <col min="5901" max="5901" width="3.125" style="14" customWidth="1"/>
    <col min="5902" max="5906" width="13.75" style="14" customWidth="1"/>
    <col min="5907" max="5907" width="3.125" style="14" customWidth="1"/>
    <col min="5908" max="5908" width="32.125" style="14" bestFit="1" customWidth="1"/>
    <col min="5909" max="5917" width="13.75" style="14" customWidth="1"/>
    <col min="5918" max="5918" width="3.125" style="14" customWidth="1"/>
    <col min="5919" max="6144" width="13.75" style="14" customWidth="1"/>
    <col min="6145" max="6145" width="3.125" style="14" customWidth="1"/>
    <col min="6146" max="6150" width="13.75" style="14" customWidth="1"/>
    <col min="6151" max="6151" width="3.125" style="14" customWidth="1"/>
    <col min="6152" max="6156" width="13.75" style="14" customWidth="1"/>
    <col min="6157" max="6157" width="3.125" style="14" customWidth="1"/>
    <col min="6158" max="6162" width="13.75" style="14" customWidth="1"/>
    <col min="6163" max="6163" width="3.125" style="14" customWidth="1"/>
    <col min="6164" max="6164" width="32.125" style="14" bestFit="1" customWidth="1"/>
    <col min="6165" max="6173" width="13.75" style="14" customWidth="1"/>
    <col min="6174" max="6174" width="3.125" style="14" customWidth="1"/>
    <col min="6175" max="6400" width="13.75" style="14" customWidth="1"/>
    <col min="6401" max="6401" width="3.125" style="14" customWidth="1"/>
    <col min="6402" max="6406" width="13.75" style="14" customWidth="1"/>
    <col min="6407" max="6407" width="3.125" style="14" customWidth="1"/>
    <col min="6408" max="6412" width="13.75" style="14" customWidth="1"/>
    <col min="6413" max="6413" width="3.125" style="14" customWidth="1"/>
    <col min="6414" max="6418" width="13.75" style="14" customWidth="1"/>
    <col min="6419" max="6419" width="3.125" style="14" customWidth="1"/>
    <col min="6420" max="6420" width="32.125" style="14" bestFit="1" customWidth="1"/>
    <col min="6421" max="6429" width="13.75" style="14" customWidth="1"/>
    <col min="6430" max="6430" width="3.125" style="14" customWidth="1"/>
    <col min="6431" max="6656" width="13.75" style="14" customWidth="1"/>
    <col min="6657" max="6657" width="3.125" style="14" customWidth="1"/>
    <col min="6658" max="6662" width="13.75" style="14" customWidth="1"/>
    <col min="6663" max="6663" width="3.125" style="14" customWidth="1"/>
    <col min="6664" max="6668" width="13.75" style="14" customWidth="1"/>
    <col min="6669" max="6669" width="3.125" style="14" customWidth="1"/>
    <col min="6670" max="6674" width="13.75" style="14" customWidth="1"/>
    <col min="6675" max="6675" width="3.125" style="14" customWidth="1"/>
    <col min="6676" max="6676" width="32.125" style="14" bestFit="1" customWidth="1"/>
    <col min="6677" max="6685" width="13.75" style="14" customWidth="1"/>
    <col min="6686" max="6686" width="3.125" style="14" customWidth="1"/>
    <col min="6687" max="6912" width="13.75" style="14" customWidth="1"/>
    <col min="6913" max="6913" width="3.125" style="14" customWidth="1"/>
    <col min="6914" max="6918" width="13.75" style="14" customWidth="1"/>
    <col min="6919" max="6919" width="3.125" style="14" customWidth="1"/>
    <col min="6920" max="6924" width="13.75" style="14" customWidth="1"/>
    <col min="6925" max="6925" width="3.125" style="14" customWidth="1"/>
    <col min="6926" max="6930" width="13.75" style="14" customWidth="1"/>
    <col min="6931" max="6931" width="3.125" style="14" customWidth="1"/>
    <col min="6932" max="6932" width="32.125" style="14" bestFit="1" customWidth="1"/>
    <col min="6933" max="6941" width="13.75" style="14" customWidth="1"/>
    <col min="6942" max="6942" width="3.125" style="14" customWidth="1"/>
    <col min="6943" max="7168" width="13.75" style="14" customWidth="1"/>
    <col min="7169" max="7169" width="3.125" style="14" customWidth="1"/>
    <col min="7170" max="7174" width="13.75" style="14" customWidth="1"/>
    <col min="7175" max="7175" width="3.125" style="14" customWidth="1"/>
    <col min="7176" max="7180" width="13.75" style="14" customWidth="1"/>
    <col min="7181" max="7181" width="3.125" style="14" customWidth="1"/>
    <col min="7182" max="7186" width="13.75" style="14" customWidth="1"/>
    <col min="7187" max="7187" width="3.125" style="14" customWidth="1"/>
    <col min="7188" max="7188" width="32.125" style="14" bestFit="1" customWidth="1"/>
    <col min="7189" max="7197" width="13.75" style="14" customWidth="1"/>
    <col min="7198" max="7198" width="3.125" style="14" customWidth="1"/>
    <col min="7199" max="7424" width="13.75" style="14" customWidth="1"/>
    <col min="7425" max="7425" width="3.125" style="14" customWidth="1"/>
    <col min="7426" max="7430" width="13.75" style="14" customWidth="1"/>
    <col min="7431" max="7431" width="3.125" style="14" customWidth="1"/>
    <col min="7432" max="7436" width="13.75" style="14" customWidth="1"/>
    <col min="7437" max="7437" width="3.125" style="14" customWidth="1"/>
    <col min="7438" max="7442" width="13.75" style="14" customWidth="1"/>
    <col min="7443" max="7443" width="3.125" style="14" customWidth="1"/>
    <col min="7444" max="7444" width="32.125" style="14" bestFit="1" customWidth="1"/>
    <col min="7445" max="7453" width="13.75" style="14" customWidth="1"/>
    <col min="7454" max="7454" width="3.125" style="14" customWidth="1"/>
    <col min="7455" max="7680" width="13.75" style="14" customWidth="1"/>
    <col min="7681" max="7681" width="3.125" style="14" customWidth="1"/>
    <col min="7682" max="7686" width="13.75" style="14" customWidth="1"/>
    <col min="7687" max="7687" width="3.125" style="14" customWidth="1"/>
    <col min="7688" max="7692" width="13.75" style="14" customWidth="1"/>
    <col min="7693" max="7693" width="3.125" style="14" customWidth="1"/>
    <col min="7694" max="7698" width="13.75" style="14" customWidth="1"/>
    <col min="7699" max="7699" width="3.125" style="14" customWidth="1"/>
    <col min="7700" max="7700" width="32.125" style="14" bestFit="1" customWidth="1"/>
    <col min="7701" max="7709" width="13.75" style="14" customWidth="1"/>
    <col min="7710" max="7710" width="3.125" style="14" customWidth="1"/>
    <col min="7711" max="7936" width="13.75" style="14" customWidth="1"/>
    <col min="7937" max="7937" width="3.125" style="14" customWidth="1"/>
    <col min="7938" max="7942" width="13.75" style="14" customWidth="1"/>
    <col min="7943" max="7943" width="3.125" style="14" customWidth="1"/>
    <col min="7944" max="7948" width="13.75" style="14" customWidth="1"/>
    <col min="7949" max="7949" width="3.125" style="14" customWidth="1"/>
    <col min="7950" max="7954" width="13.75" style="14" customWidth="1"/>
    <col min="7955" max="7955" width="3.125" style="14" customWidth="1"/>
    <col min="7956" max="7956" width="32.125" style="14" bestFit="1" customWidth="1"/>
    <col min="7957" max="7965" width="13.75" style="14" customWidth="1"/>
    <col min="7966" max="7966" width="3.125" style="14" customWidth="1"/>
    <col min="7967" max="8192" width="13.75" style="14" customWidth="1"/>
    <col min="8193" max="8193" width="3.125" style="14" customWidth="1"/>
    <col min="8194" max="8198" width="13.75" style="14" customWidth="1"/>
    <col min="8199" max="8199" width="3.125" style="14" customWidth="1"/>
    <col min="8200" max="8204" width="13.75" style="14" customWidth="1"/>
    <col min="8205" max="8205" width="3.125" style="14" customWidth="1"/>
    <col min="8206" max="8210" width="13.75" style="14" customWidth="1"/>
    <col min="8211" max="8211" width="3.125" style="14" customWidth="1"/>
    <col min="8212" max="8212" width="32.125" style="14" bestFit="1" customWidth="1"/>
    <col min="8213" max="8221" width="13.75" style="14" customWidth="1"/>
    <col min="8222" max="8222" width="3.125" style="14" customWidth="1"/>
    <col min="8223" max="8448" width="13.75" style="14" customWidth="1"/>
    <col min="8449" max="8449" width="3.125" style="14" customWidth="1"/>
    <col min="8450" max="8454" width="13.75" style="14" customWidth="1"/>
    <col min="8455" max="8455" width="3.125" style="14" customWidth="1"/>
    <col min="8456" max="8460" width="13.75" style="14" customWidth="1"/>
    <col min="8461" max="8461" width="3.125" style="14" customWidth="1"/>
    <col min="8462" max="8466" width="13.75" style="14" customWidth="1"/>
    <col min="8467" max="8467" width="3.125" style="14" customWidth="1"/>
    <col min="8468" max="8468" width="32.125" style="14" bestFit="1" customWidth="1"/>
    <col min="8469" max="8477" width="13.75" style="14" customWidth="1"/>
    <col min="8478" max="8478" width="3.125" style="14" customWidth="1"/>
    <col min="8479" max="8704" width="13.75" style="14" customWidth="1"/>
    <col min="8705" max="8705" width="3.125" style="14" customWidth="1"/>
    <col min="8706" max="8710" width="13.75" style="14" customWidth="1"/>
    <col min="8711" max="8711" width="3.125" style="14" customWidth="1"/>
    <col min="8712" max="8716" width="13.75" style="14" customWidth="1"/>
    <col min="8717" max="8717" width="3.125" style="14" customWidth="1"/>
    <col min="8718" max="8722" width="13.75" style="14" customWidth="1"/>
    <col min="8723" max="8723" width="3.125" style="14" customWidth="1"/>
    <col min="8724" max="8724" width="32.125" style="14" bestFit="1" customWidth="1"/>
    <col min="8725" max="8733" width="13.75" style="14" customWidth="1"/>
    <col min="8734" max="8734" width="3.125" style="14" customWidth="1"/>
    <col min="8735" max="8960" width="13.75" style="14" customWidth="1"/>
    <col min="8961" max="8961" width="3.125" style="14" customWidth="1"/>
    <col min="8962" max="8966" width="13.75" style="14" customWidth="1"/>
    <col min="8967" max="8967" width="3.125" style="14" customWidth="1"/>
    <col min="8968" max="8972" width="13.75" style="14" customWidth="1"/>
    <col min="8973" max="8973" width="3.125" style="14" customWidth="1"/>
    <col min="8974" max="8978" width="13.75" style="14" customWidth="1"/>
    <col min="8979" max="8979" width="3.125" style="14" customWidth="1"/>
    <col min="8980" max="8980" width="32.125" style="14" bestFit="1" customWidth="1"/>
    <col min="8981" max="8989" width="13.75" style="14" customWidth="1"/>
    <col min="8990" max="8990" width="3.125" style="14" customWidth="1"/>
    <col min="8991" max="9216" width="13.75" style="14" customWidth="1"/>
    <col min="9217" max="9217" width="3.125" style="14" customWidth="1"/>
    <col min="9218" max="9222" width="13.75" style="14" customWidth="1"/>
    <col min="9223" max="9223" width="3.125" style="14" customWidth="1"/>
    <col min="9224" max="9228" width="13.75" style="14" customWidth="1"/>
    <col min="9229" max="9229" width="3.125" style="14" customWidth="1"/>
    <col min="9230" max="9234" width="13.75" style="14" customWidth="1"/>
    <col min="9235" max="9235" width="3.125" style="14" customWidth="1"/>
    <col min="9236" max="9236" width="32.125" style="14" bestFit="1" customWidth="1"/>
    <col min="9237" max="9245" width="13.75" style="14" customWidth="1"/>
    <col min="9246" max="9246" width="3.125" style="14" customWidth="1"/>
    <col min="9247" max="9472" width="13.75" style="14" customWidth="1"/>
    <col min="9473" max="9473" width="3.125" style="14" customWidth="1"/>
    <col min="9474" max="9478" width="13.75" style="14" customWidth="1"/>
    <col min="9479" max="9479" width="3.125" style="14" customWidth="1"/>
    <col min="9480" max="9484" width="13.75" style="14" customWidth="1"/>
    <col min="9485" max="9485" width="3.125" style="14" customWidth="1"/>
    <col min="9486" max="9490" width="13.75" style="14" customWidth="1"/>
    <col min="9491" max="9491" width="3.125" style="14" customWidth="1"/>
    <col min="9492" max="9492" width="32.125" style="14" bestFit="1" customWidth="1"/>
    <col min="9493" max="9501" width="13.75" style="14" customWidth="1"/>
    <col min="9502" max="9502" width="3.125" style="14" customWidth="1"/>
    <col min="9503" max="9728" width="13.75" style="14" customWidth="1"/>
    <col min="9729" max="9729" width="3.125" style="14" customWidth="1"/>
    <col min="9730" max="9734" width="13.75" style="14" customWidth="1"/>
    <col min="9735" max="9735" width="3.125" style="14" customWidth="1"/>
    <col min="9736" max="9740" width="13.75" style="14" customWidth="1"/>
    <col min="9741" max="9741" width="3.125" style="14" customWidth="1"/>
    <col min="9742" max="9746" width="13.75" style="14" customWidth="1"/>
    <col min="9747" max="9747" width="3.125" style="14" customWidth="1"/>
    <col min="9748" max="9748" width="32.125" style="14" bestFit="1" customWidth="1"/>
    <col min="9749" max="9757" width="13.75" style="14" customWidth="1"/>
    <col min="9758" max="9758" width="3.125" style="14" customWidth="1"/>
    <col min="9759" max="9984" width="13.75" style="14" customWidth="1"/>
    <col min="9985" max="9985" width="3.125" style="14" customWidth="1"/>
    <col min="9986" max="9990" width="13.75" style="14" customWidth="1"/>
    <col min="9991" max="9991" width="3.125" style="14" customWidth="1"/>
    <col min="9992" max="9996" width="13.75" style="14" customWidth="1"/>
    <col min="9997" max="9997" width="3.125" style="14" customWidth="1"/>
    <col min="9998" max="10002" width="13.75" style="14" customWidth="1"/>
    <col min="10003" max="10003" width="3.125" style="14" customWidth="1"/>
    <col min="10004" max="10004" width="32.125" style="14" bestFit="1" customWidth="1"/>
    <col min="10005" max="10013" width="13.75" style="14" customWidth="1"/>
    <col min="10014" max="10014" width="3.125" style="14" customWidth="1"/>
    <col min="10015" max="10240" width="13.75" style="14" customWidth="1"/>
    <col min="10241" max="10241" width="3.125" style="14" customWidth="1"/>
    <col min="10242" max="10246" width="13.75" style="14" customWidth="1"/>
    <col min="10247" max="10247" width="3.125" style="14" customWidth="1"/>
    <col min="10248" max="10252" width="13.75" style="14" customWidth="1"/>
    <col min="10253" max="10253" width="3.125" style="14" customWidth="1"/>
    <col min="10254" max="10258" width="13.75" style="14" customWidth="1"/>
    <col min="10259" max="10259" width="3.125" style="14" customWidth="1"/>
    <col min="10260" max="10260" width="32.125" style="14" bestFit="1" customWidth="1"/>
    <col min="10261" max="10269" width="13.75" style="14" customWidth="1"/>
    <col min="10270" max="10270" width="3.125" style="14" customWidth="1"/>
    <col min="10271" max="10496" width="13.75" style="14" customWidth="1"/>
    <col min="10497" max="10497" width="3.125" style="14" customWidth="1"/>
    <col min="10498" max="10502" width="13.75" style="14" customWidth="1"/>
    <col min="10503" max="10503" width="3.125" style="14" customWidth="1"/>
    <col min="10504" max="10508" width="13.75" style="14" customWidth="1"/>
    <col min="10509" max="10509" width="3.125" style="14" customWidth="1"/>
    <col min="10510" max="10514" width="13.75" style="14" customWidth="1"/>
    <col min="10515" max="10515" width="3.125" style="14" customWidth="1"/>
    <col min="10516" max="10516" width="32.125" style="14" bestFit="1" customWidth="1"/>
    <col min="10517" max="10525" width="13.75" style="14" customWidth="1"/>
    <col min="10526" max="10526" width="3.125" style="14" customWidth="1"/>
    <col min="10527" max="10752" width="13.75" style="14" customWidth="1"/>
    <col min="10753" max="10753" width="3.125" style="14" customWidth="1"/>
    <col min="10754" max="10758" width="13.75" style="14" customWidth="1"/>
    <col min="10759" max="10759" width="3.125" style="14" customWidth="1"/>
    <col min="10760" max="10764" width="13.75" style="14" customWidth="1"/>
    <col min="10765" max="10765" width="3.125" style="14" customWidth="1"/>
    <col min="10766" max="10770" width="13.75" style="14" customWidth="1"/>
    <col min="10771" max="10771" width="3.125" style="14" customWidth="1"/>
    <col min="10772" max="10772" width="32.125" style="14" bestFit="1" customWidth="1"/>
    <col min="10773" max="10781" width="13.75" style="14" customWidth="1"/>
    <col min="10782" max="10782" width="3.125" style="14" customWidth="1"/>
    <col min="10783" max="11008" width="13.75" style="14" customWidth="1"/>
    <col min="11009" max="11009" width="3.125" style="14" customWidth="1"/>
    <col min="11010" max="11014" width="13.75" style="14" customWidth="1"/>
    <col min="11015" max="11015" width="3.125" style="14" customWidth="1"/>
    <col min="11016" max="11020" width="13.75" style="14" customWidth="1"/>
    <col min="11021" max="11021" width="3.125" style="14" customWidth="1"/>
    <col min="11022" max="11026" width="13.75" style="14" customWidth="1"/>
    <col min="11027" max="11027" width="3.125" style="14" customWidth="1"/>
    <col min="11028" max="11028" width="32.125" style="14" bestFit="1" customWidth="1"/>
    <col min="11029" max="11037" width="13.75" style="14" customWidth="1"/>
    <col min="11038" max="11038" width="3.125" style="14" customWidth="1"/>
    <col min="11039" max="11264" width="13.75" style="14" customWidth="1"/>
    <col min="11265" max="11265" width="3.125" style="14" customWidth="1"/>
    <col min="11266" max="11270" width="13.75" style="14" customWidth="1"/>
    <col min="11271" max="11271" width="3.125" style="14" customWidth="1"/>
    <col min="11272" max="11276" width="13.75" style="14" customWidth="1"/>
    <col min="11277" max="11277" width="3.125" style="14" customWidth="1"/>
    <col min="11278" max="11282" width="13.75" style="14" customWidth="1"/>
    <col min="11283" max="11283" width="3.125" style="14" customWidth="1"/>
    <col min="11284" max="11284" width="32.125" style="14" bestFit="1" customWidth="1"/>
    <col min="11285" max="11293" width="13.75" style="14" customWidth="1"/>
    <col min="11294" max="11294" width="3.125" style="14" customWidth="1"/>
    <col min="11295" max="11520" width="13.75" style="14" customWidth="1"/>
    <col min="11521" max="11521" width="3.125" style="14" customWidth="1"/>
    <col min="11522" max="11526" width="13.75" style="14" customWidth="1"/>
    <col min="11527" max="11527" width="3.125" style="14" customWidth="1"/>
    <col min="11528" max="11532" width="13.75" style="14" customWidth="1"/>
    <col min="11533" max="11533" width="3.125" style="14" customWidth="1"/>
    <col min="11534" max="11538" width="13.75" style="14" customWidth="1"/>
    <col min="11539" max="11539" width="3.125" style="14" customWidth="1"/>
    <col min="11540" max="11540" width="32.125" style="14" bestFit="1" customWidth="1"/>
    <col min="11541" max="11549" width="13.75" style="14" customWidth="1"/>
    <col min="11550" max="11550" width="3.125" style="14" customWidth="1"/>
    <col min="11551" max="11776" width="13.75" style="14" customWidth="1"/>
    <col min="11777" max="11777" width="3.125" style="14" customWidth="1"/>
    <col min="11778" max="11782" width="13.75" style="14" customWidth="1"/>
    <col min="11783" max="11783" width="3.125" style="14" customWidth="1"/>
    <col min="11784" max="11788" width="13.75" style="14" customWidth="1"/>
    <col min="11789" max="11789" width="3.125" style="14" customWidth="1"/>
    <col min="11790" max="11794" width="13.75" style="14" customWidth="1"/>
    <col min="11795" max="11795" width="3.125" style="14" customWidth="1"/>
    <col min="11796" max="11796" width="32.125" style="14" bestFit="1" customWidth="1"/>
    <col min="11797" max="11805" width="13.75" style="14" customWidth="1"/>
    <col min="11806" max="11806" width="3.125" style="14" customWidth="1"/>
    <col min="11807" max="12032" width="13.75" style="14" customWidth="1"/>
    <col min="12033" max="12033" width="3.125" style="14" customWidth="1"/>
    <col min="12034" max="12038" width="13.75" style="14" customWidth="1"/>
    <col min="12039" max="12039" width="3.125" style="14" customWidth="1"/>
    <col min="12040" max="12044" width="13.75" style="14" customWidth="1"/>
    <col min="12045" max="12045" width="3.125" style="14" customWidth="1"/>
    <col min="12046" max="12050" width="13.75" style="14" customWidth="1"/>
    <col min="12051" max="12051" width="3.125" style="14" customWidth="1"/>
    <col min="12052" max="12052" width="32.125" style="14" bestFit="1" customWidth="1"/>
    <col min="12053" max="12061" width="13.75" style="14" customWidth="1"/>
    <col min="12062" max="12062" width="3.125" style="14" customWidth="1"/>
    <col min="12063" max="12288" width="13.75" style="14" customWidth="1"/>
    <col min="12289" max="12289" width="3.125" style="14" customWidth="1"/>
    <col min="12290" max="12294" width="13.75" style="14" customWidth="1"/>
    <col min="12295" max="12295" width="3.125" style="14" customWidth="1"/>
    <col min="12296" max="12300" width="13.75" style="14" customWidth="1"/>
    <col min="12301" max="12301" width="3.125" style="14" customWidth="1"/>
    <col min="12302" max="12306" width="13.75" style="14" customWidth="1"/>
    <col min="12307" max="12307" width="3.125" style="14" customWidth="1"/>
    <col min="12308" max="12308" width="32.125" style="14" bestFit="1" customWidth="1"/>
    <col min="12309" max="12317" width="13.75" style="14" customWidth="1"/>
    <col min="12318" max="12318" width="3.125" style="14" customWidth="1"/>
    <col min="12319" max="12544" width="13.75" style="14" customWidth="1"/>
    <col min="12545" max="12545" width="3.125" style="14" customWidth="1"/>
    <col min="12546" max="12550" width="13.75" style="14" customWidth="1"/>
    <col min="12551" max="12551" width="3.125" style="14" customWidth="1"/>
    <col min="12552" max="12556" width="13.75" style="14" customWidth="1"/>
    <col min="12557" max="12557" width="3.125" style="14" customWidth="1"/>
    <col min="12558" max="12562" width="13.75" style="14" customWidth="1"/>
    <col min="12563" max="12563" width="3.125" style="14" customWidth="1"/>
    <col min="12564" max="12564" width="32.125" style="14" bestFit="1" customWidth="1"/>
    <col min="12565" max="12573" width="13.75" style="14" customWidth="1"/>
    <col min="12574" max="12574" width="3.125" style="14" customWidth="1"/>
    <col min="12575" max="12800" width="13.75" style="14" customWidth="1"/>
    <col min="12801" max="12801" width="3.125" style="14" customWidth="1"/>
    <col min="12802" max="12806" width="13.75" style="14" customWidth="1"/>
    <col min="12807" max="12807" width="3.125" style="14" customWidth="1"/>
    <col min="12808" max="12812" width="13.75" style="14" customWidth="1"/>
    <col min="12813" max="12813" width="3.125" style="14" customWidth="1"/>
    <col min="12814" max="12818" width="13.75" style="14" customWidth="1"/>
    <col min="12819" max="12819" width="3.125" style="14" customWidth="1"/>
    <col min="12820" max="12820" width="32.125" style="14" bestFit="1" customWidth="1"/>
    <col min="12821" max="12829" width="13.75" style="14" customWidth="1"/>
    <col min="12830" max="12830" width="3.125" style="14" customWidth="1"/>
    <col min="12831" max="13056" width="13.75" style="14" customWidth="1"/>
    <col min="13057" max="13057" width="3.125" style="14" customWidth="1"/>
    <col min="13058" max="13062" width="13.75" style="14" customWidth="1"/>
    <col min="13063" max="13063" width="3.125" style="14" customWidth="1"/>
    <col min="13064" max="13068" width="13.75" style="14" customWidth="1"/>
    <col min="13069" max="13069" width="3.125" style="14" customWidth="1"/>
    <col min="13070" max="13074" width="13.75" style="14" customWidth="1"/>
    <col min="13075" max="13075" width="3.125" style="14" customWidth="1"/>
    <col min="13076" max="13076" width="32.125" style="14" bestFit="1" customWidth="1"/>
    <col min="13077" max="13085" width="13.75" style="14" customWidth="1"/>
    <col min="13086" max="13086" width="3.125" style="14" customWidth="1"/>
    <col min="13087" max="13312" width="13.75" style="14" customWidth="1"/>
    <col min="13313" max="13313" width="3.125" style="14" customWidth="1"/>
    <col min="13314" max="13318" width="13.75" style="14" customWidth="1"/>
    <col min="13319" max="13319" width="3.125" style="14" customWidth="1"/>
    <col min="13320" max="13324" width="13.75" style="14" customWidth="1"/>
    <col min="13325" max="13325" width="3.125" style="14" customWidth="1"/>
    <col min="13326" max="13330" width="13.75" style="14" customWidth="1"/>
    <col min="13331" max="13331" width="3.125" style="14" customWidth="1"/>
    <col min="13332" max="13332" width="32.125" style="14" bestFit="1" customWidth="1"/>
    <col min="13333" max="13341" width="13.75" style="14" customWidth="1"/>
    <col min="13342" max="13342" width="3.125" style="14" customWidth="1"/>
    <col min="13343" max="13568" width="13.75" style="14" customWidth="1"/>
    <col min="13569" max="13569" width="3.125" style="14" customWidth="1"/>
    <col min="13570" max="13574" width="13.75" style="14" customWidth="1"/>
    <col min="13575" max="13575" width="3.125" style="14" customWidth="1"/>
    <col min="13576" max="13580" width="13.75" style="14" customWidth="1"/>
    <col min="13581" max="13581" width="3.125" style="14" customWidth="1"/>
    <col min="13582" max="13586" width="13.75" style="14" customWidth="1"/>
    <col min="13587" max="13587" width="3.125" style="14" customWidth="1"/>
    <col min="13588" max="13588" width="32.125" style="14" bestFit="1" customWidth="1"/>
    <col min="13589" max="13597" width="13.75" style="14" customWidth="1"/>
    <col min="13598" max="13598" width="3.125" style="14" customWidth="1"/>
    <col min="13599" max="13824" width="13.75" style="14" customWidth="1"/>
    <col min="13825" max="13825" width="3.125" style="14" customWidth="1"/>
    <col min="13826" max="13830" width="13.75" style="14" customWidth="1"/>
    <col min="13831" max="13831" width="3.125" style="14" customWidth="1"/>
    <col min="13832" max="13836" width="13.75" style="14" customWidth="1"/>
    <col min="13837" max="13837" width="3.125" style="14" customWidth="1"/>
    <col min="13838" max="13842" width="13.75" style="14" customWidth="1"/>
    <col min="13843" max="13843" width="3.125" style="14" customWidth="1"/>
    <col min="13844" max="13844" width="32.125" style="14" bestFit="1" customWidth="1"/>
    <col min="13845" max="13853" width="13.75" style="14" customWidth="1"/>
    <col min="13854" max="13854" width="3.125" style="14" customWidth="1"/>
    <col min="13855" max="14080" width="13.75" style="14" customWidth="1"/>
    <col min="14081" max="14081" width="3.125" style="14" customWidth="1"/>
    <col min="14082" max="14086" width="13.75" style="14" customWidth="1"/>
    <col min="14087" max="14087" width="3.125" style="14" customWidth="1"/>
    <col min="14088" max="14092" width="13.75" style="14" customWidth="1"/>
    <col min="14093" max="14093" width="3.125" style="14" customWidth="1"/>
    <col min="14094" max="14098" width="13.75" style="14" customWidth="1"/>
    <col min="14099" max="14099" width="3.125" style="14" customWidth="1"/>
    <col min="14100" max="14100" width="32.125" style="14" bestFit="1" customWidth="1"/>
    <col min="14101" max="14109" width="13.75" style="14" customWidth="1"/>
    <col min="14110" max="14110" width="3.125" style="14" customWidth="1"/>
    <col min="14111" max="14336" width="13.75" style="14" customWidth="1"/>
    <col min="14337" max="14337" width="3.125" style="14" customWidth="1"/>
    <col min="14338" max="14342" width="13.75" style="14" customWidth="1"/>
    <col min="14343" max="14343" width="3.125" style="14" customWidth="1"/>
    <col min="14344" max="14348" width="13.75" style="14" customWidth="1"/>
    <col min="14349" max="14349" width="3.125" style="14" customWidth="1"/>
    <col min="14350" max="14354" width="13.75" style="14" customWidth="1"/>
    <col min="14355" max="14355" width="3.125" style="14" customWidth="1"/>
    <col min="14356" max="14356" width="32.125" style="14" bestFit="1" customWidth="1"/>
    <col min="14357" max="14365" width="13.75" style="14" customWidth="1"/>
    <col min="14366" max="14366" width="3.125" style="14" customWidth="1"/>
    <col min="14367" max="14592" width="13.75" style="14" customWidth="1"/>
    <col min="14593" max="14593" width="3.125" style="14" customWidth="1"/>
    <col min="14594" max="14598" width="13.75" style="14" customWidth="1"/>
    <col min="14599" max="14599" width="3.125" style="14" customWidth="1"/>
    <col min="14600" max="14604" width="13.75" style="14" customWidth="1"/>
    <col min="14605" max="14605" width="3.125" style="14" customWidth="1"/>
    <col min="14606" max="14610" width="13.75" style="14" customWidth="1"/>
    <col min="14611" max="14611" width="3.125" style="14" customWidth="1"/>
    <col min="14612" max="14612" width="32.125" style="14" bestFit="1" customWidth="1"/>
    <col min="14613" max="14621" width="13.75" style="14" customWidth="1"/>
    <col min="14622" max="14622" width="3.125" style="14" customWidth="1"/>
    <col min="14623" max="14848" width="13.75" style="14" customWidth="1"/>
    <col min="14849" max="14849" width="3.125" style="14" customWidth="1"/>
    <col min="14850" max="14854" width="13.75" style="14" customWidth="1"/>
    <col min="14855" max="14855" width="3.125" style="14" customWidth="1"/>
    <col min="14856" max="14860" width="13.75" style="14" customWidth="1"/>
    <col min="14861" max="14861" width="3.125" style="14" customWidth="1"/>
    <col min="14862" max="14866" width="13.75" style="14" customWidth="1"/>
    <col min="14867" max="14867" width="3.125" style="14" customWidth="1"/>
    <col min="14868" max="14868" width="32.125" style="14" bestFit="1" customWidth="1"/>
    <col min="14869" max="14877" width="13.75" style="14" customWidth="1"/>
    <col min="14878" max="14878" width="3.125" style="14" customWidth="1"/>
    <col min="14879" max="15104" width="13.75" style="14" customWidth="1"/>
    <col min="15105" max="15105" width="3.125" style="14" customWidth="1"/>
    <col min="15106" max="15110" width="13.75" style="14" customWidth="1"/>
    <col min="15111" max="15111" width="3.125" style="14" customWidth="1"/>
    <col min="15112" max="15116" width="13.75" style="14" customWidth="1"/>
    <col min="15117" max="15117" width="3.125" style="14" customWidth="1"/>
    <col min="15118" max="15122" width="13.75" style="14" customWidth="1"/>
    <col min="15123" max="15123" width="3.125" style="14" customWidth="1"/>
    <col min="15124" max="15124" width="32.125" style="14" bestFit="1" customWidth="1"/>
    <col min="15125" max="15133" width="13.75" style="14" customWidth="1"/>
    <col min="15134" max="15134" width="3.125" style="14" customWidth="1"/>
    <col min="15135" max="15360" width="13.75" style="14" customWidth="1"/>
    <col min="15361" max="15361" width="3.125" style="14" customWidth="1"/>
    <col min="15362" max="15366" width="13.75" style="14" customWidth="1"/>
    <col min="15367" max="15367" width="3.125" style="14" customWidth="1"/>
    <col min="15368" max="15372" width="13.75" style="14" customWidth="1"/>
    <col min="15373" max="15373" width="3.125" style="14" customWidth="1"/>
    <col min="15374" max="15378" width="13.75" style="14" customWidth="1"/>
    <col min="15379" max="15379" width="3.125" style="14" customWidth="1"/>
    <col min="15380" max="15380" width="32.125" style="14" bestFit="1" customWidth="1"/>
    <col min="15381" max="15389" width="13.75" style="14" customWidth="1"/>
    <col min="15390" max="15390" width="3.125" style="14" customWidth="1"/>
    <col min="15391" max="15616" width="13.75" style="14" customWidth="1"/>
    <col min="15617" max="15617" width="3.125" style="14" customWidth="1"/>
    <col min="15618" max="15622" width="13.75" style="14" customWidth="1"/>
    <col min="15623" max="15623" width="3.125" style="14" customWidth="1"/>
    <col min="15624" max="15628" width="13.75" style="14" customWidth="1"/>
    <col min="15629" max="15629" width="3.125" style="14" customWidth="1"/>
    <col min="15630" max="15634" width="13.75" style="14" customWidth="1"/>
    <col min="15635" max="15635" width="3.125" style="14" customWidth="1"/>
    <col min="15636" max="15636" width="32.125" style="14" bestFit="1" customWidth="1"/>
    <col min="15637" max="15645" width="13.75" style="14" customWidth="1"/>
    <col min="15646" max="15646" width="3.125" style="14" customWidth="1"/>
    <col min="15647" max="15872" width="13.75" style="14" customWidth="1"/>
    <col min="15873" max="15873" width="3.125" style="14" customWidth="1"/>
    <col min="15874" max="15878" width="13.75" style="14" customWidth="1"/>
    <col min="15879" max="15879" width="3.125" style="14" customWidth="1"/>
    <col min="15880" max="15884" width="13.75" style="14" customWidth="1"/>
    <col min="15885" max="15885" width="3.125" style="14" customWidth="1"/>
    <col min="15886" max="15890" width="13.75" style="14" customWidth="1"/>
    <col min="15891" max="15891" width="3.125" style="14" customWidth="1"/>
    <col min="15892" max="15892" width="32.125" style="14" bestFit="1" customWidth="1"/>
    <col min="15893" max="15901" width="13.75" style="14" customWidth="1"/>
    <col min="15902" max="15902" width="3.125" style="14" customWidth="1"/>
    <col min="15903" max="16128" width="13.75" style="14" customWidth="1"/>
    <col min="16129" max="16129" width="3.125" style="14" customWidth="1"/>
    <col min="16130" max="16134" width="13.75" style="14" customWidth="1"/>
    <col min="16135" max="16135" width="3.125" style="14" customWidth="1"/>
    <col min="16136" max="16140" width="13.75" style="14" customWidth="1"/>
    <col min="16141" max="16141" width="3.125" style="14" customWidth="1"/>
    <col min="16142" max="16146" width="13.75" style="14" customWidth="1"/>
    <col min="16147" max="16147" width="3.125" style="14" customWidth="1"/>
    <col min="16148" max="16148" width="32.125" style="14" bestFit="1" customWidth="1"/>
    <col min="16149" max="16157" width="13.75" style="14" customWidth="1"/>
    <col min="16158" max="16158" width="3.125" style="14" customWidth="1"/>
    <col min="16159" max="16384" width="13.75" style="14" customWidth="1"/>
  </cols>
  <sheetData>
    <row r="2" spans="2:37" ht="32.25">
      <c r="B2" s="88" t="s">
        <v>24</v>
      </c>
    </row>
    <row r="3" spans="2:37" ht="15" customHeight="1">
      <c r="D3" s="2"/>
      <c r="E3" s="2"/>
      <c r="F3" s="2"/>
      <c r="G3" s="2"/>
      <c r="H3" s="2"/>
      <c r="I3" s="2"/>
      <c r="J3" s="2"/>
      <c r="K3" s="2"/>
      <c r="L3" s="2"/>
      <c r="M3" s="2"/>
      <c r="N3" s="2"/>
      <c r="O3" s="2"/>
      <c r="P3" s="2"/>
      <c r="Q3" s="2"/>
      <c r="R3" s="2"/>
      <c r="S3" s="2"/>
      <c r="T3" s="5" t="s">
        <v>1</v>
      </c>
      <c r="U3" s="6" t="b">
        <v>0</v>
      </c>
      <c r="V3" s="2"/>
      <c r="W3" s="2"/>
      <c r="X3" s="2"/>
      <c r="Y3" s="2"/>
      <c r="Z3" s="2"/>
      <c r="AA3" s="2"/>
    </row>
    <row r="4" spans="2:37" ht="15" customHeight="1" thickBot="1">
      <c r="B4" s="5" t="s">
        <v>1</v>
      </c>
      <c r="C4" s="6" t="b">
        <v>0</v>
      </c>
      <c r="D4" s="2"/>
      <c r="E4" s="2"/>
      <c r="F4" s="2"/>
      <c r="G4" s="2"/>
      <c r="H4" s="2"/>
      <c r="I4" s="2"/>
      <c r="J4" s="2"/>
      <c r="K4" s="2"/>
      <c r="L4" s="2"/>
      <c r="M4" s="2"/>
      <c r="N4" s="2"/>
      <c r="O4" s="2"/>
      <c r="P4" s="2"/>
      <c r="Q4" s="2"/>
      <c r="R4" s="2"/>
      <c r="S4" s="2"/>
      <c r="T4" s="5" t="s">
        <v>118</v>
      </c>
      <c r="U4" s="136">
        <f ca="1">TODAY()</f>
        <v>41332</v>
      </c>
      <c r="V4" s="2"/>
      <c r="W4" s="2"/>
      <c r="X4" s="2"/>
      <c r="Y4" s="2"/>
      <c r="Z4" s="2"/>
      <c r="AA4" s="2"/>
    </row>
    <row r="5" spans="2:37" ht="15" customHeight="1">
      <c r="B5" s="30"/>
      <c r="T5" s="89" t="s">
        <v>25</v>
      </c>
      <c r="U5" s="31"/>
      <c r="V5" s="31"/>
      <c r="W5" s="31"/>
      <c r="X5" s="31"/>
      <c r="Y5" s="31"/>
      <c r="Z5" s="31"/>
      <c r="AA5" s="31"/>
      <c r="AB5" s="31"/>
      <c r="AC5" s="32"/>
      <c r="AE5" s="33" t="s">
        <v>26</v>
      </c>
      <c r="AF5" s="34"/>
      <c r="AG5" s="34"/>
      <c r="AH5" s="34"/>
      <c r="AI5" s="34"/>
      <c r="AJ5" s="34"/>
      <c r="AK5" s="35"/>
    </row>
    <row r="6" spans="2:37" ht="15" customHeight="1">
      <c r="B6" s="36" t="s">
        <v>27</v>
      </c>
      <c r="C6" s="37"/>
      <c r="D6" s="37"/>
      <c r="E6" s="37"/>
      <c r="F6" s="38"/>
      <c r="H6" s="36" t="s">
        <v>28</v>
      </c>
      <c r="I6" s="37"/>
      <c r="J6" s="37"/>
      <c r="K6" s="37"/>
      <c r="L6" s="38"/>
      <c r="N6" s="36" t="s">
        <v>29</v>
      </c>
      <c r="O6" s="37"/>
      <c r="P6" s="37"/>
      <c r="Q6" s="37"/>
      <c r="R6" s="38"/>
      <c r="T6" s="39" t="s">
        <v>30</v>
      </c>
      <c r="U6" s="15" t="str">
        <f t="shared" ref="U6:AC6" si="0">IF($U$3=FALSE,"-",MONTH(U7))</f>
        <v>-</v>
      </c>
      <c r="V6" s="15" t="str">
        <f t="shared" si="0"/>
        <v>-</v>
      </c>
      <c r="W6" s="15" t="str">
        <f t="shared" si="0"/>
        <v>-</v>
      </c>
      <c r="X6" s="15" t="str">
        <f t="shared" si="0"/>
        <v>-</v>
      </c>
      <c r="Y6" s="15" t="str">
        <f t="shared" si="0"/>
        <v>-</v>
      </c>
      <c r="Z6" s="15" t="str">
        <f t="shared" si="0"/>
        <v>-</v>
      </c>
      <c r="AA6" s="15" t="str">
        <f t="shared" si="0"/>
        <v>-</v>
      </c>
      <c r="AB6" s="15" t="str">
        <f t="shared" si="0"/>
        <v>-</v>
      </c>
      <c r="AC6" s="15" t="str">
        <f t="shared" si="0"/>
        <v>-</v>
      </c>
      <c r="AE6" s="40" t="s">
        <v>31</v>
      </c>
      <c r="AF6" s="41"/>
      <c r="AG6" s="41"/>
      <c r="AH6" s="41"/>
      <c r="AI6" s="41"/>
      <c r="AJ6" s="41"/>
      <c r="AK6" s="42"/>
    </row>
    <row r="7" spans="2:37" ht="15" customHeight="1">
      <c r="B7" s="43" t="str">
        <f t="array" ref="B7:F14">IF($C$4=FALSE,"-",[1]!YAHOO_US_BONDS_SNAPSHOT_FUNC(0))</f>
        <v>-</v>
      </c>
      <c r="C7" s="43" t="str">
        <v>-</v>
      </c>
      <c r="D7" s="43" t="str">
        <v>-</v>
      </c>
      <c r="E7" s="43" t="str">
        <v>-</v>
      </c>
      <c r="F7" s="43" t="str">
        <v>-</v>
      </c>
      <c r="H7" s="43" t="s">
        <v>32</v>
      </c>
      <c r="I7" s="43" t="str">
        <f>C7</f>
        <v>-</v>
      </c>
      <c r="J7" s="43" t="str">
        <f>D7</f>
        <v>-</v>
      </c>
      <c r="K7" s="43" t="str">
        <f>E7</f>
        <v>-</v>
      </c>
      <c r="L7" s="43" t="str">
        <f>F7</f>
        <v>-</v>
      </c>
      <c r="N7" s="43" t="str">
        <f t="array" ref="N7:R19">IF($C$4=FALSE,"-",[1]!YAHOO_US_BONDS_SNAPSHOT_FUNC(1))</f>
        <v>-</v>
      </c>
      <c r="O7" s="43" t="str">
        <v>-</v>
      </c>
      <c r="P7" s="43" t="str">
        <v>-</v>
      </c>
      <c r="Q7" s="43" t="str">
        <v>-</v>
      </c>
      <c r="R7" s="43" t="str">
        <v>-</v>
      </c>
      <c r="T7" s="39" t="s">
        <v>33</v>
      </c>
      <c r="U7" s="91">
        <v>39468</v>
      </c>
      <c r="V7" s="91">
        <v>39477</v>
      </c>
      <c r="W7" s="91">
        <v>39525</v>
      </c>
      <c r="X7" s="91">
        <v>39567</v>
      </c>
      <c r="Y7" s="91">
        <v>39623</v>
      </c>
      <c r="Z7" s="91">
        <v>39665</v>
      </c>
      <c r="AA7" s="91">
        <v>39707</v>
      </c>
      <c r="AB7" s="91">
        <v>39749</v>
      </c>
      <c r="AC7" s="91">
        <v>39798</v>
      </c>
      <c r="AE7" s="40" t="s">
        <v>34</v>
      </c>
      <c r="AF7" s="41"/>
      <c r="AG7" s="41"/>
      <c r="AH7" s="41"/>
      <c r="AI7" s="41"/>
      <c r="AJ7" s="41"/>
      <c r="AK7" s="42"/>
    </row>
    <row r="8" spans="2:37" ht="15" customHeight="1">
      <c r="B8" s="44" t="str">
        <v>-</v>
      </c>
      <c r="C8" s="45" t="str">
        <v>-</v>
      </c>
      <c r="D8" s="45" t="str">
        <v>-</v>
      </c>
      <c r="E8" s="45" t="str">
        <v>-</v>
      </c>
      <c r="F8" s="45" t="str">
        <v>-</v>
      </c>
      <c r="H8" s="44" t="s">
        <v>35</v>
      </c>
      <c r="I8" s="45" t="str">
        <f>IF($C$4=FALSE,"-",C20-C12)</f>
        <v>-</v>
      </c>
      <c r="J8" s="45" t="str">
        <f>IF($C$4=FALSE,"-",D20-D12)</f>
        <v>-</v>
      </c>
      <c r="K8" s="45" t="str">
        <f>IF($C$4=FALSE,"-",E20-E12)</f>
        <v>-</v>
      </c>
      <c r="L8" s="45" t="str">
        <f>IF($C$4=FALSE,"-",F20-F12)</f>
        <v>-</v>
      </c>
      <c r="N8" s="44" t="str">
        <v>-</v>
      </c>
      <c r="O8" s="45" t="str">
        <v>-</v>
      </c>
      <c r="P8" s="45" t="str">
        <v>-</v>
      </c>
      <c r="Q8" s="45" t="str">
        <v>-</v>
      </c>
      <c r="R8" s="45" t="str">
        <v>-</v>
      </c>
      <c r="T8" s="46" t="s">
        <v>36</v>
      </c>
      <c r="U8" s="47">
        <v>3.75</v>
      </c>
      <c r="V8" s="47">
        <v>3.5</v>
      </c>
      <c r="W8" s="47" t="str">
        <f>IF($U$3=FALSE,"-",V9)</f>
        <v>-</v>
      </c>
      <c r="X8" s="47" t="str">
        <f>IF($U$3=FALSE,"-",W9)</f>
        <v>-</v>
      </c>
      <c r="Y8" s="47" t="str">
        <f>IF($U$3=FALSE,"-",X9)</f>
        <v>-</v>
      </c>
      <c r="Z8" s="47">
        <v>2</v>
      </c>
      <c r="AA8" s="47" t="str">
        <f>IF($U$3=FALSE,"-",Z9)</f>
        <v>-</v>
      </c>
      <c r="AB8" s="47" t="str">
        <f>IF($U$3=FALSE,"-",AA9)</f>
        <v>-</v>
      </c>
      <c r="AC8" s="3"/>
      <c r="AE8" s="48" t="s">
        <v>37</v>
      </c>
      <c r="AF8" s="49"/>
      <c r="AG8" s="49"/>
      <c r="AH8" s="49"/>
      <c r="AI8" s="49"/>
      <c r="AJ8" s="49"/>
      <c r="AK8" s="50"/>
    </row>
    <row r="9" spans="2:37" ht="15" customHeight="1">
      <c r="B9" s="44" t="str">
        <v>-</v>
      </c>
      <c r="C9" s="45" t="str">
        <v>-</v>
      </c>
      <c r="D9" s="45" t="str">
        <v>-</v>
      </c>
      <c r="E9" s="45" t="str">
        <v>-</v>
      </c>
      <c r="F9" s="45" t="str">
        <v>-</v>
      </c>
      <c r="H9" s="44" t="s">
        <v>38</v>
      </c>
      <c r="I9" s="45" t="str">
        <f t="shared" ref="I9:L10" si="1">IF($C$4=FALSE,"-",C21-C20)</f>
        <v>-</v>
      </c>
      <c r="J9" s="45" t="str">
        <f t="shared" si="1"/>
        <v>-</v>
      </c>
      <c r="K9" s="45" t="str">
        <f t="shared" si="1"/>
        <v>-</v>
      </c>
      <c r="L9" s="45" t="str">
        <f t="shared" si="1"/>
        <v>-</v>
      </c>
      <c r="N9" s="44" t="str">
        <v>-</v>
      </c>
      <c r="O9" s="45" t="str">
        <v>-</v>
      </c>
      <c r="P9" s="45" t="str">
        <v>-</v>
      </c>
      <c r="Q9" s="45" t="str">
        <v>-</v>
      </c>
      <c r="R9" s="45" t="str">
        <v>-</v>
      </c>
      <c r="T9" s="46" t="s">
        <v>39</v>
      </c>
      <c r="U9" s="47">
        <v>3.5</v>
      </c>
      <c r="V9" s="47">
        <v>3</v>
      </c>
      <c r="W9" s="47">
        <v>2.75</v>
      </c>
      <c r="X9" s="47">
        <v>2.5964302385804552</v>
      </c>
      <c r="Y9" s="47">
        <v>2.25</v>
      </c>
      <c r="Z9" s="47">
        <v>2</v>
      </c>
      <c r="AA9" s="47">
        <v>1.75</v>
      </c>
      <c r="AB9" s="47">
        <v>1.75</v>
      </c>
      <c r="AC9" s="3"/>
      <c r="AE9" s="51"/>
      <c r="AF9" s="52"/>
      <c r="AG9" s="52"/>
      <c r="AH9" s="52"/>
      <c r="AI9" s="52"/>
      <c r="AJ9" s="52"/>
      <c r="AK9" s="53"/>
    </row>
    <row r="10" spans="2:37" ht="15" customHeight="1">
      <c r="B10" s="44" t="str">
        <v>-</v>
      </c>
      <c r="C10" s="45" t="str">
        <v>-</v>
      </c>
      <c r="D10" s="45" t="str">
        <v>-</v>
      </c>
      <c r="E10" s="45" t="str">
        <v>-</v>
      </c>
      <c r="F10" s="45" t="str">
        <v>-</v>
      </c>
      <c r="H10" s="44" t="s">
        <v>40</v>
      </c>
      <c r="I10" s="45" t="str">
        <f t="shared" si="1"/>
        <v>-</v>
      </c>
      <c r="J10" s="45" t="str">
        <f t="shared" si="1"/>
        <v>-</v>
      </c>
      <c r="K10" s="45" t="str">
        <f t="shared" si="1"/>
        <v>-</v>
      </c>
      <c r="L10" s="45" t="str">
        <f t="shared" si="1"/>
        <v>-</v>
      </c>
      <c r="N10" s="44" t="str">
        <v>-</v>
      </c>
      <c r="O10" s="45" t="str">
        <v>-</v>
      </c>
      <c r="P10" s="45" t="str">
        <v>-</v>
      </c>
      <c r="Q10" s="45" t="str">
        <v>-</v>
      </c>
      <c r="R10" s="45" t="str">
        <v>-</v>
      </c>
      <c r="T10" s="46" t="s">
        <v>41</v>
      </c>
      <c r="U10" s="54" t="str">
        <f t="shared" ref="U10:AB10" si="2">IF($U$3=FALSE,"-",U9-U8)</f>
        <v>-</v>
      </c>
      <c r="V10" s="54" t="str">
        <f t="shared" si="2"/>
        <v>-</v>
      </c>
      <c r="W10" s="54" t="str">
        <f t="shared" si="2"/>
        <v>-</v>
      </c>
      <c r="X10" s="54" t="str">
        <f t="shared" si="2"/>
        <v>-</v>
      </c>
      <c r="Y10" s="54" t="str">
        <f t="shared" si="2"/>
        <v>-</v>
      </c>
      <c r="Z10" s="54" t="str">
        <f t="shared" si="2"/>
        <v>-</v>
      </c>
      <c r="AA10" s="54" t="str">
        <f t="shared" si="2"/>
        <v>-</v>
      </c>
      <c r="AB10" s="54" t="str">
        <f t="shared" si="2"/>
        <v>-</v>
      </c>
      <c r="AC10" s="3"/>
      <c r="AE10" s="55" t="s">
        <v>42</v>
      </c>
      <c r="AF10" s="56"/>
      <c r="AG10" s="56"/>
      <c r="AH10" s="56"/>
      <c r="AI10" s="56"/>
      <c r="AJ10" s="56"/>
      <c r="AK10" s="57"/>
    </row>
    <row r="11" spans="2:37" ht="15" customHeight="1">
      <c r="B11" s="44" t="str">
        <v>-</v>
      </c>
      <c r="C11" s="45" t="str">
        <v>-</v>
      </c>
      <c r="D11" s="45" t="str">
        <v>-</v>
      </c>
      <c r="E11" s="45" t="str">
        <v>-</v>
      </c>
      <c r="F11" s="45" t="str">
        <v>-</v>
      </c>
      <c r="H11" s="43" t="s">
        <v>43</v>
      </c>
      <c r="I11" s="43" t="str">
        <f>I7</f>
        <v>-</v>
      </c>
      <c r="J11" s="43" t="str">
        <f>J7</f>
        <v>-</v>
      </c>
      <c r="K11" s="43" t="str">
        <f>K7</f>
        <v>-</v>
      </c>
      <c r="L11" s="43" t="str">
        <f>L7</f>
        <v>-</v>
      </c>
      <c r="N11" s="44" t="str">
        <v>-</v>
      </c>
      <c r="O11" s="45" t="str">
        <v>-</v>
      </c>
      <c r="P11" s="45" t="str">
        <v>-</v>
      </c>
      <c r="Q11" s="45" t="str">
        <v>-</v>
      </c>
      <c r="R11" s="45" t="str">
        <v>-</v>
      </c>
      <c r="T11" s="46" t="s">
        <v>44</v>
      </c>
      <c r="U11" s="58" t="str">
        <f t="shared" ref="U11:AB11" si="3">IF($U$3=FALSE,"-",V7)</f>
        <v>-</v>
      </c>
      <c r="V11" s="58" t="str">
        <f t="shared" si="3"/>
        <v>-</v>
      </c>
      <c r="W11" s="58" t="str">
        <f t="shared" si="3"/>
        <v>-</v>
      </c>
      <c r="X11" s="58" t="str">
        <f t="shared" si="3"/>
        <v>-</v>
      </c>
      <c r="Y11" s="58" t="str">
        <f t="shared" si="3"/>
        <v>-</v>
      </c>
      <c r="Z11" s="58" t="str">
        <f t="shared" si="3"/>
        <v>-</v>
      </c>
      <c r="AA11" s="58" t="str">
        <f t="shared" si="3"/>
        <v>-</v>
      </c>
      <c r="AB11" s="58" t="str">
        <f t="shared" si="3"/>
        <v>-</v>
      </c>
      <c r="AC11" s="3"/>
      <c r="AE11" s="55" t="s">
        <v>45</v>
      </c>
      <c r="AF11" s="56"/>
      <c r="AG11" s="56"/>
      <c r="AH11" s="56"/>
      <c r="AI11" s="56"/>
      <c r="AJ11" s="56"/>
      <c r="AK11" s="57"/>
    </row>
    <row r="12" spans="2:37" ht="15" customHeight="1">
      <c r="B12" s="44" t="str">
        <v>-</v>
      </c>
      <c r="C12" s="45" t="str">
        <v>-</v>
      </c>
      <c r="D12" s="45" t="str">
        <v>-</v>
      </c>
      <c r="E12" s="45" t="str">
        <v>-</v>
      </c>
      <c r="F12" s="45" t="str">
        <v>-</v>
      </c>
      <c r="H12" s="44" t="s">
        <v>35</v>
      </c>
      <c r="I12" s="45" t="str">
        <f>IF($C$4=FALSE,"-",C23-C13)</f>
        <v>-</v>
      </c>
      <c r="J12" s="45" t="str">
        <f>IF($C$4=FALSE,"-",D23-D13)</f>
        <v>-</v>
      </c>
      <c r="K12" s="45" t="str">
        <f>IF($C$4=FALSE,"-",E23-E13)</f>
        <v>-</v>
      </c>
      <c r="L12" s="45" t="str">
        <f>IF($C$4=FALSE,"-",F23-F13)</f>
        <v>-</v>
      </c>
      <c r="N12" s="44" t="str">
        <v>-</v>
      </c>
      <c r="O12" s="45" t="str">
        <v>-</v>
      </c>
      <c r="P12" s="45" t="str">
        <v>-</v>
      </c>
      <c r="Q12" s="45" t="str">
        <v>-</v>
      </c>
      <c r="R12" s="45" t="str">
        <v>-</v>
      </c>
      <c r="T12" s="46" t="s">
        <v>46</v>
      </c>
      <c r="U12" s="47">
        <v>30</v>
      </c>
      <c r="V12" s="47">
        <v>30</v>
      </c>
      <c r="W12" s="47">
        <v>30</v>
      </c>
      <c r="X12" s="47">
        <v>30</v>
      </c>
      <c r="Y12" s="47">
        <v>30</v>
      </c>
      <c r="Z12" s="47">
        <v>30</v>
      </c>
      <c r="AA12" s="47">
        <v>30</v>
      </c>
      <c r="AB12" s="47">
        <v>30</v>
      </c>
      <c r="AC12" s="3"/>
      <c r="AE12" s="55" t="s">
        <v>47</v>
      </c>
      <c r="AF12" s="56"/>
      <c r="AG12" s="56"/>
      <c r="AH12" s="56"/>
      <c r="AI12" s="56"/>
      <c r="AJ12" s="56"/>
      <c r="AK12" s="57"/>
    </row>
    <row r="13" spans="2:37" ht="15" customHeight="1">
      <c r="B13" s="44" t="str">
        <v>-</v>
      </c>
      <c r="C13" s="45" t="str">
        <v>-</v>
      </c>
      <c r="D13" s="45" t="str">
        <v>-</v>
      </c>
      <c r="E13" s="45" t="str">
        <v>-</v>
      </c>
      <c r="F13" s="45" t="str">
        <v>-</v>
      </c>
      <c r="H13" s="44" t="s">
        <v>38</v>
      </c>
      <c r="I13" s="45" t="str">
        <f t="shared" ref="I13:L14" si="4">IF($C$4=FALSE,"-",C24-C23)</f>
        <v>-</v>
      </c>
      <c r="J13" s="45" t="str">
        <f t="shared" si="4"/>
        <v>-</v>
      </c>
      <c r="K13" s="45" t="str">
        <f t="shared" si="4"/>
        <v>-</v>
      </c>
      <c r="L13" s="45" t="str">
        <f t="shared" si="4"/>
        <v>-</v>
      </c>
      <c r="N13" s="44" t="str">
        <v>-</v>
      </c>
      <c r="O13" s="45" t="str">
        <v>-</v>
      </c>
      <c r="P13" s="45" t="str">
        <v>-</v>
      </c>
      <c r="Q13" s="45" t="str">
        <v>-</v>
      </c>
      <c r="R13" s="45" t="str">
        <v>-</v>
      </c>
      <c r="T13" s="46" t="s">
        <v>48</v>
      </c>
      <c r="U13" s="47">
        <v>0</v>
      </c>
      <c r="V13" s="47">
        <v>0</v>
      </c>
      <c r="W13" s="47">
        <v>0</v>
      </c>
      <c r="X13" s="47">
        <v>0</v>
      </c>
      <c r="Y13" s="47">
        <v>0</v>
      </c>
      <c r="Z13" s="47">
        <v>0</v>
      </c>
      <c r="AA13" s="47">
        <v>0</v>
      </c>
      <c r="AB13" s="47">
        <v>0</v>
      </c>
      <c r="AC13" s="3"/>
      <c r="AE13" s="55"/>
      <c r="AF13" s="56"/>
      <c r="AG13" s="56"/>
      <c r="AH13" s="56"/>
      <c r="AI13" s="56"/>
      <c r="AJ13" s="56"/>
      <c r="AK13" s="57"/>
    </row>
    <row r="14" spans="2:37" ht="15" customHeight="1">
      <c r="B14" s="44" t="str">
        <v>-</v>
      </c>
      <c r="C14" s="45" t="str">
        <v>-</v>
      </c>
      <c r="D14" s="45" t="str">
        <v>-</v>
      </c>
      <c r="E14" s="45" t="str">
        <v>-</v>
      </c>
      <c r="F14" s="45" t="str">
        <v>-</v>
      </c>
      <c r="H14" s="44" t="s">
        <v>40</v>
      </c>
      <c r="I14" s="45" t="str">
        <f t="shared" si="4"/>
        <v>-</v>
      </c>
      <c r="J14" s="45" t="str">
        <f t="shared" si="4"/>
        <v>-</v>
      </c>
      <c r="K14" s="45" t="str">
        <f t="shared" si="4"/>
        <v>-</v>
      </c>
      <c r="L14" s="45" t="str">
        <f t="shared" si="4"/>
        <v>-</v>
      </c>
      <c r="N14" s="44" t="str">
        <v>-</v>
      </c>
      <c r="O14" s="45" t="str">
        <v>-</v>
      </c>
      <c r="P14" s="45" t="str">
        <v>-</v>
      </c>
      <c r="Q14" s="45" t="str">
        <v>-</v>
      </c>
      <c r="R14" s="45" t="str">
        <v>-</v>
      </c>
      <c r="T14" s="46" t="s">
        <v>49</v>
      </c>
      <c r="U14" s="54" t="str">
        <f t="shared" ref="U14:AB14" si="5">IF($U$3=FALSE,"-",U12-U13)</f>
        <v>-</v>
      </c>
      <c r="V14" s="54" t="str">
        <f t="shared" si="5"/>
        <v>-</v>
      </c>
      <c r="W14" s="54" t="str">
        <f t="shared" si="5"/>
        <v>-</v>
      </c>
      <c r="X14" s="54" t="str">
        <f t="shared" si="5"/>
        <v>-</v>
      </c>
      <c r="Y14" s="54" t="str">
        <f t="shared" si="5"/>
        <v>-</v>
      </c>
      <c r="Z14" s="54" t="str">
        <f t="shared" si="5"/>
        <v>-</v>
      </c>
      <c r="AA14" s="54" t="str">
        <f t="shared" si="5"/>
        <v>-</v>
      </c>
      <c r="AB14" s="54" t="str">
        <f t="shared" si="5"/>
        <v>-</v>
      </c>
      <c r="AC14" s="3"/>
      <c r="AE14" s="59" t="s">
        <v>50</v>
      </c>
      <c r="AF14" s="56"/>
      <c r="AG14" s="56"/>
      <c r="AH14" s="56"/>
      <c r="AI14" s="56"/>
      <c r="AJ14" s="56"/>
      <c r="AK14" s="57"/>
    </row>
    <row r="15" spans="2:37" ht="15" customHeight="1">
      <c r="H15" s="60"/>
      <c r="I15" s="60"/>
      <c r="J15" s="60"/>
      <c r="K15" s="60"/>
      <c r="L15" s="60"/>
      <c r="N15" s="44" t="str">
        <v>-</v>
      </c>
      <c r="O15" s="45" t="str">
        <v>-</v>
      </c>
      <c r="P15" s="45" t="str">
        <v>-</v>
      </c>
      <c r="Q15" s="45" t="str">
        <v>-</v>
      </c>
      <c r="R15" s="45" t="str">
        <v>-</v>
      </c>
      <c r="T15" s="46" t="s">
        <v>51</v>
      </c>
      <c r="U15" s="61" t="str">
        <f t="shared" ref="U15:AB15" si="6">IF($U$3=FALSE,"-",U13/U12)</f>
        <v>-</v>
      </c>
      <c r="V15" s="61" t="str">
        <f t="shared" si="6"/>
        <v>-</v>
      </c>
      <c r="W15" s="61" t="str">
        <f t="shared" si="6"/>
        <v>-</v>
      </c>
      <c r="X15" s="61" t="str">
        <f t="shared" si="6"/>
        <v>-</v>
      </c>
      <c r="Y15" s="61" t="str">
        <f t="shared" si="6"/>
        <v>-</v>
      </c>
      <c r="Z15" s="61" t="str">
        <f t="shared" si="6"/>
        <v>-</v>
      </c>
      <c r="AA15" s="61" t="str">
        <f t="shared" si="6"/>
        <v>-</v>
      </c>
      <c r="AB15" s="61" t="str">
        <f t="shared" si="6"/>
        <v>-</v>
      </c>
      <c r="AC15" s="3"/>
      <c r="AE15" s="55" t="s">
        <v>52</v>
      </c>
      <c r="AF15" s="56"/>
      <c r="AG15" s="56"/>
      <c r="AH15" s="56"/>
      <c r="AI15" s="56"/>
      <c r="AJ15" s="56"/>
      <c r="AK15" s="57"/>
    </row>
    <row r="16" spans="2:37" ht="15" customHeight="1">
      <c r="B16" s="36" t="s">
        <v>53</v>
      </c>
      <c r="C16" s="37"/>
      <c r="D16" s="37"/>
      <c r="E16" s="37"/>
      <c r="F16" s="38"/>
      <c r="N16" s="44" t="str">
        <v>-</v>
      </c>
      <c r="O16" s="45" t="str">
        <v>-</v>
      </c>
      <c r="P16" s="45" t="str">
        <v>-</v>
      </c>
      <c r="Q16" s="45" t="str">
        <v>-</v>
      </c>
      <c r="R16" s="45" t="str">
        <v>-</v>
      </c>
      <c r="T16" s="46" t="s">
        <v>54</v>
      </c>
      <c r="U16" s="54" t="str">
        <f t="shared" ref="U16:AB16" si="7">IF($U$3=FALSE,"-",U14/U12)</f>
        <v>-</v>
      </c>
      <c r="V16" s="54" t="str">
        <f t="shared" si="7"/>
        <v>-</v>
      </c>
      <c r="W16" s="54" t="str">
        <f t="shared" si="7"/>
        <v>-</v>
      </c>
      <c r="X16" s="54" t="str">
        <f t="shared" si="7"/>
        <v>-</v>
      </c>
      <c r="Y16" s="54" t="str">
        <f t="shared" si="7"/>
        <v>-</v>
      </c>
      <c r="Z16" s="54" t="str">
        <f t="shared" si="7"/>
        <v>-</v>
      </c>
      <c r="AA16" s="54" t="str">
        <f t="shared" si="7"/>
        <v>-</v>
      </c>
      <c r="AB16" s="54" t="str">
        <f t="shared" si="7"/>
        <v>-</v>
      </c>
      <c r="AC16" s="3"/>
      <c r="AE16" s="55" t="s">
        <v>55</v>
      </c>
      <c r="AF16" s="56"/>
      <c r="AG16" s="56"/>
      <c r="AH16" s="56"/>
      <c r="AI16" s="56"/>
      <c r="AJ16" s="56"/>
      <c r="AK16" s="57"/>
    </row>
    <row r="17" spans="2:37" ht="15" customHeight="1">
      <c r="B17" s="43" t="str">
        <f t="array" ref="B17:F28">IF($C$4=FALSE,"-",[1]!YAHOO_US_BONDS_SNAPSHOT_FUNC(2))</f>
        <v>-</v>
      </c>
      <c r="C17" s="43" t="str">
        <v>-</v>
      </c>
      <c r="D17" s="43" t="str">
        <v>-</v>
      </c>
      <c r="E17" s="43" t="str">
        <v>-</v>
      </c>
      <c r="F17" s="43" t="str">
        <v>-</v>
      </c>
      <c r="N17" s="44" t="str">
        <v>-</v>
      </c>
      <c r="O17" s="45" t="str">
        <v>-</v>
      </c>
      <c r="P17" s="45" t="str">
        <v>-</v>
      </c>
      <c r="Q17" s="45" t="str">
        <v>-</v>
      </c>
      <c r="R17" s="45" t="str">
        <v>-</v>
      </c>
      <c r="T17" s="62" t="s">
        <v>56</v>
      </c>
      <c r="U17" s="63" t="str">
        <f t="shared" ref="U17:AB17" si="8">IF($U$3=FALSE,"-",VLOOKUP(U6,$T$25:$Y$36,6))</f>
        <v>-</v>
      </c>
      <c r="V17" s="63" t="str">
        <f t="shared" si="8"/>
        <v>-</v>
      </c>
      <c r="W17" s="63" t="str">
        <f t="shared" si="8"/>
        <v>-</v>
      </c>
      <c r="X17" s="63" t="str">
        <f t="shared" si="8"/>
        <v>-</v>
      </c>
      <c r="Y17" s="63" t="str">
        <f t="shared" si="8"/>
        <v>-</v>
      </c>
      <c r="Z17" s="63" t="str">
        <f t="shared" si="8"/>
        <v>-</v>
      </c>
      <c r="AA17" s="63" t="str">
        <f t="shared" si="8"/>
        <v>-</v>
      </c>
      <c r="AB17" s="63" t="str">
        <f t="shared" si="8"/>
        <v>-</v>
      </c>
      <c r="AC17" s="3"/>
      <c r="AE17" s="55"/>
      <c r="AF17" s="56"/>
      <c r="AG17" s="56"/>
      <c r="AH17" s="56"/>
      <c r="AI17" s="56"/>
      <c r="AJ17" s="56"/>
      <c r="AK17" s="57"/>
    </row>
    <row r="18" spans="2:37" ht="15" customHeight="1">
      <c r="B18" s="44" t="str">
        <v>-</v>
      </c>
      <c r="C18" s="45" t="str">
        <v>-</v>
      </c>
      <c r="D18" s="45" t="str">
        <v>-</v>
      </c>
      <c r="E18" s="45" t="str">
        <v>-</v>
      </c>
      <c r="F18" s="45" t="str">
        <v>-</v>
      </c>
      <c r="N18" s="44" t="str">
        <v>-</v>
      </c>
      <c r="O18" s="45" t="str">
        <v>-</v>
      </c>
      <c r="P18" s="45" t="str">
        <v>-</v>
      </c>
      <c r="Q18" s="45" t="str">
        <v>-</v>
      </c>
      <c r="R18" s="45" t="str">
        <v>-</v>
      </c>
      <c r="T18" s="62" t="s">
        <v>57</v>
      </c>
      <c r="U18" s="63" t="str">
        <f t="shared" ref="U18:AB18" si="9">IF($U$3=FALSE,"-",100-U17+0.000000001)</f>
        <v>-</v>
      </c>
      <c r="V18" s="63" t="str">
        <f t="shared" si="9"/>
        <v>-</v>
      </c>
      <c r="W18" s="63" t="str">
        <f t="shared" si="9"/>
        <v>-</v>
      </c>
      <c r="X18" s="63" t="str">
        <f t="shared" si="9"/>
        <v>-</v>
      </c>
      <c r="Y18" s="63" t="str">
        <f t="shared" si="9"/>
        <v>-</v>
      </c>
      <c r="Z18" s="63" t="str">
        <f t="shared" si="9"/>
        <v>-</v>
      </c>
      <c r="AA18" s="63" t="str">
        <f t="shared" si="9"/>
        <v>-</v>
      </c>
      <c r="AB18" s="63" t="str">
        <f t="shared" si="9"/>
        <v>-</v>
      </c>
      <c r="AC18" s="3"/>
      <c r="AE18" s="55" t="s">
        <v>58</v>
      </c>
      <c r="AF18" s="56"/>
      <c r="AG18" s="56"/>
      <c r="AH18" s="56"/>
      <c r="AI18" s="56"/>
      <c r="AJ18" s="56"/>
      <c r="AK18" s="57"/>
    </row>
    <row r="19" spans="2:37" ht="15" customHeight="1">
      <c r="B19" s="44" t="str">
        <v>-</v>
      </c>
      <c r="C19" s="45" t="str">
        <v>-</v>
      </c>
      <c r="D19" s="45" t="str">
        <v>-</v>
      </c>
      <c r="E19" s="45" t="str">
        <v>-</v>
      </c>
      <c r="F19" s="45" t="str">
        <v>-</v>
      </c>
      <c r="N19" s="44" t="str">
        <v>-</v>
      </c>
      <c r="O19" s="45" t="str">
        <v>-</v>
      </c>
      <c r="P19" s="45" t="str">
        <v>-</v>
      </c>
      <c r="Q19" s="45" t="str">
        <v>-</v>
      </c>
      <c r="R19" s="45" t="str">
        <v>-</v>
      </c>
      <c r="T19" s="62" t="s">
        <v>59</v>
      </c>
      <c r="U19" s="63" t="str">
        <f t="shared" ref="U19:AB19" si="10">IF($U$3=FALSE,"-",U18-U8+0.000001)</f>
        <v>-</v>
      </c>
      <c r="V19" s="63" t="str">
        <f t="shared" si="10"/>
        <v>-</v>
      </c>
      <c r="W19" s="63" t="str">
        <f t="shared" si="10"/>
        <v>-</v>
      </c>
      <c r="X19" s="63" t="str">
        <f t="shared" si="10"/>
        <v>-</v>
      </c>
      <c r="Y19" s="63" t="str">
        <f t="shared" si="10"/>
        <v>-</v>
      </c>
      <c r="Z19" s="63" t="str">
        <f t="shared" si="10"/>
        <v>-</v>
      </c>
      <c r="AA19" s="63" t="str">
        <f t="shared" si="10"/>
        <v>-</v>
      </c>
      <c r="AB19" s="63" t="str">
        <f t="shared" si="10"/>
        <v>-</v>
      </c>
      <c r="AC19" s="3"/>
      <c r="AE19" s="55"/>
      <c r="AF19" s="56"/>
      <c r="AG19" s="56"/>
      <c r="AH19" s="56"/>
      <c r="AI19" s="56"/>
      <c r="AJ19" s="56"/>
      <c r="AK19" s="57"/>
    </row>
    <row r="20" spans="2:37" ht="15" customHeight="1">
      <c r="B20" s="44" t="str">
        <v>-</v>
      </c>
      <c r="C20" s="45" t="str">
        <v>-</v>
      </c>
      <c r="D20" s="45" t="str">
        <v>-</v>
      </c>
      <c r="E20" s="45" t="str">
        <v>-</v>
      </c>
      <c r="F20" s="45" t="str">
        <v>-</v>
      </c>
      <c r="T20" s="64" t="s">
        <v>60</v>
      </c>
      <c r="U20" s="63" t="str">
        <f t="shared" ref="U20:AB20" si="11">IF($U$3=FALSE,"-",((U15*U8)+(U16*U9)))</f>
        <v>-</v>
      </c>
      <c r="V20" s="63" t="str">
        <f t="shared" si="11"/>
        <v>-</v>
      </c>
      <c r="W20" s="63" t="str">
        <f t="shared" si="11"/>
        <v>-</v>
      </c>
      <c r="X20" s="63" t="str">
        <f t="shared" si="11"/>
        <v>-</v>
      </c>
      <c r="Y20" s="63" t="str">
        <f t="shared" si="11"/>
        <v>-</v>
      </c>
      <c r="Z20" s="63" t="str">
        <f t="shared" si="11"/>
        <v>-</v>
      </c>
      <c r="AA20" s="63" t="str">
        <f t="shared" si="11"/>
        <v>-</v>
      </c>
      <c r="AB20" s="63" t="str">
        <f t="shared" si="11"/>
        <v>-</v>
      </c>
      <c r="AC20" s="3"/>
      <c r="AE20" s="59" t="s">
        <v>61</v>
      </c>
      <c r="AF20" s="56"/>
      <c r="AG20" s="56"/>
      <c r="AH20" s="56"/>
      <c r="AI20" s="56"/>
      <c r="AJ20" s="56"/>
      <c r="AK20" s="57"/>
    </row>
    <row r="21" spans="2:37" ht="15" customHeight="1">
      <c r="B21" s="44" t="str">
        <v>-</v>
      </c>
      <c r="C21" s="45" t="str">
        <v>-</v>
      </c>
      <c r="D21" s="45" t="str">
        <v>-</v>
      </c>
      <c r="E21" s="45" t="str">
        <v>-</v>
      </c>
      <c r="F21" s="45" t="str">
        <v>-</v>
      </c>
      <c r="T21" s="64" t="s">
        <v>62</v>
      </c>
      <c r="U21" s="63" t="str">
        <f t="shared" ref="U21:AB21" si="12">IF($U$3=FALSE,"-",U20-U8+0.0000001)</f>
        <v>-</v>
      </c>
      <c r="V21" s="63" t="str">
        <f t="shared" si="12"/>
        <v>-</v>
      </c>
      <c r="W21" s="63" t="str">
        <f t="shared" si="12"/>
        <v>-</v>
      </c>
      <c r="X21" s="63" t="str">
        <f t="shared" si="12"/>
        <v>-</v>
      </c>
      <c r="Y21" s="63" t="str">
        <f t="shared" si="12"/>
        <v>-</v>
      </c>
      <c r="Z21" s="63" t="str">
        <f t="shared" si="12"/>
        <v>-</v>
      </c>
      <c r="AA21" s="63" t="str">
        <f t="shared" si="12"/>
        <v>-</v>
      </c>
      <c r="AB21" s="63" t="str">
        <f t="shared" si="12"/>
        <v>-</v>
      </c>
      <c r="AC21" s="3"/>
      <c r="AE21" s="55" t="s">
        <v>63</v>
      </c>
      <c r="AF21" s="56"/>
      <c r="AG21" s="56"/>
      <c r="AH21" s="56"/>
      <c r="AI21" s="56"/>
      <c r="AJ21" s="56"/>
      <c r="AK21" s="57"/>
    </row>
    <row r="22" spans="2:37" ht="15" customHeight="1">
      <c r="B22" s="44" t="str">
        <v>-</v>
      </c>
      <c r="C22" s="45" t="str">
        <v>-</v>
      </c>
      <c r="D22" s="45" t="str">
        <v>-</v>
      </c>
      <c r="E22" s="45" t="str">
        <v>-</v>
      </c>
      <c r="F22" s="45" t="str">
        <v>-</v>
      </c>
      <c r="T22" s="64" t="s">
        <v>64</v>
      </c>
      <c r="U22" s="65" t="str">
        <f t="shared" ref="U22:AB22" si="13">IF($U$3=FALSE,"-",IF((U19/U21)&gt;1,1,IF((U19/U21)&lt;0,0,(U19/U21))))</f>
        <v>-</v>
      </c>
      <c r="V22" s="65" t="str">
        <f t="shared" si="13"/>
        <v>-</v>
      </c>
      <c r="W22" s="65" t="str">
        <f t="shared" si="13"/>
        <v>-</v>
      </c>
      <c r="X22" s="65" t="str">
        <f t="shared" si="13"/>
        <v>-</v>
      </c>
      <c r="Y22" s="65" t="str">
        <f t="shared" si="13"/>
        <v>-</v>
      </c>
      <c r="Z22" s="65" t="str">
        <f t="shared" si="13"/>
        <v>-</v>
      </c>
      <c r="AA22" s="65" t="str">
        <f t="shared" si="13"/>
        <v>-</v>
      </c>
      <c r="AB22" s="65" t="str">
        <f t="shared" si="13"/>
        <v>-</v>
      </c>
      <c r="AC22" s="3"/>
      <c r="AE22" s="55" t="s">
        <v>65</v>
      </c>
      <c r="AF22" s="56"/>
      <c r="AG22" s="56"/>
      <c r="AH22" s="56"/>
      <c r="AI22" s="56"/>
      <c r="AJ22" s="56"/>
      <c r="AK22" s="57"/>
    </row>
    <row r="23" spans="2:37" ht="15" customHeight="1">
      <c r="B23" s="44" t="str">
        <v>-</v>
      </c>
      <c r="C23" s="45" t="str">
        <v>-</v>
      </c>
      <c r="D23" s="45" t="str">
        <v>-</v>
      </c>
      <c r="E23" s="45" t="str">
        <v>-</v>
      </c>
      <c r="F23" s="45" t="str">
        <v>-</v>
      </c>
      <c r="U23" s="3"/>
      <c r="V23" s="3"/>
      <c r="W23" s="3"/>
      <c r="X23" s="3"/>
      <c r="Y23" s="3"/>
      <c r="Z23" s="66"/>
      <c r="AA23" s="3"/>
      <c r="AB23" s="3"/>
      <c r="AC23" s="3"/>
      <c r="AE23" s="55" t="s">
        <v>66</v>
      </c>
      <c r="AF23" s="56"/>
      <c r="AG23" s="56"/>
      <c r="AH23" s="56"/>
      <c r="AI23" s="56"/>
      <c r="AJ23" s="56"/>
      <c r="AK23" s="57"/>
    </row>
    <row r="24" spans="2:37" ht="15" customHeight="1">
      <c r="B24" s="44" t="str">
        <v>-</v>
      </c>
      <c r="C24" s="45" t="str">
        <v>-</v>
      </c>
      <c r="D24" s="45" t="str">
        <v>-</v>
      </c>
      <c r="E24" s="45" t="str">
        <v>-</v>
      </c>
      <c r="F24" s="45" t="str">
        <v>-</v>
      </c>
      <c r="T24" s="67" t="s">
        <v>67</v>
      </c>
      <c r="U24" s="68"/>
      <c r="V24" s="68"/>
      <c r="W24" s="68"/>
      <c r="X24" s="68"/>
      <c r="Y24" s="69"/>
      <c r="Z24" s="3"/>
      <c r="AA24" s="3"/>
      <c r="AB24" s="3"/>
      <c r="AC24" s="3"/>
      <c r="AE24" s="55" t="s">
        <v>68</v>
      </c>
      <c r="AF24" s="56"/>
      <c r="AG24" s="56"/>
      <c r="AH24" s="56"/>
      <c r="AI24" s="56"/>
      <c r="AJ24" s="56"/>
      <c r="AK24" s="57"/>
    </row>
    <row r="25" spans="2:37" ht="15" customHeight="1">
      <c r="B25" s="44" t="str">
        <v>-</v>
      </c>
      <c r="C25" s="45" t="str">
        <v>-</v>
      </c>
      <c r="D25" s="45" t="str">
        <v>-</v>
      </c>
      <c r="E25" s="45" t="str">
        <v>-</v>
      </c>
      <c r="F25" s="45" t="str">
        <v>-</v>
      </c>
      <c r="T25" s="70">
        <v>1</v>
      </c>
      <c r="U25" s="71" t="s">
        <v>69</v>
      </c>
      <c r="V25" s="138">
        <f ca="1">DATE(YEAR($U$4),T25,1)</f>
        <v>41275</v>
      </c>
      <c r="W25" s="137">
        <f t="shared" ref="W25:W36" ca="1" si="14">IF(MONTH($U$4)&gt;MONTH(V25),RIGHT(YEAR($U$4),2)+1,RIGHT(YEAR($U$4),2)+0)</f>
        <v>14</v>
      </c>
      <c r="X25" s="71" t="str">
        <f t="shared" ref="X25:X36" si="15">IF($U$3=FALSE,"-","FF"&amp;U25&amp;W25&amp;".CBT")</f>
        <v>-</v>
      </c>
      <c r="Y25" s="72" t="str">
        <f t="array" ref="Y25:Y36">IF($U$3=FALSE,"-",[1]!YAHOO_QUOTES_FUNC(X25:X36,"Last Trade",0,FALSE))</f>
        <v>-</v>
      </c>
      <c r="Z25" s="3"/>
      <c r="AA25" s="3"/>
      <c r="AB25" s="3"/>
      <c r="AC25" s="3"/>
      <c r="AE25" s="55" t="s">
        <v>70</v>
      </c>
      <c r="AF25" s="56"/>
      <c r="AG25" s="56"/>
      <c r="AH25" s="56"/>
      <c r="AI25" s="56"/>
      <c r="AJ25" s="56"/>
      <c r="AK25" s="57"/>
    </row>
    <row r="26" spans="2:37" ht="15" customHeight="1">
      <c r="B26" s="44" t="str">
        <v>-</v>
      </c>
      <c r="C26" s="45" t="str">
        <v>-</v>
      </c>
      <c r="D26" s="45" t="str">
        <v>-</v>
      </c>
      <c r="E26" s="45" t="str">
        <v>-</v>
      </c>
      <c r="F26" s="45" t="str">
        <v>-</v>
      </c>
      <c r="T26" s="70">
        <v>2</v>
      </c>
      <c r="U26" s="71" t="s">
        <v>71</v>
      </c>
      <c r="V26" s="138">
        <f t="shared" ref="V26:V36" ca="1" si="16">DATE(YEAR($U$4),T26,1)</f>
        <v>41306</v>
      </c>
      <c r="W26" s="137">
        <f t="shared" ca="1" si="14"/>
        <v>13</v>
      </c>
      <c r="X26" s="71" t="str">
        <f t="shared" si="15"/>
        <v>-</v>
      </c>
      <c r="Y26" s="72" t="str">
        <v>-</v>
      </c>
      <c r="Z26" s="3"/>
      <c r="AA26" s="3"/>
      <c r="AB26" s="3"/>
      <c r="AC26" s="3"/>
      <c r="AE26" s="59"/>
      <c r="AF26" s="56"/>
      <c r="AG26" s="56"/>
      <c r="AH26" s="56"/>
      <c r="AI26" s="56"/>
      <c r="AJ26" s="56"/>
      <c r="AK26" s="57"/>
    </row>
    <row r="27" spans="2:37" ht="15" customHeight="1">
      <c r="B27" s="44" t="str">
        <v>-</v>
      </c>
      <c r="C27" s="45" t="str">
        <v>-</v>
      </c>
      <c r="D27" s="45" t="str">
        <v>-</v>
      </c>
      <c r="E27" s="45" t="str">
        <v>-</v>
      </c>
      <c r="F27" s="45" t="str">
        <v>-</v>
      </c>
      <c r="T27" s="70">
        <v>3</v>
      </c>
      <c r="U27" s="71" t="s">
        <v>72</v>
      </c>
      <c r="V27" s="138">
        <f t="shared" ca="1" si="16"/>
        <v>41334</v>
      </c>
      <c r="W27" s="137">
        <f t="shared" ca="1" si="14"/>
        <v>13</v>
      </c>
      <c r="X27" s="71" t="str">
        <f t="shared" si="15"/>
        <v>-</v>
      </c>
      <c r="Y27" s="72" t="str">
        <v>-</v>
      </c>
      <c r="Z27" s="3"/>
      <c r="AA27" s="3"/>
      <c r="AB27" s="3"/>
      <c r="AC27" s="3"/>
      <c r="AE27" s="55" t="s">
        <v>73</v>
      </c>
      <c r="AF27" s="56"/>
      <c r="AG27" s="56"/>
      <c r="AH27" s="56"/>
      <c r="AI27" s="56"/>
      <c r="AJ27" s="56"/>
      <c r="AK27" s="57"/>
    </row>
    <row r="28" spans="2:37" ht="15" customHeight="1">
      <c r="B28" s="44" t="str">
        <v>-</v>
      </c>
      <c r="C28" s="45" t="str">
        <v>-</v>
      </c>
      <c r="D28" s="45" t="str">
        <v>-</v>
      </c>
      <c r="E28" s="45" t="str">
        <v>-</v>
      </c>
      <c r="F28" s="45" t="str">
        <v>-</v>
      </c>
      <c r="T28" s="70">
        <v>4</v>
      </c>
      <c r="U28" s="71" t="s">
        <v>74</v>
      </c>
      <c r="V28" s="138">
        <f t="shared" ca="1" si="16"/>
        <v>41365</v>
      </c>
      <c r="W28" s="137">
        <f t="shared" ca="1" si="14"/>
        <v>13</v>
      </c>
      <c r="X28" s="71" t="str">
        <f t="shared" si="15"/>
        <v>-</v>
      </c>
      <c r="Y28" s="72" t="str">
        <v>-</v>
      </c>
      <c r="Z28" s="3"/>
      <c r="AA28" s="3"/>
      <c r="AB28" s="3"/>
      <c r="AC28" s="3"/>
      <c r="AE28" s="55" t="s">
        <v>75</v>
      </c>
      <c r="AF28" s="56"/>
      <c r="AG28" s="56"/>
      <c r="AH28" s="56"/>
      <c r="AI28" s="56"/>
      <c r="AJ28" s="56"/>
      <c r="AK28" s="57"/>
    </row>
    <row r="29" spans="2:37" ht="15" customHeight="1">
      <c r="H29" s="73"/>
      <c r="I29" s="73"/>
      <c r="J29" s="73"/>
      <c r="K29" s="73"/>
      <c r="L29" s="73"/>
      <c r="T29" s="70">
        <v>5</v>
      </c>
      <c r="U29" s="71" t="s">
        <v>76</v>
      </c>
      <c r="V29" s="138">
        <f t="shared" ca="1" si="16"/>
        <v>41395</v>
      </c>
      <c r="W29" s="137">
        <f t="shared" ca="1" si="14"/>
        <v>13</v>
      </c>
      <c r="X29" s="71" t="str">
        <f t="shared" si="15"/>
        <v>-</v>
      </c>
      <c r="Y29" s="72" t="str">
        <v>-</v>
      </c>
      <c r="Z29" s="3"/>
      <c r="AA29" s="3"/>
      <c r="AB29" s="3"/>
      <c r="AC29" s="3"/>
      <c r="AE29" s="55"/>
      <c r="AF29" s="56"/>
      <c r="AG29" s="56"/>
      <c r="AH29" s="56"/>
      <c r="AI29" s="56"/>
      <c r="AJ29" s="56"/>
      <c r="AK29" s="57"/>
    </row>
    <row r="30" spans="2:37" ht="15" customHeight="1">
      <c r="B30" s="36" t="s">
        <v>77</v>
      </c>
      <c r="C30" s="37"/>
      <c r="D30" s="37"/>
      <c r="E30" s="37"/>
      <c r="F30" s="38"/>
      <c r="H30" s="73"/>
      <c r="I30" s="73"/>
      <c r="J30" s="73"/>
      <c r="K30" s="73"/>
      <c r="L30" s="73"/>
      <c r="T30" s="70">
        <v>6</v>
      </c>
      <c r="U30" s="71" t="s">
        <v>78</v>
      </c>
      <c r="V30" s="138">
        <f t="shared" ca="1" si="16"/>
        <v>41426</v>
      </c>
      <c r="W30" s="137">
        <f t="shared" ca="1" si="14"/>
        <v>13</v>
      </c>
      <c r="X30" s="71" t="str">
        <f t="shared" si="15"/>
        <v>-</v>
      </c>
      <c r="Y30" s="72" t="str">
        <v>-</v>
      </c>
      <c r="Z30" s="3"/>
      <c r="AA30" s="3"/>
      <c r="AB30" s="3"/>
      <c r="AC30" s="3"/>
      <c r="AE30" s="59" t="s">
        <v>79</v>
      </c>
      <c r="AF30" s="56"/>
      <c r="AG30" s="56"/>
      <c r="AH30" s="56"/>
      <c r="AI30" s="56"/>
      <c r="AJ30" s="56"/>
      <c r="AK30" s="57"/>
    </row>
    <row r="31" spans="2:37" ht="15" customHeight="1">
      <c r="B31" s="16" t="str">
        <f>IF($C$4=FALSE,"-",B7)</f>
        <v>-</v>
      </c>
      <c r="C31" s="43" t="s">
        <v>80</v>
      </c>
      <c r="D31" s="43" t="s">
        <v>81</v>
      </c>
      <c r="E31" s="43" t="s">
        <v>82</v>
      </c>
      <c r="F31" s="43" t="s">
        <v>83</v>
      </c>
      <c r="H31" s="73"/>
      <c r="I31" s="73"/>
      <c r="J31" s="73"/>
      <c r="K31" s="73"/>
      <c r="L31" s="73"/>
      <c r="T31" s="70">
        <v>7</v>
      </c>
      <c r="U31" s="71" t="s">
        <v>84</v>
      </c>
      <c r="V31" s="138">
        <f t="shared" ca="1" si="16"/>
        <v>41456</v>
      </c>
      <c r="W31" s="137">
        <f t="shared" ca="1" si="14"/>
        <v>13</v>
      </c>
      <c r="X31" s="71" t="str">
        <f t="shared" si="15"/>
        <v>-</v>
      </c>
      <c r="Y31" s="72" t="str">
        <v>-</v>
      </c>
      <c r="Z31" s="3"/>
      <c r="AA31" s="3"/>
      <c r="AB31" s="3"/>
      <c r="AC31" s="3"/>
      <c r="AE31" s="55"/>
      <c r="AF31" s="56"/>
      <c r="AG31" s="56"/>
      <c r="AH31" s="56"/>
      <c r="AI31" s="56"/>
      <c r="AJ31" s="56"/>
      <c r="AK31" s="57"/>
    </row>
    <row r="32" spans="2:37" ht="15" customHeight="1">
      <c r="B32" s="74">
        <v>0.5</v>
      </c>
      <c r="C32" s="17" t="str">
        <f>IF($C$4=FALSE,"-",C9)</f>
        <v>-</v>
      </c>
      <c r="D32" s="17" t="str">
        <f>IF($C$4=FALSE,"-",D9)</f>
        <v>-</v>
      </c>
      <c r="E32" s="17" t="str">
        <f>IF($C$4=FALSE,"-",E9)</f>
        <v>-</v>
      </c>
      <c r="F32" s="17" t="str">
        <f>IF($C$4=FALSE,"-",F9)</f>
        <v>-</v>
      </c>
      <c r="H32" s="73"/>
      <c r="I32" s="73"/>
      <c r="J32" s="73"/>
      <c r="K32" s="73"/>
      <c r="L32" s="73"/>
      <c r="T32" s="70">
        <v>8</v>
      </c>
      <c r="U32" s="71" t="s">
        <v>85</v>
      </c>
      <c r="V32" s="138">
        <f t="shared" ca="1" si="16"/>
        <v>41487</v>
      </c>
      <c r="W32" s="137">
        <f t="shared" ca="1" si="14"/>
        <v>13</v>
      </c>
      <c r="X32" s="71" t="str">
        <f t="shared" si="15"/>
        <v>-</v>
      </c>
      <c r="Y32" s="72" t="str">
        <v>-</v>
      </c>
      <c r="Z32" s="3"/>
      <c r="AA32" s="3"/>
      <c r="AB32" s="3"/>
      <c r="AC32" s="3"/>
      <c r="AE32" s="55" t="s">
        <v>86</v>
      </c>
      <c r="AF32" s="56"/>
      <c r="AG32" s="56"/>
      <c r="AH32" s="56"/>
      <c r="AI32" s="56"/>
      <c r="AJ32" s="56"/>
      <c r="AK32" s="57"/>
    </row>
    <row r="33" spans="2:37" ht="15" customHeight="1">
      <c r="B33" s="74" t="str">
        <f t="shared" ref="B33:B91" si="17">IF($C$4=FALSE,"-",B32+0.5)</f>
        <v>-</v>
      </c>
      <c r="C33" s="17" t="str">
        <f t="shared" ref="C33:F34" si="18">IF($C$4=FALSE,"-",((C$35-C$32)/(3))+C32)</f>
        <v>-</v>
      </c>
      <c r="D33" s="17" t="str">
        <f t="shared" si="18"/>
        <v>-</v>
      </c>
      <c r="E33" s="17" t="str">
        <f t="shared" si="18"/>
        <v>-</v>
      </c>
      <c r="F33" s="17" t="str">
        <f t="shared" si="18"/>
        <v>-</v>
      </c>
      <c r="T33" s="70">
        <v>9</v>
      </c>
      <c r="U33" s="71" t="s">
        <v>87</v>
      </c>
      <c r="V33" s="138">
        <f t="shared" ca="1" si="16"/>
        <v>41518</v>
      </c>
      <c r="W33" s="137">
        <f t="shared" ca="1" si="14"/>
        <v>13</v>
      </c>
      <c r="X33" s="71" t="str">
        <f t="shared" si="15"/>
        <v>-</v>
      </c>
      <c r="Y33" s="72" t="str">
        <v>-</v>
      </c>
      <c r="Z33" s="3"/>
      <c r="AA33" s="3"/>
      <c r="AB33" s="3"/>
      <c r="AC33" s="3"/>
      <c r="AE33" s="55" t="s">
        <v>88</v>
      </c>
      <c r="AF33" s="56"/>
      <c r="AG33" s="56"/>
      <c r="AH33" s="56"/>
      <c r="AI33" s="56"/>
      <c r="AJ33" s="56"/>
      <c r="AK33" s="57"/>
    </row>
    <row r="34" spans="2:37" ht="15" customHeight="1">
      <c r="B34" s="74" t="str">
        <f t="shared" si="17"/>
        <v>-</v>
      </c>
      <c r="C34" s="17" t="str">
        <f t="shared" si="18"/>
        <v>-</v>
      </c>
      <c r="D34" s="17" t="str">
        <f t="shared" si="18"/>
        <v>-</v>
      </c>
      <c r="E34" s="17" t="str">
        <f t="shared" si="18"/>
        <v>-</v>
      </c>
      <c r="F34" s="17" t="str">
        <f t="shared" si="18"/>
        <v>-</v>
      </c>
      <c r="T34" s="70">
        <v>10</v>
      </c>
      <c r="U34" s="71" t="s">
        <v>89</v>
      </c>
      <c r="V34" s="138">
        <f t="shared" ca="1" si="16"/>
        <v>41548</v>
      </c>
      <c r="W34" s="137">
        <f t="shared" ca="1" si="14"/>
        <v>13</v>
      </c>
      <c r="X34" s="71" t="str">
        <f t="shared" si="15"/>
        <v>-</v>
      </c>
      <c r="Y34" s="72" t="str">
        <v>-</v>
      </c>
      <c r="Z34" s="3"/>
      <c r="AA34" s="3"/>
      <c r="AB34" s="3"/>
      <c r="AC34" s="3"/>
      <c r="AE34" s="55" t="s">
        <v>90</v>
      </c>
      <c r="AF34" s="56"/>
      <c r="AG34" s="56"/>
      <c r="AH34" s="56"/>
      <c r="AI34" s="56"/>
      <c r="AJ34" s="56"/>
      <c r="AK34" s="57"/>
    </row>
    <row r="35" spans="2:37" ht="15" customHeight="1">
      <c r="B35" s="75" t="str">
        <f t="shared" si="17"/>
        <v>-</v>
      </c>
      <c r="C35" s="76" t="str">
        <f>IF($C$4=FALSE,"-",C10)</f>
        <v>-</v>
      </c>
      <c r="D35" s="76" t="str">
        <f>IF($C$4=FALSE,"-",D10)</f>
        <v>-</v>
      </c>
      <c r="E35" s="76" t="str">
        <f>IF($C$4=FALSE,"-",E10)</f>
        <v>-</v>
      </c>
      <c r="F35" s="76" t="str">
        <f>IF($C$4=FALSE,"-",F10)</f>
        <v>-</v>
      </c>
      <c r="T35" s="70">
        <v>11</v>
      </c>
      <c r="U35" s="71" t="s">
        <v>91</v>
      </c>
      <c r="V35" s="138">
        <f t="shared" ca="1" si="16"/>
        <v>41579</v>
      </c>
      <c r="W35" s="137">
        <f t="shared" ca="1" si="14"/>
        <v>13</v>
      </c>
      <c r="X35" s="71" t="str">
        <f t="shared" si="15"/>
        <v>-</v>
      </c>
      <c r="Y35" s="72" t="str">
        <v>-</v>
      </c>
      <c r="Z35" s="3"/>
      <c r="AA35" s="3"/>
      <c r="AB35" s="3"/>
      <c r="AC35" s="3"/>
      <c r="AE35" s="55"/>
      <c r="AF35" s="56"/>
      <c r="AG35" s="56"/>
      <c r="AH35" s="56"/>
      <c r="AI35" s="56"/>
      <c r="AJ35" s="56"/>
      <c r="AK35" s="57"/>
    </row>
    <row r="36" spans="2:37" ht="15" customHeight="1">
      <c r="B36" s="74" t="str">
        <f t="shared" si="17"/>
        <v>-</v>
      </c>
      <c r="C36" s="17" t="str">
        <f>IF($C$4=FALSE,"-",AVERAGE(C35,C37))</f>
        <v>-</v>
      </c>
      <c r="D36" s="17" t="str">
        <f>IF($C$4=FALSE,"-",AVERAGE(D35,D37))</f>
        <v>-</v>
      </c>
      <c r="E36" s="17" t="str">
        <f>IF($C$4=FALSE,"-",AVERAGE(E35,E37))</f>
        <v>-</v>
      </c>
      <c r="F36" s="17" t="str">
        <f>IF($C$4=FALSE,"-",AVERAGE(F35,F37))</f>
        <v>-</v>
      </c>
      <c r="T36" s="70">
        <v>12</v>
      </c>
      <c r="U36" s="71" t="s">
        <v>92</v>
      </c>
      <c r="V36" s="138">
        <f t="shared" ca="1" si="16"/>
        <v>41609</v>
      </c>
      <c r="W36" s="137">
        <f t="shared" ca="1" si="14"/>
        <v>13</v>
      </c>
      <c r="X36" s="71" t="str">
        <f t="shared" si="15"/>
        <v>-</v>
      </c>
      <c r="Y36" s="72" t="str">
        <v>-</v>
      </c>
      <c r="AE36" s="55" t="s">
        <v>93</v>
      </c>
      <c r="AF36" s="56"/>
      <c r="AG36" s="56"/>
      <c r="AH36" s="56"/>
      <c r="AI36" s="56"/>
      <c r="AJ36" s="56"/>
      <c r="AK36" s="57"/>
    </row>
    <row r="37" spans="2:37" ht="15" customHeight="1">
      <c r="B37" s="75" t="str">
        <f t="shared" si="17"/>
        <v>-</v>
      </c>
      <c r="C37" s="76" t="str">
        <f>IF($C$4=FALSE,"-",C11)</f>
        <v>-</v>
      </c>
      <c r="D37" s="76" t="str">
        <f>IF($C$4=FALSE,"-",D11)</f>
        <v>-</v>
      </c>
      <c r="E37" s="76" t="str">
        <f>IF($C$4=FALSE,"-",E11)</f>
        <v>-</v>
      </c>
      <c r="F37" s="76" t="str">
        <f>IF($C$4=FALSE,"-",F11)</f>
        <v>-</v>
      </c>
      <c r="AE37" s="55" t="s">
        <v>94</v>
      </c>
      <c r="AF37" s="56"/>
      <c r="AG37" s="56"/>
      <c r="AH37" s="56"/>
      <c r="AI37" s="56"/>
      <c r="AJ37" s="56"/>
      <c r="AK37" s="57"/>
    </row>
    <row r="38" spans="2:37" ht="15" customHeight="1">
      <c r="B38" s="74" t="str">
        <f t="shared" si="17"/>
        <v>-</v>
      </c>
      <c r="C38" s="17" t="str">
        <f t="shared" ref="C38:F40" si="19">IF($C$4=FALSE,"-",((C$41-C$37)/4)+C37)</f>
        <v>-</v>
      </c>
      <c r="D38" s="17" t="str">
        <f t="shared" si="19"/>
        <v>-</v>
      </c>
      <c r="E38" s="17" t="str">
        <f t="shared" si="19"/>
        <v>-</v>
      </c>
      <c r="F38" s="17" t="str">
        <f t="shared" si="19"/>
        <v>-</v>
      </c>
      <c r="AE38" s="59" t="s">
        <v>95</v>
      </c>
      <c r="AF38" s="56"/>
      <c r="AG38" s="56"/>
      <c r="AH38" s="56"/>
      <c r="AI38" s="56"/>
      <c r="AJ38" s="56"/>
      <c r="AK38" s="57"/>
    </row>
    <row r="39" spans="2:37" ht="15" customHeight="1">
      <c r="B39" s="74" t="str">
        <f t="shared" si="17"/>
        <v>-</v>
      </c>
      <c r="C39" s="17" t="str">
        <f t="shared" si="19"/>
        <v>-</v>
      </c>
      <c r="D39" s="17" t="str">
        <f t="shared" si="19"/>
        <v>-</v>
      </c>
      <c r="E39" s="17" t="str">
        <f t="shared" si="19"/>
        <v>-</v>
      </c>
      <c r="F39" s="17" t="str">
        <f t="shared" si="19"/>
        <v>-</v>
      </c>
      <c r="AE39" s="55" t="s">
        <v>96</v>
      </c>
      <c r="AF39" s="56"/>
      <c r="AG39" s="56"/>
      <c r="AH39" s="56"/>
      <c r="AI39" s="56"/>
      <c r="AJ39" s="56"/>
      <c r="AK39" s="57"/>
    </row>
    <row r="40" spans="2:37" ht="15" customHeight="1">
      <c r="B40" s="74" t="str">
        <f t="shared" si="17"/>
        <v>-</v>
      </c>
      <c r="C40" s="17" t="str">
        <f t="shared" si="19"/>
        <v>-</v>
      </c>
      <c r="D40" s="17" t="str">
        <f t="shared" si="19"/>
        <v>-</v>
      </c>
      <c r="E40" s="17" t="str">
        <f t="shared" si="19"/>
        <v>-</v>
      </c>
      <c r="F40" s="17" t="str">
        <f t="shared" si="19"/>
        <v>-</v>
      </c>
      <c r="AE40" s="55" t="s">
        <v>97</v>
      </c>
      <c r="AF40" s="56"/>
      <c r="AG40" s="56"/>
      <c r="AH40" s="56"/>
      <c r="AI40" s="56"/>
      <c r="AJ40" s="56"/>
      <c r="AK40" s="57"/>
    </row>
    <row r="41" spans="2:37" ht="15" customHeight="1">
      <c r="B41" s="75" t="str">
        <f t="shared" si="17"/>
        <v>-</v>
      </c>
      <c r="C41" s="76" t="str">
        <f>IF($C$4=FALSE,"-",C12)</f>
        <v>-</v>
      </c>
      <c r="D41" s="76" t="str">
        <f>IF($C$4=FALSE,"-",D12)</f>
        <v>-</v>
      </c>
      <c r="E41" s="76" t="str">
        <f>IF($C$4=FALSE,"-",E12)</f>
        <v>-</v>
      </c>
      <c r="F41" s="76" t="str">
        <f>IF($C$4=FALSE,"-",F12)</f>
        <v>-</v>
      </c>
      <c r="AE41" s="55"/>
      <c r="AF41" s="56"/>
      <c r="AG41" s="56"/>
      <c r="AH41" s="56"/>
      <c r="AI41" s="56"/>
      <c r="AJ41" s="56"/>
      <c r="AK41" s="57"/>
    </row>
    <row r="42" spans="2:37" ht="15" customHeight="1">
      <c r="B42" s="74" t="str">
        <f t="shared" si="17"/>
        <v>-</v>
      </c>
      <c r="C42" s="17" t="str">
        <f t="shared" ref="C42:F50" si="20">IF($C$4=FALSE,"-",((C$51-C$41)/10)+C41)</f>
        <v>-</v>
      </c>
      <c r="D42" s="17" t="str">
        <f t="shared" si="20"/>
        <v>-</v>
      </c>
      <c r="E42" s="17" t="str">
        <f t="shared" si="20"/>
        <v>-</v>
      </c>
      <c r="F42" s="17" t="str">
        <f t="shared" si="20"/>
        <v>-</v>
      </c>
      <c r="AE42" s="55" t="s">
        <v>98</v>
      </c>
      <c r="AF42" s="56"/>
      <c r="AG42" s="56"/>
      <c r="AH42" s="56"/>
      <c r="AI42" s="56"/>
      <c r="AJ42" s="56"/>
      <c r="AK42" s="57"/>
    </row>
    <row r="43" spans="2:37" ht="15" customHeight="1">
      <c r="B43" s="74" t="str">
        <f t="shared" si="17"/>
        <v>-</v>
      </c>
      <c r="C43" s="17" t="str">
        <f t="shared" si="20"/>
        <v>-</v>
      </c>
      <c r="D43" s="17" t="str">
        <f t="shared" si="20"/>
        <v>-</v>
      </c>
      <c r="E43" s="17" t="str">
        <f t="shared" si="20"/>
        <v>-</v>
      </c>
      <c r="F43" s="17" t="str">
        <f t="shared" si="20"/>
        <v>-</v>
      </c>
      <c r="AE43" s="55" t="s">
        <v>99</v>
      </c>
      <c r="AF43" s="56"/>
      <c r="AG43" s="56"/>
      <c r="AH43" s="56"/>
      <c r="AI43" s="56"/>
      <c r="AJ43" s="56"/>
      <c r="AK43" s="57"/>
    </row>
    <row r="44" spans="2:37" ht="15" customHeight="1">
      <c r="B44" s="74" t="str">
        <f t="shared" si="17"/>
        <v>-</v>
      </c>
      <c r="C44" s="17" t="str">
        <f t="shared" si="20"/>
        <v>-</v>
      </c>
      <c r="D44" s="17" t="str">
        <f t="shared" si="20"/>
        <v>-</v>
      </c>
      <c r="E44" s="17" t="str">
        <f t="shared" si="20"/>
        <v>-</v>
      </c>
      <c r="F44" s="17" t="str">
        <f t="shared" si="20"/>
        <v>-</v>
      </c>
      <c r="AE44" s="55"/>
      <c r="AF44" s="56"/>
      <c r="AG44" s="56"/>
      <c r="AH44" s="56"/>
      <c r="AI44" s="56"/>
      <c r="AJ44" s="56"/>
      <c r="AK44" s="57"/>
    </row>
    <row r="45" spans="2:37" ht="15" customHeight="1">
      <c r="B45" s="74" t="str">
        <f t="shared" si="17"/>
        <v>-</v>
      </c>
      <c r="C45" s="17" t="str">
        <f t="shared" si="20"/>
        <v>-</v>
      </c>
      <c r="D45" s="17" t="str">
        <f t="shared" si="20"/>
        <v>-</v>
      </c>
      <c r="E45" s="17" t="str">
        <f t="shared" si="20"/>
        <v>-</v>
      </c>
      <c r="F45" s="17" t="str">
        <f t="shared" si="20"/>
        <v>-</v>
      </c>
      <c r="AE45" s="55" t="s">
        <v>100</v>
      </c>
      <c r="AF45" s="56"/>
      <c r="AG45" s="56"/>
      <c r="AH45" s="56"/>
      <c r="AI45" s="56"/>
      <c r="AJ45" s="56"/>
      <c r="AK45" s="57"/>
    </row>
    <row r="46" spans="2:37" ht="15" customHeight="1">
      <c r="B46" s="74" t="str">
        <f t="shared" si="17"/>
        <v>-</v>
      </c>
      <c r="C46" s="17" t="str">
        <f t="shared" si="20"/>
        <v>-</v>
      </c>
      <c r="D46" s="17" t="str">
        <f t="shared" si="20"/>
        <v>-</v>
      </c>
      <c r="E46" s="17" t="str">
        <f t="shared" si="20"/>
        <v>-</v>
      </c>
      <c r="F46" s="17" t="str">
        <f t="shared" si="20"/>
        <v>-</v>
      </c>
      <c r="AE46" s="55" t="s">
        <v>101</v>
      </c>
      <c r="AF46" s="56"/>
      <c r="AG46" s="56"/>
      <c r="AH46" s="56"/>
      <c r="AI46" s="56"/>
      <c r="AJ46" s="56"/>
      <c r="AK46" s="57"/>
    </row>
    <row r="47" spans="2:37" ht="15" customHeight="1">
      <c r="B47" s="74" t="str">
        <f t="shared" si="17"/>
        <v>-</v>
      </c>
      <c r="C47" s="17" t="str">
        <f t="shared" si="20"/>
        <v>-</v>
      </c>
      <c r="D47" s="17" t="str">
        <f t="shared" si="20"/>
        <v>-</v>
      </c>
      <c r="E47" s="17" t="str">
        <f t="shared" si="20"/>
        <v>-</v>
      </c>
      <c r="F47" s="17" t="str">
        <f t="shared" si="20"/>
        <v>-</v>
      </c>
      <c r="AE47" s="55" t="s">
        <v>102</v>
      </c>
      <c r="AF47" s="56"/>
      <c r="AG47" s="56"/>
      <c r="AH47" s="56"/>
      <c r="AI47" s="56"/>
      <c r="AJ47" s="56"/>
      <c r="AK47" s="57"/>
    </row>
    <row r="48" spans="2:37" ht="15" customHeight="1">
      <c r="B48" s="74" t="str">
        <f t="shared" si="17"/>
        <v>-</v>
      </c>
      <c r="C48" s="17" t="str">
        <f t="shared" si="20"/>
        <v>-</v>
      </c>
      <c r="D48" s="17" t="str">
        <f t="shared" si="20"/>
        <v>-</v>
      </c>
      <c r="E48" s="17" t="str">
        <f t="shared" si="20"/>
        <v>-</v>
      </c>
      <c r="F48" s="17" t="str">
        <f t="shared" si="20"/>
        <v>-</v>
      </c>
      <c r="AE48" s="59" t="s">
        <v>103</v>
      </c>
      <c r="AF48" s="56"/>
      <c r="AG48" s="56"/>
      <c r="AH48" s="56"/>
      <c r="AI48" s="56"/>
      <c r="AJ48" s="56"/>
      <c r="AK48" s="57"/>
    </row>
    <row r="49" spans="2:37" ht="15" customHeight="1">
      <c r="B49" s="74" t="str">
        <f t="shared" si="17"/>
        <v>-</v>
      </c>
      <c r="C49" s="17" t="str">
        <f t="shared" si="20"/>
        <v>-</v>
      </c>
      <c r="D49" s="17" t="str">
        <f t="shared" si="20"/>
        <v>-</v>
      </c>
      <c r="E49" s="17" t="str">
        <f t="shared" si="20"/>
        <v>-</v>
      </c>
      <c r="F49" s="17" t="str">
        <f t="shared" si="20"/>
        <v>-</v>
      </c>
      <c r="AE49" s="55" t="s">
        <v>104</v>
      </c>
      <c r="AF49" s="56"/>
      <c r="AG49" s="56"/>
      <c r="AH49" s="56"/>
      <c r="AI49" s="56"/>
      <c r="AJ49" s="56"/>
      <c r="AK49" s="57"/>
    </row>
    <row r="50" spans="2:37" ht="15" customHeight="1">
      <c r="B50" s="74" t="str">
        <f t="shared" si="17"/>
        <v>-</v>
      </c>
      <c r="C50" s="17" t="str">
        <f t="shared" si="20"/>
        <v>-</v>
      </c>
      <c r="D50" s="17" t="str">
        <f t="shared" si="20"/>
        <v>-</v>
      </c>
      <c r="E50" s="17" t="str">
        <f t="shared" si="20"/>
        <v>-</v>
      </c>
      <c r="F50" s="17" t="str">
        <f t="shared" si="20"/>
        <v>-</v>
      </c>
      <c r="AE50" s="55" t="s">
        <v>105</v>
      </c>
      <c r="AF50" s="56"/>
      <c r="AG50" s="56"/>
      <c r="AH50" s="56"/>
      <c r="AI50" s="56"/>
      <c r="AJ50" s="56"/>
      <c r="AK50" s="57"/>
    </row>
    <row r="51" spans="2:37" ht="15" customHeight="1">
      <c r="B51" s="75" t="str">
        <f t="shared" si="17"/>
        <v>-</v>
      </c>
      <c r="C51" s="76" t="str">
        <f>IF($C$4=FALSE,"-",C13)</f>
        <v>-</v>
      </c>
      <c r="D51" s="76" t="str">
        <f>IF($C$4=FALSE,"-",D13)</f>
        <v>-</v>
      </c>
      <c r="E51" s="76" t="str">
        <f>IF($C$4=FALSE,"-",E13)</f>
        <v>-</v>
      </c>
      <c r="F51" s="76" t="str">
        <f>IF($C$4=FALSE,"-",F13)</f>
        <v>-</v>
      </c>
      <c r="AE51" s="55" t="s">
        <v>106</v>
      </c>
      <c r="AF51" s="56"/>
      <c r="AG51" s="56"/>
      <c r="AH51" s="56"/>
      <c r="AI51" s="56"/>
      <c r="AJ51" s="56"/>
      <c r="AK51" s="57"/>
    </row>
    <row r="52" spans="2:37" ht="15" customHeight="1">
      <c r="B52" s="74" t="str">
        <f t="shared" si="17"/>
        <v>-</v>
      </c>
      <c r="C52" s="17" t="str">
        <f t="shared" ref="C52:F67" si="21">IF($C$4=FALSE,"-",((C$91-C$51)/40)+C51)</f>
        <v>-</v>
      </c>
      <c r="D52" s="17" t="str">
        <f t="shared" si="21"/>
        <v>-</v>
      </c>
      <c r="E52" s="17" t="str">
        <f t="shared" si="21"/>
        <v>-</v>
      </c>
      <c r="F52" s="17" t="str">
        <f t="shared" si="21"/>
        <v>-</v>
      </c>
      <c r="AE52" s="59" t="s">
        <v>107</v>
      </c>
      <c r="AF52" s="56"/>
      <c r="AG52" s="56"/>
      <c r="AH52" s="56"/>
      <c r="AI52" s="56"/>
      <c r="AJ52" s="56"/>
      <c r="AK52" s="57"/>
    </row>
    <row r="53" spans="2:37" ht="15" customHeight="1">
      <c r="B53" s="74" t="str">
        <f t="shared" si="17"/>
        <v>-</v>
      </c>
      <c r="C53" s="17" t="str">
        <f t="shared" si="21"/>
        <v>-</v>
      </c>
      <c r="D53" s="17" t="str">
        <f t="shared" si="21"/>
        <v>-</v>
      </c>
      <c r="E53" s="17" t="str">
        <f t="shared" si="21"/>
        <v>-</v>
      </c>
      <c r="F53" s="17" t="str">
        <f t="shared" si="21"/>
        <v>-</v>
      </c>
      <c r="AE53" s="55" t="s">
        <v>108</v>
      </c>
      <c r="AF53" s="56"/>
      <c r="AG53" s="56"/>
      <c r="AH53" s="56"/>
      <c r="AI53" s="56"/>
      <c r="AJ53" s="56"/>
      <c r="AK53" s="57"/>
    </row>
    <row r="54" spans="2:37" ht="15" customHeight="1">
      <c r="B54" s="74" t="str">
        <f t="shared" si="17"/>
        <v>-</v>
      </c>
      <c r="C54" s="17" t="str">
        <f t="shared" si="21"/>
        <v>-</v>
      </c>
      <c r="D54" s="17" t="str">
        <f t="shared" si="21"/>
        <v>-</v>
      </c>
      <c r="E54" s="17" t="str">
        <f t="shared" si="21"/>
        <v>-</v>
      </c>
      <c r="F54" s="17" t="str">
        <f t="shared" si="21"/>
        <v>-</v>
      </c>
      <c r="AE54" s="55" t="s">
        <v>109</v>
      </c>
      <c r="AF54" s="56"/>
      <c r="AG54" s="56"/>
      <c r="AH54" s="56"/>
      <c r="AI54" s="56"/>
      <c r="AJ54" s="56"/>
      <c r="AK54" s="57"/>
    </row>
    <row r="55" spans="2:37" ht="15" customHeight="1">
      <c r="B55" s="74" t="str">
        <f t="shared" si="17"/>
        <v>-</v>
      </c>
      <c r="C55" s="17" t="str">
        <f t="shared" si="21"/>
        <v>-</v>
      </c>
      <c r="D55" s="17" t="str">
        <f t="shared" si="21"/>
        <v>-</v>
      </c>
      <c r="E55" s="17" t="str">
        <f t="shared" si="21"/>
        <v>-</v>
      </c>
      <c r="F55" s="17" t="str">
        <f t="shared" si="21"/>
        <v>-</v>
      </c>
      <c r="AE55" s="77"/>
      <c r="AF55" s="56"/>
      <c r="AG55" s="56"/>
      <c r="AH55" s="56"/>
      <c r="AI55" s="56"/>
      <c r="AJ55" s="56"/>
      <c r="AK55" s="57"/>
    </row>
    <row r="56" spans="2:37" ht="15" customHeight="1">
      <c r="B56" s="74" t="str">
        <f t="shared" si="17"/>
        <v>-</v>
      </c>
      <c r="C56" s="17" t="str">
        <f t="shared" si="21"/>
        <v>-</v>
      </c>
      <c r="D56" s="17" t="str">
        <f t="shared" si="21"/>
        <v>-</v>
      </c>
      <c r="E56" s="17" t="str">
        <f t="shared" si="21"/>
        <v>-</v>
      </c>
      <c r="F56" s="17" t="str">
        <f t="shared" si="21"/>
        <v>-</v>
      </c>
      <c r="AE56" s="59"/>
      <c r="AF56" s="56"/>
      <c r="AG56" s="56"/>
      <c r="AH56" s="56"/>
      <c r="AI56" s="56"/>
      <c r="AJ56" s="56"/>
      <c r="AK56" s="57"/>
    </row>
    <row r="57" spans="2:37" ht="15" customHeight="1">
      <c r="B57" s="74" t="str">
        <f t="shared" si="17"/>
        <v>-</v>
      </c>
      <c r="C57" s="17" t="str">
        <f t="shared" si="21"/>
        <v>-</v>
      </c>
      <c r="D57" s="17" t="str">
        <f t="shared" si="21"/>
        <v>-</v>
      </c>
      <c r="E57" s="17" t="str">
        <f t="shared" si="21"/>
        <v>-</v>
      </c>
      <c r="F57" s="17" t="str">
        <f t="shared" si="21"/>
        <v>-</v>
      </c>
      <c r="AE57" s="77"/>
      <c r="AF57" s="56"/>
      <c r="AG57" s="56"/>
      <c r="AH57" s="56"/>
      <c r="AI57" s="56"/>
      <c r="AJ57" s="56"/>
      <c r="AK57" s="57"/>
    </row>
    <row r="58" spans="2:37" ht="15" customHeight="1">
      <c r="B58" s="74" t="str">
        <f t="shared" si="17"/>
        <v>-</v>
      </c>
      <c r="C58" s="17" t="str">
        <f t="shared" si="21"/>
        <v>-</v>
      </c>
      <c r="D58" s="17" t="str">
        <f t="shared" si="21"/>
        <v>-</v>
      </c>
      <c r="E58" s="17" t="str">
        <f t="shared" si="21"/>
        <v>-</v>
      </c>
      <c r="F58" s="17" t="str">
        <f t="shared" si="21"/>
        <v>-</v>
      </c>
      <c r="AE58" s="77"/>
      <c r="AF58" s="56"/>
      <c r="AG58" s="56"/>
      <c r="AH58" s="56"/>
      <c r="AI58" s="56"/>
      <c r="AJ58" s="56"/>
      <c r="AK58" s="57"/>
    </row>
    <row r="59" spans="2:37" ht="15" customHeight="1">
      <c r="B59" s="74" t="str">
        <f t="shared" si="17"/>
        <v>-</v>
      </c>
      <c r="C59" s="17" t="str">
        <f t="shared" si="21"/>
        <v>-</v>
      </c>
      <c r="D59" s="17" t="str">
        <f t="shared" si="21"/>
        <v>-</v>
      </c>
      <c r="E59" s="17" t="str">
        <f t="shared" si="21"/>
        <v>-</v>
      </c>
      <c r="F59" s="17" t="str">
        <f t="shared" si="21"/>
        <v>-</v>
      </c>
      <c r="AE59" s="77"/>
      <c r="AF59" s="56"/>
      <c r="AG59" s="56"/>
      <c r="AH59" s="56"/>
      <c r="AI59" s="56"/>
      <c r="AJ59" s="56"/>
      <c r="AK59" s="57"/>
    </row>
    <row r="60" spans="2:37" ht="15" customHeight="1">
      <c r="B60" s="74" t="str">
        <f t="shared" si="17"/>
        <v>-</v>
      </c>
      <c r="C60" s="17" t="str">
        <f t="shared" si="21"/>
        <v>-</v>
      </c>
      <c r="D60" s="17" t="str">
        <f t="shared" si="21"/>
        <v>-</v>
      </c>
      <c r="E60" s="17" t="str">
        <f t="shared" si="21"/>
        <v>-</v>
      </c>
      <c r="F60" s="17" t="str">
        <f t="shared" si="21"/>
        <v>-</v>
      </c>
      <c r="AE60" s="77"/>
      <c r="AF60" s="56"/>
      <c r="AG60" s="56"/>
      <c r="AH60" s="56"/>
      <c r="AI60" s="56"/>
      <c r="AJ60" s="56"/>
      <c r="AK60" s="57"/>
    </row>
    <row r="61" spans="2:37" ht="15" customHeight="1">
      <c r="B61" s="74" t="str">
        <f t="shared" si="17"/>
        <v>-</v>
      </c>
      <c r="C61" s="17" t="str">
        <f t="shared" si="21"/>
        <v>-</v>
      </c>
      <c r="D61" s="17" t="str">
        <f t="shared" si="21"/>
        <v>-</v>
      </c>
      <c r="E61" s="17" t="str">
        <f t="shared" si="21"/>
        <v>-</v>
      </c>
      <c r="F61" s="17" t="str">
        <f t="shared" si="21"/>
        <v>-</v>
      </c>
      <c r="AE61" s="77"/>
      <c r="AF61" s="56"/>
      <c r="AG61" s="56"/>
      <c r="AH61" s="56"/>
      <c r="AI61" s="56"/>
      <c r="AJ61" s="56"/>
      <c r="AK61" s="57"/>
    </row>
    <row r="62" spans="2:37" ht="15" customHeight="1">
      <c r="B62" s="74" t="str">
        <f t="shared" si="17"/>
        <v>-</v>
      </c>
      <c r="C62" s="17" t="str">
        <f t="shared" si="21"/>
        <v>-</v>
      </c>
      <c r="D62" s="17" t="str">
        <f t="shared" si="21"/>
        <v>-</v>
      </c>
      <c r="E62" s="17" t="str">
        <f t="shared" si="21"/>
        <v>-</v>
      </c>
      <c r="F62" s="17" t="str">
        <f t="shared" si="21"/>
        <v>-</v>
      </c>
      <c r="AE62" s="77"/>
      <c r="AF62" s="56"/>
      <c r="AG62" s="56"/>
      <c r="AH62" s="56"/>
      <c r="AI62" s="56"/>
      <c r="AJ62" s="56"/>
      <c r="AK62" s="57"/>
    </row>
    <row r="63" spans="2:37" ht="15" customHeight="1">
      <c r="B63" s="74" t="str">
        <f t="shared" si="17"/>
        <v>-</v>
      </c>
      <c r="C63" s="17" t="str">
        <f t="shared" si="21"/>
        <v>-</v>
      </c>
      <c r="D63" s="17" t="str">
        <f t="shared" si="21"/>
        <v>-</v>
      </c>
      <c r="E63" s="17" t="str">
        <f t="shared" si="21"/>
        <v>-</v>
      </c>
      <c r="F63" s="17" t="str">
        <f t="shared" si="21"/>
        <v>-</v>
      </c>
      <c r="AE63" s="77"/>
      <c r="AF63" s="56"/>
      <c r="AG63" s="56"/>
      <c r="AH63" s="56"/>
      <c r="AI63" s="56"/>
      <c r="AJ63" s="56"/>
      <c r="AK63" s="57"/>
    </row>
    <row r="64" spans="2:37" ht="15" customHeight="1">
      <c r="B64" s="74" t="str">
        <f t="shared" si="17"/>
        <v>-</v>
      </c>
      <c r="C64" s="17" t="str">
        <f t="shared" si="21"/>
        <v>-</v>
      </c>
      <c r="D64" s="17" t="str">
        <f t="shared" si="21"/>
        <v>-</v>
      </c>
      <c r="E64" s="17" t="str">
        <f t="shared" si="21"/>
        <v>-</v>
      </c>
      <c r="F64" s="17" t="str">
        <f t="shared" si="21"/>
        <v>-</v>
      </c>
      <c r="AE64" s="77"/>
      <c r="AF64" s="56"/>
      <c r="AG64" s="56"/>
      <c r="AH64" s="56"/>
      <c r="AI64" s="56"/>
      <c r="AJ64" s="56"/>
      <c r="AK64" s="57"/>
    </row>
    <row r="65" spans="2:37" ht="15" customHeight="1">
      <c r="B65" s="74" t="str">
        <f t="shared" si="17"/>
        <v>-</v>
      </c>
      <c r="C65" s="17" t="str">
        <f t="shared" si="21"/>
        <v>-</v>
      </c>
      <c r="D65" s="17" t="str">
        <f t="shared" si="21"/>
        <v>-</v>
      </c>
      <c r="E65" s="17" t="str">
        <f t="shared" si="21"/>
        <v>-</v>
      </c>
      <c r="F65" s="17" t="str">
        <f t="shared" si="21"/>
        <v>-</v>
      </c>
      <c r="AE65" s="77"/>
      <c r="AF65" s="56"/>
      <c r="AG65" s="56"/>
      <c r="AH65" s="56"/>
      <c r="AI65" s="56"/>
      <c r="AJ65" s="56"/>
      <c r="AK65" s="57"/>
    </row>
    <row r="66" spans="2:37" ht="15" customHeight="1">
      <c r="B66" s="74" t="str">
        <f t="shared" si="17"/>
        <v>-</v>
      </c>
      <c r="C66" s="17" t="str">
        <f t="shared" si="21"/>
        <v>-</v>
      </c>
      <c r="D66" s="17" t="str">
        <f t="shared" si="21"/>
        <v>-</v>
      </c>
      <c r="E66" s="17" t="str">
        <f t="shared" si="21"/>
        <v>-</v>
      </c>
      <c r="F66" s="17" t="str">
        <f t="shared" si="21"/>
        <v>-</v>
      </c>
      <c r="AE66" s="77"/>
      <c r="AF66" s="56"/>
      <c r="AG66" s="56"/>
      <c r="AH66" s="56"/>
      <c r="AI66" s="56"/>
      <c r="AJ66" s="56"/>
      <c r="AK66" s="57"/>
    </row>
    <row r="67" spans="2:37" ht="15" customHeight="1">
      <c r="B67" s="74" t="str">
        <f t="shared" si="17"/>
        <v>-</v>
      </c>
      <c r="C67" s="17" t="str">
        <f t="shared" si="21"/>
        <v>-</v>
      </c>
      <c r="D67" s="17" t="str">
        <f t="shared" si="21"/>
        <v>-</v>
      </c>
      <c r="E67" s="17" t="str">
        <f t="shared" si="21"/>
        <v>-</v>
      </c>
      <c r="F67" s="17" t="str">
        <f t="shared" si="21"/>
        <v>-</v>
      </c>
      <c r="AE67" s="77"/>
      <c r="AF67" s="56"/>
      <c r="AG67" s="56"/>
      <c r="AH67" s="56"/>
      <c r="AI67" s="56"/>
      <c r="AJ67" s="56"/>
      <c r="AK67" s="57"/>
    </row>
    <row r="68" spans="2:37" ht="15" customHeight="1">
      <c r="B68" s="74" t="str">
        <f t="shared" si="17"/>
        <v>-</v>
      </c>
      <c r="C68" s="17" t="str">
        <f t="shared" ref="C68:F83" si="22">IF($C$4=FALSE,"-",((C$91-C$51)/40)+C67)</f>
        <v>-</v>
      </c>
      <c r="D68" s="17" t="str">
        <f t="shared" si="22"/>
        <v>-</v>
      </c>
      <c r="E68" s="17" t="str">
        <f t="shared" si="22"/>
        <v>-</v>
      </c>
      <c r="F68" s="17" t="str">
        <f t="shared" si="22"/>
        <v>-</v>
      </c>
      <c r="AE68" s="77"/>
      <c r="AF68" s="56"/>
      <c r="AG68" s="56"/>
      <c r="AH68" s="56"/>
      <c r="AI68" s="56"/>
      <c r="AJ68" s="56"/>
      <c r="AK68" s="57"/>
    </row>
    <row r="69" spans="2:37" ht="15" customHeight="1">
      <c r="B69" s="74" t="str">
        <f t="shared" si="17"/>
        <v>-</v>
      </c>
      <c r="C69" s="17" t="str">
        <f t="shared" si="22"/>
        <v>-</v>
      </c>
      <c r="D69" s="17" t="str">
        <f t="shared" si="22"/>
        <v>-</v>
      </c>
      <c r="E69" s="17" t="str">
        <f t="shared" si="22"/>
        <v>-</v>
      </c>
      <c r="F69" s="17" t="str">
        <f t="shared" si="22"/>
        <v>-</v>
      </c>
      <c r="AE69" s="77"/>
      <c r="AF69" s="56"/>
      <c r="AG69" s="56"/>
      <c r="AH69" s="56"/>
      <c r="AI69" s="56"/>
      <c r="AJ69" s="56"/>
      <c r="AK69" s="57"/>
    </row>
    <row r="70" spans="2:37" ht="15" customHeight="1">
      <c r="B70" s="74" t="str">
        <f t="shared" si="17"/>
        <v>-</v>
      </c>
      <c r="C70" s="17" t="str">
        <f t="shared" si="22"/>
        <v>-</v>
      </c>
      <c r="D70" s="17" t="str">
        <f t="shared" si="22"/>
        <v>-</v>
      </c>
      <c r="E70" s="17" t="str">
        <f t="shared" si="22"/>
        <v>-</v>
      </c>
      <c r="F70" s="17" t="str">
        <f t="shared" si="22"/>
        <v>-</v>
      </c>
      <c r="AE70" s="77"/>
      <c r="AF70" s="56"/>
      <c r="AG70" s="56"/>
      <c r="AH70" s="56"/>
      <c r="AI70" s="56"/>
      <c r="AJ70" s="56"/>
      <c r="AK70" s="57"/>
    </row>
    <row r="71" spans="2:37" ht="15" customHeight="1">
      <c r="B71" s="74" t="str">
        <f t="shared" si="17"/>
        <v>-</v>
      </c>
      <c r="C71" s="17" t="str">
        <f t="shared" si="22"/>
        <v>-</v>
      </c>
      <c r="D71" s="17" t="str">
        <f t="shared" si="22"/>
        <v>-</v>
      </c>
      <c r="E71" s="17" t="str">
        <f t="shared" si="22"/>
        <v>-</v>
      </c>
      <c r="F71" s="17" t="str">
        <f t="shared" si="22"/>
        <v>-</v>
      </c>
      <c r="AE71" s="77"/>
      <c r="AF71" s="56"/>
      <c r="AG71" s="56"/>
      <c r="AH71" s="56"/>
      <c r="AI71" s="56"/>
      <c r="AJ71" s="56"/>
      <c r="AK71" s="57"/>
    </row>
    <row r="72" spans="2:37" ht="15" customHeight="1">
      <c r="B72" s="74" t="str">
        <f t="shared" si="17"/>
        <v>-</v>
      </c>
      <c r="C72" s="17" t="str">
        <f t="shared" si="22"/>
        <v>-</v>
      </c>
      <c r="D72" s="17" t="str">
        <f t="shared" si="22"/>
        <v>-</v>
      </c>
      <c r="E72" s="17" t="str">
        <f t="shared" si="22"/>
        <v>-</v>
      </c>
      <c r="F72" s="17" t="str">
        <f t="shared" si="22"/>
        <v>-</v>
      </c>
      <c r="AE72" s="77"/>
      <c r="AF72" s="56"/>
      <c r="AG72" s="56"/>
      <c r="AH72" s="56"/>
      <c r="AI72" s="56"/>
      <c r="AJ72" s="56"/>
      <c r="AK72" s="57"/>
    </row>
    <row r="73" spans="2:37" ht="15" customHeight="1">
      <c r="B73" s="74" t="str">
        <f t="shared" si="17"/>
        <v>-</v>
      </c>
      <c r="C73" s="17" t="str">
        <f t="shared" si="22"/>
        <v>-</v>
      </c>
      <c r="D73" s="17" t="str">
        <f t="shared" si="22"/>
        <v>-</v>
      </c>
      <c r="E73" s="17" t="str">
        <f t="shared" si="22"/>
        <v>-</v>
      </c>
      <c r="F73" s="17" t="str">
        <f t="shared" si="22"/>
        <v>-</v>
      </c>
      <c r="AE73" s="77"/>
      <c r="AF73" s="56"/>
      <c r="AG73" s="78" t="s">
        <v>110</v>
      </c>
      <c r="AH73" s="56"/>
      <c r="AI73" s="56"/>
      <c r="AJ73" s="56"/>
      <c r="AK73" s="57"/>
    </row>
    <row r="74" spans="2:37" ht="15" customHeight="1">
      <c r="B74" s="74" t="str">
        <f t="shared" si="17"/>
        <v>-</v>
      </c>
      <c r="C74" s="17" t="str">
        <f t="shared" si="22"/>
        <v>-</v>
      </c>
      <c r="D74" s="17" t="str">
        <f t="shared" si="22"/>
        <v>-</v>
      </c>
      <c r="E74" s="17" t="str">
        <f t="shared" si="22"/>
        <v>-</v>
      </c>
      <c r="F74" s="17" t="str">
        <f t="shared" si="22"/>
        <v>-</v>
      </c>
      <c r="AE74" s="77"/>
      <c r="AF74" s="56"/>
      <c r="AG74" s="56"/>
      <c r="AH74" s="56"/>
      <c r="AI74" s="56"/>
      <c r="AJ74" s="56"/>
      <c r="AK74" s="57"/>
    </row>
    <row r="75" spans="2:37" ht="15" customHeight="1">
      <c r="B75" s="74" t="str">
        <f t="shared" si="17"/>
        <v>-</v>
      </c>
      <c r="C75" s="17" t="str">
        <f t="shared" si="22"/>
        <v>-</v>
      </c>
      <c r="D75" s="17" t="str">
        <f t="shared" si="22"/>
        <v>-</v>
      </c>
      <c r="E75" s="17" t="str">
        <f t="shared" si="22"/>
        <v>-</v>
      </c>
      <c r="F75" s="17" t="str">
        <f t="shared" si="22"/>
        <v>-</v>
      </c>
      <c r="AE75" s="79"/>
      <c r="AF75" s="56"/>
      <c r="AG75" s="52"/>
      <c r="AH75" s="56"/>
      <c r="AI75" s="56"/>
      <c r="AJ75" s="56"/>
      <c r="AK75" s="57"/>
    </row>
    <row r="76" spans="2:37" ht="15" customHeight="1">
      <c r="B76" s="74" t="str">
        <f t="shared" si="17"/>
        <v>-</v>
      </c>
      <c r="C76" s="17" t="str">
        <f t="shared" si="22"/>
        <v>-</v>
      </c>
      <c r="D76" s="17" t="str">
        <f t="shared" si="22"/>
        <v>-</v>
      </c>
      <c r="E76" s="17" t="str">
        <f t="shared" si="22"/>
        <v>-</v>
      </c>
      <c r="F76" s="17" t="str">
        <f t="shared" si="22"/>
        <v>-</v>
      </c>
      <c r="AE76" s="77"/>
      <c r="AF76" s="56"/>
      <c r="AG76" s="56"/>
      <c r="AH76" s="56"/>
      <c r="AI76" s="56"/>
      <c r="AJ76" s="56"/>
      <c r="AK76" s="57"/>
    </row>
    <row r="77" spans="2:37" ht="15" customHeight="1">
      <c r="B77" s="74" t="str">
        <f t="shared" si="17"/>
        <v>-</v>
      </c>
      <c r="C77" s="17" t="str">
        <f t="shared" si="22"/>
        <v>-</v>
      </c>
      <c r="D77" s="17" t="str">
        <f t="shared" si="22"/>
        <v>-</v>
      </c>
      <c r="E77" s="17" t="str">
        <f t="shared" si="22"/>
        <v>-</v>
      </c>
      <c r="F77" s="17" t="str">
        <f t="shared" si="22"/>
        <v>-</v>
      </c>
      <c r="AE77" s="77"/>
      <c r="AF77" s="56"/>
      <c r="AG77" s="56"/>
      <c r="AH77" s="56"/>
      <c r="AI77" s="56"/>
      <c r="AJ77" s="56"/>
      <c r="AK77" s="57"/>
    </row>
    <row r="78" spans="2:37" ht="15" customHeight="1">
      <c r="B78" s="74" t="str">
        <f t="shared" si="17"/>
        <v>-</v>
      </c>
      <c r="C78" s="17" t="str">
        <f t="shared" si="22"/>
        <v>-</v>
      </c>
      <c r="D78" s="17" t="str">
        <f t="shared" si="22"/>
        <v>-</v>
      </c>
      <c r="E78" s="17" t="str">
        <f t="shared" si="22"/>
        <v>-</v>
      </c>
      <c r="F78" s="17" t="str">
        <f t="shared" si="22"/>
        <v>-</v>
      </c>
      <c r="AE78" s="77"/>
      <c r="AF78" s="56"/>
      <c r="AG78" s="56"/>
      <c r="AH78" s="56"/>
      <c r="AI78" s="56"/>
      <c r="AJ78" s="56"/>
      <c r="AK78" s="57"/>
    </row>
    <row r="79" spans="2:37" ht="15" customHeight="1">
      <c r="B79" s="74" t="str">
        <f t="shared" si="17"/>
        <v>-</v>
      </c>
      <c r="C79" s="17" t="str">
        <f t="shared" si="22"/>
        <v>-</v>
      </c>
      <c r="D79" s="17" t="str">
        <f t="shared" si="22"/>
        <v>-</v>
      </c>
      <c r="E79" s="17" t="str">
        <f t="shared" si="22"/>
        <v>-</v>
      </c>
      <c r="F79" s="17" t="str">
        <f t="shared" si="22"/>
        <v>-</v>
      </c>
      <c r="AE79" s="77"/>
      <c r="AF79" s="56"/>
      <c r="AG79" s="56"/>
      <c r="AH79" s="56"/>
      <c r="AI79" s="56"/>
      <c r="AJ79" s="56"/>
      <c r="AK79" s="57"/>
    </row>
    <row r="80" spans="2:37" ht="15" customHeight="1">
      <c r="B80" s="74" t="str">
        <f t="shared" si="17"/>
        <v>-</v>
      </c>
      <c r="C80" s="17" t="str">
        <f t="shared" si="22"/>
        <v>-</v>
      </c>
      <c r="D80" s="17" t="str">
        <f t="shared" si="22"/>
        <v>-</v>
      </c>
      <c r="E80" s="17" t="str">
        <f t="shared" si="22"/>
        <v>-</v>
      </c>
      <c r="F80" s="17" t="str">
        <f t="shared" si="22"/>
        <v>-</v>
      </c>
      <c r="AE80" s="77"/>
      <c r="AF80" s="56"/>
      <c r="AG80" s="56"/>
      <c r="AH80" s="56"/>
      <c r="AI80" s="56"/>
      <c r="AJ80" s="56"/>
      <c r="AK80" s="57"/>
    </row>
    <row r="81" spans="2:37" ht="15" customHeight="1">
      <c r="B81" s="74" t="str">
        <f t="shared" si="17"/>
        <v>-</v>
      </c>
      <c r="C81" s="17" t="str">
        <f t="shared" si="22"/>
        <v>-</v>
      </c>
      <c r="D81" s="17" t="str">
        <f t="shared" si="22"/>
        <v>-</v>
      </c>
      <c r="E81" s="17" t="str">
        <f t="shared" si="22"/>
        <v>-</v>
      </c>
      <c r="F81" s="17" t="str">
        <f t="shared" si="22"/>
        <v>-</v>
      </c>
      <c r="AE81" s="77"/>
      <c r="AF81" s="56"/>
      <c r="AG81" s="56"/>
      <c r="AH81" s="56"/>
      <c r="AI81" s="56"/>
      <c r="AJ81" s="56"/>
      <c r="AK81" s="57"/>
    </row>
    <row r="82" spans="2:37" ht="15" customHeight="1">
      <c r="B82" s="74" t="str">
        <f t="shared" si="17"/>
        <v>-</v>
      </c>
      <c r="C82" s="17" t="str">
        <f t="shared" si="22"/>
        <v>-</v>
      </c>
      <c r="D82" s="17" t="str">
        <f t="shared" si="22"/>
        <v>-</v>
      </c>
      <c r="E82" s="17" t="str">
        <f t="shared" si="22"/>
        <v>-</v>
      </c>
      <c r="F82" s="17" t="str">
        <f t="shared" si="22"/>
        <v>-</v>
      </c>
      <c r="AE82" s="77"/>
      <c r="AF82" s="56"/>
      <c r="AG82" s="56"/>
      <c r="AH82" s="56"/>
      <c r="AI82" s="56"/>
      <c r="AJ82" s="56"/>
      <c r="AK82" s="57"/>
    </row>
    <row r="83" spans="2:37" ht="15" customHeight="1">
      <c r="B83" s="74" t="str">
        <f t="shared" si="17"/>
        <v>-</v>
      </c>
      <c r="C83" s="17" t="str">
        <f t="shared" si="22"/>
        <v>-</v>
      </c>
      <c r="D83" s="17" t="str">
        <f t="shared" si="22"/>
        <v>-</v>
      </c>
      <c r="E83" s="17" t="str">
        <f t="shared" si="22"/>
        <v>-</v>
      </c>
      <c r="F83" s="17" t="str">
        <f t="shared" si="22"/>
        <v>-</v>
      </c>
      <c r="AE83" s="77"/>
      <c r="AF83" s="56"/>
      <c r="AG83" s="56"/>
      <c r="AH83" s="56"/>
      <c r="AI83" s="56"/>
      <c r="AJ83" s="56"/>
      <c r="AK83" s="57"/>
    </row>
    <row r="84" spans="2:37" ht="15" customHeight="1">
      <c r="B84" s="74" t="str">
        <f t="shared" si="17"/>
        <v>-</v>
      </c>
      <c r="C84" s="17" t="str">
        <f t="shared" ref="C84:F90" si="23">IF($C$4=FALSE,"-",((C$91-C$51)/40)+C83)</f>
        <v>-</v>
      </c>
      <c r="D84" s="17" t="str">
        <f t="shared" si="23"/>
        <v>-</v>
      </c>
      <c r="E84" s="17" t="str">
        <f t="shared" si="23"/>
        <v>-</v>
      </c>
      <c r="F84" s="17" t="str">
        <f t="shared" si="23"/>
        <v>-</v>
      </c>
      <c r="AE84" s="77"/>
      <c r="AF84" s="56"/>
      <c r="AG84" s="56"/>
      <c r="AH84" s="56"/>
      <c r="AI84" s="56"/>
      <c r="AJ84" s="56"/>
      <c r="AK84" s="57"/>
    </row>
    <row r="85" spans="2:37" ht="15" customHeight="1">
      <c r="B85" s="74" t="str">
        <f t="shared" si="17"/>
        <v>-</v>
      </c>
      <c r="C85" s="17" t="str">
        <f t="shared" si="23"/>
        <v>-</v>
      </c>
      <c r="D85" s="17" t="str">
        <f t="shared" si="23"/>
        <v>-</v>
      </c>
      <c r="E85" s="17" t="str">
        <f t="shared" si="23"/>
        <v>-</v>
      </c>
      <c r="F85" s="17" t="str">
        <f t="shared" si="23"/>
        <v>-</v>
      </c>
      <c r="AE85" s="77"/>
      <c r="AF85" s="56"/>
      <c r="AG85" s="56"/>
      <c r="AH85" s="56"/>
      <c r="AI85" s="56"/>
      <c r="AJ85" s="56"/>
      <c r="AK85" s="57"/>
    </row>
    <row r="86" spans="2:37" ht="15" customHeight="1">
      <c r="B86" s="74" t="str">
        <f t="shared" si="17"/>
        <v>-</v>
      </c>
      <c r="C86" s="17" t="str">
        <f t="shared" si="23"/>
        <v>-</v>
      </c>
      <c r="D86" s="17" t="str">
        <f t="shared" si="23"/>
        <v>-</v>
      </c>
      <c r="E86" s="17" t="str">
        <f t="shared" si="23"/>
        <v>-</v>
      </c>
      <c r="F86" s="17" t="str">
        <f t="shared" si="23"/>
        <v>-</v>
      </c>
      <c r="AE86" s="77"/>
      <c r="AF86" s="56"/>
      <c r="AG86" s="56"/>
      <c r="AH86" s="56"/>
      <c r="AI86" s="56"/>
      <c r="AJ86" s="56"/>
      <c r="AK86" s="57"/>
    </row>
    <row r="87" spans="2:37" ht="15" customHeight="1">
      <c r="B87" s="74" t="str">
        <f t="shared" si="17"/>
        <v>-</v>
      </c>
      <c r="C87" s="17" t="str">
        <f t="shared" si="23"/>
        <v>-</v>
      </c>
      <c r="D87" s="17" t="str">
        <f t="shared" si="23"/>
        <v>-</v>
      </c>
      <c r="E87" s="17" t="str">
        <f t="shared" si="23"/>
        <v>-</v>
      </c>
      <c r="F87" s="17" t="str">
        <f t="shared" si="23"/>
        <v>-</v>
      </c>
      <c r="AE87" s="77"/>
      <c r="AF87" s="56"/>
      <c r="AG87" s="56"/>
      <c r="AH87" s="56"/>
      <c r="AI87" s="56"/>
      <c r="AJ87" s="56"/>
      <c r="AK87" s="57"/>
    </row>
    <row r="88" spans="2:37" ht="15" customHeight="1">
      <c r="B88" s="74" t="str">
        <f t="shared" si="17"/>
        <v>-</v>
      </c>
      <c r="C88" s="17" t="str">
        <f t="shared" si="23"/>
        <v>-</v>
      </c>
      <c r="D88" s="17" t="str">
        <f t="shared" si="23"/>
        <v>-</v>
      </c>
      <c r="E88" s="17" t="str">
        <f t="shared" si="23"/>
        <v>-</v>
      </c>
      <c r="F88" s="17" t="str">
        <f t="shared" si="23"/>
        <v>-</v>
      </c>
      <c r="AE88" s="77"/>
      <c r="AF88" s="56"/>
      <c r="AG88" s="56"/>
      <c r="AH88" s="56"/>
      <c r="AI88" s="56"/>
      <c r="AJ88" s="56"/>
      <c r="AK88" s="57"/>
    </row>
    <row r="89" spans="2:37" ht="15" customHeight="1">
      <c r="B89" s="74" t="str">
        <f t="shared" si="17"/>
        <v>-</v>
      </c>
      <c r="C89" s="17" t="str">
        <f t="shared" si="23"/>
        <v>-</v>
      </c>
      <c r="D89" s="17" t="str">
        <f t="shared" si="23"/>
        <v>-</v>
      </c>
      <c r="E89" s="17" t="str">
        <f t="shared" si="23"/>
        <v>-</v>
      </c>
      <c r="F89" s="17" t="str">
        <f t="shared" si="23"/>
        <v>-</v>
      </c>
      <c r="AE89" s="77"/>
      <c r="AF89" s="56"/>
      <c r="AG89" s="56"/>
      <c r="AH89" s="56"/>
      <c r="AI89" s="56"/>
      <c r="AJ89" s="56"/>
      <c r="AK89" s="57"/>
    </row>
    <row r="90" spans="2:37" ht="15" customHeight="1">
      <c r="B90" s="74" t="str">
        <f t="shared" si="17"/>
        <v>-</v>
      </c>
      <c r="C90" s="17" t="str">
        <f t="shared" si="23"/>
        <v>-</v>
      </c>
      <c r="D90" s="17" t="str">
        <f t="shared" si="23"/>
        <v>-</v>
      </c>
      <c r="E90" s="17" t="str">
        <f t="shared" si="23"/>
        <v>-</v>
      </c>
      <c r="F90" s="17" t="str">
        <f t="shared" si="23"/>
        <v>-</v>
      </c>
      <c r="AE90" s="77"/>
      <c r="AF90" s="56"/>
      <c r="AG90" s="56"/>
      <c r="AH90" s="56"/>
      <c r="AI90" s="56"/>
      <c r="AJ90" s="56"/>
      <c r="AK90" s="57"/>
    </row>
    <row r="91" spans="2:37" ht="15" customHeight="1">
      <c r="B91" s="74" t="str">
        <f t="shared" si="17"/>
        <v>-</v>
      </c>
      <c r="C91" s="17" t="str">
        <f>IF($C$4=FALSE,"-",C14)</f>
        <v>-</v>
      </c>
      <c r="D91" s="17" t="str">
        <f>IF($C$4=FALSE,"-",D14)</f>
        <v>-</v>
      </c>
      <c r="E91" s="17" t="str">
        <f>IF($C$4=FALSE,"-",E14)</f>
        <v>-</v>
      </c>
      <c r="F91" s="17" t="str">
        <f>IF($C$4=FALSE,"-",F14)</f>
        <v>-</v>
      </c>
      <c r="AE91" s="77"/>
      <c r="AF91" s="56"/>
      <c r="AG91" s="80" t="s">
        <v>111</v>
      </c>
      <c r="AH91" s="56"/>
      <c r="AI91" s="56"/>
      <c r="AJ91" s="56"/>
      <c r="AK91" s="57"/>
    </row>
    <row r="92" spans="2:37" ht="15" customHeight="1">
      <c r="B92" s="81"/>
      <c r="AE92" s="77"/>
      <c r="AF92" s="56"/>
      <c r="AG92" s="56"/>
      <c r="AH92" s="56"/>
      <c r="AI92" s="56"/>
      <c r="AJ92" s="56"/>
      <c r="AK92" s="57"/>
    </row>
    <row r="93" spans="2:37" ht="15" customHeight="1">
      <c r="B93" s="81"/>
      <c r="AE93" s="82"/>
      <c r="AF93" s="56"/>
      <c r="AG93" s="52"/>
      <c r="AH93" s="56"/>
      <c r="AI93" s="56"/>
      <c r="AJ93" s="56"/>
      <c r="AK93" s="57"/>
    </row>
    <row r="94" spans="2:37" ht="15" customHeight="1">
      <c r="B94" s="81"/>
      <c r="AE94" s="77"/>
      <c r="AF94" s="56"/>
      <c r="AG94" s="56"/>
      <c r="AH94" s="56"/>
      <c r="AI94" s="56"/>
      <c r="AJ94" s="56"/>
      <c r="AK94" s="57"/>
    </row>
    <row r="95" spans="2:37" ht="15" customHeight="1">
      <c r="B95" s="81"/>
      <c r="AE95" s="77"/>
      <c r="AF95" s="56"/>
      <c r="AG95" s="56"/>
      <c r="AH95" s="56"/>
      <c r="AI95" s="56"/>
      <c r="AJ95" s="56"/>
      <c r="AK95" s="57"/>
    </row>
    <row r="96" spans="2:37" ht="15" customHeight="1">
      <c r="B96" s="81"/>
      <c r="AE96" s="77"/>
      <c r="AF96" s="56"/>
      <c r="AG96" s="56"/>
      <c r="AH96" s="56"/>
      <c r="AI96" s="56"/>
      <c r="AJ96" s="56"/>
      <c r="AK96" s="57"/>
    </row>
    <row r="97" spans="2:37" ht="15" customHeight="1">
      <c r="B97" s="81"/>
      <c r="AE97" s="77"/>
      <c r="AF97" s="56"/>
      <c r="AG97" s="56"/>
      <c r="AH97" s="56"/>
      <c r="AI97" s="56"/>
      <c r="AJ97" s="56"/>
      <c r="AK97" s="57"/>
    </row>
    <row r="98" spans="2:37" ht="15" customHeight="1">
      <c r="B98" s="81"/>
      <c r="AE98" s="77"/>
      <c r="AF98" s="56"/>
      <c r="AG98" s="56"/>
      <c r="AH98" s="56"/>
      <c r="AI98" s="56"/>
      <c r="AJ98" s="56"/>
      <c r="AK98" s="57"/>
    </row>
    <row r="99" spans="2:37" ht="15" customHeight="1">
      <c r="B99" s="81"/>
      <c r="AE99" s="77"/>
      <c r="AF99" s="56"/>
      <c r="AG99" s="56"/>
      <c r="AH99" s="56"/>
      <c r="AI99" s="56"/>
      <c r="AJ99" s="56"/>
      <c r="AK99" s="57"/>
    </row>
    <row r="100" spans="2:37" ht="15" customHeight="1">
      <c r="B100" s="81"/>
      <c r="AE100" s="77"/>
      <c r="AF100" s="56"/>
      <c r="AG100" s="56"/>
      <c r="AH100" s="56"/>
      <c r="AI100" s="56"/>
      <c r="AJ100" s="56"/>
      <c r="AK100" s="57"/>
    </row>
    <row r="101" spans="2:37" ht="15" customHeight="1">
      <c r="B101" s="81"/>
      <c r="AE101" s="77"/>
      <c r="AF101" s="56"/>
      <c r="AG101" s="56"/>
      <c r="AH101" s="56"/>
      <c r="AI101" s="56"/>
      <c r="AJ101" s="56"/>
      <c r="AK101" s="57"/>
    </row>
    <row r="102" spans="2:37" ht="15" customHeight="1">
      <c r="B102" s="81"/>
      <c r="AE102" s="77"/>
      <c r="AF102" s="56"/>
      <c r="AG102" s="56"/>
      <c r="AH102" s="56"/>
      <c r="AI102" s="56"/>
      <c r="AJ102" s="56"/>
      <c r="AK102" s="57"/>
    </row>
    <row r="103" spans="2:37" ht="15" customHeight="1">
      <c r="B103" s="81"/>
      <c r="AE103" s="77"/>
      <c r="AF103" s="56"/>
      <c r="AG103" s="56"/>
      <c r="AH103" s="56"/>
      <c r="AI103" s="56"/>
      <c r="AJ103" s="56"/>
      <c r="AK103" s="57"/>
    </row>
    <row r="104" spans="2:37" ht="15" customHeight="1">
      <c r="B104" s="81"/>
      <c r="AE104" s="77"/>
      <c r="AF104" s="56"/>
      <c r="AG104" s="56"/>
      <c r="AH104" s="56"/>
      <c r="AI104" s="56"/>
      <c r="AJ104" s="56"/>
      <c r="AK104" s="57"/>
    </row>
    <row r="105" spans="2:37" ht="15" customHeight="1">
      <c r="B105" s="81"/>
      <c r="AE105" s="83"/>
      <c r="AF105" s="2"/>
      <c r="AG105" s="2"/>
      <c r="AH105" s="2"/>
      <c r="AI105" s="2"/>
      <c r="AJ105" s="2"/>
      <c r="AK105" s="84"/>
    </row>
    <row r="106" spans="2:37" ht="15" customHeight="1" thickBot="1">
      <c r="B106" s="81"/>
      <c r="AE106" s="85"/>
      <c r="AF106" s="86"/>
      <c r="AG106" s="86"/>
      <c r="AH106" s="86"/>
      <c r="AI106" s="86"/>
      <c r="AJ106" s="86"/>
      <c r="AK106" s="87"/>
    </row>
    <row r="107" spans="2:37" ht="15" customHeight="1">
      <c r="B107" s="81"/>
    </row>
    <row r="108" spans="2:37" ht="15" customHeight="1">
      <c r="B108" s="81"/>
    </row>
    <row r="109" spans="2:37" ht="15" customHeight="1">
      <c r="B109" s="81"/>
    </row>
    <row r="110" spans="2:37" ht="15" customHeight="1">
      <c r="B110" s="81"/>
    </row>
    <row r="111" spans="2:37" ht="15" customHeight="1">
      <c r="B111" s="81"/>
    </row>
    <row r="112" spans="2:37" ht="15" customHeight="1">
      <c r="B112" s="81"/>
    </row>
  </sheetData>
  <dataConsolidate/>
  <dataValidations count="1">
    <dataValidation type="list" allowBlank="1" showInputMessage="1" showErrorMessage="1" sqref="C4 U3">
      <formula1>"TRUE,FALSE"</formula1>
    </dataValidation>
  </dataValidations>
  <hyperlinks>
    <hyperlink ref="T24" r:id="rId1" display="http://www.cbot.com/cbot/pub/page/0,3181,1525,00.html"/>
  </hyperlinks>
  <pageMargins left="0.75" right="0.75" top="1" bottom="1" header="0.5" footer="0.5"/>
  <pageSetup orientation="portrait"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US Historical Treasury Yields</vt:lpstr>
      <vt:lpstr>US Treasury Yield Analysis</vt:lpstr>
    </vt:vector>
  </TitlesOfParts>
  <Company>NICO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Windows User</cp:lastModifiedBy>
  <dcterms:created xsi:type="dcterms:W3CDTF">2008-07-22T19:57:02Z</dcterms:created>
  <dcterms:modified xsi:type="dcterms:W3CDTF">2013-02-28T03:48:48Z</dcterms:modified>
</cp:coreProperties>
</file>