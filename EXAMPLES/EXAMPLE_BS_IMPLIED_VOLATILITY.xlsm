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50" windowWidth="19095" windowHeight="8415" activeTab="2"/>
  </bookViews>
  <sheets>
    <sheet name="MODEL" sheetId="2" r:id="rId1"/>
    <sheet name="CALL_IMPLIED_CHART" sheetId="3" r:id="rId2"/>
    <sheet name="PUT_IMPLIED_CHART" sheetId="4" r:id="rId3"/>
  </sheets>
  <externalReferences>
    <externalReference r:id="rId4"/>
  </externalReferences>
  <definedNames>
    <definedName name="_xlnm._FilterDatabase" localSheetId="0" hidden="1">MODEL!$B$8:$C$12</definedName>
    <definedName name="CALL_VOLATILITY_AXIS">MODEL!$H$9:$H$137</definedName>
    <definedName name="CALL_VOLUME_AXIS">MODEL!$T$9:$T$137</definedName>
    <definedName name="INPUTS">MODEL!$C$8:$C$26</definedName>
    <definedName name="POSITION">MODEL!$E$8</definedName>
    <definedName name="PUT_VOLATILITY_AXIS">MODEL!$K$9:$K$137</definedName>
    <definedName name="PUT_VOLUME_AXIS">MODEL!$AB$9:$AB$137</definedName>
    <definedName name="STRIKE_AXIS">MODEL!$E$9:$E$137</definedName>
  </definedNames>
  <calcPr calcId="145621"/>
</workbook>
</file>

<file path=xl/calcChain.xml><?xml version="1.0" encoding="utf-8"?>
<calcChain xmlns="http://schemas.openxmlformats.org/spreadsheetml/2006/main">
  <c r="C14" i="2" l="1"/>
  <c r="C11" i="2"/>
  <c r="C10" i="2"/>
  <c r="C12" i="2" l="1"/>
  <c r="C15" i="2"/>
  <c r="C18" i="2"/>
  <c r="C20" i="2"/>
  <c r="C17" i="2" l="1"/>
</calcChain>
</file>

<file path=xl/comments1.xml><?xml version="1.0" encoding="utf-8"?>
<comments xmlns="http://schemas.openxmlformats.org/spreadsheetml/2006/main">
  <authors>
    <author>Nico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=IF($C$8=FALSE,"-",MATRIX_YAHOO_INTRADAY_QUOTES_FUNC("^TNX","l1","",0,FALSE)/100)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=IF($C$8=FALSE,"-",LN(MATRIX_YAHOO_INTRADAY_QUOTES_FUNC(C9,"y","",0,FALSE)/100+1))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=DATE_DAYS_WEEK_FUNC(C5,C6,3,6)</t>
        </r>
      </text>
    </comment>
  </commentList>
</comments>
</file>

<file path=xl/sharedStrings.xml><?xml version="1.0" encoding="utf-8"?>
<sst xmlns="http://schemas.openxmlformats.org/spreadsheetml/2006/main" count="300" uniqueCount="293">
  <si>
    <t>OPEN INT</t>
  </si>
  <si>
    <t>VOLUME</t>
  </si>
  <si>
    <t>BID</t>
  </si>
  <si>
    <t>CHANGE</t>
  </si>
  <si>
    <t>LAST</t>
  </si>
  <si>
    <t>PUTS</t>
  </si>
  <si>
    <t>STRIKE</t>
  </si>
  <si>
    <t>CALLS</t>
  </si>
  <si>
    <t>EXPIRING</t>
  </si>
  <si>
    <t>SPOT</t>
  </si>
  <si>
    <t>TICKER</t>
  </si>
  <si>
    <t>MONTH</t>
  </si>
  <si>
    <t>YEAR</t>
  </si>
  <si>
    <t>STRIKE EXPIRATION</t>
  </si>
  <si>
    <t>SETTLEMENT</t>
  </si>
  <si>
    <t>TENOR</t>
  </si>
  <si>
    <t>TRADING DAYS</t>
  </si>
  <si>
    <t>EXPIRATION</t>
  </si>
  <si>
    <t>CONTROL</t>
  </si>
  <si>
    <t>RISK FREE RATE</t>
  </si>
  <si>
    <t>GUESS VALUE</t>
  </si>
  <si>
    <t>LOWER BOUND</t>
  </si>
  <si>
    <t>UPPER BOUND</t>
  </si>
  <si>
    <t>CND TYPE</t>
  </si>
  <si>
    <t>CARRY COST</t>
  </si>
  <si>
    <t>BS CALL IMPLIED VOLATILITY</t>
  </si>
  <si>
    <t>BS PUT IMPLIED VOLATILITY</t>
  </si>
  <si>
    <t>CALL ACTUAL PREMIUM</t>
  </si>
  <si>
    <t>PUT ACTUAL PREMIUM</t>
  </si>
  <si>
    <t>BS IMPLIED VOLATILITY MODEL</t>
  </si>
  <si>
    <t>DIVIDEND YIELD</t>
  </si>
  <si>
    <t>AS</t>
  </si>
  <si>
    <t>AAPL</t>
  </si>
  <si>
    <t>AAPL131019C00235000</t>
  </si>
  <si>
    <t>AAPL131019P00235000</t>
  </si>
  <si>
    <t>AAPL131019C00240000</t>
  </si>
  <si>
    <t>AAPL131019P00240000</t>
  </si>
  <si>
    <t>AAPL131019C00250000</t>
  </si>
  <si>
    <t>AAPL131019P00250000</t>
  </si>
  <si>
    <t>AAPL131019C00255000</t>
  </si>
  <si>
    <t>AAPL131019P00255000</t>
  </si>
  <si>
    <t>AAPL131019C00260000</t>
  </si>
  <si>
    <t>AAPL131019P00260000</t>
  </si>
  <si>
    <t>AAPL131019C00265000</t>
  </si>
  <si>
    <t>AAPL131019P00265000</t>
  </si>
  <si>
    <t>AAPL131019C00270000</t>
  </si>
  <si>
    <t>AAPL131019P00270000</t>
  </si>
  <si>
    <t>AAPL131019C00275000</t>
  </si>
  <si>
    <t>AAPL131019P00275000</t>
  </si>
  <si>
    <t>AAPL131019C00280000</t>
  </si>
  <si>
    <t>AAPL131019P00280000</t>
  </si>
  <si>
    <t>AAPL131019C00285000</t>
  </si>
  <si>
    <t>AAPL131019P00285000</t>
  </si>
  <si>
    <t>AAPL131019C00290000</t>
  </si>
  <si>
    <t>AAPL131019P00290000</t>
  </si>
  <si>
    <t>AAPL131019C00295000</t>
  </si>
  <si>
    <t>AAPL131019P00295000</t>
  </si>
  <si>
    <t>AAPL131019C00300000</t>
  </si>
  <si>
    <t>AAPL131019P00300000</t>
  </si>
  <si>
    <t>AAPL131019C00305000</t>
  </si>
  <si>
    <t>AAPL131019P00305000</t>
  </si>
  <si>
    <t>AAPL131019C00310000</t>
  </si>
  <si>
    <t>AAPL131019P00310000</t>
  </si>
  <si>
    <t>AAPL131019C00315000</t>
  </si>
  <si>
    <t>AAPL131019P00315000</t>
  </si>
  <si>
    <t>AAPL131019C00320000</t>
  </si>
  <si>
    <t>AAPL131019P00320000</t>
  </si>
  <si>
    <t>AAPL131019C00325000</t>
  </si>
  <si>
    <t>AAPL131019P00325000</t>
  </si>
  <si>
    <t>AAPL131019C00330000</t>
  </si>
  <si>
    <t>AAPL131019P00330000</t>
  </si>
  <si>
    <t>AAPL131019C00335000</t>
  </si>
  <si>
    <t>AAPL131019P00335000</t>
  </si>
  <si>
    <t>AAPL131019C00340000</t>
  </si>
  <si>
    <t>AAPL131019P00340000</t>
  </si>
  <si>
    <t>AAPL131019C00345000</t>
  </si>
  <si>
    <t>AAPL131019P00345000</t>
  </si>
  <si>
    <t>AAPL131019C00350000</t>
  </si>
  <si>
    <t>AAPL131019P00350000</t>
  </si>
  <si>
    <t>AAPL131019C00355000</t>
  </si>
  <si>
    <t>AAPL131019P00355000</t>
  </si>
  <si>
    <t>AAPL131019C00360000</t>
  </si>
  <si>
    <t>AAPL131019P00360000</t>
  </si>
  <si>
    <t>AAPL131019C00365000</t>
  </si>
  <si>
    <t>AAPL131019P00365000</t>
  </si>
  <si>
    <t>AAPL131019C00370000</t>
  </si>
  <si>
    <t>AAPL131019P00370000</t>
  </si>
  <si>
    <t>AAPL131019C00375000</t>
  </si>
  <si>
    <t>AAPL131019P00375000</t>
  </si>
  <si>
    <t>AAPL131019C00380000</t>
  </si>
  <si>
    <t>AAPL131019P00380000</t>
  </si>
  <si>
    <t>AAPL131019C00385000</t>
  </si>
  <si>
    <t>AAPL131019P00385000</t>
  </si>
  <si>
    <t>AAPL131019C00390000</t>
  </si>
  <si>
    <t>AAPL131019P00390000</t>
  </si>
  <si>
    <t>AAPL131019C00395000</t>
  </si>
  <si>
    <t>AAPL131019P00395000</t>
  </si>
  <si>
    <t>AAPL131019C00400000</t>
  </si>
  <si>
    <t>AAPL131019P00400000</t>
  </si>
  <si>
    <t>AAPL131019C00405000</t>
  </si>
  <si>
    <t>AAPL131019P00405000</t>
  </si>
  <si>
    <t>AAPL131019C00410000</t>
  </si>
  <si>
    <t>AAPL131019P00410000</t>
  </si>
  <si>
    <t>AAPL131019C00415000</t>
  </si>
  <si>
    <t>AAPL131019P00415000</t>
  </si>
  <si>
    <t>AAPL131019C00420000</t>
  </si>
  <si>
    <t>AAPL131019P00420000</t>
  </si>
  <si>
    <t>AAPL131019C00425000</t>
  </si>
  <si>
    <t>AAPL131019P00425000</t>
  </si>
  <si>
    <t>AAPL131019C00430000</t>
  </si>
  <si>
    <t>AAPL131019P00430000</t>
  </si>
  <si>
    <t>AAPL131019C00435000</t>
  </si>
  <si>
    <t>AAPL131019P00435000</t>
  </si>
  <si>
    <t>AAPL131019C00440000</t>
  </si>
  <si>
    <t>AAPL131019P00440000</t>
  </si>
  <si>
    <t>AAPL131019C00445000</t>
  </si>
  <si>
    <t>AAPL131019P00445000</t>
  </si>
  <si>
    <t>AAPL131019C00450000</t>
  </si>
  <si>
    <t>AAPL131019P00450000</t>
  </si>
  <si>
    <t>AAPL131019C00455000</t>
  </si>
  <si>
    <t>AAPL131019P00455000</t>
  </si>
  <si>
    <t>AAPL131019C00460000</t>
  </si>
  <si>
    <t>AAPL131019P00460000</t>
  </si>
  <si>
    <t>AAPL131019C00465000</t>
  </si>
  <si>
    <t>AAPL131019P00465000</t>
  </si>
  <si>
    <t>AAPL131019C00470000</t>
  </si>
  <si>
    <t>AAPL131019P00470000</t>
  </si>
  <si>
    <t>AAPL131019C00475000</t>
  </si>
  <si>
    <t>AAPL131019P00475000</t>
  </si>
  <si>
    <t>AAPL131019C00480000</t>
  </si>
  <si>
    <t>AAPL131019P00480000</t>
  </si>
  <si>
    <t>AAPL131019C00485000</t>
  </si>
  <si>
    <t>AAPL131019P00485000</t>
  </si>
  <si>
    <t>AAPL131019C00490000</t>
  </si>
  <si>
    <t>AAPL131019P00490000</t>
  </si>
  <si>
    <t>AAPL131019C00495000</t>
  </si>
  <si>
    <t>AAPL131019P00495000</t>
  </si>
  <si>
    <t>AAPL131019C00500000</t>
  </si>
  <si>
    <t>AAPL131019P00500000</t>
  </si>
  <si>
    <t>AAPL131019C00505000</t>
  </si>
  <si>
    <t>AAPL131019P00505000</t>
  </si>
  <si>
    <t>AAPL131019C00510000</t>
  </si>
  <si>
    <t>AAPL131019P00510000</t>
  </si>
  <si>
    <t>AAPL131019C00515000</t>
  </si>
  <si>
    <t>AAPL131019P00515000</t>
  </si>
  <si>
    <t>AAPL131019C00520000</t>
  </si>
  <si>
    <t>AAPL131019P00520000</t>
  </si>
  <si>
    <t>AAPL131019C00525000</t>
  </si>
  <si>
    <t>AAPL131019P00525000</t>
  </si>
  <si>
    <t>AAPL131019C00530000</t>
  </si>
  <si>
    <t>AAPL131019P00530000</t>
  </si>
  <si>
    <t>AAPL131019C00535000</t>
  </si>
  <si>
    <t>AAPL131019P00535000</t>
  </si>
  <si>
    <t>AAPL131019C00540000</t>
  </si>
  <si>
    <t>AAPL131019P00540000</t>
  </si>
  <si>
    <t>AAPL131019C00545000</t>
  </si>
  <si>
    <t>AAPL131019P00545000</t>
  </si>
  <si>
    <t>AAPL131019C00550000</t>
  </si>
  <si>
    <t>AAPL131019P00550000</t>
  </si>
  <si>
    <t>AAPL131019C00555000</t>
  </si>
  <si>
    <t>AAPL131019P00555000</t>
  </si>
  <si>
    <t>AAPL131019C00560000</t>
  </si>
  <si>
    <t>AAPL131019P00560000</t>
  </si>
  <si>
    <t>AAPL131019C00565000</t>
  </si>
  <si>
    <t>AAPL131019P00565000</t>
  </si>
  <si>
    <t>AAPL131019C00570000</t>
  </si>
  <si>
    <t>AAPL131019P00570000</t>
  </si>
  <si>
    <t>AAPL131019C00575000</t>
  </si>
  <si>
    <t>AAPL131019P00575000</t>
  </si>
  <si>
    <t>AAPL131019C00580000</t>
  </si>
  <si>
    <t>AAPL131019P00580000</t>
  </si>
  <si>
    <t>AAPL131019C00585000</t>
  </si>
  <si>
    <t>AAPL131019P00585000</t>
  </si>
  <si>
    <t>AAPL131019C00590000</t>
  </si>
  <si>
    <t>AAPL131019P00590000</t>
  </si>
  <si>
    <t>AAPL131019C00595000</t>
  </si>
  <si>
    <t>AAPL131019P00595000</t>
  </si>
  <si>
    <t>AAPL131019C00600000</t>
  </si>
  <si>
    <t>AAPL131019P00600000</t>
  </si>
  <si>
    <t>AAPL131019C00605000</t>
  </si>
  <si>
    <t>AAPL131019P00605000</t>
  </si>
  <si>
    <t>AAPL131019C00610000</t>
  </si>
  <si>
    <t>AAPL131019P00610000</t>
  </si>
  <si>
    <t>AAPL131019C00615000</t>
  </si>
  <si>
    <t>AAPL131019P00615000</t>
  </si>
  <si>
    <t>AAPL131019C00620000</t>
  </si>
  <si>
    <t>AAPL131019P00620000</t>
  </si>
  <si>
    <t>AAPL131019C00625000</t>
  </si>
  <si>
    <t>AAPL131019P00625000</t>
  </si>
  <si>
    <t>AAPL131019C00630000</t>
  </si>
  <si>
    <t>AAPL131019P00630000</t>
  </si>
  <si>
    <t>AAPL131019C00635000</t>
  </si>
  <si>
    <t>AAPL131019P00635000</t>
  </si>
  <si>
    <t>AAPL131019C00640000</t>
  </si>
  <si>
    <t>AAPL131019P00640000</t>
  </si>
  <si>
    <t>AAPL131019C00645000</t>
  </si>
  <si>
    <t>AAPL131019P00645000</t>
  </si>
  <si>
    <t>AAPL131019C00650000</t>
  </si>
  <si>
    <t>AAPL131019P00650000</t>
  </si>
  <si>
    <t>AAPL131019C00655000</t>
  </si>
  <si>
    <t>AAPL131019P00655000</t>
  </si>
  <si>
    <t>AAPL131019C00660000</t>
  </si>
  <si>
    <t>AAPL131019P00660000</t>
  </si>
  <si>
    <t>AAPL131019C00665000</t>
  </si>
  <si>
    <t>AAPL131019P00665000</t>
  </si>
  <si>
    <t>AAPL131019C00670000</t>
  </si>
  <si>
    <t>AAPL131019P00670000</t>
  </si>
  <si>
    <t>AAPL131019C00675000</t>
  </si>
  <si>
    <t>AAPL131019P00675000</t>
  </si>
  <si>
    <t>AAPL131019C00680000</t>
  </si>
  <si>
    <t>AAPL131019P00680000</t>
  </si>
  <si>
    <t>AAPL131019C00685000</t>
  </si>
  <si>
    <t>AAPL131019P00685000</t>
  </si>
  <si>
    <t>AAPL131019C00690000</t>
  </si>
  <si>
    <t>AAPL131019P00690000</t>
  </si>
  <si>
    <t>AAPL131019C00695000</t>
  </si>
  <si>
    <t>AAPL131019P00695000</t>
  </si>
  <si>
    <t>AAPL131019C00700000</t>
  </si>
  <si>
    <t>AAPL131019P00700000</t>
  </si>
  <si>
    <t>AAPL131019C00705000</t>
  </si>
  <si>
    <t>AAPL131019P00705000</t>
  </si>
  <si>
    <t>AAPL131019C00710000</t>
  </si>
  <si>
    <t>AAPL131019P00710000</t>
  </si>
  <si>
    <t>AAPL131019C00715000</t>
  </si>
  <si>
    <t>AAPL131019P00715000</t>
  </si>
  <si>
    <t>AAPL131019C00720000</t>
  </si>
  <si>
    <t>AAPL131019P00720000</t>
  </si>
  <si>
    <t>AAPL131019C00725000</t>
  </si>
  <si>
    <t>AAPL131019P00725000</t>
  </si>
  <si>
    <t>AAPL131019C00730000</t>
  </si>
  <si>
    <t>AAPL131019P00730000</t>
  </si>
  <si>
    <t>AAPL131019C00735000</t>
  </si>
  <si>
    <t>AAPL131019P00735000</t>
  </si>
  <si>
    <t>AAPL131019C00740000</t>
  </si>
  <si>
    <t>AAPL131019P00740000</t>
  </si>
  <si>
    <t>AAPL131019C00745000</t>
  </si>
  <si>
    <t>AAPL131019P00745000</t>
  </si>
  <si>
    <t>AAPL131019C00750000</t>
  </si>
  <si>
    <t>AAPL131019P00750000</t>
  </si>
  <si>
    <t>AAPL131019C00755000</t>
  </si>
  <si>
    <t>AAPL131019P00755000</t>
  </si>
  <si>
    <t>AAPL131019C00760000</t>
  </si>
  <si>
    <t>AAPL131019P00760000</t>
  </si>
  <si>
    <t>AAPL131019C00765000</t>
  </si>
  <si>
    <t>AAPL131019P00765000</t>
  </si>
  <si>
    <t>AAPL131019C00770000</t>
  </si>
  <si>
    <t>AAPL131019P00770000</t>
  </si>
  <si>
    <t>AAPL131019C00775000</t>
  </si>
  <si>
    <t>AAPL131019P00775000</t>
  </si>
  <si>
    <t>AAPL131019C00780000</t>
  </si>
  <si>
    <t>AAPL131019P00780000</t>
  </si>
  <si>
    <t>AAPL131019C00785000</t>
  </si>
  <si>
    <t>AAPL131019P00785000</t>
  </si>
  <si>
    <t>AAPL131019C00790000</t>
  </si>
  <si>
    <t>AAPL131019P00790000</t>
  </si>
  <si>
    <t>AAPL131019C00795000</t>
  </si>
  <si>
    <t>AAPL131019P00795000</t>
  </si>
  <si>
    <t>AAPL131019C00800000</t>
  </si>
  <si>
    <t>AAPL131019P00800000</t>
  </si>
  <si>
    <t>AAPL131019C00805000</t>
  </si>
  <si>
    <t>AAPL131019P00805000</t>
  </si>
  <si>
    <t>AAPL131019C00810000</t>
  </si>
  <si>
    <t>AAPL131019P00810000</t>
  </si>
  <si>
    <t>AAPL131019C00815000</t>
  </si>
  <si>
    <t>AAPL131019P00815000</t>
  </si>
  <si>
    <t>AAPL131019C00820000</t>
  </si>
  <si>
    <t>AAPL131019P00820000</t>
  </si>
  <si>
    <t>AAPL131019C00825000</t>
  </si>
  <si>
    <t>AAPL131019P00825000</t>
  </si>
  <si>
    <t>AAPL131019C00830000</t>
  </si>
  <si>
    <t>AAPL131019P00830000</t>
  </si>
  <si>
    <t>AAPL131019C00835000</t>
  </si>
  <si>
    <t>AAPL131019P00835000</t>
  </si>
  <si>
    <t>AAPL131019C00840000</t>
  </si>
  <si>
    <t>AAPL131019P00840000</t>
  </si>
  <si>
    <t>AAPL131019C00845000</t>
  </si>
  <si>
    <t>AAPL131019P00845000</t>
  </si>
  <si>
    <t>AAPL131019C00850000</t>
  </si>
  <si>
    <t>AAPL131019P00850000</t>
  </si>
  <si>
    <t>AAPL131019C00855000</t>
  </si>
  <si>
    <t>AAPL131019P00855000</t>
  </si>
  <si>
    <t>AAPL131019C00860000</t>
  </si>
  <si>
    <t>AAPL131019P00860000</t>
  </si>
  <si>
    <t>AAPL131019C00865000</t>
  </si>
  <si>
    <t>AAPL131019P00865000</t>
  </si>
  <si>
    <t>AAPL131019C00870000</t>
  </si>
  <si>
    <t>AAPL131019P00870000</t>
  </si>
  <si>
    <t>AAPL131019C00875000</t>
  </si>
  <si>
    <t>AAPL131019P00875000</t>
  </si>
  <si>
    <t>AAPL131019C00880000</t>
  </si>
  <si>
    <t>AAPL131019P00880000</t>
  </si>
  <si>
    <t>BS CALL PREMIUM</t>
  </si>
  <si>
    <t>BS PUT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</si>
</sst>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00"/>
    <numFmt numFmtId="166" formatCode="0.0000"/>
    <numFmt numFmtId="167" formatCode="0.0"/>
    <numFmt numFmtId="168" formatCode="0.0%"/>
    <numFmt numFmtId="169" formatCode="0.000%"/>
    <numFmt numFmtId="170" formatCode="#,##0_)\x;\(#,##0\)\x;0_)\x;@_)_x"/>
    <numFmt numFmtId="171" formatCode="General_)"/>
    <numFmt numFmtId="172" formatCode="&quot;$&quot;\ #,##0.00;\-&quot;$&quot;\ #,##0.00;&quot;-&quot;"/>
    <numFmt numFmtId="173" formatCode="_(* #,##0_);_(* \(#,##0\);_(* &quot;-&quot;??_);_(@_)"/>
    <numFmt numFmtId="174" formatCode="&quot;$&quot;#,##0.00"/>
    <numFmt numFmtId="175" formatCode="0.00&quot;%&quot;"/>
    <numFmt numFmtId="176" formatCode="#,##0%;[Red]\-#,##0%;&quot; - &quot;"/>
    <numFmt numFmtId="177" formatCode="#,##0.0%;[Red]\-#,##0.0%;&quot; - &quot;"/>
    <numFmt numFmtId="178" formatCode="d\.m\.yy"/>
    <numFmt numFmtId="179" formatCode="_-[$€-2]* #,##0.00_-;\-[$€-2]* #,##0.00_-;_-[$€-2]* &quot;-&quot;??_-"/>
    <numFmt numFmtId="180" formatCode="#,##0.0000"/>
    <numFmt numFmtId="181" formatCode="#,##0.0#;[Red]\ \ \(#,##0.0#\);\ &quot; - &quot;;"/>
    <numFmt numFmtId="182" formatCode="#,##0;[Red]\ \ \(#,##0\);\ &quot; - &quot;;"/>
    <numFmt numFmtId="183" formatCode="#,##0.00;[Red]\ \ \(#,##0.00\);\ &quot; - &quot;;"/>
    <numFmt numFmtId="184" formatCode="_(* #,##0.0000000_);_(* \(#,##0.0000000\);_(* &quot;-&quot;??_);_(@_)"/>
    <numFmt numFmtId="185" formatCode="_(* #,##0.000000000000000000000000000000000000000_);_(* \(#,##0.000000000000000000000000000000000000000\);_(* &quot;-&quot;??_);_(@_)"/>
  </numFmts>
  <fonts count="33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Courier New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ourier New"/>
      <family val="3"/>
    </font>
    <font>
      <sz val="10"/>
      <color rgb="FF0070C0"/>
      <name val="Courier New"/>
      <family val="3"/>
    </font>
    <font>
      <b/>
      <sz val="10"/>
      <name val="Courier New"/>
      <family val="3"/>
    </font>
    <font>
      <sz val="10"/>
      <color theme="1"/>
      <name val="Courier New"/>
      <family val="3"/>
    </font>
    <font>
      <b/>
      <sz val="18"/>
      <name val="Courier New"/>
      <family val="3"/>
    </font>
    <font>
      <sz val="10"/>
      <color theme="1"/>
      <name val="Courier New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9"/>
      <color indexed="12"/>
      <name val="Tahoma"/>
      <family val="2"/>
    </font>
    <font>
      <sz val="10"/>
      <color indexed="12"/>
      <name val="Helv"/>
    </font>
    <font>
      <sz val="9"/>
      <name val="Geneva"/>
    </font>
    <font>
      <sz val="10"/>
      <name val="Geneva"/>
    </font>
    <font>
      <sz val="14"/>
      <name val="Helv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9"/>
      <color indexed="46"/>
      <name val="Arial"/>
      <family val="2"/>
    </font>
    <font>
      <u/>
      <sz val="10"/>
      <color indexed="12"/>
      <name val="Arial"/>
      <family val="2"/>
    </font>
    <font>
      <u/>
      <sz val="6"/>
      <color indexed="12"/>
      <name val="Times New Roman"/>
      <family val="1"/>
    </font>
    <font>
      <u/>
      <sz val="8.5"/>
      <color theme="10"/>
      <name val="Arial"/>
      <family val="2"/>
    </font>
    <font>
      <u/>
      <sz val="10"/>
      <color theme="10"/>
      <name val="Arial"/>
      <family val="2"/>
    </font>
    <font>
      <u/>
      <sz val="6.3"/>
      <color theme="10"/>
      <name val="Courier New"/>
      <family val="2"/>
    </font>
    <font>
      <u/>
      <sz val="10"/>
      <color theme="10"/>
      <name val="Courier New"/>
      <family val="2"/>
    </font>
    <font>
      <sz val="8"/>
      <name val="Arial"/>
      <family val="2"/>
    </font>
    <font>
      <sz val="10"/>
      <color indexed="10"/>
      <name val="Courier"/>
      <family val="3"/>
    </font>
    <font>
      <b/>
      <sz val="18"/>
      <color indexed="62"/>
      <name val="Cambria"/>
      <family val="2"/>
    </font>
    <font>
      <sz val="10"/>
      <name val="Courier"/>
      <family val="3"/>
    </font>
    <font>
      <sz val="11"/>
      <color theme="1"/>
      <name val="Calibri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4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</borders>
  <cellStyleXfs count="97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2" fillId="3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3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6" borderId="0" applyNumberFormat="0" applyBorder="0" applyAlignment="0" applyProtection="0"/>
    <xf numFmtId="0" fontId="13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3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169" fontId="14" fillId="10" borderId="0"/>
    <xf numFmtId="171" fontId="15" fillId="0" borderId="0"/>
    <xf numFmtId="171" fontId="15" fillId="0" borderId="0"/>
    <xf numFmtId="172" fontId="2" fillId="0" borderId="0" applyFont="0" applyFill="0" applyBorder="0" applyProtection="0">
      <alignment horizontal="right"/>
    </xf>
    <xf numFmtId="43" fontId="16" fillId="0" borderId="0" applyFont="0" applyFill="0" applyBorder="0" applyAlignment="0" applyProtection="0"/>
    <xf numFmtId="173" fontId="2" fillId="0" borderId="0" applyFont="0" applyFill="0" applyBorder="0" applyProtection="0">
      <alignment horizontal="right"/>
    </xf>
    <xf numFmtId="174" fontId="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2" fillId="0" borderId="0" applyFont="0" applyFill="0" applyBorder="0" applyProtection="0">
      <alignment horizontal="right"/>
    </xf>
    <xf numFmtId="175" fontId="2" fillId="0" borderId="0" applyFont="0" applyFill="0" applyBorder="0" applyAlignment="0" applyProtection="0"/>
    <xf numFmtId="176" fontId="2" fillId="0" borderId="0" applyFont="0" applyFill="0" applyBorder="0" applyProtection="0">
      <alignment horizontal="right"/>
    </xf>
    <xf numFmtId="176" fontId="2" fillId="0" borderId="0" applyFont="0" applyFill="0" applyBorder="0" applyProtection="0">
      <alignment horizontal="right"/>
    </xf>
    <xf numFmtId="177" fontId="2" fillId="0" borderId="0" applyFont="0" applyFill="0" applyBorder="0" applyProtection="0">
      <alignment horizontal="right"/>
    </xf>
    <xf numFmtId="177" fontId="2" fillId="0" borderId="0" applyFont="0" applyFill="0" applyBorder="0" applyProtection="0">
      <alignment horizontal="right"/>
    </xf>
    <xf numFmtId="177" fontId="2" fillId="0" borderId="0" applyFont="0" applyFill="0" applyBorder="0" applyProtection="0">
      <alignment horizontal="right"/>
    </xf>
    <xf numFmtId="3" fontId="2" fillId="0" borderId="0" applyFont="0" applyFill="0" applyBorder="0" applyAlignment="0" applyProtection="0"/>
    <xf numFmtId="171" fontId="15" fillId="0" borderId="0"/>
    <xf numFmtId="171" fontId="15" fillId="0" borderId="0"/>
    <xf numFmtId="171" fontId="15" fillId="0" borderId="0"/>
    <xf numFmtId="171" fontId="15" fillId="0" borderId="0"/>
    <xf numFmtId="44" fontId="2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2" fillId="0" borderId="0" applyFont="0" applyFill="0" applyBorder="0" applyAlignment="0" applyProtection="0"/>
    <xf numFmtId="178" fontId="18" fillId="0" borderId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179" fontId="2" fillId="0" borderId="0" applyFont="0" applyFill="0" applyBorder="0" applyAlignment="0" applyProtection="0"/>
    <xf numFmtId="180" fontId="20" fillId="14" borderId="2">
      <alignment horizontal="center"/>
    </xf>
    <xf numFmtId="2" fontId="2" fillId="0" borderId="0" applyFont="0" applyFill="0" applyBorder="0" applyAlignment="0" applyProtection="0"/>
    <xf numFmtId="0" fontId="21" fillId="15" borderId="3">
      <alignment horizontal="left"/>
    </xf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8" fillId="0" borderId="0"/>
    <xf numFmtId="0" fontId="2" fillId="0" borderId="0"/>
    <xf numFmtId="0" fontId="2" fillId="0" borderId="0"/>
    <xf numFmtId="0" fontId="11" fillId="0" borderId="0"/>
    <xf numFmtId="0" fontId="11" fillId="0" borderId="0"/>
    <xf numFmtId="0" fontId="11" fillId="0" borderId="0"/>
    <xf numFmtId="181" fontId="2" fillId="0" borderId="0" applyFont="0" applyFill="0" applyBorder="0" applyAlignment="0" applyProtection="0">
      <protection locked="0"/>
    </xf>
    <xf numFmtId="1" fontId="2" fillId="0" borderId="0" applyFont="0" applyFill="0" applyBorder="0" applyAlignment="0" applyProtection="0">
      <protection locked="0"/>
    </xf>
    <xf numFmtId="182" fontId="2" fillId="0" borderId="0"/>
    <xf numFmtId="183" fontId="2" fillId="0" borderId="0"/>
    <xf numFmtId="181" fontId="2" fillId="0" borderId="0"/>
    <xf numFmtId="165" fontId="2" fillId="14" borderId="2" applyProtection="0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10" fontId="2" fillId="0" borderId="0" applyFont="0" applyFill="0" applyBorder="0" applyProtection="0">
      <alignment horizontal="right" indent="1"/>
    </xf>
    <xf numFmtId="167" fontId="29" fillId="0" borderId="0">
      <alignment horizontal="center"/>
    </xf>
    <xf numFmtId="0" fontId="30" fillId="0" borderId="0" applyNumberFormat="0" applyFill="0" applyBorder="0" applyAlignment="0" applyProtection="0"/>
    <xf numFmtId="0" fontId="31" fillId="0" borderId="0">
      <alignment vertical="center"/>
    </xf>
    <xf numFmtId="2" fontId="2" fillId="0" borderId="0" applyBorder="0">
      <alignment horizontal="center"/>
    </xf>
    <xf numFmtId="0" fontId="32" fillId="0" borderId="0">
      <alignment vertical="center"/>
    </xf>
    <xf numFmtId="185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9" fontId="20" fillId="0" borderId="0" applyNumberFormat="0">
      <protection locked="0"/>
    </xf>
  </cellStyleXfs>
  <cellXfs count="21">
    <xf numFmtId="0" fontId="0" fillId="0" borderId="0" xfId="0"/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" fontId="8" fillId="2" borderId="1" xfId="0" applyNumberFormat="1" applyFont="1" applyFill="1" applyBorder="1" applyAlignment="1">
      <alignment horizontal="center" vertical="center" wrapText="1"/>
    </xf>
    <xf numFmtId="4" fontId="6" fillId="0" borderId="1" xfId="0" applyNumberFormat="1" applyFont="1" applyBorder="1"/>
    <xf numFmtId="164" fontId="8" fillId="2" borderId="1" xfId="0" applyNumberFormat="1" applyFont="1" applyFill="1" applyBorder="1" applyAlignment="1">
      <alignment horizontal="center" vertical="center" wrapText="1"/>
    </xf>
    <xf numFmtId="164" fontId="6" fillId="0" borderId="1" xfId="0" applyNumberFormat="1" applyFont="1" applyBorder="1"/>
    <xf numFmtId="164" fontId="7" fillId="0" borderId="1" xfId="0" applyNumberFormat="1" applyFont="1" applyBorder="1" applyAlignment="1">
      <alignment horizontal="center"/>
    </xf>
    <xf numFmtId="166" fontId="9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6" fillId="0" borderId="0" xfId="0" quotePrefix="1" applyFont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0" fontId="9" fillId="0" borderId="1" xfId="1" applyNumberFormat="1" applyFont="1" applyBorder="1" applyAlignment="1">
      <alignment horizontal="right" vertical="center"/>
    </xf>
    <xf numFmtId="10" fontId="8" fillId="2" borderId="1" xfId="0" applyNumberFormat="1" applyFont="1" applyFill="1" applyBorder="1" applyAlignment="1">
      <alignment horizontal="center" vertical="center" wrapText="1"/>
    </xf>
    <xf numFmtId="10" fontId="6" fillId="0" borderId="1" xfId="0" applyNumberFormat="1" applyFont="1" applyBorder="1"/>
    <xf numFmtId="0" fontId="10" fillId="0" borderId="0" xfId="0" applyFont="1" applyAlignment="1">
      <alignment horizontal="left" vertical="center"/>
    </xf>
    <xf numFmtId="10" fontId="7" fillId="0" borderId="1" xfId="1" applyNumberFormat="1" applyFont="1" applyBorder="1" applyAlignment="1">
      <alignment horizontal="right"/>
    </xf>
  </cellXfs>
  <cellStyles count="97">
    <cellStyle name="_Multiple" xfId="7"/>
    <cellStyle name="Accent1 - 20%" xfId="8"/>
    <cellStyle name="Accent1 - 40%" xfId="9"/>
    <cellStyle name="Accent1 - 60%" xfId="10"/>
    <cellStyle name="Accent2 - 20%" xfId="11"/>
    <cellStyle name="Accent2 - 40%" xfId="12"/>
    <cellStyle name="Accent2 - 60%" xfId="13"/>
    <cellStyle name="Accent3 - 20%" xfId="14"/>
    <cellStyle name="Accent3 - 40%" xfId="15"/>
    <cellStyle name="Accent3 - 60%" xfId="16"/>
    <cellStyle name="Accent4 - 20%" xfId="17"/>
    <cellStyle name="Accent4 - 40%" xfId="18"/>
    <cellStyle name="Accent4 - 60%" xfId="19"/>
    <cellStyle name="Accent5 - 20%" xfId="20"/>
    <cellStyle name="Accent5 - 40%" xfId="21"/>
    <cellStyle name="Accent5 - 60%" xfId="22"/>
    <cellStyle name="Accent6 - 20%" xfId="23"/>
    <cellStyle name="Accent6 - 40%" xfId="24"/>
    <cellStyle name="Accent6 - 60%" xfId="25"/>
    <cellStyle name="calc" xfId="26"/>
    <cellStyle name="Comma  - Style1" xfId="27"/>
    <cellStyle name="Comma  - Style2" xfId="28"/>
    <cellStyle name="Comma 10" xfId="29"/>
    <cellStyle name="Comma 11" xfId="30"/>
    <cellStyle name="Comma 12" xfId="31"/>
    <cellStyle name="Comma 13" xfId="32"/>
    <cellStyle name="Comma 14" xfId="33"/>
    <cellStyle name="Comma 2" xfId="34"/>
    <cellStyle name="Comma 2 2" xfId="35"/>
    <cellStyle name="Comma 2 3" xfId="36"/>
    <cellStyle name="Comma 3" xfId="37"/>
    <cellStyle name="Comma 3 2" xfId="38"/>
    <cellStyle name="Comma 4" xfId="39"/>
    <cellStyle name="Comma 4 2" xfId="40"/>
    <cellStyle name="Comma 5" xfId="41"/>
    <cellStyle name="Comma 6" xfId="42"/>
    <cellStyle name="Comma 7" xfId="43"/>
    <cellStyle name="Comma 8" xfId="44"/>
    <cellStyle name="Comma 9" xfId="45"/>
    <cellStyle name="Comma0" xfId="46"/>
    <cellStyle name="Curren - Style5" xfId="47"/>
    <cellStyle name="Curren - Style6" xfId="48"/>
    <cellStyle name="Curren - Style7" xfId="49"/>
    <cellStyle name="Curren - Style8" xfId="50"/>
    <cellStyle name="Currency 2" xfId="51"/>
    <cellStyle name="Currency 3" xfId="52"/>
    <cellStyle name="Currency 4" xfId="93"/>
    <cellStyle name="Currency 5" xfId="94"/>
    <cellStyle name="Currency0" xfId="53"/>
    <cellStyle name="Date" xfId="54"/>
    <cellStyle name="Emphasis 1" xfId="55"/>
    <cellStyle name="Emphasis 2" xfId="56"/>
    <cellStyle name="Emphasis 3" xfId="57"/>
    <cellStyle name="Euro" xfId="58"/>
    <cellStyle name="FeedData" xfId="59"/>
    <cellStyle name="Fixed" xfId="60"/>
    <cellStyle name="Header" xfId="61"/>
    <cellStyle name="Hyperlink 2" xfId="62"/>
    <cellStyle name="Hyperlink 2 2" xfId="63"/>
    <cellStyle name="Hyperlink 3" xfId="64"/>
    <cellStyle name="Hyperlink 4" xfId="65"/>
    <cellStyle name="Hyperlink 5" xfId="66"/>
    <cellStyle name="Hyperlink 6" xfId="67"/>
    <cellStyle name="Hyperlink_VDX-Plot.xls Chart 1" xfId="95"/>
    <cellStyle name="Normal" xfId="0" builtinId="0"/>
    <cellStyle name="Normal 2" xfId="2"/>
    <cellStyle name="Normal 2 2" xfId="3"/>
    <cellStyle name="Normal 2 2 2" xfId="68"/>
    <cellStyle name="Normal 2 3" xfId="69"/>
    <cellStyle name="Normal 3" xfId="70"/>
    <cellStyle name="Normal 3 2" xfId="71"/>
    <cellStyle name="Normal 4" xfId="4"/>
    <cellStyle name="Normal 5" xfId="72"/>
    <cellStyle name="Normal 6" xfId="73"/>
    <cellStyle name="Normal 7" xfId="74"/>
    <cellStyle name="Normal 8" xfId="75"/>
    <cellStyle name="number" xfId="76"/>
    <cellStyle name="number 2" xfId="77"/>
    <cellStyle name="number(0)" xfId="78"/>
    <cellStyle name="number(2)" xfId="79"/>
    <cellStyle name="number_3 Stage_FCFF_Valuation_bb_v15" xfId="80"/>
    <cellStyle name="Outline Grey" xfId="81"/>
    <cellStyle name="Percent" xfId="1" builtinId="5"/>
    <cellStyle name="Percent 2" xfId="82"/>
    <cellStyle name="Percent 2 2" xfId="83"/>
    <cellStyle name="Percent 2 2 2" xfId="84"/>
    <cellStyle name="Percent 3" xfId="5"/>
    <cellStyle name="Percent 3 2" xfId="6"/>
    <cellStyle name="Percent 4" xfId="85"/>
    <cellStyle name="Percent 4 2" xfId="86"/>
    <cellStyle name="Percent(2)" xfId="87"/>
    <cellStyle name="RED" xfId="88"/>
    <cellStyle name="Sheet Title" xfId="89"/>
    <cellStyle name="Style 1" xfId="90"/>
    <cellStyle name="unprotect" xfId="96"/>
    <cellStyle name="XX" xfId="91"/>
    <cellStyle name="표준 2" xfId="9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7823745321309"/>
          <c:y val="0.12325122929244368"/>
          <c:w val="0.7465975098848997"/>
          <c:h val="0.63808228316813564"/>
        </c:manualLayout>
      </c:layout>
      <c:lineChart>
        <c:grouping val="standard"/>
        <c:varyColors val="0"/>
        <c:ser>
          <c:idx val="1"/>
          <c:order val="1"/>
          <c:tx>
            <c:v>CALL IMPLIED VOLATILITY</c:v>
          </c:tx>
          <c:marker>
            <c:symbol val="none"/>
          </c:marker>
          <c:cat>
            <c:numRef>
              <c:f>[0]!STRIKE_AXIS</c:f>
              <c:numCache>
                <c:formatCode>#,##0.00</c:formatCode>
                <c:ptCount val="129"/>
                <c:pt idx="0">
                  <c:v>235</c:v>
                </c:pt>
                <c:pt idx="1">
                  <c:v>240</c:v>
                </c:pt>
                <c:pt idx="2">
                  <c:v>250</c:v>
                </c:pt>
                <c:pt idx="3">
                  <c:v>255</c:v>
                </c:pt>
                <c:pt idx="4">
                  <c:v>260</c:v>
                </c:pt>
                <c:pt idx="5">
                  <c:v>265</c:v>
                </c:pt>
                <c:pt idx="6">
                  <c:v>270</c:v>
                </c:pt>
                <c:pt idx="7">
                  <c:v>275</c:v>
                </c:pt>
                <c:pt idx="8">
                  <c:v>280</c:v>
                </c:pt>
                <c:pt idx="9">
                  <c:v>285</c:v>
                </c:pt>
                <c:pt idx="10">
                  <c:v>290</c:v>
                </c:pt>
                <c:pt idx="11">
                  <c:v>295</c:v>
                </c:pt>
                <c:pt idx="12">
                  <c:v>300</c:v>
                </c:pt>
                <c:pt idx="13">
                  <c:v>305</c:v>
                </c:pt>
                <c:pt idx="14">
                  <c:v>310</c:v>
                </c:pt>
                <c:pt idx="15">
                  <c:v>315</c:v>
                </c:pt>
                <c:pt idx="16">
                  <c:v>320</c:v>
                </c:pt>
                <c:pt idx="17">
                  <c:v>325</c:v>
                </c:pt>
                <c:pt idx="18">
                  <c:v>330</c:v>
                </c:pt>
                <c:pt idx="19">
                  <c:v>335</c:v>
                </c:pt>
                <c:pt idx="20">
                  <c:v>340</c:v>
                </c:pt>
                <c:pt idx="21">
                  <c:v>345</c:v>
                </c:pt>
                <c:pt idx="22">
                  <c:v>350</c:v>
                </c:pt>
                <c:pt idx="23">
                  <c:v>355</c:v>
                </c:pt>
                <c:pt idx="24">
                  <c:v>360</c:v>
                </c:pt>
                <c:pt idx="25">
                  <c:v>365</c:v>
                </c:pt>
                <c:pt idx="26">
                  <c:v>370</c:v>
                </c:pt>
                <c:pt idx="27">
                  <c:v>375</c:v>
                </c:pt>
                <c:pt idx="28">
                  <c:v>380</c:v>
                </c:pt>
                <c:pt idx="29">
                  <c:v>385</c:v>
                </c:pt>
                <c:pt idx="30">
                  <c:v>390</c:v>
                </c:pt>
                <c:pt idx="31">
                  <c:v>395</c:v>
                </c:pt>
                <c:pt idx="32">
                  <c:v>400</c:v>
                </c:pt>
                <c:pt idx="33">
                  <c:v>405</c:v>
                </c:pt>
                <c:pt idx="34">
                  <c:v>410</c:v>
                </c:pt>
                <c:pt idx="35">
                  <c:v>415</c:v>
                </c:pt>
                <c:pt idx="36">
                  <c:v>420</c:v>
                </c:pt>
                <c:pt idx="37">
                  <c:v>425</c:v>
                </c:pt>
                <c:pt idx="38">
                  <c:v>430</c:v>
                </c:pt>
                <c:pt idx="39">
                  <c:v>435</c:v>
                </c:pt>
                <c:pt idx="40">
                  <c:v>440</c:v>
                </c:pt>
                <c:pt idx="41">
                  <c:v>445</c:v>
                </c:pt>
                <c:pt idx="42">
                  <c:v>450</c:v>
                </c:pt>
                <c:pt idx="43">
                  <c:v>455</c:v>
                </c:pt>
                <c:pt idx="44">
                  <c:v>460</c:v>
                </c:pt>
                <c:pt idx="45">
                  <c:v>465</c:v>
                </c:pt>
                <c:pt idx="46">
                  <c:v>470</c:v>
                </c:pt>
                <c:pt idx="47">
                  <c:v>475</c:v>
                </c:pt>
                <c:pt idx="48">
                  <c:v>480</c:v>
                </c:pt>
                <c:pt idx="49">
                  <c:v>485</c:v>
                </c:pt>
                <c:pt idx="50">
                  <c:v>490</c:v>
                </c:pt>
                <c:pt idx="51">
                  <c:v>495</c:v>
                </c:pt>
                <c:pt idx="52">
                  <c:v>500</c:v>
                </c:pt>
                <c:pt idx="53">
                  <c:v>505</c:v>
                </c:pt>
                <c:pt idx="54">
                  <c:v>510</c:v>
                </c:pt>
                <c:pt idx="55">
                  <c:v>515</c:v>
                </c:pt>
                <c:pt idx="56">
                  <c:v>520</c:v>
                </c:pt>
                <c:pt idx="57">
                  <c:v>525</c:v>
                </c:pt>
                <c:pt idx="58">
                  <c:v>530</c:v>
                </c:pt>
                <c:pt idx="59">
                  <c:v>535</c:v>
                </c:pt>
                <c:pt idx="60">
                  <c:v>540</c:v>
                </c:pt>
                <c:pt idx="61">
                  <c:v>545</c:v>
                </c:pt>
                <c:pt idx="62">
                  <c:v>550</c:v>
                </c:pt>
                <c:pt idx="63">
                  <c:v>555</c:v>
                </c:pt>
                <c:pt idx="64">
                  <c:v>560</c:v>
                </c:pt>
                <c:pt idx="65">
                  <c:v>565</c:v>
                </c:pt>
                <c:pt idx="66">
                  <c:v>570</c:v>
                </c:pt>
                <c:pt idx="67">
                  <c:v>575</c:v>
                </c:pt>
                <c:pt idx="68">
                  <c:v>580</c:v>
                </c:pt>
                <c:pt idx="69">
                  <c:v>585</c:v>
                </c:pt>
                <c:pt idx="70">
                  <c:v>590</c:v>
                </c:pt>
                <c:pt idx="71">
                  <c:v>595</c:v>
                </c:pt>
                <c:pt idx="72">
                  <c:v>600</c:v>
                </c:pt>
                <c:pt idx="73">
                  <c:v>605</c:v>
                </c:pt>
                <c:pt idx="74">
                  <c:v>610</c:v>
                </c:pt>
                <c:pt idx="75">
                  <c:v>615</c:v>
                </c:pt>
                <c:pt idx="76">
                  <c:v>620</c:v>
                </c:pt>
                <c:pt idx="77">
                  <c:v>625</c:v>
                </c:pt>
                <c:pt idx="78">
                  <c:v>630</c:v>
                </c:pt>
                <c:pt idx="79">
                  <c:v>635</c:v>
                </c:pt>
                <c:pt idx="80">
                  <c:v>640</c:v>
                </c:pt>
                <c:pt idx="81">
                  <c:v>645</c:v>
                </c:pt>
                <c:pt idx="82">
                  <c:v>650</c:v>
                </c:pt>
                <c:pt idx="83">
                  <c:v>655</c:v>
                </c:pt>
                <c:pt idx="84">
                  <c:v>660</c:v>
                </c:pt>
                <c:pt idx="85">
                  <c:v>665</c:v>
                </c:pt>
                <c:pt idx="86">
                  <c:v>670</c:v>
                </c:pt>
                <c:pt idx="87">
                  <c:v>675</c:v>
                </c:pt>
                <c:pt idx="88">
                  <c:v>680</c:v>
                </c:pt>
                <c:pt idx="89">
                  <c:v>685</c:v>
                </c:pt>
                <c:pt idx="90">
                  <c:v>690</c:v>
                </c:pt>
                <c:pt idx="91">
                  <c:v>695</c:v>
                </c:pt>
                <c:pt idx="92">
                  <c:v>700</c:v>
                </c:pt>
                <c:pt idx="93">
                  <c:v>705</c:v>
                </c:pt>
                <c:pt idx="94">
                  <c:v>710</c:v>
                </c:pt>
                <c:pt idx="95">
                  <c:v>715</c:v>
                </c:pt>
                <c:pt idx="96">
                  <c:v>720</c:v>
                </c:pt>
                <c:pt idx="97">
                  <c:v>725</c:v>
                </c:pt>
                <c:pt idx="98">
                  <c:v>730</c:v>
                </c:pt>
                <c:pt idx="99">
                  <c:v>735</c:v>
                </c:pt>
                <c:pt idx="100">
                  <c:v>740</c:v>
                </c:pt>
                <c:pt idx="101">
                  <c:v>745</c:v>
                </c:pt>
                <c:pt idx="102">
                  <c:v>750</c:v>
                </c:pt>
                <c:pt idx="103">
                  <c:v>755</c:v>
                </c:pt>
                <c:pt idx="104">
                  <c:v>760</c:v>
                </c:pt>
                <c:pt idx="105">
                  <c:v>765</c:v>
                </c:pt>
                <c:pt idx="106">
                  <c:v>770</c:v>
                </c:pt>
                <c:pt idx="107">
                  <c:v>775</c:v>
                </c:pt>
                <c:pt idx="108">
                  <c:v>780</c:v>
                </c:pt>
                <c:pt idx="109">
                  <c:v>785</c:v>
                </c:pt>
                <c:pt idx="110">
                  <c:v>790</c:v>
                </c:pt>
                <c:pt idx="111">
                  <c:v>795</c:v>
                </c:pt>
                <c:pt idx="112">
                  <c:v>800</c:v>
                </c:pt>
                <c:pt idx="113">
                  <c:v>805</c:v>
                </c:pt>
                <c:pt idx="114">
                  <c:v>810</c:v>
                </c:pt>
                <c:pt idx="115">
                  <c:v>815</c:v>
                </c:pt>
                <c:pt idx="116">
                  <c:v>820</c:v>
                </c:pt>
                <c:pt idx="117">
                  <c:v>825</c:v>
                </c:pt>
                <c:pt idx="118">
                  <c:v>830</c:v>
                </c:pt>
                <c:pt idx="119">
                  <c:v>835</c:v>
                </c:pt>
                <c:pt idx="120">
                  <c:v>840</c:v>
                </c:pt>
                <c:pt idx="121">
                  <c:v>845</c:v>
                </c:pt>
                <c:pt idx="122">
                  <c:v>850</c:v>
                </c:pt>
                <c:pt idx="123">
                  <c:v>855</c:v>
                </c:pt>
                <c:pt idx="124">
                  <c:v>860</c:v>
                </c:pt>
                <c:pt idx="125">
                  <c:v>865</c:v>
                </c:pt>
                <c:pt idx="126">
                  <c:v>870</c:v>
                </c:pt>
                <c:pt idx="127">
                  <c:v>875</c:v>
                </c:pt>
                <c:pt idx="128">
                  <c:v>880</c:v>
                </c:pt>
              </c:numCache>
            </c:numRef>
          </c:cat>
          <c:val>
            <c:numRef>
              <c:f>[0]!CALL_VOLATILITY_AXIS</c:f>
              <c:numCache>
                <c:formatCode>0.00%</c:formatCode>
                <c:ptCount val="1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0.54930385761284217</c:v>
                </c:pt>
                <c:pt idx="4">
                  <c:v>0.54790166469293755</c:v>
                </c:pt>
                <c:pt idx="5">
                  <c:v>#N/A</c:v>
                </c:pt>
                <c:pt idx="6">
                  <c:v>0.45049113781040245</c:v>
                </c:pt>
                <c:pt idx="7">
                  <c:v>0.43859697165261574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1.2770372537272592</c:v>
                </c:pt>
                <c:pt idx="12">
                  <c:v>0.21758558919352144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0.17054828145587489</c:v>
                </c:pt>
                <c:pt idx="20">
                  <c:v>0.27515983919599979</c:v>
                </c:pt>
                <c:pt idx="21">
                  <c:v>#N/A</c:v>
                </c:pt>
                <c:pt idx="22">
                  <c:v>0.26383452495761872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0.30348646590019723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0.2057606496978438</c:v>
                </c:pt>
                <c:pt idx="31">
                  <c:v>0.27471747984849748</c:v>
                </c:pt>
                <c:pt idx="32">
                  <c:v>#N/A</c:v>
                </c:pt>
                <c:pt idx="33">
                  <c:v>0.23530940353933333</c:v>
                </c:pt>
                <c:pt idx="34">
                  <c:v>0.24257249206444595</c:v>
                </c:pt>
                <c:pt idx="35">
                  <c:v>0.30915224458196905</c:v>
                </c:pt>
                <c:pt idx="36">
                  <c:v>0.21719441522453015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0.21318769649922972</c:v>
                </c:pt>
                <c:pt idx="41">
                  <c:v>#N/A</c:v>
                </c:pt>
                <c:pt idx="42">
                  <c:v>#N/A</c:v>
                </c:pt>
                <c:pt idx="43">
                  <c:v>0.22712564922389869</c:v>
                </c:pt>
                <c:pt idx="44">
                  <c:v>0.20986577130106648</c:v>
                </c:pt>
                <c:pt idx="45">
                  <c:v>0.21205789924697899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0.21309965263467467</c:v>
                </c:pt>
                <c:pt idx="51">
                  <c:v>0.22283730584323633</c:v>
                </c:pt>
                <c:pt idx="52">
                  <c:v>#N/A</c:v>
                </c:pt>
                <c:pt idx="53">
                  <c:v>0.21588820380923032</c:v>
                </c:pt>
                <c:pt idx="54">
                  <c:v>0.22166324824985401</c:v>
                </c:pt>
                <c:pt idx="55">
                  <c:v>0.2220604591923914</c:v>
                </c:pt>
                <c:pt idx="56">
                  <c:v>0.21350827587844159</c:v>
                </c:pt>
                <c:pt idx="57">
                  <c:v>0.21382052756659456</c:v>
                </c:pt>
                <c:pt idx="58">
                  <c:v>0.22102984553857724</c:v>
                </c:pt>
                <c:pt idx="59">
                  <c:v>#N/A</c:v>
                </c:pt>
                <c:pt idx="60">
                  <c:v>0.21498286815846918</c:v>
                </c:pt>
                <c:pt idx="61">
                  <c:v>0.21776630441825107</c:v>
                </c:pt>
                <c:pt idx="62">
                  <c:v>0.21668756547728879</c:v>
                </c:pt>
                <c:pt idx="63">
                  <c:v>0.22000152647291846</c:v>
                </c:pt>
                <c:pt idx="64">
                  <c:v>0.21336498312538382</c:v>
                </c:pt>
                <c:pt idx="65">
                  <c:v>0.22610918043254791</c:v>
                </c:pt>
                <c:pt idx="66">
                  <c:v>0.21384161588990272</c:v>
                </c:pt>
                <c:pt idx="67">
                  <c:v>#N/A</c:v>
                </c:pt>
                <c:pt idx="68">
                  <c:v>0.21438356504891412</c:v>
                </c:pt>
                <c:pt idx="69">
                  <c:v>0.21761201963412105</c:v>
                </c:pt>
                <c:pt idx="70">
                  <c:v>0.216467923901489</c:v>
                </c:pt>
                <c:pt idx="71">
                  <c:v>0.22230144827551163</c:v>
                </c:pt>
                <c:pt idx="72">
                  <c:v>0.21804756270786468</c:v>
                </c:pt>
                <c:pt idx="73">
                  <c:v>0.21769007464612641</c:v>
                </c:pt>
                <c:pt idx="74">
                  <c:v>0.22419624647135464</c:v>
                </c:pt>
                <c:pt idx="75">
                  <c:v>0.2263839075891082</c:v>
                </c:pt>
                <c:pt idx="76">
                  <c:v>0.22508046438975718</c:v>
                </c:pt>
                <c:pt idx="77">
                  <c:v>0.22796817653745358</c:v>
                </c:pt>
                <c:pt idx="78">
                  <c:v>0.22248917191667519</c:v>
                </c:pt>
                <c:pt idx="79">
                  <c:v>0.22406466865245814</c:v>
                </c:pt>
                <c:pt idx="80">
                  <c:v>0.2295690167643844</c:v>
                </c:pt>
                <c:pt idx="81">
                  <c:v>0.22945039433462455</c:v>
                </c:pt>
                <c:pt idx="82">
                  <c:v>0.22439803479077144</c:v>
                </c:pt>
                <c:pt idx="83">
                  <c:v>0.23037088074139178</c:v>
                </c:pt>
                <c:pt idx="84">
                  <c:v>0.22391773689010547</c:v>
                </c:pt>
                <c:pt idx="85">
                  <c:v>0.22907727136194508</c:v>
                </c:pt>
                <c:pt idx="86">
                  <c:v>0.22452042154669918</c:v>
                </c:pt>
                <c:pt idx="87">
                  <c:v>0.22974107090207366</c:v>
                </c:pt>
                <c:pt idx="88">
                  <c:v>0.22738965425069546</c:v>
                </c:pt>
                <c:pt idx="89">
                  <c:v>0.22817108430257932</c:v>
                </c:pt>
                <c:pt idx="90">
                  <c:v>0.23006351284872001</c:v>
                </c:pt>
                <c:pt idx="91">
                  <c:v>0.26002744702960517</c:v>
                </c:pt>
                <c:pt idx="92">
                  <c:v>0.23010628363373867</c:v>
                </c:pt>
                <c:pt idx="93">
                  <c:v>0.23831533149644971</c:v>
                </c:pt>
                <c:pt idx="94">
                  <c:v>0.23344410018367476</c:v>
                </c:pt>
                <c:pt idx="95">
                  <c:v>0.24259278782501972</c:v>
                </c:pt>
                <c:pt idx="96">
                  <c:v>0.23963655947390103</c:v>
                </c:pt>
                <c:pt idx="97">
                  <c:v>0.25578665693418456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0.2429673080458126</c:v>
                </c:pt>
                <c:pt idx="106">
                  <c:v>0.24353381896567325</c:v>
                </c:pt>
                <c:pt idx="107">
                  <c:v>0.2446501174368019</c:v>
                </c:pt>
                <c:pt idx="108">
                  <c:v>0.24638475912141428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0.26576369533897465</c:v>
                </c:pt>
                <c:pt idx="117">
                  <c:v>0.27218124794576914</c:v>
                </c:pt>
                <c:pt idx="118">
                  <c:v>0.27169145445801507</c:v>
                </c:pt>
                <c:pt idx="119">
                  <c:v>0.27462689954116071</c:v>
                </c:pt>
                <c:pt idx="120">
                  <c:v>0.2700388336866924</c:v>
                </c:pt>
                <c:pt idx="121">
                  <c:v>0.28753248304669021</c:v>
                </c:pt>
                <c:pt idx="122">
                  <c:v>0.25989599436649397</c:v>
                </c:pt>
                <c:pt idx="123">
                  <c:v>0.25831145177388487</c:v>
                </c:pt>
                <c:pt idx="124">
                  <c:v>0.28180076426229678</c:v>
                </c:pt>
                <c:pt idx="125">
                  <c:v>0.29050311726347694</c:v>
                </c:pt>
                <c:pt idx="126">
                  <c:v>0.29123860148338787</c:v>
                </c:pt>
                <c:pt idx="127">
                  <c:v>0.28483428783045772</c:v>
                </c:pt>
                <c:pt idx="128">
                  <c:v>0.27751052128844439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2784"/>
        <c:axId val="138794624"/>
      </c:lineChart>
      <c:lineChart>
        <c:grouping val="standard"/>
        <c:varyColors val="0"/>
        <c:ser>
          <c:idx val="0"/>
          <c:order val="0"/>
          <c:tx>
            <c:v>VOLUME</c:v>
          </c:tx>
          <c:marker>
            <c:symbol val="none"/>
          </c:marker>
          <c:cat>
            <c:numRef>
              <c:f>[0]!STRIKE_AXIS</c:f>
              <c:numCache>
                <c:formatCode>#,##0.00</c:formatCode>
                <c:ptCount val="129"/>
                <c:pt idx="0">
                  <c:v>235</c:v>
                </c:pt>
                <c:pt idx="1">
                  <c:v>240</c:v>
                </c:pt>
                <c:pt idx="2">
                  <c:v>250</c:v>
                </c:pt>
                <c:pt idx="3">
                  <c:v>255</c:v>
                </c:pt>
                <c:pt idx="4">
                  <c:v>260</c:v>
                </c:pt>
                <c:pt idx="5">
                  <c:v>265</c:v>
                </c:pt>
                <c:pt idx="6">
                  <c:v>270</c:v>
                </c:pt>
                <c:pt idx="7">
                  <c:v>275</c:v>
                </c:pt>
                <c:pt idx="8">
                  <c:v>280</c:v>
                </c:pt>
                <c:pt idx="9">
                  <c:v>285</c:v>
                </c:pt>
                <c:pt idx="10">
                  <c:v>290</c:v>
                </c:pt>
                <c:pt idx="11">
                  <c:v>295</c:v>
                </c:pt>
                <c:pt idx="12">
                  <c:v>300</c:v>
                </c:pt>
                <c:pt idx="13">
                  <c:v>305</c:v>
                </c:pt>
                <c:pt idx="14">
                  <c:v>310</c:v>
                </c:pt>
                <c:pt idx="15">
                  <c:v>315</c:v>
                </c:pt>
                <c:pt idx="16">
                  <c:v>320</c:v>
                </c:pt>
                <c:pt idx="17">
                  <c:v>325</c:v>
                </c:pt>
                <c:pt idx="18">
                  <c:v>330</c:v>
                </c:pt>
                <c:pt idx="19">
                  <c:v>335</c:v>
                </c:pt>
                <c:pt idx="20">
                  <c:v>340</c:v>
                </c:pt>
                <c:pt idx="21">
                  <c:v>345</c:v>
                </c:pt>
                <c:pt idx="22">
                  <c:v>350</c:v>
                </c:pt>
                <c:pt idx="23">
                  <c:v>355</c:v>
                </c:pt>
                <c:pt idx="24">
                  <c:v>360</c:v>
                </c:pt>
                <c:pt idx="25">
                  <c:v>365</c:v>
                </c:pt>
                <c:pt idx="26">
                  <c:v>370</c:v>
                </c:pt>
                <c:pt idx="27">
                  <c:v>375</c:v>
                </c:pt>
                <c:pt idx="28">
                  <c:v>380</c:v>
                </c:pt>
                <c:pt idx="29">
                  <c:v>385</c:v>
                </c:pt>
                <c:pt idx="30">
                  <c:v>390</c:v>
                </c:pt>
                <c:pt idx="31">
                  <c:v>395</c:v>
                </c:pt>
                <c:pt idx="32">
                  <c:v>400</c:v>
                </c:pt>
                <c:pt idx="33">
                  <c:v>405</c:v>
                </c:pt>
                <c:pt idx="34">
                  <c:v>410</c:v>
                </c:pt>
                <c:pt idx="35">
                  <c:v>415</c:v>
                </c:pt>
                <c:pt idx="36">
                  <c:v>420</c:v>
                </c:pt>
                <c:pt idx="37">
                  <c:v>425</c:v>
                </c:pt>
                <c:pt idx="38">
                  <c:v>430</c:v>
                </c:pt>
                <c:pt idx="39">
                  <c:v>435</c:v>
                </c:pt>
                <c:pt idx="40">
                  <c:v>440</c:v>
                </c:pt>
                <c:pt idx="41">
                  <c:v>445</c:v>
                </c:pt>
                <c:pt idx="42">
                  <c:v>450</c:v>
                </c:pt>
                <c:pt idx="43">
                  <c:v>455</c:v>
                </c:pt>
                <c:pt idx="44">
                  <c:v>460</c:v>
                </c:pt>
                <c:pt idx="45">
                  <c:v>465</c:v>
                </c:pt>
                <c:pt idx="46">
                  <c:v>470</c:v>
                </c:pt>
                <c:pt idx="47">
                  <c:v>475</c:v>
                </c:pt>
                <c:pt idx="48">
                  <c:v>480</c:v>
                </c:pt>
                <c:pt idx="49">
                  <c:v>485</c:v>
                </c:pt>
                <c:pt idx="50">
                  <c:v>490</c:v>
                </c:pt>
                <c:pt idx="51">
                  <c:v>495</c:v>
                </c:pt>
                <c:pt idx="52">
                  <c:v>500</c:v>
                </c:pt>
                <c:pt idx="53">
                  <c:v>505</c:v>
                </c:pt>
                <c:pt idx="54">
                  <c:v>510</c:v>
                </c:pt>
                <c:pt idx="55">
                  <c:v>515</c:v>
                </c:pt>
                <c:pt idx="56">
                  <c:v>520</c:v>
                </c:pt>
                <c:pt idx="57">
                  <c:v>525</c:v>
                </c:pt>
                <c:pt idx="58">
                  <c:v>530</c:v>
                </c:pt>
                <c:pt idx="59">
                  <c:v>535</c:v>
                </c:pt>
                <c:pt idx="60">
                  <c:v>540</c:v>
                </c:pt>
                <c:pt idx="61">
                  <c:v>545</c:v>
                </c:pt>
                <c:pt idx="62">
                  <c:v>550</c:v>
                </c:pt>
                <c:pt idx="63">
                  <c:v>555</c:v>
                </c:pt>
                <c:pt idx="64">
                  <c:v>560</c:v>
                </c:pt>
                <c:pt idx="65">
                  <c:v>565</c:v>
                </c:pt>
                <c:pt idx="66">
                  <c:v>570</c:v>
                </c:pt>
                <c:pt idx="67">
                  <c:v>575</c:v>
                </c:pt>
                <c:pt idx="68">
                  <c:v>580</c:v>
                </c:pt>
                <c:pt idx="69">
                  <c:v>585</c:v>
                </c:pt>
                <c:pt idx="70">
                  <c:v>590</c:v>
                </c:pt>
                <c:pt idx="71">
                  <c:v>595</c:v>
                </c:pt>
                <c:pt idx="72">
                  <c:v>600</c:v>
                </c:pt>
                <c:pt idx="73">
                  <c:v>605</c:v>
                </c:pt>
                <c:pt idx="74">
                  <c:v>610</c:v>
                </c:pt>
                <c:pt idx="75">
                  <c:v>615</c:v>
                </c:pt>
                <c:pt idx="76">
                  <c:v>620</c:v>
                </c:pt>
                <c:pt idx="77">
                  <c:v>625</c:v>
                </c:pt>
                <c:pt idx="78">
                  <c:v>630</c:v>
                </c:pt>
                <c:pt idx="79">
                  <c:v>635</c:v>
                </c:pt>
                <c:pt idx="80">
                  <c:v>640</c:v>
                </c:pt>
                <c:pt idx="81">
                  <c:v>645</c:v>
                </c:pt>
                <c:pt idx="82">
                  <c:v>650</c:v>
                </c:pt>
                <c:pt idx="83">
                  <c:v>655</c:v>
                </c:pt>
                <c:pt idx="84">
                  <c:v>660</c:v>
                </c:pt>
                <c:pt idx="85">
                  <c:v>665</c:v>
                </c:pt>
                <c:pt idx="86">
                  <c:v>670</c:v>
                </c:pt>
                <c:pt idx="87">
                  <c:v>675</c:v>
                </c:pt>
                <c:pt idx="88">
                  <c:v>680</c:v>
                </c:pt>
                <c:pt idx="89">
                  <c:v>685</c:v>
                </c:pt>
                <c:pt idx="90">
                  <c:v>690</c:v>
                </c:pt>
                <c:pt idx="91">
                  <c:v>695</c:v>
                </c:pt>
                <c:pt idx="92">
                  <c:v>700</c:v>
                </c:pt>
                <c:pt idx="93">
                  <c:v>705</c:v>
                </c:pt>
                <c:pt idx="94">
                  <c:v>710</c:v>
                </c:pt>
                <c:pt idx="95">
                  <c:v>715</c:v>
                </c:pt>
                <c:pt idx="96">
                  <c:v>720</c:v>
                </c:pt>
                <c:pt idx="97">
                  <c:v>725</c:v>
                </c:pt>
                <c:pt idx="98">
                  <c:v>730</c:v>
                </c:pt>
                <c:pt idx="99">
                  <c:v>735</c:v>
                </c:pt>
                <c:pt idx="100">
                  <c:v>740</c:v>
                </c:pt>
                <c:pt idx="101">
                  <c:v>745</c:v>
                </c:pt>
                <c:pt idx="102">
                  <c:v>750</c:v>
                </c:pt>
                <c:pt idx="103">
                  <c:v>755</c:v>
                </c:pt>
                <c:pt idx="104">
                  <c:v>760</c:v>
                </c:pt>
                <c:pt idx="105">
                  <c:v>765</c:v>
                </c:pt>
                <c:pt idx="106">
                  <c:v>770</c:v>
                </c:pt>
                <c:pt idx="107">
                  <c:v>775</c:v>
                </c:pt>
                <c:pt idx="108">
                  <c:v>780</c:v>
                </c:pt>
                <c:pt idx="109">
                  <c:v>785</c:v>
                </c:pt>
                <c:pt idx="110">
                  <c:v>790</c:v>
                </c:pt>
                <c:pt idx="111">
                  <c:v>795</c:v>
                </c:pt>
                <c:pt idx="112">
                  <c:v>800</c:v>
                </c:pt>
                <c:pt idx="113">
                  <c:v>805</c:v>
                </c:pt>
                <c:pt idx="114">
                  <c:v>810</c:v>
                </c:pt>
                <c:pt idx="115">
                  <c:v>815</c:v>
                </c:pt>
                <c:pt idx="116">
                  <c:v>820</c:v>
                </c:pt>
                <c:pt idx="117">
                  <c:v>825</c:v>
                </c:pt>
                <c:pt idx="118">
                  <c:v>830</c:v>
                </c:pt>
                <c:pt idx="119">
                  <c:v>835</c:v>
                </c:pt>
                <c:pt idx="120">
                  <c:v>840</c:v>
                </c:pt>
                <c:pt idx="121">
                  <c:v>845</c:v>
                </c:pt>
                <c:pt idx="122">
                  <c:v>850</c:v>
                </c:pt>
                <c:pt idx="123">
                  <c:v>855</c:v>
                </c:pt>
                <c:pt idx="124">
                  <c:v>860</c:v>
                </c:pt>
                <c:pt idx="125">
                  <c:v>865</c:v>
                </c:pt>
                <c:pt idx="126">
                  <c:v>870</c:v>
                </c:pt>
                <c:pt idx="127">
                  <c:v>875</c:v>
                </c:pt>
                <c:pt idx="128">
                  <c:v>880</c:v>
                </c:pt>
              </c:numCache>
            </c:numRef>
          </c:cat>
          <c:val>
            <c:numRef>
              <c:f>[0]!CALL_VOLUME_AXIS</c:f>
              <c:numCache>
                <c:formatCode>#,##0.00</c:formatCode>
                <c:ptCount val="12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</c:v>
                </c:pt>
                <c:pt idx="13">
                  <c:v>1</c:v>
                </c:pt>
                <c:pt idx="14">
                  <c:v>11</c:v>
                </c:pt>
                <c:pt idx="15">
                  <c:v>4</c:v>
                </c:pt>
                <c:pt idx="16">
                  <c:v>11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16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5</c:v>
                </c:pt>
                <c:pt idx="29">
                  <c:v>1</c:v>
                </c:pt>
                <c:pt idx="30">
                  <c:v>1</c:v>
                </c:pt>
                <c:pt idx="31">
                  <c:v>11</c:v>
                </c:pt>
                <c:pt idx="32">
                  <c:v>60</c:v>
                </c:pt>
                <c:pt idx="33">
                  <c:v>5</c:v>
                </c:pt>
                <c:pt idx="34">
                  <c:v>4</c:v>
                </c:pt>
                <c:pt idx="35">
                  <c:v>1</c:v>
                </c:pt>
                <c:pt idx="36">
                  <c:v>3</c:v>
                </c:pt>
                <c:pt idx="37">
                  <c:v>45</c:v>
                </c:pt>
                <c:pt idx="38">
                  <c:v>1</c:v>
                </c:pt>
                <c:pt idx="39">
                  <c:v>86</c:v>
                </c:pt>
                <c:pt idx="40">
                  <c:v>21</c:v>
                </c:pt>
                <c:pt idx="41">
                  <c:v>150</c:v>
                </c:pt>
                <c:pt idx="42">
                  <c:v>82</c:v>
                </c:pt>
                <c:pt idx="43">
                  <c:v>15</c:v>
                </c:pt>
                <c:pt idx="44">
                  <c:v>9</c:v>
                </c:pt>
                <c:pt idx="45">
                  <c:v>14</c:v>
                </c:pt>
                <c:pt idx="46">
                  <c:v>104</c:v>
                </c:pt>
                <c:pt idx="47">
                  <c:v>5</c:v>
                </c:pt>
                <c:pt idx="48">
                  <c:v>43</c:v>
                </c:pt>
                <c:pt idx="49">
                  <c:v>6</c:v>
                </c:pt>
                <c:pt idx="50">
                  <c:v>29</c:v>
                </c:pt>
                <c:pt idx="51">
                  <c:v>16</c:v>
                </c:pt>
                <c:pt idx="52">
                  <c:v>309</c:v>
                </c:pt>
                <c:pt idx="53">
                  <c:v>44</c:v>
                </c:pt>
                <c:pt idx="54">
                  <c:v>43</c:v>
                </c:pt>
                <c:pt idx="55">
                  <c:v>5</c:v>
                </c:pt>
                <c:pt idx="56">
                  <c:v>8</c:v>
                </c:pt>
                <c:pt idx="57">
                  <c:v>4</c:v>
                </c:pt>
                <c:pt idx="58">
                  <c:v>112</c:v>
                </c:pt>
                <c:pt idx="59">
                  <c:v>13</c:v>
                </c:pt>
                <c:pt idx="60">
                  <c:v>41</c:v>
                </c:pt>
                <c:pt idx="61">
                  <c:v>9</c:v>
                </c:pt>
                <c:pt idx="62">
                  <c:v>153</c:v>
                </c:pt>
                <c:pt idx="63">
                  <c:v>2</c:v>
                </c:pt>
                <c:pt idx="64">
                  <c:v>9</c:v>
                </c:pt>
                <c:pt idx="65">
                  <c:v>10</c:v>
                </c:pt>
                <c:pt idx="66">
                  <c:v>5</c:v>
                </c:pt>
                <c:pt idx="67">
                  <c:v>7</c:v>
                </c:pt>
                <c:pt idx="68">
                  <c:v>104</c:v>
                </c:pt>
                <c:pt idx="69">
                  <c:v>1</c:v>
                </c:pt>
                <c:pt idx="70">
                  <c:v>3</c:v>
                </c:pt>
                <c:pt idx="71">
                  <c:v>10</c:v>
                </c:pt>
                <c:pt idx="72">
                  <c:v>65</c:v>
                </c:pt>
                <c:pt idx="73">
                  <c:v>1</c:v>
                </c:pt>
                <c:pt idx="74">
                  <c:v>63</c:v>
                </c:pt>
                <c:pt idx="75">
                  <c:v>20</c:v>
                </c:pt>
                <c:pt idx="76">
                  <c:v>1</c:v>
                </c:pt>
                <c:pt idx="77">
                  <c:v>3</c:v>
                </c:pt>
                <c:pt idx="78">
                  <c:v>5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95</c:v>
                </c:pt>
                <c:pt idx="83">
                  <c:v>7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6</c:v>
                </c:pt>
                <c:pt idx="93">
                  <c:v>10</c:v>
                </c:pt>
                <c:pt idx="94">
                  <c:v>50</c:v>
                </c:pt>
                <c:pt idx="95">
                  <c:v>229</c:v>
                </c:pt>
                <c:pt idx="96">
                  <c:v>1</c:v>
                </c:pt>
                <c:pt idx="97">
                  <c:v>2</c:v>
                </c:pt>
                <c:pt idx="98">
                  <c:v>10</c:v>
                </c:pt>
                <c:pt idx="99">
                  <c:v>4</c:v>
                </c:pt>
                <c:pt idx="100">
                  <c:v>13</c:v>
                </c:pt>
                <c:pt idx="101">
                  <c:v>4</c:v>
                </c:pt>
                <c:pt idx="102">
                  <c:v>2</c:v>
                </c:pt>
                <c:pt idx="103">
                  <c:v>10</c:v>
                </c:pt>
                <c:pt idx="104">
                  <c:v>5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4</c:v>
                </c:pt>
                <c:pt idx="111">
                  <c:v>2</c:v>
                </c:pt>
                <c:pt idx="112">
                  <c:v>1</c:v>
                </c:pt>
                <c:pt idx="113">
                  <c:v>86</c:v>
                </c:pt>
                <c:pt idx="114">
                  <c:v>2</c:v>
                </c:pt>
                <c:pt idx="115">
                  <c:v>2</c:v>
                </c:pt>
                <c:pt idx="116">
                  <c:v>20</c:v>
                </c:pt>
                <c:pt idx="117">
                  <c:v>13</c:v>
                </c:pt>
                <c:pt idx="118">
                  <c:v>13</c:v>
                </c:pt>
                <c:pt idx="119">
                  <c:v>1</c:v>
                </c:pt>
                <c:pt idx="120">
                  <c:v>1</c:v>
                </c:pt>
                <c:pt idx="121">
                  <c:v>18</c:v>
                </c:pt>
                <c:pt idx="122">
                  <c:v>1</c:v>
                </c:pt>
                <c:pt idx="123">
                  <c:v>40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275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9776"/>
        <c:axId val="138795200"/>
      </c:lineChart>
      <c:catAx>
        <c:axId val="5394278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38794624"/>
        <c:crosses val="autoZero"/>
        <c:auto val="1"/>
        <c:lblAlgn val="ctr"/>
        <c:lblOffset val="100"/>
        <c:noMultiLvlLbl val="0"/>
      </c:catAx>
      <c:valAx>
        <c:axId val="138794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53942784"/>
        <c:crosses val="autoZero"/>
        <c:crossBetween val="between"/>
      </c:valAx>
      <c:valAx>
        <c:axId val="13879520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63819776"/>
        <c:crosses val="max"/>
        <c:crossBetween val="between"/>
      </c:valAx>
      <c:catAx>
        <c:axId val="63819776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one"/>
        <c:crossAx val="138795200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7823745321309"/>
          <c:y val="0.12325122929244368"/>
          <c:w val="0.7465975098848997"/>
          <c:h val="0.63808228316813564"/>
        </c:manualLayout>
      </c:layout>
      <c:lineChart>
        <c:grouping val="standard"/>
        <c:varyColors val="0"/>
        <c:ser>
          <c:idx val="1"/>
          <c:order val="1"/>
          <c:tx>
            <c:v>PUT IMPLIED VOLATILITY</c:v>
          </c:tx>
          <c:marker>
            <c:symbol val="none"/>
          </c:marker>
          <c:cat>
            <c:numRef>
              <c:f>[0]!STRIKE_AXIS</c:f>
              <c:numCache>
                <c:formatCode>#,##0.00</c:formatCode>
                <c:ptCount val="129"/>
                <c:pt idx="0">
                  <c:v>235</c:v>
                </c:pt>
                <c:pt idx="1">
                  <c:v>240</c:v>
                </c:pt>
                <c:pt idx="2">
                  <c:v>250</c:v>
                </c:pt>
                <c:pt idx="3">
                  <c:v>255</c:v>
                </c:pt>
                <c:pt idx="4">
                  <c:v>260</c:v>
                </c:pt>
                <c:pt idx="5">
                  <c:v>265</c:v>
                </c:pt>
                <c:pt idx="6">
                  <c:v>270</c:v>
                </c:pt>
                <c:pt idx="7">
                  <c:v>275</c:v>
                </c:pt>
                <c:pt idx="8">
                  <c:v>280</c:v>
                </c:pt>
                <c:pt idx="9">
                  <c:v>285</c:v>
                </c:pt>
                <c:pt idx="10">
                  <c:v>290</c:v>
                </c:pt>
                <c:pt idx="11">
                  <c:v>295</c:v>
                </c:pt>
                <c:pt idx="12">
                  <c:v>300</c:v>
                </c:pt>
                <c:pt idx="13">
                  <c:v>305</c:v>
                </c:pt>
                <c:pt idx="14">
                  <c:v>310</c:v>
                </c:pt>
                <c:pt idx="15">
                  <c:v>315</c:v>
                </c:pt>
                <c:pt idx="16">
                  <c:v>320</c:v>
                </c:pt>
                <c:pt idx="17">
                  <c:v>325</c:v>
                </c:pt>
                <c:pt idx="18">
                  <c:v>330</c:v>
                </c:pt>
                <c:pt idx="19">
                  <c:v>335</c:v>
                </c:pt>
                <c:pt idx="20">
                  <c:v>340</c:v>
                </c:pt>
                <c:pt idx="21">
                  <c:v>345</c:v>
                </c:pt>
                <c:pt idx="22">
                  <c:v>350</c:v>
                </c:pt>
                <c:pt idx="23">
                  <c:v>355</c:v>
                </c:pt>
                <c:pt idx="24">
                  <c:v>360</c:v>
                </c:pt>
                <c:pt idx="25">
                  <c:v>365</c:v>
                </c:pt>
                <c:pt idx="26">
                  <c:v>370</c:v>
                </c:pt>
                <c:pt idx="27">
                  <c:v>375</c:v>
                </c:pt>
                <c:pt idx="28">
                  <c:v>380</c:v>
                </c:pt>
                <c:pt idx="29">
                  <c:v>385</c:v>
                </c:pt>
                <c:pt idx="30">
                  <c:v>390</c:v>
                </c:pt>
                <c:pt idx="31">
                  <c:v>395</c:v>
                </c:pt>
                <c:pt idx="32">
                  <c:v>400</c:v>
                </c:pt>
                <c:pt idx="33">
                  <c:v>405</c:v>
                </c:pt>
                <c:pt idx="34">
                  <c:v>410</c:v>
                </c:pt>
                <c:pt idx="35">
                  <c:v>415</c:v>
                </c:pt>
                <c:pt idx="36">
                  <c:v>420</c:v>
                </c:pt>
                <c:pt idx="37">
                  <c:v>425</c:v>
                </c:pt>
                <c:pt idx="38">
                  <c:v>430</c:v>
                </c:pt>
                <c:pt idx="39">
                  <c:v>435</c:v>
                </c:pt>
                <c:pt idx="40">
                  <c:v>440</c:v>
                </c:pt>
                <c:pt idx="41">
                  <c:v>445</c:v>
                </c:pt>
                <c:pt idx="42">
                  <c:v>450</c:v>
                </c:pt>
                <c:pt idx="43">
                  <c:v>455</c:v>
                </c:pt>
                <c:pt idx="44">
                  <c:v>460</c:v>
                </c:pt>
                <c:pt idx="45">
                  <c:v>465</c:v>
                </c:pt>
                <c:pt idx="46">
                  <c:v>470</c:v>
                </c:pt>
                <c:pt idx="47">
                  <c:v>475</c:v>
                </c:pt>
                <c:pt idx="48">
                  <c:v>480</c:v>
                </c:pt>
                <c:pt idx="49">
                  <c:v>485</c:v>
                </c:pt>
                <c:pt idx="50">
                  <c:v>490</c:v>
                </c:pt>
                <c:pt idx="51">
                  <c:v>495</c:v>
                </c:pt>
                <c:pt idx="52">
                  <c:v>500</c:v>
                </c:pt>
                <c:pt idx="53">
                  <c:v>505</c:v>
                </c:pt>
                <c:pt idx="54">
                  <c:v>510</c:v>
                </c:pt>
                <c:pt idx="55">
                  <c:v>515</c:v>
                </c:pt>
                <c:pt idx="56">
                  <c:v>520</c:v>
                </c:pt>
                <c:pt idx="57">
                  <c:v>525</c:v>
                </c:pt>
                <c:pt idx="58">
                  <c:v>530</c:v>
                </c:pt>
                <c:pt idx="59">
                  <c:v>535</c:v>
                </c:pt>
                <c:pt idx="60">
                  <c:v>540</c:v>
                </c:pt>
                <c:pt idx="61">
                  <c:v>545</c:v>
                </c:pt>
                <c:pt idx="62">
                  <c:v>550</c:v>
                </c:pt>
                <c:pt idx="63">
                  <c:v>555</c:v>
                </c:pt>
                <c:pt idx="64">
                  <c:v>560</c:v>
                </c:pt>
                <c:pt idx="65">
                  <c:v>565</c:v>
                </c:pt>
                <c:pt idx="66">
                  <c:v>570</c:v>
                </c:pt>
                <c:pt idx="67">
                  <c:v>575</c:v>
                </c:pt>
                <c:pt idx="68">
                  <c:v>580</c:v>
                </c:pt>
                <c:pt idx="69">
                  <c:v>585</c:v>
                </c:pt>
                <c:pt idx="70">
                  <c:v>590</c:v>
                </c:pt>
                <c:pt idx="71">
                  <c:v>595</c:v>
                </c:pt>
                <c:pt idx="72">
                  <c:v>600</c:v>
                </c:pt>
                <c:pt idx="73">
                  <c:v>605</c:v>
                </c:pt>
                <c:pt idx="74">
                  <c:v>610</c:v>
                </c:pt>
                <c:pt idx="75">
                  <c:v>615</c:v>
                </c:pt>
                <c:pt idx="76">
                  <c:v>620</c:v>
                </c:pt>
                <c:pt idx="77">
                  <c:v>625</c:v>
                </c:pt>
                <c:pt idx="78">
                  <c:v>630</c:v>
                </c:pt>
                <c:pt idx="79">
                  <c:v>635</c:v>
                </c:pt>
                <c:pt idx="80">
                  <c:v>640</c:v>
                </c:pt>
                <c:pt idx="81">
                  <c:v>645</c:v>
                </c:pt>
                <c:pt idx="82">
                  <c:v>650</c:v>
                </c:pt>
                <c:pt idx="83">
                  <c:v>655</c:v>
                </c:pt>
                <c:pt idx="84">
                  <c:v>660</c:v>
                </c:pt>
                <c:pt idx="85">
                  <c:v>665</c:v>
                </c:pt>
                <c:pt idx="86">
                  <c:v>670</c:v>
                </c:pt>
                <c:pt idx="87">
                  <c:v>675</c:v>
                </c:pt>
                <c:pt idx="88">
                  <c:v>680</c:v>
                </c:pt>
                <c:pt idx="89">
                  <c:v>685</c:v>
                </c:pt>
                <c:pt idx="90">
                  <c:v>690</c:v>
                </c:pt>
                <c:pt idx="91">
                  <c:v>695</c:v>
                </c:pt>
                <c:pt idx="92">
                  <c:v>700</c:v>
                </c:pt>
                <c:pt idx="93">
                  <c:v>705</c:v>
                </c:pt>
                <c:pt idx="94">
                  <c:v>710</c:v>
                </c:pt>
                <c:pt idx="95">
                  <c:v>715</c:v>
                </c:pt>
                <c:pt idx="96">
                  <c:v>720</c:v>
                </c:pt>
                <c:pt idx="97">
                  <c:v>725</c:v>
                </c:pt>
                <c:pt idx="98">
                  <c:v>730</c:v>
                </c:pt>
                <c:pt idx="99">
                  <c:v>735</c:v>
                </c:pt>
                <c:pt idx="100">
                  <c:v>740</c:v>
                </c:pt>
                <c:pt idx="101">
                  <c:v>745</c:v>
                </c:pt>
                <c:pt idx="102">
                  <c:v>750</c:v>
                </c:pt>
                <c:pt idx="103">
                  <c:v>755</c:v>
                </c:pt>
                <c:pt idx="104">
                  <c:v>760</c:v>
                </c:pt>
                <c:pt idx="105">
                  <c:v>765</c:v>
                </c:pt>
                <c:pt idx="106">
                  <c:v>770</c:v>
                </c:pt>
                <c:pt idx="107">
                  <c:v>775</c:v>
                </c:pt>
                <c:pt idx="108">
                  <c:v>780</c:v>
                </c:pt>
                <c:pt idx="109">
                  <c:v>785</c:v>
                </c:pt>
                <c:pt idx="110">
                  <c:v>790</c:v>
                </c:pt>
                <c:pt idx="111">
                  <c:v>795</c:v>
                </c:pt>
                <c:pt idx="112">
                  <c:v>800</c:v>
                </c:pt>
                <c:pt idx="113">
                  <c:v>805</c:v>
                </c:pt>
                <c:pt idx="114">
                  <c:v>810</c:v>
                </c:pt>
                <c:pt idx="115">
                  <c:v>815</c:v>
                </c:pt>
                <c:pt idx="116">
                  <c:v>820</c:v>
                </c:pt>
                <c:pt idx="117">
                  <c:v>825</c:v>
                </c:pt>
                <c:pt idx="118">
                  <c:v>830</c:v>
                </c:pt>
                <c:pt idx="119">
                  <c:v>835</c:v>
                </c:pt>
                <c:pt idx="120">
                  <c:v>840</c:v>
                </c:pt>
                <c:pt idx="121">
                  <c:v>845</c:v>
                </c:pt>
                <c:pt idx="122">
                  <c:v>850</c:v>
                </c:pt>
                <c:pt idx="123">
                  <c:v>855</c:v>
                </c:pt>
                <c:pt idx="124">
                  <c:v>860</c:v>
                </c:pt>
                <c:pt idx="125">
                  <c:v>865</c:v>
                </c:pt>
                <c:pt idx="126">
                  <c:v>870</c:v>
                </c:pt>
                <c:pt idx="127">
                  <c:v>875</c:v>
                </c:pt>
                <c:pt idx="128">
                  <c:v>880</c:v>
                </c:pt>
              </c:numCache>
            </c:numRef>
          </c:cat>
          <c:val>
            <c:numRef>
              <c:f>[0]!PUT_VOLATILITY_AXIS</c:f>
              <c:numCache>
                <c:formatCode>0.00%</c:formatCode>
                <c:ptCount val="129"/>
                <c:pt idx="0">
                  <c:v>#N/A</c:v>
                </c:pt>
                <c:pt idx="1">
                  <c:v>#N/A</c:v>
                </c:pt>
                <c:pt idx="2">
                  <c:v>0.31610456014524119</c:v>
                </c:pt>
                <c:pt idx="3">
                  <c:v>0.31021389791741888</c:v>
                </c:pt>
                <c:pt idx="4">
                  <c:v>#N/A</c:v>
                </c:pt>
                <c:pt idx="5">
                  <c:v>#N/A</c:v>
                </c:pt>
                <c:pt idx="6">
                  <c:v>0.30133764077834307</c:v>
                </c:pt>
                <c:pt idx="7">
                  <c:v>#N/A</c:v>
                </c:pt>
                <c:pt idx="8">
                  <c:v>#N/A</c:v>
                </c:pt>
                <c:pt idx="9">
                  <c:v>0.28924129472310617</c:v>
                </c:pt>
                <c:pt idx="10">
                  <c:v>0.29665073876257292</c:v>
                </c:pt>
                <c:pt idx="11">
                  <c:v>0.28598007178639573</c:v>
                </c:pt>
                <c:pt idx="12">
                  <c:v>0.28485220761059121</c:v>
                </c:pt>
                <c:pt idx="13">
                  <c:v>0.25615929479697197</c:v>
                </c:pt>
                <c:pt idx="14">
                  <c:v>0.28301964524203393</c:v>
                </c:pt>
                <c:pt idx="15">
                  <c:v>0.28136479181379892</c:v>
                </c:pt>
                <c:pt idx="16">
                  <c:v>0.27905103549167481</c:v>
                </c:pt>
                <c:pt idx="17">
                  <c:v>0.27602896843283092</c:v>
                </c:pt>
                <c:pt idx="18">
                  <c:v>0.27871001593456152</c:v>
                </c:pt>
                <c:pt idx="19">
                  <c:v>0.27397026666749347</c:v>
                </c:pt>
                <c:pt idx="20">
                  <c:v>#N/A</c:v>
                </c:pt>
                <c:pt idx="21">
                  <c:v>0.28181916036888405</c:v>
                </c:pt>
                <c:pt idx="22">
                  <c:v>0.27222320249251847</c:v>
                </c:pt>
                <c:pt idx="23">
                  <c:v>0.26532987287677801</c:v>
                </c:pt>
                <c:pt idx="24">
                  <c:v>#N/A</c:v>
                </c:pt>
                <c:pt idx="25">
                  <c:v>0.27753357741041773</c:v>
                </c:pt>
                <c:pt idx="26">
                  <c:v>0.27101995189390843</c:v>
                </c:pt>
                <c:pt idx="27">
                  <c:v>0.26255360057534588</c:v>
                </c:pt>
                <c:pt idx="28">
                  <c:v>#N/A</c:v>
                </c:pt>
                <c:pt idx="29">
                  <c:v>0.26046560698683713</c:v>
                </c:pt>
                <c:pt idx="30">
                  <c:v>#N/A</c:v>
                </c:pt>
                <c:pt idx="31">
                  <c:v>0.25954384388734641</c:v>
                </c:pt>
                <c:pt idx="32">
                  <c:v>0.24404324042340234</c:v>
                </c:pt>
                <c:pt idx="33">
                  <c:v>0.25045487366065072</c:v>
                </c:pt>
                <c:pt idx="34">
                  <c:v>0.26181484279925471</c:v>
                </c:pt>
                <c:pt idx="35">
                  <c:v>0.26753661366019943</c:v>
                </c:pt>
                <c:pt idx="36">
                  <c:v>0.24900944254321197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0.25637617241325844</c:v>
                </c:pt>
                <c:pt idx="41">
                  <c:v>#N/A</c:v>
                </c:pt>
                <c:pt idx="42">
                  <c:v>0.25197129947500896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0.23142766116195701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0.23491867246145298</c:v>
                </c:pt>
                <c:pt idx="58">
                  <c:v>#N/A</c:v>
                </c:pt>
                <c:pt idx="59">
                  <c:v>0.23890287839742982</c:v>
                </c:pt>
                <c:pt idx="60">
                  <c:v>#N/A</c:v>
                </c:pt>
                <c:pt idx="61">
                  <c:v>#N/A</c:v>
                </c:pt>
                <c:pt idx="62">
                  <c:v>0.25056468807400623</c:v>
                </c:pt>
                <c:pt idx="63">
                  <c:v>#N/A</c:v>
                </c:pt>
                <c:pt idx="64">
                  <c:v>0.28083288696154252</c:v>
                </c:pt>
                <c:pt idx="65">
                  <c:v>#N/A</c:v>
                </c:pt>
                <c:pt idx="66">
                  <c:v>0.26018923887496359</c:v>
                </c:pt>
                <c:pt idx="67">
                  <c:v>#N/A</c:v>
                </c:pt>
                <c:pt idx="68">
                  <c:v>0.28859117030072884</c:v>
                </c:pt>
                <c:pt idx="69">
                  <c:v>0.29026596770607732</c:v>
                </c:pt>
                <c:pt idx="70">
                  <c:v>0.21649652699375518</c:v>
                </c:pt>
                <c:pt idx="71">
                  <c:v>0.30092446627243785</c:v>
                </c:pt>
                <c:pt idx="72">
                  <c:v>0.26686574086758835</c:v>
                </c:pt>
                <c:pt idx="73">
                  <c:v>#N/A</c:v>
                </c:pt>
                <c:pt idx="74">
                  <c:v>0.25729071326962827</c:v>
                </c:pt>
                <c:pt idx="75">
                  <c:v>0.27732180346191765</c:v>
                </c:pt>
                <c:pt idx="76">
                  <c:v>#N/A</c:v>
                </c:pt>
                <c:pt idx="77">
                  <c:v>0.31489937803075385</c:v>
                </c:pt>
                <c:pt idx="78">
                  <c:v>#N/A</c:v>
                </c:pt>
                <c:pt idx="79">
                  <c:v>0.31741593731180223</c:v>
                </c:pt>
                <c:pt idx="80">
                  <c:v>#N/A</c:v>
                </c:pt>
                <c:pt idx="81">
                  <c:v>#N/A</c:v>
                </c:pt>
                <c:pt idx="82">
                  <c:v>0.31135697385462463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0.47874323979182409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0.37656235242421487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20800"/>
        <c:axId val="160243712"/>
      </c:lineChart>
      <c:lineChart>
        <c:grouping val="standard"/>
        <c:varyColors val="0"/>
        <c:ser>
          <c:idx val="0"/>
          <c:order val="0"/>
          <c:tx>
            <c:v>VOLUME</c:v>
          </c:tx>
          <c:marker>
            <c:symbol val="none"/>
          </c:marker>
          <c:cat>
            <c:numRef>
              <c:f>[0]!STRIKE_AXIS</c:f>
              <c:numCache>
                <c:formatCode>#,##0.00</c:formatCode>
                <c:ptCount val="129"/>
                <c:pt idx="0">
                  <c:v>235</c:v>
                </c:pt>
                <c:pt idx="1">
                  <c:v>240</c:v>
                </c:pt>
                <c:pt idx="2">
                  <c:v>250</c:v>
                </c:pt>
                <c:pt idx="3">
                  <c:v>255</c:v>
                </c:pt>
                <c:pt idx="4">
                  <c:v>260</c:v>
                </c:pt>
                <c:pt idx="5">
                  <c:v>265</c:v>
                </c:pt>
                <c:pt idx="6">
                  <c:v>270</c:v>
                </c:pt>
                <c:pt idx="7">
                  <c:v>275</c:v>
                </c:pt>
                <c:pt idx="8">
                  <c:v>280</c:v>
                </c:pt>
                <c:pt idx="9">
                  <c:v>285</c:v>
                </c:pt>
                <c:pt idx="10">
                  <c:v>290</c:v>
                </c:pt>
                <c:pt idx="11">
                  <c:v>295</c:v>
                </c:pt>
                <c:pt idx="12">
                  <c:v>300</c:v>
                </c:pt>
                <c:pt idx="13">
                  <c:v>305</c:v>
                </c:pt>
                <c:pt idx="14">
                  <c:v>310</c:v>
                </c:pt>
                <c:pt idx="15">
                  <c:v>315</c:v>
                </c:pt>
                <c:pt idx="16">
                  <c:v>320</c:v>
                </c:pt>
                <c:pt idx="17">
                  <c:v>325</c:v>
                </c:pt>
                <c:pt idx="18">
                  <c:v>330</c:v>
                </c:pt>
                <c:pt idx="19">
                  <c:v>335</c:v>
                </c:pt>
                <c:pt idx="20">
                  <c:v>340</c:v>
                </c:pt>
                <c:pt idx="21">
                  <c:v>345</c:v>
                </c:pt>
                <c:pt idx="22">
                  <c:v>350</c:v>
                </c:pt>
                <c:pt idx="23">
                  <c:v>355</c:v>
                </c:pt>
                <c:pt idx="24">
                  <c:v>360</c:v>
                </c:pt>
                <c:pt idx="25">
                  <c:v>365</c:v>
                </c:pt>
                <c:pt idx="26">
                  <c:v>370</c:v>
                </c:pt>
                <c:pt idx="27">
                  <c:v>375</c:v>
                </c:pt>
                <c:pt idx="28">
                  <c:v>380</c:v>
                </c:pt>
                <c:pt idx="29">
                  <c:v>385</c:v>
                </c:pt>
                <c:pt idx="30">
                  <c:v>390</c:v>
                </c:pt>
                <c:pt idx="31">
                  <c:v>395</c:v>
                </c:pt>
                <c:pt idx="32">
                  <c:v>400</c:v>
                </c:pt>
                <c:pt idx="33">
                  <c:v>405</c:v>
                </c:pt>
                <c:pt idx="34">
                  <c:v>410</c:v>
                </c:pt>
                <c:pt idx="35">
                  <c:v>415</c:v>
                </c:pt>
                <c:pt idx="36">
                  <c:v>420</c:v>
                </c:pt>
                <c:pt idx="37">
                  <c:v>425</c:v>
                </c:pt>
                <c:pt idx="38">
                  <c:v>430</c:v>
                </c:pt>
                <c:pt idx="39">
                  <c:v>435</c:v>
                </c:pt>
                <c:pt idx="40">
                  <c:v>440</c:v>
                </c:pt>
                <c:pt idx="41">
                  <c:v>445</c:v>
                </c:pt>
                <c:pt idx="42">
                  <c:v>450</c:v>
                </c:pt>
                <c:pt idx="43">
                  <c:v>455</c:v>
                </c:pt>
                <c:pt idx="44">
                  <c:v>460</c:v>
                </c:pt>
                <c:pt idx="45">
                  <c:v>465</c:v>
                </c:pt>
                <c:pt idx="46">
                  <c:v>470</c:v>
                </c:pt>
                <c:pt idx="47">
                  <c:v>475</c:v>
                </c:pt>
                <c:pt idx="48">
                  <c:v>480</c:v>
                </c:pt>
                <c:pt idx="49">
                  <c:v>485</c:v>
                </c:pt>
                <c:pt idx="50">
                  <c:v>490</c:v>
                </c:pt>
                <c:pt idx="51">
                  <c:v>495</c:v>
                </c:pt>
                <c:pt idx="52">
                  <c:v>500</c:v>
                </c:pt>
                <c:pt idx="53">
                  <c:v>505</c:v>
                </c:pt>
                <c:pt idx="54">
                  <c:v>510</c:v>
                </c:pt>
                <c:pt idx="55">
                  <c:v>515</c:v>
                </c:pt>
                <c:pt idx="56">
                  <c:v>520</c:v>
                </c:pt>
                <c:pt idx="57">
                  <c:v>525</c:v>
                </c:pt>
                <c:pt idx="58">
                  <c:v>530</c:v>
                </c:pt>
                <c:pt idx="59">
                  <c:v>535</c:v>
                </c:pt>
                <c:pt idx="60">
                  <c:v>540</c:v>
                </c:pt>
                <c:pt idx="61">
                  <c:v>545</c:v>
                </c:pt>
                <c:pt idx="62">
                  <c:v>550</c:v>
                </c:pt>
                <c:pt idx="63">
                  <c:v>555</c:v>
                </c:pt>
                <c:pt idx="64">
                  <c:v>560</c:v>
                </c:pt>
                <c:pt idx="65">
                  <c:v>565</c:v>
                </c:pt>
                <c:pt idx="66">
                  <c:v>570</c:v>
                </c:pt>
                <c:pt idx="67">
                  <c:v>575</c:v>
                </c:pt>
                <c:pt idx="68">
                  <c:v>580</c:v>
                </c:pt>
                <c:pt idx="69">
                  <c:v>585</c:v>
                </c:pt>
                <c:pt idx="70">
                  <c:v>590</c:v>
                </c:pt>
                <c:pt idx="71">
                  <c:v>595</c:v>
                </c:pt>
                <c:pt idx="72">
                  <c:v>600</c:v>
                </c:pt>
                <c:pt idx="73">
                  <c:v>605</c:v>
                </c:pt>
                <c:pt idx="74">
                  <c:v>610</c:v>
                </c:pt>
                <c:pt idx="75">
                  <c:v>615</c:v>
                </c:pt>
                <c:pt idx="76">
                  <c:v>620</c:v>
                </c:pt>
                <c:pt idx="77">
                  <c:v>625</c:v>
                </c:pt>
                <c:pt idx="78">
                  <c:v>630</c:v>
                </c:pt>
                <c:pt idx="79">
                  <c:v>635</c:v>
                </c:pt>
                <c:pt idx="80">
                  <c:v>640</c:v>
                </c:pt>
                <c:pt idx="81">
                  <c:v>645</c:v>
                </c:pt>
                <c:pt idx="82">
                  <c:v>650</c:v>
                </c:pt>
                <c:pt idx="83">
                  <c:v>655</c:v>
                </c:pt>
                <c:pt idx="84">
                  <c:v>660</c:v>
                </c:pt>
                <c:pt idx="85">
                  <c:v>665</c:v>
                </c:pt>
                <c:pt idx="86">
                  <c:v>670</c:v>
                </c:pt>
                <c:pt idx="87">
                  <c:v>675</c:v>
                </c:pt>
                <c:pt idx="88">
                  <c:v>680</c:v>
                </c:pt>
                <c:pt idx="89">
                  <c:v>685</c:v>
                </c:pt>
                <c:pt idx="90">
                  <c:v>690</c:v>
                </c:pt>
                <c:pt idx="91">
                  <c:v>695</c:v>
                </c:pt>
                <c:pt idx="92">
                  <c:v>700</c:v>
                </c:pt>
                <c:pt idx="93">
                  <c:v>705</c:v>
                </c:pt>
                <c:pt idx="94">
                  <c:v>710</c:v>
                </c:pt>
                <c:pt idx="95">
                  <c:v>715</c:v>
                </c:pt>
                <c:pt idx="96">
                  <c:v>720</c:v>
                </c:pt>
                <c:pt idx="97">
                  <c:v>725</c:v>
                </c:pt>
                <c:pt idx="98">
                  <c:v>730</c:v>
                </c:pt>
                <c:pt idx="99">
                  <c:v>735</c:v>
                </c:pt>
                <c:pt idx="100">
                  <c:v>740</c:v>
                </c:pt>
                <c:pt idx="101">
                  <c:v>745</c:v>
                </c:pt>
                <c:pt idx="102">
                  <c:v>750</c:v>
                </c:pt>
                <c:pt idx="103">
                  <c:v>755</c:v>
                </c:pt>
                <c:pt idx="104">
                  <c:v>760</c:v>
                </c:pt>
                <c:pt idx="105">
                  <c:v>765</c:v>
                </c:pt>
                <c:pt idx="106">
                  <c:v>770</c:v>
                </c:pt>
                <c:pt idx="107">
                  <c:v>775</c:v>
                </c:pt>
                <c:pt idx="108">
                  <c:v>780</c:v>
                </c:pt>
                <c:pt idx="109">
                  <c:v>785</c:v>
                </c:pt>
                <c:pt idx="110">
                  <c:v>790</c:v>
                </c:pt>
                <c:pt idx="111">
                  <c:v>795</c:v>
                </c:pt>
                <c:pt idx="112">
                  <c:v>800</c:v>
                </c:pt>
                <c:pt idx="113">
                  <c:v>805</c:v>
                </c:pt>
                <c:pt idx="114">
                  <c:v>810</c:v>
                </c:pt>
                <c:pt idx="115">
                  <c:v>815</c:v>
                </c:pt>
                <c:pt idx="116">
                  <c:v>820</c:v>
                </c:pt>
                <c:pt idx="117">
                  <c:v>825</c:v>
                </c:pt>
                <c:pt idx="118">
                  <c:v>830</c:v>
                </c:pt>
                <c:pt idx="119">
                  <c:v>835</c:v>
                </c:pt>
                <c:pt idx="120">
                  <c:v>840</c:v>
                </c:pt>
                <c:pt idx="121">
                  <c:v>845</c:v>
                </c:pt>
                <c:pt idx="122">
                  <c:v>850</c:v>
                </c:pt>
                <c:pt idx="123">
                  <c:v>855</c:v>
                </c:pt>
                <c:pt idx="124">
                  <c:v>860</c:v>
                </c:pt>
                <c:pt idx="125">
                  <c:v>865</c:v>
                </c:pt>
                <c:pt idx="126">
                  <c:v>870</c:v>
                </c:pt>
                <c:pt idx="127">
                  <c:v>875</c:v>
                </c:pt>
                <c:pt idx="128">
                  <c:v>880</c:v>
                </c:pt>
              </c:numCache>
            </c:numRef>
          </c:cat>
          <c:val>
            <c:numRef>
              <c:f>[0]!PUT_VOLUME_AXIS</c:f>
              <c:numCache>
                <c:formatCode>#,##0.00</c:formatCode>
                <c:ptCount val="129"/>
                <c:pt idx="0">
                  <c:v>77</c:v>
                </c:pt>
                <c:pt idx="1">
                  <c:v>13</c:v>
                </c:pt>
                <c:pt idx="2">
                  <c:v>1</c:v>
                </c:pt>
                <c:pt idx="3">
                  <c:v>288</c:v>
                </c:pt>
                <c:pt idx="4">
                  <c:v>2</c:v>
                </c:pt>
                <c:pt idx="5">
                  <c:v>18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10</c:v>
                </c:pt>
                <c:pt idx="10">
                  <c:v>2</c:v>
                </c:pt>
                <c:pt idx="11">
                  <c:v>6</c:v>
                </c:pt>
                <c:pt idx="12">
                  <c:v>70</c:v>
                </c:pt>
                <c:pt idx="13">
                  <c:v>2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6</c:v>
                </c:pt>
                <c:pt idx="19">
                  <c:v>15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24</c:v>
                </c:pt>
                <c:pt idx="24">
                  <c:v>26</c:v>
                </c:pt>
                <c:pt idx="25">
                  <c:v>8</c:v>
                </c:pt>
                <c:pt idx="26">
                  <c:v>6</c:v>
                </c:pt>
                <c:pt idx="27">
                  <c:v>16</c:v>
                </c:pt>
                <c:pt idx="28">
                  <c:v>60</c:v>
                </c:pt>
                <c:pt idx="29">
                  <c:v>24</c:v>
                </c:pt>
                <c:pt idx="30">
                  <c:v>3</c:v>
                </c:pt>
                <c:pt idx="31">
                  <c:v>17</c:v>
                </c:pt>
                <c:pt idx="32">
                  <c:v>68</c:v>
                </c:pt>
                <c:pt idx="33">
                  <c:v>22</c:v>
                </c:pt>
                <c:pt idx="34">
                  <c:v>131</c:v>
                </c:pt>
                <c:pt idx="35">
                  <c:v>1</c:v>
                </c:pt>
                <c:pt idx="36">
                  <c:v>13</c:v>
                </c:pt>
                <c:pt idx="37">
                  <c:v>11</c:v>
                </c:pt>
                <c:pt idx="38">
                  <c:v>4</c:v>
                </c:pt>
                <c:pt idx="39">
                  <c:v>10</c:v>
                </c:pt>
                <c:pt idx="40">
                  <c:v>306</c:v>
                </c:pt>
                <c:pt idx="41">
                  <c:v>4</c:v>
                </c:pt>
                <c:pt idx="42">
                  <c:v>19</c:v>
                </c:pt>
                <c:pt idx="43">
                  <c:v>4</c:v>
                </c:pt>
                <c:pt idx="44">
                  <c:v>18</c:v>
                </c:pt>
                <c:pt idx="45">
                  <c:v>2</c:v>
                </c:pt>
                <c:pt idx="46">
                  <c:v>54</c:v>
                </c:pt>
                <c:pt idx="47">
                  <c:v>11</c:v>
                </c:pt>
                <c:pt idx="48">
                  <c:v>12</c:v>
                </c:pt>
                <c:pt idx="49">
                  <c:v>20</c:v>
                </c:pt>
                <c:pt idx="50">
                  <c:v>2</c:v>
                </c:pt>
                <c:pt idx="51">
                  <c:v>2</c:v>
                </c:pt>
                <c:pt idx="52">
                  <c:v>52</c:v>
                </c:pt>
                <c:pt idx="53">
                  <c:v>10</c:v>
                </c:pt>
                <c:pt idx="54">
                  <c:v>8</c:v>
                </c:pt>
                <c:pt idx="55">
                  <c:v>2</c:v>
                </c:pt>
                <c:pt idx="56">
                  <c:v>4</c:v>
                </c:pt>
                <c:pt idx="57">
                  <c:v>115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62</c:v>
                </c:pt>
                <c:pt idx="63">
                  <c:v>3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10</c:v>
                </c:pt>
                <c:pt idx="68">
                  <c:v>2</c:v>
                </c:pt>
                <c:pt idx="69">
                  <c:v>2</c:v>
                </c:pt>
                <c:pt idx="70">
                  <c:v>20</c:v>
                </c:pt>
                <c:pt idx="71">
                  <c:v>2</c:v>
                </c:pt>
                <c:pt idx="72">
                  <c:v>51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1</c:v>
                </c:pt>
                <c:pt idx="77">
                  <c:v>2</c:v>
                </c:pt>
                <c:pt idx="78">
                  <c:v>5</c:v>
                </c:pt>
                <c:pt idx="79">
                  <c:v>1</c:v>
                </c:pt>
                <c:pt idx="80">
                  <c:v>5</c:v>
                </c:pt>
                <c:pt idx="81">
                  <c:v>1</c:v>
                </c:pt>
                <c:pt idx="82">
                  <c:v>4</c:v>
                </c:pt>
                <c:pt idx="83">
                  <c:v>1</c:v>
                </c:pt>
                <c:pt idx="84">
                  <c:v>5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6</c:v>
                </c:pt>
                <c:pt idx="92">
                  <c:v>10</c:v>
                </c:pt>
                <c:pt idx="93">
                  <c:v>1</c:v>
                </c:pt>
                <c:pt idx="94">
                  <c:v>18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11</c:v>
                </c:pt>
                <c:pt idx="118">
                  <c:v>5</c:v>
                </c:pt>
                <c:pt idx="119">
                  <c:v>11</c:v>
                </c:pt>
                <c:pt idx="120">
                  <c:v>1</c:v>
                </c:pt>
                <c:pt idx="121">
                  <c:v>1</c:v>
                </c:pt>
                <c:pt idx="122">
                  <c:v>20</c:v>
                </c:pt>
                <c:pt idx="123">
                  <c:v>0</c:v>
                </c:pt>
                <c:pt idx="124">
                  <c:v>10</c:v>
                </c:pt>
                <c:pt idx="125">
                  <c:v>10</c:v>
                </c:pt>
                <c:pt idx="126">
                  <c:v>3</c:v>
                </c:pt>
                <c:pt idx="127">
                  <c:v>3</c:v>
                </c:pt>
                <c:pt idx="128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67456"/>
        <c:axId val="160244288"/>
      </c:lineChart>
      <c:catAx>
        <c:axId val="6382080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60243712"/>
        <c:crosses val="autoZero"/>
        <c:auto val="1"/>
        <c:lblAlgn val="ctr"/>
        <c:lblOffset val="100"/>
        <c:noMultiLvlLbl val="0"/>
      </c:catAx>
      <c:valAx>
        <c:axId val="1602437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3820800"/>
        <c:crosses val="autoZero"/>
        <c:crossBetween val="between"/>
      </c:valAx>
      <c:valAx>
        <c:axId val="16024428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139667456"/>
        <c:crosses val="max"/>
        <c:crossBetween val="between"/>
      </c:valAx>
      <c:catAx>
        <c:axId val="139667456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one"/>
        <c:crossAx val="160244288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>
    <tabColor theme="7" tint="0.39997558519241921"/>
  </sheetPr>
  <sheetViews>
    <sheetView zoomScale="10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>
    <tabColor rgb="FF92D05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952500</xdr:colOff>
      <xdr:row>1</xdr:row>
      <xdr:rowOff>66675</xdr:rowOff>
    </xdr:from>
    <xdr:to>
      <xdr:col>9</xdr:col>
      <xdr:colOff>255270</xdr:colOff>
      <xdr:row>6</xdr:row>
      <xdr:rowOff>58819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24425" y="257175"/>
          <a:ext cx="3524250" cy="94464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266700</xdr:colOff>
      <xdr:row>26</xdr:row>
      <xdr:rowOff>95250</xdr:rowOff>
    </xdr:from>
    <xdr:to>
      <xdr:col>2</xdr:col>
      <xdr:colOff>685799</xdr:colOff>
      <xdr:row>29</xdr:row>
      <xdr:rowOff>38100</xdr:rowOff>
    </xdr:to>
    <xdr:sp macro="[0]!REFRESH_IMPLIED_VOLATILITY" textlink="">
      <xdr:nvSpPr>
        <xdr:cNvPr id="4" name="AutoShape 2"/>
        <xdr:cNvSpPr>
          <a:spLocks noChangeArrowheads="1"/>
        </xdr:cNvSpPr>
      </xdr:nvSpPr>
      <xdr:spPr bwMode="auto">
        <a:xfrm>
          <a:off x="514350" y="5048250"/>
          <a:ext cx="1800224" cy="5143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</a:t>
          </a:r>
        </a:p>
      </xdr:txBody>
    </xdr:sp>
    <xdr:clientData fPrintsWithSheet="0"/>
  </xdr:twoCellAnchor>
  <xdr:twoCellAnchor editAs="oneCell">
    <xdr:from>
      <xdr:col>5</xdr:col>
      <xdr:colOff>161925</xdr:colOff>
      <xdr:row>2</xdr:row>
      <xdr:rowOff>9525</xdr:rowOff>
    </xdr:from>
    <xdr:to>
      <xdr:col>5</xdr:col>
      <xdr:colOff>800100</xdr:colOff>
      <xdr:row>5</xdr:row>
      <xdr:rowOff>180975</xdr:rowOff>
    </xdr:to>
    <xdr:pic>
      <xdr:nvPicPr>
        <xdr:cNvPr id="5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33850" y="390525"/>
          <a:ext cx="638175" cy="7429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9</xdr:col>
      <xdr:colOff>676275</xdr:colOff>
      <xdr:row>3</xdr:row>
      <xdr:rowOff>9525</xdr:rowOff>
    </xdr:from>
    <xdr:to>
      <xdr:col>9</xdr:col>
      <xdr:colOff>1028700</xdr:colOff>
      <xdr:row>5</xdr:row>
      <xdr:rowOff>9525</xdr:rowOff>
    </xdr:to>
    <xdr:pic>
      <xdr:nvPicPr>
        <xdr:cNvPr id="6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839200" y="581025"/>
          <a:ext cx="352425" cy="381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</xdr:col>
      <xdr:colOff>76200</xdr:colOff>
      <xdr:row>3</xdr:row>
      <xdr:rowOff>47625</xdr:rowOff>
    </xdr:from>
    <xdr:to>
      <xdr:col>1</xdr:col>
      <xdr:colOff>581025</xdr:colOff>
      <xdr:row>6</xdr:row>
      <xdr:rowOff>9525</xdr:rowOff>
    </xdr:to>
    <xdr:pic>
      <xdr:nvPicPr>
        <xdr:cNvPr id="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23850" y="619125"/>
          <a:ext cx="504825" cy="5334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0.70419</cdr:x>
      <cdr:y>0.89029</cdr:y>
    </cdr:from>
    <cdr:to>
      <cdr:x>0.87696</cdr:x>
      <cdr:y>0.95504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100536" y="5612947"/>
          <a:ext cx="1496744" cy="408226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0.70419</cdr:x>
      <cdr:y>0.89029</cdr:y>
    </cdr:from>
    <cdr:to>
      <cdr:x>0.87696</cdr:x>
      <cdr:y>0.95504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100536" y="5612947"/>
          <a:ext cx="1496744" cy="408226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Folders/Desktop/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UNT_DAYS_FUNC"/>
      <definedName name="MATRIX_YAHOO_QUOTES_FUNC"/>
      <definedName name="OPTION_EXPIRE_DAYS_COUNT_FUN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3:AC318"/>
  <sheetViews>
    <sheetView showGridLines="0" workbookViewId="0">
      <selection activeCell="C12" sqref="C12"/>
    </sheetView>
  </sheetViews>
  <sheetFormatPr defaultColWidth="15.7109375" defaultRowHeight="15" customHeight="1"/>
  <cols>
    <col min="1" max="1" width="3.7109375" style="1" customWidth="1"/>
    <col min="2" max="2" width="20.7109375" style="1" bestFit="1" customWidth="1"/>
    <col min="3" max="3" width="15.7109375" style="1"/>
    <col min="4" max="4" width="3.7109375" style="1" customWidth="1"/>
    <col min="5" max="11" width="15.7109375" style="1" customWidth="1"/>
    <col min="12" max="12" width="15.7109375" style="1"/>
    <col min="13" max="29" width="15.7109375" style="1" customWidth="1"/>
    <col min="30" max="16384" width="15.7109375" style="1"/>
  </cols>
  <sheetData>
    <row r="3" spans="2:29" ht="15" customHeight="1">
      <c r="B3" s="19" t="s">
        <v>29</v>
      </c>
    </row>
    <row r="7" spans="2:29" ht="15" customHeight="1">
      <c r="F7" s="14"/>
    </row>
    <row r="8" spans="2:29" ht="15" customHeight="1">
      <c r="B8" s="3" t="s">
        <v>18</v>
      </c>
      <c r="C8" s="13" t="b">
        <v>1</v>
      </c>
      <c r="E8" s="6" t="s">
        <v>6</v>
      </c>
      <c r="F8" s="6" t="s">
        <v>27</v>
      </c>
      <c r="G8" s="6" t="s">
        <v>291</v>
      </c>
      <c r="H8" s="17" t="s">
        <v>25</v>
      </c>
      <c r="I8" s="6" t="s">
        <v>28</v>
      </c>
      <c r="J8" s="6" t="s">
        <v>292</v>
      </c>
      <c r="K8" s="17" t="s">
        <v>26</v>
      </c>
      <c r="M8" s="6" t="s">
        <v>9</v>
      </c>
      <c r="N8" s="8" t="s">
        <v>8</v>
      </c>
      <c r="O8" s="6" t="s">
        <v>7</v>
      </c>
      <c r="P8" s="6" t="s">
        <v>4</v>
      </c>
      <c r="Q8" s="6" t="s">
        <v>3</v>
      </c>
      <c r="R8" s="6" t="s">
        <v>2</v>
      </c>
      <c r="S8" s="6" t="s">
        <v>31</v>
      </c>
      <c r="T8" s="6" t="s">
        <v>1</v>
      </c>
      <c r="U8" s="6" t="s">
        <v>0</v>
      </c>
      <c r="V8" s="6" t="s">
        <v>6</v>
      </c>
      <c r="W8" s="6" t="s">
        <v>5</v>
      </c>
      <c r="X8" s="6" t="s">
        <v>4</v>
      </c>
      <c r="Y8" s="6" t="s">
        <v>3</v>
      </c>
      <c r="Z8" s="6" t="s">
        <v>2</v>
      </c>
      <c r="AA8" s="6" t="s">
        <v>31</v>
      </c>
      <c r="AB8" s="6" t="s">
        <v>1</v>
      </c>
      <c r="AC8" s="6" t="s">
        <v>0</v>
      </c>
    </row>
    <row r="9" spans="2:29" ht="15" customHeight="1">
      <c r="B9" s="3" t="s">
        <v>10</v>
      </c>
      <c r="C9" s="5" t="s">
        <v>32</v>
      </c>
      <c r="E9" s="7">
        <v>235</v>
      </c>
      <c r="F9" s="7">
        <v>221.5</v>
      </c>
      <c r="G9" s="7" t="e">
        <v>#N/A</v>
      </c>
      <c r="H9" s="18" t="e">
        <v>#N/A</v>
      </c>
      <c r="I9" s="7">
        <v>0.64</v>
      </c>
      <c r="J9" s="7" t="e">
        <v>#N/A</v>
      </c>
      <c r="K9" s="18" t="e">
        <v>#N/A</v>
      </c>
      <c r="M9" s="7">
        <v>444.57</v>
      </c>
      <c r="N9" s="9">
        <v>41565</v>
      </c>
      <c r="O9" s="7" t="s">
        <v>33</v>
      </c>
      <c r="P9" s="7">
        <v>221.5</v>
      </c>
      <c r="Q9" s="7">
        <v>0</v>
      </c>
      <c r="R9" s="7">
        <v>209.35</v>
      </c>
      <c r="S9" s="7">
        <v>211.9</v>
      </c>
      <c r="T9" s="7">
        <v>1</v>
      </c>
      <c r="U9" s="7">
        <v>1</v>
      </c>
      <c r="V9" s="7">
        <v>235</v>
      </c>
      <c r="W9" s="7" t="s">
        <v>34</v>
      </c>
      <c r="X9" s="7">
        <v>0.64</v>
      </c>
      <c r="Y9" s="7">
        <v>0</v>
      </c>
      <c r="Z9" s="7">
        <v>0.71</v>
      </c>
      <c r="AA9" s="7">
        <v>0.81</v>
      </c>
      <c r="AB9" s="7">
        <v>77</v>
      </c>
      <c r="AC9" s="7">
        <v>75</v>
      </c>
    </row>
    <row r="10" spans="2:29" ht="15" customHeight="1">
      <c r="B10" s="3" t="s">
        <v>19</v>
      </c>
      <c r="C10" s="16">
        <f>IF($C$8=FALSE,"-",[1]!MATRIX_YAHOO_QUOTES_FUNC("^TNX","l1","",0,FALSE)/100)</f>
        <v>1.9030000000000002E-2</v>
      </c>
      <c r="E10" s="7">
        <v>240</v>
      </c>
      <c r="F10" s="7" t="e">
        <v>#N/A</v>
      </c>
      <c r="G10" s="7" t="e">
        <v>#N/A</v>
      </c>
      <c r="H10" s="18" t="e">
        <v>#N/A</v>
      </c>
      <c r="I10" s="7">
        <v>0.91</v>
      </c>
      <c r="J10" s="7" t="e">
        <v>#N/A</v>
      </c>
      <c r="K10" s="18" t="e">
        <v>#N/A</v>
      </c>
      <c r="M10" s="7">
        <v>444.57</v>
      </c>
      <c r="N10" s="9">
        <v>41565</v>
      </c>
      <c r="O10" s="7" t="s">
        <v>35</v>
      </c>
      <c r="P10" s="7">
        <v>0</v>
      </c>
      <c r="Q10" s="7">
        <v>0</v>
      </c>
      <c r="R10" s="7">
        <v>204.6</v>
      </c>
      <c r="S10" s="7">
        <v>206.95</v>
      </c>
      <c r="T10" s="7">
        <v>0</v>
      </c>
      <c r="U10" s="7">
        <v>0</v>
      </c>
      <c r="V10" s="7">
        <v>240</v>
      </c>
      <c r="W10" s="7" t="s">
        <v>36</v>
      </c>
      <c r="X10" s="7">
        <v>0.91</v>
      </c>
      <c r="Y10" s="7">
        <v>0.12</v>
      </c>
      <c r="Z10" s="7">
        <v>0.8</v>
      </c>
      <c r="AA10" s="7">
        <v>0.98</v>
      </c>
      <c r="AB10" s="7">
        <v>13</v>
      </c>
      <c r="AC10" s="7">
        <v>67</v>
      </c>
    </row>
    <row r="11" spans="2:29" ht="15" customHeight="1">
      <c r="B11" s="3" t="s">
        <v>30</v>
      </c>
      <c r="C11" s="16">
        <f>IF($C$8=FALSE,"-",LN([1]!MATRIX_YAHOO_QUOTES_FUNC(C9,"y","",0,FALSE)/100+1))</f>
        <v>1.7545179215748864E-2</v>
      </c>
      <c r="E11" s="7">
        <v>250</v>
      </c>
      <c r="F11" s="7" t="e">
        <v>#N/A</v>
      </c>
      <c r="G11" s="7" t="e">
        <v>#N/A</v>
      </c>
      <c r="H11" s="18" t="e">
        <v>#N/A</v>
      </c>
      <c r="I11" s="7">
        <v>1.1100000000000001</v>
      </c>
      <c r="J11" s="7">
        <v>1.1099999999999994</v>
      </c>
      <c r="K11" s="18">
        <v>0.31610456014524119</v>
      </c>
      <c r="M11" s="7">
        <v>444.57</v>
      </c>
      <c r="N11" s="9">
        <v>41565</v>
      </c>
      <c r="O11" s="7" t="s">
        <v>37</v>
      </c>
      <c r="P11" s="7">
        <v>0</v>
      </c>
      <c r="Q11" s="7">
        <v>0</v>
      </c>
      <c r="R11" s="7">
        <v>194.65</v>
      </c>
      <c r="S11" s="7">
        <v>196.9</v>
      </c>
      <c r="T11" s="7">
        <v>0</v>
      </c>
      <c r="U11" s="7">
        <v>0</v>
      </c>
      <c r="V11" s="7">
        <v>250</v>
      </c>
      <c r="W11" s="7" t="s">
        <v>38</v>
      </c>
      <c r="X11" s="7">
        <v>1.1100000000000001</v>
      </c>
      <c r="Y11" s="7">
        <v>0</v>
      </c>
      <c r="Z11" s="7">
        <v>1.03</v>
      </c>
      <c r="AA11" s="7">
        <v>1.1200000000000001</v>
      </c>
      <c r="AB11" s="7">
        <v>1</v>
      </c>
      <c r="AC11" s="7">
        <v>30</v>
      </c>
    </row>
    <row r="12" spans="2:29" ht="15" customHeight="1">
      <c r="B12" s="3" t="s">
        <v>24</v>
      </c>
      <c r="C12" s="16">
        <f>IF($C$8=FALSE,"-",C10-C11)</f>
        <v>1.4848207842511375E-3</v>
      </c>
      <c r="E12" s="7">
        <v>255</v>
      </c>
      <c r="F12" s="7">
        <v>203.63</v>
      </c>
      <c r="G12" s="7">
        <v>203.63</v>
      </c>
      <c r="H12" s="18">
        <v>0.54930385761284217</v>
      </c>
      <c r="I12" s="7">
        <v>1.19</v>
      </c>
      <c r="J12" s="7">
        <v>1.1900000000000013</v>
      </c>
      <c r="K12" s="18">
        <v>0.31021389791741888</v>
      </c>
      <c r="M12" s="7">
        <v>444.57</v>
      </c>
      <c r="N12" s="9">
        <v>41565</v>
      </c>
      <c r="O12" s="7" t="s">
        <v>39</v>
      </c>
      <c r="P12" s="7">
        <v>203.63</v>
      </c>
      <c r="Q12" s="7">
        <v>0</v>
      </c>
      <c r="R12" s="7">
        <v>189.45</v>
      </c>
      <c r="S12" s="7">
        <v>191.95</v>
      </c>
      <c r="T12" s="7">
        <v>2</v>
      </c>
      <c r="U12" s="7">
        <v>0</v>
      </c>
      <c r="V12" s="7">
        <v>255</v>
      </c>
      <c r="W12" s="7" t="s">
        <v>40</v>
      </c>
      <c r="X12" s="7">
        <v>1.19</v>
      </c>
      <c r="Y12" s="7">
        <v>0.2</v>
      </c>
      <c r="Z12" s="7">
        <v>1.1399999999999999</v>
      </c>
      <c r="AA12" s="7">
        <v>1.24</v>
      </c>
      <c r="AB12" s="7">
        <v>288</v>
      </c>
      <c r="AC12" s="7">
        <v>165</v>
      </c>
    </row>
    <row r="13" spans="2:29" ht="15" customHeight="1">
      <c r="E13" s="7">
        <v>260</v>
      </c>
      <c r="F13" s="7">
        <v>199.65</v>
      </c>
      <c r="G13" s="7">
        <v>199.65</v>
      </c>
      <c r="H13" s="18">
        <v>0.54790166469293755</v>
      </c>
      <c r="I13" s="7">
        <v>1.46</v>
      </c>
      <c r="J13" s="7" t="e">
        <v>#N/A</v>
      </c>
      <c r="K13" s="18" t="e">
        <v>#N/A</v>
      </c>
      <c r="M13" s="7">
        <v>444.57</v>
      </c>
      <c r="N13" s="9">
        <v>41565</v>
      </c>
      <c r="O13" s="7" t="s">
        <v>41</v>
      </c>
      <c r="P13" s="7">
        <v>199.65</v>
      </c>
      <c r="Q13" s="7">
        <v>0</v>
      </c>
      <c r="R13" s="7">
        <v>184.6</v>
      </c>
      <c r="S13" s="7">
        <v>187</v>
      </c>
      <c r="T13" s="7">
        <v>2</v>
      </c>
      <c r="U13" s="7">
        <v>2</v>
      </c>
      <c r="V13" s="7">
        <v>260</v>
      </c>
      <c r="W13" s="7" t="s">
        <v>42</v>
      </c>
      <c r="X13" s="7">
        <v>1.46</v>
      </c>
      <c r="Y13" s="7">
        <v>0.46</v>
      </c>
      <c r="Z13" s="7">
        <v>1.3</v>
      </c>
      <c r="AA13" s="7">
        <v>1.74</v>
      </c>
      <c r="AB13" s="7">
        <v>2</v>
      </c>
      <c r="AC13" s="7">
        <v>70</v>
      </c>
    </row>
    <row r="14" spans="2:29" ht="15" customHeight="1">
      <c r="B14" s="3" t="s">
        <v>14</v>
      </c>
      <c r="C14" s="10">
        <f ca="1">TODAY()</f>
        <v>41332</v>
      </c>
      <c r="E14" s="7">
        <v>265</v>
      </c>
      <c r="F14" s="7" t="e">
        <v>#N/A</v>
      </c>
      <c r="G14" s="7" t="e">
        <v>#N/A</v>
      </c>
      <c r="H14" s="18" t="e">
        <v>#N/A</v>
      </c>
      <c r="I14" s="7">
        <v>1.62</v>
      </c>
      <c r="J14" s="7" t="e">
        <v>#N/A</v>
      </c>
      <c r="K14" s="18" t="e">
        <v>#N/A</v>
      </c>
      <c r="M14" s="7">
        <v>444.57</v>
      </c>
      <c r="N14" s="9">
        <v>41565</v>
      </c>
      <c r="O14" s="7" t="s">
        <v>43</v>
      </c>
      <c r="P14" s="7">
        <v>0</v>
      </c>
      <c r="Q14" s="7">
        <v>0</v>
      </c>
      <c r="R14" s="7">
        <v>179.8</v>
      </c>
      <c r="S14" s="7">
        <v>182</v>
      </c>
      <c r="T14" s="7">
        <v>0</v>
      </c>
      <c r="U14" s="7">
        <v>0</v>
      </c>
      <c r="V14" s="7">
        <v>265</v>
      </c>
      <c r="W14" s="7" t="s">
        <v>44</v>
      </c>
      <c r="X14" s="7">
        <v>1.62</v>
      </c>
      <c r="Y14" s="7">
        <v>0.59</v>
      </c>
      <c r="Z14" s="7">
        <v>1.47</v>
      </c>
      <c r="AA14" s="7">
        <v>1.58</v>
      </c>
      <c r="AB14" s="7">
        <v>18</v>
      </c>
      <c r="AC14" s="7">
        <v>85</v>
      </c>
    </row>
    <row r="15" spans="2:29" ht="15" customHeight="1">
      <c r="B15" s="3" t="s">
        <v>12</v>
      </c>
      <c r="C15" s="4">
        <f ca="1">YEAR(C14)</f>
        <v>2013</v>
      </c>
      <c r="E15" s="7">
        <v>270</v>
      </c>
      <c r="F15" s="7">
        <v>185.2</v>
      </c>
      <c r="G15" s="7">
        <v>185.2</v>
      </c>
      <c r="H15" s="18">
        <v>0.45049113781040245</v>
      </c>
      <c r="I15" s="7">
        <v>1.7</v>
      </c>
      <c r="J15" s="7">
        <v>1.7000000000000011</v>
      </c>
      <c r="K15" s="18">
        <v>0.30133764077834307</v>
      </c>
      <c r="M15" s="7">
        <v>444.57</v>
      </c>
      <c r="N15" s="9">
        <v>41565</v>
      </c>
      <c r="O15" s="7" t="s">
        <v>45</v>
      </c>
      <c r="P15" s="7">
        <v>185.2</v>
      </c>
      <c r="Q15" s="7">
        <v>0</v>
      </c>
      <c r="R15" s="7">
        <v>174.9</v>
      </c>
      <c r="S15" s="7">
        <v>177</v>
      </c>
      <c r="T15" s="7">
        <v>2</v>
      </c>
      <c r="U15" s="7">
        <v>10</v>
      </c>
      <c r="V15" s="7">
        <v>270</v>
      </c>
      <c r="W15" s="7" t="s">
        <v>46</v>
      </c>
      <c r="X15" s="7">
        <v>1.7</v>
      </c>
      <c r="Y15" s="7">
        <v>0.24</v>
      </c>
      <c r="Z15" s="7">
        <v>1.66</v>
      </c>
      <c r="AA15" s="7">
        <v>1.79</v>
      </c>
      <c r="AB15" s="7">
        <v>20</v>
      </c>
      <c r="AC15" s="7">
        <v>121</v>
      </c>
    </row>
    <row r="16" spans="2:29" ht="15" customHeight="1">
      <c r="B16" s="3" t="s">
        <v>11</v>
      </c>
      <c r="C16" s="4">
        <v>10</v>
      </c>
      <c r="E16" s="7">
        <v>275</v>
      </c>
      <c r="F16" s="7">
        <v>180.35</v>
      </c>
      <c r="G16" s="7">
        <v>180.35</v>
      </c>
      <c r="H16" s="18">
        <v>0.43859697165261574</v>
      </c>
      <c r="I16" s="7">
        <v>1.4</v>
      </c>
      <c r="J16" s="7" t="e">
        <v>#N/A</v>
      </c>
      <c r="K16" s="18" t="e">
        <v>#N/A</v>
      </c>
      <c r="M16" s="7">
        <v>444.57</v>
      </c>
      <c r="N16" s="9">
        <v>41565</v>
      </c>
      <c r="O16" s="7" t="s">
        <v>47</v>
      </c>
      <c r="P16" s="7">
        <v>180.35</v>
      </c>
      <c r="Q16" s="7">
        <v>0</v>
      </c>
      <c r="R16" s="7">
        <v>169.75</v>
      </c>
      <c r="S16" s="7">
        <v>171.6</v>
      </c>
      <c r="T16" s="7">
        <v>1</v>
      </c>
      <c r="U16" s="7">
        <v>1</v>
      </c>
      <c r="V16" s="7">
        <v>275</v>
      </c>
      <c r="W16" s="7" t="s">
        <v>48</v>
      </c>
      <c r="X16" s="7">
        <v>1.4</v>
      </c>
      <c r="Y16" s="7">
        <v>0</v>
      </c>
      <c r="Z16" s="7">
        <v>1.87</v>
      </c>
      <c r="AA16" s="7">
        <v>2.06</v>
      </c>
      <c r="AB16" s="7">
        <v>20</v>
      </c>
      <c r="AC16" s="7">
        <v>84</v>
      </c>
    </row>
    <row r="17" spans="2:29" ht="15" customHeight="1">
      <c r="B17" s="3" t="s">
        <v>13</v>
      </c>
      <c r="C17" s="2" t="str">
        <f ca="1">IF($C$8=FALSE,"-",IF(OR(C15="",C16=""),"",C15&amp;"-"&amp;C16))</f>
        <v>2013-10</v>
      </c>
      <c r="E17" s="7">
        <v>280</v>
      </c>
      <c r="F17" s="7">
        <v>165.45</v>
      </c>
      <c r="G17" s="7" t="e">
        <v>#N/A</v>
      </c>
      <c r="H17" s="18" t="e">
        <v>#N/A</v>
      </c>
      <c r="I17" s="7">
        <v>2.11</v>
      </c>
      <c r="J17" s="7" t="e">
        <v>#N/A</v>
      </c>
      <c r="K17" s="18" t="e">
        <v>#N/A</v>
      </c>
      <c r="M17" s="7">
        <v>444.57</v>
      </c>
      <c r="N17" s="9">
        <v>41565</v>
      </c>
      <c r="O17" s="7" t="s">
        <v>49</v>
      </c>
      <c r="P17" s="7">
        <v>165.45</v>
      </c>
      <c r="Q17" s="7">
        <v>1.25</v>
      </c>
      <c r="R17" s="7">
        <v>165.15</v>
      </c>
      <c r="S17" s="7">
        <v>166.25</v>
      </c>
      <c r="T17" s="7">
        <v>26</v>
      </c>
      <c r="U17" s="7">
        <v>0</v>
      </c>
      <c r="V17" s="7">
        <v>280</v>
      </c>
      <c r="W17" s="7" t="s">
        <v>50</v>
      </c>
      <c r="X17" s="7">
        <v>2.11</v>
      </c>
      <c r="Y17" s="7">
        <v>0.04</v>
      </c>
      <c r="Z17" s="7">
        <v>2.11</v>
      </c>
      <c r="AA17" s="7">
        <v>2.2799999999999998</v>
      </c>
      <c r="AB17" s="7">
        <v>20</v>
      </c>
      <c r="AC17" s="7">
        <v>75</v>
      </c>
    </row>
    <row r="18" spans="2:29" ht="15" customHeight="1">
      <c r="B18" s="3" t="s">
        <v>17</v>
      </c>
      <c r="C18" s="15">
        <f ca="1">IF($C$8=FALSE,"-",C14+[1]!OPTION_EXPIRE_DAYS_COUNT_FUNC(C14,C16,C15))</f>
        <v>41566</v>
      </c>
      <c r="E18" s="7">
        <v>285</v>
      </c>
      <c r="F18" s="7" t="e">
        <v>#N/A</v>
      </c>
      <c r="G18" s="7" t="e">
        <v>#N/A</v>
      </c>
      <c r="H18" s="18" t="e">
        <v>#N/A</v>
      </c>
      <c r="I18" s="7">
        <v>2.25</v>
      </c>
      <c r="J18" s="7">
        <v>2.25</v>
      </c>
      <c r="K18" s="18">
        <v>0.28924129472310617</v>
      </c>
      <c r="M18" s="7">
        <v>444.57</v>
      </c>
      <c r="N18" s="9">
        <v>41565</v>
      </c>
      <c r="O18" s="7" t="s">
        <v>51</v>
      </c>
      <c r="P18" s="7">
        <v>0</v>
      </c>
      <c r="Q18" s="7">
        <v>0</v>
      </c>
      <c r="R18" s="7">
        <v>160.1</v>
      </c>
      <c r="S18" s="7">
        <v>162.44999999999999</v>
      </c>
      <c r="T18" s="7">
        <v>0</v>
      </c>
      <c r="U18" s="7">
        <v>0</v>
      </c>
      <c r="V18" s="7">
        <v>285</v>
      </c>
      <c r="W18" s="7" t="s">
        <v>52</v>
      </c>
      <c r="X18" s="7">
        <v>2.25</v>
      </c>
      <c r="Y18" s="7">
        <v>0</v>
      </c>
      <c r="Z18" s="7">
        <v>2.35</v>
      </c>
      <c r="AA18" s="7">
        <v>2.52</v>
      </c>
      <c r="AB18" s="7">
        <v>10</v>
      </c>
      <c r="AC18" s="7">
        <v>82</v>
      </c>
    </row>
    <row r="19" spans="2:29" ht="15" customHeight="1">
      <c r="B19" s="3" t="s">
        <v>16</v>
      </c>
      <c r="C19" s="12">
        <v>252</v>
      </c>
      <c r="E19" s="7">
        <v>290</v>
      </c>
      <c r="F19" s="7" t="e">
        <v>#N/A</v>
      </c>
      <c r="G19" s="7" t="e">
        <v>#N/A</v>
      </c>
      <c r="H19" s="18" t="e">
        <v>#N/A</v>
      </c>
      <c r="I19" s="7">
        <v>2.94</v>
      </c>
      <c r="J19" s="7">
        <v>2.9400000000000084</v>
      </c>
      <c r="K19" s="18">
        <v>0.29665073876257292</v>
      </c>
      <c r="M19" s="7">
        <v>444.57</v>
      </c>
      <c r="N19" s="9">
        <v>41565</v>
      </c>
      <c r="O19" s="7" t="s">
        <v>53</v>
      </c>
      <c r="P19" s="7">
        <v>0</v>
      </c>
      <c r="Q19" s="7">
        <v>0</v>
      </c>
      <c r="R19" s="7">
        <v>155.25</v>
      </c>
      <c r="S19" s="7">
        <v>157.44999999999999</v>
      </c>
      <c r="T19" s="7">
        <v>0</v>
      </c>
      <c r="U19" s="7">
        <v>0</v>
      </c>
      <c r="V19" s="7">
        <v>290</v>
      </c>
      <c r="W19" s="7" t="s">
        <v>54</v>
      </c>
      <c r="X19" s="7">
        <v>2.94</v>
      </c>
      <c r="Y19" s="7">
        <v>0</v>
      </c>
      <c r="Z19" s="7">
        <v>2.57</v>
      </c>
      <c r="AA19" s="7">
        <v>2.94</v>
      </c>
      <c r="AB19" s="7">
        <v>2</v>
      </c>
      <c r="AC19" s="7">
        <v>146</v>
      </c>
    </row>
    <row r="20" spans="2:29" ht="15" customHeight="1">
      <c r="B20" s="3" t="s">
        <v>15</v>
      </c>
      <c r="C20" s="11">
        <f ca="1">IF($C$8=FALSE,"-",[1]!COUNT_DAYS_FUNC(C14,C18,1)/C19)</f>
        <v>0.9285714285714286</v>
      </c>
      <c r="E20" s="7">
        <v>295</v>
      </c>
      <c r="F20" s="7">
        <v>251.6</v>
      </c>
      <c r="G20" s="7">
        <v>251.6</v>
      </c>
      <c r="H20" s="18">
        <v>1.2770372537272592</v>
      </c>
      <c r="I20" s="7">
        <v>2.9</v>
      </c>
      <c r="J20" s="7">
        <v>2.899999999999995</v>
      </c>
      <c r="K20" s="18">
        <v>0.28598007178639573</v>
      </c>
      <c r="M20" s="7">
        <v>444.57</v>
      </c>
      <c r="N20" s="9">
        <v>41565</v>
      </c>
      <c r="O20" s="7" t="s">
        <v>55</v>
      </c>
      <c r="P20" s="7">
        <v>251.6</v>
      </c>
      <c r="Q20" s="7">
        <v>0</v>
      </c>
      <c r="R20" s="7">
        <v>150.44999999999999</v>
      </c>
      <c r="S20" s="7">
        <v>152.65</v>
      </c>
      <c r="T20" s="7">
        <v>0</v>
      </c>
      <c r="U20" s="7">
        <v>0</v>
      </c>
      <c r="V20" s="7">
        <v>295</v>
      </c>
      <c r="W20" s="7" t="s">
        <v>56</v>
      </c>
      <c r="X20" s="7">
        <v>2.9</v>
      </c>
      <c r="Y20" s="7">
        <v>0.17</v>
      </c>
      <c r="Z20" s="7">
        <v>2.8</v>
      </c>
      <c r="AA20" s="7">
        <v>3.15</v>
      </c>
      <c r="AB20" s="7">
        <v>6</v>
      </c>
      <c r="AC20" s="7">
        <v>313</v>
      </c>
    </row>
    <row r="21" spans="2:29" ht="15" customHeight="1">
      <c r="E21" s="7">
        <v>300</v>
      </c>
      <c r="F21" s="7">
        <v>148.25</v>
      </c>
      <c r="G21" s="7">
        <v>148.25</v>
      </c>
      <c r="H21" s="18">
        <v>0.21758558919352144</v>
      </c>
      <c r="I21" s="7">
        <v>3.3</v>
      </c>
      <c r="J21" s="7">
        <v>3.2999999999999936</v>
      </c>
      <c r="K21" s="18">
        <v>0.28485220761059121</v>
      </c>
      <c r="M21" s="7">
        <v>444.57</v>
      </c>
      <c r="N21" s="9">
        <v>41565</v>
      </c>
      <c r="O21" s="7" t="s">
        <v>57</v>
      </c>
      <c r="P21" s="7">
        <v>148.25</v>
      </c>
      <c r="Q21" s="7">
        <v>7.25</v>
      </c>
      <c r="R21" s="7">
        <v>145.75</v>
      </c>
      <c r="S21" s="7">
        <v>147.19999999999999</v>
      </c>
      <c r="T21" s="7">
        <v>19</v>
      </c>
      <c r="U21" s="7">
        <v>31</v>
      </c>
      <c r="V21" s="7">
        <v>300</v>
      </c>
      <c r="W21" s="7" t="s">
        <v>58</v>
      </c>
      <c r="X21" s="7">
        <v>3.3</v>
      </c>
      <c r="Y21" s="7">
        <v>0.25</v>
      </c>
      <c r="Z21" s="7">
        <v>3.25</v>
      </c>
      <c r="AA21" s="7">
        <v>3.5</v>
      </c>
      <c r="AB21" s="7">
        <v>70</v>
      </c>
      <c r="AC21" s="7">
        <v>1128</v>
      </c>
    </row>
    <row r="22" spans="2:29" ht="15" customHeight="1">
      <c r="B22" s="3" t="s">
        <v>20</v>
      </c>
      <c r="C22" s="20">
        <v>0</v>
      </c>
      <c r="E22" s="7">
        <v>305</v>
      </c>
      <c r="F22" s="7">
        <v>144.85</v>
      </c>
      <c r="G22" s="7" t="e">
        <v>#N/A</v>
      </c>
      <c r="H22" s="18" t="e">
        <v>#N/A</v>
      </c>
      <c r="I22" s="7">
        <v>2.42</v>
      </c>
      <c r="J22" s="7">
        <v>2.4200000000000017</v>
      </c>
      <c r="K22" s="18">
        <v>0.25615929479697197</v>
      </c>
      <c r="M22" s="7">
        <v>444.57</v>
      </c>
      <c r="N22" s="9">
        <v>41565</v>
      </c>
      <c r="O22" s="7" t="s">
        <v>59</v>
      </c>
      <c r="P22" s="7">
        <v>144.85</v>
      </c>
      <c r="Q22" s="7">
        <v>124.75</v>
      </c>
      <c r="R22" s="7">
        <v>141.1</v>
      </c>
      <c r="S22" s="7">
        <v>143.35</v>
      </c>
      <c r="T22" s="7">
        <v>1</v>
      </c>
      <c r="U22" s="7">
        <v>0</v>
      </c>
      <c r="V22" s="7">
        <v>305</v>
      </c>
      <c r="W22" s="7" t="s">
        <v>60</v>
      </c>
      <c r="X22" s="7">
        <v>2.42</v>
      </c>
      <c r="Y22" s="7">
        <v>0</v>
      </c>
      <c r="Z22" s="7">
        <v>3.65</v>
      </c>
      <c r="AA22" s="7">
        <v>3.85</v>
      </c>
      <c r="AB22" s="7">
        <v>2</v>
      </c>
      <c r="AC22" s="7">
        <v>106</v>
      </c>
    </row>
    <row r="23" spans="2:29" ht="15" customHeight="1">
      <c r="B23" s="3" t="s">
        <v>21</v>
      </c>
      <c r="C23" s="20">
        <v>0</v>
      </c>
      <c r="E23" s="7">
        <v>310</v>
      </c>
      <c r="F23" s="7">
        <v>131.30000000000001</v>
      </c>
      <c r="G23" s="7" t="e">
        <v>#N/A</v>
      </c>
      <c r="H23" s="18" t="e">
        <v>#N/A</v>
      </c>
      <c r="I23" s="7">
        <v>4.25</v>
      </c>
      <c r="J23" s="7">
        <v>4.25</v>
      </c>
      <c r="K23" s="18">
        <v>0.28301964524203393</v>
      </c>
      <c r="M23" s="7">
        <v>444.57</v>
      </c>
      <c r="N23" s="9">
        <v>41565</v>
      </c>
      <c r="O23" s="7" t="s">
        <v>61</v>
      </c>
      <c r="P23" s="7">
        <v>131.30000000000001</v>
      </c>
      <c r="Q23" s="7">
        <v>0</v>
      </c>
      <c r="R23" s="7">
        <v>136.15</v>
      </c>
      <c r="S23" s="7">
        <v>137.65</v>
      </c>
      <c r="T23" s="7">
        <v>11</v>
      </c>
      <c r="U23" s="7">
        <v>14</v>
      </c>
      <c r="V23" s="7">
        <v>310</v>
      </c>
      <c r="W23" s="7" t="s">
        <v>62</v>
      </c>
      <c r="X23" s="7">
        <v>4.25</v>
      </c>
      <c r="Y23" s="7">
        <v>0.1</v>
      </c>
      <c r="Z23" s="7">
        <v>4.0999999999999996</v>
      </c>
      <c r="AA23" s="7">
        <v>4.3</v>
      </c>
      <c r="AB23" s="7">
        <v>10</v>
      </c>
      <c r="AC23" s="7">
        <v>96</v>
      </c>
    </row>
    <row r="24" spans="2:29" ht="15" customHeight="1">
      <c r="B24" s="3" t="s">
        <v>22</v>
      </c>
      <c r="C24" s="20">
        <v>1</v>
      </c>
      <c r="E24" s="7">
        <v>315</v>
      </c>
      <c r="F24" s="7">
        <v>127.85</v>
      </c>
      <c r="G24" s="7" t="e">
        <v>#N/A</v>
      </c>
      <c r="H24" s="18" t="e">
        <v>#N/A</v>
      </c>
      <c r="I24" s="7">
        <v>4.75</v>
      </c>
      <c r="J24" s="7">
        <v>4.7500000000000071</v>
      </c>
      <c r="K24" s="18">
        <v>0.28136479181379892</v>
      </c>
      <c r="M24" s="7">
        <v>444.57</v>
      </c>
      <c r="N24" s="9">
        <v>41565</v>
      </c>
      <c r="O24" s="7" t="s">
        <v>63</v>
      </c>
      <c r="P24" s="7">
        <v>127.85</v>
      </c>
      <c r="Q24" s="7">
        <v>0</v>
      </c>
      <c r="R24" s="7">
        <v>131.69999999999999</v>
      </c>
      <c r="S24" s="7">
        <v>133</v>
      </c>
      <c r="T24" s="7">
        <v>4</v>
      </c>
      <c r="U24" s="7">
        <v>13</v>
      </c>
      <c r="V24" s="7">
        <v>315</v>
      </c>
      <c r="W24" s="7" t="s">
        <v>64</v>
      </c>
      <c r="X24" s="7">
        <v>4.75</v>
      </c>
      <c r="Y24" s="7">
        <v>0.25</v>
      </c>
      <c r="Z24" s="7">
        <v>4.55</v>
      </c>
      <c r="AA24" s="7">
        <v>4.8</v>
      </c>
      <c r="AB24" s="7">
        <v>10</v>
      </c>
      <c r="AC24" s="7">
        <v>148</v>
      </c>
    </row>
    <row r="25" spans="2:29" ht="15" customHeight="1">
      <c r="E25" s="7">
        <v>320</v>
      </c>
      <c r="F25" s="7">
        <v>127.8</v>
      </c>
      <c r="G25" s="7" t="e">
        <v>#N/A</v>
      </c>
      <c r="H25" s="18" t="e">
        <v>#N/A</v>
      </c>
      <c r="I25" s="7">
        <v>5.25</v>
      </c>
      <c r="J25" s="7">
        <v>5.2500000000000071</v>
      </c>
      <c r="K25" s="18">
        <v>0.27905103549167481</v>
      </c>
      <c r="M25" s="7">
        <v>444.57</v>
      </c>
      <c r="N25" s="9">
        <v>41565</v>
      </c>
      <c r="O25" s="7" t="s">
        <v>65</v>
      </c>
      <c r="P25" s="7">
        <v>127.8</v>
      </c>
      <c r="Q25" s="7">
        <v>0</v>
      </c>
      <c r="R25" s="7">
        <v>126.9</v>
      </c>
      <c r="S25" s="7">
        <v>128.44999999999999</v>
      </c>
      <c r="T25" s="7">
        <v>11</v>
      </c>
      <c r="U25" s="7">
        <v>24</v>
      </c>
      <c r="V25" s="7">
        <v>320</v>
      </c>
      <c r="W25" s="7" t="s">
        <v>66</v>
      </c>
      <c r="X25" s="7">
        <v>5.25</v>
      </c>
      <c r="Y25" s="7">
        <v>0.64</v>
      </c>
      <c r="Z25" s="7">
        <v>5.05</v>
      </c>
      <c r="AA25" s="7">
        <v>5.3</v>
      </c>
      <c r="AB25" s="7">
        <v>10</v>
      </c>
      <c r="AC25" s="7">
        <v>227</v>
      </c>
    </row>
    <row r="26" spans="2:29" ht="15" customHeight="1">
      <c r="B26" s="3" t="s">
        <v>23</v>
      </c>
      <c r="C26" s="4">
        <v>0</v>
      </c>
      <c r="E26" s="7">
        <v>325</v>
      </c>
      <c r="F26" s="7">
        <v>125.45</v>
      </c>
      <c r="G26" s="7" t="e">
        <v>#N/A</v>
      </c>
      <c r="H26" s="18" t="e">
        <v>#N/A</v>
      </c>
      <c r="I26" s="7">
        <v>5.74</v>
      </c>
      <c r="J26" s="7">
        <v>5.740000000000002</v>
      </c>
      <c r="K26" s="18">
        <v>0.27602896843283092</v>
      </c>
      <c r="M26" s="7">
        <v>444.57</v>
      </c>
      <c r="N26" s="9">
        <v>41565</v>
      </c>
      <c r="O26" s="7" t="s">
        <v>67</v>
      </c>
      <c r="P26" s="7">
        <v>125.45</v>
      </c>
      <c r="Q26" s="7">
        <v>11.83</v>
      </c>
      <c r="R26" s="7">
        <v>122.65</v>
      </c>
      <c r="S26" s="7">
        <v>124.1</v>
      </c>
      <c r="T26" s="7">
        <v>2</v>
      </c>
      <c r="U26" s="7">
        <v>9</v>
      </c>
      <c r="V26" s="7">
        <v>325</v>
      </c>
      <c r="W26" s="7" t="s">
        <v>68</v>
      </c>
      <c r="X26" s="7">
        <v>5.74</v>
      </c>
      <c r="Y26" s="7">
        <v>0</v>
      </c>
      <c r="Z26" s="7">
        <v>5.65</v>
      </c>
      <c r="AA26" s="7">
        <v>5.85</v>
      </c>
      <c r="AB26" s="7">
        <v>10</v>
      </c>
      <c r="AC26" s="7">
        <v>633</v>
      </c>
    </row>
    <row r="27" spans="2:29" ht="15" customHeight="1">
      <c r="E27" s="7">
        <v>330</v>
      </c>
      <c r="F27" s="7">
        <v>120.35</v>
      </c>
      <c r="G27" s="7" t="e">
        <v>#N/A</v>
      </c>
      <c r="H27" s="18" t="e">
        <v>#N/A</v>
      </c>
      <c r="I27" s="7">
        <v>6.7</v>
      </c>
      <c r="J27" s="7">
        <v>6.6999999999999957</v>
      </c>
      <c r="K27" s="18">
        <v>0.27871001593456152</v>
      </c>
      <c r="M27" s="7">
        <v>444.57</v>
      </c>
      <c r="N27" s="9">
        <v>41565</v>
      </c>
      <c r="O27" s="7" t="s">
        <v>69</v>
      </c>
      <c r="P27" s="7">
        <v>120.35</v>
      </c>
      <c r="Q27" s="7">
        <v>4.3499999999999996</v>
      </c>
      <c r="R27" s="7">
        <v>118.05</v>
      </c>
      <c r="S27" s="7">
        <v>119.3</v>
      </c>
      <c r="T27" s="7">
        <v>2</v>
      </c>
      <c r="U27" s="7">
        <v>34</v>
      </c>
      <c r="V27" s="7">
        <v>330</v>
      </c>
      <c r="W27" s="7" t="s">
        <v>70</v>
      </c>
      <c r="X27" s="7">
        <v>6.7</v>
      </c>
      <c r="Y27" s="7">
        <v>0</v>
      </c>
      <c r="Z27" s="7">
        <v>6.25</v>
      </c>
      <c r="AA27" s="7">
        <v>6.5</v>
      </c>
      <c r="AB27" s="7">
        <v>6</v>
      </c>
      <c r="AC27" s="7">
        <v>311</v>
      </c>
    </row>
    <row r="28" spans="2:29" ht="15" customHeight="1">
      <c r="E28" s="7">
        <v>335</v>
      </c>
      <c r="F28" s="7">
        <v>114</v>
      </c>
      <c r="G28" s="7">
        <v>114</v>
      </c>
      <c r="H28" s="18">
        <v>0.17054828145587489</v>
      </c>
      <c r="I28" s="7">
        <v>7.15</v>
      </c>
      <c r="J28" s="7">
        <v>7.1500000000000057</v>
      </c>
      <c r="K28" s="18">
        <v>0.27397026666749347</v>
      </c>
      <c r="M28" s="7">
        <v>444.57</v>
      </c>
      <c r="N28" s="9">
        <v>41565</v>
      </c>
      <c r="O28" s="7" t="s">
        <v>71</v>
      </c>
      <c r="P28" s="7">
        <v>114</v>
      </c>
      <c r="Q28" s="7">
        <v>0</v>
      </c>
      <c r="R28" s="7">
        <v>113.45</v>
      </c>
      <c r="S28" s="7">
        <v>114.9</v>
      </c>
      <c r="T28" s="7">
        <v>1</v>
      </c>
      <c r="U28" s="7">
        <v>28</v>
      </c>
      <c r="V28" s="7">
        <v>335</v>
      </c>
      <c r="W28" s="7" t="s">
        <v>72</v>
      </c>
      <c r="X28" s="7">
        <v>7.15</v>
      </c>
      <c r="Y28" s="7">
        <v>0</v>
      </c>
      <c r="Z28" s="7">
        <v>6.9</v>
      </c>
      <c r="AA28" s="7">
        <v>7.15</v>
      </c>
      <c r="AB28" s="7">
        <v>15</v>
      </c>
      <c r="AC28" s="7">
        <v>195</v>
      </c>
    </row>
    <row r="29" spans="2:29" ht="15" customHeight="1">
      <c r="E29" s="7">
        <v>340</v>
      </c>
      <c r="F29" s="7">
        <v>115.5</v>
      </c>
      <c r="G29" s="7">
        <v>115.5</v>
      </c>
      <c r="H29" s="18">
        <v>0.27515983919599979</v>
      </c>
      <c r="I29" s="7">
        <v>7.6</v>
      </c>
      <c r="J29" s="7" t="e">
        <v>#N/A</v>
      </c>
      <c r="K29" s="18" t="e">
        <v>#N/A</v>
      </c>
      <c r="M29" s="7">
        <v>444.57</v>
      </c>
      <c r="N29" s="9">
        <v>41565</v>
      </c>
      <c r="O29" s="7" t="s">
        <v>73</v>
      </c>
      <c r="P29" s="7">
        <v>115.5</v>
      </c>
      <c r="Q29" s="7">
        <v>0</v>
      </c>
      <c r="R29" s="7">
        <v>109.35</v>
      </c>
      <c r="S29" s="7">
        <v>110.4</v>
      </c>
      <c r="T29" s="7">
        <v>1</v>
      </c>
      <c r="U29" s="7">
        <v>36</v>
      </c>
      <c r="V29" s="7">
        <v>340</v>
      </c>
      <c r="W29" s="7" t="s">
        <v>74</v>
      </c>
      <c r="X29" s="7">
        <v>7.6</v>
      </c>
      <c r="Y29" s="7">
        <v>0.65</v>
      </c>
      <c r="Z29" s="7">
        <v>7.65</v>
      </c>
      <c r="AA29" s="7">
        <v>7.9</v>
      </c>
      <c r="AB29" s="7">
        <v>2</v>
      </c>
      <c r="AC29" s="7">
        <v>776</v>
      </c>
    </row>
    <row r="30" spans="2:29" ht="15" customHeight="1">
      <c r="E30" s="7">
        <v>345</v>
      </c>
      <c r="F30" s="7">
        <v>107.65</v>
      </c>
      <c r="G30" s="7" t="e">
        <v>#N/A</v>
      </c>
      <c r="H30" s="18" t="e">
        <v>#N/A</v>
      </c>
      <c r="I30" s="7">
        <v>9.7200000000000006</v>
      </c>
      <c r="J30" s="7">
        <v>9.7199999999999989</v>
      </c>
      <c r="K30" s="18">
        <v>0.28181916036888405</v>
      </c>
      <c r="M30" s="7">
        <v>444.57</v>
      </c>
      <c r="N30" s="9">
        <v>41565</v>
      </c>
      <c r="O30" s="7" t="s">
        <v>75</v>
      </c>
      <c r="P30" s="7">
        <v>107.65</v>
      </c>
      <c r="Q30" s="7">
        <v>4.3499999999999996</v>
      </c>
      <c r="R30" s="7">
        <v>104.7</v>
      </c>
      <c r="S30" s="7">
        <v>106.15</v>
      </c>
      <c r="T30" s="7">
        <v>16</v>
      </c>
      <c r="U30" s="7">
        <v>9</v>
      </c>
      <c r="V30" s="7">
        <v>345</v>
      </c>
      <c r="W30" s="7" t="s">
        <v>76</v>
      </c>
      <c r="X30" s="7">
        <v>9.7200000000000006</v>
      </c>
      <c r="Y30" s="7">
        <v>0</v>
      </c>
      <c r="Z30" s="7">
        <v>8.4499999999999993</v>
      </c>
      <c r="AA30" s="7">
        <v>8.65</v>
      </c>
      <c r="AB30" s="7">
        <v>1</v>
      </c>
      <c r="AC30" s="7">
        <v>269</v>
      </c>
    </row>
    <row r="31" spans="2:29" ht="15" customHeight="1">
      <c r="E31" s="7">
        <v>350</v>
      </c>
      <c r="F31" s="7">
        <v>106.5</v>
      </c>
      <c r="G31" s="7">
        <v>106.5</v>
      </c>
      <c r="H31" s="18">
        <v>0.26383452495761872</v>
      </c>
      <c r="I31" s="7">
        <v>9.85</v>
      </c>
      <c r="J31" s="7">
        <v>9.8500000000000085</v>
      </c>
      <c r="K31" s="18">
        <v>0.27222320249251847</v>
      </c>
      <c r="M31" s="7">
        <v>444.57</v>
      </c>
      <c r="N31" s="9">
        <v>41565</v>
      </c>
      <c r="O31" s="7" t="s">
        <v>77</v>
      </c>
      <c r="P31" s="7">
        <v>106.5</v>
      </c>
      <c r="Q31" s="7">
        <v>0</v>
      </c>
      <c r="R31" s="7">
        <v>100.75</v>
      </c>
      <c r="S31" s="7">
        <v>101.8</v>
      </c>
      <c r="T31" s="7">
        <v>1</v>
      </c>
      <c r="U31" s="7">
        <v>71</v>
      </c>
      <c r="V31" s="7">
        <v>350</v>
      </c>
      <c r="W31" s="7" t="s">
        <v>78</v>
      </c>
      <c r="X31" s="7">
        <v>9.85</v>
      </c>
      <c r="Y31" s="7">
        <v>0.35</v>
      </c>
      <c r="Z31" s="7">
        <v>9.3000000000000007</v>
      </c>
      <c r="AA31" s="7">
        <v>9.6</v>
      </c>
      <c r="AB31" s="7">
        <v>5</v>
      </c>
      <c r="AC31" s="7">
        <v>1026</v>
      </c>
    </row>
    <row r="32" spans="2:29" ht="15" customHeight="1">
      <c r="E32" s="7">
        <v>355</v>
      </c>
      <c r="F32" s="7">
        <v>118.89</v>
      </c>
      <c r="G32" s="7" t="e">
        <v>#N/A</v>
      </c>
      <c r="H32" s="18" t="e">
        <v>#N/A</v>
      </c>
      <c r="I32" s="7">
        <v>10.25</v>
      </c>
      <c r="J32" s="7">
        <v>10.25</v>
      </c>
      <c r="K32" s="18">
        <v>0.26532987287677801</v>
      </c>
      <c r="M32" s="7">
        <v>444.57</v>
      </c>
      <c r="N32" s="9">
        <v>41565</v>
      </c>
      <c r="O32" s="7" t="s">
        <v>79</v>
      </c>
      <c r="P32" s="7">
        <v>118.89</v>
      </c>
      <c r="Q32" s="7">
        <v>0</v>
      </c>
      <c r="R32" s="7">
        <v>96.65</v>
      </c>
      <c r="S32" s="7">
        <v>97.5</v>
      </c>
      <c r="T32" s="7">
        <v>2</v>
      </c>
      <c r="U32" s="7">
        <v>42</v>
      </c>
      <c r="V32" s="7">
        <v>355</v>
      </c>
      <c r="W32" s="7" t="s">
        <v>80</v>
      </c>
      <c r="X32" s="7">
        <v>10.25</v>
      </c>
      <c r="Y32" s="7">
        <v>0.3</v>
      </c>
      <c r="Z32" s="7">
        <v>10.199999999999999</v>
      </c>
      <c r="AA32" s="7">
        <v>10.5</v>
      </c>
      <c r="AB32" s="7">
        <v>24</v>
      </c>
      <c r="AC32" s="7">
        <v>281</v>
      </c>
    </row>
    <row r="33" spans="5:29" ht="15" customHeight="1">
      <c r="E33" s="7">
        <v>360</v>
      </c>
      <c r="F33" s="7">
        <v>91.51</v>
      </c>
      <c r="G33" s="7" t="e">
        <v>#N/A</v>
      </c>
      <c r="H33" s="18" t="e">
        <v>#N/A</v>
      </c>
      <c r="I33" s="7">
        <v>11.35</v>
      </c>
      <c r="J33" s="7" t="e">
        <v>#N/A</v>
      </c>
      <c r="K33" s="18" t="e">
        <v>#N/A</v>
      </c>
      <c r="M33" s="7">
        <v>444.57</v>
      </c>
      <c r="N33" s="9">
        <v>41565</v>
      </c>
      <c r="O33" s="7" t="s">
        <v>81</v>
      </c>
      <c r="P33" s="7">
        <v>91.51</v>
      </c>
      <c r="Q33" s="7">
        <v>0</v>
      </c>
      <c r="R33" s="7">
        <v>92.65</v>
      </c>
      <c r="S33" s="7">
        <v>93.95</v>
      </c>
      <c r="T33" s="7">
        <v>2</v>
      </c>
      <c r="U33" s="7">
        <v>15</v>
      </c>
      <c r="V33" s="7">
        <v>360</v>
      </c>
      <c r="W33" s="7" t="s">
        <v>82</v>
      </c>
      <c r="X33" s="7">
        <v>11.35</v>
      </c>
      <c r="Y33" s="7">
        <v>1.65</v>
      </c>
      <c r="Z33" s="7">
        <v>11.2</v>
      </c>
      <c r="AA33" s="7">
        <v>11.55</v>
      </c>
      <c r="AB33" s="7">
        <v>26</v>
      </c>
      <c r="AC33" s="7">
        <v>375</v>
      </c>
    </row>
    <row r="34" spans="5:29" ht="15" customHeight="1">
      <c r="E34" s="7">
        <v>365</v>
      </c>
      <c r="F34" s="7">
        <v>104.65</v>
      </c>
      <c r="G34" s="7" t="e">
        <v>#N/A</v>
      </c>
      <c r="H34" s="18" t="e">
        <v>#N/A</v>
      </c>
      <c r="I34" s="7">
        <v>14</v>
      </c>
      <c r="J34" s="7">
        <v>14</v>
      </c>
      <c r="K34" s="18">
        <v>0.27753357741041773</v>
      </c>
      <c r="M34" s="7">
        <v>444.57</v>
      </c>
      <c r="N34" s="9">
        <v>41565</v>
      </c>
      <c r="O34" s="7" t="s">
        <v>83</v>
      </c>
      <c r="P34" s="7">
        <v>104.65</v>
      </c>
      <c r="Q34" s="7">
        <v>0</v>
      </c>
      <c r="R34" s="7">
        <v>88.5</v>
      </c>
      <c r="S34" s="7">
        <v>89.5</v>
      </c>
      <c r="T34" s="7">
        <v>10</v>
      </c>
      <c r="U34" s="7">
        <v>26</v>
      </c>
      <c r="V34" s="7">
        <v>365</v>
      </c>
      <c r="W34" s="7" t="s">
        <v>84</v>
      </c>
      <c r="X34" s="7">
        <v>14</v>
      </c>
      <c r="Y34" s="7">
        <v>0</v>
      </c>
      <c r="Z34" s="7">
        <v>12.3</v>
      </c>
      <c r="AA34" s="7">
        <v>12.55</v>
      </c>
      <c r="AB34" s="7">
        <v>8</v>
      </c>
      <c r="AC34" s="7">
        <v>348</v>
      </c>
    </row>
    <row r="35" spans="5:29" ht="15" customHeight="1">
      <c r="E35" s="7">
        <v>370</v>
      </c>
      <c r="F35" s="7">
        <v>95.82</v>
      </c>
      <c r="G35" s="7">
        <v>95.82</v>
      </c>
      <c r="H35" s="18">
        <v>0.30348646590019723</v>
      </c>
      <c r="I35" s="7">
        <v>14.6</v>
      </c>
      <c r="J35" s="7">
        <v>14.600000000000009</v>
      </c>
      <c r="K35" s="18">
        <v>0.27101995189390843</v>
      </c>
      <c r="M35" s="7">
        <v>444.57</v>
      </c>
      <c r="N35" s="9">
        <v>41565</v>
      </c>
      <c r="O35" s="7" t="s">
        <v>85</v>
      </c>
      <c r="P35" s="7">
        <v>95.82</v>
      </c>
      <c r="Q35" s="7">
        <v>0</v>
      </c>
      <c r="R35" s="7">
        <v>84.75</v>
      </c>
      <c r="S35" s="7">
        <v>85.35</v>
      </c>
      <c r="T35" s="7">
        <v>10</v>
      </c>
      <c r="U35" s="7">
        <v>22</v>
      </c>
      <c r="V35" s="7">
        <v>370</v>
      </c>
      <c r="W35" s="7" t="s">
        <v>86</v>
      </c>
      <c r="X35" s="7">
        <v>14.6</v>
      </c>
      <c r="Y35" s="7">
        <v>0</v>
      </c>
      <c r="Z35" s="7">
        <v>13.45</v>
      </c>
      <c r="AA35" s="7">
        <v>13.9</v>
      </c>
      <c r="AB35" s="7">
        <v>6</v>
      </c>
      <c r="AC35" s="7">
        <v>322</v>
      </c>
    </row>
    <row r="36" spans="5:29" ht="15" customHeight="1">
      <c r="E36" s="7">
        <v>375</v>
      </c>
      <c r="F36" s="7">
        <v>80.45</v>
      </c>
      <c r="G36" s="7" t="e">
        <v>#N/A</v>
      </c>
      <c r="H36" s="18" t="e">
        <v>#N/A</v>
      </c>
      <c r="I36" s="7">
        <v>14.99</v>
      </c>
      <c r="J36" s="7">
        <v>14.989999999999995</v>
      </c>
      <c r="K36" s="18">
        <v>0.26255360057534588</v>
      </c>
      <c r="M36" s="7">
        <v>444.57</v>
      </c>
      <c r="N36" s="9">
        <v>41565</v>
      </c>
      <c r="O36" s="7" t="s">
        <v>87</v>
      </c>
      <c r="P36" s="7">
        <v>80.45</v>
      </c>
      <c r="Q36" s="7">
        <v>10.75</v>
      </c>
      <c r="R36" s="7">
        <v>80.5</v>
      </c>
      <c r="S36" s="7">
        <v>81.75</v>
      </c>
      <c r="T36" s="7">
        <v>11</v>
      </c>
      <c r="U36" s="7">
        <v>65</v>
      </c>
      <c r="V36" s="7">
        <v>375</v>
      </c>
      <c r="W36" s="7" t="s">
        <v>88</v>
      </c>
      <c r="X36" s="7">
        <v>14.99</v>
      </c>
      <c r="Y36" s="7">
        <v>0.09</v>
      </c>
      <c r="Z36" s="7">
        <v>14.65</v>
      </c>
      <c r="AA36" s="7">
        <v>15</v>
      </c>
      <c r="AB36" s="7">
        <v>16</v>
      </c>
      <c r="AC36" s="7">
        <v>466</v>
      </c>
    </row>
    <row r="37" spans="5:29" ht="15" customHeight="1">
      <c r="E37" s="7">
        <v>380</v>
      </c>
      <c r="F37" s="7">
        <v>79.209999999999994</v>
      </c>
      <c r="G37" s="7" t="e">
        <v>#N/A</v>
      </c>
      <c r="H37" s="18" t="e">
        <v>#N/A</v>
      </c>
      <c r="I37" s="7">
        <v>16.5</v>
      </c>
      <c r="J37" s="7" t="e">
        <v>#N/A</v>
      </c>
      <c r="K37" s="18" t="e">
        <v>#N/A</v>
      </c>
      <c r="M37" s="7">
        <v>444.57</v>
      </c>
      <c r="N37" s="9">
        <v>41565</v>
      </c>
      <c r="O37" s="7" t="s">
        <v>89</v>
      </c>
      <c r="P37" s="7">
        <v>79.209999999999994</v>
      </c>
      <c r="Q37" s="7">
        <v>0</v>
      </c>
      <c r="R37" s="7">
        <v>77.05</v>
      </c>
      <c r="S37" s="7">
        <v>77.849999999999994</v>
      </c>
      <c r="T37" s="7">
        <v>5</v>
      </c>
      <c r="U37" s="7">
        <v>38</v>
      </c>
      <c r="V37" s="7">
        <v>380</v>
      </c>
      <c r="W37" s="7" t="s">
        <v>90</v>
      </c>
      <c r="X37" s="7">
        <v>16.5</v>
      </c>
      <c r="Y37" s="7">
        <v>0.4</v>
      </c>
      <c r="Z37" s="7">
        <v>16</v>
      </c>
      <c r="AA37" s="7">
        <v>16.5</v>
      </c>
      <c r="AB37" s="7">
        <v>60</v>
      </c>
      <c r="AC37" s="7">
        <v>603</v>
      </c>
    </row>
    <row r="38" spans="5:29" ht="15" customHeight="1">
      <c r="E38" s="7">
        <v>385</v>
      </c>
      <c r="F38" s="7">
        <v>91.5</v>
      </c>
      <c r="G38" s="7" t="e">
        <v>#N/A</v>
      </c>
      <c r="H38" s="18" t="e">
        <v>#N/A</v>
      </c>
      <c r="I38" s="7">
        <v>17.75</v>
      </c>
      <c r="J38" s="7">
        <v>17.75</v>
      </c>
      <c r="K38" s="18">
        <v>0.26046560698683713</v>
      </c>
      <c r="M38" s="7">
        <v>444.57</v>
      </c>
      <c r="N38" s="9">
        <v>41565</v>
      </c>
      <c r="O38" s="7" t="s">
        <v>91</v>
      </c>
      <c r="P38" s="7">
        <v>91.5</v>
      </c>
      <c r="Q38" s="7">
        <v>0</v>
      </c>
      <c r="R38" s="7">
        <v>73.45</v>
      </c>
      <c r="S38" s="7">
        <v>74.25</v>
      </c>
      <c r="T38" s="7">
        <v>1</v>
      </c>
      <c r="U38" s="7">
        <v>18</v>
      </c>
      <c r="V38" s="7">
        <v>385</v>
      </c>
      <c r="W38" s="7" t="s">
        <v>92</v>
      </c>
      <c r="X38" s="7">
        <v>17.75</v>
      </c>
      <c r="Y38" s="7">
        <v>0.25</v>
      </c>
      <c r="Z38" s="7">
        <v>17.45</v>
      </c>
      <c r="AA38" s="7">
        <v>17.8</v>
      </c>
      <c r="AB38" s="7">
        <v>24</v>
      </c>
      <c r="AC38" s="7">
        <v>515</v>
      </c>
    </row>
    <row r="39" spans="5:29" ht="15" customHeight="1">
      <c r="E39" s="7">
        <v>390</v>
      </c>
      <c r="F39" s="7">
        <v>70</v>
      </c>
      <c r="G39" s="7">
        <v>70</v>
      </c>
      <c r="H39" s="18">
        <v>0.2057606496978438</v>
      </c>
      <c r="I39" s="7">
        <v>18.61</v>
      </c>
      <c r="J39" s="7" t="e">
        <v>#N/A</v>
      </c>
      <c r="K39" s="18" t="e">
        <v>#N/A</v>
      </c>
      <c r="M39" s="7">
        <v>444.57</v>
      </c>
      <c r="N39" s="9">
        <v>41565</v>
      </c>
      <c r="O39" s="7" t="s">
        <v>93</v>
      </c>
      <c r="P39" s="7">
        <v>70</v>
      </c>
      <c r="Q39" s="7">
        <v>0</v>
      </c>
      <c r="R39" s="7">
        <v>69.95</v>
      </c>
      <c r="S39" s="7">
        <v>70.599999999999994</v>
      </c>
      <c r="T39" s="7">
        <v>1</v>
      </c>
      <c r="U39" s="7">
        <v>47</v>
      </c>
      <c r="V39" s="7">
        <v>390</v>
      </c>
      <c r="W39" s="7" t="s">
        <v>94</v>
      </c>
      <c r="X39" s="7">
        <v>18.61</v>
      </c>
      <c r="Y39" s="7">
        <v>0.09</v>
      </c>
      <c r="Z39" s="7">
        <v>18.899999999999999</v>
      </c>
      <c r="AA39" s="7">
        <v>19.3</v>
      </c>
      <c r="AB39" s="7">
        <v>3</v>
      </c>
      <c r="AC39" s="7">
        <v>1137</v>
      </c>
    </row>
    <row r="40" spans="5:29" ht="15" customHeight="1">
      <c r="E40" s="7">
        <v>395</v>
      </c>
      <c r="F40" s="7">
        <v>75.56</v>
      </c>
      <c r="G40" s="7">
        <v>75.56</v>
      </c>
      <c r="H40" s="18">
        <v>0.27471747984849748</v>
      </c>
      <c r="I40" s="7">
        <v>21</v>
      </c>
      <c r="J40" s="7">
        <v>21</v>
      </c>
      <c r="K40" s="18">
        <v>0.25954384388734641</v>
      </c>
      <c r="M40" s="7">
        <v>444.57</v>
      </c>
      <c r="N40" s="9">
        <v>41565</v>
      </c>
      <c r="O40" s="7" t="s">
        <v>95</v>
      </c>
      <c r="P40" s="7">
        <v>75.56</v>
      </c>
      <c r="Q40" s="7">
        <v>0</v>
      </c>
      <c r="R40" s="7">
        <v>66.150000000000006</v>
      </c>
      <c r="S40" s="7">
        <v>67.099999999999994</v>
      </c>
      <c r="T40" s="7">
        <v>11</v>
      </c>
      <c r="U40" s="7">
        <v>32</v>
      </c>
      <c r="V40" s="7">
        <v>395</v>
      </c>
      <c r="W40" s="7" t="s">
        <v>96</v>
      </c>
      <c r="X40" s="7">
        <v>21</v>
      </c>
      <c r="Y40" s="7">
        <v>2</v>
      </c>
      <c r="Z40" s="7">
        <v>20.55</v>
      </c>
      <c r="AA40" s="7">
        <v>20.95</v>
      </c>
      <c r="AB40" s="7">
        <v>17</v>
      </c>
      <c r="AC40" s="7">
        <v>930</v>
      </c>
    </row>
    <row r="41" spans="5:29" ht="15" customHeight="1">
      <c r="E41" s="7">
        <v>400</v>
      </c>
      <c r="F41" s="7">
        <v>65.349999999999994</v>
      </c>
      <c r="G41" s="7" t="e">
        <v>#N/A</v>
      </c>
      <c r="H41" s="18" t="e">
        <v>#N/A</v>
      </c>
      <c r="I41" s="7">
        <v>20.6</v>
      </c>
      <c r="J41" s="7">
        <v>20.600000000000009</v>
      </c>
      <c r="K41" s="18">
        <v>0.24404324042340234</v>
      </c>
      <c r="M41" s="7">
        <v>444.57</v>
      </c>
      <c r="N41" s="9">
        <v>41565</v>
      </c>
      <c r="O41" s="7" t="s">
        <v>97</v>
      </c>
      <c r="P41" s="7">
        <v>65.349999999999994</v>
      </c>
      <c r="Q41" s="7">
        <v>2.5499999999999998</v>
      </c>
      <c r="R41" s="7">
        <v>63.15</v>
      </c>
      <c r="S41" s="7">
        <v>63.8</v>
      </c>
      <c r="T41" s="7">
        <v>60</v>
      </c>
      <c r="U41" s="7">
        <v>653</v>
      </c>
      <c r="V41" s="7">
        <v>400</v>
      </c>
      <c r="W41" s="7" t="s">
        <v>98</v>
      </c>
      <c r="X41" s="7">
        <v>20.6</v>
      </c>
      <c r="Y41" s="7">
        <v>1.6</v>
      </c>
      <c r="Z41" s="7">
        <v>22.25</v>
      </c>
      <c r="AA41" s="7">
        <v>22.6</v>
      </c>
      <c r="AB41" s="7">
        <v>68</v>
      </c>
      <c r="AC41" s="7">
        <v>2940</v>
      </c>
    </row>
    <row r="42" spans="5:29" ht="15" customHeight="1">
      <c r="E42" s="7">
        <v>405</v>
      </c>
      <c r="F42" s="7">
        <v>63.75</v>
      </c>
      <c r="G42" s="7">
        <v>63.75</v>
      </c>
      <c r="H42" s="18">
        <v>0.23530940353933333</v>
      </c>
      <c r="I42" s="7">
        <v>23.4</v>
      </c>
      <c r="J42" s="7">
        <v>23.400000000000006</v>
      </c>
      <c r="K42" s="18">
        <v>0.25045487366065072</v>
      </c>
      <c r="M42" s="7">
        <v>444.57</v>
      </c>
      <c r="N42" s="9">
        <v>41565</v>
      </c>
      <c r="O42" s="7" t="s">
        <v>99</v>
      </c>
      <c r="P42" s="7">
        <v>63.75</v>
      </c>
      <c r="Q42" s="7">
        <v>0.8</v>
      </c>
      <c r="R42" s="7">
        <v>59.9</v>
      </c>
      <c r="S42" s="7">
        <v>60.7</v>
      </c>
      <c r="T42" s="7">
        <v>5</v>
      </c>
      <c r="U42" s="7">
        <v>65</v>
      </c>
      <c r="V42" s="7">
        <v>405</v>
      </c>
      <c r="W42" s="7" t="s">
        <v>100</v>
      </c>
      <c r="X42" s="7">
        <v>23.4</v>
      </c>
      <c r="Y42" s="7">
        <v>1.95</v>
      </c>
      <c r="Z42" s="7">
        <v>24.05</v>
      </c>
      <c r="AA42" s="7">
        <v>24.4</v>
      </c>
      <c r="AB42" s="7">
        <v>22</v>
      </c>
      <c r="AC42" s="7">
        <v>384</v>
      </c>
    </row>
    <row r="43" spans="5:29" ht="15" customHeight="1">
      <c r="E43" s="7">
        <v>410</v>
      </c>
      <c r="F43" s="7">
        <v>61.72</v>
      </c>
      <c r="G43" s="7">
        <v>61.72</v>
      </c>
      <c r="H43" s="18">
        <v>0.24257249206444595</v>
      </c>
      <c r="I43" s="7">
        <v>27.1</v>
      </c>
      <c r="J43" s="7">
        <v>27.099999999999994</v>
      </c>
      <c r="K43" s="18">
        <v>0.26181484279925471</v>
      </c>
      <c r="M43" s="7">
        <v>444.57</v>
      </c>
      <c r="N43" s="9">
        <v>41565</v>
      </c>
      <c r="O43" s="7" t="s">
        <v>101</v>
      </c>
      <c r="P43" s="7">
        <v>61.72</v>
      </c>
      <c r="Q43" s="7">
        <v>0</v>
      </c>
      <c r="R43" s="7">
        <v>56.75</v>
      </c>
      <c r="S43" s="7">
        <v>57.8</v>
      </c>
      <c r="T43" s="7">
        <v>4</v>
      </c>
      <c r="U43" s="7">
        <v>40</v>
      </c>
      <c r="V43" s="7">
        <v>410</v>
      </c>
      <c r="W43" s="7" t="s">
        <v>102</v>
      </c>
      <c r="X43" s="7">
        <v>27.1</v>
      </c>
      <c r="Y43" s="7">
        <v>1.6</v>
      </c>
      <c r="Z43" s="7">
        <v>25.9</v>
      </c>
      <c r="AA43" s="7">
        <v>26.25</v>
      </c>
      <c r="AB43" s="7">
        <v>131</v>
      </c>
      <c r="AC43" s="7">
        <v>796</v>
      </c>
    </row>
    <row r="44" spans="5:29" ht="15" customHeight="1">
      <c r="E44" s="7">
        <v>415</v>
      </c>
      <c r="F44" s="7">
        <v>68.900000000000006</v>
      </c>
      <c r="G44" s="7">
        <v>68.900000000000006</v>
      </c>
      <c r="H44" s="18">
        <v>0.30915224458196905</v>
      </c>
      <c r="I44" s="7">
        <v>30.1</v>
      </c>
      <c r="J44" s="7">
        <v>30.099999999999994</v>
      </c>
      <c r="K44" s="18">
        <v>0.26753661366019943</v>
      </c>
      <c r="M44" s="7">
        <v>444.57</v>
      </c>
      <c r="N44" s="9">
        <v>41565</v>
      </c>
      <c r="O44" s="7" t="s">
        <v>103</v>
      </c>
      <c r="P44" s="7">
        <v>68.900000000000006</v>
      </c>
      <c r="Q44" s="7">
        <v>0</v>
      </c>
      <c r="R44" s="7">
        <v>53.8</v>
      </c>
      <c r="S44" s="7">
        <v>54.3</v>
      </c>
      <c r="T44" s="7">
        <v>1</v>
      </c>
      <c r="U44" s="7">
        <v>29</v>
      </c>
      <c r="V44" s="7">
        <v>415</v>
      </c>
      <c r="W44" s="7" t="s">
        <v>104</v>
      </c>
      <c r="X44" s="7">
        <v>30.1</v>
      </c>
      <c r="Y44" s="7">
        <v>0</v>
      </c>
      <c r="Z44" s="7">
        <v>28</v>
      </c>
      <c r="AA44" s="7">
        <v>28.4</v>
      </c>
      <c r="AB44" s="7">
        <v>1</v>
      </c>
      <c r="AC44" s="7">
        <v>464</v>
      </c>
    </row>
    <row r="45" spans="5:29" ht="15" customHeight="1">
      <c r="E45" s="7">
        <v>420</v>
      </c>
      <c r="F45" s="7">
        <v>52</v>
      </c>
      <c r="G45" s="7">
        <v>52</v>
      </c>
      <c r="H45" s="18">
        <v>0.21719441522453015</v>
      </c>
      <c r="I45" s="7">
        <v>29.4</v>
      </c>
      <c r="J45" s="7">
        <v>29.400000000000006</v>
      </c>
      <c r="K45" s="18">
        <v>0.24900944254321197</v>
      </c>
      <c r="M45" s="7">
        <v>444.57</v>
      </c>
      <c r="N45" s="9">
        <v>41565</v>
      </c>
      <c r="O45" s="7" t="s">
        <v>105</v>
      </c>
      <c r="P45" s="7">
        <v>52</v>
      </c>
      <c r="Q45" s="7">
        <v>3</v>
      </c>
      <c r="R45" s="7">
        <v>50.55</v>
      </c>
      <c r="S45" s="7">
        <v>51.35</v>
      </c>
      <c r="T45" s="7">
        <v>3</v>
      </c>
      <c r="U45" s="7">
        <v>135</v>
      </c>
      <c r="V45" s="7">
        <v>420</v>
      </c>
      <c r="W45" s="7" t="s">
        <v>106</v>
      </c>
      <c r="X45" s="7">
        <v>29.4</v>
      </c>
      <c r="Y45" s="7">
        <v>0.1</v>
      </c>
      <c r="Z45" s="7">
        <v>30</v>
      </c>
      <c r="AA45" s="7">
        <v>30.45</v>
      </c>
      <c r="AB45" s="7">
        <v>13</v>
      </c>
      <c r="AC45" s="7">
        <v>686</v>
      </c>
    </row>
    <row r="46" spans="5:29" ht="15" customHeight="1">
      <c r="E46" s="7">
        <v>425</v>
      </c>
      <c r="F46" s="7">
        <v>51.5</v>
      </c>
      <c r="G46" s="7" t="e">
        <v>#N/A</v>
      </c>
      <c r="H46" s="18" t="e">
        <v>#N/A</v>
      </c>
      <c r="I46" s="7">
        <v>31.45</v>
      </c>
      <c r="J46" s="7" t="e">
        <v>#N/A</v>
      </c>
      <c r="K46" s="18" t="e">
        <v>#N/A</v>
      </c>
      <c r="M46" s="7">
        <v>444.57</v>
      </c>
      <c r="N46" s="9">
        <v>41565</v>
      </c>
      <c r="O46" s="7" t="s">
        <v>107</v>
      </c>
      <c r="P46" s="7">
        <v>51.5</v>
      </c>
      <c r="Q46" s="7">
        <v>5.25</v>
      </c>
      <c r="R46" s="7">
        <v>48.05</v>
      </c>
      <c r="S46" s="7">
        <v>48.6</v>
      </c>
      <c r="T46" s="7">
        <v>45</v>
      </c>
      <c r="U46" s="7">
        <v>82</v>
      </c>
      <c r="V46" s="7">
        <v>425</v>
      </c>
      <c r="W46" s="7" t="s">
        <v>108</v>
      </c>
      <c r="X46" s="7">
        <v>31.45</v>
      </c>
      <c r="Y46" s="7">
        <v>0.3</v>
      </c>
      <c r="Z46" s="7">
        <v>32.200000000000003</v>
      </c>
      <c r="AA46" s="7">
        <v>32.65</v>
      </c>
      <c r="AB46" s="7">
        <v>11</v>
      </c>
      <c r="AC46" s="7">
        <v>1936</v>
      </c>
    </row>
    <row r="47" spans="5:29" ht="15" customHeight="1">
      <c r="E47" s="7">
        <v>430</v>
      </c>
      <c r="F47" s="7">
        <v>49.15</v>
      </c>
      <c r="G47" s="7" t="e">
        <v>#N/A</v>
      </c>
      <c r="H47" s="18" t="e">
        <v>#N/A</v>
      </c>
      <c r="I47" s="7">
        <v>35.869999999999997</v>
      </c>
      <c r="J47" s="7" t="e">
        <v>#N/A</v>
      </c>
      <c r="K47" s="18" t="e">
        <v>#N/A</v>
      </c>
      <c r="M47" s="7">
        <v>444.57</v>
      </c>
      <c r="N47" s="9">
        <v>41565</v>
      </c>
      <c r="O47" s="7" t="s">
        <v>109</v>
      </c>
      <c r="P47" s="7">
        <v>49.15</v>
      </c>
      <c r="Q47" s="7">
        <v>0.61</v>
      </c>
      <c r="R47" s="7">
        <v>45.1</v>
      </c>
      <c r="S47" s="7">
        <v>45.8</v>
      </c>
      <c r="T47" s="7">
        <v>1</v>
      </c>
      <c r="U47" s="7">
        <v>153</v>
      </c>
      <c r="V47" s="7">
        <v>430</v>
      </c>
      <c r="W47" s="7" t="s">
        <v>110</v>
      </c>
      <c r="X47" s="7">
        <v>35.869999999999997</v>
      </c>
      <c r="Y47" s="7">
        <v>1.93</v>
      </c>
      <c r="Z47" s="7">
        <v>34.450000000000003</v>
      </c>
      <c r="AA47" s="7">
        <v>35</v>
      </c>
      <c r="AB47" s="7">
        <v>4</v>
      </c>
      <c r="AC47" s="7">
        <v>574</v>
      </c>
    </row>
    <row r="48" spans="5:29" ht="15" customHeight="1">
      <c r="E48" s="7">
        <v>435</v>
      </c>
      <c r="F48" s="7">
        <v>43.05</v>
      </c>
      <c r="G48" s="7" t="e">
        <v>#N/A</v>
      </c>
      <c r="H48" s="18" t="e">
        <v>#N/A</v>
      </c>
      <c r="I48" s="7">
        <v>36.56</v>
      </c>
      <c r="J48" s="7" t="e">
        <v>#N/A</v>
      </c>
      <c r="K48" s="18" t="e">
        <v>#N/A</v>
      </c>
      <c r="M48" s="7">
        <v>444.57</v>
      </c>
      <c r="N48" s="9">
        <v>41565</v>
      </c>
      <c r="O48" s="7" t="s">
        <v>111</v>
      </c>
      <c r="P48" s="7">
        <v>43.05</v>
      </c>
      <c r="Q48" s="7">
        <v>0.22</v>
      </c>
      <c r="R48" s="7">
        <v>42.65</v>
      </c>
      <c r="S48" s="7">
        <v>43.2</v>
      </c>
      <c r="T48" s="7">
        <v>86</v>
      </c>
      <c r="U48" s="7">
        <v>157</v>
      </c>
      <c r="V48" s="7">
        <v>435</v>
      </c>
      <c r="W48" s="7" t="s">
        <v>112</v>
      </c>
      <c r="X48" s="7">
        <v>36.56</v>
      </c>
      <c r="Y48" s="7">
        <v>0.21</v>
      </c>
      <c r="Z48" s="7">
        <v>36.9</v>
      </c>
      <c r="AA48" s="7">
        <v>37.5</v>
      </c>
      <c r="AB48" s="7">
        <v>10</v>
      </c>
      <c r="AC48" s="7">
        <v>1187</v>
      </c>
    </row>
    <row r="49" spans="5:29" ht="15" customHeight="1">
      <c r="E49" s="7">
        <v>440</v>
      </c>
      <c r="F49" s="7">
        <v>40.6</v>
      </c>
      <c r="G49" s="7">
        <v>40.599999999999994</v>
      </c>
      <c r="H49" s="18">
        <v>0.21318769649922972</v>
      </c>
      <c r="I49" s="7">
        <v>40.25</v>
      </c>
      <c r="J49" s="7">
        <v>40.25</v>
      </c>
      <c r="K49" s="18">
        <v>0.25637617241325844</v>
      </c>
      <c r="M49" s="7">
        <v>444.57</v>
      </c>
      <c r="N49" s="9">
        <v>41565</v>
      </c>
      <c r="O49" s="7" t="s">
        <v>113</v>
      </c>
      <c r="P49" s="7">
        <v>40.6</v>
      </c>
      <c r="Q49" s="7">
        <v>2.81</v>
      </c>
      <c r="R49" s="7">
        <v>40.200000000000003</v>
      </c>
      <c r="S49" s="7">
        <v>40.65</v>
      </c>
      <c r="T49" s="7">
        <v>21</v>
      </c>
      <c r="U49" s="7">
        <v>359</v>
      </c>
      <c r="V49" s="7">
        <v>440</v>
      </c>
      <c r="W49" s="7" t="s">
        <v>114</v>
      </c>
      <c r="X49" s="7">
        <v>40.25</v>
      </c>
      <c r="Y49" s="7">
        <v>1.84</v>
      </c>
      <c r="Z49" s="7">
        <v>39.450000000000003</v>
      </c>
      <c r="AA49" s="7">
        <v>40.049999999999997</v>
      </c>
      <c r="AB49" s="7">
        <v>306</v>
      </c>
      <c r="AC49" s="7">
        <v>1047</v>
      </c>
    </row>
    <row r="50" spans="5:29" ht="15" customHeight="1">
      <c r="E50" s="7">
        <v>445</v>
      </c>
      <c r="F50" s="7">
        <v>41</v>
      </c>
      <c r="G50" s="7" t="e">
        <v>#N/A</v>
      </c>
      <c r="H50" s="18" t="e">
        <v>#N/A</v>
      </c>
      <c r="I50" s="7">
        <v>42.2</v>
      </c>
      <c r="J50" s="7" t="e">
        <v>#N/A</v>
      </c>
      <c r="K50" s="18" t="e">
        <v>#N/A</v>
      </c>
      <c r="M50" s="7">
        <v>444.57</v>
      </c>
      <c r="N50" s="9">
        <v>41565</v>
      </c>
      <c r="O50" s="7" t="s">
        <v>115</v>
      </c>
      <c r="P50" s="7">
        <v>41</v>
      </c>
      <c r="Q50" s="7">
        <v>1.36</v>
      </c>
      <c r="R50" s="7">
        <v>37.799999999999997</v>
      </c>
      <c r="S50" s="7">
        <v>38.299999999999997</v>
      </c>
      <c r="T50" s="7">
        <v>150</v>
      </c>
      <c r="U50" s="7">
        <v>212</v>
      </c>
      <c r="V50" s="7">
        <v>445</v>
      </c>
      <c r="W50" s="7" t="s">
        <v>116</v>
      </c>
      <c r="X50" s="7">
        <v>42.2</v>
      </c>
      <c r="Y50" s="7">
        <v>0.64</v>
      </c>
      <c r="Z50" s="7">
        <v>42.15</v>
      </c>
      <c r="AA50" s="7">
        <v>42.55</v>
      </c>
      <c r="AB50" s="7">
        <v>4</v>
      </c>
      <c r="AC50" s="7">
        <v>957</v>
      </c>
    </row>
    <row r="51" spans="5:29" ht="15" customHeight="1">
      <c r="E51" s="7">
        <v>450</v>
      </c>
      <c r="F51" s="7">
        <v>36.15</v>
      </c>
      <c r="G51" s="7" t="e">
        <v>#N/A</v>
      </c>
      <c r="H51" s="18" t="e">
        <v>#N/A</v>
      </c>
      <c r="I51" s="7">
        <v>44.9</v>
      </c>
      <c r="J51" s="7">
        <v>44.900000000000006</v>
      </c>
      <c r="K51" s="18">
        <v>0.25197129947500896</v>
      </c>
      <c r="M51" s="7">
        <v>444.57</v>
      </c>
      <c r="N51" s="9">
        <v>41565</v>
      </c>
      <c r="O51" s="7" t="s">
        <v>117</v>
      </c>
      <c r="P51" s="7">
        <v>36.15</v>
      </c>
      <c r="Q51" s="7">
        <v>2.95</v>
      </c>
      <c r="R51" s="7">
        <v>35.450000000000003</v>
      </c>
      <c r="S51" s="7">
        <v>35.950000000000003</v>
      </c>
      <c r="T51" s="7">
        <v>82</v>
      </c>
      <c r="U51" s="7">
        <v>1613</v>
      </c>
      <c r="V51" s="7">
        <v>450</v>
      </c>
      <c r="W51" s="7" t="s">
        <v>118</v>
      </c>
      <c r="X51" s="7">
        <v>44.9</v>
      </c>
      <c r="Y51" s="7">
        <v>1.93</v>
      </c>
      <c r="Z51" s="7">
        <v>44.75</v>
      </c>
      <c r="AA51" s="7">
        <v>45.2</v>
      </c>
      <c r="AB51" s="7">
        <v>19</v>
      </c>
      <c r="AC51" s="7">
        <v>4394</v>
      </c>
    </row>
    <row r="52" spans="5:29" ht="15" customHeight="1">
      <c r="E52" s="7">
        <v>455</v>
      </c>
      <c r="F52" s="7">
        <v>36</v>
      </c>
      <c r="G52" s="7">
        <v>36</v>
      </c>
      <c r="H52" s="18">
        <v>0.22712564922389869</v>
      </c>
      <c r="I52" s="7">
        <v>46.85</v>
      </c>
      <c r="J52" s="7" t="e">
        <v>#N/A</v>
      </c>
      <c r="K52" s="18" t="e">
        <v>#N/A</v>
      </c>
      <c r="M52" s="7">
        <v>444.57</v>
      </c>
      <c r="N52" s="9">
        <v>41565</v>
      </c>
      <c r="O52" s="7" t="s">
        <v>119</v>
      </c>
      <c r="P52" s="7">
        <v>36</v>
      </c>
      <c r="Q52" s="7">
        <v>0.5</v>
      </c>
      <c r="R52" s="7">
        <v>33.299999999999997</v>
      </c>
      <c r="S52" s="7">
        <v>33.799999999999997</v>
      </c>
      <c r="T52" s="7">
        <v>15</v>
      </c>
      <c r="U52" s="7">
        <v>433</v>
      </c>
      <c r="V52" s="7">
        <v>455</v>
      </c>
      <c r="W52" s="7" t="s">
        <v>120</v>
      </c>
      <c r="X52" s="7">
        <v>46.85</v>
      </c>
      <c r="Y52" s="7">
        <v>4.46</v>
      </c>
      <c r="Z52" s="7">
        <v>47.65</v>
      </c>
      <c r="AA52" s="7">
        <v>48.1</v>
      </c>
      <c r="AB52" s="7">
        <v>4</v>
      </c>
      <c r="AC52" s="7">
        <v>651</v>
      </c>
    </row>
    <row r="53" spans="5:29" ht="15" customHeight="1">
      <c r="E53" s="7">
        <v>460</v>
      </c>
      <c r="F53" s="7">
        <v>31</v>
      </c>
      <c r="G53" s="7">
        <v>31</v>
      </c>
      <c r="H53" s="18">
        <v>0.20986577130106648</v>
      </c>
      <c r="I53" s="7">
        <v>50.11</v>
      </c>
      <c r="J53" s="7" t="e">
        <v>#N/A</v>
      </c>
      <c r="K53" s="18" t="e">
        <v>#N/A</v>
      </c>
      <c r="M53" s="7">
        <v>444.57</v>
      </c>
      <c r="N53" s="9">
        <v>41565</v>
      </c>
      <c r="O53" s="7" t="s">
        <v>121</v>
      </c>
      <c r="P53" s="7">
        <v>31</v>
      </c>
      <c r="Q53" s="7">
        <v>3.3</v>
      </c>
      <c r="R53" s="7">
        <v>31.3</v>
      </c>
      <c r="S53" s="7">
        <v>31.75</v>
      </c>
      <c r="T53" s="7">
        <v>9</v>
      </c>
      <c r="U53" s="7">
        <v>1683</v>
      </c>
      <c r="V53" s="7">
        <v>460</v>
      </c>
      <c r="W53" s="7" t="s">
        <v>122</v>
      </c>
      <c r="X53" s="7">
        <v>50.11</v>
      </c>
      <c r="Y53" s="7">
        <v>0.76</v>
      </c>
      <c r="Z53" s="7">
        <v>50.5</v>
      </c>
      <c r="AA53" s="7">
        <v>51.15</v>
      </c>
      <c r="AB53" s="7">
        <v>18</v>
      </c>
      <c r="AC53" s="7">
        <v>1552</v>
      </c>
    </row>
    <row r="54" spans="5:29" ht="15" customHeight="1">
      <c r="E54" s="7">
        <v>465</v>
      </c>
      <c r="F54" s="7">
        <v>29.37</v>
      </c>
      <c r="G54" s="7">
        <v>29.370000000000005</v>
      </c>
      <c r="H54" s="18">
        <v>0.21205789924697899</v>
      </c>
      <c r="I54" s="7">
        <v>52.5</v>
      </c>
      <c r="J54" s="7" t="e">
        <v>#N/A</v>
      </c>
      <c r="K54" s="18" t="e">
        <v>#N/A</v>
      </c>
      <c r="M54" s="7">
        <v>444.57</v>
      </c>
      <c r="N54" s="9">
        <v>41565</v>
      </c>
      <c r="O54" s="7" t="s">
        <v>123</v>
      </c>
      <c r="P54" s="7">
        <v>29.37</v>
      </c>
      <c r="Q54" s="7">
        <v>0.87</v>
      </c>
      <c r="R54" s="7">
        <v>29.3</v>
      </c>
      <c r="S54" s="7">
        <v>29.75</v>
      </c>
      <c r="T54" s="7">
        <v>14</v>
      </c>
      <c r="U54" s="7">
        <v>392</v>
      </c>
      <c r="V54" s="7">
        <v>465</v>
      </c>
      <c r="W54" s="7" t="s">
        <v>124</v>
      </c>
      <c r="X54" s="7">
        <v>52.5</v>
      </c>
      <c r="Y54" s="7">
        <v>0.62</v>
      </c>
      <c r="Z54" s="7">
        <v>53.6</v>
      </c>
      <c r="AA54" s="7">
        <v>54.25</v>
      </c>
      <c r="AB54" s="7">
        <v>2</v>
      </c>
      <c r="AC54" s="7">
        <v>746</v>
      </c>
    </row>
    <row r="55" spans="5:29" ht="15" customHeight="1">
      <c r="E55" s="7">
        <v>470</v>
      </c>
      <c r="F55" s="7">
        <v>29.01</v>
      </c>
      <c r="G55" s="7" t="e">
        <v>#N/A</v>
      </c>
      <c r="H55" s="18" t="e">
        <v>#N/A</v>
      </c>
      <c r="I55" s="7">
        <v>57.43</v>
      </c>
      <c r="J55" s="7" t="e">
        <v>#N/A</v>
      </c>
      <c r="K55" s="18" t="e">
        <v>#N/A</v>
      </c>
      <c r="M55" s="7">
        <v>444.57</v>
      </c>
      <c r="N55" s="9">
        <v>41565</v>
      </c>
      <c r="O55" s="7" t="s">
        <v>125</v>
      </c>
      <c r="P55" s="7">
        <v>29.01</v>
      </c>
      <c r="Q55" s="7">
        <v>0.76</v>
      </c>
      <c r="R55" s="7">
        <v>27.4</v>
      </c>
      <c r="S55" s="7">
        <v>27.85</v>
      </c>
      <c r="T55" s="7">
        <v>104</v>
      </c>
      <c r="U55" s="7">
        <v>2973</v>
      </c>
      <c r="V55" s="7">
        <v>470</v>
      </c>
      <c r="W55" s="7" t="s">
        <v>126</v>
      </c>
      <c r="X55" s="7">
        <v>57.43</v>
      </c>
      <c r="Y55" s="7">
        <v>1.54</v>
      </c>
      <c r="Z55" s="7">
        <v>56.7</v>
      </c>
      <c r="AA55" s="7">
        <v>57.4</v>
      </c>
      <c r="AB55" s="7">
        <v>54</v>
      </c>
      <c r="AC55" s="7">
        <v>2682</v>
      </c>
    </row>
    <row r="56" spans="5:29" ht="15" customHeight="1">
      <c r="E56" s="7">
        <v>475</v>
      </c>
      <c r="F56" s="7">
        <v>29.14</v>
      </c>
      <c r="G56" s="7" t="e">
        <v>#N/A</v>
      </c>
      <c r="H56" s="18" t="e">
        <v>#N/A</v>
      </c>
      <c r="I56" s="7">
        <v>59.95</v>
      </c>
      <c r="J56" s="7" t="e">
        <v>#N/A</v>
      </c>
      <c r="K56" s="18" t="e">
        <v>#N/A</v>
      </c>
      <c r="M56" s="7">
        <v>444.57</v>
      </c>
      <c r="N56" s="9">
        <v>41565</v>
      </c>
      <c r="O56" s="7" t="s">
        <v>127</v>
      </c>
      <c r="P56" s="7">
        <v>29.14</v>
      </c>
      <c r="Q56" s="7">
        <v>0.34</v>
      </c>
      <c r="R56" s="7">
        <v>25.65</v>
      </c>
      <c r="S56" s="7">
        <v>26.05</v>
      </c>
      <c r="T56" s="7">
        <v>5</v>
      </c>
      <c r="U56" s="7">
        <v>1119</v>
      </c>
      <c r="V56" s="7">
        <v>475</v>
      </c>
      <c r="W56" s="7" t="s">
        <v>128</v>
      </c>
      <c r="X56" s="7">
        <v>59.95</v>
      </c>
      <c r="Y56" s="7">
        <v>4.05</v>
      </c>
      <c r="Z56" s="7">
        <v>59.85</v>
      </c>
      <c r="AA56" s="7">
        <v>60.6</v>
      </c>
      <c r="AB56" s="7">
        <v>11</v>
      </c>
      <c r="AC56" s="7">
        <v>1155</v>
      </c>
    </row>
    <row r="57" spans="5:29" ht="15" customHeight="1">
      <c r="E57" s="7">
        <v>480</v>
      </c>
      <c r="F57" s="7">
        <v>25.15</v>
      </c>
      <c r="G57" s="7" t="e">
        <v>#N/A</v>
      </c>
      <c r="H57" s="18" t="e">
        <v>#N/A</v>
      </c>
      <c r="I57" s="7">
        <v>61.22</v>
      </c>
      <c r="J57" s="7" t="e">
        <v>#N/A</v>
      </c>
      <c r="K57" s="18" t="e">
        <v>#N/A</v>
      </c>
      <c r="M57" s="7">
        <v>444.57</v>
      </c>
      <c r="N57" s="9">
        <v>41565</v>
      </c>
      <c r="O57" s="7" t="s">
        <v>129</v>
      </c>
      <c r="P57" s="7">
        <v>25.15</v>
      </c>
      <c r="Q57" s="7">
        <v>1.25</v>
      </c>
      <c r="R57" s="7">
        <v>23.95</v>
      </c>
      <c r="S57" s="7">
        <v>24.35</v>
      </c>
      <c r="T57" s="7">
        <v>43</v>
      </c>
      <c r="U57" s="7">
        <v>1022</v>
      </c>
      <c r="V57" s="7">
        <v>480</v>
      </c>
      <c r="W57" s="7" t="s">
        <v>130</v>
      </c>
      <c r="X57" s="7">
        <v>61.22</v>
      </c>
      <c r="Y57" s="7">
        <v>0</v>
      </c>
      <c r="Z57" s="7">
        <v>63.2</v>
      </c>
      <c r="AA57" s="7">
        <v>63.75</v>
      </c>
      <c r="AB57" s="7">
        <v>12</v>
      </c>
      <c r="AC57" s="7">
        <v>1263</v>
      </c>
    </row>
    <row r="58" spans="5:29" ht="15" customHeight="1">
      <c r="E58" s="7">
        <v>485</v>
      </c>
      <c r="F58" s="7">
        <v>21.8</v>
      </c>
      <c r="G58" s="7" t="e">
        <v>#N/A</v>
      </c>
      <c r="H58" s="18" t="e">
        <v>#N/A</v>
      </c>
      <c r="I58" s="7">
        <v>64.7</v>
      </c>
      <c r="J58" s="7" t="e">
        <v>#N/A</v>
      </c>
      <c r="K58" s="18" t="e">
        <v>#N/A</v>
      </c>
      <c r="M58" s="7">
        <v>444.57</v>
      </c>
      <c r="N58" s="9">
        <v>41565</v>
      </c>
      <c r="O58" s="7" t="s">
        <v>131</v>
      </c>
      <c r="P58" s="7">
        <v>21.8</v>
      </c>
      <c r="Q58" s="7">
        <v>0</v>
      </c>
      <c r="R58" s="7">
        <v>22.3</v>
      </c>
      <c r="S58" s="7">
        <v>22.7</v>
      </c>
      <c r="T58" s="7">
        <v>6</v>
      </c>
      <c r="U58" s="7">
        <v>460</v>
      </c>
      <c r="V58" s="7">
        <v>485</v>
      </c>
      <c r="W58" s="7" t="s">
        <v>132</v>
      </c>
      <c r="X58" s="7">
        <v>64.7</v>
      </c>
      <c r="Y58" s="7">
        <v>0.14000000000000001</v>
      </c>
      <c r="Z58" s="7">
        <v>66.650000000000006</v>
      </c>
      <c r="AA58" s="7">
        <v>67.349999999999994</v>
      </c>
      <c r="AB58" s="7">
        <v>20</v>
      </c>
      <c r="AC58" s="7">
        <v>530</v>
      </c>
    </row>
    <row r="59" spans="5:29" ht="15" customHeight="1">
      <c r="E59" s="7">
        <v>490</v>
      </c>
      <c r="F59" s="7">
        <v>21</v>
      </c>
      <c r="G59" s="7">
        <v>21</v>
      </c>
      <c r="H59" s="18">
        <v>0.21309965263467467</v>
      </c>
      <c r="I59" s="7">
        <v>66.5</v>
      </c>
      <c r="J59" s="7">
        <v>66.5</v>
      </c>
      <c r="K59" s="18">
        <v>0.23142766116195701</v>
      </c>
      <c r="M59" s="7">
        <v>444.57</v>
      </c>
      <c r="N59" s="9">
        <v>41565</v>
      </c>
      <c r="O59" s="7" t="s">
        <v>133</v>
      </c>
      <c r="P59" s="7">
        <v>21</v>
      </c>
      <c r="Q59" s="7">
        <v>2.6</v>
      </c>
      <c r="R59" s="7">
        <v>20.8</v>
      </c>
      <c r="S59" s="7">
        <v>21.25</v>
      </c>
      <c r="T59" s="7">
        <v>29</v>
      </c>
      <c r="U59" s="7">
        <v>717</v>
      </c>
      <c r="V59" s="7">
        <v>490</v>
      </c>
      <c r="W59" s="7" t="s">
        <v>134</v>
      </c>
      <c r="X59" s="7">
        <v>66.5</v>
      </c>
      <c r="Y59" s="7">
        <v>0</v>
      </c>
      <c r="Z59" s="7">
        <v>70.099999999999994</v>
      </c>
      <c r="AA59" s="7">
        <v>70.55</v>
      </c>
      <c r="AB59" s="7">
        <v>2</v>
      </c>
      <c r="AC59" s="7">
        <v>1055</v>
      </c>
    </row>
    <row r="60" spans="5:29" ht="15" customHeight="1">
      <c r="E60" s="7">
        <v>495</v>
      </c>
      <c r="F60" s="7">
        <v>21.1</v>
      </c>
      <c r="G60" s="7">
        <v>21.099999999999994</v>
      </c>
      <c r="H60" s="18">
        <v>0.22283730584323633</v>
      </c>
      <c r="I60" s="7">
        <v>66.7</v>
      </c>
      <c r="J60" s="7" t="e">
        <v>#N/A</v>
      </c>
      <c r="K60" s="18" t="e">
        <v>#N/A</v>
      </c>
      <c r="M60" s="7">
        <v>444.57</v>
      </c>
      <c r="N60" s="9">
        <v>41565</v>
      </c>
      <c r="O60" s="7" t="s">
        <v>135</v>
      </c>
      <c r="P60" s="7">
        <v>21.1</v>
      </c>
      <c r="Q60" s="7">
        <v>2.3199999999999998</v>
      </c>
      <c r="R60" s="7">
        <v>19.399999999999999</v>
      </c>
      <c r="S60" s="7">
        <v>19.8</v>
      </c>
      <c r="T60" s="7">
        <v>16</v>
      </c>
      <c r="U60" s="7">
        <v>310</v>
      </c>
      <c r="V60" s="7">
        <v>495</v>
      </c>
      <c r="W60" s="7" t="s">
        <v>136</v>
      </c>
      <c r="X60" s="7">
        <v>66.7</v>
      </c>
      <c r="Y60" s="7">
        <v>0</v>
      </c>
      <c r="Z60" s="7">
        <v>73.55</v>
      </c>
      <c r="AA60" s="7">
        <v>74.3</v>
      </c>
      <c r="AB60" s="7">
        <v>2</v>
      </c>
      <c r="AC60" s="7">
        <v>618</v>
      </c>
    </row>
    <row r="61" spans="5:29" ht="15" customHeight="1">
      <c r="E61" s="7">
        <v>500</v>
      </c>
      <c r="F61" s="7">
        <v>18.3</v>
      </c>
      <c r="G61" s="7" t="e">
        <v>#N/A</v>
      </c>
      <c r="H61" s="18" t="e">
        <v>#N/A</v>
      </c>
      <c r="I61" s="7">
        <v>74.3</v>
      </c>
      <c r="J61" s="7" t="e">
        <v>#N/A</v>
      </c>
      <c r="K61" s="18" t="e">
        <v>#N/A</v>
      </c>
      <c r="M61" s="7">
        <v>444.57</v>
      </c>
      <c r="N61" s="9">
        <v>41565</v>
      </c>
      <c r="O61" s="7" t="s">
        <v>137</v>
      </c>
      <c r="P61" s="7">
        <v>18.3</v>
      </c>
      <c r="Q61" s="7">
        <v>2.5499999999999998</v>
      </c>
      <c r="R61" s="7">
        <v>18.05</v>
      </c>
      <c r="S61" s="7">
        <v>18.45</v>
      </c>
      <c r="T61" s="7">
        <v>309</v>
      </c>
      <c r="U61" s="7">
        <v>6785</v>
      </c>
      <c r="V61" s="7">
        <v>500</v>
      </c>
      <c r="W61" s="7" t="s">
        <v>138</v>
      </c>
      <c r="X61" s="7">
        <v>74.3</v>
      </c>
      <c r="Y61" s="7">
        <v>8.1999999999999993</v>
      </c>
      <c r="Z61" s="7">
        <v>77.150000000000006</v>
      </c>
      <c r="AA61" s="7">
        <v>77.849999999999994</v>
      </c>
      <c r="AB61" s="7">
        <v>52</v>
      </c>
      <c r="AC61" s="7">
        <v>3832</v>
      </c>
    </row>
    <row r="62" spans="5:29" ht="15" customHeight="1">
      <c r="E62" s="7">
        <v>505</v>
      </c>
      <c r="F62" s="7">
        <v>17.350000000000001</v>
      </c>
      <c r="G62" s="7">
        <v>17.350000000000009</v>
      </c>
      <c r="H62" s="18">
        <v>0.21588820380923032</v>
      </c>
      <c r="I62" s="7">
        <v>68.23</v>
      </c>
      <c r="J62" s="7" t="e">
        <v>#N/A</v>
      </c>
      <c r="K62" s="18" t="e">
        <v>#N/A</v>
      </c>
      <c r="M62" s="7">
        <v>444.57</v>
      </c>
      <c r="N62" s="9">
        <v>41565</v>
      </c>
      <c r="O62" s="7" t="s">
        <v>139</v>
      </c>
      <c r="P62" s="7">
        <v>17.350000000000001</v>
      </c>
      <c r="Q62" s="7">
        <v>1.69</v>
      </c>
      <c r="R62" s="7">
        <v>16.75</v>
      </c>
      <c r="S62" s="7">
        <v>17.149999999999999</v>
      </c>
      <c r="T62" s="7">
        <v>44</v>
      </c>
      <c r="U62" s="7">
        <v>782</v>
      </c>
      <c r="V62" s="7">
        <v>505</v>
      </c>
      <c r="W62" s="7" t="s">
        <v>140</v>
      </c>
      <c r="X62" s="7">
        <v>68.23</v>
      </c>
      <c r="Y62" s="7">
        <v>0</v>
      </c>
      <c r="Z62" s="7">
        <v>81</v>
      </c>
      <c r="AA62" s="7">
        <v>81.650000000000006</v>
      </c>
      <c r="AB62" s="7">
        <v>10</v>
      </c>
      <c r="AC62" s="7">
        <v>778</v>
      </c>
    </row>
    <row r="63" spans="5:29" ht="15" customHeight="1">
      <c r="E63" s="7">
        <v>510</v>
      </c>
      <c r="F63" s="7">
        <v>17</v>
      </c>
      <c r="G63" s="7">
        <v>17</v>
      </c>
      <c r="H63" s="18">
        <v>0.22166324824985401</v>
      </c>
      <c r="I63" s="7">
        <v>83.58</v>
      </c>
      <c r="J63" s="7" t="e">
        <v>#N/A</v>
      </c>
      <c r="K63" s="18" t="e">
        <v>#N/A</v>
      </c>
      <c r="M63" s="7">
        <v>444.57</v>
      </c>
      <c r="N63" s="9">
        <v>41565</v>
      </c>
      <c r="O63" s="7" t="s">
        <v>141</v>
      </c>
      <c r="P63" s="7">
        <v>17</v>
      </c>
      <c r="Q63" s="7">
        <v>1.03</v>
      </c>
      <c r="R63" s="7">
        <v>15.6</v>
      </c>
      <c r="S63" s="7">
        <v>15.95</v>
      </c>
      <c r="T63" s="7">
        <v>43</v>
      </c>
      <c r="U63" s="7">
        <v>2623</v>
      </c>
      <c r="V63" s="7">
        <v>510</v>
      </c>
      <c r="W63" s="7" t="s">
        <v>142</v>
      </c>
      <c r="X63" s="7">
        <v>83.58</v>
      </c>
      <c r="Y63" s="7">
        <v>2.82</v>
      </c>
      <c r="Z63" s="7">
        <v>84.65</v>
      </c>
      <c r="AA63" s="7">
        <v>85.45</v>
      </c>
      <c r="AB63" s="7">
        <v>8</v>
      </c>
      <c r="AC63" s="7">
        <v>2557</v>
      </c>
    </row>
    <row r="64" spans="5:29" ht="15" customHeight="1">
      <c r="E64" s="7">
        <v>515</v>
      </c>
      <c r="F64" s="7">
        <v>15.9</v>
      </c>
      <c r="G64" s="7">
        <v>15.899999999999991</v>
      </c>
      <c r="H64" s="18">
        <v>0.2220604591923914</v>
      </c>
      <c r="I64" s="7">
        <v>90.41</v>
      </c>
      <c r="J64" s="7" t="e">
        <v>#N/A</v>
      </c>
      <c r="K64" s="18" t="e">
        <v>#N/A</v>
      </c>
      <c r="L64"/>
      <c r="M64" s="7">
        <v>444.57</v>
      </c>
      <c r="N64" s="9">
        <v>41565</v>
      </c>
      <c r="O64" s="7" t="s">
        <v>143</v>
      </c>
      <c r="P64" s="7">
        <v>15.9</v>
      </c>
      <c r="Q64" s="7">
        <v>0.95</v>
      </c>
      <c r="R64" s="7">
        <v>14.5</v>
      </c>
      <c r="S64" s="7">
        <v>14.85</v>
      </c>
      <c r="T64" s="7">
        <v>5</v>
      </c>
      <c r="U64" s="7">
        <v>574</v>
      </c>
      <c r="V64" s="7">
        <v>515</v>
      </c>
      <c r="W64" s="7" t="s">
        <v>144</v>
      </c>
      <c r="X64" s="7">
        <v>90.41</v>
      </c>
      <c r="Y64" s="7">
        <v>2.94</v>
      </c>
      <c r="Z64" s="7">
        <v>88.7</v>
      </c>
      <c r="AA64" s="7">
        <v>89.8</v>
      </c>
      <c r="AB64" s="7">
        <v>2</v>
      </c>
      <c r="AC64" s="7">
        <v>611</v>
      </c>
    </row>
    <row r="65" spans="5:29" ht="15" customHeight="1">
      <c r="E65" s="7">
        <v>520</v>
      </c>
      <c r="F65" s="7">
        <v>13.6</v>
      </c>
      <c r="G65" s="7">
        <v>13.599999999999994</v>
      </c>
      <c r="H65" s="18">
        <v>0.21350827587844159</v>
      </c>
      <c r="I65" s="7">
        <v>97.65</v>
      </c>
      <c r="J65" s="7" t="e">
        <v>#N/A</v>
      </c>
      <c r="K65" s="18" t="e">
        <v>#N/A</v>
      </c>
      <c r="L65"/>
      <c r="M65" s="7">
        <v>444.57</v>
      </c>
      <c r="N65" s="9">
        <v>41565</v>
      </c>
      <c r="O65" s="7" t="s">
        <v>145</v>
      </c>
      <c r="P65" s="7">
        <v>13.6</v>
      </c>
      <c r="Q65" s="7">
        <v>1.65</v>
      </c>
      <c r="R65" s="7">
        <v>13.4</v>
      </c>
      <c r="S65" s="7">
        <v>13.8</v>
      </c>
      <c r="T65" s="7">
        <v>8</v>
      </c>
      <c r="U65" s="7">
        <v>1119</v>
      </c>
      <c r="V65" s="7">
        <v>520</v>
      </c>
      <c r="W65" s="7" t="s">
        <v>146</v>
      </c>
      <c r="X65" s="7">
        <v>97.65</v>
      </c>
      <c r="Y65" s="7">
        <v>0</v>
      </c>
      <c r="Z65" s="7">
        <v>92.55</v>
      </c>
      <c r="AA65" s="7">
        <v>93.55</v>
      </c>
      <c r="AB65" s="7">
        <v>4</v>
      </c>
      <c r="AC65" s="7">
        <v>1892</v>
      </c>
    </row>
    <row r="66" spans="5:29" ht="15" customHeight="1">
      <c r="E66" s="7">
        <v>525</v>
      </c>
      <c r="F66" s="7">
        <v>12.65</v>
      </c>
      <c r="G66" s="7">
        <v>12.649999999999991</v>
      </c>
      <c r="H66" s="18">
        <v>0.21382052756659456</v>
      </c>
      <c r="I66" s="7">
        <v>93</v>
      </c>
      <c r="J66" s="7">
        <v>93</v>
      </c>
      <c r="K66" s="18">
        <v>0.23491867246145298</v>
      </c>
      <c r="L66"/>
      <c r="M66" s="7">
        <v>444.57</v>
      </c>
      <c r="N66" s="9">
        <v>41565</v>
      </c>
      <c r="O66" s="7" t="s">
        <v>147</v>
      </c>
      <c r="P66" s="7">
        <v>12.65</v>
      </c>
      <c r="Q66" s="7">
        <v>1.4</v>
      </c>
      <c r="R66" s="7">
        <v>12.45</v>
      </c>
      <c r="S66" s="7">
        <v>12.8</v>
      </c>
      <c r="T66" s="7">
        <v>4</v>
      </c>
      <c r="U66" s="7">
        <v>2061</v>
      </c>
      <c r="V66" s="7">
        <v>525</v>
      </c>
      <c r="W66" s="7" t="s">
        <v>148</v>
      </c>
      <c r="X66" s="7">
        <v>93</v>
      </c>
      <c r="Y66" s="7">
        <v>0</v>
      </c>
      <c r="Z66" s="7">
        <v>96.45</v>
      </c>
      <c r="AA66" s="7">
        <v>97.4</v>
      </c>
      <c r="AB66" s="7">
        <v>115</v>
      </c>
      <c r="AC66" s="7">
        <v>1221</v>
      </c>
    </row>
    <row r="67" spans="5:29" ht="15" customHeight="1">
      <c r="E67" s="7">
        <v>530</v>
      </c>
      <c r="F67" s="7">
        <v>12.68</v>
      </c>
      <c r="G67" s="7">
        <v>12.679999999999993</v>
      </c>
      <c r="H67" s="18">
        <v>0.22102984553857724</v>
      </c>
      <c r="I67" s="7">
        <v>103.09</v>
      </c>
      <c r="J67" s="7" t="e">
        <v>#N/A</v>
      </c>
      <c r="K67" s="18" t="e">
        <v>#N/A</v>
      </c>
      <c r="L67"/>
      <c r="M67" s="7">
        <v>444.57</v>
      </c>
      <c r="N67" s="9">
        <v>41565</v>
      </c>
      <c r="O67" s="7" t="s">
        <v>149</v>
      </c>
      <c r="P67" s="7">
        <v>12.68</v>
      </c>
      <c r="Q67" s="7">
        <v>1.1200000000000001</v>
      </c>
      <c r="R67" s="7">
        <v>11.6</v>
      </c>
      <c r="S67" s="7">
        <v>11.9</v>
      </c>
      <c r="T67" s="7">
        <v>112</v>
      </c>
      <c r="U67" s="7">
        <v>1816</v>
      </c>
      <c r="V67" s="7">
        <v>530</v>
      </c>
      <c r="W67" s="7" t="s">
        <v>150</v>
      </c>
      <c r="X67" s="7">
        <v>103.09</v>
      </c>
      <c r="Y67" s="7">
        <v>0</v>
      </c>
      <c r="Z67" s="7">
        <v>100.7</v>
      </c>
      <c r="AA67" s="7">
        <v>101.45</v>
      </c>
      <c r="AB67" s="7">
        <v>1</v>
      </c>
      <c r="AC67" s="7">
        <v>988</v>
      </c>
    </row>
    <row r="68" spans="5:29" ht="15" customHeight="1">
      <c r="E68" s="7">
        <v>535</v>
      </c>
      <c r="F68" s="7">
        <v>11.73</v>
      </c>
      <c r="G68" s="7" t="e">
        <v>#N/A</v>
      </c>
      <c r="H68" s="18" t="e">
        <v>#N/A</v>
      </c>
      <c r="I68" s="7">
        <v>101.5</v>
      </c>
      <c r="J68" s="7">
        <v>101.5</v>
      </c>
      <c r="K68" s="18">
        <v>0.23890287839742982</v>
      </c>
      <c r="L68"/>
      <c r="M68" s="7">
        <v>444.57</v>
      </c>
      <c r="N68" s="9">
        <v>41565</v>
      </c>
      <c r="O68" s="7" t="s">
        <v>151</v>
      </c>
      <c r="P68" s="7">
        <v>11.73</v>
      </c>
      <c r="Q68" s="7">
        <v>1.28</v>
      </c>
      <c r="R68" s="7">
        <v>10.7</v>
      </c>
      <c r="S68" s="7">
        <v>11.05</v>
      </c>
      <c r="T68" s="7">
        <v>13</v>
      </c>
      <c r="U68" s="7">
        <v>867</v>
      </c>
      <c r="V68" s="7">
        <v>535</v>
      </c>
      <c r="W68" s="7" t="s">
        <v>152</v>
      </c>
      <c r="X68" s="7">
        <v>101.5</v>
      </c>
      <c r="Y68" s="7">
        <v>0.74</v>
      </c>
      <c r="Z68" s="7">
        <v>104.9</v>
      </c>
      <c r="AA68" s="7">
        <v>105.7</v>
      </c>
      <c r="AB68" s="7">
        <v>2</v>
      </c>
      <c r="AC68" s="7">
        <v>392</v>
      </c>
    </row>
    <row r="69" spans="5:29" ht="15" customHeight="1">
      <c r="E69" s="7">
        <v>540</v>
      </c>
      <c r="F69" s="7">
        <v>10.18</v>
      </c>
      <c r="G69" s="7">
        <v>10.180000000000007</v>
      </c>
      <c r="H69" s="18">
        <v>0.21498286815846918</v>
      </c>
      <c r="I69" s="7">
        <v>107.15</v>
      </c>
      <c r="J69" s="7" t="e">
        <v>#N/A</v>
      </c>
      <c r="K69" s="18" t="e">
        <v>#N/A</v>
      </c>
      <c r="L69"/>
      <c r="M69" s="7">
        <v>444.57</v>
      </c>
      <c r="N69" s="9">
        <v>41565</v>
      </c>
      <c r="O69" s="7" t="s">
        <v>153</v>
      </c>
      <c r="P69" s="7">
        <v>10.18</v>
      </c>
      <c r="Q69" s="7">
        <v>1.67</v>
      </c>
      <c r="R69" s="7">
        <v>9.9</v>
      </c>
      <c r="S69" s="7">
        <v>10.199999999999999</v>
      </c>
      <c r="T69" s="7">
        <v>41</v>
      </c>
      <c r="U69" s="7">
        <v>1351</v>
      </c>
      <c r="V69" s="7">
        <v>540</v>
      </c>
      <c r="W69" s="7" t="s">
        <v>154</v>
      </c>
      <c r="X69" s="7">
        <v>107.15</v>
      </c>
      <c r="Y69" s="7">
        <v>2.7</v>
      </c>
      <c r="Z69" s="7">
        <v>109</v>
      </c>
      <c r="AA69" s="7">
        <v>109.8</v>
      </c>
      <c r="AB69" s="7">
        <v>1</v>
      </c>
      <c r="AC69" s="7">
        <v>2445</v>
      </c>
    </row>
    <row r="70" spans="5:29" ht="15" customHeight="1">
      <c r="E70" s="7">
        <v>545</v>
      </c>
      <c r="F70" s="7">
        <v>9.75</v>
      </c>
      <c r="G70" s="7">
        <v>9.75</v>
      </c>
      <c r="H70" s="18">
        <v>0.21776630441825107</v>
      </c>
      <c r="I70" s="7">
        <v>113.55</v>
      </c>
      <c r="J70" s="7" t="e">
        <v>#N/A</v>
      </c>
      <c r="K70" s="18" t="e">
        <v>#N/A</v>
      </c>
      <c r="L70"/>
      <c r="M70" s="7">
        <v>444.57</v>
      </c>
      <c r="N70" s="9">
        <v>41565</v>
      </c>
      <c r="O70" s="7" t="s">
        <v>155</v>
      </c>
      <c r="P70" s="7">
        <v>9.75</v>
      </c>
      <c r="Q70" s="7">
        <v>0.66</v>
      </c>
      <c r="R70" s="7">
        <v>9.1999999999999993</v>
      </c>
      <c r="S70" s="7">
        <v>9.5</v>
      </c>
      <c r="T70" s="7">
        <v>9</v>
      </c>
      <c r="U70" s="7">
        <v>432</v>
      </c>
      <c r="V70" s="7">
        <v>545</v>
      </c>
      <c r="W70" s="7" t="s">
        <v>156</v>
      </c>
      <c r="X70" s="7">
        <v>113.55</v>
      </c>
      <c r="Y70" s="7">
        <v>3.95</v>
      </c>
      <c r="Z70" s="7">
        <v>113.05</v>
      </c>
      <c r="AA70" s="7">
        <v>114.2</v>
      </c>
      <c r="AB70" s="7">
        <v>2</v>
      </c>
      <c r="AC70" s="7">
        <v>526</v>
      </c>
    </row>
    <row r="71" spans="5:29" ht="15" customHeight="1">
      <c r="E71" s="7">
        <v>550</v>
      </c>
      <c r="F71" s="7">
        <v>8.9</v>
      </c>
      <c r="G71" s="7">
        <v>8.9000000000000057</v>
      </c>
      <c r="H71" s="18">
        <v>0.21668756547728879</v>
      </c>
      <c r="I71" s="7">
        <v>115.25</v>
      </c>
      <c r="J71" s="7">
        <v>115.25</v>
      </c>
      <c r="K71" s="18">
        <v>0.25056468807400623</v>
      </c>
      <c r="L71"/>
      <c r="M71" s="7">
        <v>444.57</v>
      </c>
      <c r="N71" s="9">
        <v>41565</v>
      </c>
      <c r="O71" s="7" t="s">
        <v>157</v>
      </c>
      <c r="P71" s="7">
        <v>8.9</v>
      </c>
      <c r="Q71" s="7">
        <v>1.35</v>
      </c>
      <c r="R71" s="7">
        <v>8.5</v>
      </c>
      <c r="S71" s="7">
        <v>8.8000000000000007</v>
      </c>
      <c r="T71" s="7">
        <v>153</v>
      </c>
      <c r="U71" s="7">
        <v>6584</v>
      </c>
      <c r="V71" s="7">
        <v>550</v>
      </c>
      <c r="W71" s="7" t="s">
        <v>158</v>
      </c>
      <c r="X71" s="7">
        <v>115.25</v>
      </c>
      <c r="Y71" s="7">
        <v>0</v>
      </c>
      <c r="Z71" s="7">
        <v>117.5</v>
      </c>
      <c r="AA71" s="7">
        <v>118.45</v>
      </c>
      <c r="AB71" s="7">
        <v>62</v>
      </c>
      <c r="AC71" s="7">
        <v>1114</v>
      </c>
    </row>
    <row r="72" spans="5:29" ht="15" customHeight="1">
      <c r="E72" s="7">
        <v>555</v>
      </c>
      <c r="F72" s="7">
        <v>8.6</v>
      </c>
      <c r="G72" s="7">
        <v>8.5999999999999943</v>
      </c>
      <c r="H72" s="18">
        <v>0.22000152647291846</v>
      </c>
      <c r="I72" s="7">
        <v>119.28</v>
      </c>
      <c r="J72" s="7" t="e">
        <v>#N/A</v>
      </c>
      <c r="K72" s="18" t="e">
        <v>#N/A</v>
      </c>
      <c r="L72"/>
      <c r="M72" s="7">
        <v>444.57</v>
      </c>
      <c r="N72" s="9">
        <v>41565</v>
      </c>
      <c r="O72" s="7" t="s">
        <v>159</v>
      </c>
      <c r="P72" s="7">
        <v>8.6</v>
      </c>
      <c r="Q72" s="7">
        <v>0.9</v>
      </c>
      <c r="R72" s="7">
        <v>7.85</v>
      </c>
      <c r="S72" s="7">
        <v>8.1999999999999993</v>
      </c>
      <c r="T72" s="7">
        <v>2</v>
      </c>
      <c r="U72" s="7">
        <v>390</v>
      </c>
      <c r="V72" s="7">
        <v>555</v>
      </c>
      <c r="W72" s="7" t="s">
        <v>160</v>
      </c>
      <c r="X72" s="7">
        <v>119.28</v>
      </c>
      <c r="Y72" s="7">
        <v>0.68</v>
      </c>
      <c r="Z72" s="7">
        <v>121.8</v>
      </c>
      <c r="AA72" s="7">
        <v>122.7</v>
      </c>
      <c r="AB72" s="7">
        <v>3</v>
      </c>
      <c r="AC72" s="7">
        <v>239</v>
      </c>
    </row>
    <row r="73" spans="5:29" ht="15" customHeight="1">
      <c r="E73" s="7">
        <v>560</v>
      </c>
      <c r="F73" s="7">
        <v>7.25</v>
      </c>
      <c r="G73" s="7">
        <v>7.25</v>
      </c>
      <c r="H73" s="18">
        <v>0.21336498312538382</v>
      </c>
      <c r="I73" s="7">
        <v>127.38</v>
      </c>
      <c r="J73" s="7">
        <v>127.38</v>
      </c>
      <c r="K73" s="18">
        <v>0.28083288696154252</v>
      </c>
      <c r="L73"/>
      <c r="M73" s="7">
        <v>444.57</v>
      </c>
      <c r="N73" s="9">
        <v>41565</v>
      </c>
      <c r="O73" s="7" t="s">
        <v>161</v>
      </c>
      <c r="P73" s="7">
        <v>7.25</v>
      </c>
      <c r="Q73" s="7">
        <v>1.4</v>
      </c>
      <c r="R73" s="7">
        <v>7.2</v>
      </c>
      <c r="S73" s="7">
        <v>7.5</v>
      </c>
      <c r="T73" s="7">
        <v>9</v>
      </c>
      <c r="U73" s="7">
        <v>1982</v>
      </c>
      <c r="V73" s="7">
        <v>560</v>
      </c>
      <c r="W73" s="7" t="s">
        <v>162</v>
      </c>
      <c r="X73" s="7">
        <v>127.38</v>
      </c>
      <c r="Y73" s="7">
        <v>1.03</v>
      </c>
      <c r="Z73" s="7">
        <v>126.05</v>
      </c>
      <c r="AA73" s="7">
        <v>127.35</v>
      </c>
      <c r="AB73" s="7">
        <v>1</v>
      </c>
      <c r="AC73" s="7">
        <v>409</v>
      </c>
    </row>
    <row r="74" spans="5:29" ht="15" customHeight="1">
      <c r="E74" s="7">
        <v>565</v>
      </c>
      <c r="F74" s="7">
        <v>8.01</v>
      </c>
      <c r="G74" s="7">
        <v>8.0099999999999909</v>
      </c>
      <c r="H74" s="18">
        <v>0.22610918043254791</v>
      </c>
      <c r="I74" s="7">
        <v>131.78</v>
      </c>
      <c r="J74" s="7" t="e">
        <v>#N/A</v>
      </c>
      <c r="K74" s="18" t="e">
        <v>#N/A</v>
      </c>
      <c r="L74"/>
      <c r="M74" s="7">
        <v>444.57</v>
      </c>
      <c r="N74" s="9">
        <v>41565</v>
      </c>
      <c r="O74" s="7" t="s">
        <v>163</v>
      </c>
      <c r="P74" s="7">
        <v>8.01</v>
      </c>
      <c r="Q74" s="7">
        <v>0</v>
      </c>
      <c r="R74" s="7">
        <v>6.7</v>
      </c>
      <c r="S74" s="7">
        <v>7</v>
      </c>
      <c r="T74" s="7">
        <v>10</v>
      </c>
      <c r="U74" s="7">
        <v>242</v>
      </c>
      <c r="V74" s="7">
        <v>565</v>
      </c>
      <c r="W74" s="7" t="s">
        <v>164</v>
      </c>
      <c r="X74" s="7">
        <v>131.78</v>
      </c>
      <c r="Y74" s="7">
        <v>10.210000000000001</v>
      </c>
      <c r="Z74" s="7">
        <v>130.85</v>
      </c>
      <c r="AA74" s="7">
        <v>131.80000000000001</v>
      </c>
      <c r="AB74" s="7">
        <v>2</v>
      </c>
      <c r="AC74" s="7">
        <v>481</v>
      </c>
    </row>
    <row r="75" spans="5:29" ht="15" customHeight="1">
      <c r="E75" s="7">
        <v>570</v>
      </c>
      <c r="F75" s="7">
        <v>6.2</v>
      </c>
      <c r="G75" s="7">
        <v>6.2000000000000099</v>
      </c>
      <c r="H75" s="18">
        <v>0.21384161588990272</v>
      </c>
      <c r="I75" s="7">
        <v>133.19999999999999</v>
      </c>
      <c r="J75" s="7">
        <v>133.19999999999999</v>
      </c>
      <c r="K75" s="18">
        <v>0.26018923887496359</v>
      </c>
      <c r="L75"/>
      <c r="M75" s="7">
        <v>444.57</v>
      </c>
      <c r="N75" s="9">
        <v>41565</v>
      </c>
      <c r="O75" s="7" t="s">
        <v>165</v>
      </c>
      <c r="P75" s="7">
        <v>6.2</v>
      </c>
      <c r="Q75" s="7">
        <v>1.3</v>
      </c>
      <c r="R75" s="7">
        <v>6.2</v>
      </c>
      <c r="S75" s="7">
        <v>6.5</v>
      </c>
      <c r="T75" s="7">
        <v>5</v>
      </c>
      <c r="U75" s="7">
        <v>445</v>
      </c>
      <c r="V75" s="7">
        <v>570</v>
      </c>
      <c r="W75" s="7" t="s">
        <v>166</v>
      </c>
      <c r="X75" s="7">
        <v>133.19999999999999</v>
      </c>
      <c r="Y75" s="7">
        <v>0</v>
      </c>
      <c r="Z75" s="7">
        <v>134.75</v>
      </c>
      <c r="AA75" s="7">
        <v>136.15</v>
      </c>
      <c r="AB75" s="7">
        <v>2</v>
      </c>
      <c r="AC75" s="7">
        <v>347</v>
      </c>
    </row>
    <row r="76" spans="5:29" ht="15" customHeight="1">
      <c r="E76" s="7">
        <v>575</v>
      </c>
      <c r="F76" s="7">
        <v>6.25</v>
      </c>
      <c r="G76" s="7" t="e">
        <v>#N/A</v>
      </c>
      <c r="H76" s="18" t="e">
        <v>#N/A</v>
      </c>
      <c r="I76" s="7">
        <v>146.71</v>
      </c>
      <c r="J76" s="7" t="e">
        <v>#N/A</v>
      </c>
      <c r="K76" s="18" t="e">
        <v>#N/A</v>
      </c>
      <c r="L76"/>
      <c r="M76" s="7">
        <v>444.57</v>
      </c>
      <c r="N76" s="9">
        <v>41565</v>
      </c>
      <c r="O76" s="7" t="s">
        <v>167</v>
      </c>
      <c r="P76" s="7">
        <v>6.25</v>
      </c>
      <c r="Q76" s="7">
        <v>0.79</v>
      </c>
      <c r="R76" s="7">
        <v>5.75</v>
      </c>
      <c r="S76" s="7">
        <v>6</v>
      </c>
      <c r="T76" s="7">
        <v>7</v>
      </c>
      <c r="U76" s="7">
        <v>1597</v>
      </c>
      <c r="V76" s="7">
        <v>575</v>
      </c>
      <c r="W76" s="7" t="s">
        <v>168</v>
      </c>
      <c r="X76" s="7">
        <v>146.71</v>
      </c>
      <c r="Y76" s="7">
        <v>0</v>
      </c>
      <c r="Z76" s="7">
        <v>139.69999999999999</v>
      </c>
      <c r="AA76" s="7">
        <v>140.69999999999999</v>
      </c>
      <c r="AB76" s="7">
        <v>10</v>
      </c>
      <c r="AC76" s="7">
        <v>1033</v>
      </c>
    </row>
    <row r="77" spans="5:29" ht="15" customHeight="1">
      <c r="E77" s="7">
        <v>580</v>
      </c>
      <c r="F77" s="7">
        <v>5.3</v>
      </c>
      <c r="G77" s="7">
        <v>5.2999999999999972</v>
      </c>
      <c r="H77" s="18">
        <v>0.21438356504891412</v>
      </c>
      <c r="I77" s="7">
        <v>145.06</v>
      </c>
      <c r="J77" s="7">
        <v>145.06</v>
      </c>
      <c r="K77" s="18">
        <v>0.28859117030072884</v>
      </c>
      <c r="L77"/>
      <c r="M77" s="7">
        <v>444.57</v>
      </c>
      <c r="N77" s="9">
        <v>41565</v>
      </c>
      <c r="O77" s="7" t="s">
        <v>169</v>
      </c>
      <c r="P77" s="7">
        <v>5.3</v>
      </c>
      <c r="Q77" s="7">
        <v>0</v>
      </c>
      <c r="R77" s="7">
        <v>5.3</v>
      </c>
      <c r="S77" s="7">
        <v>5.55</v>
      </c>
      <c r="T77" s="7">
        <v>104</v>
      </c>
      <c r="U77" s="7">
        <v>1487</v>
      </c>
      <c r="V77" s="7">
        <v>580</v>
      </c>
      <c r="W77" s="7" t="s">
        <v>170</v>
      </c>
      <c r="X77" s="7">
        <v>145.06</v>
      </c>
      <c r="Y77" s="7">
        <v>6.22</v>
      </c>
      <c r="Z77" s="7">
        <v>144.30000000000001</v>
      </c>
      <c r="AA77" s="7">
        <v>145.15</v>
      </c>
      <c r="AB77" s="7">
        <v>2</v>
      </c>
      <c r="AC77" s="7">
        <v>287</v>
      </c>
    </row>
    <row r="78" spans="5:29" ht="15" customHeight="1">
      <c r="E78" s="7">
        <v>585</v>
      </c>
      <c r="F78" s="7">
        <v>5.15</v>
      </c>
      <c r="G78" s="7">
        <v>5.1499999999999986</v>
      </c>
      <c r="H78" s="18">
        <v>0.21761201963412105</v>
      </c>
      <c r="I78" s="7">
        <v>149.51</v>
      </c>
      <c r="J78" s="7">
        <v>149.51</v>
      </c>
      <c r="K78" s="18">
        <v>0.29026596770607732</v>
      </c>
      <c r="L78"/>
      <c r="M78" s="7">
        <v>444.57</v>
      </c>
      <c r="N78" s="9">
        <v>41565</v>
      </c>
      <c r="O78" s="7" t="s">
        <v>171</v>
      </c>
      <c r="P78" s="7">
        <v>5.15</v>
      </c>
      <c r="Q78" s="7">
        <v>0.85</v>
      </c>
      <c r="R78" s="7">
        <v>4.9000000000000004</v>
      </c>
      <c r="S78" s="7">
        <v>5.15</v>
      </c>
      <c r="T78" s="7">
        <v>1</v>
      </c>
      <c r="U78" s="7">
        <v>333</v>
      </c>
      <c r="V78" s="7">
        <v>585</v>
      </c>
      <c r="W78" s="7" t="s">
        <v>172</v>
      </c>
      <c r="X78" s="7">
        <v>149.51</v>
      </c>
      <c r="Y78" s="7">
        <v>4.4000000000000004</v>
      </c>
      <c r="Z78" s="7">
        <v>148.65</v>
      </c>
      <c r="AA78" s="7">
        <v>150</v>
      </c>
      <c r="AB78" s="7">
        <v>2</v>
      </c>
      <c r="AC78" s="7">
        <v>462</v>
      </c>
    </row>
    <row r="79" spans="5:29" ht="15" customHeight="1">
      <c r="E79" s="7">
        <v>590</v>
      </c>
      <c r="F79" s="7">
        <v>4.6500000000000004</v>
      </c>
      <c r="G79" s="7">
        <v>4.6499999999999986</v>
      </c>
      <c r="H79" s="18">
        <v>0.216467923901489</v>
      </c>
      <c r="I79" s="7">
        <v>146.56</v>
      </c>
      <c r="J79" s="7">
        <v>146.56</v>
      </c>
      <c r="K79" s="18">
        <v>0.21649652699375518</v>
      </c>
      <c r="L79"/>
      <c r="M79" s="7">
        <v>444.57</v>
      </c>
      <c r="N79" s="9">
        <v>41565</v>
      </c>
      <c r="O79" s="7" t="s">
        <v>173</v>
      </c>
      <c r="P79" s="7">
        <v>4.6500000000000004</v>
      </c>
      <c r="Q79" s="7">
        <v>0.05</v>
      </c>
      <c r="R79" s="7">
        <v>4.55</v>
      </c>
      <c r="S79" s="7">
        <v>4.8</v>
      </c>
      <c r="T79" s="7">
        <v>3</v>
      </c>
      <c r="U79" s="7">
        <v>696</v>
      </c>
      <c r="V79" s="7">
        <v>590</v>
      </c>
      <c r="W79" s="7" t="s">
        <v>174</v>
      </c>
      <c r="X79" s="7">
        <v>146.56</v>
      </c>
      <c r="Y79" s="7">
        <v>0</v>
      </c>
      <c r="Z79" s="7">
        <v>152.80000000000001</v>
      </c>
      <c r="AA79" s="7">
        <v>154.5</v>
      </c>
      <c r="AB79" s="7">
        <v>20</v>
      </c>
      <c r="AC79" s="7">
        <v>219</v>
      </c>
    </row>
    <row r="80" spans="5:29" ht="15" customHeight="1">
      <c r="E80" s="7">
        <v>595</v>
      </c>
      <c r="F80" s="7">
        <v>4.74</v>
      </c>
      <c r="G80" s="7">
        <v>4.7400000000000091</v>
      </c>
      <c r="H80" s="18">
        <v>0.22230144827551163</v>
      </c>
      <c r="I80" s="7">
        <v>159.32</v>
      </c>
      <c r="J80" s="7">
        <v>159.32</v>
      </c>
      <c r="K80" s="18">
        <v>0.30092446627243785</v>
      </c>
      <c r="L80"/>
      <c r="M80" s="7">
        <v>444.57</v>
      </c>
      <c r="N80" s="9">
        <v>41565</v>
      </c>
      <c r="O80" s="7" t="s">
        <v>175</v>
      </c>
      <c r="P80" s="7">
        <v>4.74</v>
      </c>
      <c r="Q80" s="7">
        <v>0.09</v>
      </c>
      <c r="R80" s="7">
        <v>4.2</v>
      </c>
      <c r="S80" s="7">
        <v>4.45</v>
      </c>
      <c r="T80" s="7">
        <v>10</v>
      </c>
      <c r="U80" s="7">
        <v>541</v>
      </c>
      <c r="V80" s="7">
        <v>595</v>
      </c>
      <c r="W80" s="7" t="s">
        <v>176</v>
      </c>
      <c r="X80" s="7">
        <v>159.32</v>
      </c>
      <c r="Y80" s="7">
        <v>11.91</v>
      </c>
      <c r="Z80" s="7">
        <v>157.80000000000001</v>
      </c>
      <c r="AA80" s="7">
        <v>159.19999999999999</v>
      </c>
      <c r="AB80" s="7">
        <v>2</v>
      </c>
      <c r="AC80" s="7">
        <v>90</v>
      </c>
    </row>
    <row r="81" spans="5:29" ht="15" customHeight="1">
      <c r="E81" s="7">
        <v>600</v>
      </c>
      <c r="F81" s="7">
        <v>4.05</v>
      </c>
      <c r="G81" s="7">
        <v>4.0500000000000043</v>
      </c>
      <c r="H81" s="18">
        <v>0.21804756270786468</v>
      </c>
      <c r="I81" s="7">
        <v>160</v>
      </c>
      <c r="J81" s="7">
        <v>160</v>
      </c>
      <c r="K81" s="18">
        <v>0.26686574086758835</v>
      </c>
      <c r="L81"/>
      <c r="M81" s="7">
        <v>444.57</v>
      </c>
      <c r="N81" s="9">
        <v>41565</v>
      </c>
      <c r="O81" s="7" t="s">
        <v>177</v>
      </c>
      <c r="P81" s="7">
        <v>4.05</v>
      </c>
      <c r="Q81" s="7">
        <v>0.85</v>
      </c>
      <c r="R81" s="7">
        <v>3.9</v>
      </c>
      <c r="S81" s="7">
        <v>4.0999999999999996</v>
      </c>
      <c r="T81" s="7">
        <v>65</v>
      </c>
      <c r="U81" s="7">
        <v>10924</v>
      </c>
      <c r="V81" s="7">
        <v>600</v>
      </c>
      <c r="W81" s="7" t="s">
        <v>178</v>
      </c>
      <c r="X81" s="7">
        <v>160</v>
      </c>
      <c r="Y81" s="7">
        <v>0</v>
      </c>
      <c r="Z81" s="7">
        <v>162.5</v>
      </c>
      <c r="AA81" s="7">
        <v>164</v>
      </c>
      <c r="AB81" s="7">
        <v>51</v>
      </c>
      <c r="AC81" s="7">
        <v>803</v>
      </c>
    </row>
    <row r="82" spans="5:29" ht="15" customHeight="1">
      <c r="E82" s="7">
        <v>605</v>
      </c>
      <c r="F82" s="7">
        <v>3.7</v>
      </c>
      <c r="G82" s="7">
        <v>3.6999999999999957</v>
      </c>
      <c r="H82" s="18">
        <v>0.21769007464612641</v>
      </c>
      <c r="I82" s="7">
        <v>153.59</v>
      </c>
      <c r="J82" s="7" t="e">
        <v>#N/A</v>
      </c>
      <c r="K82" s="18" t="e">
        <v>#N/A</v>
      </c>
      <c r="L82"/>
      <c r="M82" s="7">
        <v>444.57</v>
      </c>
      <c r="N82" s="9">
        <v>41565</v>
      </c>
      <c r="O82" s="7" t="s">
        <v>179</v>
      </c>
      <c r="P82" s="7">
        <v>3.7</v>
      </c>
      <c r="Q82" s="7">
        <v>0.8</v>
      </c>
      <c r="R82" s="7">
        <v>3.6</v>
      </c>
      <c r="S82" s="7">
        <v>3.8</v>
      </c>
      <c r="T82" s="7">
        <v>1</v>
      </c>
      <c r="U82" s="7">
        <v>982</v>
      </c>
      <c r="V82" s="7">
        <v>605</v>
      </c>
      <c r="W82" s="7" t="s">
        <v>180</v>
      </c>
      <c r="X82" s="7">
        <v>153.59</v>
      </c>
      <c r="Y82" s="7">
        <v>0</v>
      </c>
      <c r="Z82" s="7">
        <v>167.15</v>
      </c>
      <c r="AA82" s="7">
        <v>168.7</v>
      </c>
      <c r="AB82" s="7">
        <v>1</v>
      </c>
      <c r="AC82" s="7">
        <v>158</v>
      </c>
    </row>
    <row r="83" spans="5:29" ht="15" customHeight="1">
      <c r="E83" s="7">
        <v>610</v>
      </c>
      <c r="F83" s="7">
        <v>3.85</v>
      </c>
      <c r="G83" s="7">
        <v>3.8500000000000014</v>
      </c>
      <c r="H83" s="18">
        <v>0.22419624647135464</v>
      </c>
      <c r="I83" s="7">
        <v>168.05</v>
      </c>
      <c r="J83" s="7">
        <v>168.05</v>
      </c>
      <c r="K83" s="18">
        <v>0.25729071326962827</v>
      </c>
      <c r="L83"/>
      <c r="M83" s="7">
        <v>444.57</v>
      </c>
      <c r="N83" s="9">
        <v>41565</v>
      </c>
      <c r="O83" s="7" t="s">
        <v>181</v>
      </c>
      <c r="P83" s="7">
        <v>3.85</v>
      </c>
      <c r="Q83" s="7">
        <v>0.4</v>
      </c>
      <c r="R83" s="7">
        <v>3.35</v>
      </c>
      <c r="S83" s="7">
        <v>3.55</v>
      </c>
      <c r="T83" s="7">
        <v>63</v>
      </c>
      <c r="U83" s="7">
        <v>613</v>
      </c>
      <c r="V83" s="7">
        <v>610</v>
      </c>
      <c r="W83" s="7" t="s">
        <v>182</v>
      </c>
      <c r="X83" s="7">
        <v>168.05</v>
      </c>
      <c r="Y83" s="7">
        <v>16.62</v>
      </c>
      <c r="Z83" s="7">
        <v>172.1</v>
      </c>
      <c r="AA83" s="7">
        <v>173.35</v>
      </c>
      <c r="AB83" s="7">
        <v>1</v>
      </c>
      <c r="AC83" s="7">
        <v>307</v>
      </c>
    </row>
    <row r="84" spans="5:29" ht="15" customHeight="1">
      <c r="E84" s="7">
        <v>615</v>
      </c>
      <c r="F84" s="7">
        <v>3.7</v>
      </c>
      <c r="G84" s="7">
        <v>3.7000000000000099</v>
      </c>
      <c r="H84" s="18">
        <v>0.2263839075891082</v>
      </c>
      <c r="I84" s="7">
        <v>174.36</v>
      </c>
      <c r="J84" s="7">
        <v>174.36</v>
      </c>
      <c r="K84" s="18">
        <v>0.27732180346191765</v>
      </c>
      <c r="L84"/>
      <c r="M84" s="7">
        <v>444.57</v>
      </c>
      <c r="N84" s="9">
        <v>41565</v>
      </c>
      <c r="O84" s="7" t="s">
        <v>183</v>
      </c>
      <c r="P84" s="7">
        <v>3.7</v>
      </c>
      <c r="Q84" s="7">
        <v>0.1</v>
      </c>
      <c r="R84" s="7">
        <v>3.15</v>
      </c>
      <c r="S84" s="7">
        <v>3.3</v>
      </c>
      <c r="T84" s="7">
        <v>20</v>
      </c>
      <c r="U84" s="7">
        <v>341</v>
      </c>
      <c r="V84" s="7">
        <v>615</v>
      </c>
      <c r="W84" s="7" t="s">
        <v>184</v>
      </c>
      <c r="X84" s="7">
        <v>174.36</v>
      </c>
      <c r="Y84" s="7">
        <v>0</v>
      </c>
      <c r="Z84" s="7">
        <v>176.7</v>
      </c>
      <c r="AA84" s="7">
        <v>178.3</v>
      </c>
      <c r="AB84" s="7">
        <v>3</v>
      </c>
      <c r="AC84" s="7">
        <v>127</v>
      </c>
    </row>
    <row r="85" spans="5:29" ht="15" customHeight="1">
      <c r="E85" s="7">
        <v>620</v>
      </c>
      <c r="F85" s="7">
        <v>3.33</v>
      </c>
      <c r="G85" s="7">
        <v>3.3300000000000054</v>
      </c>
      <c r="H85" s="18">
        <v>0.22508046438975718</v>
      </c>
      <c r="I85" s="7">
        <v>162.80000000000001</v>
      </c>
      <c r="J85" s="7" t="e">
        <v>#N/A</v>
      </c>
      <c r="K85" s="18" t="e">
        <v>#N/A</v>
      </c>
      <c r="L85"/>
      <c r="M85" s="7">
        <v>444.57</v>
      </c>
      <c r="N85" s="9">
        <v>41565</v>
      </c>
      <c r="O85" s="7" t="s">
        <v>185</v>
      </c>
      <c r="P85" s="7">
        <v>3.33</v>
      </c>
      <c r="Q85" s="7">
        <v>0.32</v>
      </c>
      <c r="R85" s="7">
        <v>2.89</v>
      </c>
      <c r="S85" s="7">
        <v>3.1</v>
      </c>
      <c r="T85" s="7">
        <v>1</v>
      </c>
      <c r="U85" s="7">
        <v>819</v>
      </c>
      <c r="V85" s="7">
        <v>620</v>
      </c>
      <c r="W85" s="7" t="s">
        <v>186</v>
      </c>
      <c r="X85" s="7">
        <v>162.80000000000001</v>
      </c>
      <c r="Y85" s="7">
        <v>0</v>
      </c>
      <c r="Z85" s="7">
        <v>181.55</v>
      </c>
      <c r="AA85" s="7">
        <v>183</v>
      </c>
      <c r="AB85" s="7">
        <v>1</v>
      </c>
      <c r="AC85" s="7">
        <v>159</v>
      </c>
    </row>
    <row r="86" spans="5:29" ht="15" customHeight="1">
      <c r="E86" s="7">
        <v>625</v>
      </c>
      <c r="F86" s="7">
        <v>3.25</v>
      </c>
      <c r="G86" s="7">
        <v>3.2499999999999929</v>
      </c>
      <c r="H86" s="18">
        <v>0.22796817653745358</v>
      </c>
      <c r="I86" s="7">
        <v>187</v>
      </c>
      <c r="J86" s="7">
        <v>187</v>
      </c>
      <c r="K86" s="18">
        <v>0.31489937803075385</v>
      </c>
      <c r="L86"/>
      <c r="M86" s="7">
        <v>444.57</v>
      </c>
      <c r="N86" s="9">
        <v>41565</v>
      </c>
      <c r="O86" s="7" t="s">
        <v>187</v>
      </c>
      <c r="P86" s="7">
        <v>3.25</v>
      </c>
      <c r="Q86" s="7">
        <v>0.06</v>
      </c>
      <c r="R86" s="7">
        <v>2.63</v>
      </c>
      <c r="S86" s="7">
        <v>2.82</v>
      </c>
      <c r="T86" s="7">
        <v>3</v>
      </c>
      <c r="U86" s="7">
        <v>412</v>
      </c>
      <c r="V86" s="7">
        <v>625</v>
      </c>
      <c r="W86" s="7" t="s">
        <v>188</v>
      </c>
      <c r="X86" s="7">
        <v>187</v>
      </c>
      <c r="Y86" s="7">
        <v>7.66</v>
      </c>
      <c r="Z86" s="7">
        <v>186.3</v>
      </c>
      <c r="AA86" s="7">
        <v>187.75</v>
      </c>
      <c r="AB86" s="7">
        <v>2</v>
      </c>
      <c r="AC86" s="7">
        <v>151</v>
      </c>
    </row>
    <row r="87" spans="5:29" ht="15" customHeight="1">
      <c r="E87" s="7">
        <v>630</v>
      </c>
      <c r="F87" s="7">
        <v>2.68</v>
      </c>
      <c r="G87" s="7">
        <v>2.6799999999999962</v>
      </c>
      <c r="H87" s="18">
        <v>0.22248917191667519</v>
      </c>
      <c r="I87" s="7">
        <v>170.5</v>
      </c>
      <c r="J87" s="7" t="e">
        <v>#N/A</v>
      </c>
      <c r="K87" s="18" t="e">
        <v>#N/A</v>
      </c>
      <c r="L87"/>
      <c r="M87" s="7">
        <v>444.57</v>
      </c>
      <c r="N87" s="9">
        <v>41565</v>
      </c>
      <c r="O87" s="7" t="s">
        <v>189</v>
      </c>
      <c r="P87" s="7">
        <v>2.68</v>
      </c>
      <c r="Q87" s="7">
        <v>0</v>
      </c>
      <c r="R87" s="7">
        <v>2.44</v>
      </c>
      <c r="S87" s="7">
        <v>2.63</v>
      </c>
      <c r="T87" s="7">
        <v>5</v>
      </c>
      <c r="U87" s="7">
        <v>489</v>
      </c>
      <c r="V87" s="7">
        <v>630</v>
      </c>
      <c r="W87" s="7" t="s">
        <v>190</v>
      </c>
      <c r="X87" s="7">
        <v>170.5</v>
      </c>
      <c r="Y87" s="7">
        <v>0</v>
      </c>
      <c r="Z87" s="7">
        <v>191.1</v>
      </c>
      <c r="AA87" s="7">
        <v>192.35</v>
      </c>
      <c r="AB87" s="7">
        <v>5</v>
      </c>
      <c r="AC87" s="7">
        <v>259</v>
      </c>
    </row>
    <row r="88" spans="5:29" ht="15" customHeight="1">
      <c r="E88" s="7">
        <v>635</v>
      </c>
      <c r="F88" s="7">
        <v>2.5499999999999998</v>
      </c>
      <c r="G88" s="7">
        <v>2.5499999999999972</v>
      </c>
      <c r="H88" s="18">
        <v>0.22406466865245814</v>
      </c>
      <c r="I88" s="7">
        <v>196.12</v>
      </c>
      <c r="J88" s="7">
        <v>196.12</v>
      </c>
      <c r="K88" s="18">
        <v>0.31741593731180223</v>
      </c>
      <c r="L88"/>
      <c r="M88" s="7">
        <v>444.57</v>
      </c>
      <c r="N88" s="9">
        <v>41565</v>
      </c>
      <c r="O88" s="7" t="s">
        <v>191</v>
      </c>
      <c r="P88" s="7">
        <v>2.5499999999999998</v>
      </c>
      <c r="Q88" s="7">
        <v>0</v>
      </c>
      <c r="R88" s="7">
        <v>2.15</v>
      </c>
      <c r="S88" s="7">
        <v>2.44</v>
      </c>
      <c r="T88" s="7">
        <v>2</v>
      </c>
      <c r="U88" s="7">
        <v>407</v>
      </c>
      <c r="V88" s="7">
        <v>635</v>
      </c>
      <c r="W88" s="7" t="s">
        <v>192</v>
      </c>
      <c r="X88" s="7">
        <v>196.12</v>
      </c>
      <c r="Y88" s="7">
        <v>0</v>
      </c>
      <c r="Z88" s="7">
        <v>195.65</v>
      </c>
      <c r="AA88" s="7">
        <v>197.1</v>
      </c>
      <c r="AB88" s="7">
        <v>1</v>
      </c>
      <c r="AC88" s="7">
        <v>219</v>
      </c>
    </row>
    <row r="89" spans="5:29" ht="15" customHeight="1">
      <c r="E89" s="7">
        <v>640</v>
      </c>
      <c r="F89" s="7">
        <v>2.64</v>
      </c>
      <c r="G89" s="7">
        <v>2.6400000000000077</v>
      </c>
      <c r="H89" s="18">
        <v>0.2295690167643844</v>
      </c>
      <c r="I89" s="7">
        <v>202.58</v>
      </c>
      <c r="J89" s="7" t="e">
        <v>#N/A</v>
      </c>
      <c r="K89" s="18" t="e">
        <v>#N/A</v>
      </c>
      <c r="L89"/>
      <c r="M89" s="7">
        <v>444.57</v>
      </c>
      <c r="N89" s="9">
        <v>41565</v>
      </c>
      <c r="O89" s="7" t="s">
        <v>193</v>
      </c>
      <c r="P89" s="7">
        <v>2.64</v>
      </c>
      <c r="Q89" s="7">
        <v>0.04</v>
      </c>
      <c r="R89" s="7">
        <v>2.09</v>
      </c>
      <c r="S89" s="7">
        <v>2.2799999999999998</v>
      </c>
      <c r="T89" s="7">
        <v>3</v>
      </c>
      <c r="U89" s="7">
        <v>504</v>
      </c>
      <c r="V89" s="7">
        <v>640</v>
      </c>
      <c r="W89" s="7" t="s">
        <v>194</v>
      </c>
      <c r="X89" s="7">
        <v>202.58</v>
      </c>
      <c r="Y89" s="7">
        <v>0</v>
      </c>
      <c r="Z89" s="7">
        <v>200.45</v>
      </c>
      <c r="AA89" s="7">
        <v>202.15</v>
      </c>
      <c r="AB89" s="7">
        <v>5</v>
      </c>
      <c r="AC89" s="7">
        <v>97</v>
      </c>
    </row>
    <row r="90" spans="5:29" ht="15" customHeight="1">
      <c r="E90" s="7">
        <v>645</v>
      </c>
      <c r="F90" s="7">
        <v>2.4300000000000002</v>
      </c>
      <c r="G90" s="7">
        <v>2.4299999999999997</v>
      </c>
      <c r="H90" s="18">
        <v>0.22945039433462455</v>
      </c>
      <c r="I90" s="7">
        <v>206.6</v>
      </c>
      <c r="J90" s="7" t="e">
        <v>#N/A</v>
      </c>
      <c r="K90" s="18" t="e">
        <v>#N/A</v>
      </c>
      <c r="L90"/>
      <c r="M90" s="7">
        <v>444.57</v>
      </c>
      <c r="N90" s="9">
        <v>41565</v>
      </c>
      <c r="O90" s="7" t="s">
        <v>195</v>
      </c>
      <c r="P90" s="7">
        <v>2.4300000000000002</v>
      </c>
      <c r="Q90" s="7">
        <v>0</v>
      </c>
      <c r="R90" s="7">
        <v>1.93</v>
      </c>
      <c r="S90" s="7">
        <v>2.13</v>
      </c>
      <c r="T90" s="7">
        <v>3</v>
      </c>
      <c r="U90" s="7">
        <v>194</v>
      </c>
      <c r="V90" s="7">
        <v>645</v>
      </c>
      <c r="W90" s="7" t="s">
        <v>196</v>
      </c>
      <c r="X90" s="7">
        <v>206.6</v>
      </c>
      <c r="Y90" s="7">
        <v>0</v>
      </c>
      <c r="Z90" s="7">
        <v>205.7</v>
      </c>
      <c r="AA90" s="7">
        <v>207</v>
      </c>
      <c r="AB90" s="7">
        <v>1</v>
      </c>
      <c r="AC90" s="7">
        <v>70</v>
      </c>
    </row>
    <row r="91" spans="5:29" ht="15" customHeight="1">
      <c r="E91" s="7">
        <v>650</v>
      </c>
      <c r="F91" s="7">
        <v>2</v>
      </c>
      <c r="G91" s="7">
        <v>1.9999999999999964</v>
      </c>
      <c r="H91" s="18">
        <v>0.22439803479077144</v>
      </c>
      <c r="I91" s="7">
        <v>209</v>
      </c>
      <c r="J91" s="7">
        <v>209</v>
      </c>
      <c r="K91" s="18">
        <v>0.31135697385462463</v>
      </c>
      <c r="L91"/>
      <c r="M91" s="7">
        <v>444.57</v>
      </c>
      <c r="N91" s="9">
        <v>41565</v>
      </c>
      <c r="O91" s="7" t="s">
        <v>197</v>
      </c>
      <c r="P91" s="7">
        <v>2</v>
      </c>
      <c r="Q91" s="7">
        <v>0.04</v>
      </c>
      <c r="R91" s="7">
        <v>1.85</v>
      </c>
      <c r="S91" s="7">
        <v>1.99</v>
      </c>
      <c r="T91" s="7">
        <v>95</v>
      </c>
      <c r="U91" s="7">
        <v>8449</v>
      </c>
      <c r="V91" s="7">
        <v>650</v>
      </c>
      <c r="W91" s="7" t="s">
        <v>198</v>
      </c>
      <c r="X91" s="7">
        <v>209</v>
      </c>
      <c r="Y91" s="7">
        <v>0</v>
      </c>
      <c r="Z91" s="7">
        <v>210.45</v>
      </c>
      <c r="AA91" s="7">
        <v>211.9</v>
      </c>
      <c r="AB91" s="7">
        <v>4</v>
      </c>
      <c r="AC91" s="7">
        <v>116</v>
      </c>
    </row>
    <row r="92" spans="5:29" ht="15" customHeight="1">
      <c r="E92" s="7">
        <v>655</v>
      </c>
      <c r="F92" s="7">
        <v>2.11</v>
      </c>
      <c r="G92" s="7">
        <v>2.110000000000003</v>
      </c>
      <c r="H92" s="18">
        <v>0.23037088074139178</v>
      </c>
      <c r="I92" s="7">
        <v>204.65</v>
      </c>
      <c r="J92" s="7" t="e">
        <v>#N/A</v>
      </c>
      <c r="K92" s="18" t="e">
        <v>#N/A</v>
      </c>
      <c r="L92"/>
      <c r="M92" s="7">
        <v>444.57</v>
      </c>
      <c r="N92" s="9">
        <v>41565</v>
      </c>
      <c r="O92" s="7" t="s">
        <v>199</v>
      </c>
      <c r="P92" s="7">
        <v>2.11</v>
      </c>
      <c r="Q92" s="7">
        <v>0</v>
      </c>
      <c r="R92" s="7">
        <v>1.66</v>
      </c>
      <c r="S92" s="7">
        <v>1.84</v>
      </c>
      <c r="T92" s="7">
        <v>7</v>
      </c>
      <c r="U92" s="7">
        <v>252</v>
      </c>
      <c r="V92" s="7">
        <v>655</v>
      </c>
      <c r="W92" s="7" t="s">
        <v>200</v>
      </c>
      <c r="X92" s="7">
        <v>204.65</v>
      </c>
      <c r="Y92" s="7">
        <v>0</v>
      </c>
      <c r="Z92" s="7">
        <v>215</v>
      </c>
      <c r="AA92" s="7">
        <v>216.75</v>
      </c>
      <c r="AB92" s="7">
        <v>1</v>
      </c>
      <c r="AC92" s="7">
        <v>27</v>
      </c>
    </row>
    <row r="93" spans="5:29" ht="15" customHeight="1">
      <c r="E93" s="7">
        <v>660</v>
      </c>
      <c r="F93" s="7">
        <v>1.67</v>
      </c>
      <c r="G93" s="7">
        <v>1.6700000000000017</v>
      </c>
      <c r="H93" s="18">
        <v>0.22391773689010547</v>
      </c>
      <c r="I93" s="7">
        <v>198.95</v>
      </c>
      <c r="J93" s="7" t="e">
        <v>#N/A</v>
      </c>
      <c r="K93" s="18" t="e">
        <v>#N/A</v>
      </c>
      <c r="L93"/>
      <c r="M93" s="7">
        <v>444.57</v>
      </c>
      <c r="N93" s="9">
        <v>41565</v>
      </c>
      <c r="O93" s="7" t="s">
        <v>201</v>
      </c>
      <c r="P93" s="7">
        <v>1.67</v>
      </c>
      <c r="Q93" s="7">
        <v>0.06</v>
      </c>
      <c r="R93" s="7">
        <v>1.59</v>
      </c>
      <c r="S93" s="7">
        <v>1.77</v>
      </c>
      <c r="T93" s="7">
        <v>1</v>
      </c>
      <c r="U93" s="7">
        <v>1052</v>
      </c>
      <c r="V93" s="7">
        <v>660</v>
      </c>
      <c r="W93" s="7" t="s">
        <v>202</v>
      </c>
      <c r="X93" s="7">
        <v>198.95</v>
      </c>
      <c r="Y93" s="7">
        <v>0</v>
      </c>
      <c r="Z93" s="7">
        <v>219.2</v>
      </c>
      <c r="AA93" s="7">
        <v>221.7</v>
      </c>
      <c r="AB93" s="7">
        <v>5</v>
      </c>
      <c r="AC93" s="7">
        <v>28</v>
      </c>
    </row>
    <row r="94" spans="5:29" ht="15" customHeight="1">
      <c r="E94" s="7">
        <v>665</v>
      </c>
      <c r="F94" s="7">
        <v>1.74</v>
      </c>
      <c r="G94" s="7">
        <v>1.7399999999999984</v>
      </c>
      <c r="H94" s="18">
        <v>0.22907727136194508</v>
      </c>
      <c r="I94" s="7">
        <v>214.3</v>
      </c>
      <c r="J94" s="7" t="e">
        <v>#N/A</v>
      </c>
      <c r="K94" s="18" t="e">
        <v>#N/A</v>
      </c>
      <c r="L94"/>
      <c r="M94" s="7">
        <v>444.57</v>
      </c>
      <c r="N94" s="9">
        <v>41565</v>
      </c>
      <c r="O94" s="7" t="s">
        <v>203</v>
      </c>
      <c r="P94" s="7">
        <v>1.74</v>
      </c>
      <c r="Q94" s="7">
        <v>0</v>
      </c>
      <c r="R94" s="7">
        <v>1.44</v>
      </c>
      <c r="S94" s="7">
        <v>1.63</v>
      </c>
      <c r="T94" s="7">
        <v>2</v>
      </c>
      <c r="U94" s="7">
        <v>229</v>
      </c>
      <c r="V94" s="7">
        <v>665</v>
      </c>
      <c r="W94" s="7" t="s">
        <v>204</v>
      </c>
      <c r="X94" s="7">
        <v>214.3</v>
      </c>
      <c r="Y94" s="7">
        <v>0</v>
      </c>
      <c r="Z94" s="7">
        <v>224.05</v>
      </c>
      <c r="AA94" s="7">
        <v>226.3</v>
      </c>
      <c r="AB94" s="7">
        <v>1</v>
      </c>
      <c r="AC94" s="7">
        <v>31</v>
      </c>
    </row>
    <row r="95" spans="5:29" ht="15" customHeight="1">
      <c r="E95" s="7">
        <v>670</v>
      </c>
      <c r="F95" s="7">
        <v>1.43</v>
      </c>
      <c r="G95" s="7">
        <v>1.4300000000000033</v>
      </c>
      <c r="H95" s="18">
        <v>0.22452042154669918</v>
      </c>
      <c r="I95" s="7">
        <v>194.3</v>
      </c>
      <c r="J95" s="7" t="e">
        <v>#N/A</v>
      </c>
      <c r="K95" s="18" t="e">
        <v>#N/A</v>
      </c>
      <c r="L95"/>
      <c r="M95" s="7">
        <v>444.57</v>
      </c>
      <c r="N95" s="9">
        <v>41565</v>
      </c>
      <c r="O95" s="7" t="s">
        <v>205</v>
      </c>
      <c r="P95" s="7">
        <v>1.43</v>
      </c>
      <c r="Q95" s="7">
        <v>0.25</v>
      </c>
      <c r="R95" s="7">
        <v>1.24</v>
      </c>
      <c r="S95" s="7">
        <v>1.53</v>
      </c>
      <c r="T95" s="7">
        <v>1</v>
      </c>
      <c r="U95" s="7">
        <v>291</v>
      </c>
      <c r="V95" s="7">
        <v>670</v>
      </c>
      <c r="W95" s="7" t="s">
        <v>206</v>
      </c>
      <c r="X95" s="7">
        <v>194.3</v>
      </c>
      <c r="Y95" s="7">
        <v>0</v>
      </c>
      <c r="Z95" s="7">
        <v>228.85</v>
      </c>
      <c r="AA95" s="7">
        <v>231.4</v>
      </c>
      <c r="AB95" s="7">
        <v>1</v>
      </c>
      <c r="AC95" s="7">
        <v>37</v>
      </c>
    </row>
    <row r="96" spans="5:29" ht="15" customHeight="1">
      <c r="E96" s="7">
        <v>675</v>
      </c>
      <c r="F96" s="7">
        <v>1.5</v>
      </c>
      <c r="G96" s="7">
        <v>1.5</v>
      </c>
      <c r="H96" s="18">
        <v>0.22974107090207366</v>
      </c>
      <c r="I96" s="7">
        <v>234.15</v>
      </c>
      <c r="J96" s="7" t="e">
        <v>#N/A</v>
      </c>
      <c r="K96" s="18" t="e">
        <v>#N/A</v>
      </c>
      <c r="L96"/>
      <c r="M96" s="7">
        <v>444.57</v>
      </c>
      <c r="N96" s="9">
        <v>41565</v>
      </c>
      <c r="O96" s="7" t="s">
        <v>207</v>
      </c>
      <c r="P96" s="7">
        <v>1.5</v>
      </c>
      <c r="Q96" s="7">
        <v>0.15</v>
      </c>
      <c r="R96" s="7">
        <v>1.39</v>
      </c>
      <c r="S96" s="7">
        <v>1.44</v>
      </c>
      <c r="T96" s="7">
        <v>1</v>
      </c>
      <c r="U96" s="7">
        <v>361</v>
      </c>
      <c r="V96" s="7">
        <v>675</v>
      </c>
      <c r="W96" s="7" t="s">
        <v>208</v>
      </c>
      <c r="X96" s="7">
        <v>234.15</v>
      </c>
      <c r="Y96" s="7">
        <v>0</v>
      </c>
      <c r="Z96" s="7">
        <v>234.5</v>
      </c>
      <c r="AA96" s="7">
        <v>236.3</v>
      </c>
      <c r="AB96" s="7">
        <v>2</v>
      </c>
      <c r="AC96" s="7">
        <v>143</v>
      </c>
    </row>
    <row r="97" spans="5:29" ht="15" customHeight="1">
      <c r="E97" s="7">
        <v>680</v>
      </c>
      <c r="F97" s="7">
        <v>1.3</v>
      </c>
      <c r="G97" s="7">
        <v>1.2999999999999901</v>
      </c>
      <c r="H97" s="18">
        <v>0.22738965425069546</v>
      </c>
      <c r="I97" s="7">
        <v>205.25</v>
      </c>
      <c r="J97" s="7" t="e">
        <v>#N/A</v>
      </c>
      <c r="K97" s="18" t="e">
        <v>#N/A</v>
      </c>
      <c r="L97"/>
      <c r="M97" s="7">
        <v>444.57</v>
      </c>
      <c r="N97" s="9">
        <v>41565</v>
      </c>
      <c r="O97" s="7" t="s">
        <v>209</v>
      </c>
      <c r="P97" s="7">
        <v>1.3</v>
      </c>
      <c r="Q97" s="7">
        <v>0</v>
      </c>
      <c r="R97" s="7">
        <v>1.18</v>
      </c>
      <c r="S97" s="7">
        <v>1.37</v>
      </c>
      <c r="T97" s="7">
        <v>2</v>
      </c>
      <c r="U97" s="7">
        <v>621</v>
      </c>
      <c r="V97" s="7">
        <v>680</v>
      </c>
      <c r="W97" s="7" t="s">
        <v>210</v>
      </c>
      <c r="X97" s="7">
        <v>205.25</v>
      </c>
      <c r="Y97" s="7">
        <v>0</v>
      </c>
      <c r="Z97" s="7">
        <v>238.7</v>
      </c>
      <c r="AA97" s="7">
        <v>241.15</v>
      </c>
      <c r="AB97" s="7">
        <v>1</v>
      </c>
      <c r="AC97" s="7">
        <v>51</v>
      </c>
    </row>
    <row r="98" spans="5:29" ht="15" customHeight="1">
      <c r="E98" s="7">
        <v>685</v>
      </c>
      <c r="F98" s="7">
        <v>1.22</v>
      </c>
      <c r="G98" s="7">
        <v>1.21999999999999</v>
      </c>
      <c r="H98" s="18">
        <v>0.22817108430257932</v>
      </c>
      <c r="I98" s="7">
        <v>181.45</v>
      </c>
      <c r="J98" s="7" t="e">
        <v>#N/A</v>
      </c>
      <c r="K98" s="18" t="e">
        <v>#N/A</v>
      </c>
      <c r="L98"/>
      <c r="M98" s="7">
        <v>444.57</v>
      </c>
      <c r="N98" s="9">
        <v>41565</v>
      </c>
      <c r="O98" s="7" t="s">
        <v>211</v>
      </c>
      <c r="P98" s="7">
        <v>1.22</v>
      </c>
      <c r="Q98" s="7">
        <v>0</v>
      </c>
      <c r="R98" s="7">
        <v>0.99</v>
      </c>
      <c r="S98" s="7">
        <v>1.28</v>
      </c>
      <c r="T98" s="7">
        <v>1</v>
      </c>
      <c r="U98" s="7">
        <v>495</v>
      </c>
      <c r="V98" s="7">
        <v>685</v>
      </c>
      <c r="W98" s="7" t="s">
        <v>212</v>
      </c>
      <c r="X98" s="7">
        <v>181.45</v>
      </c>
      <c r="Y98" s="7">
        <v>0</v>
      </c>
      <c r="Z98" s="7">
        <v>243.65</v>
      </c>
      <c r="AA98" s="7">
        <v>246.3</v>
      </c>
      <c r="AB98" s="7">
        <v>0</v>
      </c>
      <c r="AC98" s="7">
        <v>9</v>
      </c>
    </row>
    <row r="99" spans="5:29" ht="15" customHeight="1">
      <c r="E99" s="7">
        <v>690</v>
      </c>
      <c r="F99" s="7">
        <v>1.18</v>
      </c>
      <c r="G99" s="7">
        <v>1.1799999999999908</v>
      </c>
      <c r="H99" s="18">
        <v>0.23006351284872001</v>
      </c>
      <c r="I99" s="7">
        <v>244.65</v>
      </c>
      <c r="J99" s="7" t="e">
        <v>#N/A</v>
      </c>
      <c r="K99" s="18" t="e">
        <v>#N/A</v>
      </c>
      <c r="L99"/>
      <c r="M99" s="7">
        <v>444.57</v>
      </c>
      <c r="N99" s="9">
        <v>41565</v>
      </c>
      <c r="O99" s="7" t="s">
        <v>213</v>
      </c>
      <c r="P99" s="7">
        <v>1.18</v>
      </c>
      <c r="Q99" s="7">
        <v>0</v>
      </c>
      <c r="R99" s="7">
        <v>0.99</v>
      </c>
      <c r="S99" s="7">
        <v>1.2</v>
      </c>
      <c r="T99" s="7">
        <v>2</v>
      </c>
      <c r="U99" s="7">
        <v>283</v>
      </c>
      <c r="V99" s="7">
        <v>690</v>
      </c>
      <c r="W99" s="7" t="s">
        <v>214</v>
      </c>
      <c r="X99" s="7">
        <v>244.65</v>
      </c>
      <c r="Y99" s="7">
        <v>0</v>
      </c>
      <c r="Z99" s="7">
        <v>248.4</v>
      </c>
      <c r="AA99" s="7">
        <v>250.9</v>
      </c>
      <c r="AB99" s="7">
        <v>1</v>
      </c>
      <c r="AC99" s="7">
        <v>75</v>
      </c>
    </row>
    <row r="100" spans="5:29" ht="15" customHeight="1">
      <c r="E100" s="7">
        <v>695</v>
      </c>
      <c r="F100" s="7">
        <v>2.2000000000000002</v>
      </c>
      <c r="G100" s="7">
        <v>2.2000000000000099</v>
      </c>
      <c r="H100" s="18">
        <v>0.26002744702960517</v>
      </c>
      <c r="I100" s="7">
        <v>222.34</v>
      </c>
      <c r="J100" s="7" t="e">
        <v>#N/A</v>
      </c>
      <c r="K100" s="18" t="e">
        <v>#N/A</v>
      </c>
      <c r="L100"/>
      <c r="M100" s="7">
        <v>444.57</v>
      </c>
      <c r="N100" s="9">
        <v>41565</v>
      </c>
      <c r="O100" s="7" t="s">
        <v>215</v>
      </c>
      <c r="P100" s="7">
        <v>2.2000000000000002</v>
      </c>
      <c r="Q100" s="7">
        <v>0</v>
      </c>
      <c r="R100" s="7">
        <v>1.01</v>
      </c>
      <c r="S100" s="7">
        <v>1.1299999999999999</v>
      </c>
      <c r="T100" s="7">
        <v>1</v>
      </c>
      <c r="U100" s="7">
        <v>345</v>
      </c>
      <c r="V100" s="7">
        <v>695</v>
      </c>
      <c r="W100" s="7" t="s">
        <v>216</v>
      </c>
      <c r="X100" s="7">
        <v>222.34</v>
      </c>
      <c r="Y100" s="7">
        <v>0</v>
      </c>
      <c r="Z100" s="7">
        <v>254.3</v>
      </c>
      <c r="AA100" s="7">
        <v>255.95</v>
      </c>
      <c r="AB100" s="7">
        <v>6</v>
      </c>
      <c r="AC100" s="7">
        <v>47</v>
      </c>
    </row>
    <row r="101" spans="5:29" ht="15" customHeight="1">
      <c r="E101" s="7">
        <v>700</v>
      </c>
      <c r="F101" s="7">
        <v>1</v>
      </c>
      <c r="G101" s="7">
        <v>1.0000000000000018</v>
      </c>
      <c r="H101" s="18">
        <v>0.23010628363373867</v>
      </c>
      <c r="I101" s="7">
        <v>249</v>
      </c>
      <c r="J101" s="7" t="e">
        <v>#N/A</v>
      </c>
      <c r="K101" s="18" t="e">
        <v>#N/A</v>
      </c>
      <c r="L101"/>
      <c r="M101" s="7">
        <v>444.57</v>
      </c>
      <c r="N101" s="9">
        <v>41565</v>
      </c>
      <c r="O101" s="7" t="s">
        <v>217</v>
      </c>
      <c r="P101" s="7">
        <v>1</v>
      </c>
      <c r="Q101" s="7">
        <v>0.18</v>
      </c>
      <c r="R101" s="7">
        <v>1</v>
      </c>
      <c r="S101" s="7">
        <v>1.06</v>
      </c>
      <c r="T101" s="7">
        <v>6</v>
      </c>
      <c r="U101" s="7">
        <v>1771</v>
      </c>
      <c r="V101" s="7">
        <v>700</v>
      </c>
      <c r="W101" s="7" t="s">
        <v>218</v>
      </c>
      <c r="X101" s="7">
        <v>249</v>
      </c>
      <c r="Y101" s="7">
        <v>0</v>
      </c>
      <c r="Z101" s="7">
        <v>258.45</v>
      </c>
      <c r="AA101" s="7">
        <v>260.8</v>
      </c>
      <c r="AB101" s="7">
        <v>10</v>
      </c>
      <c r="AC101" s="7">
        <v>105</v>
      </c>
    </row>
    <row r="102" spans="5:29" ht="15" customHeight="1">
      <c r="E102" s="7">
        <v>705</v>
      </c>
      <c r="F102" s="7">
        <v>1.1499999999999999</v>
      </c>
      <c r="G102" s="7">
        <v>1.149999999999995</v>
      </c>
      <c r="H102" s="18">
        <v>0.23831533149644971</v>
      </c>
      <c r="I102" s="7">
        <v>206.02</v>
      </c>
      <c r="J102" s="7" t="e">
        <v>#N/A</v>
      </c>
      <c r="K102" s="18" t="e">
        <v>#N/A</v>
      </c>
      <c r="L102"/>
      <c r="M102" s="7">
        <v>444.57</v>
      </c>
      <c r="N102" s="9">
        <v>41565</v>
      </c>
      <c r="O102" s="7" t="s">
        <v>219</v>
      </c>
      <c r="P102" s="7">
        <v>1.1499999999999999</v>
      </c>
      <c r="Q102" s="7">
        <v>0</v>
      </c>
      <c r="R102" s="7">
        <v>0.79</v>
      </c>
      <c r="S102" s="7">
        <v>1.24</v>
      </c>
      <c r="T102" s="7">
        <v>10</v>
      </c>
      <c r="U102" s="7">
        <v>318</v>
      </c>
      <c r="V102" s="7">
        <v>705</v>
      </c>
      <c r="W102" s="7" t="s">
        <v>220</v>
      </c>
      <c r="X102" s="7">
        <v>206.02</v>
      </c>
      <c r="Y102" s="7">
        <v>0</v>
      </c>
      <c r="Z102" s="7">
        <v>263.95</v>
      </c>
      <c r="AA102" s="7">
        <v>266</v>
      </c>
      <c r="AB102" s="7">
        <v>1</v>
      </c>
      <c r="AC102" s="7">
        <v>41</v>
      </c>
    </row>
    <row r="103" spans="5:29" ht="15" customHeight="1">
      <c r="E103" s="7">
        <v>710</v>
      </c>
      <c r="F103" s="7">
        <v>0.93</v>
      </c>
      <c r="G103" s="7">
        <v>0.93000000000000504</v>
      </c>
      <c r="H103" s="18">
        <v>0.23344410018367476</v>
      </c>
      <c r="I103" s="7">
        <v>233.77</v>
      </c>
      <c r="J103" s="7" t="e">
        <v>#N/A</v>
      </c>
      <c r="K103" s="18" t="e">
        <v>#N/A</v>
      </c>
      <c r="L103"/>
      <c r="M103" s="7">
        <v>444.57</v>
      </c>
      <c r="N103" s="9">
        <v>41565</v>
      </c>
      <c r="O103" s="7" t="s">
        <v>221</v>
      </c>
      <c r="P103" s="7">
        <v>0.93</v>
      </c>
      <c r="Q103" s="7">
        <v>0</v>
      </c>
      <c r="R103" s="7">
        <v>0.73</v>
      </c>
      <c r="S103" s="7">
        <v>0.95</v>
      </c>
      <c r="T103" s="7">
        <v>50</v>
      </c>
      <c r="U103" s="7">
        <v>388</v>
      </c>
      <c r="V103" s="7">
        <v>710</v>
      </c>
      <c r="W103" s="7" t="s">
        <v>222</v>
      </c>
      <c r="X103" s="7">
        <v>233.77</v>
      </c>
      <c r="Y103" s="7">
        <v>0</v>
      </c>
      <c r="Z103" s="7">
        <v>268.25</v>
      </c>
      <c r="AA103" s="7">
        <v>271</v>
      </c>
      <c r="AB103" s="7">
        <v>18</v>
      </c>
      <c r="AC103" s="7">
        <v>44</v>
      </c>
    </row>
    <row r="104" spans="5:29" ht="15" customHeight="1">
      <c r="E104" s="7">
        <v>715</v>
      </c>
      <c r="F104" s="7">
        <v>1.1000000000000001</v>
      </c>
      <c r="G104" s="7">
        <v>1.100000000000005</v>
      </c>
      <c r="H104" s="18">
        <v>0.24259278782501972</v>
      </c>
      <c r="I104" s="7">
        <v>222.05</v>
      </c>
      <c r="J104" s="7" t="e">
        <v>#N/A</v>
      </c>
      <c r="K104" s="18" t="e">
        <v>#N/A</v>
      </c>
      <c r="L104"/>
      <c r="M104" s="7">
        <v>444.57</v>
      </c>
      <c r="N104" s="9">
        <v>41565</v>
      </c>
      <c r="O104" s="7" t="s">
        <v>223</v>
      </c>
      <c r="P104" s="7">
        <v>1.1000000000000001</v>
      </c>
      <c r="Q104" s="7">
        <v>0</v>
      </c>
      <c r="R104" s="7">
        <v>0.71</v>
      </c>
      <c r="S104" s="7">
        <v>0.9</v>
      </c>
      <c r="T104" s="7">
        <v>229</v>
      </c>
      <c r="U104" s="7">
        <v>387</v>
      </c>
      <c r="V104" s="7">
        <v>715</v>
      </c>
      <c r="W104" s="7" t="s">
        <v>224</v>
      </c>
      <c r="X104" s="7">
        <v>222.05</v>
      </c>
      <c r="Y104" s="7">
        <v>0</v>
      </c>
      <c r="Z104" s="7">
        <v>273.10000000000002</v>
      </c>
      <c r="AA104" s="7">
        <v>275.5</v>
      </c>
      <c r="AB104" s="7">
        <v>0</v>
      </c>
      <c r="AC104" s="7">
        <v>20</v>
      </c>
    </row>
    <row r="105" spans="5:29" ht="15" customHeight="1">
      <c r="E105" s="7">
        <v>720</v>
      </c>
      <c r="F105" s="7">
        <v>0.94</v>
      </c>
      <c r="G105" s="7">
        <v>0.93999999999999062</v>
      </c>
      <c r="H105" s="18">
        <v>0.23963655947390103</v>
      </c>
      <c r="I105" s="7" t="e">
        <v>#N/A</v>
      </c>
      <c r="J105" s="7" t="e">
        <v>#N/A</v>
      </c>
      <c r="K105" s="18" t="e">
        <v>#N/A</v>
      </c>
      <c r="L105"/>
      <c r="M105" s="7">
        <v>444.57</v>
      </c>
      <c r="N105" s="9">
        <v>41565</v>
      </c>
      <c r="O105" s="7" t="s">
        <v>225</v>
      </c>
      <c r="P105" s="7">
        <v>0.94</v>
      </c>
      <c r="Q105" s="7">
        <v>0</v>
      </c>
      <c r="R105" s="7">
        <v>0.65</v>
      </c>
      <c r="S105" s="7">
        <v>0.86</v>
      </c>
      <c r="T105" s="7">
        <v>1</v>
      </c>
      <c r="U105" s="7">
        <v>210</v>
      </c>
      <c r="V105" s="7">
        <v>720</v>
      </c>
      <c r="W105" s="7" t="s">
        <v>226</v>
      </c>
      <c r="X105" s="7">
        <v>0</v>
      </c>
      <c r="Y105" s="7">
        <v>0</v>
      </c>
      <c r="Z105" s="7">
        <v>278.14999999999998</v>
      </c>
      <c r="AA105" s="7">
        <v>280.60000000000002</v>
      </c>
      <c r="AB105" s="7">
        <v>0</v>
      </c>
      <c r="AC105" s="7">
        <v>0</v>
      </c>
    </row>
    <row r="106" spans="5:29" ht="15" customHeight="1">
      <c r="E106" s="7">
        <v>725</v>
      </c>
      <c r="F106" s="7">
        <v>1.32</v>
      </c>
      <c r="G106" s="7">
        <v>1.3200000000000021</v>
      </c>
      <c r="H106" s="18">
        <v>0.25578665693418456</v>
      </c>
      <c r="I106" s="7">
        <v>270.75</v>
      </c>
      <c r="J106" s="7" t="e">
        <v>#N/A</v>
      </c>
      <c r="K106" s="18" t="e">
        <v>#N/A</v>
      </c>
      <c r="L106"/>
      <c r="M106" s="7">
        <v>444.57</v>
      </c>
      <c r="N106" s="9">
        <v>41565</v>
      </c>
      <c r="O106" s="7" t="s">
        <v>227</v>
      </c>
      <c r="P106" s="7">
        <v>1.32</v>
      </c>
      <c r="Q106" s="7">
        <v>0</v>
      </c>
      <c r="R106" s="7">
        <v>0.63</v>
      </c>
      <c r="S106" s="7">
        <v>0.82</v>
      </c>
      <c r="T106" s="7">
        <v>2</v>
      </c>
      <c r="U106" s="7">
        <v>294</v>
      </c>
      <c r="V106" s="7">
        <v>725</v>
      </c>
      <c r="W106" s="7" t="s">
        <v>228</v>
      </c>
      <c r="X106" s="7">
        <v>270.75</v>
      </c>
      <c r="Y106" s="7">
        <v>0</v>
      </c>
      <c r="Z106" s="7">
        <v>283.14999999999998</v>
      </c>
      <c r="AA106" s="7">
        <v>285.5</v>
      </c>
      <c r="AB106" s="7">
        <v>1</v>
      </c>
      <c r="AC106" s="7">
        <v>18</v>
      </c>
    </row>
    <row r="107" spans="5:29" ht="15" customHeight="1">
      <c r="E107" s="7">
        <v>730</v>
      </c>
      <c r="F107" s="7">
        <v>0.8</v>
      </c>
      <c r="G107" s="7" t="e">
        <v>#N/A</v>
      </c>
      <c r="H107" s="18" t="e">
        <v>#N/A</v>
      </c>
      <c r="I107" s="7">
        <v>198</v>
      </c>
      <c r="J107" s="7" t="e">
        <v>#N/A</v>
      </c>
      <c r="K107" s="18" t="e">
        <v>#N/A</v>
      </c>
      <c r="L107"/>
      <c r="M107" s="7">
        <v>444.57</v>
      </c>
      <c r="N107" s="9">
        <v>41565</v>
      </c>
      <c r="O107" s="7" t="s">
        <v>229</v>
      </c>
      <c r="P107" s="7">
        <v>0.8</v>
      </c>
      <c r="Q107" s="7">
        <v>0</v>
      </c>
      <c r="R107" s="7">
        <v>0.6</v>
      </c>
      <c r="S107" s="7">
        <v>0.78</v>
      </c>
      <c r="T107" s="7">
        <v>10</v>
      </c>
      <c r="U107" s="7">
        <v>253</v>
      </c>
      <c r="V107" s="7">
        <v>730</v>
      </c>
      <c r="W107" s="7" t="s">
        <v>230</v>
      </c>
      <c r="X107" s="7">
        <v>198</v>
      </c>
      <c r="Y107" s="7">
        <v>0</v>
      </c>
      <c r="Z107" s="7">
        <v>288</v>
      </c>
      <c r="AA107" s="7">
        <v>290.5</v>
      </c>
      <c r="AB107" s="7">
        <v>0</v>
      </c>
      <c r="AC107" s="7">
        <v>21</v>
      </c>
    </row>
    <row r="108" spans="5:29" ht="15" customHeight="1">
      <c r="E108" s="7">
        <v>735</v>
      </c>
      <c r="F108" s="7">
        <v>0.7</v>
      </c>
      <c r="G108" s="7" t="e">
        <v>#N/A</v>
      </c>
      <c r="H108" s="18" t="e">
        <v>#N/A</v>
      </c>
      <c r="I108" s="7">
        <v>206.9</v>
      </c>
      <c r="J108" s="7" t="e">
        <v>#N/A</v>
      </c>
      <c r="K108" s="18" t="e">
        <v>#N/A</v>
      </c>
      <c r="L108"/>
      <c r="M108" s="7">
        <v>444.57</v>
      </c>
      <c r="N108" s="9">
        <v>41565</v>
      </c>
      <c r="O108" s="7" t="s">
        <v>231</v>
      </c>
      <c r="P108" s="7">
        <v>0.7</v>
      </c>
      <c r="Q108" s="7">
        <v>0</v>
      </c>
      <c r="R108" s="7">
        <v>0.54</v>
      </c>
      <c r="S108" s="7">
        <v>0.72</v>
      </c>
      <c r="T108" s="7">
        <v>4</v>
      </c>
      <c r="U108" s="7">
        <v>144</v>
      </c>
      <c r="V108" s="7">
        <v>735</v>
      </c>
      <c r="W108" s="7" t="s">
        <v>232</v>
      </c>
      <c r="X108" s="7">
        <v>206.9</v>
      </c>
      <c r="Y108" s="7">
        <v>0</v>
      </c>
      <c r="Z108" s="7">
        <v>292.95</v>
      </c>
      <c r="AA108" s="7">
        <v>295.35000000000002</v>
      </c>
      <c r="AB108" s="7">
        <v>0</v>
      </c>
      <c r="AC108" s="7">
        <v>10</v>
      </c>
    </row>
    <row r="109" spans="5:29" ht="15" customHeight="1">
      <c r="E109" s="7">
        <v>740</v>
      </c>
      <c r="F109" s="7">
        <v>0.68</v>
      </c>
      <c r="G109" s="7" t="e">
        <v>#N/A</v>
      </c>
      <c r="H109" s="18" t="e">
        <v>#N/A</v>
      </c>
      <c r="I109" s="7">
        <v>287.64999999999998</v>
      </c>
      <c r="J109" s="7" t="e">
        <v>#N/A</v>
      </c>
      <c r="K109" s="18" t="e">
        <v>#N/A</v>
      </c>
      <c r="L109"/>
      <c r="M109" s="7">
        <v>444.57</v>
      </c>
      <c r="N109" s="9">
        <v>41565</v>
      </c>
      <c r="O109" s="7" t="s">
        <v>233</v>
      </c>
      <c r="P109" s="7">
        <v>0.68</v>
      </c>
      <c r="Q109" s="7">
        <v>0</v>
      </c>
      <c r="R109" s="7">
        <v>0.53</v>
      </c>
      <c r="S109" s="7">
        <v>0.7</v>
      </c>
      <c r="T109" s="7">
        <v>13</v>
      </c>
      <c r="U109" s="7">
        <v>222</v>
      </c>
      <c r="V109" s="7">
        <v>740</v>
      </c>
      <c r="W109" s="7" t="s">
        <v>234</v>
      </c>
      <c r="X109" s="7">
        <v>287.64999999999998</v>
      </c>
      <c r="Y109" s="7">
        <v>0</v>
      </c>
      <c r="Z109" s="7">
        <v>298</v>
      </c>
      <c r="AA109" s="7">
        <v>300.8</v>
      </c>
      <c r="AB109" s="7">
        <v>1</v>
      </c>
      <c r="AC109" s="7">
        <v>12</v>
      </c>
    </row>
    <row r="110" spans="5:29" ht="15" customHeight="1">
      <c r="E110" s="7">
        <v>745</v>
      </c>
      <c r="F110" s="7">
        <v>0.67</v>
      </c>
      <c r="G110" s="7" t="e">
        <v>#N/A</v>
      </c>
      <c r="H110" s="18" t="e">
        <v>#N/A</v>
      </c>
      <c r="I110" s="7">
        <v>194</v>
      </c>
      <c r="J110" s="7" t="e">
        <v>#N/A</v>
      </c>
      <c r="K110" s="18" t="e">
        <v>#N/A</v>
      </c>
      <c r="L110"/>
      <c r="M110" s="7">
        <v>444.57</v>
      </c>
      <c r="N110" s="9">
        <v>41565</v>
      </c>
      <c r="O110" s="7" t="s">
        <v>235</v>
      </c>
      <c r="P110" s="7">
        <v>0.67</v>
      </c>
      <c r="Q110" s="7">
        <v>0.04</v>
      </c>
      <c r="R110" s="7">
        <v>0.5</v>
      </c>
      <c r="S110" s="7">
        <v>0.68</v>
      </c>
      <c r="T110" s="7">
        <v>4</v>
      </c>
      <c r="U110" s="7">
        <v>261</v>
      </c>
      <c r="V110" s="7">
        <v>745</v>
      </c>
      <c r="W110" s="7" t="s">
        <v>236</v>
      </c>
      <c r="X110" s="7">
        <v>194</v>
      </c>
      <c r="Y110" s="7">
        <v>0</v>
      </c>
      <c r="Z110" s="7">
        <v>303.14999999999998</v>
      </c>
      <c r="AA110" s="7">
        <v>305.55</v>
      </c>
      <c r="AB110" s="7">
        <v>0</v>
      </c>
      <c r="AC110" s="7">
        <v>1</v>
      </c>
    </row>
    <row r="111" spans="5:29" ht="15" customHeight="1">
      <c r="E111" s="7">
        <v>750</v>
      </c>
      <c r="F111" s="7">
        <v>0.65</v>
      </c>
      <c r="G111" s="7" t="e">
        <v>#N/A</v>
      </c>
      <c r="H111" s="18" t="e">
        <v>#N/A</v>
      </c>
      <c r="I111" s="7">
        <v>290</v>
      </c>
      <c r="J111" s="7" t="e">
        <v>#N/A</v>
      </c>
      <c r="K111" s="18" t="e">
        <v>#N/A</v>
      </c>
      <c r="L111"/>
      <c r="M111" s="7">
        <v>444.57</v>
      </c>
      <c r="N111" s="9">
        <v>41565</v>
      </c>
      <c r="O111" s="7" t="s">
        <v>237</v>
      </c>
      <c r="P111" s="7">
        <v>0.65</v>
      </c>
      <c r="Q111" s="7">
        <v>0.02</v>
      </c>
      <c r="R111" s="7">
        <v>0.48</v>
      </c>
      <c r="S111" s="7">
        <v>0.65</v>
      </c>
      <c r="T111" s="7">
        <v>2</v>
      </c>
      <c r="U111" s="7">
        <v>482</v>
      </c>
      <c r="V111" s="7">
        <v>750</v>
      </c>
      <c r="W111" s="7" t="s">
        <v>238</v>
      </c>
      <c r="X111" s="7">
        <v>290</v>
      </c>
      <c r="Y111" s="7">
        <v>0</v>
      </c>
      <c r="Z111" s="7">
        <v>307.75</v>
      </c>
      <c r="AA111" s="7">
        <v>310.39999999999998</v>
      </c>
      <c r="AB111" s="7">
        <v>1</v>
      </c>
      <c r="AC111" s="7">
        <v>70</v>
      </c>
    </row>
    <row r="112" spans="5:29" ht="15" customHeight="1">
      <c r="E112" s="7">
        <v>755</v>
      </c>
      <c r="F112" s="7">
        <v>0.59</v>
      </c>
      <c r="G112" s="7" t="e">
        <v>#N/A</v>
      </c>
      <c r="H112" s="18" t="e">
        <v>#N/A</v>
      </c>
      <c r="I112" s="7">
        <v>202.55</v>
      </c>
      <c r="J112" s="7" t="e">
        <v>#N/A</v>
      </c>
      <c r="K112" s="18" t="e">
        <v>#N/A</v>
      </c>
      <c r="L112"/>
      <c r="M112" s="7">
        <v>444.57</v>
      </c>
      <c r="N112" s="9">
        <v>41565</v>
      </c>
      <c r="O112" s="7" t="s">
        <v>239</v>
      </c>
      <c r="P112" s="7">
        <v>0.59</v>
      </c>
      <c r="Q112" s="7">
        <v>0</v>
      </c>
      <c r="R112" s="7">
        <v>0.42</v>
      </c>
      <c r="S112" s="7">
        <v>0.6</v>
      </c>
      <c r="T112" s="7">
        <v>10</v>
      </c>
      <c r="U112" s="7">
        <v>90</v>
      </c>
      <c r="V112" s="7">
        <v>755</v>
      </c>
      <c r="W112" s="7" t="s">
        <v>240</v>
      </c>
      <c r="X112" s="7">
        <v>202.55</v>
      </c>
      <c r="Y112" s="7">
        <v>0</v>
      </c>
      <c r="Z112" s="7">
        <v>312.75</v>
      </c>
      <c r="AA112" s="7">
        <v>315.45</v>
      </c>
      <c r="AB112" s="7">
        <v>0</v>
      </c>
      <c r="AC112" s="7">
        <v>1</v>
      </c>
    </row>
    <row r="113" spans="5:29" ht="15" customHeight="1">
      <c r="E113" s="7">
        <v>760</v>
      </c>
      <c r="F113" s="7">
        <v>0.56999999999999995</v>
      </c>
      <c r="G113" s="7" t="e">
        <v>#N/A</v>
      </c>
      <c r="H113" s="18" t="e">
        <v>#N/A</v>
      </c>
      <c r="I113" s="7">
        <v>206.75</v>
      </c>
      <c r="J113" s="7" t="e">
        <v>#N/A</v>
      </c>
      <c r="K113" s="18" t="e">
        <v>#N/A</v>
      </c>
      <c r="L113"/>
      <c r="M113" s="7">
        <v>444.57</v>
      </c>
      <c r="N113" s="9">
        <v>41565</v>
      </c>
      <c r="O113" s="7" t="s">
        <v>241</v>
      </c>
      <c r="P113" s="7">
        <v>0.56999999999999995</v>
      </c>
      <c r="Q113" s="7">
        <v>0</v>
      </c>
      <c r="R113" s="7">
        <v>0.42</v>
      </c>
      <c r="S113" s="7">
        <v>0.59</v>
      </c>
      <c r="T113" s="7">
        <v>5</v>
      </c>
      <c r="U113" s="7">
        <v>83</v>
      </c>
      <c r="V113" s="7">
        <v>760</v>
      </c>
      <c r="W113" s="7" t="s">
        <v>242</v>
      </c>
      <c r="X113" s="7">
        <v>206.75</v>
      </c>
      <c r="Y113" s="7">
        <v>0</v>
      </c>
      <c r="Z113" s="7">
        <v>317.7</v>
      </c>
      <c r="AA113" s="7">
        <v>320.55</v>
      </c>
      <c r="AB113" s="7">
        <v>0</v>
      </c>
      <c r="AC113" s="7">
        <v>1</v>
      </c>
    </row>
    <row r="114" spans="5:29" ht="15" customHeight="1">
      <c r="E114" s="7">
        <v>765</v>
      </c>
      <c r="F114" s="7">
        <v>0.51</v>
      </c>
      <c r="G114" s="7">
        <v>0.51000000000000156</v>
      </c>
      <c r="H114" s="18">
        <v>0.2429673080458126</v>
      </c>
      <c r="I114" s="7">
        <v>210.7</v>
      </c>
      <c r="J114" s="7" t="e">
        <v>#N/A</v>
      </c>
      <c r="K114" s="18" t="e">
        <v>#N/A</v>
      </c>
      <c r="L114"/>
      <c r="M114" s="7">
        <v>444.57</v>
      </c>
      <c r="N114" s="9">
        <v>41565</v>
      </c>
      <c r="O114" s="7" t="s">
        <v>243</v>
      </c>
      <c r="P114" s="7">
        <v>0.51</v>
      </c>
      <c r="Q114" s="7">
        <v>0</v>
      </c>
      <c r="R114" s="7">
        <v>0.39</v>
      </c>
      <c r="S114" s="7">
        <v>0.56000000000000005</v>
      </c>
      <c r="T114" s="7">
        <v>2</v>
      </c>
      <c r="U114" s="7">
        <v>214</v>
      </c>
      <c r="V114" s="7">
        <v>765</v>
      </c>
      <c r="W114" s="7" t="s">
        <v>244</v>
      </c>
      <c r="X114" s="7">
        <v>210.7</v>
      </c>
      <c r="Y114" s="7">
        <v>0</v>
      </c>
      <c r="Z114" s="7">
        <v>322.7</v>
      </c>
      <c r="AA114" s="7">
        <v>325.35000000000002</v>
      </c>
      <c r="AB114" s="7">
        <v>0</v>
      </c>
      <c r="AC114" s="7">
        <v>1</v>
      </c>
    </row>
    <row r="115" spans="5:29" ht="15" customHeight="1">
      <c r="E115" s="7">
        <v>770</v>
      </c>
      <c r="F115" s="7">
        <v>0.48</v>
      </c>
      <c r="G115" s="7">
        <v>0.47999999999999776</v>
      </c>
      <c r="H115" s="18">
        <v>0.24353381896567325</v>
      </c>
      <c r="I115" s="7">
        <v>215.4</v>
      </c>
      <c r="J115" s="7" t="e">
        <v>#N/A</v>
      </c>
      <c r="K115" s="18" t="e">
        <v>#N/A</v>
      </c>
      <c r="L115"/>
      <c r="M115" s="7">
        <v>444.57</v>
      </c>
      <c r="N115" s="9">
        <v>41565</v>
      </c>
      <c r="O115" s="7" t="s">
        <v>245</v>
      </c>
      <c r="P115" s="7">
        <v>0.48</v>
      </c>
      <c r="Q115" s="7">
        <v>0</v>
      </c>
      <c r="R115" s="7">
        <v>0.34</v>
      </c>
      <c r="S115" s="7">
        <v>0.52</v>
      </c>
      <c r="T115" s="7">
        <v>2</v>
      </c>
      <c r="U115" s="7">
        <v>154</v>
      </c>
      <c r="V115" s="7">
        <v>770</v>
      </c>
      <c r="W115" s="7" t="s">
        <v>246</v>
      </c>
      <c r="X115" s="7">
        <v>215.4</v>
      </c>
      <c r="Y115" s="7">
        <v>0</v>
      </c>
      <c r="Z115" s="7">
        <v>327.60000000000002</v>
      </c>
      <c r="AA115" s="7">
        <v>330.25</v>
      </c>
      <c r="AB115" s="7">
        <v>0</v>
      </c>
      <c r="AC115" s="7">
        <v>1</v>
      </c>
    </row>
    <row r="116" spans="5:29" ht="15" customHeight="1">
      <c r="E116" s="7">
        <v>775</v>
      </c>
      <c r="F116" s="7">
        <v>0.46</v>
      </c>
      <c r="G116" s="7">
        <v>0.45999999999999375</v>
      </c>
      <c r="H116" s="18">
        <v>0.2446501174368019</v>
      </c>
      <c r="I116" s="7">
        <v>241.1</v>
      </c>
      <c r="J116" s="7" t="e">
        <v>#N/A</v>
      </c>
      <c r="K116" s="18" t="e">
        <v>#N/A</v>
      </c>
      <c r="L116"/>
      <c r="M116" s="7">
        <v>444.57</v>
      </c>
      <c r="N116" s="9">
        <v>41565</v>
      </c>
      <c r="O116" s="7" t="s">
        <v>247</v>
      </c>
      <c r="P116" s="7">
        <v>0.46</v>
      </c>
      <c r="Q116" s="7">
        <v>0</v>
      </c>
      <c r="R116" s="7">
        <v>0.34</v>
      </c>
      <c r="S116" s="7">
        <v>0.5</v>
      </c>
      <c r="T116" s="7">
        <v>1</v>
      </c>
      <c r="U116" s="7">
        <v>191</v>
      </c>
      <c r="V116" s="7">
        <v>775</v>
      </c>
      <c r="W116" s="7" t="s">
        <v>248</v>
      </c>
      <c r="X116" s="7">
        <v>241.1</v>
      </c>
      <c r="Y116" s="7">
        <v>0</v>
      </c>
      <c r="Z116" s="7">
        <v>332.6</v>
      </c>
      <c r="AA116" s="7">
        <v>335.3</v>
      </c>
      <c r="AB116" s="7">
        <v>0</v>
      </c>
      <c r="AC116" s="7">
        <v>3</v>
      </c>
    </row>
    <row r="117" spans="5:29" ht="15" customHeight="1">
      <c r="E117" s="7">
        <v>780</v>
      </c>
      <c r="F117" s="7">
        <v>0.45</v>
      </c>
      <c r="G117" s="7">
        <v>0.45000000000000018</v>
      </c>
      <c r="H117" s="18">
        <v>0.24638475912141428</v>
      </c>
      <c r="I117" s="7">
        <v>288.45</v>
      </c>
      <c r="J117" s="7" t="e">
        <v>#N/A</v>
      </c>
      <c r="K117" s="18" t="e">
        <v>#N/A</v>
      </c>
      <c r="L117"/>
      <c r="M117" s="7">
        <v>444.57</v>
      </c>
      <c r="N117" s="9">
        <v>41565</v>
      </c>
      <c r="O117" s="7" t="s">
        <v>249</v>
      </c>
      <c r="P117" s="7">
        <v>0.45</v>
      </c>
      <c r="Q117" s="7">
        <v>0</v>
      </c>
      <c r="R117" s="7">
        <v>0.33</v>
      </c>
      <c r="S117" s="7">
        <v>0.49</v>
      </c>
      <c r="T117" s="7">
        <v>2</v>
      </c>
      <c r="U117" s="7">
        <v>690</v>
      </c>
      <c r="V117" s="7">
        <v>780</v>
      </c>
      <c r="W117" s="7" t="s">
        <v>250</v>
      </c>
      <c r="X117" s="7">
        <v>288.45</v>
      </c>
      <c r="Y117" s="7">
        <v>0</v>
      </c>
      <c r="Z117" s="7">
        <v>337.65</v>
      </c>
      <c r="AA117" s="7">
        <v>340.4</v>
      </c>
      <c r="AB117" s="7">
        <v>0</v>
      </c>
      <c r="AC117" s="7">
        <v>21</v>
      </c>
    </row>
    <row r="118" spans="5:29" ht="15" customHeight="1">
      <c r="E118" s="7">
        <v>785</v>
      </c>
      <c r="F118" s="7">
        <v>0.43</v>
      </c>
      <c r="G118" s="7" t="e">
        <v>#N/A</v>
      </c>
      <c r="H118" s="18" t="e">
        <v>#N/A</v>
      </c>
      <c r="I118" s="7">
        <v>331.9</v>
      </c>
      <c r="J118" s="7" t="e">
        <v>#N/A</v>
      </c>
      <c r="K118" s="18" t="e">
        <v>#N/A</v>
      </c>
      <c r="L118"/>
      <c r="M118" s="7">
        <v>444.57</v>
      </c>
      <c r="N118" s="9">
        <v>41565</v>
      </c>
      <c r="O118" s="7" t="s">
        <v>251</v>
      </c>
      <c r="P118" s="7">
        <v>0.43</v>
      </c>
      <c r="Q118" s="7">
        <v>0</v>
      </c>
      <c r="R118" s="7">
        <v>0.31</v>
      </c>
      <c r="S118" s="7">
        <v>0.48</v>
      </c>
      <c r="T118" s="7">
        <v>1</v>
      </c>
      <c r="U118" s="7">
        <v>210</v>
      </c>
      <c r="V118" s="7">
        <v>785</v>
      </c>
      <c r="W118" s="7" t="s">
        <v>252</v>
      </c>
      <c r="X118" s="7">
        <v>331.9</v>
      </c>
      <c r="Y118" s="7">
        <v>0</v>
      </c>
      <c r="Z118" s="7">
        <v>342.55</v>
      </c>
      <c r="AA118" s="7">
        <v>345.45</v>
      </c>
      <c r="AB118" s="7">
        <v>1</v>
      </c>
      <c r="AC118" s="7">
        <v>2</v>
      </c>
    </row>
    <row r="119" spans="5:29" ht="15" customHeight="1">
      <c r="E119" s="7">
        <v>790</v>
      </c>
      <c r="F119" s="7">
        <v>0.44</v>
      </c>
      <c r="G119" s="7" t="e">
        <v>#N/A</v>
      </c>
      <c r="H119" s="18" t="e">
        <v>#N/A</v>
      </c>
      <c r="I119" s="7">
        <v>233.35</v>
      </c>
      <c r="J119" s="7" t="e">
        <v>#N/A</v>
      </c>
      <c r="K119" s="18" t="e">
        <v>#N/A</v>
      </c>
      <c r="L119"/>
      <c r="M119" s="7">
        <v>444.57</v>
      </c>
      <c r="N119" s="9">
        <v>41565</v>
      </c>
      <c r="O119" s="7" t="s">
        <v>253</v>
      </c>
      <c r="P119" s="7">
        <v>0.44</v>
      </c>
      <c r="Q119" s="7">
        <v>0</v>
      </c>
      <c r="R119" s="7">
        <v>0.28999999999999998</v>
      </c>
      <c r="S119" s="7">
        <v>0.46</v>
      </c>
      <c r="T119" s="7">
        <v>4</v>
      </c>
      <c r="U119" s="7">
        <v>142</v>
      </c>
      <c r="V119" s="7">
        <v>790</v>
      </c>
      <c r="W119" s="7" t="s">
        <v>254</v>
      </c>
      <c r="X119" s="7">
        <v>233.35</v>
      </c>
      <c r="Y119" s="7">
        <v>0</v>
      </c>
      <c r="Z119" s="7">
        <v>347.6</v>
      </c>
      <c r="AA119" s="7">
        <v>350.35</v>
      </c>
      <c r="AB119" s="7">
        <v>0</v>
      </c>
      <c r="AC119" s="7">
        <v>1</v>
      </c>
    </row>
    <row r="120" spans="5:29" ht="15" customHeight="1">
      <c r="E120" s="7">
        <v>795</v>
      </c>
      <c r="F120" s="7">
        <v>0.42</v>
      </c>
      <c r="G120" s="7" t="e">
        <v>#N/A</v>
      </c>
      <c r="H120" s="18" t="e">
        <v>#N/A</v>
      </c>
      <c r="I120" s="7">
        <v>282.25</v>
      </c>
      <c r="J120" s="7" t="e">
        <v>#N/A</v>
      </c>
      <c r="K120" s="18" t="e">
        <v>#N/A</v>
      </c>
      <c r="L120"/>
      <c r="M120" s="7">
        <v>444.57</v>
      </c>
      <c r="N120" s="9">
        <v>41565</v>
      </c>
      <c r="O120" s="7" t="s">
        <v>255</v>
      </c>
      <c r="P120" s="7">
        <v>0.42</v>
      </c>
      <c r="Q120" s="7">
        <v>0</v>
      </c>
      <c r="R120" s="7">
        <v>0.32</v>
      </c>
      <c r="S120" s="7">
        <v>0.45</v>
      </c>
      <c r="T120" s="7">
        <v>2</v>
      </c>
      <c r="U120" s="7">
        <v>126</v>
      </c>
      <c r="V120" s="7">
        <v>795</v>
      </c>
      <c r="W120" s="7" t="s">
        <v>256</v>
      </c>
      <c r="X120" s="7">
        <v>282.25</v>
      </c>
      <c r="Y120" s="7">
        <v>0</v>
      </c>
      <c r="Z120" s="7">
        <v>352.75</v>
      </c>
      <c r="AA120" s="7">
        <v>355</v>
      </c>
      <c r="AB120" s="7">
        <v>0</v>
      </c>
      <c r="AC120" s="7">
        <v>11</v>
      </c>
    </row>
    <row r="121" spans="5:29" ht="15" customHeight="1">
      <c r="E121" s="7">
        <v>800</v>
      </c>
      <c r="F121" s="7">
        <v>0.46</v>
      </c>
      <c r="G121" s="7" t="e">
        <v>#N/A</v>
      </c>
      <c r="H121" s="18" t="e">
        <v>#N/A</v>
      </c>
      <c r="I121" s="7">
        <v>296</v>
      </c>
      <c r="J121" s="7" t="e">
        <v>#N/A</v>
      </c>
      <c r="K121" s="18" t="e">
        <v>#N/A</v>
      </c>
      <c r="L121"/>
      <c r="M121" s="7">
        <v>444.57</v>
      </c>
      <c r="N121" s="9">
        <v>41565</v>
      </c>
      <c r="O121" s="7" t="s">
        <v>257</v>
      </c>
      <c r="P121" s="7">
        <v>0.46</v>
      </c>
      <c r="Q121" s="7">
        <v>0.05</v>
      </c>
      <c r="R121" s="7">
        <v>0.28000000000000003</v>
      </c>
      <c r="S121" s="7">
        <v>0.44</v>
      </c>
      <c r="T121" s="7">
        <v>1</v>
      </c>
      <c r="U121" s="7">
        <v>462</v>
      </c>
      <c r="V121" s="7">
        <v>800</v>
      </c>
      <c r="W121" s="7" t="s">
        <v>258</v>
      </c>
      <c r="X121" s="7">
        <v>296</v>
      </c>
      <c r="Y121" s="7">
        <v>0</v>
      </c>
      <c r="Z121" s="7">
        <v>357.5</v>
      </c>
      <c r="AA121" s="7">
        <v>360.35</v>
      </c>
      <c r="AB121" s="7">
        <v>1</v>
      </c>
      <c r="AC121" s="7">
        <v>1</v>
      </c>
    </row>
    <row r="122" spans="5:29" ht="15" customHeight="1">
      <c r="E122" s="7">
        <v>805</v>
      </c>
      <c r="F122" s="7">
        <v>0.44</v>
      </c>
      <c r="G122" s="7" t="e">
        <v>#N/A</v>
      </c>
      <c r="H122" s="18" t="e">
        <v>#N/A</v>
      </c>
      <c r="I122" s="7" t="e">
        <v>#N/A</v>
      </c>
      <c r="J122" s="7" t="e">
        <v>#N/A</v>
      </c>
      <c r="K122" s="18" t="e">
        <v>#N/A</v>
      </c>
      <c r="L122"/>
      <c r="M122" s="7">
        <v>444.57</v>
      </c>
      <c r="N122" s="9">
        <v>41565</v>
      </c>
      <c r="O122" s="7" t="s">
        <v>259</v>
      </c>
      <c r="P122" s="7">
        <v>0.44</v>
      </c>
      <c r="Q122" s="7">
        <v>0</v>
      </c>
      <c r="R122" s="7">
        <v>0.24</v>
      </c>
      <c r="S122" s="7">
        <v>0.41</v>
      </c>
      <c r="T122" s="7">
        <v>86</v>
      </c>
      <c r="U122" s="7">
        <v>151</v>
      </c>
      <c r="V122" s="7">
        <v>805</v>
      </c>
      <c r="W122" s="7" t="s">
        <v>260</v>
      </c>
      <c r="X122" s="7">
        <v>0</v>
      </c>
      <c r="Y122" s="7">
        <v>0</v>
      </c>
      <c r="Z122" s="7">
        <v>362.45</v>
      </c>
      <c r="AA122" s="7">
        <v>365.35</v>
      </c>
      <c r="AB122" s="7">
        <v>0</v>
      </c>
      <c r="AC122" s="7">
        <v>0</v>
      </c>
    </row>
    <row r="123" spans="5:29" ht="15" customHeight="1">
      <c r="E123" s="7">
        <v>810</v>
      </c>
      <c r="F123" s="7">
        <v>0.91</v>
      </c>
      <c r="G123" s="7" t="e">
        <v>#N/A</v>
      </c>
      <c r="H123" s="18" t="e">
        <v>#N/A</v>
      </c>
      <c r="I123" s="7">
        <v>335.3</v>
      </c>
      <c r="J123" s="7" t="e">
        <v>#N/A</v>
      </c>
      <c r="K123" s="18" t="e">
        <v>#N/A</v>
      </c>
      <c r="L123"/>
      <c r="M123" s="7">
        <v>444.57</v>
      </c>
      <c r="N123" s="9">
        <v>41565</v>
      </c>
      <c r="O123" s="7" t="s">
        <v>261</v>
      </c>
      <c r="P123" s="7">
        <v>0.91</v>
      </c>
      <c r="Q123" s="7">
        <v>0</v>
      </c>
      <c r="R123" s="7">
        <v>0.21</v>
      </c>
      <c r="S123" s="7">
        <v>0.36</v>
      </c>
      <c r="T123" s="7">
        <v>2</v>
      </c>
      <c r="U123" s="7">
        <v>401</v>
      </c>
      <c r="V123" s="7">
        <v>810</v>
      </c>
      <c r="W123" s="7" t="s">
        <v>262</v>
      </c>
      <c r="X123" s="7">
        <v>335.3</v>
      </c>
      <c r="Y123" s="7">
        <v>0</v>
      </c>
      <c r="Z123" s="7">
        <v>367.45</v>
      </c>
      <c r="AA123" s="7">
        <v>370.4</v>
      </c>
      <c r="AB123" s="7">
        <v>1</v>
      </c>
      <c r="AC123" s="7">
        <v>1</v>
      </c>
    </row>
    <row r="124" spans="5:29" ht="15" customHeight="1">
      <c r="E124" s="7">
        <v>815</v>
      </c>
      <c r="F124" s="7">
        <v>0.75</v>
      </c>
      <c r="G124" s="7" t="e">
        <v>#N/A</v>
      </c>
      <c r="H124" s="18" t="e">
        <v>#N/A</v>
      </c>
      <c r="I124" s="7">
        <v>346.15</v>
      </c>
      <c r="J124" s="7" t="e">
        <v>#N/A</v>
      </c>
      <c r="K124" s="18" t="e">
        <v>#N/A</v>
      </c>
      <c r="L124"/>
      <c r="M124" s="7">
        <v>444.57</v>
      </c>
      <c r="N124" s="9">
        <v>41565</v>
      </c>
      <c r="O124" s="7" t="s">
        <v>263</v>
      </c>
      <c r="P124" s="7">
        <v>0.75</v>
      </c>
      <c r="Q124" s="7">
        <v>0</v>
      </c>
      <c r="R124" s="7">
        <v>0.22</v>
      </c>
      <c r="S124" s="7">
        <v>0.39</v>
      </c>
      <c r="T124" s="7">
        <v>2</v>
      </c>
      <c r="U124" s="7">
        <v>33</v>
      </c>
      <c r="V124" s="7">
        <v>815</v>
      </c>
      <c r="W124" s="7" t="s">
        <v>264</v>
      </c>
      <c r="X124" s="7">
        <v>346.15</v>
      </c>
      <c r="Y124" s="7">
        <v>0</v>
      </c>
      <c r="Z124" s="7">
        <v>372.75</v>
      </c>
      <c r="AA124" s="7">
        <v>375.3</v>
      </c>
      <c r="AB124" s="7">
        <v>1</v>
      </c>
      <c r="AC124" s="7">
        <v>6</v>
      </c>
    </row>
    <row r="125" spans="5:29" ht="15" customHeight="1">
      <c r="E125" s="7">
        <v>820</v>
      </c>
      <c r="F125" s="7">
        <v>0.46</v>
      </c>
      <c r="G125" s="7">
        <v>0.45999999999999908</v>
      </c>
      <c r="H125" s="18">
        <v>0.26576369533897465</v>
      </c>
      <c r="I125" s="7" t="e">
        <v>#N/A</v>
      </c>
      <c r="J125" s="7" t="e">
        <v>#N/A</v>
      </c>
      <c r="K125" s="18" t="e">
        <v>#N/A</v>
      </c>
      <c r="L125"/>
      <c r="M125" s="7">
        <v>444.57</v>
      </c>
      <c r="N125" s="9">
        <v>41565</v>
      </c>
      <c r="O125" s="7" t="s">
        <v>265</v>
      </c>
      <c r="P125" s="7">
        <v>0.46</v>
      </c>
      <c r="Q125" s="7">
        <v>0</v>
      </c>
      <c r="R125" s="7">
        <v>0.22</v>
      </c>
      <c r="S125" s="7">
        <v>0.37</v>
      </c>
      <c r="T125" s="7">
        <v>20</v>
      </c>
      <c r="U125" s="7">
        <v>38</v>
      </c>
      <c r="V125" s="7">
        <v>820</v>
      </c>
      <c r="W125" s="7" t="s">
        <v>266</v>
      </c>
      <c r="X125" s="7">
        <v>0</v>
      </c>
      <c r="Y125" s="7">
        <v>0</v>
      </c>
      <c r="Z125" s="7">
        <v>377.4</v>
      </c>
      <c r="AA125" s="7">
        <v>380.2</v>
      </c>
      <c r="AB125" s="7">
        <v>0</v>
      </c>
      <c r="AC125" s="7">
        <v>0</v>
      </c>
    </row>
    <row r="126" spans="5:29" ht="15" customHeight="1">
      <c r="E126" s="7">
        <v>825</v>
      </c>
      <c r="F126" s="7">
        <v>0.52</v>
      </c>
      <c r="G126" s="7">
        <v>0.51999999999999424</v>
      </c>
      <c r="H126" s="18">
        <v>0.27218124794576914</v>
      </c>
      <c r="I126" s="7">
        <v>384.5</v>
      </c>
      <c r="J126" s="7">
        <v>384.5</v>
      </c>
      <c r="K126" s="18">
        <v>0.47874323979182409</v>
      </c>
      <c r="L126"/>
      <c r="M126" s="7">
        <v>444.57</v>
      </c>
      <c r="N126" s="9">
        <v>41565</v>
      </c>
      <c r="O126" s="7" t="s">
        <v>267</v>
      </c>
      <c r="P126" s="7">
        <v>0.52</v>
      </c>
      <c r="Q126" s="7">
        <v>0</v>
      </c>
      <c r="R126" s="7">
        <v>0.23</v>
      </c>
      <c r="S126" s="7">
        <v>0.36</v>
      </c>
      <c r="T126" s="7">
        <v>13</v>
      </c>
      <c r="U126" s="7">
        <v>123</v>
      </c>
      <c r="V126" s="7">
        <v>825</v>
      </c>
      <c r="W126" s="7" t="s">
        <v>268</v>
      </c>
      <c r="X126" s="7">
        <v>384.5</v>
      </c>
      <c r="Y126" s="7">
        <v>0</v>
      </c>
      <c r="Z126" s="7">
        <v>382.35</v>
      </c>
      <c r="AA126" s="7">
        <v>385.2</v>
      </c>
      <c r="AB126" s="7">
        <v>11</v>
      </c>
      <c r="AC126" s="7">
        <v>11</v>
      </c>
    </row>
    <row r="127" spans="5:29" ht="15" customHeight="1">
      <c r="E127" s="7">
        <v>830</v>
      </c>
      <c r="F127" s="7">
        <v>0.48</v>
      </c>
      <c r="G127" s="7">
        <v>0.47999999999999687</v>
      </c>
      <c r="H127" s="18">
        <v>0.27169145445801507</v>
      </c>
      <c r="I127" s="7">
        <v>361.85</v>
      </c>
      <c r="J127" s="7" t="e">
        <v>#N/A</v>
      </c>
      <c r="K127" s="18" t="e">
        <v>#N/A</v>
      </c>
      <c r="L127"/>
      <c r="M127" s="7">
        <v>444.57</v>
      </c>
      <c r="N127" s="9">
        <v>41565</v>
      </c>
      <c r="O127" s="7" t="s">
        <v>269</v>
      </c>
      <c r="P127" s="7">
        <v>0.48</v>
      </c>
      <c r="Q127" s="7">
        <v>0</v>
      </c>
      <c r="R127" s="7">
        <v>0.17</v>
      </c>
      <c r="S127" s="7">
        <v>0.35</v>
      </c>
      <c r="T127" s="7">
        <v>13</v>
      </c>
      <c r="U127" s="7">
        <v>167</v>
      </c>
      <c r="V127" s="7">
        <v>830</v>
      </c>
      <c r="W127" s="7" t="s">
        <v>270</v>
      </c>
      <c r="X127" s="7">
        <v>361.85</v>
      </c>
      <c r="Y127" s="7">
        <v>0</v>
      </c>
      <c r="Z127" s="7">
        <v>387.6</v>
      </c>
      <c r="AA127" s="7">
        <v>390.15</v>
      </c>
      <c r="AB127" s="7">
        <v>5</v>
      </c>
      <c r="AC127" s="7">
        <v>3</v>
      </c>
    </row>
    <row r="128" spans="5:29" ht="15" customHeight="1">
      <c r="E128" s="7">
        <v>835</v>
      </c>
      <c r="F128" s="7">
        <v>0.49</v>
      </c>
      <c r="G128" s="7">
        <v>0.48999999999999932</v>
      </c>
      <c r="H128" s="18">
        <v>0.27462689954116071</v>
      </c>
      <c r="I128" s="7">
        <v>375.65</v>
      </c>
      <c r="J128" s="7" t="e">
        <v>#N/A</v>
      </c>
      <c r="K128" s="18" t="e">
        <v>#N/A</v>
      </c>
      <c r="L128"/>
      <c r="M128" s="7">
        <v>444.57</v>
      </c>
      <c r="N128" s="9">
        <v>41565</v>
      </c>
      <c r="O128" s="7" t="s">
        <v>271</v>
      </c>
      <c r="P128" s="7">
        <v>0.49</v>
      </c>
      <c r="Q128" s="7">
        <v>0</v>
      </c>
      <c r="R128" s="7">
        <v>0.21</v>
      </c>
      <c r="S128" s="7">
        <v>0.38</v>
      </c>
      <c r="T128" s="7">
        <v>1</v>
      </c>
      <c r="U128" s="7">
        <v>58</v>
      </c>
      <c r="V128" s="7">
        <v>835</v>
      </c>
      <c r="W128" s="7" t="s">
        <v>272</v>
      </c>
      <c r="X128" s="7">
        <v>375.65</v>
      </c>
      <c r="Y128" s="7">
        <v>0</v>
      </c>
      <c r="Z128" s="7">
        <v>392.45</v>
      </c>
      <c r="AA128" s="7">
        <v>394.9</v>
      </c>
      <c r="AB128" s="7">
        <v>11</v>
      </c>
      <c r="AC128" s="7">
        <v>11</v>
      </c>
    </row>
    <row r="129" spans="5:29" ht="15" customHeight="1">
      <c r="E129" s="7">
        <v>840</v>
      </c>
      <c r="F129" s="7">
        <v>0.4</v>
      </c>
      <c r="G129" s="7">
        <v>0.40000000000000391</v>
      </c>
      <c r="H129" s="18">
        <v>0.2700388336866924</v>
      </c>
      <c r="I129" s="7">
        <v>371</v>
      </c>
      <c r="J129" s="7" t="e">
        <v>#N/A</v>
      </c>
      <c r="K129" s="18" t="e">
        <v>#N/A</v>
      </c>
      <c r="L129"/>
      <c r="M129" s="7">
        <v>444.57</v>
      </c>
      <c r="N129" s="9">
        <v>41565</v>
      </c>
      <c r="O129" s="7" t="s">
        <v>273</v>
      </c>
      <c r="P129" s="7">
        <v>0.4</v>
      </c>
      <c r="Q129" s="7">
        <v>0</v>
      </c>
      <c r="R129" s="7">
        <v>0.21</v>
      </c>
      <c r="S129" s="7">
        <v>0.38</v>
      </c>
      <c r="T129" s="7">
        <v>1</v>
      </c>
      <c r="U129" s="7">
        <v>116</v>
      </c>
      <c r="V129" s="7">
        <v>840</v>
      </c>
      <c r="W129" s="7" t="s">
        <v>274</v>
      </c>
      <c r="X129" s="7">
        <v>371</v>
      </c>
      <c r="Y129" s="7">
        <v>0</v>
      </c>
      <c r="Z129" s="7">
        <v>397.4</v>
      </c>
      <c r="AA129" s="7">
        <v>399.9</v>
      </c>
      <c r="AB129" s="7">
        <v>1</v>
      </c>
      <c r="AC129" s="7">
        <v>1</v>
      </c>
    </row>
    <row r="130" spans="5:29" ht="15" customHeight="1">
      <c r="E130" s="7">
        <v>845</v>
      </c>
      <c r="F130" s="7">
        <v>0.62</v>
      </c>
      <c r="G130" s="7">
        <v>0.61999999999999922</v>
      </c>
      <c r="H130" s="18">
        <v>0.28753248304669021</v>
      </c>
      <c r="I130" s="7">
        <v>366.95</v>
      </c>
      <c r="J130" s="7" t="e">
        <v>#N/A</v>
      </c>
      <c r="K130" s="18" t="e">
        <v>#N/A</v>
      </c>
      <c r="L130"/>
      <c r="M130" s="7">
        <v>444.57</v>
      </c>
      <c r="N130" s="9">
        <v>41565</v>
      </c>
      <c r="O130" s="7" t="s">
        <v>275</v>
      </c>
      <c r="P130" s="7">
        <v>0.62</v>
      </c>
      <c r="Q130" s="7">
        <v>0</v>
      </c>
      <c r="R130" s="7">
        <v>0.21</v>
      </c>
      <c r="S130" s="7">
        <v>0.33</v>
      </c>
      <c r="T130" s="7">
        <v>18</v>
      </c>
      <c r="U130" s="7">
        <v>116</v>
      </c>
      <c r="V130" s="7">
        <v>845</v>
      </c>
      <c r="W130" s="7" t="s">
        <v>276</v>
      </c>
      <c r="X130" s="7">
        <v>366.95</v>
      </c>
      <c r="Y130" s="7">
        <v>0</v>
      </c>
      <c r="Z130" s="7">
        <v>402.3</v>
      </c>
      <c r="AA130" s="7">
        <v>405.25</v>
      </c>
      <c r="AB130" s="7">
        <v>1</v>
      </c>
      <c r="AC130" s="7">
        <v>1</v>
      </c>
    </row>
    <row r="131" spans="5:29" ht="15" customHeight="1">
      <c r="E131" s="7">
        <v>850</v>
      </c>
      <c r="F131" s="7">
        <v>0.25</v>
      </c>
      <c r="G131" s="7">
        <v>0.24999999999999822</v>
      </c>
      <c r="H131" s="18">
        <v>0.25989599436649397</v>
      </c>
      <c r="I131" s="7">
        <v>384</v>
      </c>
      <c r="J131" s="7" t="e">
        <v>#N/A</v>
      </c>
      <c r="K131" s="18" t="e">
        <v>#N/A</v>
      </c>
      <c r="L131"/>
      <c r="M131" s="7">
        <v>444.57</v>
      </c>
      <c r="N131" s="9">
        <v>41565</v>
      </c>
      <c r="O131" s="7" t="s">
        <v>277</v>
      </c>
      <c r="P131" s="7">
        <v>0.25</v>
      </c>
      <c r="Q131" s="7">
        <v>0</v>
      </c>
      <c r="R131" s="7">
        <v>0.15</v>
      </c>
      <c r="S131" s="7">
        <v>0.32</v>
      </c>
      <c r="T131" s="7">
        <v>1</v>
      </c>
      <c r="U131" s="7">
        <v>556</v>
      </c>
      <c r="V131" s="7">
        <v>850</v>
      </c>
      <c r="W131" s="7" t="s">
        <v>278</v>
      </c>
      <c r="X131" s="7">
        <v>384</v>
      </c>
      <c r="Y131" s="7">
        <v>0</v>
      </c>
      <c r="Z131" s="7">
        <v>407.65</v>
      </c>
      <c r="AA131" s="7">
        <v>410</v>
      </c>
      <c r="AB131" s="7">
        <v>20</v>
      </c>
      <c r="AC131" s="7">
        <v>22</v>
      </c>
    </row>
    <row r="132" spans="5:29" ht="15" customHeight="1">
      <c r="E132" s="7">
        <v>855</v>
      </c>
      <c r="F132" s="7">
        <v>0.22</v>
      </c>
      <c r="G132" s="7">
        <v>0.21999999999999664</v>
      </c>
      <c r="H132" s="18">
        <v>0.25831145177388487</v>
      </c>
      <c r="I132" s="7">
        <v>340.9</v>
      </c>
      <c r="J132" s="7" t="e">
        <v>#N/A</v>
      </c>
      <c r="K132" s="18" t="e">
        <v>#N/A</v>
      </c>
      <c r="L132"/>
      <c r="M132" s="7">
        <v>444.57</v>
      </c>
      <c r="N132" s="9">
        <v>41565</v>
      </c>
      <c r="O132" s="7" t="s">
        <v>279</v>
      </c>
      <c r="P132" s="7">
        <v>0.22</v>
      </c>
      <c r="Q132" s="7">
        <v>0</v>
      </c>
      <c r="R132" s="7">
        <v>0</v>
      </c>
      <c r="S132" s="7">
        <v>0.3</v>
      </c>
      <c r="T132" s="7">
        <v>40</v>
      </c>
      <c r="U132" s="7">
        <v>403</v>
      </c>
      <c r="V132" s="7">
        <v>855</v>
      </c>
      <c r="W132" s="7" t="s">
        <v>280</v>
      </c>
      <c r="X132" s="7">
        <v>340.9</v>
      </c>
      <c r="Y132" s="7">
        <v>0</v>
      </c>
      <c r="Z132" s="7">
        <v>412.3</v>
      </c>
      <c r="AA132" s="7">
        <v>414.95</v>
      </c>
      <c r="AB132" s="7">
        <v>0</v>
      </c>
      <c r="AC132" s="7">
        <v>10</v>
      </c>
    </row>
    <row r="133" spans="5:29" ht="15" customHeight="1">
      <c r="E133" s="7">
        <v>860</v>
      </c>
      <c r="F133" s="7">
        <v>0.44</v>
      </c>
      <c r="G133" s="7">
        <v>0.44000000000000217</v>
      </c>
      <c r="H133" s="18">
        <v>0.28180076426229678</v>
      </c>
      <c r="I133" s="7">
        <v>402.75</v>
      </c>
      <c r="J133" s="7" t="e">
        <v>#N/A</v>
      </c>
      <c r="K133" s="18" t="e">
        <v>#N/A</v>
      </c>
      <c r="L133"/>
      <c r="M133" s="7">
        <v>444.57</v>
      </c>
      <c r="N133" s="9">
        <v>41565</v>
      </c>
      <c r="O133" s="7" t="s">
        <v>281</v>
      </c>
      <c r="P133" s="7">
        <v>0.44</v>
      </c>
      <c r="Q133" s="7">
        <v>0</v>
      </c>
      <c r="R133" s="7">
        <v>0.16</v>
      </c>
      <c r="S133" s="7">
        <v>0.34</v>
      </c>
      <c r="T133" s="7">
        <v>9</v>
      </c>
      <c r="U133" s="7">
        <v>163</v>
      </c>
      <c r="V133" s="7">
        <v>860</v>
      </c>
      <c r="W133" s="7" t="s">
        <v>282</v>
      </c>
      <c r="X133" s="7">
        <v>402.75</v>
      </c>
      <c r="Y133" s="7">
        <v>0</v>
      </c>
      <c r="Z133" s="7">
        <v>417.25</v>
      </c>
      <c r="AA133" s="7">
        <v>420</v>
      </c>
      <c r="AB133" s="7">
        <v>10</v>
      </c>
      <c r="AC133" s="7">
        <v>20</v>
      </c>
    </row>
    <row r="134" spans="5:29" ht="15" customHeight="1">
      <c r="E134" s="7">
        <v>865</v>
      </c>
      <c r="F134" s="7">
        <v>0.53</v>
      </c>
      <c r="G134" s="7">
        <v>0.53000000000000114</v>
      </c>
      <c r="H134" s="18">
        <v>0.29050311726347694</v>
      </c>
      <c r="I134" s="7">
        <v>415.35</v>
      </c>
      <c r="J134" s="7">
        <v>415.35</v>
      </c>
      <c r="K134" s="18">
        <v>0.37656235242421487</v>
      </c>
      <c r="L134"/>
      <c r="M134" s="7">
        <v>444.57</v>
      </c>
      <c r="N134" s="9">
        <v>41565</v>
      </c>
      <c r="O134" s="7" t="s">
        <v>283</v>
      </c>
      <c r="P134" s="7">
        <v>0.53</v>
      </c>
      <c r="Q134" s="7">
        <v>0</v>
      </c>
      <c r="R134" s="7">
        <v>0.13</v>
      </c>
      <c r="S134" s="7">
        <v>0.31</v>
      </c>
      <c r="T134" s="7">
        <v>9</v>
      </c>
      <c r="U134" s="7">
        <v>85</v>
      </c>
      <c r="V134" s="7">
        <v>865</v>
      </c>
      <c r="W134" s="7" t="s">
        <v>284</v>
      </c>
      <c r="X134" s="7">
        <v>415.35</v>
      </c>
      <c r="Y134" s="7">
        <v>0</v>
      </c>
      <c r="Z134" s="7">
        <v>422.3</v>
      </c>
      <c r="AA134" s="7">
        <v>425</v>
      </c>
      <c r="AB134" s="7">
        <v>10</v>
      </c>
      <c r="AC134" s="7">
        <v>12</v>
      </c>
    </row>
    <row r="135" spans="5:29" ht="15" customHeight="1">
      <c r="E135" s="7">
        <v>870</v>
      </c>
      <c r="F135" s="7">
        <v>0.51</v>
      </c>
      <c r="G135" s="7">
        <v>0.51000000000000245</v>
      </c>
      <c r="H135" s="18">
        <v>0.29123860148338787</v>
      </c>
      <c r="I135" s="7">
        <v>412.7</v>
      </c>
      <c r="J135" s="7" t="e">
        <v>#N/A</v>
      </c>
      <c r="K135" s="18" t="e">
        <v>#N/A</v>
      </c>
      <c r="L135"/>
      <c r="M135" s="7">
        <v>444.57</v>
      </c>
      <c r="N135" s="9">
        <v>41565</v>
      </c>
      <c r="O135" s="7" t="s">
        <v>285</v>
      </c>
      <c r="P135" s="7">
        <v>0.51</v>
      </c>
      <c r="Q135" s="7">
        <v>0</v>
      </c>
      <c r="R135" s="7">
        <v>0</v>
      </c>
      <c r="S135" s="7">
        <v>0.31</v>
      </c>
      <c r="T135" s="7">
        <v>9</v>
      </c>
      <c r="U135" s="7">
        <v>224</v>
      </c>
      <c r="V135" s="7">
        <v>870</v>
      </c>
      <c r="W135" s="7" t="s">
        <v>286</v>
      </c>
      <c r="X135" s="7">
        <v>412.7</v>
      </c>
      <c r="Y135" s="7">
        <v>0</v>
      </c>
      <c r="Z135" s="7">
        <v>427.25</v>
      </c>
      <c r="AA135" s="7">
        <v>429.85</v>
      </c>
      <c r="AB135" s="7">
        <v>3</v>
      </c>
      <c r="AC135" s="7">
        <v>6</v>
      </c>
    </row>
    <row r="136" spans="5:29" ht="15" customHeight="1">
      <c r="E136" s="7">
        <v>875</v>
      </c>
      <c r="F136" s="7">
        <v>0.4</v>
      </c>
      <c r="G136" s="7">
        <v>0.40000000000000568</v>
      </c>
      <c r="H136" s="18">
        <v>0.28483428783045772</v>
      </c>
      <c r="I136" s="7">
        <v>417.45</v>
      </c>
      <c r="J136" s="7" t="e">
        <v>#N/A</v>
      </c>
      <c r="K136" s="18" t="e">
        <v>#N/A</v>
      </c>
      <c r="L136"/>
      <c r="M136" s="7">
        <v>444.57</v>
      </c>
      <c r="N136" s="9">
        <v>41565</v>
      </c>
      <c r="O136" s="7" t="s">
        <v>287</v>
      </c>
      <c r="P136" s="7">
        <v>0.4</v>
      </c>
      <c r="Q136" s="7">
        <v>0</v>
      </c>
      <c r="R136" s="7">
        <v>0.15</v>
      </c>
      <c r="S136" s="7">
        <v>0.33</v>
      </c>
      <c r="T136" s="7">
        <v>9</v>
      </c>
      <c r="U136" s="7">
        <v>57</v>
      </c>
      <c r="V136" s="7">
        <v>875</v>
      </c>
      <c r="W136" s="7" t="s">
        <v>288</v>
      </c>
      <c r="X136" s="7">
        <v>417.45</v>
      </c>
      <c r="Y136" s="7">
        <v>0</v>
      </c>
      <c r="Z136" s="7">
        <v>432.2</v>
      </c>
      <c r="AA136" s="7">
        <v>434.95</v>
      </c>
      <c r="AB136" s="7">
        <v>3</v>
      </c>
      <c r="AC136" s="7">
        <v>15</v>
      </c>
    </row>
    <row r="137" spans="5:29" ht="15" customHeight="1">
      <c r="E137" s="7">
        <v>880</v>
      </c>
      <c r="F137" s="7">
        <v>0.3</v>
      </c>
      <c r="G137" s="7">
        <v>0.29999999999999805</v>
      </c>
      <c r="H137" s="18">
        <v>0.27751052128844439</v>
      </c>
      <c r="I137" s="7">
        <v>420.45</v>
      </c>
      <c r="J137" s="7" t="e">
        <v>#N/A</v>
      </c>
      <c r="K137" s="18" t="e">
        <v>#N/A</v>
      </c>
      <c r="L137"/>
      <c r="M137" s="7">
        <v>444.57</v>
      </c>
      <c r="N137" s="9">
        <v>41565</v>
      </c>
      <c r="O137" s="7" t="s">
        <v>289</v>
      </c>
      <c r="P137" s="7">
        <v>0.3</v>
      </c>
      <c r="Q137" s="7">
        <v>0</v>
      </c>
      <c r="R137" s="7">
        <v>0.2</v>
      </c>
      <c r="S137" s="7">
        <v>0.28999999999999998</v>
      </c>
      <c r="T137" s="7">
        <v>275</v>
      </c>
      <c r="U137" s="7">
        <v>462</v>
      </c>
      <c r="V137" s="7">
        <v>880</v>
      </c>
      <c r="W137" s="7" t="s">
        <v>290</v>
      </c>
      <c r="X137" s="7">
        <v>420.45</v>
      </c>
      <c r="Y137" s="7">
        <v>0</v>
      </c>
      <c r="Z137" s="7">
        <v>437.25</v>
      </c>
      <c r="AA137" s="7">
        <v>439.9</v>
      </c>
      <c r="AB137" s="7">
        <v>6</v>
      </c>
      <c r="AC137" s="7">
        <v>24</v>
      </c>
    </row>
    <row r="138" spans="5:29" ht="15" customHeight="1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5:29" ht="15" customHeight="1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5:29" ht="15" customHeight="1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5:29" ht="15" customHeight="1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5:29" ht="15" customHeight="1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5:29" ht="15" customHeight="1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5:29" ht="15" customHeight="1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5:29" ht="15" customHeight="1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5:29" ht="15" customHeight="1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5:29" ht="15" customHeight="1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5:29" ht="15" customHeight="1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5:29" ht="15" customHeight="1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5:29" ht="15" customHeight="1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5:29" ht="15" customHeight="1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5:29" ht="15" customHeight="1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5:29" ht="15" customHeight="1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5:29" ht="15" customHeight="1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5:29" ht="15" customHeight="1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5:29" ht="15" customHeight="1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5:29" ht="15" customHeight="1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5:29" ht="15" customHeight="1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5:29" ht="15" customHeight="1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5:29" ht="15" customHeight="1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5:29" ht="15" customHeight="1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5:29" ht="15" customHeight="1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5:29" ht="15" customHeight="1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5:29" ht="15" customHeight="1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5:29" ht="15" customHeight="1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5:29" ht="15" customHeight="1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5:29" ht="15" customHeight="1"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5:29" ht="15" customHeight="1"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5:29" ht="15" customHeight="1"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5:29" ht="15" customHeight="1"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5:29" ht="15" customHeight="1"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5:29" ht="15" customHeight="1"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5:29" ht="15" customHeight="1"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5:29" ht="15" customHeight="1"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5:29" ht="15" customHeight="1"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5:29" ht="15" customHeight="1"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5:29" ht="15" customHeight="1"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5:29" ht="15" customHeight="1"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5:29" ht="15" customHeight="1"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5:29" ht="15" customHeight="1"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5:29" ht="15" customHeight="1"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5:29" ht="15" customHeight="1"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5:29" ht="15" customHeight="1"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5:29" ht="15" customHeight="1"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5:29" ht="15" customHeight="1"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5:29" ht="15" customHeight="1"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5:29" ht="15" customHeight="1"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5:29" ht="15" customHeight="1"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5:29" ht="15" customHeight="1"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5:29" ht="15" customHeight="1"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5:29" ht="15" customHeight="1"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5:29" ht="15" customHeight="1"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5:21" ht="15" customHeight="1"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5:21" ht="15" customHeight="1"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5:21" ht="15" customHeight="1"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5:21" ht="15" customHeight="1"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5:21" ht="15" customHeight="1"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5:21" ht="15" customHeight="1"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5:21" ht="15" customHeight="1"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5:21" ht="15" customHeight="1"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5:21" ht="15" customHeight="1"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5:21" ht="15" customHeight="1"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5:21" ht="15" customHeight="1"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5:21" ht="15" customHeight="1"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5:21" ht="15" customHeight="1"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5:21" ht="15" customHeight="1"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5:21" ht="15" customHeight="1"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5:21" ht="15" customHeight="1"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5:21" ht="15" customHeight="1"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5:21" ht="15" customHeight="1"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5:21" ht="15" customHeight="1"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5:21" ht="15" customHeight="1"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5:21" ht="15" customHeight="1"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5:21" ht="15" customHeight="1"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5:21" ht="15" customHeight="1"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5:21" ht="15" customHeight="1"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5:21" ht="15" customHeight="1"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5:21" ht="15" customHeight="1"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5:21" ht="15" customHeight="1"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5:21" ht="15" customHeight="1"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5:21" ht="15" customHeight="1"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5:21" ht="15" customHeight="1"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5:21" ht="15" customHeight="1"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5:21" ht="15" customHeight="1"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5:21" ht="15" customHeight="1"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5:21" ht="15" customHeight="1"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5:21" ht="15" customHeight="1"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5:21" ht="15" customHeight="1"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5:21" ht="15" customHeight="1"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5:21" ht="15" customHeight="1"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5:21" ht="15" customHeight="1"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5:21" ht="15" customHeight="1"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5:21" ht="15" customHeight="1"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5:21" ht="15" customHeight="1"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5:21" ht="15" customHeight="1"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5:21" ht="15" customHeight="1"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5:21" ht="15" customHeight="1"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5:21" ht="15" customHeight="1"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5:21" ht="15" customHeight="1"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5:21" ht="15" customHeight="1"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5:21" ht="15" customHeight="1"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5:21" ht="15" customHeight="1"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5:21" ht="15" customHeight="1"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5:21" ht="15" customHeight="1"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5:21" ht="15" customHeight="1"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5:21" ht="15" customHeight="1"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5:21" ht="15" customHeight="1"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5:21" ht="15" customHeight="1"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5:21" ht="15" customHeight="1"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5:21" ht="15" customHeight="1"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5:21" ht="15" customHeight="1"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5:21" ht="15" customHeight="1"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5:21" ht="15" customHeight="1"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5:21" ht="15" customHeight="1"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5:21" ht="15" customHeight="1"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5:21" ht="15" customHeight="1"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5:21" ht="15" customHeight="1"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5:21" ht="15" customHeight="1"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5:21" ht="15" customHeight="1"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5:21" ht="15" customHeight="1"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5:21" ht="15" customHeight="1"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5:21" ht="15" customHeight="1"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5:21" ht="15" customHeight="1"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5:21" ht="15" customHeight="1"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5:21" ht="15" customHeight="1"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5:21" ht="15" customHeight="1"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5:21" ht="15" customHeight="1"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5:21" ht="15" customHeight="1"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5:21" ht="15" customHeight="1"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5:21" ht="15" customHeight="1"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5:21" ht="15" customHeight="1"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5:21" ht="15" customHeight="1"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5:21" ht="15" customHeight="1"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5:21" ht="15" customHeight="1"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5:21" ht="15" customHeight="1"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5:21" ht="15" customHeight="1"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5:21" ht="15" customHeight="1"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5:21" ht="15" customHeight="1"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5:21" ht="15" customHeight="1"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5:21" ht="15" customHeight="1"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5:21" ht="15" customHeight="1"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5:21" ht="15" customHeight="1"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5:21" ht="15" customHeight="1"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5:21" ht="15" customHeight="1"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5:21" ht="15" customHeight="1"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5:21" ht="15" customHeight="1"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5:21" ht="15" customHeight="1"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5:21" ht="15" customHeight="1"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5:21" ht="15" customHeight="1"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5:21" ht="15" customHeight="1"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5:21" ht="15" customHeight="1"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5:21" ht="15" customHeight="1"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5:21" ht="15" customHeight="1"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5:21" ht="15" customHeight="1"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5:21" ht="15" customHeight="1"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5:21" ht="15" customHeight="1"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5:21" ht="15" customHeight="1"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5:21" ht="15" customHeight="1"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5:21" ht="15" customHeight="1"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5:21" ht="15" customHeight="1"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5:21" ht="15" customHeight="1"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5:21" ht="15" customHeight="1"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5:21" ht="15" customHeight="1"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5:21" ht="15" customHeight="1"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5:21" ht="15" customHeight="1"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5:21" ht="15" customHeight="1"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5:21" ht="15" customHeight="1"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5:21" ht="15" customHeight="1"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5:21" ht="15" customHeight="1"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5:21" ht="15" customHeight="1"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5:21" ht="15" customHeight="1"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5:21" ht="15" customHeight="1"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5:21" ht="15" customHeight="1"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5:21" ht="15" customHeight="1"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5:21" ht="15" customHeight="1"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5:21" ht="15" customHeight="1"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5:21" ht="15" customHeight="1"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5:21" ht="15" customHeight="1"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</sheetData>
  <dataValidations count="4">
    <dataValidation type="list" allowBlank="1" showInputMessage="1" showErrorMessage="1" sqref="C26">
      <formula1>"0,1,2,3,4,5,6,7,8,9"</formula1>
    </dataValidation>
    <dataValidation type="list" allowBlank="1" showInputMessage="1" showErrorMessage="1" sqref="C16">
      <formula1>"1,2,3,4,5,6,7,8,9,10,11,12"</formula1>
    </dataValidation>
    <dataValidation type="whole" allowBlank="1" showInputMessage="1" showErrorMessage="1" sqref="C15">
      <formula1>2008</formula1>
      <formula2>2100</formula2>
    </dataValidation>
    <dataValidation type="list" allowBlank="1" showInputMessage="1" showErrorMessage="1" sqref="C8">
      <formula1>"TRUE, FALSE"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MODEL</vt:lpstr>
      <vt:lpstr>CALL_IMPLIED_CHART</vt:lpstr>
      <vt:lpstr>PUT_IMPLIED_CHART</vt:lpstr>
      <vt:lpstr>CALL_VOLATILITY_AXIS</vt:lpstr>
      <vt:lpstr>CALL_VOLUME_AXIS</vt:lpstr>
      <vt:lpstr>INPUTS</vt:lpstr>
      <vt:lpstr>POSITION</vt:lpstr>
      <vt:lpstr>PUT_VOLATILITY_AXIS</vt:lpstr>
      <vt:lpstr>PUT_VOLUME_AXIS</vt:lpstr>
      <vt:lpstr>STRIKE_AXIS</vt:lpstr>
    </vt:vector>
  </TitlesOfParts>
  <Company>Ivey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2009-05-25T02:14:47Z</dcterms:created>
  <dcterms:modified xsi:type="dcterms:W3CDTF">2013-02-28T03:47:57Z</dcterms:modified>
</cp:coreProperties>
</file>