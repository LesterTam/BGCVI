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20" windowWidth="18855" windowHeight="8145" activeTab="1"/>
  </bookViews>
  <sheets>
    <sheet name="LOWS" sheetId="1" r:id="rId1"/>
    <sheet name="SCREENER" sheetId="2" r:id="rId2"/>
  </sheets>
  <definedNames>
    <definedName name="_xlnm._FilterDatabase" localSheetId="1" hidden="1">SCREENER!$E$6:$O$507</definedName>
    <definedName name="HIST_DATA">LOWS!$E$5:$K$255</definedName>
    <definedName name="INPUTS" localSheetId="1">SCREENER!$C$7</definedName>
    <definedName name="INPUTS">LOWS!$C$4:$C$7</definedName>
    <definedName name="POSITION" localSheetId="1">SCREENER!$E$6</definedName>
    <definedName name="POSITION">LOWS!$E$4</definedName>
  </definedNames>
  <calcPr calcId="145621"/>
</workbook>
</file>

<file path=xl/calcChain.xml><?xml version="1.0" encoding="utf-8"?>
<calcChain xmlns="http://schemas.openxmlformats.org/spreadsheetml/2006/main">
  <c r="B8" i="1" l="1"/>
  <c r="B2" i="1"/>
  <c r="C6" i="1" l="1"/>
  <c r="C5" i="1" s="1"/>
</calcChain>
</file>

<file path=xl/comments1.xml><?xml version="1.0" encoding="utf-8"?>
<comments xmlns="http://schemas.openxmlformats.org/spreadsheetml/2006/main">
  <authors>
    <author>Nico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Price/52wk Low  Price/Target
</t>
        </r>
      </text>
    </comment>
  </commentList>
</comments>
</file>

<file path=xl/sharedStrings.xml><?xml version="1.0" encoding="utf-8"?>
<sst xmlns="http://schemas.openxmlformats.org/spreadsheetml/2006/main" count="2033" uniqueCount="1472">
  <si>
    <t>TICKER</t>
  </si>
  <si>
    <t>DATE</t>
  </si>
  <si>
    <t>OPEN</t>
  </si>
  <si>
    <t>HIGH</t>
  </si>
  <si>
    <t>LOW</t>
  </si>
  <si>
    <t>CLOSE</t>
  </si>
  <si>
    <t>VOLUME</t>
  </si>
  <si>
    <t>START DATE</t>
  </si>
  <si>
    <t>END DATE</t>
  </si>
  <si>
    <t>NO DAYS</t>
  </si>
  <si>
    <t>ADJ.CLOSE</t>
  </si>
  <si>
    <t>NAME</t>
  </si>
  <si>
    <t>name</t>
  </si>
  <si>
    <t>last trade</t>
  </si>
  <si>
    <t>p/e ratio</t>
  </si>
  <si>
    <t>peg ratio</t>
  </si>
  <si>
    <t>dividend/share</t>
  </si>
  <si>
    <t>price/book</t>
  </si>
  <si>
    <t>change from 50-day moving avg</t>
  </si>
  <si>
    <t>change from 200-day moving avg</t>
  </si>
  <si>
    <t>PHILIP MORRIS INT</t>
  </si>
  <si>
    <t>PM</t>
  </si>
  <si>
    <t>QWEST COMM INTL I</t>
  </si>
  <si>
    <t>Q</t>
  </si>
  <si>
    <t>INGERSOLL RAND LT</t>
  </si>
  <si>
    <t>IR</t>
  </si>
  <si>
    <t xml:space="preserve">JONES APPAREL GP </t>
  </si>
  <si>
    <t>JNY</t>
  </si>
  <si>
    <t>ALTRIA GROUP INC</t>
  </si>
  <si>
    <t>MO</t>
  </si>
  <si>
    <t>NEW M&amp;I CORPORATI</t>
  </si>
  <si>
    <t>MI</t>
  </si>
  <si>
    <t>VALERO ENERGY CP</t>
  </si>
  <si>
    <t>VLO</t>
  </si>
  <si>
    <t>MARSH MCLENNAN CO</t>
  </si>
  <si>
    <t>MMC</t>
  </si>
  <si>
    <t>GANNETT CO INC</t>
  </si>
  <si>
    <t>GCI</t>
  </si>
  <si>
    <t>WINDSTREAM CORP</t>
  </si>
  <si>
    <t>WIN</t>
  </si>
  <si>
    <t>ALLSTATE CP</t>
  </si>
  <si>
    <t>ALL</t>
  </si>
  <si>
    <t>TESORO CORP</t>
  </si>
  <si>
    <t>TSO</t>
  </si>
  <si>
    <t xml:space="preserve">S A F E C O CP   </t>
  </si>
  <si>
    <t>SAF</t>
  </si>
  <si>
    <t>LEHMAN BROS HLD</t>
  </si>
  <si>
    <t>LEH</t>
  </si>
  <si>
    <t xml:space="preserve">BEAR STEARNS COS </t>
  </si>
  <si>
    <t>BSC</t>
  </si>
  <si>
    <t>SUNOCO INC</t>
  </si>
  <si>
    <t>SUN</t>
  </si>
  <si>
    <t>OFFICEMAX INC.</t>
  </si>
  <si>
    <t>OMX</t>
  </si>
  <si>
    <t>CHUBB CP THE</t>
  </si>
  <si>
    <t>CB</t>
  </si>
  <si>
    <t>THE TRAVELERS CO</t>
  </si>
  <si>
    <t>TRV</t>
  </si>
  <si>
    <t>D T E ENERGY CO H</t>
  </si>
  <si>
    <t>DTE</t>
  </si>
  <si>
    <t xml:space="preserve">ROCKWELL AUTOMAT </t>
  </si>
  <si>
    <t>ROK</t>
  </si>
  <si>
    <t>ACE LTD</t>
  </si>
  <si>
    <t>ACE</t>
  </si>
  <si>
    <t>CINCINNATI FIN</t>
  </si>
  <si>
    <t>CINF</t>
  </si>
  <si>
    <t>OFFICE DEPOT INC</t>
  </si>
  <si>
    <t>ODP</t>
  </si>
  <si>
    <t>COMERICA INC</t>
  </si>
  <si>
    <t>CMA</t>
  </si>
  <si>
    <t>GOLDMAN SACHS GRP</t>
  </si>
  <si>
    <t>GS</t>
  </si>
  <si>
    <t>EASTMAN KODAK CO</t>
  </si>
  <si>
    <t>EK</t>
  </si>
  <si>
    <t>HARTFORD FIN SVC</t>
  </si>
  <si>
    <t>HIG</t>
  </si>
  <si>
    <t>WACHOVIA CP</t>
  </si>
  <si>
    <t>WB</t>
  </si>
  <si>
    <t>PENNEY J C CO HOL</t>
  </si>
  <si>
    <t>JCP</t>
  </si>
  <si>
    <t>MARATHON OIL CORP</t>
  </si>
  <si>
    <t>MRO</t>
  </si>
  <si>
    <t>ANADARKO PETROLEU</t>
  </si>
  <si>
    <t>APC</t>
  </si>
  <si>
    <t>CENTURYTEL INC</t>
  </si>
  <si>
    <t>CTL</t>
  </si>
  <si>
    <t>TECO ENERGY INC</t>
  </si>
  <si>
    <t>TE</t>
  </si>
  <si>
    <t>GENWORTH FINANCIA</t>
  </si>
  <si>
    <t>GNW</t>
  </si>
  <si>
    <t>AMER CAP STRATEGI</t>
  </si>
  <si>
    <t>ACAS</t>
  </si>
  <si>
    <t>BLACK DECKER CP</t>
  </si>
  <si>
    <t>BDK</t>
  </si>
  <si>
    <t>BOSTON PPTYS INC</t>
  </si>
  <si>
    <t>BXP</t>
  </si>
  <si>
    <t>WYNDHAM WORLDWIDE</t>
  </si>
  <si>
    <t>WYN</t>
  </si>
  <si>
    <t>EMBARQ CORP</t>
  </si>
  <si>
    <t>EQ</t>
  </si>
  <si>
    <t>RADIOSHACK CORP</t>
  </si>
  <si>
    <t>RSH</t>
  </si>
  <si>
    <t>HUMANA INC</t>
  </si>
  <si>
    <t>HUM</t>
  </si>
  <si>
    <t>WELLPOINT INC.</t>
  </si>
  <si>
    <t>WLP</t>
  </si>
  <si>
    <t>ZIONS BANCORP</t>
  </si>
  <si>
    <t>ZION</t>
  </si>
  <si>
    <t>LIMITED BRANDS IN</t>
  </si>
  <si>
    <t>LTD</t>
  </si>
  <si>
    <t>HARLEY DAVIDSON</t>
  </si>
  <si>
    <t>HOG</t>
  </si>
  <si>
    <t>ROWAN COS INC</t>
  </si>
  <si>
    <t>RDC</t>
  </si>
  <si>
    <t>JP MORGAN CHASE C</t>
  </si>
  <si>
    <t>JPM</t>
  </si>
  <si>
    <t>ENSCO INTL INC</t>
  </si>
  <si>
    <t>ESV</t>
  </si>
  <si>
    <t>FIFTH THIRD BNCP</t>
  </si>
  <si>
    <t>FITB</t>
  </si>
  <si>
    <t>GOODYEAR TIRE RUB</t>
  </si>
  <si>
    <t>GT</t>
  </si>
  <si>
    <t>KEYCORP</t>
  </si>
  <si>
    <t>KEY</t>
  </si>
  <si>
    <t>HARMAN INTL INDS</t>
  </si>
  <si>
    <t>HAR</t>
  </si>
  <si>
    <t>BB&amp;T CP</t>
  </si>
  <si>
    <t>BBT</t>
  </si>
  <si>
    <t>WHIRLPOOL CP</t>
  </si>
  <si>
    <t>WHR</t>
  </si>
  <si>
    <t xml:space="preserve">PRUDENTIAL FINCL </t>
  </si>
  <si>
    <t>PRU</t>
  </si>
  <si>
    <t>INTL PAPER</t>
  </si>
  <si>
    <t>IP</t>
  </si>
  <si>
    <t>CHARLES SCHWAB IN</t>
  </si>
  <si>
    <t>SCHW</t>
  </si>
  <si>
    <t>ALLEGHENY TECH NE</t>
  </si>
  <si>
    <t>ATI</t>
  </si>
  <si>
    <t>CHEVRON CORP</t>
  </si>
  <si>
    <t>CVX</t>
  </si>
  <si>
    <t>LEXMARK INTL INC</t>
  </si>
  <si>
    <t>LXK</t>
  </si>
  <si>
    <t>TITANIUM METALS C</t>
  </si>
  <si>
    <t>TIE</t>
  </si>
  <si>
    <t>TRANSOCEAN INC</t>
  </si>
  <si>
    <t>RIG</t>
  </si>
  <si>
    <t>COVENTRY HLTH CAR</t>
  </si>
  <si>
    <t>CVH</t>
  </si>
  <si>
    <t>AUTONATION INC</t>
  </si>
  <si>
    <t>AN</t>
  </si>
  <si>
    <t>MEREDITH CP</t>
  </si>
  <si>
    <t>MDP</t>
  </si>
  <si>
    <t>BK OF AMERICA CP</t>
  </si>
  <si>
    <t>BAC</t>
  </si>
  <si>
    <t>UNITEDHEALTH GROU</t>
  </si>
  <si>
    <t>UNH</t>
  </si>
  <si>
    <t>NABORS INDS INC N</t>
  </si>
  <si>
    <t>NBR</t>
  </si>
  <si>
    <t>CIGNA CP</t>
  </si>
  <si>
    <t>CI</t>
  </si>
  <si>
    <t>METLIFE INC</t>
  </si>
  <si>
    <t>MET</t>
  </si>
  <si>
    <t>RAYTHEON CO (NEW)</t>
  </si>
  <si>
    <t>RTN</t>
  </si>
  <si>
    <t>DOMINION RES NEW</t>
  </si>
  <si>
    <t>D</t>
  </si>
  <si>
    <t>TORCHMARK CP</t>
  </si>
  <si>
    <t>TMK</t>
  </si>
  <si>
    <t>CONOCOPHILLIPS</t>
  </si>
  <si>
    <t>COP</t>
  </si>
  <si>
    <t>SUNTRUST BANKS</t>
  </si>
  <si>
    <t>STI</t>
  </si>
  <si>
    <t>TEREX CP</t>
  </si>
  <si>
    <t>TEX</t>
  </si>
  <si>
    <t>LINCOLN NATL CP</t>
  </si>
  <si>
    <t>LNC</t>
  </si>
  <si>
    <t>COOPER INDS CL A</t>
  </si>
  <si>
    <t>CBE</t>
  </si>
  <si>
    <t xml:space="preserve">SHERWIN WILLIAMS </t>
  </si>
  <si>
    <t>SHW</t>
  </si>
  <si>
    <t>REGIONS FINANCIAL</t>
  </si>
  <si>
    <t>RF</t>
  </si>
  <si>
    <t>NICOR INC</t>
  </si>
  <si>
    <t>GAS</t>
  </si>
  <si>
    <t>SUPERVALU INC</t>
  </si>
  <si>
    <t>SVU</t>
  </si>
  <si>
    <t>PROGRESSIVE CP</t>
  </si>
  <si>
    <t>PGR</t>
  </si>
  <si>
    <t>LOEWS CP</t>
  </si>
  <si>
    <t>LTR</t>
  </si>
  <si>
    <t>LEGG MASON INC</t>
  </si>
  <si>
    <t>LM</t>
  </si>
  <si>
    <t>CAPITAL ONE FINAN</t>
  </si>
  <si>
    <t>COF</t>
  </si>
  <si>
    <t>MACY'S INC</t>
  </si>
  <si>
    <t>M</t>
  </si>
  <si>
    <t xml:space="preserve">WELLS FARGO &amp; CO </t>
  </si>
  <si>
    <t>WFC</t>
  </si>
  <si>
    <t>KING PHARMACEUTIC</t>
  </si>
  <si>
    <t>KG</t>
  </si>
  <si>
    <t>EL PASO CORPORATI</t>
  </si>
  <si>
    <t>EP</t>
  </si>
  <si>
    <t>ASSURANT INC</t>
  </si>
  <si>
    <t>AIZ</t>
  </si>
  <si>
    <t>COMPUTER SCIENCES</t>
  </si>
  <si>
    <t>CSC</t>
  </si>
  <si>
    <t>HOME DEPOT INC</t>
  </si>
  <si>
    <t>HD</t>
  </si>
  <si>
    <t>EQUITY RESIDENTAL</t>
  </si>
  <si>
    <t>EQR</t>
  </si>
  <si>
    <t>CONS EDISON INC</t>
  </si>
  <si>
    <t>ED</t>
  </si>
  <si>
    <t>UNUM GROUP</t>
  </si>
  <si>
    <t>UNM</t>
  </si>
  <si>
    <t xml:space="preserve">CB RICHARD ELLIS </t>
  </si>
  <si>
    <t>CBG</t>
  </si>
  <si>
    <t>PINNACLE WEST CAP</t>
  </si>
  <si>
    <t>PNW</t>
  </si>
  <si>
    <t>NORDSTROM INC</t>
  </si>
  <si>
    <t>JWN</t>
  </si>
  <si>
    <t>STANLEY WORKS THE</t>
  </si>
  <si>
    <t>SWK</t>
  </si>
  <si>
    <t>NOVELLUS SYSTEMS</t>
  </si>
  <si>
    <t>NVLS</t>
  </si>
  <si>
    <t>HALLIBURTON CO</t>
  </si>
  <si>
    <t>HAL</t>
  </si>
  <si>
    <t>CBS CORP CL B</t>
  </si>
  <si>
    <t>CBS</t>
  </si>
  <si>
    <t>AETNA INC. NEW</t>
  </si>
  <si>
    <t>AET</t>
  </si>
  <si>
    <t>NOBLE CORP</t>
  </si>
  <si>
    <t>NE</t>
  </si>
  <si>
    <t>XEROX CP</t>
  </si>
  <si>
    <t>XRX</t>
  </si>
  <si>
    <t>TIME WARNER INC</t>
  </si>
  <si>
    <t>TWX</t>
  </si>
  <si>
    <t>HERCULES INC</t>
  </si>
  <si>
    <t>HPC</t>
  </si>
  <si>
    <t xml:space="preserve">FIDELITY NAT INF </t>
  </si>
  <si>
    <t>FIS</t>
  </si>
  <si>
    <t>EATON CP</t>
  </si>
  <si>
    <t>ETN</t>
  </si>
  <si>
    <t>OCCIDENTAL PET</t>
  </si>
  <si>
    <t>OXY</t>
  </si>
  <si>
    <t>BRUNSWICK CP</t>
  </si>
  <si>
    <t>BC</t>
  </si>
  <si>
    <t>CONVERGYS CP</t>
  </si>
  <si>
    <t>CVG</t>
  </si>
  <si>
    <t>EXXON MOBIL CP</t>
  </si>
  <si>
    <t>XOM</t>
  </si>
  <si>
    <t>HOST HOTELS &amp; RES</t>
  </si>
  <si>
    <t>HST</t>
  </si>
  <si>
    <t>P P G IND</t>
  </si>
  <si>
    <t>PPG</t>
  </si>
  <si>
    <t>BJ SERVICES CO</t>
  </si>
  <si>
    <t>BJS</t>
  </si>
  <si>
    <t>MCGRAW HILL COS T</t>
  </si>
  <si>
    <t>MHP</t>
  </si>
  <si>
    <t>CARDINAL HEALTH I</t>
  </si>
  <si>
    <t>CAH</t>
  </si>
  <si>
    <t>ELECTRONIC DATA S</t>
  </si>
  <si>
    <t>EDS</t>
  </si>
  <si>
    <t>DOW CHEMICAL</t>
  </si>
  <si>
    <t>DOW</t>
  </si>
  <si>
    <t>ARCHER DANIELS MD</t>
  </si>
  <si>
    <t>ADM</t>
  </si>
  <si>
    <t>AMER EXPRESS INC</t>
  </si>
  <si>
    <t>AXP</t>
  </si>
  <si>
    <t>CONAGRA FOOD INC</t>
  </si>
  <si>
    <t>CAG</t>
  </si>
  <si>
    <t>CUMMINS INC</t>
  </si>
  <si>
    <t>CMI</t>
  </si>
  <si>
    <t>AUTOZONE INC</t>
  </si>
  <si>
    <t>AZO</t>
  </si>
  <si>
    <t>LOWES COMPANIES</t>
  </si>
  <si>
    <t>REYNOLDS AMERICAN</t>
  </si>
  <si>
    <t>RAI</t>
  </si>
  <si>
    <t>KOHLS CP</t>
  </si>
  <si>
    <t>KSS</t>
  </si>
  <si>
    <t>WYETH</t>
  </si>
  <si>
    <t>WYE</t>
  </si>
  <si>
    <t xml:space="preserve">ROBERT HALF INTL </t>
  </si>
  <si>
    <t>RHI</t>
  </si>
  <si>
    <t>CENTERPOINT ENERG</t>
  </si>
  <si>
    <t>CNP</t>
  </si>
  <si>
    <t>FRANKLIN RES INC</t>
  </si>
  <si>
    <t>BEN</t>
  </si>
  <si>
    <t>NEWELL RUBBERMAID</t>
  </si>
  <si>
    <t>NWL</t>
  </si>
  <si>
    <t>FAMILY DOLLAR STO</t>
  </si>
  <si>
    <t>FDO</t>
  </si>
  <si>
    <t>CINTAS CP</t>
  </si>
  <si>
    <t>CTAS</t>
  </si>
  <si>
    <t>US BANCORP</t>
  </si>
  <si>
    <t>USB</t>
  </si>
  <si>
    <t>N Y TIMES CL A</t>
  </si>
  <si>
    <t>NYT</t>
  </si>
  <si>
    <t>SEMPRA ENERGY</t>
  </si>
  <si>
    <t>SRE</t>
  </si>
  <si>
    <t>BEST BUY CO INC</t>
  </si>
  <si>
    <t>BBY</t>
  </si>
  <si>
    <t>DOVER CP</t>
  </si>
  <si>
    <t>DOV</t>
  </si>
  <si>
    <t>CARNIVAL CORP</t>
  </si>
  <si>
    <t>CCL</t>
  </si>
  <si>
    <t>ALCOA INC</t>
  </si>
  <si>
    <t>AA</t>
  </si>
  <si>
    <t>ANALOG DEVICES</t>
  </si>
  <si>
    <t>ADI</t>
  </si>
  <si>
    <t>ABERCROMBIE &amp; FIT</t>
  </si>
  <si>
    <t>ANF</t>
  </si>
  <si>
    <t>MATTEL INC</t>
  </si>
  <si>
    <t>MAT</t>
  </si>
  <si>
    <t>MANITOWOC CO INC</t>
  </si>
  <si>
    <t>MTW</t>
  </si>
  <si>
    <t>PACCAR INC</t>
  </si>
  <si>
    <t>PCAR</t>
  </si>
  <si>
    <t>GENUINE PARTS CO</t>
  </si>
  <si>
    <t>GPC</t>
  </si>
  <si>
    <t>INTEGRYS ENERGY G</t>
  </si>
  <si>
    <t>TEG</t>
  </si>
  <si>
    <t>NVIDIA CORP</t>
  </si>
  <si>
    <t>NVDA</t>
  </si>
  <si>
    <t>MOODY'S CORP</t>
  </si>
  <si>
    <t>MCO</t>
  </si>
  <si>
    <t>DELL INC</t>
  </si>
  <si>
    <t>DELL</t>
  </si>
  <si>
    <t>NUCOR CP</t>
  </si>
  <si>
    <t>NUE</t>
  </si>
  <si>
    <t>SEALED AIR CP NEW</t>
  </si>
  <si>
    <t>SEE</t>
  </si>
  <si>
    <t>NORTHROP GRUM HOL</t>
  </si>
  <si>
    <t>NOC</t>
  </si>
  <si>
    <t>PACTIV CORP</t>
  </si>
  <si>
    <t>PTV</t>
  </si>
  <si>
    <t>PG&amp;E CP</t>
  </si>
  <si>
    <t>PCG</t>
  </si>
  <si>
    <t xml:space="preserve">FREEPORT MCMORAN </t>
  </si>
  <si>
    <t>FCX</t>
  </si>
  <si>
    <t>PULTE HOMES</t>
  </si>
  <si>
    <t>PHM</t>
  </si>
  <si>
    <t>SAFEWAY STORES IN</t>
  </si>
  <si>
    <t>SWY</t>
  </si>
  <si>
    <t>3M COMPANY</t>
  </si>
  <si>
    <t>MMM</t>
  </si>
  <si>
    <t>CATERPILLAR INC</t>
  </si>
  <si>
    <t>CAT</t>
  </si>
  <si>
    <t>KROGER CO</t>
  </si>
  <si>
    <t>KR</t>
  </si>
  <si>
    <t>DEVON ENERGY CP (</t>
  </si>
  <si>
    <t>DVN</t>
  </si>
  <si>
    <t>BED BATH &amp; BEYOND</t>
  </si>
  <si>
    <t>BBBY</t>
  </si>
  <si>
    <t>PPL CORP</t>
  </si>
  <si>
    <t>PPL</t>
  </si>
  <si>
    <t>I T T CORPORATION</t>
  </si>
  <si>
    <t>ITT</t>
  </si>
  <si>
    <t>BIG LOTS INC</t>
  </si>
  <si>
    <t>BIG</t>
  </si>
  <si>
    <t>VIACOM INC CL B</t>
  </si>
  <si>
    <t>VIA-B</t>
  </si>
  <si>
    <t>BOEING CO</t>
  </si>
  <si>
    <t>BA</t>
  </si>
  <si>
    <t>P N C FIN SVCS GR</t>
  </si>
  <si>
    <t>PNC</t>
  </si>
  <si>
    <t>PEPCO HOLDINGS IN</t>
  </si>
  <si>
    <t>POM</t>
  </si>
  <si>
    <t>WALT DISNEY-DISNE</t>
  </si>
  <si>
    <t>DIS</t>
  </si>
  <si>
    <t>M&amp;T BANK CORP</t>
  </si>
  <si>
    <t>MTB</t>
  </si>
  <si>
    <t>V F CP</t>
  </si>
  <si>
    <t>VFC</t>
  </si>
  <si>
    <t>FORTUNE BRANDS IN</t>
  </si>
  <si>
    <t>FO</t>
  </si>
  <si>
    <t>LOCKHEED MARTIN C</t>
  </si>
  <si>
    <t>LMT</t>
  </si>
  <si>
    <t>PARKER HANNIFIN C</t>
  </si>
  <si>
    <t>PH</t>
  </si>
  <si>
    <t>SOUTHWEST AIRLINE</t>
  </si>
  <si>
    <t>LUV</t>
  </si>
  <si>
    <t>GEN ELECTRIC CO</t>
  </si>
  <si>
    <t>GE</t>
  </si>
  <si>
    <t>FEDEX CORP</t>
  </si>
  <si>
    <t>FDX</t>
  </si>
  <si>
    <t xml:space="preserve">JOHNSON CONTROLS </t>
  </si>
  <si>
    <t>JCI</t>
  </si>
  <si>
    <t>CLEAR CHANNEL COM</t>
  </si>
  <si>
    <t>CCU</t>
  </si>
  <si>
    <t>RYDER SYSTEM INC</t>
  </si>
  <si>
    <t>R</t>
  </si>
  <si>
    <t>PEPSI BOTTLING GR</t>
  </si>
  <si>
    <t>PBG</t>
  </si>
  <si>
    <t>AMERIPRISE FINANC</t>
  </si>
  <si>
    <t>AMP</t>
  </si>
  <si>
    <t>ILL TOOL WORKS IN</t>
  </si>
  <si>
    <t>ITW</t>
  </si>
  <si>
    <t>BEMIS CO INC</t>
  </si>
  <si>
    <t>BMS</t>
  </si>
  <si>
    <t>OMNICOM GP INC</t>
  </si>
  <si>
    <t>OMC</t>
  </si>
  <si>
    <t>AMEREN CP</t>
  </si>
  <si>
    <t>AEE</t>
  </si>
  <si>
    <t>DU PONT E I DE NE</t>
  </si>
  <si>
    <t>DD</t>
  </si>
  <si>
    <t xml:space="preserve">VULCAN MATERIALS </t>
  </si>
  <si>
    <t>VMC</t>
  </si>
  <si>
    <t>DUKE ENERGY CP HL</t>
  </si>
  <si>
    <t>DUK</t>
  </si>
  <si>
    <t>NISOURCE INC HLDG</t>
  </si>
  <si>
    <t>NI</t>
  </si>
  <si>
    <t>WASTE MGMT INC</t>
  </si>
  <si>
    <t>WMI</t>
  </si>
  <si>
    <t>XCEL ENERGY INC</t>
  </si>
  <si>
    <t>XEL</t>
  </si>
  <si>
    <t>ASHLAND INC (NEW)</t>
  </si>
  <si>
    <t>ASH</t>
  </si>
  <si>
    <t>HASBRO INC</t>
  </si>
  <si>
    <t>HAS</t>
  </si>
  <si>
    <t>AMGEN</t>
  </si>
  <si>
    <t>AMGN</t>
  </si>
  <si>
    <t>PROLOGIS SBI</t>
  </si>
  <si>
    <t>PLD</t>
  </si>
  <si>
    <t>GOODRICH CORPORAT</t>
  </si>
  <si>
    <t>GR</t>
  </si>
  <si>
    <t>FEDERATED INV INC</t>
  </si>
  <si>
    <t>FII</t>
  </si>
  <si>
    <t>CITIZEN COMM CO</t>
  </si>
  <si>
    <t>CZN</t>
  </si>
  <si>
    <t>KIMBERLY CLARK CP</t>
  </si>
  <si>
    <t>KMB</t>
  </si>
  <si>
    <t>EDISON INTL</t>
  </si>
  <si>
    <t>EIX</t>
  </si>
  <si>
    <t>TEXAS INSTRUMENTS</t>
  </si>
  <si>
    <t>TXN</t>
  </si>
  <si>
    <t>HEWLETT PACKARD C</t>
  </si>
  <si>
    <t>HPQ</t>
  </si>
  <si>
    <t>AMERISOURCEBERGEN</t>
  </si>
  <si>
    <t>ABC</t>
  </si>
  <si>
    <t>SPECTRA ENERGY</t>
  </si>
  <si>
    <t>SE</t>
  </si>
  <si>
    <t>NORFOLK SO CP</t>
  </si>
  <si>
    <t>NSC</t>
  </si>
  <si>
    <t>NATL CITY CP</t>
  </si>
  <si>
    <t>NCC</t>
  </si>
  <si>
    <t>TARGET CP</t>
  </si>
  <si>
    <t>TGT</t>
  </si>
  <si>
    <t>INTL FLAVORS FRAG</t>
  </si>
  <si>
    <t>IFF</t>
  </si>
  <si>
    <t>RALPH LAUREN POLO</t>
  </si>
  <si>
    <t>RL</t>
  </si>
  <si>
    <t>NOBLE ENERGY INC</t>
  </si>
  <si>
    <t>NBL</t>
  </si>
  <si>
    <t>GEN MILLS INC</t>
  </si>
  <si>
    <t>GIS</t>
  </si>
  <si>
    <t>BAKER HUGHES INTL</t>
  </si>
  <si>
    <t>BHI</t>
  </si>
  <si>
    <t>STAPLES INC</t>
  </si>
  <si>
    <t>SPLS</t>
  </si>
  <si>
    <t>CAMPBELL SOUP CO</t>
  </si>
  <si>
    <t>CPB</t>
  </si>
  <si>
    <t>SOUTHERN CO</t>
  </si>
  <si>
    <t>SO</t>
  </si>
  <si>
    <t>MICROSOFT CP</t>
  </si>
  <si>
    <t>MSFT</t>
  </si>
  <si>
    <t>AMER ELECTRIC POW</t>
  </si>
  <si>
    <t>AEP</t>
  </si>
  <si>
    <t>AVERY DENNISON CP</t>
  </si>
  <si>
    <t>AVY</t>
  </si>
  <si>
    <t>APACHE CP</t>
  </si>
  <si>
    <t>APA</t>
  </si>
  <si>
    <t>U S T INC</t>
  </si>
  <si>
    <t>UST</t>
  </si>
  <si>
    <t>INTL BUSINESS MAC</t>
  </si>
  <si>
    <t>IBM</t>
  </si>
  <si>
    <t>GEN DYNAMICS CP</t>
  </si>
  <si>
    <t>GD</t>
  </si>
  <si>
    <t>SYSCO CP</t>
  </si>
  <si>
    <t>SYY</t>
  </si>
  <si>
    <t>COACH INC</t>
  </si>
  <si>
    <t>COH</t>
  </si>
  <si>
    <t>KL A-TENCOR CP</t>
  </si>
  <si>
    <t>KLAC</t>
  </si>
  <si>
    <t>NATL SEMICONDUCTO</t>
  </si>
  <si>
    <t>NSM</t>
  </si>
  <si>
    <t>PUB ENTRPR GP</t>
  </si>
  <si>
    <t>PEG</t>
  </si>
  <si>
    <t>NEWS CORP CL A</t>
  </si>
  <si>
    <t>NWS-A</t>
  </si>
  <si>
    <t>CLOROX CO</t>
  </si>
  <si>
    <t>CLX</t>
  </si>
  <si>
    <t xml:space="preserve">COCA COLA ENTRPR </t>
  </si>
  <si>
    <t>CCE</t>
  </si>
  <si>
    <t>COMPUWARE CORP</t>
  </si>
  <si>
    <t>CPWR</t>
  </si>
  <si>
    <t>UNITED TECH</t>
  </si>
  <si>
    <t>UTX</t>
  </si>
  <si>
    <t>AON CORP</t>
  </si>
  <si>
    <t>AOC</t>
  </si>
  <si>
    <t>PRECISION CASTPAR</t>
  </si>
  <si>
    <t>PCP</t>
  </si>
  <si>
    <t>TEXTRON INC</t>
  </si>
  <si>
    <t>TXT</t>
  </si>
  <si>
    <t>MCKESSON CORP</t>
  </si>
  <si>
    <t>MCK</t>
  </si>
  <si>
    <t>SNAP ON INC</t>
  </si>
  <si>
    <t>SNA</t>
  </si>
  <si>
    <t>GRAINGER W W INC</t>
  </si>
  <si>
    <t>GWW</t>
  </si>
  <si>
    <t>SARA LEE CP</t>
  </si>
  <si>
    <t>SLE</t>
  </si>
  <si>
    <t>EQUIFAX INC</t>
  </si>
  <si>
    <t>EFX</t>
  </si>
  <si>
    <t>WALGREEN CO</t>
  </si>
  <si>
    <t>WAG</t>
  </si>
  <si>
    <t>APPLIED MATERIALS</t>
  </si>
  <si>
    <t>AMAT</t>
  </si>
  <si>
    <t>PRINCIPAL FINL GR</t>
  </si>
  <si>
    <t>PFG</t>
  </si>
  <si>
    <t>WEYERHAEUSER CO</t>
  </si>
  <si>
    <t>WY</t>
  </si>
  <si>
    <t>MEADWESTVACO CORP</t>
  </si>
  <si>
    <t>MWV</t>
  </si>
  <si>
    <t>ANHEUSER BUSCH</t>
  </si>
  <si>
    <t>BUD</t>
  </si>
  <si>
    <t>BALL CP</t>
  </si>
  <si>
    <t>BLL</t>
  </si>
  <si>
    <t xml:space="preserve">ROCKWELL COLLINS </t>
  </si>
  <si>
    <t>COL</t>
  </si>
  <si>
    <t>FIRSTENERGY CP</t>
  </si>
  <si>
    <t>FE</t>
  </si>
  <si>
    <t xml:space="preserve">SUN MICROSYSTEMS </t>
  </si>
  <si>
    <t>JAVA</t>
  </si>
  <si>
    <t>PFIZER INC</t>
  </si>
  <si>
    <t>PFE</t>
  </si>
  <si>
    <t>APPLERA CORP-APPL</t>
  </si>
  <si>
    <t>ABI</t>
  </si>
  <si>
    <t>SEARS HLDGS CORP</t>
  </si>
  <si>
    <t>SHLD</t>
  </si>
  <si>
    <t>INTEL CP</t>
  </si>
  <si>
    <t>INTC</t>
  </si>
  <si>
    <t>DANAHER CP</t>
  </si>
  <si>
    <t>DHR</t>
  </si>
  <si>
    <t>GAP INC</t>
  </si>
  <si>
    <t>GPS</t>
  </si>
  <si>
    <t>HONEYWELL INTL IN</t>
  </si>
  <si>
    <t>HON</t>
  </si>
  <si>
    <t>ROHM   HAAS CO</t>
  </si>
  <si>
    <t>ROH</t>
  </si>
  <si>
    <t>CISCO SYS INC</t>
  </si>
  <si>
    <t>CSCO</t>
  </si>
  <si>
    <t>WAL MART STORES</t>
  </si>
  <si>
    <t>WMT</t>
  </si>
  <si>
    <t>HESS CP</t>
  </si>
  <si>
    <t>HES</t>
  </si>
  <si>
    <t>JOHNSON AND JOHNS</t>
  </si>
  <si>
    <t>JNJ</t>
  </si>
  <si>
    <t xml:space="preserve">ALLIED WASTE IND </t>
  </si>
  <si>
    <t>AW</t>
  </si>
  <si>
    <t>MARRIOT INT CL A</t>
  </si>
  <si>
    <t>MAR</t>
  </si>
  <si>
    <t>MASCO CP</t>
  </si>
  <si>
    <t>MAS</t>
  </si>
  <si>
    <t>EMERSON ELEC CO</t>
  </si>
  <si>
    <t>EMR</t>
  </si>
  <si>
    <t>NIKE INC CL B</t>
  </si>
  <si>
    <t>NKE</t>
  </si>
  <si>
    <t>L-3 COMM HLDGS IN</t>
  </si>
  <si>
    <t>LLL</t>
  </si>
  <si>
    <t>CORNING INC</t>
  </si>
  <si>
    <t>GLW</t>
  </si>
  <si>
    <t>HEINZ H J CO</t>
  </si>
  <si>
    <t>HNZ</t>
  </si>
  <si>
    <t>EMC CP</t>
  </si>
  <si>
    <t>EMC</t>
  </si>
  <si>
    <t>VERIZON COMMUN</t>
  </si>
  <si>
    <t>VZ</t>
  </si>
  <si>
    <t>AMER INTL GROUP I</t>
  </si>
  <si>
    <t>AIG</t>
  </si>
  <si>
    <t>T J X COS INC</t>
  </si>
  <si>
    <t>TJX</t>
  </si>
  <si>
    <t>XTO ENERGY INC</t>
  </si>
  <si>
    <t>XTO</t>
  </si>
  <si>
    <t>WESTERN UNION COM</t>
  </si>
  <si>
    <t>WU</t>
  </si>
  <si>
    <t>BURLINGTN N SANTE</t>
  </si>
  <si>
    <t>BNI</t>
  </si>
  <si>
    <t>NATL OILWELL VARC</t>
  </si>
  <si>
    <t>NOV</t>
  </si>
  <si>
    <t>TERADATA CORP</t>
  </si>
  <si>
    <t>TDC</t>
  </si>
  <si>
    <t>STARWOOD HOTELS&amp;R</t>
  </si>
  <si>
    <t>HOT</t>
  </si>
  <si>
    <t>DISCOVER FIN SVCS</t>
  </si>
  <si>
    <t>DFS</t>
  </si>
  <si>
    <t>LABORATORY CORP N</t>
  </si>
  <si>
    <t>LH</t>
  </si>
  <si>
    <t>TIFFANY AND CO</t>
  </si>
  <si>
    <t>TIF</t>
  </si>
  <si>
    <t>CHESAPEAKE ENERGY</t>
  </si>
  <si>
    <t>CHK</t>
  </si>
  <si>
    <t>AFFILIATED COMP S</t>
  </si>
  <si>
    <t>ACS</t>
  </si>
  <si>
    <t>FISERV INC</t>
  </si>
  <si>
    <t>FISV</t>
  </si>
  <si>
    <t>UNION PACIFIC</t>
  </si>
  <si>
    <t>UNP</t>
  </si>
  <si>
    <t>KRAFT FOODS INC</t>
  </si>
  <si>
    <t>KFT</t>
  </si>
  <si>
    <t>AGILENT TECH INC</t>
  </si>
  <si>
    <t>A</t>
  </si>
  <si>
    <t>LILLY ELI CO</t>
  </si>
  <si>
    <t>LLY</t>
  </si>
  <si>
    <t>IMS HEALTH INC</t>
  </si>
  <si>
    <t>RX</t>
  </si>
  <si>
    <t>AT&amp;T INC.</t>
  </si>
  <si>
    <t>T</t>
  </si>
  <si>
    <t>KELLOGG CO</t>
  </si>
  <si>
    <t>K</t>
  </si>
  <si>
    <t>EASTMAN CHEM CO</t>
  </si>
  <si>
    <t>EMN</t>
  </si>
  <si>
    <t>C S X CP</t>
  </si>
  <si>
    <t>CSX</t>
  </si>
  <si>
    <t>STARBUCKS CP</t>
  </si>
  <si>
    <t>SBUX</t>
  </si>
  <si>
    <t>XILINX INC</t>
  </si>
  <si>
    <t>XLNX</t>
  </si>
  <si>
    <t>ENTERGY CP</t>
  </si>
  <si>
    <t>ETR</t>
  </si>
  <si>
    <t>BANK OF NY MELLON</t>
  </si>
  <si>
    <t>BK</t>
  </si>
  <si>
    <t>BRISTOL MYERS SQI</t>
  </si>
  <si>
    <t>BMY</t>
  </si>
  <si>
    <t>AUTOMATIC DATA PR</t>
  </si>
  <si>
    <t>ADP</t>
  </si>
  <si>
    <t>MONSTER WORLDWIDE</t>
  </si>
  <si>
    <t>MNST</t>
  </si>
  <si>
    <t>MOLSON COORS CO C</t>
  </si>
  <si>
    <t>TAP</t>
  </si>
  <si>
    <t>UNITED STATES STE</t>
  </si>
  <si>
    <t>X</t>
  </si>
  <si>
    <t>F P L  GROUP INC</t>
  </si>
  <si>
    <t>FPL</t>
  </si>
  <si>
    <t xml:space="preserve">TOTAL SYSTEM SVC </t>
  </si>
  <si>
    <t>TSS</t>
  </si>
  <si>
    <t>DEERE CO</t>
  </si>
  <si>
    <t>DE</t>
  </si>
  <si>
    <t>AIR PRODUCTS CHEM</t>
  </si>
  <si>
    <t>APD</t>
  </si>
  <si>
    <t>CONSTELLATION ENG</t>
  </si>
  <si>
    <t>CEG</t>
  </si>
  <si>
    <t>STATE STREET CP</t>
  </si>
  <si>
    <t>STT</t>
  </si>
  <si>
    <t>AFLAC INC</t>
  </si>
  <si>
    <t>AFL</t>
  </si>
  <si>
    <t xml:space="preserve">ESTEE LAUDER COS </t>
  </si>
  <si>
    <t>EL</t>
  </si>
  <si>
    <t>QUALCOMM INC</t>
  </si>
  <si>
    <t>QCOM</t>
  </si>
  <si>
    <t>MEMC ELECTRONIC M</t>
  </si>
  <si>
    <t>WFR</t>
  </si>
  <si>
    <t>PATTERSON COMPANI</t>
  </si>
  <si>
    <t>PDCO</t>
  </si>
  <si>
    <t>WATERS CP</t>
  </si>
  <si>
    <t>WAT</t>
  </si>
  <si>
    <t>PITNEY BOWES INC</t>
  </si>
  <si>
    <t>PBI</t>
  </si>
  <si>
    <t>MCCORMICK &amp; CO</t>
  </si>
  <si>
    <t>MKC</t>
  </si>
  <si>
    <t>FOREST LABS CL A</t>
  </si>
  <si>
    <t>FRX</t>
  </si>
  <si>
    <t>CVS CAREMARK CP</t>
  </si>
  <si>
    <t>CVS</t>
  </si>
  <si>
    <t>ORACLE CORP</t>
  </si>
  <si>
    <t>ORCL</t>
  </si>
  <si>
    <t>PEPSICO INC</t>
  </si>
  <si>
    <t>PEP</t>
  </si>
  <si>
    <t>EXELON CORPORATIO</t>
  </si>
  <si>
    <t>EXC</t>
  </si>
  <si>
    <t xml:space="preserve">BECTON DICKINSON </t>
  </si>
  <si>
    <t>BDX</t>
  </si>
  <si>
    <t>NORTHERN TR CP</t>
  </si>
  <si>
    <t>NTRS</t>
  </si>
  <si>
    <t>THE DIRECTV GROUP</t>
  </si>
  <si>
    <t>DTV</t>
  </si>
  <si>
    <t>MOLEX INC</t>
  </si>
  <si>
    <t>MOLX</t>
  </si>
  <si>
    <t>QUESTAR CP</t>
  </si>
  <si>
    <t>STR</t>
  </si>
  <si>
    <t>PROCTER GAMBLE CO</t>
  </si>
  <si>
    <t>PG</t>
  </si>
  <si>
    <t>MICROCHIP TECH</t>
  </si>
  <si>
    <t>MCHP</t>
  </si>
  <si>
    <t>T ROWE PRICE GROU</t>
  </si>
  <si>
    <t>TROW</t>
  </si>
  <si>
    <t>LINEAR TECHNOLOGY</t>
  </si>
  <si>
    <t>LLTC</t>
  </si>
  <si>
    <t>INTUIT INC</t>
  </si>
  <si>
    <t>INTU</t>
  </si>
  <si>
    <t>AUTODESK INC</t>
  </si>
  <si>
    <t>ADSK</t>
  </si>
  <si>
    <t>B M C SOFTWARE</t>
  </si>
  <si>
    <t>BMC</t>
  </si>
  <si>
    <t xml:space="preserve">BROWN FORMAN INC </t>
  </si>
  <si>
    <t>BF-B</t>
  </si>
  <si>
    <t>PROGRESS ENERGY I</t>
  </si>
  <si>
    <t>PGN</t>
  </si>
  <si>
    <t xml:space="preserve">ALLEGHENY ENERGY </t>
  </si>
  <si>
    <t>AYE</t>
  </si>
  <si>
    <t>SMITH INTL INC</t>
  </si>
  <si>
    <t>SII</t>
  </si>
  <si>
    <t>SCHLUMBERGER LTD</t>
  </si>
  <si>
    <t>SLB</t>
  </si>
  <si>
    <t>DEAN FOODS CO</t>
  </si>
  <si>
    <t>DF</t>
  </si>
  <si>
    <t>WILLIAMS COS</t>
  </si>
  <si>
    <t>WMB</t>
  </si>
  <si>
    <t>ALTERA CP</t>
  </si>
  <si>
    <t>ALTR</t>
  </si>
  <si>
    <t>PERKIN ELMER INC</t>
  </si>
  <si>
    <t>PKI</t>
  </si>
  <si>
    <t>AVALONBAY CMTYS</t>
  </si>
  <si>
    <t>AVB</t>
  </si>
  <si>
    <t>APOLLO GP INC A</t>
  </si>
  <si>
    <t>APOL</t>
  </si>
  <si>
    <t>MURPHY OIL CP HLD</t>
  </si>
  <si>
    <t>MUR</t>
  </si>
  <si>
    <t>DEVELOPERS RLTY</t>
  </si>
  <si>
    <t>DDR</t>
  </si>
  <si>
    <t>CAMERON INTL CP</t>
  </si>
  <si>
    <t>CAM</t>
  </si>
  <si>
    <t>ABBOTT LABORATORI</t>
  </si>
  <si>
    <t>ABT</t>
  </si>
  <si>
    <t>WASHINGTN POST CO</t>
  </si>
  <si>
    <t>WPO</t>
  </si>
  <si>
    <t>YUM BRANDS INC</t>
  </si>
  <si>
    <t>YUM</t>
  </si>
  <si>
    <t>MORGAN STANLEY</t>
  </si>
  <si>
    <t>MS</t>
  </si>
  <si>
    <t>DARDEN RESTAURANT</t>
  </si>
  <si>
    <t>DRI</t>
  </si>
  <si>
    <t>BAXTER INTL INC</t>
  </si>
  <si>
    <t>BAX</t>
  </si>
  <si>
    <t>WATSON PHARMACEUT</t>
  </si>
  <si>
    <t>WPI</t>
  </si>
  <si>
    <t>KIMCO REALTY CP</t>
  </si>
  <si>
    <t>KIM</t>
  </si>
  <si>
    <t>WENDYS INTL INC</t>
  </si>
  <si>
    <t>WEN</t>
  </si>
  <si>
    <t>DYNEGY INC CL A N</t>
  </si>
  <si>
    <t>DYN</t>
  </si>
  <si>
    <t>ZIMMER HOLDINGS I</t>
  </si>
  <si>
    <t>ZMH</t>
  </si>
  <si>
    <t>COCA COLA CO THE</t>
  </si>
  <si>
    <t>KO</t>
  </si>
  <si>
    <t>PAYCHEX INC</t>
  </si>
  <si>
    <t>PAYX</t>
  </si>
  <si>
    <t>COMCAST CP A</t>
  </si>
  <si>
    <t>CMCSA</t>
  </si>
  <si>
    <t>VARIAN MED SYS IN</t>
  </si>
  <si>
    <t>VAR</t>
  </si>
  <si>
    <t>EXPEDIA</t>
  </si>
  <si>
    <t>EXPE</t>
  </si>
  <si>
    <t>PRAXAIR INC</t>
  </si>
  <si>
    <t>PX</t>
  </si>
  <si>
    <t>NYSE EURONEXT</t>
  </si>
  <si>
    <t>NYX</t>
  </si>
  <si>
    <t>BARD C R INC</t>
  </si>
  <si>
    <t>BCR</t>
  </si>
  <si>
    <t>INTL GAME TECH</t>
  </si>
  <si>
    <t>IGT</t>
  </si>
  <si>
    <t>LEUCADIA NATL CP</t>
  </si>
  <si>
    <t>LUK</t>
  </si>
  <si>
    <t>COLGATE PALMOLIVE</t>
  </si>
  <si>
    <t>CL</t>
  </si>
  <si>
    <t xml:space="preserve">COSTCO WHOLESALE </t>
  </si>
  <si>
    <t>COST</t>
  </si>
  <si>
    <t>QLOGIC CP</t>
  </si>
  <si>
    <t>QLGC</t>
  </si>
  <si>
    <t xml:space="preserve">WEATHERFORD INTL </t>
  </si>
  <si>
    <t>WFT</t>
  </si>
  <si>
    <t>PLUM CREEK TIM RE</t>
  </si>
  <si>
    <t>PCL</t>
  </si>
  <si>
    <t>MEDTRONIC INC</t>
  </si>
  <si>
    <t>MDT</t>
  </si>
  <si>
    <t>COGNIZANT TECH SO</t>
  </si>
  <si>
    <t>CTSH</t>
  </si>
  <si>
    <t>SIGMA ALDRICH CP</t>
  </si>
  <si>
    <t>SIAL</t>
  </si>
  <si>
    <t>TYSON FOODS INC C</t>
  </si>
  <si>
    <t>TSN</t>
  </si>
  <si>
    <t>NETAPP INC</t>
  </si>
  <si>
    <t>NTAP</t>
  </si>
  <si>
    <t>FLUOR CP (NEW)</t>
  </si>
  <si>
    <t>FLR</t>
  </si>
  <si>
    <t>STRYKER CP</t>
  </si>
  <si>
    <t>SYK</t>
  </si>
  <si>
    <t>XL CAPITAL LTD</t>
  </si>
  <si>
    <t>XL</t>
  </si>
  <si>
    <t>MILLIPORE CP</t>
  </si>
  <si>
    <t>MIL</t>
  </si>
  <si>
    <t>ADOBE SYSTEMS INC</t>
  </si>
  <si>
    <t>ADBE</t>
  </si>
  <si>
    <t>QUEST DIAGNOSTC</t>
  </si>
  <si>
    <t>DGX</t>
  </si>
  <si>
    <t>ECOLAB INC</t>
  </si>
  <si>
    <t>ECL</t>
  </si>
  <si>
    <t>SANDISK CP</t>
  </si>
  <si>
    <t>SNDK</t>
  </si>
  <si>
    <t>WHOLE FOODS MARKT</t>
  </si>
  <si>
    <t>WFMI</t>
  </si>
  <si>
    <t>CITRIX SYSTEMS</t>
  </si>
  <si>
    <t>CTXS</t>
  </si>
  <si>
    <t>VORNADO REALTY TR</t>
  </si>
  <si>
    <t>VNO</t>
  </si>
  <si>
    <t>MEDCOHEALTH SOLUT</t>
  </si>
  <si>
    <t>MHS</t>
  </si>
  <si>
    <t>WRIGLEY WM JR CO</t>
  </si>
  <si>
    <t>WWY</t>
  </si>
  <si>
    <t>ST. JUDE MEDICAL</t>
  </si>
  <si>
    <t>STJ</t>
  </si>
  <si>
    <t>MERCK CO INC</t>
  </si>
  <si>
    <t>MRK</t>
  </si>
  <si>
    <t>MCDONALDS CP</t>
  </si>
  <si>
    <t>MCD</t>
  </si>
  <si>
    <t>CA INC</t>
  </si>
  <si>
    <t>CA</t>
  </si>
  <si>
    <t>JACOBS ENGINEERNG</t>
  </si>
  <si>
    <t>JEC</t>
  </si>
  <si>
    <t>TERADYNE INC</t>
  </si>
  <si>
    <t>TER</t>
  </si>
  <si>
    <t>PALL CP</t>
  </si>
  <si>
    <t>PLL</t>
  </si>
  <si>
    <t>INTERPUBLIC GROUP</t>
  </si>
  <si>
    <t>IPG</t>
  </si>
  <si>
    <t>CIENA CORP</t>
  </si>
  <si>
    <t>CIEN</t>
  </si>
  <si>
    <t xml:space="preserve">HUDSON CITY BNCP </t>
  </si>
  <si>
    <t>HCBK</t>
  </si>
  <si>
    <t>EOG RESOURCES INC</t>
  </si>
  <si>
    <t>EOG</t>
  </si>
  <si>
    <t>EXPRESS SCRIPTS C</t>
  </si>
  <si>
    <t>ESRX</t>
  </si>
  <si>
    <t>GILEAD SCIENCES</t>
  </si>
  <si>
    <t>GILD</t>
  </si>
  <si>
    <t>THERMO FISHER SCI</t>
  </si>
  <si>
    <t>TMO</t>
  </si>
  <si>
    <t>C.H. ROBINSON WW</t>
  </si>
  <si>
    <t>CHRW</t>
  </si>
  <si>
    <t>DILLARD'S INC</t>
  </si>
  <si>
    <t>DDS</t>
  </si>
  <si>
    <t>CITIGROUP INC</t>
  </si>
  <si>
    <t>C</t>
  </si>
  <si>
    <t>GAMESTOP CORP</t>
  </si>
  <si>
    <t>GME</t>
  </si>
  <si>
    <t>GEN GROWTH PROP I</t>
  </si>
  <si>
    <t>GGP</t>
  </si>
  <si>
    <t xml:space="preserve">CME GROUP INC CL </t>
  </si>
  <si>
    <t>CME</t>
  </si>
  <si>
    <t>APPLE INC</t>
  </si>
  <si>
    <t>AAPL</t>
  </si>
  <si>
    <t>BIOGEN IDEC INC</t>
  </si>
  <si>
    <t>BIIB</t>
  </si>
  <si>
    <t>TRANE INC.</t>
  </si>
  <si>
    <t>TT</t>
  </si>
  <si>
    <t>AVON PRODUCTS INC</t>
  </si>
  <si>
    <t>AVP</t>
  </si>
  <si>
    <t>GOOGLE</t>
  </si>
  <si>
    <t>GOOG</t>
  </si>
  <si>
    <t>ALLERGAN INC</t>
  </si>
  <si>
    <t>AGN</t>
  </si>
  <si>
    <t>HCP</t>
  </si>
  <si>
    <t xml:space="preserve">JANUS CAP GP CMN </t>
  </si>
  <si>
    <t>JNS</t>
  </si>
  <si>
    <t>JUNIPER NETWORKS</t>
  </si>
  <si>
    <t>JNPR</t>
  </si>
  <si>
    <t>JABIL CIRCUIT INC</t>
  </si>
  <si>
    <t>JBL</t>
  </si>
  <si>
    <t>HUNTINGTON BCSHS</t>
  </si>
  <si>
    <t>HBAN</t>
  </si>
  <si>
    <t>EXPEDITORS INTL</t>
  </si>
  <si>
    <t>EXPD</t>
  </si>
  <si>
    <t>TELLABS INC</t>
  </si>
  <si>
    <t>TLAB</t>
  </si>
  <si>
    <t>THE HERSHEY COMPA</t>
  </si>
  <si>
    <t>HSY</t>
  </si>
  <si>
    <t>MONSANTO COMPANY</t>
  </si>
  <si>
    <t>MON</t>
  </si>
  <si>
    <t>GENZYME CORPORATI</t>
  </si>
  <si>
    <t>GENZ</t>
  </si>
  <si>
    <t>BARR PHARMA INC</t>
  </si>
  <si>
    <t>BRL</t>
  </si>
  <si>
    <t>INTERCNTNTL EXCHA</t>
  </si>
  <si>
    <t>ICE</t>
  </si>
  <si>
    <t>RANGE RES CORP</t>
  </si>
  <si>
    <t>RRC</t>
  </si>
  <si>
    <t>SYMANTEC CP</t>
  </si>
  <si>
    <t>SYMC</t>
  </si>
  <si>
    <t>HOSPIRA INC</t>
  </si>
  <si>
    <t>HSP</t>
  </si>
  <si>
    <t>SIMON PPTY GRP IN</t>
  </si>
  <si>
    <t>SPG</t>
  </si>
  <si>
    <t>AKAMAI TECH INC</t>
  </si>
  <si>
    <t>AKAM</t>
  </si>
  <si>
    <t>CONS ENERGY INC</t>
  </si>
  <si>
    <t>CNX</t>
  </si>
  <si>
    <t xml:space="preserve">BROADCOM CORP CL </t>
  </si>
  <si>
    <t>BRCM</t>
  </si>
  <si>
    <t>YAHOO INC</t>
  </si>
  <si>
    <t>YHOO</t>
  </si>
  <si>
    <t>AMAZON.COM INC</t>
  </si>
  <si>
    <t>AMZN</t>
  </si>
  <si>
    <t>PEABODY ENERGY CO</t>
  </si>
  <si>
    <t>BTU</t>
  </si>
  <si>
    <t>PUBLIC STG</t>
  </si>
  <si>
    <t>PSA</t>
  </si>
  <si>
    <t>CELGENE CP</t>
  </si>
  <si>
    <t>CELG</t>
  </si>
  <si>
    <t>EBAY INC</t>
  </si>
  <si>
    <t>EBAY</t>
  </si>
  <si>
    <t>TYCO ELECTRONICS</t>
  </si>
  <si>
    <t>TEL</t>
  </si>
  <si>
    <t>UNITED PARCEL SVC</t>
  </si>
  <si>
    <t>UPS</t>
  </si>
  <si>
    <t>AMER TOWER CP</t>
  </si>
  <si>
    <t>AMT</t>
  </si>
  <si>
    <t>E*TRADE FINL CORP</t>
  </si>
  <si>
    <t>ETFC</t>
  </si>
  <si>
    <t>UNISYS CP</t>
  </si>
  <si>
    <t>UIS</t>
  </si>
  <si>
    <t>COUNTRYWIDE FNL C</t>
  </si>
  <si>
    <t>CFC</t>
  </si>
  <si>
    <t>AMBAC FINL GRP IN</t>
  </si>
  <si>
    <t>ABK</t>
  </si>
  <si>
    <t>TENET HLTHCRE CP</t>
  </si>
  <si>
    <t>THC</t>
  </si>
  <si>
    <t>LSI CORPORATION</t>
  </si>
  <si>
    <t>LSI</t>
  </si>
  <si>
    <t>ADV MICRO DEVICES</t>
  </si>
  <si>
    <t>AMD</t>
  </si>
  <si>
    <t>NOVELL INC</t>
  </si>
  <si>
    <t>NOVL</t>
  </si>
  <si>
    <t>SPRINT  NXTEL CP</t>
  </si>
  <si>
    <t>S</t>
  </si>
  <si>
    <t>MICRON TECHNOLOGY</t>
  </si>
  <si>
    <t>MU</t>
  </si>
  <si>
    <t>FORD MOTOR CO</t>
  </si>
  <si>
    <t>F</t>
  </si>
  <si>
    <t>SOVEREIGN BANCORP</t>
  </si>
  <si>
    <t>SOV</t>
  </si>
  <si>
    <t>MOTOROLA INC</t>
  </si>
  <si>
    <t>MOT</t>
  </si>
  <si>
    <t>M G I C INVEST CP</t>
  </si>
  <si>
    <t>MTG</t>
  </si>
  <si>
    <t>WASHINGTON MUTUAL</t>
  </si>
  <si>
    <t>WM</t>
  </si>
  <si>
    <t>CIT GROUP INC (DE</t>
  </si>
  <si>
    <t>CIT</t>
  </si>
  <si>
    <t>M B I A INC</t>
  </si>
  <si>
    <t>MBI</t>
  </si>
  <si>
    <t>FIRST HORIZON NTL</t>
  </si>
  <si>
    <t>FHN</t>
  </si>
  <si>
    <t>BOSTON SCIENTIFIC</t>
  </si>
  <si>
    <t>BSX</t>
  </si>
  <si>
    <t>MYLAN INC</t>
  </si>
  <si>
    <t>MYL</t>
  </si>
  <si>
    <t>JDS UNIPHASE CP</t>
  </si>
  <si>
    <t>JDSU</t>
  </si>
  <si>
    <t>CMS ENERGY CP</t>
  </si>
  <si>
    <t>CMS</t>
  </si>
  <si>
    <t>LEGGETT PLATT INC</t>
  </si>
  <si>
    <t>LEG</t>
  </si>
  <si>
    <t>D R HORTON INC</t>
  </si>
  <si>
    <t>DHI</t>
  </si>
  <si>
    <t>SCHERING PLOUGH C</t>
  </si>
  <si>
    <t>SGP</t>
  </si>
  <si>
    <t>LIZ CLAIBORNE INC</t>
  </si>
  <si>
    <t>LIZ</t>
  </si>
  <si>
    <t>LENNAR CP CL A</t>
  </si>
  <si>
    <t>LEN</t>
  </si>
  <si>
    <t>SLM CORPORATION</t>
  </si>
  <si>
    <t>SLM</t>
  </si>
  <si>
    <t>AES CORPORATION</t>
  </si>
  <si>
    <t>AES</t>
  </si>
  <si>
    <t>CONSTELLATION BRD</t>
  </si>
  <si>
    <t>STZ</t>
  </si>
  <si>
    <t>GEN MOTORS</t>
  </si>
  <si>
    <t>GM</t>
  </si>
  <si>
    <t>IAC/INTERACTIVE</t>
  </si>
  <si>
    <t>IACI</t>
  </si>
  <si>
    <t>IAC/InterActiveCo</t>
  </si>
  <si>
    <t>H R BLOCK INC</t>
  </si>
  <si>
    <t>HRB</t>
  </si>
  <si>
    <t>CENTEX CP</t>
  </si>
  <si>
    <t>CTX</t>
  </si>
  <si>
    <t>KB HOME</t>
  </si>
  <si>
    <t>KBH</t>
  </si>
  <si>
    <t>FREDDIE MAC</t>
  </si>
  <si>
    <t>FRE</t>
  </si>
  <si>
    <t>FANNIE MAE</t>
  </si>
  <si>
    <t>FNM</t>
  </si>
  <si>
    <t>RR DONNELLEY SONS</t>
  </si>
  <si>
    <t>RRD</t>
  </si>
  <si>
    <t>VERISIGN INC</t>
  </si>
  <si>
    <t>VRSN</t>
  </si>
  <si>
    <t xml:space="preserve">APT INV &amp; MNGMNT </t>
  </si>
  <si>
    <t>AIV</t>
  </si>
  <si>
    <t>E W SCRIPPS CL A</t>
  </si>
  <si>
    <t>SSP</t>
  </si>
  <si>
    <t>ML CO CMN STK</t>
  </si>
  <si>
    <t>MER</t>
  </si>
  <si>
    <t>COVIDIEN LTD</t>
  </si>
  <si>
    <t>COV</t>
  </si>
  <si>
    <t>TYCO INTL  LTD NE</t>
  </si>
  <si>
    <t>TYC</t>
  </si>
  <si>
    <t>NEWMONT MIN CP (H</t>
  </si>
  <si>
    <t>NEM</t>
  </si>
  <si>
    <t>ELECTRONIC ARTS</t>
  </si>
  <si>
    <t>ERTS</t>
  </si>
  <si>
    <t>1yr target price</t>
  </si>
  <si>
    <t>^GSPC</t>
  </si>
  <si>
    <t>10-DAYS LOWS</t>
  </si>
  <si>
    <t>symbol</t>
  </si>
  <si>
    <t>Philip Morris Int</t>
  </si>
  <si>
    <t>Ingersoll-Rand pl</t>
  </si>
  <si>
    <t>Valero Energy Cor</t>
  </si>
  <si>
    <t>Marsh &amp; McLennan</t>
  </si>
  <si>
    <t>Windstream Corpor</t>
  </si>
  <si>
    <t>Allstate Corporat</t>
  </si>
  <si>
    <t>Tesoro Corporatio</t>
  </si>
  <si>
    <t>Officemax Incorpo</t>
  </si>
  <si>
    <t>Chubb Corporation</t>
  </si>
  <si>
    <t>The Travelers Com</t>
  </si>
  <si>
    <t>DTE Energy Compan</t>
  </si>
  <si>
    <t>Rockwell Automati</t>
  </si>
  <si>
    <t>Ace Limited Commo</t>
  </si>
  <si>
    <t>Cincinnati Financ</t>
  </si>
  <si>
    <t>Comerica Incorpor</t>
  </si>
  <si>
    <t>Goldman Sachs Gro</t>
  </si>
  <si>
    <t>Hartford Financia</t>
  </si>
  <si>
    <t>J.C. Penney Compa</t>
  </si>
  <si>
    <t>Marathon Oil Corp</t>
  </si>
  <si>
    <t>Anadarko Petroleu</t>
  </si>
  <si>
    <t>Genworth Financia</t>
  </si>
  <si>
    <t>American Capital,</t>
  </si>
  <si>
    <t>Boston Properties</t>
  </si>
  <si>
    <t>Wyndham Worldwide</t>
  </si>
  <si>
    <t>Radioshack Corpor</t>
  </si>
  <si>
    <t>Humana Inc. Commo</t>
  </si>
  <si>
    <t>Zions Bancorporat</t>
  </si>
  <si>
    <t>Harley-Davidson,</t>
  </si>
  <si>
    <t>JP Morgan Chase &amp;</t>
  </si>
  <si>
    <t>Fifth Third Banco</t>
  </si>
  <si>
    <t>KeyCorp Common St</t>
  </si>
  <si>
    <t>Harman Internatio</t>
  </si>
  <si>
    <t>BB&amp;T Corporation</t>
  </si>
  <si>
    <t>Whirlpool Corpora</t>
  </si>
  <si>
    <t>Prudential Financ</t>
  </si>
  <si>
    <t>International Pap</t>
  </si>
  <si>
    <t>Charles Schwab Co</t>
  </si>
  <si>
    <t>Allegheny Technol</t>
  </si>
  <si>
    <t>Chevron Corporati</t>
  </si>
  <si>
    <t>Lexmark Internati</t>
  </si>
  <si>
    <t>Transocean Ltd (S</t>
  </si>
  <si>
    <t>Coventry Health C</t>
  </si>
  <si>
    <t>Meredith Corporat</t>
  </si>
  <si>
    <t>Bank of America C</t>
  </si>
  <si>
    <t>UnitedHealth Grou</t>
  </si>
  <si>
    <t>Nabors Industries</t>
  </si>
  <si>
    <t>Raytheon Company</t>
  </si>
  <si>
    <t>Dominion Resource</t>
  </si>
  <si>
    <t>Torchmark Corpora</t>
  </si>
  <si>
    <t>ConocoPhillips Co</t>
  </si>
  <si>
    <t>Terex Corporation</t>
  </si>
  <si>
    <t>Lincoln National</t>
  </si>
  <si>
    <t>Sherwin-Williams</t>
  </si>
  <si>
    <t>Regions Financial</t>
  </si>
  <si>
    <t>SuperValu Inc. Co</t>
  </si>
  <si>
    <t>Progressive Corpo</t>
  </si>
  <si>
    <t>Capital One Finan</t>
  </si>
  <si>
    <t>Macy's Inc Common</t>
  </si>
  <si>
    <t>Wells Fargo &amp; Com</t>
  </si>
  <si>
    <t>Computer Sciences</t>
  </si>
  <si>
    <t>Equity Residentia</t>
  </si>
  <si>
    <t>Consolidated Edis</t>
  </si>
  <si>
    <t>Unum Group Common</t>
  </si>
  <si>
    <t>Pinnacle West Cap</t>
  </si>
  <si>
    <t>Stanley Black &amp; D</t>
  </si>
  <si>
    <t>Halliburton Compa</t>
  </si>
  <si>
    <t>CBS Corporation C</t>
  </si>
  <si>
    <t>Aetna Inc. Common</t>
  </si>
  <si>
    <t>Noble Corporation</t>
  </si>
  <si>
    <t>Xerox Corporation</t>
  </si>
  <si>
    <t>Time Warner Inc.</t>
  </si>
  <si>
    <t>Fidelity National</t>
  </si>
  <si>
    <t>Eaton Corporation</t>
  </si>
  <si>
    <t>Occidental Petrol</t>
  </si>
  <si>
    <t>Brunswick Corpora</t>
  </si>
  <si>
    <t>Convergys Corpora</t>
  </si>
  <si>
    <t>Exxon Mobil Corpo</t>
  </si>
  <si>
    <t>Host Hotels &amp; Res</t>
  </si>
  <si>
    <t>McGraw-Hill Compa</t>
  </si>
  <si>
    <t>Cardinal Health,</t>
  </si>
  <si>
    <t>Exceed Company Lt</t>
  </si>
  <si>
    <t>Dow Chemical Comp</t>
  </si>
  <si>
    <t>Archer-Daniels-Mi</t>
  </si>
  <si>
    <t>American Express</t>
  </si>
  <si>
    <t>Cummins Inc. Comm</t>
  </si>
  <si>
    <t>Lowe's Companies,</t>
  </si>
  <si>
    <t>Reynolds American</t>
  </si>
  <si>
    <t>Kohl's Corporatio</t>
  </si>
  <si>
    <t>Robert Half Inter</t>
  </si>
  <si>
    <t>CenterPoint Energ</t>
  </si>
  <si>
    <t>Franklin Resource</t>
  </si>
  <si>
    <t>Newell Rubbermaid</t>
  </si>
  <si>
    <t>Family Dollar Sto</t>
  </si>
  <si>
    <t>Cintas Corporatio</t>
  </si>
  <si>
    <t>U.S. Bancorp Comm</t>
  </si>
  <si>
    <t>New York Times Co</t>
  </si>
  <si>
    <t>Sempra Energy Com</t>
  </si>
  <si>
    <t>Dover Corporation</t>
  </si>
  <si>
    <t>Carnival Corporat</t>
  </si>
  <si>
    <t>Alcoa Inc. Common</t>
  </si>
  <si>
    <t>Abercrombie &amp; Fit</t>
  </si>
  <si>
    <t>Manitowoc Company</t>
  </si>
  <si>
    <t>PACCAR Inc.</t>
  </si>
  <si>
    <t>Genuine Parts Com</t>
  </si>
  <si>
    <t>Integrys Energy G</t>
  </si>
  <si>
    <t>NVIDIA Corporatio</t>
  </si>
  <si>
    <t>Moody's Corporati</t>
  </si>
  <si>
    <t>Dell Inc.</t>
  </si>
  <si>
    <t>Nucor Corporation</t>
  </si>
  <si>
    <t>Sealed Air Corpor</t>
  </si>
  <si>
    <t>Northrop Grumman</t>
  </si>
  <si>
    <t>Pacific Gas &amp; Ele</t>
  </si>
  <si>
    <t>Freeport-McMoRan</t>
  </si>
  <si>
    <t>Safeway Inc. Comm</t>
  </si>
  <si>
    <t>3M Company Common</t>
  </si>
  <si>
    <t>Kroger Company (T</t>
  </si>
  <si>
    <t>Devon Energy Corp</t>
  </si>
  <si>
    <t>Bed Bath &amp; Beyond</t>
  </si>
  <si>
    <t>PP&amp;L Corporation</t>
  </si>
  <si>
    <t>ITT Corporation C</t>
  </si>
  <si>
    <t>Boeing Company (T</t>
  </si>
  <si>
    <t>PNC Financial Ser</t>
  </si>
  <si>
    <t>Walt Disney Compa</t>
  </si>
  <si>
    <t>M&amp;T Bank Corporat</t>
  </si>
  <si>
    <t>V.F. Corporation</t>
  </si>
  <si>
    <t>Lockheed Martin C</t>
  </si>
  <si>
    <t>Parker-Hannifin C</t>
  </si>
  <si>
    <t>Southwest Airline</t>
  </si>
  <si>
    <t>General Electric</t>
  </si>
  <si>
    <t>FedEx Corporation</t>
  </si>
  <si>
    <t>Johnson Controls,</t>
  </si>
  <si>
    <t>Compania Cervecer</t>
  </si>
  <si>
    <t>Ameriprise Financ</t>
  </si>
  <si>
    <t>Illinois Tool Wor</t>
  </si>
  <si>
    <t>Omnicom Group Inc</t>
  </si>
  <si>
    <t>Ameren Corporatio</t>
  </si>
  <si>
    <t>E.I. du Pont de N</t>
  </si>
  <si>
    <t>Vulcan Materials</t>
  </si>
  <si>
    <t>Duke Energy Corpo</t>
  </si>
  <si>
    <t>NiSource Inc Comm</t>
  </si>
  <si>
    <t>Xcel Energy Inc.</t>
  </si>
  <si>
    <t>Ashland Inc. (NEW</t>
  </si>
  <si>
    <t>Amgen Inc.</t>
  </si>
  <si>
    <t>Federated Investo</t>
  </si>
  <si>
    <t>Kimberly-Clark Co</t>
  </si>
  <si>
    <t>Edison Internatio</t>
  </si>
  <si>
    <t>Texas Instruments</t>
  </si>
  <si>
    <t>Hewlett-Packard C</t>
  </si>
  <si>
    <t>AmerisourceBergen</t>
  </si>
  <si>
    <t>Spectra Energy Co</t>
  </si>
  <si>
    <t>Target Corporatio</t>
  </si>
  <si>
    <t>Internationa Flav</t>
  </si>
  <si>
    <t>Noble Energy Inc.</t>
  </si>
  <si>
    <t>Baker Hughes Inco</t>
  </si>
  <si>
    <t>Campbell Soup Com</t>
  </si>
  <si>
    <t>Southern Company</t>
  </si>
  <si>
    <t>Microsoft Corpora</t>
  </si>
  <si>
    <t>American Electric</t>
  </si>
  <si>
    <t>Avery Dennison Co</t>
  </si>
  <si>
    <t>Apache Corporatio</t>
  </si>
  <si>
    <t>International Bus</t>
  </si>
  <si>
    <t>General Dynamics</t>
  </si>
  <si>
    <t>Sysco Corporation</t>
  </si>
  <si>
    <t>KLA-Tencor Corpor</t>
  </si>
  <si>
    <t>Public Service En</t>
  </si>
  <si>
    <t>Clorox Company (T</t>
  </si>
  <si>
    <t>Coca-Cola Enterpr</t>
  </si>
  <si>
    <t>Compuware Corpora</t>
  </si>
  <si>
    <t>United Technologi</t>
  </si>
  <si>
    <t>Precision Castpar</t>
  </si>
  <si>
    <t>Textron Inc. Comm</t>
  </si>
  <si>
    <t>McKesson Corporat</t>
  </si>
  <si>
    <t>Snap-On Incorpora</t>
  </si>
  <si>
    <t>Applied Materials</t>
  </si>
  <si>
    <t>Principal Financi</t>
  </si>
  <si>
    <t>Weyerhaeuser Comp</t>
  </si>
  <si>
    <t>Meadwestvaco Corp</t>
  </si>
  <si>
    <t>Anheuser-Busch In</t>
  </si>
  <si>
    <t>Ball Corporation</t>
  </si>
  <si>
    <t>Rockwell Collins,</t>
  </si>
  <si>
    <t>FirstEnergy Corpo</t>
  </si>
  <si>
    <t>Safety First Trus</t>
  </si>
  <si>
    <t>Sears Holdings Co</t>
  </si>
  <si>
    <t>Intel Corporation</t>
  </si>
  <si>
    <t>Danaher Corporati</t>
  </si>
  <si>
    <t>Honeywell Interna</t>
  </si>
  <si>
    <t>Wal-Mart Stores,</t>
  </si>
  <si>
    <t>Hess Corporation</t>
  </si>
  <si>
    <t>Johnson &amp; Johnson</t>
  </si>
  <si>
    <t>Marriot Internati</t>
  </si>
  <si>
    <t>Masco Corporation</t>
  </si>
  <si>
    <t>Emerson Electric</t>
  </si>
  <si>
    <t>L-3 Communication</t>
  </si>
  <si>
    <t>Corning Incorpora</t>
  </si>
  <si>
    <t>H.J. Heinz Compan</t>
  </si>
  <si>
    <t>EMC Corporation C</t>
  </si>
  <si>
    <t>Verizon Communica</t>
  </si>
  <si>
    <t>American Internat</t>
  </si>
  <si>
    <t>Western Union Com</t>
  </si>
  <si>
    <t>National Oilwell</t>
  </si>
  <si>
    <t>Teradata Corporat</t>
  </si>
  <si>
    <t>Starwood Hotels &amp;</t>
  </si>
  <si>
    <t>Discover Financia</t>
  </si>
  <si>
    <t>Laboratory Corpor</t>
  </si>
  <si>
    <t>Tiffany &amp; Co. Com</t>
  </si>
  <si>
    <t>Chesapeake Energy</t>
  </si>
  <si>
    <t>Union Pacific Cor</t>
  </si>
  <si>
    <t>Agilent Technolog</t>
  </si>
  <si>
    <t>Eli Lilly and Com</t>
  </si>
  <si>
    <t>AT&amp;T Inc.</t>
  </si>
  <si>
    <t>Kellogg Company C</t>
  </si>
  <si>
    <t>Eastman Chemical</t>
  </si>
  <si>
    <t>CSX Corporation C</t>
  </si>
  <si>
    <t>Starbucks Corpora</t>
  </si>
  <si>
    <t>Entergy Corporati</t>
  </si>
  <si>
    <t>Bank of New York</t>
  </si>
  <si>
    <t>Bristol-Myers Squ</t>
  </si>
  <si>
    <t>Automatic Data Pr</t>
  </si>
  <si>
    <t>Molson Coors Brew</t>
  </si>
  <si>
    <t>United States Ste</t>
  </si>
  <si>
    <t>Total System Serv</t>
  </si>
  <si>
    <t>Deere &amp; Company C</t>
  </si>
  <si>
    <t>Air Products and</t>
  </si>
  <si>
    <t>State Street Corp</t>
  </si>
  <si>
    <t>AFLAC Incorporate</t>
  </si>
  <si>
    <t>Estee Lauder Comp</t>
  </si>
  <si>
    <t>QUALCOMM Incorpor</t>
  </si>
  <si>
    <t>Patterson Compani</t>
  </si>
  <si>
    <t>Waters Corporatio</t>
  </si>
  <si>
    <t>Pitney Bowes Inc.</t>
  </si>
  <si>
    <t>McCormick &amp; Compa</t>
  </si>
  <si>
    <t>Forest Laboratori</t>
  </si>
  <si>
    <t>CVS Caremark Corp</t>
  </si>
  <si>
    <t>Oracle Corporatio</t>
  </si>
  <si>
    <t>Exelon Corporatio</t>
  </si>
  <si>
    <t>Northern Trust Co</t>
  </si>
  <si>
    <t>DIRECTV</t>
  </si>
  <si>
    <t>Molex Incorporate</t>
  </si>
  <si>
    <t>Questar Corporati</t>
  </si>
  <si>
    <t>Procter &amp; Gamble</t>
  </si>
  <si>
    <t>Microchip Technol</t>
  </si>
  <si>
    <t>T. Rowe Price Gro</t>
  </si>
  <si>
    <t>Linear Technology</t>
  </si>
  <si>
    <t>Intuit Inc.</t>
  </si>
  <si>
    <t>Brown Forman Inc</t>
  </si>
  <si>
    <t>Schlumberger N.V.</t>
  </si>
  <si>
    <t>Dean Foods Compan</t>
  </si>
  <si>
    <t>Williams Companie</t>
  </si>
  <si>
    <t>Altera Corporatio</t>
  </si>
  <si>
    <t>AvalonBay Communi</t>
  </si>
  <si>
    <t>Murphy Oil Corpor</t>
  </si>
  <si>
    <t>Cameron Internati</t>
  </si>
  <si>
    <t>Abbott Laboratori</t>
  </si>
  <si>
    <t>Washington Post C</t>
  </si>
  <si>
    <t>Morgan Stanley Co</t>
  </si>
  <si>
    <t>Darden Restaurant</t>
  </si>
  <si>
    <t>Baxter Internatio</t>
  </si>
  <si>
    <t>Kimco Realty Corp</t>
  </si>
  <si>
    <t>Zimmer Holdings,</t>
  </si>
  <si>
    <t>Coca-Cola Company</t>
  </si>
  <si>
    <t>Comcast Corporati</t>
  </si>
  <si>
    <t>Varian Medical Sy</t>
  </si>
  <si>
    <t>NYSE Euronext Com</t>
  </si>
  <si>
    <t>International Gam</t>
  </si>
  <si>
    <t>Leucadia National</t>
  </si>
  <si>
    <t>Colgate-Palmolive</t>
  </si>
  <si>
    <t>Costco Wholesale</t>
  </si>
  <si>
    <t>QLogic Corporatio</t>
  </si>
  <si>
    <t>Weatherford Inter</t>
  </si>
  <si>
    <t>Plum Creek Timber</t>
  </si>
  <si>
    <t>Medtronic Inc. Co</t>
  </si>
  <si>
    <t>Cognizant Technol</t>
  </si>
  <si>
    <t>Sigma-Aldrich Cor</t>
  </si>
  <si>
    <t>Fluor Corporation</t>
  </si>
  <si>
    <t>Stryker Corporati</t>
  </si>
  <si>
    <t>Adobe Systems Inc</t>
  </si>
  <si>
    <t>Quest Diagnostics</t>
  </si>
  <si>
    <t>Ecolab Inc. Commo</t>
  </si>
  <si>
    <t>SanDisk Corporati</t>
  </si>
  <si>
    <t>Vornado Realty Tr</t>
  </si>
  <si>
    <t>St. Jude Medical,</t>
  </si>
  <si>
    <t>Merck &amp; Company,</t>
  </si>
  <si>
    <t>McDonald's Corpor</t>
  </si>
  <si>
    <t>CA Inc.</t>
  </si>
  <si>
    <t>Jacobs Engineerin</t>
  </si>
  <si>
    <t>Pall Corporation</t>
  </si>
  <si>
    <t>Interpublic Group</t>
  </si>
  <si>
    <t>Ciena Corporation</t>
  </si>
  <si>
    <t>Hudson City Banco</t>
  </si>
  <si>
    <t>Gilead Sciences,</t>
  </si>
  <si>
    <t>Thermo Fisher Sci</t>
  </si>
  <si>
    <t>C.H. Robinson Wor</t>
  </si>
  <si>
    <t>Gamestop Corporat</t>
  </si>
  <si>
    <t>General Growth Pr</t>
  </si>
  <si>
    <t>CME Group Inc.</t>
  </si>
  <si>
    <t>Apple Inc.</t>
  </si>
  <si>
    <t>Google Inc.</t>
  </si>
  <si>
    <t>Janus Capital Gro</t>
  </si>
  <si>
    <t>Juniper Networks,</t>
  </si>
  <si>
    <t>Huntington Bancsh</t>
  </si>
  <si>
    <t>Expeditors Intern</t>
  </si>
  <si>
    <t>The Hershey Compa</t>
  </si>
  <si>
    <t>Monsanto Company</t>
  </si>
  <si>
    <t>IntercontinentalE</t>
  </si>
  <si>
    <t>Range Resources C</t>
  </si>
  <si>
    <t>Symantec Corporat</t>
  </si>
  <si>
    <t>Hospira Inc</t>
  </si>
  <si>
    <t>Simon Property Gr</t>
  </si>
  <si>
    <t>Akamai Technologi</t>
  </si>
  <si>
    <t>CONSOL Energy Inc</t>
  </si>
  <si>
    <t>Broadcom Corporat</t>
  </si>
  <si>
    <t>Yahoo! Inc.</t>
  </si>
  <si>
    <t>Peabody Energy Co</t>
  </si>
  <si>
    <t>Public Storage Co</t>
  </si>
  <si>
    <t>Celgene Corporati</t>
  </si>
  <si>
    <t>eBay Inc.</t>
  </si>
  <si>
    <t>United Parcel Ser</t>
  </si>
  <si>
    <t>American Tower Co</t>
  </si>
  <si>
    <t>E*TRADE Financial</t>
  </si>
  <si>
    <t>Unisys Corporatio</t>
  </si>
  <si>
    <t>Tenet Healthcare</t>
  </si>
  <si>
    <t>Advanced Micro De</t>
  </si>
  <si>
    <t>Sprint Nextel Co</t>
  </si>
  <si>
    <t>Micron Technology</t>
  </si>
  <si>
    <t>Ford Motor Compan</t>
  </si>
  <si>
    <t>MGIC Investment C</t>
  </si>
  <si>
    <t>Waste Management,</t>
  </si>
  <si>
    <t>CIT Group Inc (DE</t>
  </si>
  <si>
    <t>MBIA Inc. Common</t>
  </si>
  <si>
    <t>First Horizon Nat</t>
  </si>
  <si>
    <t>Boston Scientific</t>
  </si>
  <si>
    <t>Mylan Inc.</t>
  </si>
  <si>
    <t>JDS Uniphase Corp</t>
  </si>
  <si>
    <t>CMS Energy Corpor</t>
  </si>
  <si>
    <t>Leggett &amp; Platt,</t>
  </si>
  <si>
    <t>Lennar Corporatio</t>
  </si>
  <si>
    <t>The AES Corporati</t>
  </si>
  <si>
    <t>Constellation Bra</t>
  </si>
  <si>
    <t>KB Home Common St</t>
  </si>
  <si>
    <t>R.R. Donnelley &amp;</t>
  </si>
  <si>
    <t>Apartment Investm</t>
  </si>
  <si>
    <t>E.W. Scripps Comp</t>
  </si>
  <si>
    <t>Covidien plc. Ord</t>
  </si>
  <si>
    <t>Tyco Internationa</t>
  </si>
  <si>
    <t>Newmont Mining Co</t>
  </si>
  <si>
    <t>52-week Low</t>
  </si>
  <si>
    <t>Elements BG Small</t>
  </si>
  <si>
    <t>price/52-week low</t>
  </si>
  <si>
    <t>price/target</t>
  </si>
  <si>
    <t>Jones Group,Inc.</t>
  </si>
  <si>
    <t>Altria Group,Inc</t>
  </si>
  <si>
    <t>Gannett Co.,Inc.</t>
  </si>
  <si>
    <t>Office Depot,Inc</t>
  </si>
  <si>
    <t>E</t>
  </si>
  <si>
    <t>W</t>
  </si>
  <si>
    <t>CenturyLink,Inc.</t>
  </si>
  <si>
    <t>TECO Energy,Inc.</t>
  </si>
  <si>
    <t>BD</t>
  </si>
  <si>
    <t>WellPoint,Inc. C</t>
  </si>
  <si>
    <t>Limited Brands,I</t>
  </si>
  <si>
    <t>Rowan Companies p</t>
  </si>
  <si>
    <t>Ensco plc Class A</t>
  </si>
  <si>
    <t>The Goodyear Tire</t>
  </si>
  <si>
    <t>AutoNation,Inc.</t>
  </si>
  <si>
    <t>Cigna Corporation</t>
  </si>
  <si>
    <t>MetLife,Inc. Com</t>
  </si>
  <si>
    <t>SunTrust Banks,I</t>
  </si>
  <si>
    <t>AGL Resources,In</t>
  </si>
  <si>
    <t>Legg Mason,Inc.</t>
  </si>
  <si>
    <t>Assurant,Inc. Co</t>
  </si>
  <si>
    <t>Home Depot,Inc.</t>
  </si>
  <si>
    <t>CBRE Group Inc Co</t>
  </si>
  <si>
    <t>Nordstrom,Inc. C</t>
  </si>
  <si>
    <t>PPG Industries,I</t>
  </si>
  <si>
    <t>ConAgra Foods,In</t>
  </si>
  <si>
    <t>AutoZone,Inc. Co</t>
  </si>
  <si>
    <t>Best Buy Co.,Inc</t>
  </si>
  <si>
    <t>Analog Devices,I</t>
  </si>
  <si>
    <t>Mattel,Inc.</t>
  </si>
  <si>
    <t>PulteGroup,Inc.</t>
  </si>
  <si>
    <t>Caterpillar,Inc.</t>
  </si>
  <si>
    <t>Big Lots,Inc. Co</t>
  </si>
  <si>
    <t>VIA-</t>
  </si>
  <si>
    <t>PEPCO Holdings,I</t>
  </si>
  <si>
    <t>Ryder System,Inc</t>
  </si>
  <si>
    <t>Bemis Company,In</t>
  </si>
  <si>
    <t>Hasbro,Inc.</t>
  </si>
  <si>
    <t>ProLogis,Inc. Co</t>
  </si>
  <si>
    <t>Norfolk Southern</t>
  </si>
  <si>
    <t>Ralph Lauren Corp</t>
  </si>
  <si>
    <t>General Mills,In</t>
  </si>
  <si>
    <t>Staples,Inc.</t>
  </si>
  <si>
    <t>ProShares Ultra 7</t>
  </si>
  <si>
    <t>Coach,Inc. Commo</t>
  </si>
  <si>
    <t>Nationstar Mortga</t>
  </si>
  <si>
    <t>W.W. Grainger,In</t>
  </si>
  <si>
    <t>Equifax,Inc. Com</t>
  </si>
  <si>
    <t>Walgreen Co. Comm</t>
  </si>
  <si>
    <t>Pfizer,Inc. Comm</t>
  </si>
  <si>
    <t>Gap,Inc. (The) C</t>
  </si>
  <si>
    <t>Cisco Systems,In</t>
  </si>
  <si>
    <t>Nike,Inc. Common</t>
  </si>
  <si>
    <t>TJX Companies,In</t>
  </si>
  <si>
    <t>Fiserv,Inc.</t>
  </si>
  <si>
    <t>Xilinx,Inc.</t>
  </si>
  <si>
    <t>Monster Beverage</t>
  </si>
  <si>
    <t xml:space="preserve">MEMC Electronic </t>
  </si>
  <si>
    <t>Pepsico,Inc. Com</t>
  </si>
  <si>
    <t>Becton,Dickinson</t>
  </si>
  <si>
    <t>Autodesk,Inc.</t>
  </si>
  <si>
    <t>BMC Software,Inc</t>
  </si>
  <si>
    <t>PerkinElmer,Inc.</t>
  </si>
  <si>
    <t>Apollo Group,Inc</t>
  </si>
  <si>
    <t>DDR Corp. Common</t>
  </si>
  <si>
    <t>Yum! Brands,Inc.</t>
  </si>
  <si>
    <t>Wendy's Company (</t>
  </si>
  <si>
    <t>Dynegy Inc. Commo</t>
  </si>
  <si>
    <t>Paychex,Inc.</t>
  </si>
  <si>
    <t>Expedia,Inc.</t>
  </si>
  <si>
    <t>Praxair,Inc. Com</t>
  </si>
  <si>
    <t>C.R. Bard,Inc. C</t>
  </si>
  <si>
    <t>Tyson Foods,Inc.</t>
  </si>
  <si>
    <t>NetApp,Inc.</t>
  </si>
  <si>
    <t>XL Group plc</t>
  </si>
  <si>
    <t>MFC Industrial Lt</t>
  </si>
  <si>
    <t>Citrix Systems,I</t>
  </si>
  <si>
    <t>Teradyne,Inc. Co</t>
  </si>
  <si>
    <t>EOG Resources,In</t>
  </si>
  <si>
    <t>Express Scripts H</t>
  </si>
  <si>
    <t>Dillard's,Inc. C</t>
  </si>
  <si>
    <t>Citigroup,Inc. C</t>
  </si>
  <si>
    <t>Biogen Idec Inc.</t>
  </si>
  <si>
    <t>Avon Products,In</t>
  </si>
  <si>
    <t>Allergan,Inc. Co</t>
  </si>
  <si>
    <t>HCP,Inc. Common</t>
  </si>
  <si>
    <t>Jabil Circuit,In</t>
  </si>
  <si>
    <t>Tellabs,Inc.</t>
  </si>
  <si>
    <t>Amazon.com,Inc.</t>
  </si>
  <si>
    <t>TE Connectivity L</t>
  </si>
  <si>
    <t>AB</t>
  </si>
  <si>
    <t>LSI Corporation</t>
  </si>
  <si>
    <t>D.R. Horton,Inc.</t>
  </si>
  <si>
    <t>SLM Corporation</t>
  </si>
  <si>
    <t>General Motors Co</t>
  </si>
  <si>
    <t>H&amp;R Block,Inc. C</t>
  </si>
  <si>
    <t>Qwest Corporation</t>
  </si>
  <si>
    <t>FN</t>
  </si>
  <si>
    <t>VeriSign,Inc.</t>
  </si>
  <si>
    <t>COUNT-LOWS =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</si>
</sst>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  <numFmt numFmtId="166" formatCode="&quot;$&quot;#,##0.00"/>
  </numFmts>
  <fonts count="9" x14ac:knownFonts="1">
    <font>
      <sz val="10"/>
      <name val="Arial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4" fontId="3" fillId="0" borderId="0" xfId="1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3" fillId="0" borderId="0" xfId="1" applyFont="1"/>
    <xf numFmtId="165" fontId="4" fillId="3" borderId="1" xfId="0" applyNumberFormat="1" applyFont="1" applyFill="1" applyBorder="1" applyAlignment="1">
      <alignment horizontal="center" vertical="center" wrapText="1"/>
    </xf>
    <xf numFmtId="4" fontId="4" fillId="3" borderId="1" xfId="0" applyNumberFormat="1" applyFont="1" applyFill="1" applyBorder="1" applyAlignment="1">
      <alignment horizontal="center" vertical="center" wrapText="1"/>
    </xf>
    <xf numFmtId="0" fontId="1" fillId="0" borderId="0" xfId="1"/>
    <xf numFmtId="165" fontId="5" fillId="0" borderId="1" xfId="1" applyNumberFormat="1" applyFont="1" applyBorder="1" applyAlignment="1">
      <alignment horizontal="center" vertical="center"/>
    </xf>
    <xf numFmtId="165" fontId="3" fillId="0" borderId="1" xfId="0" applyNumberFormat="1" applyFont="1" applyBorder="1"/>
    <xf numFmtId="4" fontId="3" fillId="0" borderId="1" xfId="0" applyNumberFormat="1" applyFont="1" applyBorder="1"/>
    <xf numFmtId="0" fontId="5" fillId="0" borderId="1" xfId="1" applyNumberFormat="1" applyFont="1" applyBorder="1" applyAlignment="1">
      <alignment horizontal="center" vertical="center"/>
    </xf>
    <xf numFmtId="4" fontId="4" fillId="4" borderId="1" xfId="1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Border="1"/>
    <xf numFmtId="166" fontId="3" fillId="0" borderId="0" xfId="1" applyNumberFormat="1" applyFont="1"/>
    <xf numFmtId="2" fontId="3" fillId="0" borderId="0" xfId="1" applyNumberFormat="1" applyFont="1"/>
    <xf numFmtId="9" fontId="3" fillId="0" borderId="0" xfId="1" applyNumberFormat="1" applyFont="1"/>
    <xf numFmtId="0" fontId="4" fillId="4" borderId="1" xfId="1" applyFont="1" applyFill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>
      <alignment horizontal="center"/>
    </xf>
    <xf numFmtId="10" fontId="6" fillId="6" borderId="1" xfId="0" applyNumberFormat="1" applyFont="1" applyFill="1" applyBorder="1" applyAlignment="1">
      <alignment vertical="center"/>
    </xf>
    <xf numFmtId="10" fontId="0" fillId="0" borderId="1" xfId="0" applyNumberFormat="1" applyBorder="1" applyAlignment="1">
      <alignment vertical="center"/>
    </xf>
    <xf numFmtId="4" fontId="6" fillId="5" borderId="1" xfId="0" applyNumberFormat="1" applyFont="1" applyFill="1" applyBorder="1" applyAlignment="1">
      <alignment horizontal="center" vertical="center" wrapText="1"/>
    </xf>
    <xf numFmtId="4" fontId="6" fillId="6" borderId="1" xfId="0" applyNumberFormat="1" applyFont="1" applyFill="1" applyBorder="1" applyAlignment="1">
      <alignment vertical="center"/>
    </xf>
    <xf numFmtId="4" fontId="0" fillId="0" borderId="1" xfId="0" applyNumberFormat="1" applyBorder="1" applyAlignment="1">
      <alignment vertical="center"/>
    </xf>
  </cellXfs>
  <cellStyles count="9">
    <cellStyle name="Comma 2" xfId="2"/>
    <cellStyle name="Comma 2 2" xfId="3"/>
    <cellStyle name="Comma0" xfId="4"/>
    <cellStyle name="Currency0" xfId="5"/>
    <cellStyle name="Date" xfId="6"/>
    <cellStyle name="Fixed" xfId="7"/>
    <cellStyle name="Normal" xfId="0" builtinId="0"/>
    <cellStyle name="Normal 2" xfId="1"/>
    <cellStyle name="Percent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838201</xdr:colOff>
      <xdr:row>9</xdr:row>
      <xdr:rowOff>38101</xdr:rowOff>
    </xdr:from>
    <xdr:to>
      <xdr:col>2</xdr:col>
      <xdr:colOff>304800</xdr:colOff>
      <xdr:row>12</xdr:row>
      <xdr:rowOff>19051</xdr:rowOff>
    </xdr:to>
    <xdr:sp macro="[0]!REFRESH_MODEL" textlink="">
      <xdr:nvSpPr>
        <xdr:cNvPr id="2" name="AutoShape 2"/>
        <xdr:cNvSpPr>
          <a:spLocks noChangeArrowheads="1"/>
        </xdr:cNvSpPr>
      </xdr:nvSpPr>
      <xdr:spPr bwMode="auto">
        <a:xfrm>
          <a:off x="1085851" y="19335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9523</xdr:colOff>
      <xdr:row>0</xdr:row>
      <xdr:rowOff>114300</xdr:rowOff>
    </xdr:from>
    <xdr:to>
      <xdr:col>3</xdr:col>
      <xdr:colOff>38100</xdr:colOff>
      <xdr:row>3</xdr:row>
      <xdr:rowOff>133350</xdr:rowOff>
    </xdr:to>
    <xdr:sp macro="[0]!PRINT_SCREENER" textlink="">
      <xdr:nvSpPr>
        <xdr:cNvPr id="2" name="AutoShape 2"/>
        <xdr:cNvSpPr>
          <a:spLocks noChangeArrowheads="1"/>
        </xdr:cNvSpPr>
      </xdr:nvSpPr>
      <xdr:spPr bwMode="auto">
        <a:xfrm>
          <a:off x="257173" y="114300"/>
          <a:ext cx="2124077" cy="5905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MELTDOWN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B2:AA1257"/>
  <sheetViews>
    <sheetView showGridLines="0" workbookViewId="0">
      <selection activeCell="F18" sqref="F18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8.42578125" style="2" bestFit="1" customWidth="1"/>
    <col min="4" max="4" width="3.7109375" style="2" customWidth="1"/>
    <col min="5" max="22" width="15.7109375" style="3" customWidth="1"/>
    <col min="23" max="27" width="15.7109375" style="2" customWidth="1"/>
    <col min="28" max="16384" width="15.7109375" style="2"/>
  </cols>
  <sheetData>
    <row r="2" spans="2:27" ht="29.25" x14ac:dyDescent="0.2">
      <c r="B2" s="1" t="str">
        <f>"Lows in previous "&amp;C7&amp;" days"</f>
        <v>Lows in previous 10 days</v>
      </c>
      <c r="R2" s="4"/>
    </row>
    <row r="3" spans="2:27" ht="15" customHeight="1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27" ht="15" customHeight="1" x14ac:dyDescent="0.25">
      <c r="B4" s="5" t="s">
        <v>0</v>
      </c>
      <c r="C4" s="6" t="s">
        <v>1020</v>
      </c>
      <c r="D4" s="7"/>
      <c r="E4" s="8" t="s">
        <v>1</v>
      </c>
      <c r="F4" s="9" t="s">
        <v>2</v>
      </c>
      <c r="G4" s="9" t="s">
        <v>3</v>
      </c>
      <c r="H4" s="9" t="s">
        <v>4</v>
      </c>
      <c r="I4" s="9" t="s">
        <v>5</v>
      </c>
      <c r="J4" s="9" t="s">
        <v>6</v>
      </c>
      <c r="K4" s="9" t="s">
        <v>10</v>
      </c>
      <c r="L4" s="16" t="s">
        <v>1021</v>
      </c>
      <c r="M4" s="16" t="s">
        <v>1471</v>
      </c>
      <c r="N4"/>
      <c r="O4"/>
      <c r="P4"/>
      <c r="Q4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2:27" ht="15" customHeight="1" x14ac:dyDescent="0.25">
      <c r="B5" s="5" t="s">
        <v>7</v>
      </c>
      <c r="C5" s="11">
        <f ca="1">DATE(YEAR(C6)-1,MONTH(C6)-0,DAY(C6))</f>
        <v>40967</v>
      </c>
      <c r="D5" s="7"/>
      <c r="E5" s="12">
        <v>40967</v>
      </c>
      <c r="F5" s="13">
        <v>1367.56</v>
      </c>
      <c r="G5" s="13">
        <v>1373.09</v>
      </c>
      <c r="H5" s="13">
        <v>1365.97</v>
      </c>
      <c r="I5" s="13">
        <v>1372.18</v>
      </c>
      <c r="J5" s="13">
        <v>3579120</v>
      </c>
      <c r="K5" s="13">
        <v>1372.18</v>
      </c>
      <c r="L5" s="17">
        <v>0</v>
      </c>
      <c r="M5" s="17">
        <v>0</v>
      </c>
      <c r="N5"/>
      <c r="O5"/>
      <c r="P5"/>
      <c r="Q5"/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2:27" ht="15" customHeight="1" x14ac:dyDescent="0.25">
      <c r="B6" s="5" t="s">
        <v>8</v>
      </c>
      <c r="C6" s="11">
        <f ca="1">TODAY()</f>
        <v>41333</v>
      </c>
      <c r="D6" s="7"/>
      <c r="E6" s="12">
        <v>40968</v>
      </c>
      <c r="F6" s="13">
        <v>1372.2</v>
      </c>
      <c r="G6" s="13">
        <v>1378.04</v>
      </c>
      <c r="H6" s="13">
        <v>1363.81</v>
      </c>
      <c r="I6" s="13">
        <v>1365.68</v>
      </c>
      <c r="J6" s="13">
        <v>4482370</v>
      </c>
      <c r="K6" s="13">
        <v>1365.68</v>
      </c>
      <c r="L6" s="17">
        <v>1</v>
      </c>
      <c r="M6" s="17">
        <v>1</v>
      </c>
      <c r="N6"/>
      <c r="O6"/>
      <c r="P6"/>
      <c r="Q6"/>
      <c r="R6" s="10"/>
      <c r="S6" s="10"/>
      <c r="T6" s="10"/>
      <c r="U6" s="10"/>
      <c r="V6" s="10"/>
      <c r="W6" s="10"/>
      <c r="X6" s="10"/>
      <c r="Y6" s="10"/>
      <c r="Z6" s="10"/>
      <c r="AA6" s="10"/>
    </row>
    <row r="7" spans="2:27" ht="15" customHeight="1" x14ac:dyDescent="0.25">
      <c r="B7" s="5" t="s">
        <v>9</v>
      </c>
      <c r="C7" s="14">
        <v>10</v>
      </c>
      <c r="E7" s="12">
        <v>40969</v>
      </c>
      <c r="F7" s="13">
        <v>1365.9</v>
      </c>
      <c r="G7" s="13">
        <v>1376.17</v>
      </c>
      <c r="H7" s="13">
        <v>1365.9</v>
      </c>
      <c r="I7" s="13">
        <v>1374.09</v>
      </c>
      <c r="J7" s="13">
        <v>3919240</v>
      </c>
      <c r="K7" s="13">
        <v>1374.09</v>
      </c>
      <c r="L7" s="17">
        <v>0</v>
      </c>
      <c r="M7" s="17">
        <v>1</v>
      </c>
      <c r="N7"/>
      <c r="O7"/>
      <c r="P7"/>
      <c r="Q7"/>
      <c r="R7" s="10"/>
      <c r="S7" s="10"/>
      <c r="T7" s="10"/>
      <c r="U7" s="10"/>
      <c r="V7" s="10"/>
      <c r="W7" s="10"/>
      <c r="X7" s="10"/>
      <c r="Y7" s="10"/>
    </row>
    <row r="8" spans="2:27" ht="15" customHeight="1" x14ac:dyDescent="0.25">
      <c r="B8" s="15" t="str">
        <f>M4</f>
        <v>COUNT-LOWS = 3</v>
      </c>
      <c r="E8" s="12">
        <v>40970</v>
      </c>
      <c r="F8" s="13">
        <v>1374.09</v>
      </c>
      <c r="G8" s="13">
        <v>1374.53</v>
      </c>
      <c r="H8" s="13">
        <v>1366.42</v>
      </c>
      <c r="I8" s="13">
        <v>1369.63</v>
      </c>
      <c r="J8" s="13">
        <v>3283490</v>
      </c>
      <c r="K8" s="13">
        <v>1369.63</v>
      </c>
      <c r="L8" s="17">
        <v>0</v>
      </c>
      <c r="M8" s="17">
        <v>1</v>
      </c>
      <c r="N8"/>
      <c r="O8"/>
      <c r="P8"/>
      <c r="Q8"/>
      <c r="R8" s="10"/>
      <c r="S8" s="10"/>
      <c r="T8" s="10"/>
      <c r="U8" s="10"/>
      <c r="V8" s="10"/>
      <c r="W8" s="10"/>
      <c r="X8" s="10"/>
      <c r="Y8" s="10"/>
    </row>
    <row r="9" spans="2:27" ht="15" customHeight="1" x14ac:dyDescent="0.25">
      <c r="E9" s="12">
        <v>40973</v>
      </c>
      <c r="F9" s="13">
        <v>1369.59</v>
      </c>
      <c r="G9" s="13">
        <v>1369.59</v>
      </c>
      <c r="H9" s="13">
        <v>1359.13</v>
      </c>
      <c r="I9" s="13">
        <v>1364.33</v>
      </c>
      <c r="J9" s="13">
        <v>3429480</v>
      </c>
      <c r="K9" s="13">
        <v>1364.33</v>
      </c>
      <c r="L9" s="17">
        <v>0</v>
      </c>
      <c r="M9" s="17">
        <v>1</v>
      </c>
      <c r="N9"/>
      <c r="O9"/>
      <c r="P9"/>
      <c r="Q9"/>
      <c r="R9" s="10"/>
      <c r="S9" s="10"/>
      <c r="T9" s="10"/>
      <c r="U9" s="10"/>
      <c r="V9" s="10"/>
      <c r="W9" s="10"/>
      <c r="X9" s="10"/>
      <c r="Y9" s="10"/>
    </row>
    <row r="10" spans="2:27" ht="15" customHeight="1" x14ac:dyDescent="0.25">
      <c r="E10" s="12">
        <v>40974</v>
      </c>
      <c r="F10" s="13">
        <v>1363.63</v>
      </c>
      <c r="G10" s="13">
        <v>1363.63</v>
      </c>
      <c r="H10" s="13">
        <v>1340.03</v>
      </c>
      <c r="I10" s="13">
        <v>1343.36</v>
      </c>
      <c r="J10" s="13">
        <v>4191060</v>
      </c>
      <c r="K10" s="13">
        <v>1343.36</v>
      </c>
      <c r="L10" s="17">
        <v>1</v>
      </c>
      <c r="M10" s="17">
        <v>2</v>
      </c>
      <c r="N10"/>
      <c r="O10"/>
      <c r="P10"/>
      <c r="Q10"/>
      <c r="R10" s="10"/>
      <c r="S10" s="10"/>
      <c r="T10" s="10"/>
      <c r="U10" s="10"/>
      <c r="V10" s="10"/>
      <c r="W10" s="10"/>
      <c r="X10" s="10"/>
      <c r="Y10" s="10"/>
    </row>
    <row r="11" spans="2:27" ht="15" customHeight="1" x14ac:dyDescent="0.25">
      <c r="E11" s="12">
        <v>40975</v>
      </c>
      <c r="F11" s="13">
        <v>1343.39</v>
      </c>
      <c r="G11" s="13">
        <v>1354.85</v>
      </c>
      <c r="H11" s="13">
        <v>1343.39</v>
      </c>
      <c r="I11" s="13">
        <v>1352.63</v>
      </c>
      <c r="J11" s="13">
        <v>3580380</v>
      </c>
      <c r="K11" s="13">
        <v>1352.63</v>
      </c>
      <c r="L11" s="17">
        <v>0</v>
      </c>
      <c r="M11" s="17">
        <v>2</v>
      </c>
      <c r="N11"/>
      <c r="O11"/>
      <c r="P11"/>
      <c r="Q11"/>
      <c r="R11" s="10"/>
      <c r="S11" s="10"/>
      <c r="T11" s="10"/>
      <c r="U11" s="10"/>
      <c r="V11" s="10"/>
      <c r="W11" s="10"/>
      <c r="X11" s="10"/>
      <c r="Y11" s="10"/>
    </row>
    <row r="12" spans="2:27" ht="15" customHeight="1" x14ac:dyDescent="0.25">
      <c r="E12" s="12">
        <v>40976</v>
      </c>
      <c r="F12" s="13">
        <v>1352.65</v>
      </c>
      <c r="G12" s="13">
        <v>1368.72</v>
      </c>
      <c r="H12" s="13">
        <v>1352.65</v>
      </c>
      <c r="I12" s="13">
        <v>1365.91</v>
      </c>
      <c r="J12" s="13">
        <v>3543060</v>
      </c>
      <c r="K12" s="13">
        <v>1365.91</v>
      </c>
      <c r="L12" s="17">
        <v>0</v>
      </c>
      <c r="M12" s="17">
        <v>2</v>
      </c>
      <c r="N12"/>
      <c r="O12"/>
      <c r="P12"/>
      <c r="Q12"/>
      <c r="R12" s="10"/>
      <c r="S12" s="10"/>
      <c r="T12" s="10"/>
      <c r="U12" s="10"/>
      <c r="V12" s="10"/>
      <c r="W12" s="10"/>
      <c r="X12" s="10"/>
      <c r="Y12" s="10"/>
    </row>
    <row r="13" spans="2:27" ht="15" customHeight="1" x14ac:dyDescent="0.25">
      <c r="E13" s="12">
        <v>40977</v>
      </c>
      <c r="F13" s="13">
        <v>1365.97</v>
      </c>
      <c r="G13" s="13">
        <v>1374.76</v>
      </c>
      <c r="H13" s="13">
        <v>1365.97</v>
      </c>
      <c r="I13" s="13">
        <v>1370.87</v>
      </c>
      <c r="J13" s="13">
        <v>3639470</v>
      </c>
      <c r="K13" s="13">
        <v>1370.87</v>
      </c>
      <c r="L13" s="17">
        <v>0</v>
      </c>
      <c r="M13" s="17">
        <v>2</v>
      </c>
      <c r="N13"/>
      <c r="O13"/>
      <c r="P13"/>
      <c r="Q13"/>
      <c r="R13" s="10"/>
      <c r="S13" s="10"/>
      <c r="T13" s="10"/>
      <c r="U13" s="10"/>
      <c r="V13" s="10"/>
      <c r="W13" s="10"/>
      <c r="X13" s="10"/>
      <c r="Y13" s="10"/>
    </row>
    <row r="14" spans="2:27" ht="15" customHeight="1" x14ac:dyDescent="0.25">
      <c r="E14" s="12">
        <v>40980</v>
      </c>
      <c r="F14" s="13">
        <v>1370.78</v>
      </c>
      <c r="G14" s="13">
        <v>1373.04</v>
      </c>
      <c r="H14" s="13">
        <v>1366.69</v>
      </c>
      <c r="I14" s="13">
        <v>1371.09</v>
      </c>
      <c r="J14" s="13">
        <v>3081870</v>
      </c>
      <c r="K14" s="13">
        <v>1371.09</v>
      </c>
      <c r="L14" s="17">
        <v>0</v>
      </c>
      <c r="M14" s="17">
        <v>2</v>
      </c>
      <c r="N14"/>
      <c r="O14"/>
      <c r="P14"/>
      <c r="Q14"/>
      <c r="R14" s="10"/>
      <c r="S14" s="10"/>
      <c r="T14" s="10"/>
      <c r="U14" s="10"/>
      <c r="V14" s="10"/>
      <c r="W14" s="10"/>
      <c r="X14" s="10"/>
      <c r="Y14" s="10"/>
    </row>
    <row r="15" spans="2:27" ht="15" customHeight="1" x14ac:dyDescent="0.25">
      <c r="E15" s="12">
        <v>40981</v>
      </c>
      <c r="F15" s="13">
        <v>1371.92</v>
      </c>
      <c r="G15" s="13">
        <v>1396.13</v>
      </c>
      <c r="H15" s="13">
        <v>1371.92</v>
      </c>
      <c r="I15" s="13">
        <v>1395.95</v>
      </c>
      <c r="J15" s="13">
        <v>4386470</v>
      </c>
      <c r="K15" s="13">
        <v>1395.95</v>
      </c>
      <c r="L15" s="17">
        <v>0</v>
      </c>
      <c r="M15" s="17">
        <v>2</v>
      </c>
      <c r="N15"/>
      <c r="O15"/>
      <c r="P15"/>
      <c r="Q15"/>
      <c r="R15" s="10"/>
      <c r="S15" s="10"/>
      <c r="T15" s="10"/>
      <c r="U15" s="10"/>
      <c r="V15" s="10"/>
      <c r="W15" s="10"/>
      <c r="X15" s="10"/>
      <c r="Y15" s="10"/>
    </row>
    <row r="16" spans="2:27" ht="15" customHeight="1" x14ac:dyDescent="0.25">
      <c r="E16" s="12">
        <v>40982</v>
      </c>
      <c r="F16" s="13">
        <v>1395.95</v>
      </c>
      <c r="G16" s="13">
        <v>1399.42</v>
      </c>
      <c r="H16" s="13">
        <v>1389.97</v>
      </c>
      <c r="I16" s="13">
        <v>1394.28</v>
      </c>
      <c r="J16" s="13">
        <v>4502280</v>
      </c>
      <c r="K16" s="13">
        <v>1394.28</v>
      </c>
      <c r="L16" s="17">
        <v>1</v>
      </c>
      <c r="M16" s="17">
        <v>2</v>
      </c>
      <c r="N16"/>
      <c r="O16"/>
      <c r="P16"/>
      <c r="Q16"/>
      <c r="R16" s="10"/>
      <c r="S16" s="10"/>
      <c r="T16" s="10"/>
      <c r="U16" s="10"/>
      <c r="V16" s="10"/>
      <c r="W16" s="10"/>
      <c r="X16" s="10"/>
      <c r="Y16" s="10"/>
    </row>
    <row r="17" spans="5:25" ht="15" customHeight="1" x14ac:dyDescent="0.25">
      <c r="E17" s="12">
        <v>40983</v>
      </c>
      <c r="F17" s="13">
        <v>1394.17</v>
      </c>
      <c r="G17" s="13">
        <v>1402.63</v>
      </c>
      <c r="H17" s="13">
        <v>1392.78</v>
      </c>
      <c r="I17" s="13">
        <v>1402.6</v>
      </c>
      <c r="J17" s="13">
        <v>4271650</v>
      </c>
      <c r="K17" s="13">
        <v>1402.6</v>
      </c>
      <c r="L17" s="17">
        <v>0</v>
      </c>
      <c r="M17" s="17">
        <v>2</v>
      </c>
      <c r="N17"/>
      <c r="O17"/>
      <c r="P17"/>
      <c r="Q17"/>
      <c r="R17" s="10"/>
      <c r="S17" s="10"/>
      <c r="T17" s="10"/>
      <c r="U17" s="10"/>
      <c r="V17" s="10"/>
      <c r="W17" s="10"/>
      <c r="X17" s="10"/>
      <c r="Y17" s="10"/>
    </row>
    <row r="18" spans="5:25" ht="15" customHeight="1" x14ac:dyDescent="0.25">
      <c r="E18" s="12">
        <v>40984</v>
      </c>
      <c r="F18" s="13">
        <v>1402.55</v>
      </c>
      <c r="G18" s="13">
        <v>1405.88</v>
      </c>
      <c r="H18" s="13">
        <v>1401.47</v>
      </c>
      <c r="I18" s="13">
        <v>1404.17</v>
      </c>
      <c r="J18" s="13">
        <v>5163950</v>
      </c>
      <c r="K18" s="13">
        <v>1404.17</v>
      </c>
      <c r="L18" s="17">
        <v>0</v>
      </c>
      <c r="M18" s="17">
        <v>2</v>
      </c>
      <c r="N18"/>
      <c r="O18"/>
      <c r="P18"/>
      <c r="Q18"/>
      <c r="R18" s="10"/>
      <c r="S18" s="10"/>
      <c r="T18" s="10"/>
      <c r="U18" s="10"/>
      <c r="V18" s="10"/>
      <c r="W18" s="10"/>
      <c r="X18" s="10"/>
      <c r="Y18" s="10"/>
    </row>
    <row r="19" spans="5:25" ht="15" customHeight="1" x14ac:dyDescent="0.25">
      <c r="E19" s="12">
        <v>40987</v>
      </c>
      <c r="F19" s="13">
        <v>1404.17</v>
      </c>
      <c r="G19" s="13">
        <v>1414</v>
      </c>
      <c r="H19" s="13">
        <v>1402.43</v>
      </c>
      <c r="I19" s="13">
        <v>1409.75</v>
      </c>
      <c r="J19" s="13">
        <v>3932570</v>
      </c>
      <c r="K19" s="13">
        <v>1409.75</v>
      </c>
      <c r="L19" s="17">
        <v>0</v>
      </c>
      <c r="M19" s="17">
        <v>2</v>
      </c>
      <c r="N19"/>
      <c r="O19"/>
      <c r="P19"/>
      <c r="Q19"/>
      <c r="R19" s="10"/>
      <c r="S19" s="10"/>
      <c r="T19" s="10"/>
      <c r="U19" s="10"/>
      <c r="V19" s="10"/>
      <c r="W19" s="10"/>
      <c r="X19" s="10"/>
      <c r="Y19" s="10"/>
    </row>
    <row r="20" spans="5:25" ht="15" customHeight="1" x14ac:dyDescent="0.25">
      <c r="E20" s="12">
        <v>40988</v>
      </c>
      <c r="F20" s="13">
        <v>1409.59</v>
      </c>
      <c r="G20" s="13">
        <v>1409.59</v>
      </c>
      <c r="H20" s="13">
        <v>1397.68</v>
      </c>
      <c r="I20" s="13">
        <v>1405.52</v>
      </c>
      <c r="J20" s="13">
        <v>3695280</v>
      </c>
      <c r="K20" s="13">
        <v>1405.52</v>
      </c>
      <c r="L20" s="17">
        <v>0</v>
      </c>
      <c r="M20" s="17">
        <v>1</v>
      </c>
      <c r="N20"/>
      <c r="O20"/>
      <c r="P20"/>
      <c r="Q20"/>
      <c r="R20" s="10"/>
      <c r="S20" s="10"/>
      <c r="T20" s="10"/>
      <c r="U20" s="10"/>
      <c r="V20" s="10"/>
      <c r="W20" s="10"/>
      <c r="X20" s="10"/>
      <c r="Y20" s="10"/>
    </row>
    <row r="21" spans="5:25" ht="15" customHeight="1" x14ac:dyDescent="0.25">
      <c r="E21" s="12">
        <v>40989</v>
      </c>
      <c r="F21" s="13">
        <v>1405.52</v>
      </c>
      <c r="G21" s="13">
        <v>1407.75</v>
      </c>
      <c r="H21" s="13">
        <v>1400.64</v>
      </c>
      <c r="I21" s="13">
        <v>1402.89</v>
      </c>
      <c r="J21" s="13">
        <v>3573590</v>
      </c>
      <c r="K21" s="13">
        <v>1402.89</v>
      </c>
      <c r="L21" s="17">
        <v>0</v>
      </c>
      <c r="M21" s="17">
        <v>1</v>
      </c>
      <c r="N21"/>
      <c r="O21"/>
      <c r="P21"/>
      <c r="Q21"/>
      <c r="R21" s="10"/>
      <c r="S21" s="10"/>
      <c r="T21" s="10"/>
      <c r="U21" s="10"/>
      <c r="V21" s="10"/>
      <c r="W21" s="10"/>
      <c r="X21" s="10"/>
      <c r="Y21" s="10"/>
    </row>
    <row r="22" spans="5:25" ht="15" customHeight="1" x14ac:dyDescent="0.25">
      <c r="E22" s="12">
        <v>40990</v>
      </c>
      <c r="F22" s="13">
        <v>1402.89</v>
      </c>
      <c r="G22" s="13">
        <v>1402.89</v>
      </c>
      <c r="H22" s="13">
        <v>1388.73</v>
      </c>
      <c r="I22" s="13">
        <v>1392.78</v>
      </c>
      <c r="J22" s="13">
        <v>3740590</v>
      </c>
      <c r="K22" s="13">
        <v>1392.78</v>
      </c>
      <c r="L22" s="17">
        <v>1</v>
      </c>
      <c r="M22" s="17">
        <v>2</v>
      </c>
      <c r="N22"/>
      <c r="O22"/>
      <c r="P22"/>
      <c r="Q22"/>
      <c r="R22" s="10"/>
      <c r="S22" s="10"/>
      <c r="T22" s="10"/>
      <c r="U22" s="10"/>
      <c r="V22" s="10"/>
      <c r="W22" s="10"/>
      <c r="X22" s="10"/>
      <c r="Y22" s="10"/>
    </row>
    <row r="23" spans="5:25" ht="15" customHeight="1" x14ac:dyDescent="0.25">
      <c r="E23" s="12">
        <v>40991</v>
      </c>
      <c r="F23" s="13">
        <v>1392.78</v>
      </c>
      <c r="G23" s="13">
        <v>1399.18</v>
      </c>
      <c r="H23" s="13">
        <v>1386.87</v>
      </c>
      <c r="I23" s="13">
        <v>1397.11</v>
      </c>
      <c r="J23" s="13">
        <v>3472950</v>
      </c>
      <c r="K23" s="13">
        <v>1397.11</v>
      </c>
      <c r="L23" s="17">
        <v>0</v>
      </c>
      <c r="M23" s="17">
        <v>2</v>
      </c>
      <c r="N23"/>
      <c r="O23"/>
      <c r="P23"/>
      <c r="Q23"/>
      <c r="R23" s="10"/>
      <c r="S23" s="10"/>
      <c r="T23" s="10"/>
      <c r="U23" s="10"/>
      <c r="V23" s="10"/>
      <c r="W23" s="10"/>
      <c r="X23" s="10"/>
      <c r="Y23" s="10"/>
    </row>
    <row r="24" spans="5:25" ht="15" customHeight="1" x14ac:dyDescent="0.25">
      <c r="E24" s="12">
        <v>40994</v>
      </c>
      <c r="F24" s="13">
        <v>1397.11</v>
      </c>
      <c r="G24" s="13">
        <v>1416.58</v>
      </c>
      <c r="H24" s="13">
        <v>1397.11</v>
      </c>
      <c r="I24" s="13">
        <v>1416.51</v>
      </c>
      <c r="J24" s="13">
        <v>3576950</v>
      </c>
      <c r="K24" s="13">
        <v>1416.51</v>
      </c>
      <c r="L24" s="17">
        <v>0</v>
      </c>
      <c r="M24" s="17">
        <v>2</v>
      </c>
      <c r="N24"/>
      <c r="O24"/>
      <c r="P24"/>
      <c r="Q24"/>
      <c r="R24" s="10"/>
      <c r="S24" s="10"/>
      <c r="T24" s="10"/>
      <c r="U24" s="10"/>
      <c r="V24" s="10"/>
      <c r="W24" s="10"/>
      <c r="X24" s="10"/>
      <c r="Y24" s="10"/>
    </row>
    <row r="25" spans="5:25" ht="15" customHeight="1" x14ac:dyDescent="0.25">
      <c r="E25" s="12">
        <v>40995</v>
      </c>
      <c r="F25" s="13">
        <v>1416.55</v>
      </c>
      <c r="G25" s="13">
        <v>1419.15</v>
      </c>
      <c r="H25" s="13">
        <v>1411.95</v>
      </c>
      <c r="I25" s="13">
        <v>1412.52</v>
      </c>
      <c r="J25" s="13">
        <v>3513640</v>
      </c>
      <c r="K25" s="13">
        <v>1412.52</v>
      </c>
      <c r="L25" s="17">
        <v>0</v>
      </c>
      <c r="M25" s="17">
        <v>2</v>
      </c>
      <c r="N25"/>
      <c r="O25"/>
      <c r="P25"/>
      <c r="Q25"/>
      <c r="R25" s="10"/>
      <c r="S25" s="10"/>
      <c r="T25" s="10"/>
      <c r="U25" s="10"/>
      <c r="V25" s="10"/>
      <c r="W25" s="10"/>
      <c r="X25" s="10"/>
      <c r="Y25" s="10"/>
    </row>
    <row r="26" spans="5:25" ht="15" customHeight="1" x14ac:dyDescent="0.25">
      <c r="E26" s="12">
        <v>40996</v>
      </c>
      <c r="F26" s="13">
        <v>1412.52</v>
      </c>
      <c r="G26" s="13">
        <v>1413.65</v>
      </c>
      <c r="H26" s="13">
        <v>1397.2</v>
      </c>
      <c r="I26" s="13">
        <v>1405.54</v>
      </c>
      <c r="J26" s="13">
        <v>3892800</v>
      </c>
      <c r="K26" s="13">
        <v>1405.54</v>
      </c>
      <c r="L26" s="17">
        <v>0</v>
      </c>
      <c r="M26" s="17">
        <v>1</v>
      </c>
      <c r="N26"/>
      <c r="O26"/>
      <c r="P26"/>
      <c r="Q26"/>
      <c r="R26" s="10"/>
      <c r="S26" s="10"/>
      <c r="T26" s="10"/>
      <c r="U26" s="10"/>
      <c r="V26" s="10"/>
      <c r="W26" s="10"/>
      <c r="X26" s="10"/>
      <c r="Y26" s="10"/>
    </row>
    <row r="27" spans="5:25" ht="15" customHeight="1" x14ac:dyDescent="0.25">
      <c r="E27" s="12">
        <v>40997</v>
      </c>
      <c r="F27" s="13">
        <v>1405.39</v>
      </c>
      <c r="G27" s="13">
        <v>1405.39</v>
      </c>
      <c r="H27" s="13">
        <v>1391.56</v>
      </c>
      <c r="I27" s="13">
        <v>1403.28</v>
      </c>
      <c r="J27" s="13">
        <v>3832000</v>
      </c>
      <c r="K27" s="13">
        <v>1403.28</v>
      </c>
      <c r="L27" s="17">
        <v>1</v>
      </c>
      <c r="M27" s="17">
        <v>2</v>
      </c>
      <c r="N27"/>
      <c r="O27"/>
      <c r="P27"/>
      <c r="Q27"/>
      <c r="R27" s="10"/>
      <c r="S27" s="10"/>
      <c r="T27" s="10"/>
      <c r="U27" s="10"/>
      <c r="V27" s="10"/>
      <c r="W27" s="10"/>
      <c r="X27" s="10"/>
      <c r="Y27" s="10"/>
    </row>
    <row r="28" spans="5:25" ht="15" customHeight="1" x14ac:dyDescent="0.25">
      <c r="E28" s="12">
        <v>40998</v>
      </c>
      <c r="F28" s="13">
        <v>1403.31</v>
      </c>
      <c r="G28" s="13">
        <v>1410.89</v>
      </c>
      <c r="H28" s="13">
        <v>1401.42</v>
      </c>
      <c r="I28" s="13">
        <v>1408.47</v>
      </c>
      <c r="J28" s="13">
        <v>3676890</v>
      </c>
      <c r="K28" s="13">
        <v>1408.47</v>
      </c>
      <c r="L28" s="17">
        <v>0</v>
      </c>
      <c r="M28" s="17">
        <v>2</v>
      </c>
      <c r="N28"/>
      <c r="O28"/>
      <c r="P28"/>
      <c r="Q28"/>
      <c r="R28" s="10"/>
      <c r="S28" s="10"/>
      <c r="T28" s="10"/>
      <c r="U28" s="10"/>
      <c r="V28" s="10"/>
      <c r="W28" s="10"/>
      <c r="X28" s="10"/>
      <c r="Y28" s="10"/>
    </row>
    <row r="29" spans="5:25" ht="15" customHeight="1" x14ac:dyDescent="0.25">
      <c r="E29" s="12">
        <v>41001</v>
      </c>
      <c r="F29" s="13">
        <v>1408.47</v>
      </c>
      <c r="G29" s="13">
        <v>1422.38</v>
      </c>
      <c r="H29" s="13">
        <v>1404.46</v>
      </c>
      <c r="I29" s="13">
        <v>1419.04</v>
      </c>
      <c r="J29" s="13">
        <v>3572010</v>
      </c>
      <c r="K29" s="13">
        <v>1419.04</v>
      </c>
      <c r="L29" s="17">
        <v>0</v>
      </c>
      <c r="M29" s="17">
        <v>2</v>
      </c>
      <c r="N29"/>
      <c r="O29"/>
      <c r="P29"/>
      <c r="Q29"/>
      <c r="R29" s="10"/>
      <c r="S29" s="10"/>
      <c r="T29" s="10"/>
      <c r="U29" s="10"/>
      <c r="V29" s="10"/>
      <c r="W29" s="10"/>
      <c r="X29" s="10"/>
      <c r="Y29" s="10"/>
    </row>
    <row r="30" spans="5:25" ht="15" customHeight="1" x14ac:dyDescent="0.25">
      <c r="E30" s="12">
        <v>41002</v>
      </c>
      <c r="F30" s="13">
        <v>1418.98</v>
      </c>
      <c r="G30" s="13">
        <v>1419</v>
      </c>
      <c r="H30" s="13">
        <v>1404.62</v>
      </c>
      <c r="I30" s="13">
        <v>1413.38</v>
      </c>
      <c r="J30" s="13">
        <v>3822090</v>
      </c>
      <c r="K30" s="13">
        <v>1413.38</v>
      </c>
      <c r="L30" s="17">
        <v>0</v>
      </c>
      <c r="M30" s="17">
        <v>2</v>
      </c>
      <c r="N30"/>
      <c r="O30"/>
      <c r="P30"/>
      <c r="Q30"/>
      <c r="R30" s="10"/>
      <c r="S30" s="10"/>
      <c r="T30" s="10"/>
      <c r="U30" s="10"/>
      <c r="V30" s="10"/>
      <c r="W30" s="10"/>
      <c r="X30" s="10"/>
      <c r="Y30" s="10"/>
    </row>
    <row r="31" spans="5:25" ht="15" customHeight="1" x14ac:dyDescent="0.25">
      <c r="E31" s="12">
        <v>41003</v>
      </c>
      <c r="F31" s="13">
        <v>1413.09</v>
      </c>
      <c r="G31" s="13">
        <v>1413.09</v>
      </c>
      <c r="H31" s="13">
        <v>1394.09</v>
      </c>
      <c r="I31" s="13">
        <v>1398.96</v>
      </c>
      <c r="J31" s="13">
        <v>3938290</v>
      </c>
      <c r="K31" s="13">
        <v>1398.96</v>
      </c>
      <c r="L31" s="17">
        <v>0</v>
      </c>
      <c r="M31" s="17">
        <v>2</v>
      </c>
      <c r="N31"/>
      <c r="O31"/>
      <c r="P31"/>
      <c r="Q31"/>
      <c r="R31" s="10"/>
      <c r="S31" s="10"/>
      <c r="T31" s="10"/>
      <c r="U31" s="10"/>
      <c r="V31" s="10"/>
      <c r="W31" s="10"/>
      <c r="X31" s="10"/>
      <c r="Y31" s="10"/>
    </row>
    <row r="32" spans="5:25" ht="15" customHeight="1" x14ac:dyDescent="0.25">
      <c r="E32" s="12">
        <v>41004</v>
      </c>
      <c r="F32" s="13">
        <v>1398.79</v>
      </c>
      <c r="G32" s="13">
        <v>1401.6</v>
      </c>
      <c r="H32" s="13">
        <v>1392.92</v>
      </c>
      <c r="I32" s="13">
        <v>1398.08</v>
      </c>
      <c r="J32" s="13">
        <v>3303740</v>
      </c>
      <c r="K32" s="13">
        <v>1398.08</v>
      </c>
      <c r="L32" s="17">
        <v>0</v>
      </c>
      <c r="M32" s="17">
        <v>1</v>
      </c>
      <c r="N32"/>
      <c r="O32"/>
      <c r="P32"/>
      <c r="Q32"/>
      <c r="R32" s="10"/>
      <c r="S32" s="10"/>
      <c r="T32" s="10"/>
      <c r="U32" s="10"/>
      <c r="V32" s="10"/>
      <c r="W32" s="10"/>
      <c r="X32" s="10"/>
      <c r="Y32" s="10"/>
    </row>
    <row r="33" spans="5:25" ht="15" customHeight="1" x14ac:dyDescent="0.25">
      <c r="E33" s="12">
        <v>41008</v>
      </c>
      <c r="F33" s="13">
        <v>1397.45</v>
      </c>
      <c r="G33" s="13">
        <v>1397.45</v>
      </c>
      <c r="H33" s="13">
        <v>1378.24</v>
      </c>
      <c r="I33" s="13">
        <v>1382.2</v>
      </c>
      <c r="J33" s="13">
        <v>3468980</v>
      </c>
      <c r="K33" s="13">
        <v>1382.2</v>
      </c>
      <c r="L33" s="17">
        <v>0</v>
      </c>
      <c r="M33" s="17">
        <v>1</v>
      </c>
      <c r="N33"/>
      <c r="O33"/>
      <c r="P33"/>
      <c r="Q33"/>
      <c r="R33" s="10"/>
      <c r="S33" s="10"/>
      <c r="T33" s="10"/>
      <c r="U33" s="10"/>
      <c r="V33" s="10"/>
      <c r="W33" s="10"/>
      <c r="X33" s="10"/>
      <c r="Y33" s="10"/>
    </row>
    <row r="34" spans="5:25" ht="15" customHeight="1" x14ac:dyDescent="0.25">
      <c r="E34" s="12">
        <v>41009</v>
      </c>
      <c r="F34" s="13">
        <v>1382.18</v>
      </c>
      <c r="G34" s="13">
        <v>1383.01</v>
      </c>
      <c r="H34" s="13">
        <v>1357.38</v>
      </c>
      <c r="I34" s="13">
        <v>1358.59</v>
      </c>
      <c r="J34" s="13">
        <v>4631730</v>
      </c>
      <c r="K34" s="13">
        <v>1358.59</v>
      </c>
      <c r="L34" s="17">
        <v>1</v>
      </c>
      <c r="M34" s="17">
        <v>2</v>
      </c>
      <c r="N34"/>
      <c r="O34"/>
      <c r="P34"/>
      <c r="Q34"/>
      <c r="R34" s="10"/>
      <c r="S34" s="10"/>
      <c r="T34" s="10"/>
      <c r="U34" s="10"/>
      <c r="V34" s="10"/>
      <c r="W34" s="10"/>
      <c r="X34" s="10"/>
      <c r="Y34" s="10"/>
    </row>
    <row r="35" spans="5:25" ht="15" customHeight="1" x14ac:dyDescent="0.25">
      <c r="E35" s="12">
        <v>41010</v>
      </c>
      <c r="F35" s="13">
        <v>1358.98</v>
      </c>
      <c r="G35" s="13">
        <v>1374.71</v>
      </c>
      <c r="H35" s="13">
        <v>1358.98</v>
      </c>
      <c r="I35" s="13">
        <v>1368.71</v>
      </c>
      <c r="J35" s="13">
        <v>3743040</v>
      </c>
      <c r="K35" s="13">
        <v>1368.71</v>
      </c>
      <c r="L35" s="17">
        <v>0</v>
      </c>
      <c r="M35" s="17">
        <v>2</v>
      </c>
      <c r="N35"/>
      <c r="O35"/>
      <c r="P35"/>
      <c r="Q35"/>
      <c r="R35" s="10"/>
      <c r="S35" s="10"/>
      <c r="T35" s="10"/>
      <c r="U35" s="10"/>
      <c r="V35" s="10"/>
      <c r="W35" s="10"/>
      <c r="X35" s="10"/>
      <c r="Y35" s="10"/>
    </row>
    <row r="36" spans="5:25" ht="15" customHeight="1" x14ac:dyDescent="0.25">
      <c r="E36" s="12">
        <v>41011</v>
      </c>
      <c r="F36" s="13">
        <v>1368.77</v>
      </c>
      <c r="G36" s="13">
        <v>1388.13</v>
      </c>
      <c r="H36" s="13">
        <v>1368.77</v>
      </c>
      <c r="I36" s="13">
        <v>1387.57</v>
      </c>
      <c r="J36" s="13">
        <v>3618280</v>
      </c>
      <c r="K36" s="13">
        <v>1387.57</v>
      </c>
      <c r="L36" s="17">
        <v>0</v>
      </c>
      <c r="M36" s="17">
        <v>2</v>
      </c>
      <c r="N36"/>
      <c r="O36"/>
      <c r="P36"/>
      <c r="Q36"/>
      <c r="R36" s="10"/>
      <c r="S36" s="10"/>
      <c r="T36" s="10"/>
      <c r="U36" s="10"/>
      <c r="V36" s="10"/>
      <c r="W36" s="10"/>
      <c r="X36" s="10"/>
      <c r="Y36" s="10"/>
    </row>
    <row r="37" spans="5:25" ht="15" customHeight="1" x14ac:dyDescent="0.25">
      <c r="E37" s="12">
        <v>41012</v>
      </c>
      <c r="F37" s="13">
        <v>1387.61</v>
      </c>
      <c r="G37" s="13">
        <v>1387.61</v>
      </c>
      <c r="H37" s="13">
        <v>1369.85</v>
      </c>
      <c r="I37" s="13">
        <v>1370.26</v>
      </c>
      <c r="J37" s="13">
        <v>3631160</v>
      </c>
      <c r="K37" s="13">
        <v>1370.26</v>
      </c>
      <c r="L37" s="17">
        <v>0</v>
      </c>
      <c r="M37" s="17">
        <v>1</v>
      </c>
      <c r="N37"/>
      <c r="O37"/>
      <c r="P37"/>
      <c r="Q37"/>
      <c r="R37" s="10"/>
      <c r="S37" s="10"/>
      <c r="T37" s="10"/>
      <c r="U37" s="10"/>
      <c r="V37" s="10"/>
      <c r="W37" s="10"/>
      <c r="X37" s="10"/>
      <c r="Y37" s="10"/>
    </row>
    <row r="38" spans="5:25" ht="15" customHeight="1" x14ac:dyDescent="0.25">
      <c r="E38" s="12">
        <v>41015</v>
      </c>
      <c r="F38" s="13">
        <v>1370.27</v>
      </c>
      <c r="G38" s="13">
        <v>1379.66</v>
      </c>
      <c r="H38" s="13">
        <v>1365.38</v>
      </c>
      <c r="I38" s="13">
        <v>1369.57</v>
      </c>
      <c r="J38" s="13">
        <v>3574780</v>
      </c>
      <c r="K38" s="13">
        <v>1369.57</v>
      </c>
      <c r="L38" s="17">
        <v>1</v>
      </c>
      <c r="M38" s="17">
        <v>2</v>
      </c>
      <c r="N38"/>
      <c r="O38"/>
      <c r="P38"/>
      <c r="Q38"/>
      <c r="R38" s="10"/>
      <c r="S38" s="10"/>
      <c r="T38" s="10"/>
      <c r="U38" s="10"/>
      <c r="V38" s="10"/>
      <c r="W38" s="10"/>
      <c r="X38" s="10"/>
      <c r="Y38" s="10"/>
    </row>
    <row r="39" spans="5:25" ht="15" customHeight="1" x14ac:dyDescent="0.25">
      <c r="E39" s="12">
        <v>41016</v>
      </c>
      <c r="F39" s="13">
        <v>1369.57</v>
      </c>
      <c r="G39" s="13">
        <v>1392.76</v>
      </c>
      <c r="H39" s="13">
        <v>1369.57</v>
      </c>
      <c r="I39" s="13">
        <v>1390.78</v>
      </c>
      <c r="J39" s="13">
        <v>3456200</v>
      </c>
      <c r="K39" s="13">
        <v>1390.78</v>
      </c>
      <c r="L39" s="17">
        <v>0</v>
      </c>
      <c r="M39" s="17">
        <v>2</v>
      </c>
      <c r="N39"/>
      <c r="O39"/>
      <c r="P39"/>
      <c r="Q39"/>
      <c r="R39" s="10"/>
      <c r="S39" s="10"/>
      <c r="T39" s="10"/>
      <c r="U39" s="10"/>
      <c r="V39" s="10"/>
      <c r="W39" s="10"/>
      <c r="X39" s="10"/>
      <c r="Y39" s="10"/>
    </row>
    <row r="40" spans="5:25" ht="15" customHeight="1" x14ac:dyDescent="0.25">
      <c r="E40" s="12">
        <v>41017</v>
      </c>
      <c r="F40" s="13">
        <v>1390.78</v>
      </c>
      <c r="G40" s="13">
        <v>1390.78</v>
      </c>
      <c r="H40" s="13">
        <v>1383.29</v>
      </c>
      <c r="I40" s="13">
        <v>1385.14</v>
      </c>
      <c r="J40" s="13">
        <v>3463140</v>
      </c>
      <c r="K40" s="13">
        <v>1385.14</v>
      </c>
      <c r="L40" s="17">
        <v>0</v>
      </c>
      <c r="M40" s="17">
        <v>2</v>
      </c>
      <c r="N40"/>
      <c r="O40"/>
      <c r="P40"/>
      <c r="Q40"/>
      <c r="R40" s="10"/>
      <c r="S40" s="10"/>
      <c r="T40" s="10"/>
      <c r="U40" s="10"/>
      <c r="V40" s="10"/>
      <c r="W40" s="10"/>
      <c r="X40" s="10"/>
      <c r="Y40" s="10"/>
    </row>
    <row r="41" spans="5:25" ht="15" customHeight="1" x14ac:dyDescent="0.25">
      <c r="E41" s="12">
        <v>41018</v>
      </c>
      <c r="F41" s="13">
        <v>1385.08</v>
      </c>
      <c r="G41" s="13">
        <v>1390.46</v>
      </c>
      <c r="H41" s="13">
        <v>1370.3</v>
      </c>
      <c r="I41" s="13">
        <v>1376.92</v>
      </c>
      <c r="J41" s="13">
        <v>4180020</v>
      </c>
      <c r="K41" s="13">
        <v>1376.92</v>
      </c>
      <c r="L41" s="17">
        <v>1</v>
      </c>
      <c r="M41" s="17">
        <v>3</v>
      </c>
      <c r="N41"/>
      <c r="O41"/>
      <c r="P41"/>
      <c r="Q41"/>
      <c r="R41" s="10"/>
      <c r="S41" s="10"/>
      <c r="T41" s="10"/>
      <c r="U41" s="10"/>
      <c r="V41" s="10"/>
      <c r="W41" s="10"/>
      <c r="X41" s="10"/>
      <c r="Y41" s="10"/>
    </row>
    <row r="42" spans="5:25" ht="15" customHeight="1" x14ac:dyDescent="0.25">
      <c r="E42" s="12">
        <v>41019</v>
      </c>
      <c r="F42" s="13">
        <v>1376.96</v>
      </c>
      <c r="G42" s="13">
        <v>1387.4</v>
      </c>
      <c r="H42" s="13">
        <v>1376.96</v>
      </c>
      <c r="I42" s="13">
        <v>1378.53</v>
      </c>
      <c r="J42" s="13">
        <v>3833320</v>
      </c>
      <c r="K42" s="13">
        <v>1378.53</v>
      </c>
      <c r="L42" s="17">
        <v>0</v>
      </c>
      <c r="M42" s="17">
        <v>3</v>
      </c>
      <c r="N42"/>
      <c r="O42"/>
      <c r="P42"/>
      <c r="Q42"/>
      <c r="R42" s="10"/>
      <c r="S42" s="10"/>
      <c r="T42" s="10"/>
      <c r="U42" s="10"/>
      <c r="V42" s="10"/>
      <c r="W42" s="10"/>
      <c r="X42" s="10"/>
      <c r="Y42" s="10"/>
    </row>
    <row r="43" spans="5:25" ht="15" customHeight="1" x14ac:dyDescent="0.25">
      <c r="E43" s="12">
        <v>41022</v>
      </c>
      <c r="F43" s="13">
        <v>1378.53</v>
      </c>
      <c r="G43" s="13">
        <v>1378.53</v>
      </c>
      <c r="H43" s="13">
        <v>1358.79</v>
      </c>
      <c r="I43" s="13">
        <v>1366.94</v>
      </c>
      <c r="J43" s="13">
        <v>3654860</v>
      </c>
      <c r="K43" s="13">
        <v>1366.94</v>
      </c>
      <c r="L43" s="17">
        <v>1</v>
      </c>
      <c r="M43" s="17">
        <v>4</v>
      </c>
      <c r="N43"/>
      <c r="O43"/>
      <c r="P43"/>
      <c r="Q43"/>
      <c r="R43" s="10"/>
      <c r="S43" s="10"/>
      <c r="T43" s="10"/>
      <c r="U43" s="10"/>
      <c r="V43" s="10"/>
      <c r="W43" s="10"/>
      <c r="X43" s="10"/>
      <c r="Y43" s="10"/>
    </row>
    <row r="44" spans="5:25" ht="15" customHeight="1" x14ac:dyDescent="0.25">
      <c r="E44" s="12">
        <v>41023</v>
      </c>
      <c r="F44" s="13">
        <v>1366.97</v>
      </c>
      <c r="G44" s="13">
        <v>1375.57</v>
      </c>
      <c r="H44" s="13">
        <v>1366.82</v>
      </c>
      <c r="I44" s="13">
        <v>1371.97</v>
      </c>
      <c r="J44" s="13">
        <v>3617100</v>
      </c>
      <c r="K44" s="13">
        <v>1371.97</v>
      </c>
      <c r="L44" s="17">
        <v>0</v>
      </c>
      <c r="M44" s="17">
        <v>3</v>
      </c>
      <c r="N44"/>
      <c r="O44"/>
      <c r="P44"/>
      <c r="Q44"/>
      <c r="R44" s="10"/>
      <c r="S44" s="10"/>
      <c r="T44" s="10"/>
      <c r="U44" s="10"/>
      <c r="V44" s="10"/>
      <c r="W44" s="10"/>
      <c r="X44" s="10"/>
      <c r="Y44" s="10"/>
    </row>
    <row r="45" spans="5:25" ht="15" customHeight="1" x14ac:dyDescent="0.25">
      <c r="E45" s="12">
        <v>41024</v>
      </c>
      <c r="F45" s="13">
        <v>1372.11</v>
      </c>
      <c r="G45" s="13">
        <v>1391.37</v>
      </c>
      <c r="H45" s="13">
        <v>1372.11</v>
      </c>
      <c r="I45" s="13">
        <v>1390.69</v>
      </c>
      <c r="J45" s="13">
        <v>3998430</v>
      </c>
      <c r="K45" s="13">
        <v>1390.69</v>
      </c>
      <c r="L45" s="17">
        <v>0</v>
      </c>
      <c r="M45" s="17">
        <v>3</v>
      </c>
      <c r="N45"/>
      <c r="O45"/>
      <c r="P45"/>
      <c r="Q45"/>
      <c r="R45" s="10"/>
      <c r="S45" s="10"/>
      <c r="T45" s="10"/>
      <c r="U45" s="10"/>
      <c r="V45" s="10"/>
      <c r="W45" s="10"/>
      <c r="X45" s="10"/>
      <c r="Y45" s="10"/>
    </row>
    <row r="46" spans="5:25" ht="15" customHeight="1" x14ac:dyDescent="0.25">
      <c r="E46" s="12">
        <v>41025</v>
      </c>
      <c r="F46" s="13">
        <v>1390.64</v>
      </c>
      <c r="G46" s="13">
        <v>1402.09</v>
      </c>
      <c r="H46" s="13">
        <v>1387.28</v>
      </c>
      <c r="I46" s="13">
        <v>1399.98</v>
      </c>
      <c r="J46" s="13">
        <v>4034700</v>
      </c>
      <c r="K46" s="13">
        <v>1399.98</v>
      </c>
      <c r="L46" s="17">
        <v>0</v>
      </c>
      <c r="M46" s="17">
        <v>3</v>
      </c>
      <c r="N46"/>
      <c r="O46"/>
      <c r="P46"/>
      <c r="Q46"/>
      <c r="R46" s="10"/>
      <c r="S46" s="10"/>
      <c r="T46" s="10"/>
      <c r="U46" s="10"/>
      <c r="V46" s="10"/>
      <c r="W46" s="10"/>
      <c r="X46" s="10"/>
      <c r="Y46" s="10"/>
    </row>
    <row r="47" spans="5:25" ht="15" customHeight="1" x14ac:dyDescent="0.25">
      <c r="E47" s="12">
        <v>41026</v>
      </c>
      <c r="F47" s="13">
        <v>1400.19</v>
      </c>
      <c r="G47" s="13">
        <v>1406.64</v>
      </c>
      <c r="H47" s="13">
        <v>1397.31</v>
      </c>
      <c r="I47" s="13">
        <v>1403.36</v>
      </c>
      <c r="J47" s="13">
        <v>3645830</v>
      </c>
      <c r="K47" s="13">
        <v>1403.36</v>
      </c>
      <c r="L47" s="17">
        <v>0</v>
      </c>
      <c r="M47" s="17">
        <v>3</v>
      </c>
      <c r="N47"/>
      <c r="O47"/>
      <c r="P47"/>
      <c r="Q47"/>
      <c r="R47" s="10"/>
      <c r="S47" s="10"/>
      <c r="T47" s="10"/>
      <c r="U47" s="10"/>
      <c r="V47" s="10"/>
      <c r="W47" s="10"/>
      <c r="X47" s="10"/>
      <c r="Y47" s="10"/>
    </row>
    <row r="48" spans="5:25" ht="15" customHeight="1" x14ac:dyDescent="0.25">
      <c r="E48" s="12">
        <v>41029</v>
      </c>
      <c r="F48" s="13">
        <v>1403.26</v>
      </c>
      <c r="G48" s="13">
        <v>1403.26</v>
      </c>
      <c r="H48" s="13">
        <v>1394</v>
      </c>
      <c r="I48" s="13">
        <v>1397.91</v>
      </c>
      <c r="J48" s="13">
        <v>3574010</v>
      </c>
      <c r="K48" s="13">
        <v>1397.91</v>
      </c>
      <c r="L48" s="17">
        <v>1</v>
      </c>
      <c r="M48" s="17">
        <v>3</v>
      </c>
      <c r="N48"/>
      <c r="O48"/>
      <c r="P48"/>
      <c r="Q48"/>
      <c r="R48" s="10"/>
      <c r="S48" s="10"/>
      <c r="T48" s="10"/>
      <c r="U48" s="10"/>
      <c r="V48" s="10"/>
      <c r="W48" s="10"/>
      <c r="X48" s="10"/>
      <c r="Y48" s="10"/>
    </row>
    <row r="49" spans="5:25" ht="15" customHeight="1" x14ac:dyDescent="0.25">
      <c r="E49" s="12">
        <v>41030</v>
      </c>
      <c r="F49" s="13">
        <v>1397.86</v>
      </c>
      <c r="G49" s="13">
        <v>1415.32</v>
      </c>
      <c r="H49" s="13">
        <v>1395.73</v>
      </c>
      <c r="I49" s="13">
        <v>1405.82</v>
      </c>
      <c r="J49" s="13">
        <v>3807950</v>
      </c>
      <c r="K49" s="13">
        <v>1405.82</v>
      </c>
      <c r="L49" s="17">
        <v>0</v>
      </c>
      <c r="M49" s="17">
        <v>3</v>
      </c>
      <c r="N49"/>
      <c r="O49"/>
      <c r="P49"/>
      <c r="Q49"/>
      <c r="R49" s="10"/>
      <c r="S49" s="10"/>
      <c r="T49" s="10"/>
      <c r="U49" s="10"/>
      <c r="V49" s="10"/>
      <c r="W49" s="10"/>
      <c r="X49" s="10"/>
      <c r="Y49" s="10"/>
    </row>
    <row r="50" spans="5:25" ht="15" customHeight="1" x14ac:dyDescent="0.25">
      <c r="E50" s="12">
        <v>41031</v>
      </c>
      <c r="F50" s="13">
        <v>1405.5</v>
      </c>
      <c r="G50" s="13">
        <v>1405.5</v>
      </c>
      <c r="H50" s="13">
        <v>1393.92</v>
      </c>
      <c r="I50" s="13">
        <v>1402.31</v>
      </c>
      <c r="J50" s="13">
        <v>3803860</v>
      </c>
      <c r="K50" s="13">
        <v>1402.31</v>
      </c>
      <c r="L50" s="17">
        <v>0</v>
      </c>
      <c r="M50" s="17">
        <v>3</v>
      </c>
      <c r="N50"/>
      <c r="O50"/>
      <c r="P50"/>
      <c r="Q50"/>
      <c r="R50" s="10"/>
      <c r="S50" s="10"/>
      <c r="T50" s="10"/>
      <c r="U50" s="10"/>
      <c r="V50" s="10"/>
      <c r="W50" s="10"/>
      <c r="X50" s="10"/>
      <c r="Y50" s="10"/>
    </row>
    <row r="51" spans="5:25" ht="15" customHeight="1" x14ac:dyDescent="0.25">
      <c r="E51" s="12">
        <v>41032</v>
      </c>
      <c r="F51" s="13">
        <v>1402.32</v>
      </c>
      <c r="G51" s="13">
        <v>1403.07</v>
      </c>
      <c r="H51" s="13">
        <v>1388.71</v>
      </c>
      <c r="I51" s="13">
        <v>1391.57</v>
      </c>
      <c r="J51" s="13">
        <v>4004910</v>
      </c>
      <c r="K51" s="13">
        <v>1391.57</v>
      </c>
      <c r="L51" s="17">
        <v>0</v>
      </c>
      <c r="M51" s="17">
        <v>2</v>
      </c>
      <c r="N51"/>
      <c r="O51"/>
      <c r="P51"/>
      <c r="Q51"/>
      <c r="R51" s="10"/>
      <c r="S51" s="10"/>
      <c r="T51" s="10"/>
      <c r="U51" s="10"/>
      <c r="V51" s="10"/>
      <c r="W51" s="10"/>
      <c r="X51" s="10"/>
      <c r="Y51" s="10"/>
    </row>
    <row r="52" spans="5:25" ht="15" customHeight="1" x14ac:dyDescent="0.25">
      <c r="E52" s="12">
        <v>41033</v>
      </c>
      <c r="F52" s="13">
        <v>1391.51</v>
      </c>
      <c r="G52" s="13">
        <v>1391.51</v>
      </c>
      <c r="H52" s="13">
        <v>1367.96</v>
      </c>
      <c r="I52" s="13">
        <v>1369.1</v>
      </c>
      <c r="J52" s="13">
        <v>3975140</v>
      </c>
      <c r="K52" s="13">
        <v>1369.1</v>
      </c>
      <c r="L52" s="17">
        <v>1</v>
      </c>
      <c r="M52" s="17">
        <v>3</v>
      </c>
      <c r="N52"/>
      <c r="O52"/>
      <c r="P52"/>
      <c r="Q52"/>
      <c r="R52" s="10"/>
      <c r="S52" s="10"/>
      <c r="T52" s="10"/>
      <c r="U52" s="10"/>
      <c r="V52" s="10"/>
      <c r="W52" s="10"/>
      <c r="X52" s="10"/>
      <c r="Y52" s="10"/>
    </row>
    <row r="53" spans="5:25" ht="15" customHeight="1" x14ac:dyDescent="0.25">
      <c r="E53" s="12">
        <v>41036</v>
      </c>
      <c r="F53" s="13">
        <v>1368.79</v>
      </c>
      <c r="G53" s="13">
        <v>1373.91</v>
      </c>
      <c r="H53" s="13">
        <v>1363.94</v>
      </c>
      <c r="I53" s="13">
        <v>1369.58</v>
      </c>
      <c r="J53" s="13">
        <v>3559390</v>
      </c>
      <c r="K53" s="13">
        <v>1369.58</v>
      </c>
      <c r="L53" s="17">
        <v>0</v>
      </c>
      <c r="M53" s="17">
        <v>2</v>
      </c>
      <c r="N53"/>
      <c r="O53"/>
      <c r="P53"/>
      <c r="Q53"/>
      <c r="R53" s="10"/>
      <c r="S53" s="10"/>
      <c r="T53" s="10"/>
      <c r="U53" s="10"/>
      <c r="V53" s="10"/>
      <c r="W53" s="10"/>
      <c r="X53" s="10"/>
      <c r="Y53" s="10"/>
    </row>
    <row r="54" spans="5:25" ht="15" customHeight="1" x14ac:dyDescent="0.25">
      <c r="E54" s="12">
        <v>41037</v>
      </c>
      <c r="F54" s="13">
        <v>1369.16</v>
      </c>
      <c r="G54" s="13">
        <v>1369.16</v>
      </c>
      <c r="H54" s="13">
        <v>1347.75</v>
      </c>
      <c r="I54" s="13">
        <v>1363.72</v>
      </c>
      <c r="J54" s="13">
        <v>4261670</v>
      </c>
      <c r="K54" s="13">
        <v>1363.72</v>
      </c>
      <c r="L54" s="17">
        <v>0</v>
      </c>
      <c r="M54" s="17">
        <v>2</v>
      </c>
      <c r="N54"/>
      <c r="O54"/>
      <c r="P54"/>
      <c r="Q54"/>
      <c r="R54" s="10"/>
      <c r="S54" s="10"/>
      <c r="T54" s="10"/>
      <c r="U54" s="10"/>
      <c r="V54" s="10"/>
      <c r="W54" s="10"/>
      <c r="X54" s="10"/>
      <c r="Y54" s="10"/>
    </row>
    <row r="55" spans="5:25" ht="15" customHeight="1" x14ac:dyDescent="0.25">
      <c r="E55" s="12">
        <v>41038</v>
      </c>
      <c r="F55" s="13">
        <v>1363.2</v>
      </c>
      <c r="G55" s="13">
        <v>1363.73</v>
      </c>
      <c r="H55" s="13">
        <v>1343.13</v>
      </c>
      <c r="I55" s="13">
        <v>1354.58</v>
      </c>
      <c r="J55" s="13">
        <v>4288540</v>
      </c>
      <c r="K55" s="13">
        <v>1354.58</v>
      </c>
      <c r="L55" s="17">
        <v>1</v>
      </c>
      <c r="M55" s="17">
        <v>3</v>
      </c>
      <c r="N55"/>
      <c r="O55"/>
      <c r="P55"/>
      <c r="Q55"/>
      <c r="R55" s="10"/>
      <c r="S55" s="10"/>
      <c r="T55" s="10"/>
      <c r="U55" s="10"/>
      <c r="V55" s="10"/>
      <c r="W55" s="10"/>
      <c r="X55" s="10"/>
      <c r="Y55" s="10"/>
    </row>
    <row r="56" spans="5:25" ht="15" customHeight="1" x14ac:dyDescent="0.25">
      <c r="E56" s="12">
        <v>41039</v>
      </c>
      <c r="F56" s="13">
        <v>1354.58</v>
      </c>
      <c r="G56" s="13">
        <v>1365.88</v>
      </c>
      <c r="H56" s="13">
        <v>1354.58</v>
      </c>
      <c r="I56" s="13">
        <v>1357.99</v>
      </c>
      <c r="J56" s="13">
        <v>3727990</v>
      </c>
      <c r="K56" s="13">
        <v>1357.99</v>
      </c>
      <c r="L56" s="17">
        <v>0</v>
      </c>
      <c r="M56" s="17">
        <v>3</v>
      </c>
      <c r="N56"/>
      <c r="O56"/>
      <c r="P56"/>
      <c r="Q56"/>
      <c r="R56" s="10"/>
      <c r="S56" s="10"/>
      <c r="T56" s="10"/>
      <c r="U56" s="10"/>
      <c r="V56" s="10"/>
      <c r="W56" s="10"/>
      <c r="X56" s="10"/>
      <c r="Y56" s="10"/>
    </row>
    <row r="57" spans="5:25" ht="15" customHeight="1" x14ac:dyDescent="0.25">
      <c r="E57" s="12">
        <v>41040</v>
      </c>
      <c r="F57" s="13">
        <v>1358.11</v>
      </c>
      <c r="G57" s="13">
        <v>1365.66</v>
      </c>
      <c r="H57" s="13">
        <v>1348.89</v>
      </c>
      <c r="I57" s="13">
        <v>1353.39</v>
      </c>
      <c r="J57" s="13">
        <v>3869070</v>
      </c>
      <c r="K57" s="13">
        <v>1353.39</v>
      </c>
      <c r="L57" s="17">
        <v>0</v>
      </c>
      <c r="M57" s="17">
        <v>3</v>
      </c>
      <c r="N57"/>
      <c r="O57"/>
      <c r="P57"/>
      <c r="Q57"/>
      <c r="R57" s="10"/>
      <c r="S57" s="10"/>
      <c r="T57" s="10"/>
      <c r="U57" s="10"/>
      <c r="V57" s="10"/>
      <c r="W57" s="10"/>
      <c r="X57" s="10"/>
      <c r="Y57" s="10"/>
    </row>
    <row r="58" spans="5:25" ht="15" customHeight="1" x14ac:dyDescent="0.25">
      <c r="E58" s="12">
        <v>41043</v>
      </c>
      <c r="F58" s="13">
        <v>1351.93</v>
      </c>
      <c r="G58" s="13">
        <v>1351.93</v>
      </c>
      <c r="H58" s="13">
        <v>1336.61</v>
      </c>
      <c r="I58" s="13">
        <v>1338.35</v>
      </c>
      <c r="J58" s="13">
        <v>3688120</v>
      </c>
      <c r="K58" s="13">
        <v>1338.35</v>
      </c>
      <c r="L58" s="17">
        <v>0</v>
      </c>
      <c r="M58" s="17">
        <v>2</v>
      </c>
      <c r="N58"/>
      <c r="O58"/>
      <c r="P58"/>
      <c r="Q58"/>
      <c r="R58" s="10"/>
      <c r="S58" s="10"/>
      <c r="T58" s="10"/>
      <c r="U58" s="10"/>
      <c r="V58" s="10"/>
      <c r="W58" s="10"/>
      <c r="X58" s="10"/>
      <c r="Y58" s="10"/>
    </row>
    <row r="59" spans="5:25" ht="15" customHeight="1" x14ac:dyDescent="0.25">
      <c r="E59" s="12">
        <v>41044</v>
      </c>
      <c r="F59" s="13">
        <v>1338.36</v>
      </c>
      <c r="G59" s="13">
        <v>1344.94</v>
      </c>
      <c r="H59" s="13">
        <v>1328.41</v>
      </c>
      <c r="I59" s="13">
        <v>1330.66</v>
      </c>
      <c r="J59" s="13">
        <v>4114040</v>
      </c>
      <c r="K59" s="13">
        <v>1330.66</v>
      </c>
      <c r="L59" s="17">
        <v>0</v>
      </c>
      <c r="M59" s="17">
        <v>2</v>
      </c>
      <c r="N59"/>
      <c r="O59"/>
      <c r="P59"/>
      <c r="Q59"/>
      <c r="R59" s="10"/>
      <c r="S59" s="10"/>
      <c r="T59" s="10"/>
      <c r="U59" s="10"/>
      <c r="V59" s="10"/>
      <c r="W59" s="10"/>
      <c r="X59" s="10"/>
      <c r="Y59" s="10"/>
    </row>
    <row r="60" spans="5:25" ht="15" customHeight="1" x14ac:dyDescent="0.25">
      <c r="E60" s="12">
        <v>41045</v>
      </c>
      <c r="F60" s="13">
        <v>1330.78</v>
      </c>
      <c r="G60" s="13">
        <v>1341.78</v>
      </c>
      <c r="H60" s="13">
        <v>1324.79</v>
      </c>
      <c r="I60" s="13">
        <v>1324.8</v>
      </c>
      <c r="J60" s="13">
        <v>4280420</v>
      </c>
      <c r="K60" s="13">
        <v>1324.8</v>
      </c>
      <c r="L60" s="17">
        <v>0</v>
      </c>
      <c r="M60" s="17">
        <v>2</v>
      </c>
      <c r="N60"/>
      <c r="O60"/>
      <c r="P60"/>
      <c r="Q60"/>
      <c r="R60" s="10"/>
      <c r="S60" s="10"/>
      <c r="T60" s="10"/>
      <c r="U60" s="10"/>
      <c r="V60" s="10"/>
      <c r="W60" s="10"/>
      <c r="X60" s="10"/>
      <c r="Y60" s="10"/>
    </row>
    <row r="61" spans="5:25" ht="15" customHeight="1" x14ac:dyDescent="0.25">
      <c r="E61" s="12">
        <v>41046</v>
      </c>
      <c r="F61" s="13">
        <v>1324.82</v>
      </c>
      <c r="G61" s="13">
        <v>1326.36</v>
      </c>
      <c r="H61" s="13">
        <v>1304.8599999999999</v>
      </c>
      <c r="I61" s="13">
        <v>1304.8599999999999</v>
      </c>
      <c r="J61" s="13">
        <v>4664280</v>
      </c>
      <c r="K61" s="13">
        <v>1304.8599999999999</v>
      </c>
      <c r="L61" s="17">
        <v>0</v>
      </c>
      <c r="M61" s="17">
        <v>2</v>
      </c>
      <c r="N61"/>
      <c r="O61"/>
      <c r="P61"/>
      <c r="Q61"/>
      <c r="R61" s="10"/>
      <c r="S61" s="10"/>
      <c r="T61" s="10"/>
      <c r="U61" s="10"/>
      <c r="V61" s="10"/>
      <c r="W61" s="10"/>
      <c r="X61" s="10"/>
      <c r="Y61" s="10"/>
    </row>
    <row r="62" spans="5:25" ht="15" customHeight="1" x14ac:dyDescent="0.25">
      <c r="E62" s="12">
        <v>41047</v>
      </c>
      <c r="F62" s="13">
        <v>1305.05</v>
      </c>
      <c r="G62" s="13">
        <v>1312.24</v>
      </c>
      <c r="H62" s="13">
        <v>1291.98</v>
      </c>
      <c r="I62" s="13">
        <v>1295.22</v>
      </c>
      <c r="J62" s="13">
        <v>4512470</v>
      </c>
      <c r="K62" s="13">
        <v>1295.22</v>
      </c>
      <c r="L62" s="17">
        <v>1</v>
      </c>
      <c r="M62" s="17">
        <v>2</v>
      </c>
      <c r="N62"/>
      <c r="O62"/>
      <c r="P62"/>
      <c r="Q62"/>
      <c r="R62" s="10"/>
      <c r="S62" s="10"/>
      <c r="T62" s="10"/>
      <c r="U62" s="10"/>
      <c r="V62" s="10"/>
      <c r="W62" s="10"/>
      <c r="X62" s="10"/>
      <c r="Y62" s="10"/>
    </row>
    <row r="63" spans="5:25" ht="15" customHeight="1" x14ac:dyDescent="0.25">
      <c r="E63" s="12">
        <v>41050</v>
      </c>
      <c r="F63" s="13">
        <v>1295.73</v>
      </c>
      <c r="G63" s="13">
        <v>1316.39</v>
      </c>
      <c r="H63" s="13">
        <v>1295.73</v>
      </c>
      <c r="I63" s="13">
        <v>1315.99</v>
      </c>
      <c r="J63" s="13">
        <v>3786750</v>
      </c>
      <c r="K63" s="13">
        <v>1315.99</v>
      </c>
      <c r="L63" s="17">
        <v>0</v>
      </c>
      <c r="M63" s="17">
        <v>2</v>
      </c>
      <c r="N63"/>
      <c r="O63"/>
      <c r="P63"/>
      <c r="Q63"/>
      <c r="R63" s="10"/>
      <c r="S63" s="10"/>
      <c r="T63" s="10"/>
      <c r="U63" s="10"/>
      <c r="V63" s="10"/>
      <c r="W63" s="10"/>
      <c r="X63" s="10"/>
      <c r="Y63" s="10"/>
    </row>
    <row r="64" spans="5:25" ht="15" customHeight="1" x14ac:dyDescent="0.25">
      <c r="E64" s="12">
        <v>41051</v>
      </c>
      <c r="F64" s="13">
        <v>1316.09</v>
      </c>
      <c r="G64" s="13">
        <v>1328.49</v>
      </c>
      <c r="H64" s="13">
        <v>1310.04</v>
      </c>
      <c r="I64" s="13">
        <v>1316.63</v>
      </c>
      <c r="J64" s="13">
        <v>4123680</v>
      </c>
      <c r="K64" s="13">
        <v>1316.63</v>
      </c>
      <c r="L64" s="17">
        <v>0</v>
      </c>
      <c r="M64" s="17">
        <v>2</v>
      </c>
      <c r="N64"/>
      <c r="O64"/>
      <c r="P64"/>
      <c r="Q64"/>
      <c r="R64" s="10"/>
      <c r="S64" s="10"/>
      <c r="T64" s="10"/>
      <c r="U64" s="10"/>
      <c r="V64" s="10"/>
      <c r="W64" s="10"/>
      <c r="X64" s="10"/>
      <c r="Y64" s="10"/>
    </row>
    <row r="65" spans="5:25" ht="15" customHeight="1" x14ac:dyDescent="0.25">
      <c r="E65" s="12">
        <v>41052</v>
      </c>
      <c r="F65" s="13">
        <v>1316.02</v>
      </c>
      <c r="G65" s="13">
        <v>1320.71</v>
      </c>
      <c r="H65" s="13">
        <v>1296.53</v>
      </c>
      <c r="I65" s="13">
        <v>1318.86</v>
      </c>
      <c r="J65" s="13">
        <v>4108330</v>
      </c>
      <c r="K65" s="13">
        <v>1318.86</v>
      </c>
      <c r="L65" s="17">
        <v>0</v>
      </c>
      <c r="M65" s="17">
        <v>1</v>
      </c>
      <c r="N65"/>
      <c r="O65"/>
      <c r="P65"/>
      <c r="Q65"/>
      <c r="R65" s="10"/>
      <c r="S65" s="10"/>
      <c r="T65" s="10"/>
      <c r="U65" s="10"/>
      <c r="V65" s="10"/>
      <c r="W65" s="10"/>
      <c r="X65" s="10"/>
      <c r="Y65" s="10"/>
    </row>
    <row r="66" spans="5:25" ht="15" customHeight="1" x14ac:dyDescent="0.25">
      <c r="E66" s="12">
        <v>41053</v>
      </c>
      <c r="F66" s="13">
        <v>1318.72</v>
      </c>
      <c r="G66" s="13">
        <v>1324.14</v>
      </c>
      <c r="H66" s="13">
        <v>1310.5</v>
      </c>
      <c r="I66" s="13">
        <v>1320.68</v>
      </c>
      <c r="J66" s="13">
        <v>3937670</v>
      </c>
      <c r="K66" s="13">
        <v>1320.68</v>
      </c>
      <c r="L66" s="17">
        <v>0</v>
      </c>
      <c r="M66" s="17">
        <v>1</v>
      </c>
      <c r="N66"/>
      <c r="O66"/>
      <c r="P66"/>
      <c r="Q66"/>
      <c r="R66" s="10"/>
      <c r="S66" s="10"/>
      <c r="T66" s="10"/>
      <c r="U66" s="10"/>
      <c r="V66" s="10"/>
      <c r="W66" s="10"/>
      <c r="X66" s="10"/>
      <c r="Y66" s="10"/>
    </row>
    <row r="67" spans="5:25" ht="15" customHeight="1" x14ac:dyDescent="0.25">
      <c r="E67" s="12">
        <v>41054</v>
      </c>
      <c r="F67" s="13">
        <v>1320.81</v>
      </c>
      <c r="G67" s="13">
        <v>1324.2</v>
      </c>
      <c r="H67" s="13">
        <v>1314.23</v>
      </c>
      <c r="I67" s="13">
        <v>1317.82</v>
      </c>
      <c r="J67" s="13">
        <v>2872660</v>
      </c>
      <c r="K67" s="13">
        <v>1317.82</v>
      </c>
      <c r="L67" s="17">
        <v>1</v>
      </c>
      <c r="M67" s="17">
        <v>2</v>
      </c>
      <c r="N67"/>
      <c r="O67"/>
      <c r="P67"/>
      <c r="Q67"/>
      <c r="R67" s="10"/>
      <c r="S67" s="10"/>
      <c r="T67" s="10"/>
      <c r="U67" s="10"/>
      <c r="V67" s="10"/>
      <c r="W67" s="10"/>
      <c r="X67" s="10"/>
      <c r="Y67" s="10"/>
    </row>
    <row r="68" spans="5:25" ht="15" customHeight="1" x14ac:dyDescent="0.25">
      <c r="E68" s="12">
        <v>41058</v>
      </c>
      <c r="F68" s="13">
        <v>1318.9</v>
      </c>
      <c r="G68" s="13">
        <v>1334.93</v>
      </c>
      <c r="H68" s="13">
        <v>1318.9</v>
      </c>
      <c r="I68" s="13">
        <v>1332.42</v>
      </c>
      <c r="J68" s="13">
        <v>3441640</v>
      </c>
      <c r="K68" s="13">
        <v>1332.42</v>
      </c>
      <c r="L68" s="17">
        <v>0</v>
      </c>
      <c r="M68" s="17">
        <v>2</v>
      </c>
      <c r="N68"/>
      <c r="O68"/>
      <c r="P68"/>
      <c r="Q68"/>
      <c r="R68" s="10"/>
      <c r="S68" s="10"/>
      <c r="T68" s="10"/>
      <c r="U68" s="10"/>
      <c r="V68" s="10"/>
      <c r="W68" s="10"/>
      <c r="X68" s="10"/>
      <c r="Y68" s="10"/>
    </row>
    <row r="69" spans="5:25" ht="15" customHeight="1" x14ac:dyDescent="0.25">
      <c r="E69" s="12">
        <v>41059</v>
      </c>
      <c r="F69" s="13">
        <v>1331.25</v>
      </c>
      <c r="G69" s="13">
        <v>1331.25</v>
      </c>
      <c r="H69" s="13">
        <v>1310.76</v>
      </c>
      <c r="I69" s="13">
        <v>1313.32</v>
      </c>
      <c r="J69" s="13">
        <v>3534290</v>
      </c>
      <c r="K69" s="13">
        <v>1313.32</v>
      </c>
      <c r="L69" s="17">
        <v>0</v>
      </c>
      <c r="M69" s="17">
        <v>2</v>
      </c>
      <c r="N69"/>
      <c r="O69"/>
      <c r="P69"/>
      <c r="Q69"/>
      <c r="R69" s="10"/>
      <c r="S69" s="10"/>
      <c r="T69" s="10"/>
      <c r="U69" s="10"/>
      <c r="V69" s="10"/>
      <c r="W69" s="10"/>
      <c r="X69" s="10"/>
      <c r="Y69" s="10"/>
    </row>
    <row r="70" spans="5:25" ht="15" customHeight="1" x14ac:dyDescent="0.25">
      <c r="E70" s="12">
        <v>41060</v>
      </c>
      <c r="F70" s="13">
        <v>1313.09</v>
      </c>
      <c r="G70" s="13">
        <v>1319.74</v>
      </c>
      <c r="H70" s="13">
        <v>1298.9000000000001</v>
      </c>
      <c r="I70" s="13">
        <v>1310.33</v>
      </c>
      <c r="J70" s="13">
        <v>4557620</v>
      </c>
      <c r="K70" s="13">
        <v>1310.33</v>
      </c>
      <c r="L70" s="17">
        <v>0</v>
      </c>
      <c r="M70" s="17">
        <v>2</v>
      </c>
      <c r="N70"/>
      <c r="O70"/>
      <c r="P70"/>
      <c r="Q70"/>
      <c r="R70" s="10"/>
      <c r="S70" s="10"/>
      <c r="T70" s="10"/>
      <c r="U70" s="10"/>
      <c r="V70" s="10"/>
      <c r="W70" s="10"/>
      <c r="X70" s="10"/>
      <c r="Y70" s="10"/>
    </row>
    <row r="71" spans="5:25" ht="15" customHeight="1" x14ac:dyDescent="0.25">
      <c r="E71" s="12">
        <v>41061</v>
      </c>
      <c r="F71" s="13">
        <v>1309.8699999999999</v>
      </c>
      <c r="G71" s="13">
        <v>1309.8699999999999</v>
      </c>
      <c r="H71" s="13">
        <v>1277.25</v>
      </c>
      <c r="I71" s="13">
        <v>1278.04</v>
      </c>
      <c r="J71" s="13">
        <v>4669350</v>
      </c>
      <c r="K71" s="13">
        <v>1278.04</v>
      </c>
      <c r="L71" s="17">
        <v>1</v>
      </c>
      <c r="M71" s="17">
        <v>3</v>
      </c>
      <c r="N71"/>
      <c r="O71"/>
      <c r="P71"/>
      <c r="Q71"/>
      <c r="R71" s="10"/>
      <c r="S71" s="10"/>
      <c r="T71" s="10"/>
      <c r="U71" s="10"/>
      <c r="V71" s="10"/>
      <c r="W71" s="10"/>
      <c r="X71" s="10"/>
      <c r="Y71" s="10"/>
    </row>
    <row r="72" spans="5:25" ht="15" customHeight="1" x14ac:dyDescent="0.25">
      <c r="E72" s="12">
        <v>41064</v>
      </c>
      <c r="F72" s="13">
        <v>1278.29</v>
      </c>
      <c r="G72" s="13">
        <v>1282.55</v>
      </c>
      <c r="H72" s="13">
        <v>1266.74</v>
      </c>
      <c r="I72" s="13">
        <v>1278.18</v>
      </c>
      <c r="J72" s="13">
        <v>4011960</v>
      </c>
      <c r="K72" s="13">
        <v>1278.18</v>
      </c>
      <c r="L72" s="17">
        <v>0</v>
      </c>
      <c r="M72" s="17">
        <v>2</v>
      </c>
      <c r="N72"/>
      <c r="O72"/>
      <c r="P72"/>
      <c r="Q72"/>
      <c r="R72" s="10"/>
      <c r="S72" s="10"/>
      <c r="T72" s="10"/>
      <c r="U72" s="10"/>
      <c r="V72" s="10"/>
      <c r="W72" s="10"/>
      <c r="X72" s="10"/>
      <c r="Y72" s="10"/>
    </row>
    <row r="73" spans="5:25" ht="15" customHeight="1" x14ac:dyDescent="0.25">
      <c r="E73" s="12">
        <v>41065</v>
      </c>
      <c r="F73" s="13">
        <v>1277.82</v>
      </c>
      <c r="G73" s="13">
        <v>1287.6199999999999</v>
      </c>
      <c r="H73" s="13">
        <v>1274.1600000000001</v>
      </c>
      <c r="I73" s="13">
        <v>1285.5</v>
      </c>
      <c r="J73" s="13">
        <v>3403230</v>
      </c>
      <c r="K73" s="13">
        <v>1285.5</v>
      </c>
      <c r="L73" s="17">
        <v>0</v>
      </c>
      <c r="M73" s="17">
        <v>2</v>
      </c>
      <c r="N73"/>
      <c r="O73"/>
      <c r="P73"/>
      <c r="Q73"/>
      <c r="R73" s="10"/>
      <c r="S73" s="10"/>
      <c r="T73" s="10"/>
      <c r="U73" s="10"/>
      <c r="V73" s="10"/>
      <c r="W73" s="10"/>
      <c r="X73" s="10"/>
      <c r="Y73" s="10"/>
    </row>
    <row r="74" spans="5:25" ht="15" customHeight="1" x14ac:dyDescent="0.25">
      <c r="E74" s="12">
        <v>41066</v>
      </c>
      <c r="F74" s="13">
        <v>1285.6099999999999</v>
      </c>
      <c r="G74" s="13">
        <v>1315.13</v>
      </c>
      <c r="H74" s="13">
        <v>1285.6099999999999</v>
      </c>
      <c r="I74" s="13">
        <v>1315.13</v>
      </c>
      <c r="J74" s="13">
        <v>4268360</v>
      </c>
      <c r="K74" s="13">
        <v>1315.13</v>
      </c>
      <c r="L74" s="17">
        <v>0</v>
      </c>
      <c r="M74" s="17">
        <v>2</v>
      </c>
      <c r="N74"/>
      <c r="O74"/>
      <c r="P74"/>
      <c r="Q74"/>
      <c r="R74" s="10"/>
      <c r="S74" s="10"/>
      <c r="T74" s="10"/>
      <c r="U74" s="10"/>
      <c r="V74" s="10"/>
      <c r="W74" s="10"/>
      <c r="X74" s="10"/>
      <c r="Y74" s="10"/>
    </row>
    <row r="75" spans="5:25" ht="15" customHeight="1" x14ac:dyDescent="0.25">
      <c r="E75" s="12">
        <v>41067</v>
      </c>
      <c r="F75" s="13">
        <v>1316.15</v>
      </c>
      <c r="G75" s="13">
        <v>1329.05</v>
      </c>
      <c r="H75" s="13">
        <v>1312.68</v>
      </c>
      <c r="I75" s="13">
        <v>1314.99</v>
      </c>
      <c r="J75" s="13">
        <v>4258140</v>
      </c>
      <c r="K75" s="13">
        <v>1314.99</v>
      </c>
      <c r="L75" s="17">
        <v>1</v>
      </c>
      <c r="M75" s="17">
        <v>3</v>
      </c>
      <c r="N75"/>
      <c r="O75"/>
      <c r="P75"/>
      <c r="Q75"/>
      <c r="R75" s="10"/>
      <c r="S75" s="10"/>
      <c r="T75" s="10"/>
      <c r="U75" s="10"/>
      <c r="V75" s="10"/>
      <c r="W75" s="10"/>
      <c r="X75" s="10"/>
      <c r="Y75" s="10"/>
    </row>
    <row r="76" spans="5:25" ht="15" customHeight="1" x14ac:dyDescent="0.25">
      <c r="E76" s="12">
        <v>41068</v>
      </c>
      <c r="F76" s="13">
        <v>1314.99</v>
      </c>
      <c r="G76" s="13">
        <v>1325.81</v>
      </c>
      <c r="H76" s="13">
        <v>1307.77</v>
      </c>
      <c r="I76" s="13">
        <v>1325.66</v>
      </c>
      <c r="J76" s="13">
        <v>3497190</v>
      </c>
      <c r="K76" s="13">
        <v>1325.66</v>
      </c>
      <c r="L76" s="17">
        <v>0</v>
      </c>
      <c r="M76" s="17">
        <v>3</v>
      </c>
      <c r="N76"/>
      <c r="O76"/>
      <c r="P76"/>
      <c r="Q76"/>
      <c r="R76" s="10"/>
      <c r="S76" s="10"/>
      <c r="T76" s="10"/>
      <c r="U76" s="10"/>
      <c r="V76" s="10"/>
      <c r="W76" s="10"/>
      <c r="X76" s="10"/>
      <c r="Y76" s="10"/>
    </row>
    <row r="77" spans="5:25" ht="15" customHeight="1" x14ac:dyDescent="0.25">
      <c r="E77" s="12">
        <v>41071</v>
      </c>
      <c r="F77" s="13">
        <v>1325.72</v>
      </c>
      <c r="G77" s="13">
        <v>1335.52</v>
      </c>
      <c r="H77" s="13">
        <v>1307.73</v>
      </c>
      <c r="I77" s="13">
        <v>1308.93</v>
      </c>
      <c r="J77" s="13">
        <v>3537530</v>
      </c>
      <c r="K77" s="13">
        <v>1308.93</v>
      </c>
      <c r="L77" s="17">
        <v>1</v>
      </c>
      <c r="M77" s="17">
        <v>3</v>
      </c>
      <c r="N77"/>
      <c r="O77"/>
      <c r="P77"/>
      <c r="Q77"/>
      <c r="R77" s="10"/>
      <c r="S77" s="10"/>
      <c r="T77" s="10"/>
      <c r="U77" s="10"/>
      <c r="V77" s="10"/>
      <c r="W77" s="10"/>
      <c r="X77" s="10"/>
      <c r="Y77" s="10"/>
    </row>
    <row r="78" spans="5:25" ht="15" customHeight="1" x14ac:dyDescent="0.25">
      <c r="E78" s="12">
        <v>41072</v>
      </c>
      <c r="F78" s="13">
        <v>1309.4000000000001</v>
      </c>
      <c r="G78" s="13">
        <v>1324.31</v>
      </c>
      <c r="H78" s="13">
        <v>1306.6199999999999</v>
      </c>
      <c r="I78" s="13">
        <v>1324.18</v>
      </c>
      <c r="J78" s="13">
        <v>3442920</v>
      </c>
      <c r="K78" s="13">
        <v>1324.18</v>
      </c>
      <c r="L78" s="17">
        <v>0</v>
      </c>
      <c r="M78" s="17">
        <v>3</v>
      </c>
      <c r="N78"/>
      <c r="O78"/>
      <c r="P78"/>
      <c r="Q78"/>
      <c r="R78" s="10"/>
      <c r="S78" s="10"/>
      <c r="T78" s="10"/>
      <c r="U78" s="10"/>
      <c r="V78" s="10"/>
      <c r="W78" s="10"/>
      <c r="X78" s="10"/>
      <c r="Y78" s="10"/>
    </row>
    <row r="79" spans="5:25" ht="15" customHeight="1" x14ac:dyDescent="0.25">
      <c r="E79" s="12">
        <v>41073</v>
      </c>
      <c r="F79" s="13">
        <v>1324.02</v>
      </c>
      <c r="G79" s="13">
        <v>1327.28</v>
      </c>
      <c r="H79" s="13">
        <v>1310.51</v>
      </c>
      <c r="I79" s="13">
        <v>1314.88</v>
      </c>
      <c r="J79" s="13">
        <v>3506510</v>
      </c>
      <c r="K79" s="13">
        <v>1314.88</v>
      </c>
      <c r="L79" s="17">
        <v>1</v>
      </c>
      <c r="M79" s="17">
        <v>4</v>
      </c>
      <c r="N79"/>
      <c r="O79"/>
      <c r="P79"/>
      <c r="Q79"/>
      <c r="R79" s="10"/>
      <c r="S79" s="10"/>
      <c r="T79" s="10"/>
      <c r="U79" s="10"/>
      <c r="V79" s="10"/>
      <c r="W79" s="10"/>
      <c r="X79" s="10"/>
      <c r="Y79" s="10"/>
    </row>
    <row r="80" spans="5:25" ht="15" customHeight="1" x14ac:dyDescent="0.25">
      <c r="E80" s="12">
        <v>41074</v>
      </c>
      <c r="F80" s="13">
        <v>1314.88</v>
      </c>
      <c r="G80" s="13">
        <v>1333.68</v>
      </c>
      <c r="H80" s="13">
        <v>1314.14</v>
      </c>
      <c r="I80" s="13">
        <v>1329.1</v>
      </c>
      <c r="J80" s="13">
        <v>3687720</v>
      </c>
      <c r="K80" s="13">
        <v>1329.1</v>
      </c>
      <c r="L80" s="17">
        <v>0</v>
      </c>
      <c r="M80" s="17">
        <v>4</v>
      </c>
      <c r="N80"/>
      <c r="O80"/>
      <c r="P80"/>
      <c r="Q80"/>
      <c r="R80" s="10"/>
      <c r="S80" s="10"/>
      <c r="T80" s="10"/>
      <c r="U80" s="10"/>
      <c r="V80" s="10"/>
      <c r="W80" s="10"/>
      <c r="X80" s="10"/>
      <c r="Y80" s="10"/>
    </row>
    <row r="81" spans="5:25" ht="15" customHeight="1" x14ac:dyDescent="0.25">
      <c r="E81" s="12">
        <v>41075</v>
      </c>
      <c r="F81" s="13">
        <v>1329.19</v>
      </c>
      <c r="G81" s="13">
        <v>1343.32</v>
      </c>
      <c r="H81" s="13">
        <v>1329.19</v>
      </c>
      <c r="I81" s="13">
        <v>1342.84</v>
      </c>
      <c r="J81" s="13">
        <v>4401570</v>
      </c>
      <c r="K81" s="13">
        <v>1342.84</v>
      </c>
      <c r="L81" s="17">
        <v>0</v>
      </c>
      <c r="M81" s="17">
        <v>3</v>
      </c>
      <c r="N81"/>
      <c r="O81"/>
      <c r="P81"/>
      <c r="Q81"/>
      <c r="R81" s="10"/>
      <c r="S81" s="10"/>
      <c r="T81" s="10"/>
      <c r="U81" s="10"/>
      <c r="V81" s="10"/>
      <c r="W81" s="10"/>
      <c r="X81" s="10"/>
      <c r="Y81" s="10"/>
    </row>
    <row r="82" spans="5:25" ht="15" customHeight="1" x14ac:dyDescent="0.25">
      <c r="E82" s="12">
        <v>41078</v>
      </c>
      <c r="F82" s="13">
        <v>1342.42</v>
      </c>
      <c r="G82" s="13">
        <v>1348.22</v>
      </c>
      <c r="H82" s="13">
        <v>1334.46</v>
      </c>
      <c r="I82" s="13">
        <v>1344.78</v>
      </c>
      <c r="J82" s="13">
        <v>3259430</v>
      </c>
      <c r="K82" s="13">
        <v>1344.78</v>
      </c>
      <c r="L82" s="17">
        <v>0</v>
      </c>
      <c r="M82" s="17">
        <v>3</v>
      </c>
      <c r="N82"/>
      <c r="O82"/>
      <c r="P82"/>
      <c r="Q82"/>
      <c r="R82" s="10"/>
      <c r="S82" s="10"/>
      <c r="T82" s="10"/>
      <c r="U82" s="10"/>
      <c r="V82" s="10"/>
      <c r="W82" s="10"/>
      <c r="X82" s="10"/>
      <c r="Y82" s="10"/>
    </row>
    <row r="83" spans="5:25" ht="15" customHeight="1" x14ac:dyDescent="0.25">
      <c r="E83" s="12">
        <v>41079</v>
      </c>
      <c r="F83" s="13">
        <v>1344.83</v>
      </c>
      <c r="G83" s="13">
        <v>1363.46</v>
      </c>
      <c r="H83" s="13">
        <v>1344.83</v>
      </c>
      <c r="I83" s="13">
        <v>1357.98</v>
      </c>
      <c r="J83" s="13">
        <v>3815350</v>
      </c>
      <c r="K83" s="13">
        <v>1357.98</v>
      </c>
      <c r="L83" s="17">
        <v>0</v>
      </c>
      <c r="M83" s="17">
        <v>3</v>
      </c>
      <c r="N83"/>
      <c r="O83"/>
      <c r="P83"/>
      <c r="Q83"/>
      <c r="R83" s="10"/>
      <c r="S83" s="10"/>
      <c r="T83" s="10"/>
      <c r="U83" s="10"/>
      <c r="V83" s="10"/>
      <c r="W83" s="10"/>
      <c r="X83" s="10"/>
      <c r="Y83" s="10"/>
    </row>
    <row r="84" spans="5:25" ht="15" customHeight="1" x14ac:dyDescent="0.25">
      <c r="E84" s="12">
        <v>41080</v>
      </c>
      <c r="F84" s="13">
        <v>1358.04</v>
      </c>
      <c r="G84" s="13">
        <v>1361.57</v>
      </c>
      <c r="H84" s="13">
        <v>1346.45</v>
      </c>
      <c r="I84" s="13">
        <v>1355.69</v>
      </c>
      <c r="J84" s="13">
        <v>3695700</v>
      </c>
      <c r="K84" s="13">
        <v>1355.69</v>
      </c>
      <c r="L84" s="17">
        <v>0</v>
      </c>
      <c r="M84" s="17">
        <v>3</v>
      </c>
      <c r="N84"/>
      <c r="O84"/>
      <c r="P84"/>
      <c r="Q84"/>
      <c r="R84" s="10"/>
      <c r="S84" s="10"/>
      <c r="T84" s="10"/>
      <c r="U84" s="10"/>
      <c r="V84" s="10"/>
      <c r="W84" s="10"/>
      <c r="X84" s="10"/>
      <c r="Y84" s="10"/>
    </row>
    <row r="85" spans="5:25" ht="15" customHeight="1" x14ac:dyDescent="0.25">
      <c r="E85" s="12">
        <v>41081</v>
      </c>
      <c r="F85" s="13">
        <v>1355.43</v>
      </c>
      <c r="G85" s="13">
        <v>1358.27</v>
      </c>
      <c r="H85" s="13">
        <v>1324.41</v>
      </c>
      <c r="I85" s="13">
        <v>1325.51</v>
      </c>
      <c r="J85" s="13">
        <v>4094470</v>
      </c>
      <c r="K85" s="13">
        <v>1325.51</v>
      </c>
      <c r="L85" s="17">
        <v>1</v>
      </c>
      <c r="M85" s="17">
        <v>3</v>
      </c>
      <c r="N85"/>
      <c r="O85"/>
      <c r="P85"/>
      <c r="Q85"/>
      <c r="R85" s="10"/>
      <c r="S85" s="10"/>
      <c r="T85" s="10"/>
      <c r="U85" s="10"/>
      <c r="V85" s="10"/>
      <c r="W85" s="10"/>
      <c r="X85" s="10"/>
      <c r="Y85" s="10"/>
    </row>
    <row r="86" spans="5:25" ht="15" customHeight="1" x14ac:dyDescent="0.25">
      <c r="E86" s="12">
        <v>41082</v>
      </c>
      <c r="F86" s="13">
        <v>1325.92</v>
      </c>
      <c r="G86" s="13">
        <v>1337.82</v>
      </c>
      <c r="H86" s="13">
        <v>1325.92</v>
      </c>
      <c r="I86" s="13">
        <v>1335.02</v>
      </c>
      <c r="J86" s="13">
        <v>5271490</v>
      </c>
      <c r="K86" s="13">
        <v>1335.02</v>
      </c>
      <c r="L86" s="17">
        <v>0</v>
      </c>
      <c r="M86" s="17">
        <v>3</v>
      </c>
      <c r="N86"/>
      <c r="O86"/>
      <c r="P86"/>
      <c r="Q86"/>
      <c r="R86" s="10"/>
      <c r="S86" s="10"/>
      <c r="T86" s="10"/>
      <c r="U86" s="10"/>
      <c r="V86" s="10"/>
      <c r="W86" s="10"/>
      <c r="X86" s="10"/>
      <c r="Y86" s="10"/>
    </row>
    <row r="87" spans="5:25" ht="15" customHeight="1" x14ac:dyDescent="0.25">
      <c r="E87" s="12">
        <v>41085</v>
      </c>
      <c r="F87" s="13">
        <v>1334.9</v>
      </c>
      <c r="G87" s="13">
        <v>1334.9</v>
      </c>
      <c r="H87" s="13">
        <v>1309.27</v>
      </c>
      <c r="I87" s="13">
        <v>1313.72</v>
      </c>
      <c r="J87" s="13">
        <v>3501820</v>
      </c>
      <c r="K87" s="13">
        <v>1313.72</v>
      </c>
      <c r="L87" s="17">
        <v>1</v>
      </c>
      <c r="M87" s="17">
        <v>3</v>
      </c>
      <c r="N87"/>
      <c r="O87"/>
      <c r="P87"/>
      <c r="Q87"/>
      <c r="R87" s="10"/>
      <c r="S87" s="10"/>
      <c r="T87" s="10"/>
      <c r="U87" s="10"/>
      <c r="V87" s="10"/>
      <c r="W87" s="10"/>
      <c r="X87" s="10"/>
      <c r="Y87" s="10"/>
    </row>
    <row r="88" spans="5:25" ht="15" customHeight="1" x14ac:dyDescent="0.25">
      <c r="E88" s="12">
        <v>41086</v>
      </c>
      <c r="F88" s="13">
        <v>1314.09</v>
      </c>
      <c r="G88" s="13">
        <v>1324.24</v>
      </c>
      <c r="H88" s="13">
        <v>1310.3</v>
      </c>
      <c r="I88" s="13">
        <v>1319.99</v>
      </c>
      <c r="J88" s="13">
        <v>3412940</v>
      </c>
      <c r="K88" s="13">
        <v>1319.99</v>
      </c>
      <c r="L88" s="17">
        <v>0</v>
      </c>
      <c r="M88" s="17">
        <v>3</v>
      </c>
      <c r="N88"/>
      <c r="O88"/>
      <c r="P88"/>
      <c r="Q88"/>
      <c r="R88" s="10"/>
      <c r="S88" s="10"/>
      <c r="T88" s="10"/>
      <c r="U88" s="10"/>
      <c r="V88" s="10"/>
      <c r="W88" s="10"/>
      <c r="X88" s="10"/>
      <c r="Y88" s="10"/>
    </row>
    <row r="89" spans="5:25" ht="15" customHeight="1" x14ac:dyDescent="0.25">
      <c r="E89" s="12">
        <v>41087</v>
      </c>
      <c r="F89" s="13">
        <v>1320.71</v>
      </c>
      <c r="G89" s="13">
        <v>1334.4</v>
      </c>
      <c r="H89" s="13">
        <v>1320.71</v>
      </c>
      <c r="I89" s="13">
        <v>1331.85</v>
      </c>
      <c r="J89" s="13">
        <v>3286910</v>
      </c>
      <c r="K89" s="13">
        <v>1331.85</v>
      </c>
      <c r="L89" s="17">
        <v>0</v>
      </c>
      <c r="M89" s="17">
        <v>2</v>
      </c>
      <c r="N89"/>
      <c r="O89"/>
      <c r="P89"/>
      <c r="Q89"/>
      <c r="R89" s="10"/>
      <c r="S89" s="10"/>
      <c r="T89" s="10"/>
      <c r="U89" s="10"/>
      <c r="V89" s="10"/>
      <c r="W89" s="10"/>
      <c r="X89" s="10"/>
      <c r="Y89" s="10"/>
    </row>
    <row r="90" spans="5:25" ht="15" customHeight="1" x14ac:dyDescent="0.25">
      <c r="E90" s="12">
        <v>41088</v>
      </c>
      <c r="F90" s="13">
        <v>1331.52</v>
      </c>
      <c r="G90" s="13">
        <v>1331.52</v>
      </c>
      <c r="H90" s="13">
        <v>1313.29</v>
      </c>
      <c r="I90" s="13">
        <v>1329.04</v>
      </c>
      <c r="J90" s="13">
        <v>3969370</v>
      </c>
      <c r="K90" s="13">
        <v>1329.04</v>
      </c>
      <c r="L90" s="17">
        <v>1</v>
      </c>
      <c r="M90" s="17">
        <v>3</v>
      </c>
      <c r="N90"/>
      <c r="O90"/>
      <c r="P90"/>
      <c r="Q90"/>
      <c r="R90" s="10"/>
      <c r="S90" s="10"/>
      <c r="T90" s="10"/>
      <c r="U90" s="10"/>
      <c r="V90" s="10"/>
      <c r="W90" s="10"/>
      <c r="X90" s="10"/>
      <c r="Y90" s="10"/>
    </row>
    <row r="91" spans="5:25" ht="15" customHeight="1" x14ac:dyDescent="0.25">
      <c r="E91" s="12">
        <v>41089</v>
      </c>
      <c r="F91" s="13">
        <v>1330.12</v>
      </c>
      <c r="G91" s="13">
        <v>1362.17</v>
      </c>
      <c r="H91" s="13">
        <v>1330.12</v>
      </c>
      <c r="I91" s="13">
        <v>1362.16</v>
      </c>
      <c r="J91" s="13">
        <v>4590480</v>
      </c>
      <c r="K91" s="13">
        <v>1362.16</v>
      </c>
      <c r="L91" s="17">
        <v>0</v>
      </c>
      <c r="M91" s="17">
        <v>3</v>
      </c>
      <c r="N91"/>
      <c r="O91"/>
      <c r="P91"/>
      <c r="Q91"/>
      <c r="R91" s="10"/>
      <c r="S91" s="10"/>
      <c r="T91" s="10"/>
      <c r="U91" s="10"/>
      <c r="V91" s="10"/>
      <c r="W91" s="10"/>
      <c r="X91" s="10"/>
      <c r="Y91" s="10"/>
    </row>
    <row r="92" spans="5:25" ht="15" customHeight="1" x14ac:dyDescent="0.25">
      <c r="E92" s="12">
        <v>41092</v>
      </c>
      <c r="F92" s="13">
        <v>1362.33</v>
      </c>
      <c r="G92" s="13">
        <v>1366.35</v>
      </c>
      <c r="H92" s="13">
        <v>1355.7</v>
      </c>
      <c r="I92" s="13">
        <v>1365.51</v>
      </c>
      <c r="J92" s="13">
        <v>3301650</v>
      </c>
      <c r="K92" s="13">
        <v>1365.51</v>
      </c>
      <c r="L92" s="17">
        <v>0</v>
      </c>
      <c r="M92" s="17">
        <v>3</v>
      </c>
      <c r="N92"/>
      <c r="O92"/>
      <c r="P92"/>
      <c r="Q92"/>
      <c r="R92" s="10"/>
      <c r="S92" s="10"/>
      <c r="T92" s="10"/>
      <c r="U92" s="10"/>
      <c r="V92" s="10"/>
      <c r="W92" s="10"/>
      <c r="X92" s="10"/>
      <c r="Y92" s="10"/>
    </row>
    <row r="93" spans="5:25" ht="15" customHeight="1" x14ac:dyDescent="0.25">
      <c r="E93" s="12">
        <v>41093</v>
      </c>
      <c r="F93" s="13">
        <v>1365.75</v>
      </c>
      <c r="G93" s="13">
        <v>1374.81</v>
      </c>
      <c r="H93" s="13">
        <v>1363.53</v>
      </c>
      <c r="I93" s="13">
        <v>1374.02</v>
      </c>
      <c r="J93" s="13">
        <v>2116390</v>
      </c>
      <c r="K93" s="13">
        <v>1374.02</v>
      </c>
      <c r="L93" s="17">
        <v>0</v>
      </c>
      <c r="M93" s="17">
        <v>3</v>
      </c>
      <c r="N93"/>
      <c r="O93"/>
      <c r="P93"/>
      <c r="Q93"/>
      <c r="R93" s="10"/>
      <c r="S93" s="10"/>
      <c r="T93" s="10"/>
      <c r="U93" s="10"/>
      <c r="V93" s="10"/>
      <c r="W93" s="10"/>
      <c r="X93" s="10"/>
      <c r="Y93" s="10"/>
    </row>
    <row r="94" spans="5:25" ht="15" customHeight="1" x14ac:dyDescent="0.25">
      <c r="E94" s="12">
        <v>41095</v>
      </c>
      <c r="F94" s="13">
        <v>1373.72</v>
      </c>
      <c r="G94" s="13">
        <v>1373.85</v>
      </c>
      <c r="H94" s="13">
        <v>1363.02</v>
      </c>
      <c r="I94" s="13">
        <v>1367.58</v>
      </c>
      <c r="J94" s="13">
        <v>3041520</v>
      </c>
      <c r="K94" s="13">
        <v>1367.58</v>
      </c>
      <c r="L94" s="17">
        <v>0</v>
      </c>
      <c r="M94" s="17">
        <v>3</v>
      </c>
      <c r="N94"/>
      <c r="O94"/>
      <c r="P94"/>
      <c r="Q94"/>
      <c r="R94" s="10"/>
      <c r="S94" s="10"/>
      <c r="T94" s="10"/>
      <c r="U94" s="10"/>
      <c r="V94" s="10"/>
      <c r="W94" s="10"/>
      <c r="X94" s="10"/>
      <c r="Y94" s="10"/>
    </row>
    <row r="95" spans="5:25" ht="15" customHeight="1" x14ac:dyDescent="0.25">
      <c r="E95" s="12">
        <v>41096</v>
      </c>
      <c r="F95" s="13">
        <v>1367.09</v>
      </c>
      <c r="G95" s="13">
        <v>1367.09</v>
      </c>
      <c r="H95" s="13">
        <v>1348.03</v>
      </c>
      <c r="I95" s="13">
        <v>1354.68</v>
      </c>
      <c r="J95" s="13">
        <v>2745140</v>
      </c>
      <c r="K95" s="13">
        <v>1354.68</v>
      </c>
      <c r="L95" s="17">
        <v>0</v>
      </c>
      <c r="M95" s="17">
        <v>2</v>
      </c>
      <c r="N95"/>
      <c r="O95"/>
      <c r="P95"/>
      <c r="Q95"/>
      <c r="R95" s="10"/>
      <c r="S95" s="10"/>
      <c r="T95" s="10"/>
      <c r="U95" s="10"/>
      <c r="V95" s="10"/>
      <c r="W95" s="10"/>
      <c r="X95" s="10"/>
      <c r="Y95" s="10"/>
    </row>
    <row r="96" spans="5:25" ht="15" customHeight="1" x14ac:dyDescent="0.25">
      <c r="E96" s="12">
        <v>41099</v>
      </c>
      <c r="F96" s="13">
        <v>1354.66</v>
      </c>
      <c r="G96" s="13">
        <v>1354.87</v>
      </c>
      <c r="H96" s="13">
        <v>1346.65</v>
      </c>
      <c r="I96" s="13">
        <v>1352.46</v>
      </c>
      <c r="J96" s="13">
        <v>2904860</v>
      </c>
      <c r="K96" s="13">
        <v>1352.46</v>
      </c>
      <c r="L96" s="17">
        <v>0</v>
      </c>
      <c r="M96" s="17">
        <v>2</v>
      </c>
      <c r="N96"/>
      <c r="O96"/>
      <c r="P96"/>
      <c r="Q96"/>
      <c r="R96" s="10"/>
      <c r="S96" s="10"/>
      <c r="T96" s="10"/>
      <c r="U96" s="10"/>
      <c r="V96" s="10"/>
      <c r="W96" s="10"/>
      <c r="X96" s="10"/>
      <c r="Y96" s="10"/>
    </row>
    <row r="97" spans="5:25" ht="15" customHeight="1" x14ac:dyDescent="0.25">
      <c r="E97" s="12">
        <v>41100</v>
      </c>
      <c r="F97" s="13">
        <v>1352.96</v>
      </c>
      <c r="G97" s="13">
        <v>1361.54</v>
      </c>
      <c r="H97" s="13">
        <v>1336.27</v>
      </c>
      <c r="I97" s="13">
        <v>1341.47</v>
      </c>
      <c r="J97" s="13">
        <v>3470600</v>
      </c>
      <c r="K97" s="13">
        <v>1341.47</v>
      </c>
      <c r="L97" s="17">
        <v>0</v>
      </c>
      <c r="M97" s="17">
        <v>1</v>
      </c>
      <c r="N97"/>
      <c r="O97"/>
      <c r="P97"/>
      <c r="Q97"/>
      <c r="R97" s="10"/>
      <c r="S97" s="10"/>
      <c r="T97" s="10"/>
      <c r="U97" s="10"/>
      <c r="V97" s="10"/>
      <c r="W97" s="10"/>
      <c r="X97" s="10"/>
      <c r="Y97" s="10"/>
    </row>
    <row r="98" spans="5:25" ht="15" customHeight="1" x14ac:dyDescent="0.25">
      <c r="E98" s="12">
        <v>41101</v>
      </c>
      <c r="F98" s="13">
        <v>1341.4</v>
      </c>
      <c r="G98" s="13">
        <v>1345</v>
      </c>
      <c r="H98" s="13">
        <v>1333.25</v>
      </c>
      <c r="I98" s="13">
        <v>1341.45</v>
      </c>
      <c r="J98" s="13">
        <v>3426290</v>
      </c>
      <c r="K98" s="13">
        <v>1341.45</v>
      </c>
      <c r="L98" s="17">
        <v>0</v>
      </c>
      <c r="M98" s="17">
        <v>1</v>
      </c>
      <c r="N98"/>
      <c r="O98"/>
      <c r="P98"/>
      <c r="Q98"/>
      <c r="R98" s="10"/>
      <c r="S98" s="10"/>
      <c r="T98" s="10"/>
      <c r="U98" s="10"/>
      <c r="V98" s="10"/>
      <c r="W98" s="10"/>
      <c r="X98" s="10"/>
      <c r="Y98" s="10"/>
    </row>
    <row r="99" spans="5:25" ht="15" customHeight="1" x14ac:dyDescent="0.25">
      <c r="E99" s="12">
        <v>41102</v>
      </c>
      <c r="F99" s="13">
        <v>1341.29</v>
      </c>
      <c r="G99" s="13">
        <v>1341.29</v>
      </c>
      <c r="H99" s="13">
        <v>1325.41</v>
      </c>
      <c r="I99" s="13">
        <v>1334.76</v>
      </c>
      <c r="J99" s="13">
        <v>3654440</v>
      </c>
      <c r="K99" s="13">
        <v>1334.76</v>
      </c>
      <c r="L99" s="17">
        <v>1</v>
      </c>
      <c r="M99" s="17">
        <v>2</v>
      </c>
      <c r="N99"/>
      <c r="O99"/>
      <c r="P99"/>
      <c r="Q99"/>
      <c r="R99" s="10"/>
      <c r="S99" s="10"/>
      <c r="T99" s="10"/>
      <c r="U99" s="10"/>
      <c r="V99" s="10"/>
      <c r="W99" s="10"/>
      <c r="X99" s="10"/>
      <c r="Y99" s="10"/>
    </row>
    <row r="100" spans="5:25" ht="15" customHeight="1" x14ac:dyDescent="0.25">
      <c r="E100" s="12">
        <v>41103</v>
      </c>
      <c r="F100" s="13">
        <v>1334.81</v>
      </c>
      <c r="G100" s="13">
        <v>1357.7</v>
      </c>
      <c r="H100" s="13">
        <v>1334.81</v>
      </c>
      <c r="I100" s="13">
        <v>1356.78</v>
      </c>
      <c r="J100" s="13">
        <v>3212930</v>
      </c>
      <c r="K100" s="13">
        <v>1356.78</v>
      </c>
      <c r="L100" s="17">
        <v>0</v>
      </c>
      <c r="M100" s="17">
        <v>1</v>
      </c>
      <c r="N100"/>
      <c r="O100"/>
      <c r="P100"/>
      <c r="Q100"/>
      <c r="R100" s="10"/>
      <c r="S100" s="10"/>
      <c r="T100" s="10"/>
      <c r="U100" s="10"/>
      <c r="V100" s="10"/>
      <c r="W100" s="10"/>
      <c r="X100" s="10"/>
      <c r="Y100" s="10"/>
    </row>
    <row r="101" spans="5:25" ht="15" customHeight="1" x14ac:dyDescent="0.25">
      <c r="E101" s="12">
        <v>41106</v>
      </c>
      <c r="F101" s="13">
        <v>1356.5</v>
      </c>
      <c r="G101" s="13">
        <v>1357.26</v>
      </c>
      <c r="H101" s="13">
        <v>1348.51</v>
      </c>
      <c r="I101" s="13">
        <v>1353.64</v>
      </c>
      <c r="J101" s="13">
        <v>2862720</v>
      </c>
      <c r="K101" s="13">
        <v>1353.64</v>
      </c>
      <c r="L101" s="17">
        <v>1</v>
      </c>
      <c r="M101" s="17">
        <v>2</v>
      </c>
      <c r="N101"/>
      <c r="O101"/>
      <c r="P101"/>
      <c r="Q101"/>
      <c r="R101" s="10"/>
      <c r="S101" s="10"/>
      <c r="T101" s="10"/>
      <c r="U101" s="10"/>
      <c r="V101" s="10"/>
      <c r="W101" s="10"/>
      <c r="X101" s="10"/>
      <c r="Y101" s="10"/>
    </row>
    <row r="102" spans="5:25" ht="15" customHeight="1" x14ac:dyDescent="0.25">
      <c r="E102" s="12">
        <v>41107</v>
      </c>
      <c r="F102" s="13">
        <v>1353.68</v>
      </c>
      <c r="G102" s="13">
        <v>1365.36</v>
      </c>
      <c r="H102" s="13">
        <v>1345.07</v>
      </c>
      <c r="I102" s="13">
        <v>1363.67</v>
      </c>
      <c r="J102" s="13">
        <v>3566680</v>
      </c>
      <c r="K102" s="13">
        <v>1363.67</v>
      </c>
      <c r="L102" s="17">
        <v>0</v>
      </c>
      <c r="M102" s="17">
        <v>2</v>
      </c>
      <c r="N102"/>
      <c r="O102"/>
      <c r="P102"/>
      <c r="Q102"/>
      <c r="R102" s="10"/>
      <c r="S102" s="10"/>
      <c r="T102" s="10"/>
      <c r="U102" s="10"/>
      <c r="V102" s="10"/>
      <c r="W102" s="10"/>
      <c r="X102" s="10"/>
      <c r="Y102" s="10"/>
    </row>
    <row r="103" spans="5:25" ht="15" customHeight="1" x14ac:dyDescent="0.25">
      <c r="E103" s="12">
        <v>41108</v>
      </c>
      <c r="F103" s="13">
        <v>1363.58</v>
      </c>
      <c r="G103" s="13">
        <v>1375.26</v>
      </c>
      <c r="H103" s="13">
        <v>1358.96</v>
      </c>
      <c r="I103" s="13">
        <v>1372.78</v>
      </c>
      <c r="J103" s="13">
        <v>3642630</v>
      </c>
      <c r="K103" s="13">
        <v>1372.78</v>
      </c>
      <c r="L103" s="17">
        <v>0</v>
      </c>
      <c r="M103" s="17">
        <v>2</v>
      </c>
      <c r="N103"/>
      <c r="O103"/>
      <c r="P103"/>
      <c r="Q103"/>
      <c r="R103" s="10"/>
      <c r="S103" s="10"/>
      <c r="T103" s="10"/>
      <c r="U103" s="10"/>
      <c r="V103" s="10"/>
      <c r="W103" s="10"/>
      <c r="X103" s="10"/>
      <c r="Y103" s="10"/>
    </row>
    <row r="104" spans="5:25" ht="15" customHeight="1" x14ac:dyDescent="0.25">
      <c r="E104" s="12">
        <v>41109</v>
      </c>
      <c r="F104" s="13">
        <v>1373.01</v>
      </c>
      <c r="G104" s="13">
        <v>1380.39</v>
      </c>
      <c r="H104" s="13">
        <v>1371.21</v>
      </c>
      <c r="I104" s="13">
        <v>1376.51</v>
      </c>
      <c r="J104" s="13">
        <v>4043360</v>
      </c>
      <c r="K104" s="13">
        <v>1376.51</v>
      </c>
      <c r="L104" s="17">
        <v>0</v>
      </c>
      <c r="M104" s="17">
        <v>2</v>
      </c>
      <c r="N104"/>
      <c r="O104"/>
      <c r="P104"/>
      <c r="Q104"/>
      <c r="R104" s="10"/>
      <c r="S104" s="10"/>
      <c r="T104" s="10"/>
      <c r="U104" s="10"/>
      <c r="V104" s="10"/>
      <c r="W104" s="10"/>
      <c r="X104" s="10"/>
      <c r="Y104" s="10"/>
    </row>
    <row r="105" spans="5:25" ht="15" customHeight="1" x14ac:dyDescent="0.25">
      <c r="E105" s="12">
        <v>41110</v>
      </c>
      <c r="F105" s="13">
        <v>1376.51</v>
      </c>
      <c r="G105" s="13">
        <v>1376.51</v>
      </c>
      <c r="H105" s="13">
        <v>1362.19</v>
      </c>
      <c r="I105" s="13">
        <v>1362.66</v>
      </c>
      <c r="J105" s="13">
        <v>3925020</v>
      </c>
      <c r="K105" s="13">
        <v>1362.66</v>
      </c>
      <c r="L105" s="17">
        <v>0</v>
      </c>
      <c r="M105" s="17">
        <v>2</v>
      </c>
      <c r="N105"/>
      <c r="O105"/>
      <c r="P105"/>
      <c r="Q105"/>
      <c r="R105" s="10"/>
      <c r="S105" s="10"/>
      <c r="T105" s="10"/>
      <c r="U105" s="10"/>
      <c r="V105" s="10"/>
      <c r="W105" s="10"/>
      <c r="X105" s="10"/>
      <c r="Y105" s="10"/>
    </row>
    <row r="106" spans="5:25" ht="15" customHeight="1" x14ac:dyDescent="0.25">
      <c r="E106" s="12">
        <v>41113</v>
      </c>
      <c r="F106" s="13">
        <v>1362.34</v>
      </c>
      <c r="G106" s="13">
        <v>1362.34</v>
      </c>
      <c r="H106" s="13">
        <v>1337.56</v>
      </c>
      <c r="I106" s="13">
        <v>1350.52</v>
      </c>
      <c r="J106" s="13">
        <v>3717180</v>
      </c>
      <c r="K106" s="13">
        <v>1350.52</v>
      </c>
      <c r="L106" s="17">
        <v>0</v>
      </c>
      <c r="M106" s="17">
        <v>2</v>
      </c>
      <c r="N106"/>
      <c r="O106"/>
      <c r="P106"/>
      <c r="Q106"/>
      <c r="R106" s="10"/>
      <c r="S106" s="10"/>
      <c r="T106" s="10"/>
      <c r="U106" s="10"/>
      <c r="V106" s="10"/>
      <c r="W106" s="10"/>
      <c r="X106" s="10"/>
      <c r="Y106" s="10"/>
    </row>
    <row r="107" spans="5:25" ht="15" customHeight="1" x14ac:dyDescent="0.25">
      <c r="E107" s="12">
        <v>41114</v>
      </c>
      <c r="F107" s="13">
        <v>1350.52</v>
      </c>
      <c r="G107" s="13">
        <v>1351.53</v>
      </c>
      <c r="H107" s="13">
        <v>1329.24</v>
      </c>
      <c r="I107" s="13">
        <v>1338.31</v>
      </c>
      <c r="J107" s="13">
        <v>3891290</v>
      </c>
      <c r="K107" s="13">
        <v>1338.31</v>
      </c>
      <c r="L107" s="17">
        <v>0</v>
      </c>
      <c r="M107" s="17">
        <v>2</v>
      </c>
      <c r="N107"/>
      <c r="O107"/>
      <c r="P107"/>
      <c r="Q107"/>
      <c r="R107" s="10"/>
      <c r="S107" s="10"/>
      <c r="T107" s="10"/>
      <c r="U107" s="10"/>
      <c r="V107" s="10"/>
      <c r="W107" s="10"/>
      <c r="X107" s="10"/>
      <c r="Y107" s="10"/>
    </row>
    <row r="108" spans="5:25" ht="15" customHeight="1" x14ac:dyDescent="0.25">
      <c r="E108" s="12">
        <v>41115</v>
      </c>
      <c r="F108" s="13">
        <v>1338.35</v>
      </c>
      <c r="G108" s="13">
        <v>1343.98</v>
      </c>
      <c r="H108" s="13">
        <v>1331.5</v>
      </c>
      <c r="I108" s="13">
        <v>1337.89</v>
      </c>
      <c r="J108" s="13">
        <v>3719170</v>
      </c>
      <c r="K108" s="13">
        <v>1337.89</v>
      </c>
      <c r="L108" s="17">
        <v>1</v>
      </c>
      <c r="M108" s="17">
        <v>3</v>
      </c>
      <c r="N108"/>
      <c r="O108"/>
      <c r="P108"/>
      <c r="Q108"/>
      <c r="R108" s="10"/>
      <c r="S108" s="10"/>
      <c r="T108" s="10"/>
      <c r="U108" s="10"/>
      <c r="V108" s="10"/>
      <c r="W108" s="10"/>
      <c r="X108" s="10"/>
      <c r="Y108" s="10"/>
    </row>
    <row r="109" spans="5:25" ht="15" customHeight="1" x14ac:dyDescent="0.25">
      <c r="E109" s="12">
        <v>41116</v>
      </c>
      <c r="F109" s="13">
        <v>1338.17</v>
      </c>
      <c r="G109" s="13">
        <v>1363.13</v>
      </c>
      <c r="H109" s="13">
        <v>1338.17</v>
      </c>
      <c r="I109" s="13">
        <v>1360.02</v>
      </c>
      <c r="J109" s="13">
        <v>4429300</v>
      </c>
      <c r="K109" s="13">
        <v>1360.02</v>
      </c>
      <c r="L109" s="17">
        <v>0</v>
      </c>
      <c r="M109" s="17">
        <v>2</v>
      </c>
      <c r="N109"/>
      <c r="O109"/>
      <c r="P109"/>
      <c r="Q109"/>
      <c r="R109" s="10"/>
      <c r="S109" s="10"/>
      <c r="T109" s="10"/>
      <c r="U109" s="10"/>
      <c r="V109" s="10"/>
      <c r="W109" s="10"/>
      <c r="X109" s="10"/>
      <c r="Y109" s="10"/>
    </row>
    <row r="110" spans="5:25" ht="15" customHeight="1" x14ac:dyDescent="0.25">
      <c r="E110" s="12">
        <v>41117</v>
      </c>
      <c r="F110" s="13">
        <v>1360.05</v>
      </c>
      <c r="G110" s="13">
        <v>1389.19</v>
      </c>
      <c r="H110" s="13">
        <v>1360.05</v>
      </c>
      <c r="I110" s="13">
        <v>1385.97</v>
      </c>
      <c r="J110" s="13">
        <v>4399010</v>
      </c>
      <c r="K110" s="13">
        <v>1385.97</v>
      </c>
      <c r="L110" s="17">
        <v>0</v>
      </c>
      <c r="M110" s="17">
        <v>2</v>
      </c>
      <c r="N110"/>
      <c r="O110"/>
      <c r="P110"/>
      <c r="Q110"/>
      <c r="R110" s="10"/>
      <c r="S110" s="10"/>
      <c r="T110" s="10"/>
      <c r="U110" s="10"/>
      <c r="V110" s="10"/>
      <c r="W110" s="10"/>
      <c r="X110" s="10"/>
      <c r="Y110" s="10"/>
    </row>
    <row r="111" spans="5:25" ht="15" customHeight="1" x14ac:dyDescent="0.25">
      <c r="E111" s="12">
        <v>41120</v>
      </c>
      <c r="F111" s="13">
        <v>1385.94</v>
      </c>
      <c r="G111" s="13">
        <v>1391.74</v>
      </c>
      <c r="H111" s="13">
        <v>1381.37</v>
      </c>
      <c r="I111" s="13">
        <v>1385.3</v>
      </c>
      <c r="J111" s="13">
        <v>3212060</v>
      </c>
      <c r="K111" s="13">
        <v>1385.3</v>
      </c>
      <c r="L111" s="17">
        <v>0</v>
      </c>
      <c r="M111" s="17">
        <v>1</v>
      </c>
      <c r="N111"/>
      <c r="O111"/>
      <c r="P111"/>
      <c r="Q111"/>
      <c r="R111" s="10"/>
      <c r="S111" s="10"/>
      <c r="T111" s="10"/>
      <c r="U111" s="10"/>
      <c r="V111" s="10"/>
      <c r="W111" s="10"/>
      <c r="X111" s="10"/>
      <c r="Y111" s="10"/>
    </row>
    <row r="112" spans="5:25" ht="15" customHeight="1" x14ac:dyDescent="0.25">
      <c r="E112" s="12">
        <v>41121</v>
      </c>
      <c r="F112" s="13">
        <v>1385.27</v>
      </c>
      <c r="G112" s="13">
        <v>1387.16</v>
      </c>
      <c r="H112" s="13">
        <v>1379.17</v>
      </c>
      <c r="I112" s="13">
        <v>1379.32</v>
      </c>
      <c r="J112" s="13">
        <v>3821570</v>
      </c>
      <c r="K112" s="13">
        <v>1379.32</v>
      </c>
      <c r="L112" s="17">
        <v>0</v>
      </c>
      <c r="M112" s="17">
        <v>1</v>
      </c>
      <c r="N112"/>
      <c r="O112"/>
      <c r="P112"/>
      <c r="Q112"/>
      <c r="R112" s="10"/>
      <c r="S112" s="10"/>
      <c r="T112" s="10"/>
      <c r="U112" s="10"/>
      <c r="V112" s="10"/>
      <c r="W112" s="10"/>
      <c r="X112" s="10"/>
      <c r="Y112" s="10"/>
    </row>
    <row r="113" spans="5:25" ht="15" customHeight="1" x14ac:dyDescent="0.25">
      <c r="E113" s="12">
        <v>41122</v>
      </c>
      <c r="F113" s="13">
        <v>1379.32</v>
      </c>
      <c r="G113" s="13">
        <v>1385.03</v>
      </c>
      <c r="H113" s="13">
        <v>1373.35</v>
      </c>
      <c r="I113" s="13">
        <v>1375.32</v>
      </c>
      <c r="J113" s="13">
        <v>4440920</v>
      </c>
      <c r="K113" s="13">
        <v>1375.32</v>
      </c>
      <c r="L113" s="17">
        <v>0</v>
      </c>
      <c r="M113" s="17">
        <v>1</v>
      </c>
      <c r="N113"/>
      <c r="O113"/>
      <c r="P113"/>
      <c r="Q113"/>
      <c r="R113" s="10"/>
      <c r="S113" s="10"/>
      <c r="T113" s="10"/>
      <c r="U113" s="10"/>
      <c r="V113" s="10"/>
      <c r="W113" s="10"/>
      <c r="X113" s="10"/>
      <c r="Y113" s="10"/>
    </row>
    <row r="114" spans="5:25" ht="15" customHeight="1" x14ac:dyDescent="0.25">
      <c r="E114" s="12">
        <v>41123</v>
      </c>
      <c r="F114" s="13">
        <v>1375.13</v>
      </c>
      <c r="G114" s="13">
        <v>1375.13</v>
      </c>
      <c r="H114" s="13">
        <v>1354.65</v>
      </c>
      <c r="I114" s="13">
        <v>1365</v>
      </c>
      <c r="J114" s="13">
        <v>4193740</v>
      </c>
      <c r="K114" s="13">
        <v>1365</v>
      </c>
      <c r="L114" s="17">
        <v>1</v>
      </c>
      <c r="M114" s="17">
        <v>2</v>
      </c>
      <c r="N114"/>
      <c r="O114"/>
      <c r="P114"/>
      <c r="Q114"/>
      <c r="R114" s="10"/>
      <c r="S114" s="10"/>
      <c r="T114" s="10"/>
      <c r="U114" s="10"/>
      <c r="V114" s="10"/>
      <c r="W114" s="10"/>
      <c r="X114" s="10"/>
      <c r="Y114" s="10"/>
    </row>
    <row r="115" spans="5:25" ht="15" customHeight="1" x14ac:dyDescent="0.25">
      <c r="E115" s="12">
        <v>41124</v>
      </c>
      <c r="F115" s="13">
        <v>1365.45</v>
      </c>
      <c r="G115" s="13">
        <v>1394.16</v>
      </c>
      <c r="H115" s="13">
        <v>1365.45</v>
      </c>
      <c r="I115" s="13">
        <v>1390.99</v>
      </c>
      <c r="J115" s="13">
        <v>3751170</v>
      </c>
      <c r="K115" s="13">
        <v>1390.99</v>
      </c>
      <c r="L115" s="17">
        <v>0</v>
      </c>
      <c r="M115" s="17">
        <v>2</v>
      </c>
      <c r="N115"/>
      <c r="O115"/>
      <c r="P115"/>
      <c r="Q115"/>
      <c r="R115" s="10"/>
      <c r="S115" s="10"/>
      <c r="T115" s="10"/>
      <c r="U115" s="10"/>
      <c r="V115" s="10"/>
      <c r="W115" s="10"/>
      <c r="X115" s="10"/>
      <c r="Y115" s="10"/>
    </row>
    <row r="116" spans="5:25" ht="15" customHeight="1" x14ac:dyDescent="0.25">
      <c r="E116" s="12">
        <v>41127</v>
      </c>
      <c r="F116" s="13">
        <v>1391.04</v>
      </c>
      <c r="G116" s="13">
        <v>1399.63</v>
      </c>
      <c r="H116" s="13">
        <v>1391.04</v>
      </c>
      <c r="I116" s="13">
        <v>1394.23</v>
      </c>
      <c r="J116" s="13">
        <v>3122050</v>
      </c>
      <c r="K116" s="13">
        <v>1394.23</v>
      </c>
      <c r="L116" s="17">
        <v>0</v>
      </c>
      <c r="M116" s="17">
        <v>2</v>
      </c>
      <c r="N116"/>
      <c r="O116"/>
      <c r="P116"/>
      <c r="Q116"/>
      <c r="R116" s="10"/>
      <c r="S116" s="10"/>
      <c r="T116" s="10"/>
      <c r="U116" s="10"/>
      <c r="V116" s="10"/>
      <c r="W116" s="10"/>
      <c r="X116" s="10"/>
      <c r="Y116" s="10"/>
    </row>
    <row r="117" spans="5:25" ht="15" customHeight="1" x14ac:dyDescent="0.25">
      <c r="E117" s="12">
        <v>41128</v>
      </c>
      <c r="F117" s="13">
        <v>1394.46</v>
      </c>
      <c r="G117" s="13">
        <v>1407.14</v>
      </c>
      <c r="H117" s="13">
        <v>1394.46</v>
      </c>
      <c r="I117" s="13">
        <v>1401.35</v>
      </c>
      <c r="J117" s="13">
        <v>3682490</v>
      </c>
      <c r="K117" s="13">
        <v>1401.35</v>
      </c>
      <c r="L117" s="17">
        <v>0</v>
      </c>
      <c r="M117" s="17">
        <v>2</v>
      </c>
      <c r="N117"/>
      <c r="O117"/>
      <c r="P117"/>
      <c r="Q117"/>
      <c r="R117" s="10"/>
      <c r="S117" s="10"/>
      <c r="T117" s="10"/>
      <c r="U117" s="10"/>
      <c r="V117" s="10"/>
      <c r="W117" s="10"/>
      <c r="X117" s="10"/>
      <c r="Y117" s="10"/>
    </row>
    <row r="118" spans="5:25" ht="15" customHeight="1" x14ac:dyDescent="0.25">
      <c r="E118" s="12">
        <v>41129</v>
      </c>
      <c r="F118" s="13">
        <v>1401.23</v>
      </c>
      <c r="G118" s="13">
        <v>1404.14</v>
      </c>
      <c r="H118" s="13">
        <v>1396.13</v>
      </c>
      <c r="I118" s="13">
        <v>1402.22</v>
      </c>
      <c r="J118" s="13">
        <v>3221790</v>
      </c>
      <c r="K118" s="13">
        <v>1402.22</v>
      </c>
      <c r="L118" s="17">
        <v>0</v>
      </c>
      <c r="M118" s="17">
        <v>1</v>
      </c>
      <c r="N118"/>
      <c r="O118"/>
      <c r="P118"/>
      <c r="Q118"/>
      <c r="R118" s="10"/>
      <c r="S118" s="10"/>
      <c r="T118" s="10"/>
      <c r="U118" s="10"/>
      <c r="V118" s="10"/>
      <c r="W118" s="10"/>
      <c r="X118" s="10"/>
      <c r="Y118" s="10"/>
    </row>
    <row r="119" spans="5:25" ht="15" customHeight="1" x14ac:dyDescent="0.25">
      <c r="E119" s="12">
        <v>41130</v>
      </c>
      <c r="F119" s="13">
        <v>1402.26</v>
      </c>
      <c r="G119" s="13">
        <v>1405.95</v>
      </c>
      <c r="H119" s="13">
        <v>1398.8</v>
      </c>
      <c r="I119" s="13">
        <v>1402.8</v>
      </c>
      <c r="J119" s="13">
        <v>3119610</v>
      </c>
      <c r="K119" s="13">
        <v>1402.8</v>
      </c>
      <c r="L119" s="17">
        <v>0</v>
      </c>
      <c r="M119" s="17">
        <v>1</v>
      </c>
      <c r="N119"/>
      <c r="O119"/>
      <c r="P119"/>
      <c r="Q119"/>
      <c r="R119" s="10"/>
      <c r="S119" s="10"/>
      <c r="T119" s="10"/>
      <c r="U119" s="10"/>
      <c r="V119" s="10"/>
      <c r="W119" s="10"/>
      <c r="X119" s="10"/>
      <c r="Y119" s="10"/>
    </row>
    <row r="120" spans="5:25" ht="15" customHeight="1" x14ac:dyDescent="0.25">
      <c r="E120" s="12">
        <v>41131</v>
      </c>
      <c r="F120" s="13">
        <v>1402.58</v>
      </c>
      <c r="G120" s="13">
        <v>1405.98</v>
      </c>
      <c r="H120" s="13">
        <v>1395.62</v>
      </c>
      <c r="I120" s="13">
        <v>1405.87</v>
      </c>
      <c r="J120" s="13">
        <v>2767980</v>
      </c>
      <c r="K120" s="13">
        <v>1405.87</v>
      </c>
      <c r="L120" s="17">
        <v>0</v>
      </c>
      <c r="M120" s="17">
        <v>1</v>
      </c>
      <c r="N120"/>
      <c r="O120"/>
      <c r="P120"/>
      <c r="Q120"/>
      <c r="R120" s="10"/>
      <c r="S120" s="10"/>
      <c r="T120" s="10"/>
      <c r="U120" s="10"/>
      <c r="V120" s="10"/>
      <c r="W120" s="10"/>
      <c r="X120" s="10"/>
      <c r="Y120" s="10"/>
    </row>
    <row r="121" spans="5:25" ht="15" customHeight="1" x14ac:dyDescent="0.25">
      <c r="E121" s="12">
        <v>41134</v>
      </c>
      <c r="F121" s="13">
        <v>1405.87</v>
      </c>
      <c r="G121" s="13">
        <v>1405.87</v>
      </c>
      <c r="H121" s="13">
        <v>1397.32</v>
      </c>
      <c r="I121" s="13">
        <v>1404.11</v>
      </c>
      <c r="J121" s="13">
        <v>2499990</v>
      </c>
      <c r="K121" s="13">
        <v>1404.11</v>
      </c>
      <c r="L121" s="17">
        <v>0</v>
      </c>
      <c r="M121" s="17">
        <v>1</v>
      </c>
      <c r="N121"/>
      <c r="O121"/>
      <c r="P121"/>
      <c r="Q121"/>
      <c r="R121" s="10"/>
      <c r="S121" s="10"/>
      <c r="T121" s="10"/>
      <c r="U121" s="10"/>
      <c r="V121" s="10"/>
      <c r="W121" s="10"/>
      <c r="X121" s="10"/>
      <c r="Y121" s="10"/>
    </row>
    <row r="122" spans="5:25" ht="15" customHeight="1" x14ac:dyDescent="0.25">
      <c r="E122" s="12">
        <v>41135</v>
      </c>
      <c r="F122" s="13">
        <v>1404.36</v>
      </c>
      <c r="G122" s="13">
        <v>1410.03</v>
      </c>
      <c r="H122" s="13">
        <v>1400.6</v>
      </c>
      <c r="I122" s="13">
        <v>1403.93</v>
      </c>
      <c r="J122" s="13">
        <v>2930900</v>
      </c>
      <c r="K122" s="13">
        <v>1403.93</v>
      </c>
      <c r="L122" s="17">
        <v>1</v>
      </c>
      <c r="M122" s="17">
        <v>2</v>
      </c>
      <c r="N122"/>
      <c r="O122"/>
      <c r="P122"/>
      <c r="Q122"/>
      <c r="R122" s="10"/>
      <c r="S122" s="10"/>
      <c r="T122" s="10"/>
      <c r="U122" s="10"/>
      <c r="V122" s="10"/>
      <c r="W122" s="10"/>
      <c r="X122" s="10"/>
      <c r="Y122" s="10"/>
    </row>
    <row r="123" spans="5:25" ht="15" customHeight="1" x14ac:dyDescent="0.25">
      <c r="E123" s="12">
        <v>41136</v>
      </c>
      <c r="F123" s="13">
        <v>1403.89</v>
      </c>
      <c r="G123" s="13">
        <v>1407.73</v>
      </c>
      <c r="H123" s="13">
        <v>1401.83</v>
      </c>
      <c r="I123" s="13">
        <v>1405.53</v>
      </c>
      <c r="J123" s="13">
        <v>2655750</v>
      </c>
      <c r="K123" s="13">
        <v>1405.53</v>
      </c>
      <c r="L123" s="17">
        <v>0</v>
      </c>
      <c r="M123" s="17">
        <v>2</v>
      </c>
      <c r="N123"/>
      <c r="O123"/>
      <c r="P123"/>
      <c r="Q123"/>
      <c r="R123" s="10"/>
      <c r="S123" s="10"/>
      <c r="T123" s="10"/>
      <c r="U123" s="10"/>
      <c r="V123" s="10"/>
      <c r="W123" s="10"/>
      <c r="X123" s="10"/>
      <c r="Y123" s="10"/>
    </row>
    <row r="124" spans="5:25" ht="15" customHeight="1" x14ac:dyDescent="0.25">
      <c r="E124" s="12">
        <v>41137</v>
      </c>
      <c r="F124" s="13">
        <v>1405.57</v>
      </c>
      <c r="G124" s="13">
        <v>1417.44</v>
      </c>
      <c r="H124" s="13">
        <v>1404.15</v>
      </c>
      <c r="I124" s="13">
        <v>1415.51</v>
      </c>
      <c r="J124" s="13">
        <v>3114100</v>
      </c>
      <c r="K124" s="13">
        <v>1415.51</v>
      </c>
      <c r="L124" s="17">
        <v>0</v>
      </c>
      <c r="M124" s="17">
        <v>1</v>
      </c>
      <c r="N124"/>
      <c r="O124"/>
      <c r="P124"/>
      <c r="Q124"/>
      <c r="R124" s="10"/>
      <c r="S124" s="10"/>
      <c r="T124" s="10"/>
      <c r="U124" s="10"/>
      <c r="V124" s="10"/>
      <c r="W124" s="10"/>
      <c r="X124" s="10"/>
      <c r="Y124" s="10"/>
    </row>
    <row r="125" spans="5:25" ht="15" customHeight="1" x14ac:dyDescent="0.25">
      <c r="E125" s="12">
        <v>41138</v>
      </c>
      <c r="F125" s="13">
        <v>1415.84</v>
      </c>
      <c r="G125" s="13">
        <v>1418.71</v>
      </c>
      <c r="H125" s="13">
        <v>1414.67</v>
      </c>
      <c r="I125" s="13">
        <v>1418.16</v>
      </c>
      <c r="J125" s="13">
        <v>2922990</v>
      </c>
      <c r="K125" s="13">
        <v>1418.16</v>
      </c>
      <c r="L125" s="17">
        <v>0</v>
      </c>
      <c r="M125" s="17">
        <v>1</v>
      </c>
      <c r="N125"/>
      <c r="O125"/>
      <c r="P125"/>
      <c r="Q125"/>
      <c r="R125" s="10"/>
      <c r="S125" s="10"/>
      <c r="T125" s="10"/>
      <c r="U125" s="10"/>
      <c r="V125" s="10"/>
      <c r="W125" s="10"/>
      <c r="X125" s="10"/>
      <c r="Y125" s="10"/>
    </row>
    <row r="126" spans="5:25" ht="15" customHeight="1" x14ac:dyDescent="0.25">
      <c r="E126" s="12">
        <v>41141</v>
      </c>
      <c r="F126" s="13">
        <v>1417.85</v>
      </c>
      <c r="G126" s="13">
        <v>1418.13</v>
      </c>
      <c r="H126" s="13">
        <v>1412.12</v>
      </c>
      <c r="I126" s="13">
        <v>1418.13</v>
      </c>
      <c r="J126" s="13">
        <v>2766320</v>
      </c>
      <c r="K126" s="13">
        <v>1418.13</v>
      </c>
      <c r="L126" s="17">
        <v>0</v>
      </c>
      <c r="M126" s="17">
        <v>1</v>
      </c>
      <c r="N126"/>
      <c r="O126"/>
      <c r="P126"/>
      <c r="Q126"/>
      <c r="R126" s="10"/>
      <c r="S126" s="10"/>
      <c r="T126" s="10"/>
      <c r="U126" s="10"/>
      <c r="V126" s="10"/>
      <c r="W126" s="10"/>
      <c r="X126" s="10"/>
      <c r="Y126" s="10"/>
    </row>
    <row r="127" spans="5:25" ht="15" customHeight="1" x14ac:dyDescent="0.25">
      <c r="E127" s="12">
        <v>41142</v>
      </c>
      <c r="F127" s="13">
        <v>1418.13</v>
      </c>
      <c r="G127" s="13">
        <v>1426.68</v>
      </c>
      <c r="H127" s="13">
        <v>1410.86</v>
      </c>
      <c r="I127" s="13">
        <v>1413.17</v>
      </c>
      <c r="J127" s="13">
        <v>3282950</v>
      </c>
      <c r="K127" s="13">
        <v>1413.17</v>
      </c>
      <c r="L127" s="17">
        <v>1</v>
      </c>
      <c r="M127" s="17">
        <v>2</v>
      </c>
      <c r="N127"/>
      <c r="O127"/>
      <c r="P127"/>
      <c r="Q127"/>
      <c r="R127" s="10"/>
      <c r="S127" s="10"/>
      <c r="T127" s="10"/>
      <c r="U127" s="10"/>
      <c r="V127" s="10"/>
      <c r="W127" s="10"/>
      <c r="X127" s="10"/>
      <c r="Y127" s="10"/>
    </row>
    <row r="128" spans="5:25" ht="15" customHeight="1" x14ac:dyDescent="0.25">
      <c r="E128" s="12">
        <v>41143</v>
      </c>
      <c r="F128" s="13">
        <v>1413.09</v>
      </c>
      <c r="G128" s="13">
        <v>1416.12</v>
      </c>
      <c r="H128" s="13">
        <v>1406.78</v>
      </c>
      <c r="I128" s="13">
        <v>1413.49</v>
      </c>
      <c r="J128" s="13">
        <v>3062690</v>
      </c>
      <c r="K128" s="13">
        <v>1413.49</v>
      </c>
      <c r="L128" s="17">
        <v>0</v>
      </c>
      <c r="M128" s="17">
        <v>2</v>
      </c>
      <c r="N128"/>
      <c r="O128"/>
      <c r="P128"/>
      <c r="Q128"/>
      <c r="R128" s="10"/>
      <c r="S128" s="10"/>
      <c r="T128" s="10"/>
      <c r="U128" s="10"/>
      <c r="V128" s="10"/>
      <c r="W128" s="10"/>
      <c r="X128" s="10"/>
      <c r="Y128" s="10"/>
    </row>
    <row r="129" spans="5:25" ht="15" customHeight="1" x14ac:dyDescent="0.25">
      <c r="E129" s="12">
        <v>41144</v>
      </c>
      <c r="F129" s="13">
        <v>1413.49</v>
      </c>
      <c r="G129" s="13">
        <v>1413.49</v>
      </c>
      <c r="H129" s="13">
        <v>1400.5</v>
      </c>
      <c r="I129" s="13">
        <v>1402.08</v>
      </c>
      <c r="J129" s="13">
        <v>3008240</v>
      </c>
      <c r="K129" s="13">
        <v>1402.08</v>
      </c>
      <c r="L129" s="17">
        <v>1</v>
      </c>
      <c r="M129" s="17">
        <v>3</v>
      </c>
      <c r="N129"/>
      <c r="O129"/>
      <c r="P129"/>
      <c r="Q129"/>
      <c r="R129" s="10"/>
      <c r="S129" s="10"/>
      <c r="T129" s="10"/>
      <c r="U129" s="10"/>
      <c r="V129" s="10"/>
      <c r="W129" s="10"/>
      <c r="X129" s="10"/>
      <c r="Y129" s="10"/>
    </row>
    <row r="130" spans="5:25" ht="15" customHeight="1" x14ac:dyDescent="0.25">
      <c r="E130" s="12">
        <v>41145</v>
      </c>
      <c r="F130" s="13">
        <v>1401.99</v>
      </c>
      <c r="G130" s="13">
        <v>1413.46</v>
      </c>
      <c r="H130" s="13">
        <v>1398.04</v>
      </c>
      <c r="I130" s="13">
        <v>1411.13</v>
      </c>
      <c r="J130" s="13">
        <v>2598790</v>
      </c>
      <c r="K130" s="13">
        <v>1411.13</v>
      </c>
      <c r="L130" s="17">
        <v>0</v>
      </c>
      <c r="M130" s="17">
        <v>3</v>
      </c>
      <c r="N130"/>
      <c r="O130"/>
      <c r="P130"/>
      <c r="Q130"/>
      <c r="R130" s="10"/>
      <c r="S130" s="10"/>
      <c r="T130" s="10"/>
      <c r="U130" s="10"/>
      <c r="V130" s="10"/>
      <c r="W130" s="10"/>
      <c r="X130" s="10"/>
      <c r="Y130" s="10"/>
    </row>
    <row r="131" spans="5:25" ht="15" customHeight="1" x14ac:dyDescent="0.25">
      <c r="E131" s="12">
        <v>41148</v>
      </c>
      <c r="F131" s="13">
        <v>1411.13</v>
      </c>
      <c r="G131" s="13">
        <v>1416.17</v>
      </c>
      <c r="H131" s="13">
        <v>1409.11</v>
      </c>
      <c r="I131" s="13">
        <v>1410.44</v>
      </c>
      <c r="J131" s="13">
        <v>2472500</v>
      </c>
      <c r="K131" s="13">
        <v>1410.44</v>
      </c>
      <c r="L131" s="17">
        <v>0</v>
      </c>
      <c r="M131" s="17">
        <v>3</v>
      </c>
      <c r="N131"/>
      <c r="O131"/>
      <c r="P131"/>
      <c r="Q131"/>
      <c r="R131" s="10"/>
      <c r="S131" s="10"/>
      <c r="T131" s="10"/>
      <c r="U131" s="10"/>
      <c r="V131" s="10"/>
      <c r="W131" s="10"/>
      <c r="X131" s="10"/>
      <c r="Y131" s="10"/>
    </row>
    <row r="132" spans="5:25" ht="15" customHeight="1" x14ac:dyDescent="0.25">
      <c r="E132" s="12">
        <v>41149</v>
      </c>
      <c r="F132" s="13">
        <v>1410.44</v>
      </c>
      <c r="G132" s="13">
        <v>1413.63</v>
      </c>
      <c r="H132" s="13">
        <v>1405.59</v>
      </c>
      <c r="I132" s="13">
        <v>1409.3</v>
      </c>
      <c r="J132" s="13">
        <v>2629090</v>
      </c>
      <c r="K132" s="13">
        <v>1409.3</v>
      </c>
      <c r="L132" s="17">
        <v>1</v>
      </c>
      <c r="M132" s="17">
        <v>3</v>
      </c>
      <c r="N132"/>
      <c r="O132"/>
      <c r="P132"/>
      <c r="Q132"/>
      <c r="R132" s="10"/>
      <c r="S132" s="10"/>
      <c r="T132" s="10"/>
      <c r="U132" s="10"/>
      <c r="V132" s="10"/>
      <c r="W132" s="10"/>
      <c r="X132" s="10"/>
      <c r="Y132" s="10"/>
    </row>
    <row r="133" spans="5:25" ht="15" customHeight="1" x14ac:dyDescent="0.25">
      <c r="E133" s="12">
        <v>41150</v>
      </c>
      <c r="F133" s="13">
        <v>1409.32</v>
      </c>
      <c r="G133" s="13">
        <v>1413.95</v>
      </c>
      <c r="H133" s="13">
        <v>1406.57</v>
      </c>
      <c r="I133" s="13">
        <v>1410.49</v>
      </c>
      <c r="J133" s="13">
        <v>2571220</v>
      </c>
      <c r="K133" s="13">
        <v>1410.49</v>
      </c>
      <c r="L133" s="17">
        <v>0</v>
      </c>
      <c r="M133" s="17">
        <v>3</v>
      </c>
      <c r="N133"/>
      <c r="O133"/>
      <c r="P133"/>
      <c r="Q133"/>
      <c r="R133" s="10"/>
      <c r="S133" s="10"/>
      <c r="T133" s="10"/>
      <c r="U133" s="10"/>
      <c r="V133" s="10"/>
      <c r="W133" s="10"/>
      <c r="X133" s="10"/>
      <c r="Y133" s="10"/>
    </row>
    <row r="134" spans="5:25" ht="15" customHeight="1" x14ac:dyDescent="0.25">
      <c r="E134" s="12">
        <v>41151</v>
      </c>
      <c r="F134" s="13">
        <v>1410.08</v>
      </c>
      <c r="G134" s="13">
        <v>1410.08</v>
      </c>
      <c r="H134" s="13">
        <v>1397.01</v>
      </c>
      <c r="I134" s="13">
        <v>1399.48</v>
      </c>
      <c r="J134" s="13">
        <v>2530280</v>
      </c>
      <c r="K134" s="13">
        <v>1399.48</v>
      </c>
      <c r="L134" s="17">
        <v>1</v>
      </c>
      <c r="M134" s="17">
        <v>4</v>
      </c>
      <c r="N134"/>
      <c r="O134"/>
      <c r="P134"/>
      <c r="Q134"/>
      <c r="R134" s="10"/>
      <c r="S134" s="10"/>
      <c r="T134" s="10"/>
      <c r="U134" s="10"/>
      <c r="V134" s="10"/>
      <c r="W134" s="10"/>
      <c r="X134" s="10"/>
      <c r="Y134" s="10"/>
    </row>
    <row r="135" spans="5:25" ht="15" customHeight="1" x14ac:dyDescent="0.25">
      <c r="E135" s="12">
        <v>41152</v>
      </c>
      <c r="F135" s="13">
        <v>1400.07</v>
      </c>
      <c r="G135" s="13">
        <v>1413.09</v>
      </c>
      <c r="H135" s="13">
        <v>1398.96</v>
      </c>
      <c r="I135" s="13">
        <v>1406.58</v>
      </c>
      <c r="J135" s="13">
        <v>2938250</v>
      </c>
      <c r="K135" s="13">
        <v>1406.58</v>
      </c>
      <c r="L135" s="17">
        <v>0</v>
      </c>
      <c r="M135" s="17">
        <v>4</v>
      </c>
      <c r="N135"/>
      <c r="O135"/>
      <c r="P135"/>
      <c r="Q135"/>
      <c r="R135" s="10"/>
      <c r="S135" s="10"/>
      <c r="T135" s="10"/>
      <c r="U135" s="10"/>
      <c r="V135" s="10"/>
      <c r="W135" s="10"/>
      <c r="X135" s="10"/>
      <c r="Y135" s="10"/>
    </row>
    <row r="136" spans="5:25" ht="15" customHeight="1" x14ac:dyDescent="0.25">
      <c r="E136" s="12">
        <v>41156</v>
      </c>
      <c r="F136" s="13">
        <v>1406.54</v>
      </c>
      <c r="G136" s="13">
        <v>1409.31</v>
      </c>
      <c r="H136" s="13">
        <v>1396.56</v>
      </c>
      <c r="I136" s="13">
        <v>1404.94</v>
      </c>
      <c r="J136" s="13">
        <v>3200310</v>
      </c>
      <c r="K136" s="13">
        <v>1404.94</v>
      </c>
      <c r="L136" s="17">
        <v>0</v>
      </c>
      <c r="M136" s="17">
        <v>4</v>
      </c>
      <c r="N136"/>
      <c r="O136"/>
      <c r="P136"/>
      <c r="Q136"/>
      <c r="R136" s="10"/>
      <c r="S136" s="10"/>
      <c r="T136" s="10"/>
      <c r="U136" s="10"/>
      <c r="V136" s="10"/>
      <c r="W136" s="10"/>
      <c r="X136" s="10"/>
      <c r="Y136" s="10"/>
    </row>
    <row r="137" spans="5:25" ht="15" customHeight="1" x14ac:dyDescent="0.25">
      <c r="E137" s="12">
        <v>41157</v>
      </c>
      <c r="F137" s="13">
        <v>1404.94</v>
      </c>
      <c r="G137" s="13">
        <v>1408.81</v>
      </c>
      <c r="H137" s="13">
        <v>1401.25</v>
      </c>
      <c r="I137" s="13">
        <v>1403.44</v>
      </c>
      <c r="J137" s="13">
        <v>3389110</v>
      </c>
      <c r="K137" s="13">
        <v>1403.44</v>
      </c>
      <c r="L137" s="17">
        <v>1</v>
      </c>
      <c r="M137" s="17">
        <v>4</v>
      </c>
      <c r="N137"/>
      <c r="O137"/>
      <c r="P137"/>
      <c r="Q137"/>
      <c r="R137" s="10"/>
      <c r="S137" s="10"/>
      <c r="T137" s="10"/>
      <c r="U137" s="10"/>
      <c r="V137" s="10"/>
      <c r="W137" s="10"/>
      <c r="X137" s="10"/>
      <c r="Y137" s="10"/>
    </row>
    <row r="138" spans="5:25" ht="15" customHeight="1" x14ac:dyDescent="0.25">
      <c r="E138" s="12">
        <v>41158</v>
      </c>
      <c r="F138" s="13">
        <v>1403.74</v>
      </c>
      <c r="G138" s="13">
        <v>1432.12</v>
      </c>
      <c r="H138" s="13">
        <v>1403.74</v>
      </c>
      <c r="I138" s="13">
        <v>1432.12</v>
      </c>
      <c r="J138" s="13">
        <v>3952870</v>
      </c>
      <c r="K138" s="13">
        <v>1432.12</v>
      </c>
      <c r="L138" s="17">
        <v>0</v>
      </c>
      <c r="M138" s="17">
        <v>4</v>
      </c>
      <c r="N138"/>
      <c r="O138"/>
      <c r="P138"/>
      <c r="Q138"/>
      <c r="R138" s="10"/>
      <c r="S138" s="10"/>
      <c r="T138" s="10"/>
      <c r="U138" s="10"/>
      <c r="V138" s="10"/>
      <c r="W138" s="10"/>
      <c r="X138" s="10"/>
      <c r="Y138" s="10"/>
    </row>
    <row r="139" spans="5:25" ht="15" customHeight="1" x14ac:dyDescent="0.25">
      <c r="E139" s="12">
        <v>41159</v>
      </c>
      <c r="F139" s="13">
        <v>1432.12</v>
      </c>
      <c r="G139" s="13">
        <v>1437.92</v>
      </c>
      <c r="H139" s="13">
        <v>1431.45</v>
      </c>
      <c r="I139" s="13">
        <v>1437.92</v>
      </c>
      <c r="J139" s="13">
        <v>3717620</v>
      </c>
      <c r="K139" s="13">
        <v>1437.92</v>
      </c>
      <c r="L139" s="17">
        <v>0</v>
      </c>
      <c r="M139" s="17">
        <v>3</v>
      </c>
      <c r="N139"/>
      <c r="O139"/>
      <c r="P139"/>
      <c r="Q139"/>
      <c r="R139" s="10"/>
      <c r="S139" s="10"/>
      <c r="T139" s="10"/>
      <c r="U139" s="10"/>
      <c r="V139" s="10"/>
      <c r="W139" s="10"/>
      <c r="X139" s="10"/>
      <c r="Y139" s="10"/>
    </row>
    <row r="140" spans="5:25" ht="15" customHeight="1" x14ac:dyDescent="0.25">
      <c r="E140" s="12">
        <v>41162</v>
      </c>
      <c r="F140" s="13">
        <v>1437.92</v>
      </c>
      <c r="G140" s="13">
        <v>1438.74</v>
      </c>
      <c r="H140" s="13">
        <v>1428.98</v>
      </c>
      <c r="I140" s="13">
        <v>1429.08</v>
      </c>
      <c r="J140" s="13">
        <v>3223670</v>
      </c>
      <c r="K140" s="13">
        <v>1429.08</v>
      </c>
      <c r="L140" s="17">
        <v>1</v>
      </c>
      <c r="M140" s="17">
        <v>4</v>
      </c>
      <c r="N140"/>
      <c r="O140"/>
      <c r="P140"/>
      <c r="Q140"/>
      <c r="R140" s="10"/>
      <c r="S140" s="10"/>
      <c r="T140" s="10"/>
      <c r="U140" s="10"/>
      <c r="V140" s="10"/>
      <c r="W140" s="10"/>
      <c r="X140" s="10"/>
      <c r="Y140" s="10"/>
    </row>
    <row r="141" spans="5:25" ht="15" customHeight="1" x14ac:dyDescent="0.25">
      <c r="E141" s="12">
        <v>41163</v>
      </c>
      <c r="F141" s="13">
        <v>1429.13</v>
      </c>
      <c r="G141" s="13">
        <v>1437.76</v>
      </c>
      <c r="H141" s="13">
        <v>1429.13</v>
      </c>
      <c r="I141" s="13">
        <v>1433.56</v>
      </c>
      <c r="J141" s="13">
        <v>3509630</v>
      </c>
      <c r="K141" s="13">
        <v>1433.56</v>
      </c>
      <c r="L141" s="17">
        <v>0</v>
      </c>
      <c r="M141" s="17">
        <v>4</v>
      </c>
      <c r="N141"/>
      <c r="O141"/>
      <c r="P141"/>
      <c r="Q141"/>
      <c r="R141" s="10"/>
      <c r="S141" s="10"/>
      <c r="T141" s="10"/>
      <c r="U141" s="10"/>
      <c r="V141" s="10"/>
      <c r="W141" s="10"/>
      <c r="X141" s="10"/>
      <c r="Y141" s="10"/>
    </row>
    <row r="142" spans="5:25" ht="15" customHeight="1" x14ac:dyDescent="0.25">
      <c r="E142" s="12">
        <v>41164</v>
      </c>
      <c r="F142" s="13">
        <v>1433.56</v>
      </c>
      <c r="G142" s="13">
        <v>1439.15</v>
      </c>
      <c r="H142" s="13">
        <v>1432.99</v>
      </c>
      <c r="I142" s="13">
        <v>1436.56</v>
      </c>
      <c r="J142" s="13">
        <v>3641200</v>
      </c>
      <c r="K142" s="13">
        <v>1436.56</v>
      </c>
      <c r="L142" s="17">
        <v>0</v>
      </c>
      <c r="M142" s="17">
        <v>3</v>
      </c>
      <c r="N142"/>
      <c r="O142"/>
      <c r="P142"/>
      <c r="Q142"/>
      <c r="R142" s="10"/>
      <c r="S142" s="10"/>
      <c r="T142" s="10"/>
      <c r="U142" s="10"/>
      <c r="V142" s="10"/>
      <c r="W142" s="10"/>
      <c r="X142" s="10"/>
      <c r="Y142" s="10"/>
    </row>
    <row r="143" spans="5:25" ht="15" customHeight="1" x14ac:dyDescent="0.25">
      <c r="E143" s="12">
        <v>41165</v>
      </c>
      <c r="F143" s="13">
        <v>1436.56</v>
      </c>
      <c r="G143" s="13">
        <v>1463.76</v>
      </c>
      <c r="H143" s="13">
        <v>1435.34</v>
      </c>
      <c r="I143" s="13">
        <v>1459.99</v>
      </c>
      <c r="J143" s="13">
        <v>4606550</v>
      </c>
      <c r="K143" s="13">
        <v>1459.99</v>
      </c>
      <c r="L143" s="17">
        <v>0</v>
      </c>
      <c r="M143" s="17">
        <v>3</v>
      </c>
      <c r="N143"/>
      <c r="O143"/>
      <c r="P143"/>
      <c r="Q143"/>
      <c r="R143" s="10"/>
      <c r="S143" s="10"/>
      <c r="T143" s="10"/>
      <c r="U143" s="10"/>
      <c r="V143" s="10"/>
      <c r="W143" s="10"/>
      <c r="X143" s="10"/>
      <c r="Y143" s="10"/>
    </row>
    <row r="144" spans="5:25" ht="15" customHeight="1" x14ac:dyDescent="0.25">
      <c r="E144" s="12">
        <v>41166</v>
      </c>
      <c r="F144" s="13">
        <v>1460.07</v>
      </c>
      <c r="G144" s="13">
        <v>1474.51</v>
      </c>
      <c r="H144" s="13">
        <v>1460.07</v>
      </c>
      <c r="I144" s="13">
        <v>1465.77</v>
      </c>
      <c r="J144" s="13">
        <v>5041990</v>
      </c>
      <c r="K144" s="13">
        <v>1465.77</v>
      </c>
      <c r="L144" s="17">
        <v>0</v>
      </c>
      <c r="M144" s="17">
        <v>2</v>
      </c>
      <c r="N144"/>
      <c r="O144"/>
      <c r="P144"/>
      <c r="Q144"/>
      <c r="R144" s="10"/>
      <c r="S144" s="10"/>
      <c r="T144" s="10"/>
      <c r="U144" s="10"/>
      <c r="V144" s="10"/>
      <c r="W144" s="10"/>
      <c r="X144" s="10"/>
      <c r="Y144" s="10"/>
    </row>
    <row r="145" spans="5:25" ht="15" customHeight="1" x14ac:dyDescent="0.25">
      <c r="E145" s="12">
        <v>41169</v>
      </c>
      <c r="F145" s="13">
        <v>1465.42</v>
      </c>
      <c r="G145" s="13">
        <v>1465.63</v>
      </c>
      <c r="H145" s="13">
        <v>1457.55</v>
      </c>
      <c r="I145" s="13">
        <v>1461.19</v>
      </c>
      <c r="J145" s="13">
        <v>3482430</v>
      </c>
      <c r="K145" s="13">
        <v>1461.19</v>
      </c>
      <c r="L145" s="17">
        <v>0</v>
      </c>
      <c r="M145" s="17">
        <v>2</v>
      </c>
      <c r="N145"/>
      <c r="O145"/>
      <c r="P145"/>
      <c r="Q145"/>
      <c r="R145" s="10"/>
      <c r="S145" s="10"/>
      <c r="T145" s="10"/>
      <c r="U145" s="10"/>
      <c r="V145" s="10"/>
      <c r="W145" s="10"/>
      <c r="X145" s="10"/>
      <c r="Y145" s="10"/>
    </row>
    <row r="146" spans="5:25" ht="15" customHeight="1" x14ac:dyDescent="0.25">
      <c r="E146" s="12">
        <v>41170</v>
      </c>
      <c r="F146" s="13">
        <v>1461.19</v>
      </c>
      <c r="G146" s="13">
        <v>1461.47</v>
      </c>
      <c r="H146" s="13">
        <v>1456.13</v>
      </c>
      <c r="I146" s="13">
        <v>1459.32</v>
      </c>
      <c r="J146" s="13">
        <v>3377390</v>
      </c>
      <c r="K146" s="13">
        <v>1459.32</v>
      </c>
      <c r="L146" s="17">
        <v>1</v>
      </c>
      <c r="M146" s="17">
        <v>3</v>
      </c>
      <c r="N146"/>
      <c r="O146"/>
      <c r="P146"/>
      <c r="Q146"/>
      <c r="R146" s="10"/>
      <c r="S146" s="10"/>
      <c r="T146" s="10"/>
      <c r="U146" s="10"/>
      <c r="V146" s="10"/>
      <c r="W146" s="10"/>
      <c r="X146" s="10"/>
      <c r="Y146" s="10"/>
    </row>
    <row r="147" spans="5:25" ht="15" customHeight="1" x14ac:dyDescent="0.25">
      <c r="E147" s="12">
        <v>41171</v>
      </c>
      <c r="F147" s="13">
        <v>1459.5</v>
      </c>
      <c r="G147" s="13">
        <v>1465.15</v>
      </c>
      <c r="H147" s="13">
        <v>1457.88</v>
      </c>
      <c r="I147" s="13">
        <v>1461.05</v>
      </c>
      <c r="J147" s="13">
        <v>3451360</v>
      </c>
      <c r="K147" s="13">
        <v>1461.05</v>
      </c>
      <c r="L147" s="17">
        <v>0</v>
      </c>
      <c r="M147" s="17">
        <v>2</v>
      </c>
      <c r="N147"/>
      <c r="O147"/>
      <c r="P147"/>
      <c r="Q147"/>
      <c r="R147" s="10"/>
      <c r="S147" s="10"/>
      <c r="T147" s="10"/>
      <c r="U147" s="10"/>
      <c r="V147" s="10"/>
      <c r="W147" s="10"/>
      <c r="X147" s="10"/>
      <c r="Y147" s="10"/>
    </row>
    <row r="148" spans="5:25" ht="15" customHeight="1" x14ac:dyDescent="0.25">
      <c r="E148" s="12">
        <v>41172</v>
      </c>
      <c r="F148" s="13">
        <v>1461.05</v>
      </c>
      <c r="G148" s="13">
        <v>1461.23</v>
      </c>
      <c r="H148" s="13">
        <v>1449.98</v>
      </c>
      <c r="I148" s="13">
        <v>1460.26</v>
      </c>
      <c r="J148" s="13">
        <v>3382520</v>
      </c>
      <c r="K148" s="13">
        <v>1460.26</v>
      </c>
      <c r="L148" s="17">
        <v>0</v>
      </c>
      <c r="M148" s="17">
        <v>2</v>
      </c>
      <c r="N148"/>
      <c r="O148"/>
      <c r="P148"/>
      <c r="Q148"/>
      <c r="R148" s="10"/>
      <c r="S148" s="10"/>
      <c r="T148" s="10"/>
      <c r="U148" s="10"/>
      <c r="V148" s="10"/>
      <c r="W148" s="10"/>
      <c r="X148" s="10"/>
      <c r="Y148" s="10"/>
    </row>
    <row r="149" spans="5:25" ht="15" customHeight="1" x14ac:dyDescent="0.25">
      <c r="E149" s="12">
        <v>41173</v>
      </c>
      <c r="F149" s="13">
        <v>1460.34</v>
      </c>
      <c r="G149" s="13">
        <v>1467.07</v>
      </c>
      <c r="H149" s="13">
        <v>1459.51</v>
      </c>
      <c r="I149" s="13">
        <v>1460.15</v>
      </c>
      <c r="J149" s="13">
        <v>4833870</v>
      </c>
      <c r="K149" s="13">
        <v>1460.15</v>
      </c>
      <c r="L149" s="17">
        <v>0</v>
      </c>
      <c r="M149" s="17">
        <v>2</v>
      </c>
      <c r="N149"/>
      <c r="O149"/>
      <c r="P149"/>
      <c r="Q149"/>
      <c r="R149" s="10"/>
      <c r="S149" s="10"/>
      <c r="T149" s="10"/>
      <c r="U149" s="10"/>
      <c r="V149" s="10"/>
      <c r="W149" s="10"/>
      <c r="X149" s="10"/>
      <c r="Y149" s="10"/>
    </row>
    <row r="150" spans="5:25" ht="15" customHeight="1" x14ac:dyDescent="0.25">
      <c r="E150" s="12">
        <v>41176</v>
      </c>
      <c r="F150" s="13">
        <v>1459.76</v>
      </c>
      <c r="G150" s="13">
        <v>1460.72</v>
      </c>
      <c r="H150" s="13">
        <v>1452.06</v>
      </c>
      <c r="I150" s="13">
        <v>1456.89</v>
      </c>
      <c r="J150" s="13">
        <v>3008920</v>
      </c>
      <c r="K150" s="13">
        <v>1456.89</v>
      </c>
      <c r="L150" s="17">
        <v>0</v>
      </c>
      <c r="M150" s="17">
        <v>1</v>
      </c>
      <c r="N150"/>
      <c r="O150"/>
      <c r="P150"/>
      <c r="Q150"/>
      <c r="R150" s="10"/>
      <c r="S150" s="10"/>
      <c r="T150" s="10"/>
      <c r="U150" s="10"/>
      <c r="V150" s="10"/>
      <c r="W150" s="10"/>
      <c r="X150" s="10"/>
      <c r="Y150" s="10"/>
    </row>
    <row r="151" spans="5:25" ht="15" customHeight="1" x14ac:dyDescent="0.25">
      <c r="E151" s="12">
        <v>41177</v>
      </c>
      <c r="F151" s="13">
        <v>1456.94</v>
      </c>
      <c r="G151" s="13">
        <v>1463.24</v>
      </c>
      <c r="H151" s="13">
        <v>1441.59</v>
      </c>
      <c r="I151" s="13">
        <v>1441.59</v>
      </c>
      <c r="J151" s="13">
        <v>3739900</v>
      </c>
      <c r="K151" s="13">
        <v>1441.59</v>
      </c>
      <c r="L151" s="17">
        <v>0</v>
      </c>
      <c r="M151" s="17">
        <v>1</v>
      </c>
      <c r="N151"/>
      <c r="O151"/>
      <c r="P151"/>
      <c r="Q151"/>
      <c r="R151" s="10"/>
      <c r="S151" s="10"/>
      <c r="T151" s="10"/>
      <c r="U151" s="10"/>
      <c r="V151" s="10"/>
      <c r="W151" s="10"/>
      <c r="X151" s="10"/>
      <c r="Y151" s="10"/>
    </row>
    <row r="152" spans="5:25" ht="15" customHeight="1" x14ac:dyDescent="0.25">
      <c r="E152" s="12">
        <v>41178</v>
      </c>
      <c r="F152" s="13">
        <v>1441.6</v>
      </c>
      <c r="G152" s="13">
        <v>1441.6</v>
      </c>
      <c r="H152" s="13">
        <v>1430.53</v>
      </c>
      <c r="I152" s="13">
        <v>1433.32</v>
      </c>
      <c r="J152" s="13">
        <v>3565380</v>
      </c>
      <c r="K152" s="13">
        <v>1433.32</v>
      </c>
      <c r="L152" s="17">
        <v>1</v>
      </c>
      <c r="M152" s="17">
        <v>2</v>
      </c>
      <c r="N152"/>
      <c r="O152"/>
      <c r="P152"/>
      <c r="Q152"/>
      <c r="R152" s="10"/>
      <c r="S152" s="10"/>
      <c r="T152" s="10"/>
      <c r="U152" s="10"/>
      <c r="V152" s="10"/>
      <c r="W152" s="10"/>
      <c r="X152" s="10"/>
      <c r="Y152" s="10"/>
    </row>
    <row r="153" spans="5:25" ht="15" customHeight="1" x14ac:dyDescent="0.25">
      <c r="E153" s="12">
        <v>41179</v>
      </c>
      <c r="F153" s="13">
        <v>1433.36</v>
      </c>
      <c r="G153" s="13">
        <v>1450.2</v>
      </c>
      <c r="H153" s="13">
        <v>1433.36</v>
      </c>
      <c r="I153" s="13">
        <v>1447.15</v>
      </c>
      <c r="J153" s="13">
        <v>3150330</v>
      </c>
      <c r="K153" s="13">
        <v>1447.15</v>
      </c>
      <c r="L153" s="17">
        <v>0</v>
      </c>
      <c r="M153" s="17">
        <v>2</v>
      </c>
      <c r="N153"/>
      <c r="O153"/>
      <c r="P153"/>
      <c r="Q153"/>
      <c r="R153" s="10"/>
      <c r="S153" s="10"/>
      <c r="T153" s="10"/>
      <c r="U153" s="10"/>
      <c r="V153" s="10"/>
      <c r="W153" s="10"/>
      <c r="X153" s="10"/>
      <c r="Y153" s="10"/>
    </row>
    <row r="154" spans="5:25" ht="15" customHeight="1" x14ac:dyDescent="0.25">
      <c r="E154" s="12">
        <v>41180</v>
      </c>
      <c r="F154" s="13">
        <v>1447.13</v>
      </c>
      <c r="G154" s="13">
        <v>1447.13</v>
      </c>
      <c r="H154" s="13">
        <v>1435.6</v>
      </c>
      <c r="I154" s="13">
        <v>1440.67</v>
      </c>
      <c r="J154" s="13">
        <v>3509230</v>
      </c>
      <c r="K154" s="13">
        <v>1440.67</v>
      </c>
      <c r="L154" s="17">
        <v>1</v>
      </c>
      <c r="M154" s="17">
        <v>3</v>
      </c>
      <c r="N154"/>
      <c r="O154"/>
      <c r="P154"/>
      <c r="Q154"/>
      <c r="R154" s="10"/>
      <c r="S154" s="10"/>
      <c r="T154" s="10"/>
      <c r="U154" s="10"/>
      <c r="V154" s="10"/>
      <c r="W154" s="10"/>
      <c r="X154" s="10"/>
      <c r="Y154" s="10"/>
    </row>
    <row r="155" spans="5:25" ht="15" customHeight="1" x14ac:dyDescent="0.25">
      <c r="E155" s="12">
        <v>41183</v>
      </c>
      <c r="F155" s="13">
        <v>1440.9</v>
      </c>
      <c r="G155" s="13">
        <v>1457.14</v>
      </c>
      <c r="H155" s="13">
        <v>1440.9</v>
      </c>
      <c r="I155" s="13">
        <v>1444.49</v>
      </c>
      <c r="J155" s="13">
        <v>3505080</v>
      </c>
      <c r="K155" s="13">
        <v>1444.49</v>
      </c>
      <c r="L155" s="17">
        <v>0</v>
      </c>
      <c r="M155" s="17">
        <v>3</v>
      </c>
      <c r="N155"/>
      <c r="O155"/>
      <c r="P155"/>
      <c r="Q155"/>
      <c r="R155" s="10"/>
      <c r="S155" s="10"/>
      <c r="T155" s="10"/>
      <c r="U155" s="10"/>
      <c r="V155" s="10"/>
      <c r="W155" s="10"/>
      <c r="X155" s="10"/>
      <c r="Y155" s="10"/>
    </row>
    <row r="156" spans="5:25" ht="15" customHeight="1" x14ac:dyDescent="0.25">
      <c r="E156" s="12">
        <v>41184</v>
      </c>
      <c r="F156" s="13">
        <v>1444.99</v>
      </c>
      <c r="G156" s="13">
        <v>1451.52</v>
      </c>
      <c r="H156" s="13">
        <v>1439.01</v>
      </c>
      <c r="I156" s="13">
        <v>1445.75</v>
      </c>
      <c r="J156" s="13">
        <v>3321790</v>
      </c>
      <c r="K156" s="13">
        <v>1445.75</v>
      </c>
      <c r="L156" s="17">
        <v>0</v>
      </c>
      <c r="M156" s="17">
        <v>2</v>
      </c>
      <c r="N156"/>
      <c r="O156"/>
      <c r="P156"/>
      <c r="Q156"/>
      <c r="R156" s="10"/>
      <c r="S156" s="10"/>
      <c r="T156" s="10"/>
      <c r="U156" s="10"/>
      <c r="V156" s="10"/>
      <c r="W156" s="10"/>
      <c r="X156" s="10"/>
      <c r="Y156" s="10"/>
    </row>
    <row r="157" spans="5:25" ht="15" customHeight="1" x14ac:dyDescent="0.25">
      <c r="E157" s="12">
        <v>41185</v>
      </c>
      <c r="F157" s="13">
        <v>1446.05</v>
      </c>
      <c r="G157" s="13">
        <v>1454.3</v>
      </c>
      <c r="H157" s="13">
        <v>1441.99</v>
      </c>
      <c r="I157" s="13">
        <v>1450.99</v>
      </c>
      <c r="J157" s="13">
        <v>3531640</v>
      </c>
      <c r="K157" s="13">
        <v>1450.99</v>
      </c>
      <c r="L157" s="17">
        <v>0</v>
      </c>
      <c r="M157" s="17">
        <v>2</v>
      </c>
      <c r="N157"/>
      <c r="O157"/>
      <c r="P157"/>
      <c r="Q157"/>
      <c r="R157" s="10"/>
      <c r="S157" s="10"/>
      <c r="T157" s="10"/>
      <c r="U157" s="10"/>
      <c r="V157" s="10"/>
      <c r="W157" s="10"/>
      <c r="X157" s="10"/>
      <c r="Y157" s="10"/>
    </row>
    <row r="158" spans="5:25" ht="15" customHeight="1" x14ac:dyDescent="0.25">
      <c r="E158" s="12">
        <v>41186</v>
      </c>
      <c r="F158" s="13">
        <v>1451.08</v>
      </c>
      <c r="G158" s="13">
        <v>1463.14</v>
      </c>
      <c r="H158" s="13">
        <v>1451.08</v>
      </c>
      <c r="I158" s="13">
        <v>1461.4</v>
      </c>
      <c r="J158" s="13">
        <v>3615860</v>
      </c>
      <c r="K158" s="13">
        <v>1461.4</v>
      </c>
      <c r="L158" s="17">
        <v>0</v>
      </c>
      <c r="M158" s="17">
        <v>2</v>
      </c>
      <c r="N158"/>
      <c r="O158"/>
      <c r="P158"/>
      <c r="Q158"/>
      <c r="R158" s="10"/>
      <c r="S158" s="10"/>
      <c r="T158" s="10"/>
      <c r="U158" s="10"/>
      <c r="V158" s="10"/>
      <c r="W158" s="10"/>
      <c r="X158" s="10"/>
      <c r="Y158" s="10"/>
    </row>
    <row r="159" spans="5:25" ht="15" customHeight="1" x14ac:dyDescent="0.25">
      <c r="E159" s="12">
        <v>41187</v>
      </c>
      <c r="F159" s="13">
        <v>1461.4</v>
      </c>
      <c r="G159" s="13">
        <v>1470.96</v>
      </c>
      <c r="H159" s="13">
        <v>1456.89</v>
      </c>
      <c r="I159" s="13">
        <v>1460.93</v>
      </c>
      <c r="J159" s="13">
        <v>3172940</v>
      </c>
      <c r="K159" s="13">
        <v>1460.93</v>
      </c>
      <c r="L159" s="17">
        <v>0</v>
      </c>
      <c r="M159" s="17">
        <v>2</v>
      </c>
      <c r="N159"/>
      <c r="O159"/>
      <c r="P159"/>
      <c r="Q159"/>
      <c r="R159" s="10"/>
      <c r="S159" s="10"/>
      <c r="T159" s="10"/>
      <c r="U159" s="10"/>
      <c r="V159" s="10"/>
      <c r="W159" s="10"/>
      <c r="X159" s="10"/>
      <c r="Y159" s="10"/>
    </row>
    <row r="160" spans="5:25" ht="15" customHeight="1" x14ac:dyDescent="0.25">
      <c r="E160" s="12">
        <v>41190</v>
      </c>
      <c r="F160" s="13">
        <v>1460.93</v>
      </c>
      <c r="G160" s="13">
        <v>1460.93</v>
      </c>
      <c r="H160" s="13">
        <v>1453.1</v>
      </c>
      <c r="I160" s="13">
        <v>1455.88</v>
      </c>
      <c r="J160" s="13">
        <v>2328720</v>
      </c>
      <c r="K160" s="13">
        <v>1455.88</v>
      </c>
      <c r="L160" s="17">
        <v>0</v>
      </c>
      <c r="M160" s="17">
        <v>2</v>
      </c>
      <c r="N160"/>
      <c r="O160"/>
      <c r="P160"/>
      <c r="Q160"/>
      <c r="R160" s="10"/>
      <c r="S160" s="10"/>
      <c r="T160" s="10"/>
      <c r="U160" s="10"/>
      <c r="V160" s="10"/>
      <c r="W160" s="10"/>
      <c r="X160" s="10"/>
      <c r="Y160" s="10"/>
    </row>
    <row r="161" spans="5:25" ht="15" customHeight="1" x14ac:dyDescent="0.25">
      <c r="E161" s="12">
        <v>41191</v>
      </c>
      <c r="F161" s="13">
        <v>1455.9</v>
      </c>
      <c r="G161" s="13">
        <v>1455.9</v>
      </c>
      <c r="H161" s="13">
        <v>1441.18</v>
      </c>
      <c r="I161" s="13">
        <v>1441.48</v>
      </c>
      <c r="J161" s="13">
        <v>3216320</v>
      </c>
      <c r="K161" s="13">
        <v>1441.48</v>
      </c>
      <c r="L161" s="17">
        <v>0</v>
      </c>
      <c r="M161" s="17">
        <v>2</v>
      </c>
      <c r="N161"/>
      <c r="O161"/>
      <c r="P161"/>
      <c r="Q161"/>
      <c r="R161" s="10"/>
      <c r="S161" s="10"/>
      <c r="T161" s="10"/>
      <c r="U161" s="10"/>
      <c r="V161" s="10"/>
      <c r="W161" s="10"/>
      <c r="X161" s="10"/>
      <c r="Y161" s="10"/>
    </row>
    <row r="162" spans="5:25" ht="15" customHeight="1" x14ac:dyDescent="0.25">
      <c r="E162" s="12">
        <v>41192</v>
      </c>
      <c r="F162" s="13">
        <v>1441.48</v>
      </c>
      <c r="G162" s="13">
        <v>1442.52</v>
      </c>
      <c r="H162" s="13">
        <v>1430.64</v>
      </c>
      <c r="I162" s="13">
        <v>1432.56</v>
      </c>
      <c r="J162" s="13">
        <v>3225060</v>
      </c>
      <c r="K162" s="13">
        <v>1432.56</v>
      </c>
      <c r="L162" s="17">
        <v>1</v>
      </c>
      <c r="M162" s="17">
        <v>2</v>
      </c>
      <c r="N162"/>
      <c r="O162"/>
      <c r="P162"/>
      <c r="Q162"/>
      <c r="R162" s="10"/>
      <c r="S162" s="10"/>
      <c r="T162" s="10"/>
      <c r="U162" s="10"/>
      <c r="V162" s="10"/>
      <c r="W162" s="10"/>
      <c r="X162" s="10"/>
      <c r="Y162" s="10"/>
    </row>
    <row r="163" spans="5:25" ht="15" customHeight="1" x14ac:dyDescent="0.25">
      <c r="E163" s="12">
        <v>41193</v>
      </c>
      <c r="F163" s="13">
        <v>1432.82</v>
      </c>
      <c r="G163" s="13">
        <v>1443.9</v>
      </c>
      <c r="H163" s="13">
        <v>1432.82</v>
      </c>
      <c r="I163" s="13">
        <v>1432.84</v>
      </c>
      <c r="J163" s="13">
        <v>3672540</v>
      </c>
      <c r="K163" s="13">
        <v>1432.84</v>
      </c>
      <c r="L163" s="17">
        <v>0</v>
      </c>
      <c r="M163" s="17">
        <v>2</v>
      </c>
      <c r="N163"/>
      <c r="O163"/>
      <c r="P163"/>
      <c r="Q163"/>
      <c r="R163" s="10"/>
      <c r="S163" s="10"/>
      <c r="T163" s="10"/>
      <c r="U163" s="10"/>
      <c r="V163" s="10"/>
      <c r="W163" s="10"/>
      <c r="X163" s="10"/>
      <c r="Y163" s="10"/>
    </row>
    <row r="164" spans="5:25" ht="15" customHeight="1" x14ac:dyDescent="0.25">
      <c r="E164" s="12">
        <v>41194</v>
      </c>
      <c r="F164" s="13">
        <v>1432.84</v>
      </c>
      <c r="G164" s="13">
        <v>1438.43</v>
      </c>
      <c r="H164" s="13">
        <v>1425.53</v>
      </c>
      <c r="I164" s="13">
        <v>1428.59</v>
      </c>
      <c r="J164" s="13">
        <v>3134750</v>
      </c>
      <c r="K164" s="13">
        <v>1428.59</v>
      </c>
      <c r="L164" s="17">
        <v>1</v>
      </c>
      <c r="M164" s="17">
        <v>2</v>
      </c>
      <c r="N164"/>
      <c r="O164"/>
      <c r="P164"/>
      <c r="Q164"/>
      <c r="R164" s="10"/>
      <c r="S164" s="10"/>
      <c r="T164" s="10"/>
      <c r="U164" s="10"/>
      <c r="V164" s="10"/>
      <c r="W164" s="10"/>
      <c r="X164" s="10"/>
      <c r="Y164" s="10"/>
    </row>
    <row r="165" spans="5:25" ht="15" customHeight="1" x14ac:dyDescent="0.25">
      <c r="E165" s="12">
        <v>41197</v>
      </c>
      <c r="F165" s="13">
        <v>1428.75</v>
      </c>
      <c r="G165" s="13">
        <v>1441.31</v>
      </c>
      <c r="H165" s="13">
        <v>1427.24</v>
      </c>
      <c r="I165" s="13">
        <v>1440.13</v>
      </c>
      <c r="J165" s="13">
        <v>3483810</v>
      </c>
      <c r="K165" s="13">
        <v>1440.13</v>
      </c>
      <c r="L165" s="17">
        <v>0</v>
      </c>
      <c r="M165" s="17">
        <v>2</v>
      </c>
      <c r="N165"/>
      <c r="O165"/>
      <c r="P165"/>
      <c r="Q165"/>
      <c r="R165" s="10"/>
      <c r="S165" s="10"/>
      <c r="T165" s="10"/>
      <c r="U165" s="10"/>
      <c r="V165" s="10"/>
      <c r="W165" s="10"/>
      <c r="X165" s="10"/>
      <c r="Y165" s="10"/>
    </row>
    <row r="166" spans="5:25" ht="15" customHeight="1" x14ac:dyDescent="0.25">
      <c r="E166" s="12">
        <v>41198</v>
      </c>
      <c r="F166" s="13">
        <v>1440.31</v>
      </c>
      <c r="G166" s="13">
        <v>1455.51</v>
      </c>
      <c r="H166" s="13">
        <v>1440.31</v>
      </c>
      <c r="I166" s="13">
        <v>1454.92</v>
      </c>
      <c r="J166" s="13">
        <v>3568770</v>
      </c>
      <c r="K166" s="13">
        <v>1454.92</v>
      </c>
      <c r="L166" s="17">
        <v>0</v>
      </c>
      <c r="M166" s="17">
        <v>2</v>
      </c>
      <c r="N166"/>
      <c r="O166"/>
      <c r="P166"/>
      <c r="Q166"/>
      <c r="R166" s="10"/>
      <c r="S166" s="10"/>
      <c r="T166" s="10"/>
      <c r="U166" s="10"/>
      <c r="V166" s="10"/>
      <c r="W166" s="10"/>
      <c r="X166" s="10"/>
      <c r="Y166" s="10"/>
    </row>
    <row r="167" spans="5:25" ht="15" customHeight="1" x14ac:dyDescent="0.25">
      <c r="E167" s="12">
        <v>41199</v>
      </c>
      <c r="F167" s="13">
        <v>1454.22</v>
      </c>
      <c r="G167" s="13">
        <v>1462.2</v>
      </c>
      <c r="H167" s="13">
        <v>1453.35</v>
      </c>
      <c r="I167" s="13">
        <v>1460.91</v>
      </c>
      <c r="J167" s="13">
        <v>3655320</v>
      </c>
      <c r="K167" s="13">
        <v>1460.91</v>
      </c>
      <c r="L167" s="17">
        <v>0</v>
      </c>
      <c r="M167" s="17">
        <v>2</v>
      </c>
      <c r="N167"/>
      <c r="O167"/>
      <c r="P167"/>
      <c r="Q167"/>
      <c r="R167" s="10"/>
      <c r="S167" s="10"/>
      <c r="T167" s="10"/>
      <c r="U167" s="10"/>
      <c r="V167" s="10"/>
      <c r="W167" s="10"/>
      <c r="X167" s="10"/>
      <c r="Y167" s="10"/>
    </row>
    <row r="168" spans="5:25" ht="15" customHeight="1" x14ac:dyDescent="0.25">
      <c r="E168" s="12">
        <v>41200</v>
      </c>
      <c r="F168" s="13">
        <v>1460.94</v>
      </c>
      <c r="G168" s="13">
        <v>1464.02</v>
      </c>
      <c r="H168" s="13">
        <v>1452.63</v>
      </c>
      <c r="I168" s="13">
        <v>1457.34</v>
      </c>
      <c r="J168" s="13">
        <v>3880030</v>
      </c>
      <c r="K168" s="13">
        <v>1457.34</v>
      </c>
      <c r="L168" s="17">
        <v>0</v>
      </c>
      <c r="M168" s="17">
        <v>2</v>
      </c>
      <c r="N168"/>
      <c r="O168"/>
      <c r="P168"/>
      <c r="Q168"/>
      <c r="R168" s="10"/>
      <c r="S168" s="10"/>
      <c r="T168" s="10"/>
      <c r="U168" s="10"/>
      <c r="V168" s="10"/>
      <c r="W168" s="10"/>
      <c r="X168" s="10"/>
      <c r="Y168" s="10"/>
    </row>
    <row r="169" spans="5:25" ht="15" customHeight="1" x14ac:dyDescent="0.25">
      <c r="E169" s="12">
        <v>41201</v>
      </c>
      <c r="F169" s="13">
        <v>1457.34</v>
      </c>
      <c r="G169" s="13">
        <v>1457.34</v>
      </c>
      <c r="H169" s="13">
        <v>1429.85</v>
      </c>
      <c r="I169" s="13">
        <v>1433.19</v>
      </c>
      <c r="J169" s="13">
        <v>3875170</v>
      </c>
      <c r="K169" s="13">
        <v>1433.19</v>
      </c>
      <c r="L169" s="17">
        <v>1</v>
      </c>
      <c r="M169" s="17">
        <v>3</v>
      </c>
      <c r="N169"/>
      <c r="O169"/>
      <c r="P169"/>
      <c r="Q169"/>
      <c r="R169" s="10"/>
      <c r="S169" s="10"/>
      <c r="T169" s="10"/>
      <c r="U169" s="10"/>
      <c r="V169" s="10"/>
      <c r="W169" s="10"/>
      <c r="X169" s="10"/>
      <c r="Y169" s="10"/>
    </row>
    <row r="170" spans="5:25" ht="15" customHeight="1" x14ac:dyDescent="0.25">
      <c r="E170" s="12">
        <v>41204</v>
      </c>
      <c r="F170" s="13">
        <v>1433.21</v>
      </c>
      <c r="G170" s="13">
        <v>1435.46</v>
      </c>
      <c r="H170" s="13">
        <v>1422.06</v>
      </c>
      <c r="I170" s="13">
        <v>1433.82</v>
      </c>
      <c r="J170" s="13">
        <v>3216220</v>
      </c>
      <c r="K170" s="13">
        <v>1433.82</v>
      </c>
      <c r="L170" s="17">
        <v>0</v>
      </c>
      <c r="M170" s="17">
        <v>3</v>
      </c>
      <c r="N170"/>
      <c r="O170"/>
      <c r="P170"/>
      <c r="Q170"/>
      <c r="R170" s="10"/>
      <c r="S170" s="10"/>
      <c r="T170" s="10"/>
      <c r="U170" s="10"/>
      <c r="V170" s="10"/>
      <c r="W170" s="10"/>
      <c r="X170" s="10"/>
      <c r="Y170" s="10"/>
    </row>
    <row r="171" spans="5:25" ht="15" customHeight="1" x14ac:dyDescent="0.25">
      <c r="E171" s="12">
        <v>41205</v>
      </c>
      <c r="F171" s="13">
        <v>1433.74</v>
      </c>
      <c r="G171" s="13">
        <v>1433.74</v>
      </c>
      <c r="H171" s="13">
        <v>1407.56</v>
      </c>
      <c r="I171" s="13">
        <v>1413.11</v>
      </c>
      <c r="J171" s="13">
        <v>3587670</v>
      </c>
      <c r="K171" s="13">
        <v>1413.11</v>
      </c>
      <c r="L171" s="17">
        <v>0</v>
      </c>
      <c r="M171" s="17">
        <v>3</v>
      </c>
      <c r="N171"/>
      <c r="O171"/>
      <c r="P171"/>
      <c r="Q171"/>
      <c r="R171" s="10"/>
      <c r="S171" s="10"/>
      <c r="T171" s="10"/>
      <c r="U171" s="10"/>
      <c r="V171" s="10"/>
      <c r="W171" s="10"/>
      <c r="X171" s="10"/>
      <c r="Y171" s="10"/>
    </row>
    <row r="172" spans="5:25" ht="15" customHeight="1" x14ac:dyDescent="0.25">
      <c r="E172" s="12">
        <v>41206</v>
      </c>
      <c r="F172" s="13">
        <v>1413.2</v>
      </c>
      <c r="G172" s="13">
        <v>1420.04</v>
      </c>
      <c r="H172" s="13">
        <v>1407.1</v>
      </c>
      <c r="I172" s="13">
        <v>1408.75</v>
      </c>
      <c r="J172" s="13">
        <v>3385970</v>
      </c>
      <c r="K172" s="13">
        <v>1408.75</v>
      </c>
      <c r="L172" s="17">
        <v>1</v>
      </c>
      <c r="M172" s="17">
        <v>3</v>
      </c>
      <c r="N172"/>
      <c r="O172"/>
      <c r="P172"/>
      <c r="Q172"/>
      <c r="R172" s="10"/>
      <c r="S172" s="10"/>
      <c r="T172" s="10"/>
      <c r="U172" s="10"/>
      <c r="V172" s="10"/>
      <c r="W172" s="10"/>
      <c r="X172" s="10"/>
      <c r="Y172" s="10"/>
    </row>
    <row r="173" spans="5:25" ht="15" customHeight="1" x14ac:dyDescent="0.25">
      <c r="E173" s="12">
        <v>41207</v>
      </c>
      <c r="F173" s="13">
        <v>1409.74</v>
      </c>
      <c r="G173" s="13">
        <v>1421.12</v>
      </c>
      <c r="H173" s="13">
        <v>1405.14</v>
      </c>
      <c r="I173" s="13">
        <v>1412.97</v>
      </c>
      <c r="J173" s="13">
        <v>3512640</v>
      </c>
      <c r="K173" s="13">
        <v>1412.97</v>
      </c>
      <c r="L173" s="17">
        <v>0</v>
      </c>
      <c r="M173" s="17">
        <v>3</v>
      </c>
      <c r="N173"/>
      <c r="O173"/>
      <c r="P173"/>
      <c r="Q173"/>
      <c r="R173" s="10"/>
      <c r="S173" s="10"/>
      <c r="T173" s="10"/>
      <c r="U173" s="10"/>
      <c r="V173" s="10"/>
      <c r="W173" s="10"/>
      <c r="X173" s="10"/>
      <c r="Y173" s="10"/>
    </row>
    <row r="174" spans="5:25" ht="15" customHeight="1" x14ac:dyDescent="0.25">
      <c r="E174" s="12">
        <v>41208</v>
      </c>
      <c r="F174" s="13">
        <v>1412.97</v>
      </c>
      <c r="G174" s="13">
        <v>1417.09</v>
      </c>
      <c r="H174" s="13">
        <v>1403.28</v>
      </c>
      <c r="I174" s="13">
        <v>1411.94</v>
      </c>
      <c r="J174" s="13">
        <v>3284910</v>
      </c>
      <c r="K174" s="13">
        <v>1411.94</v>
      </c>
      <c r="L174" s="17">
        <v>1</v>
      </c>
      <c r="M174" s="17">
        <v>3</v>
      </c>
      <c r="N174"/>
      <c r="O174"/>
      <c r="P174"/>
      <c r="Q174"/>
      <c r="R174" s="10"/>
      <c r="S174" s="10"/>
      <c r="T174" s="10"/>
      <c r="U174" s="10"/>
      <c r="V174" s="10"/>
      <c r="W174" s="10"/>
      <c r="X174" s="10"/>
      <c r="Y174" s="10"/>
    </row>
    <row r="175" spans="5:25" ht="15" customHeight="1" x14ac:dyDescent="0.25">
      <c r="E175" s="12">
        <v>41213</v>
      </c>
      <c r="F175" s="13">
        <v>1410.99</v>
      </c>
      <c r="G175" s="13">
        <v>1418.76</v>
      </c>
      <c r="H175" s="13">
        <v>1405.95</v>
      </c>
      <c r="I175" s="13">
        <v>1412.16</v>
      </c>
      <c r="J175" s="13">
        <v>3577110</v>
      </c>
      <c r="K175" s="13">
        <v>1412.16</v>
      </c>
      <c r="L175" s="17">
        <v>0</v>
      </c>
      <c r="M175" s="17">
        <v>3</v>
      </c>
      <c r="N175"/>
      <c r="O175"/>
      <c r="P175"/>
      <c r="Q175"/>
      <c r="R175" s="10"/>
      <c r="S175" s="10"/>
      <c r="T175" s="10"/>
      <c r="U175" s="10"/>
      <c r="V175" s="10"/>
      <c r="W175" s="10"/>
      <c r="X175" s="10"/>
      <c r="Y175" s="10"/>
    </row>
    <row r="176" spans="5:25" ht="15" customHeight="1" x14ac:dyDescent="0.25">
      <c r="E176" s="12">
        <v>41214</v>
      </c>
      <c r="F176" s="13">
        <v>1412.2</v>
      </c>
      <c r="G176" s="13">
        <v>1428.35</v>
      </c>
      <c r="H176" s="13">
        <v>1412.2</v>
      </c>
      <c r="I176" s="13">
        <v>1427.59</v>
      </c>
      <c r="J176" s="13">
        <v>3929890</v>
      </c>
      <c r="K176" s="13">
        <v>1427.59</v>
      </c>
      <c r="L176" s="17">
        <v>0</v>
      </c>
      <c r="M176" s="17">
        <v>3</v>
      </c>
      <c r="N176"/>
      <c r="O176"/>
      <c r="P176"/>
      <c r="Q176"/>
      <c r="R176" s="10"/>
      <c r="S176" s="10"/>
      <c r="T176" s="10"/>
      <c r="U176" s="10"/>
      <c r="V176" s="10"/>
      <c r="W176" s="10"/>
      <c r="X176" s="10"/>
      <c r="Y176" s="10"/>
    </row>
    <row r="177" spans="5:25" ht="15" customHeight="1" x14ac:dyDescent="0.25">
      <c r="E177" s="12">
        <v>41215</v>
      </c>
      <c r="F177" s="13">
        <v>1427.59</v>
      </c>
      <c r="G177" s="13">
        <v>1434.27</v>
      </c>
      <c r="H177" s="13">
        <v>1412.91</v>
      </c>
      <c r="I177" s="13">
        <v>1414.2</v>
      </c>
      <c r="J177" s="13">
        <v>3732480</v>
      </c>
      <c r="K177" s="13">
        <v>1414.2</v>
      </c>
      <c r="L177" s="17">
        <v>1</v>
      </c>
      <c r="M177" s="17">
        <v>4</v>
      </c>
      <c r="N177"/>
      <c r="O177"/>
      <c r="P177"/>
      <c r="Q177"/>
      <c r="R177" s="10"/>
      <c r="S177" s="10"/>
      <c r="T177" s="10"/>
      <c r="U177" s="10"/>
      <c r="V177" s="10"/>
      <c r="W177" s="10"/>
      <c r="X177" s="10"/>
      <c r="Y177" s="10"/>
    </row>
    <row r="178" spans="5:25" ht="15" customHeight="1" x14ac:dyDescent="0.25">
      <c r="E178" s="12">
        <v>41218</v>
      </c>
      <c r="F178" s="13">
        <v>1414.02</v>
      </c>
      <c r="G178" s="13">
        <v>1419.9</v>
      </c>
      <c r="H178" s="13">
        <v>1408.13</v>
      </c>
      <c r="I178" s="13">
        <v>1417.26</v>
      </c>
      <c r="J178" s="13">
        <v>2921040</v>
      </c>
      <c r="K178" s="13">
        <v>1417.26</v>
      </c>
      <c r="L178" s="17">
        <v>0</v>
      </c>
      <c r="M178" s="17">
        <v>4</v>
      </c>
      <c r="N178"/>
      <c r="O178"/>
      <c r="P178"/>
      <c r="Q178"/>
      <c r="R178" s="10"/>
      <c r="S178" s="10"/>
      <c r="T178" s="10"/>
      <c r="U178" s="10"/>
      <c r="V178" s="10"/>
      <c r="W178" s="10"/>
      <c r="X178" s="10"/>
      <c r="Y178" s="10"/>
    </row>
    <row r="179" spans="5:25" ht="15" customHeight="1" x14ac:dyDescent="0.25">
      <c r="E179" s="12">
        <v>41219</v>
      </c>
      <c r="F179" s="13">
        <v>1417.26</v>
      </c>
      <c r="G179" s="13">
        <v>1433.38</v>
      </c>
      <c r="H179" s="13">
        <v>1417.26</v>
      </c>
      <c r="I179" s="13">
        <v>1428.39</v>
      </c>
      <c r="J179" s="13">
        <v>3306970</v>
      </c>
      <c r="K179" s="13">
        <v>1428.39</v>
      </c>
      <c r="L179" s="17">
        <v>0</v>
      </c>
      <c r="M179" s="17">
        <v>3</v>
      </c>
      <c r="N179"/>
      <c r="O179"/>
      <c r="P179"/>
      <c r="Q179"/>
      <c r="R179" s="10"/>
      <c r="S179" s="10"/>
      <c r="T179" s="10"/>
      <c r="U179" s="10"/>
      <c r="V179" s="10"/>
      <c r="W179" s="10"/>
      <c r="X179" s="10"/>
      <c r="Y179" s="10"/>
    </row>
    <row r="180" spans="5:25" ht="15" customHeight="1" x14ac:dyDescent="0.25">
      <c r="E180" s="12">
        <v>41220</v>
      </c>
      <c r="F180" s="13">
        <v>1428.27</v>
      </c>
      <c r="G180" s="13">
        <v>1428.27</v>
      </c>
      <c r="H180" s="13">
        <v>1388.14</v>
      </c>
      <c r="I180" s="13">
        <v>1394.53</v>
      </c>
      <c r="J180" s="13">
        <v>4356490</v>
      </c>
      <c r="K180" s="13">
        <v>1394.53</v>
      </c>
      <c r="L180" s="17">
        <v>0</v>
      </c>
      <c r="M180" s="17">
        <v>3</v>
      </c>
      <c r="N180"/>
      <c r="O180"/>
      <c r="P180"/>
      <c r="Q180"/>
      <c r="R180" s="10"/>
      <c r="S180" s="10"/>
      <c r="T180" s="10"/>
      <c r="U180" s="10"/>
      <c r="V180" s="10"/>
      <c r="W180" s="10"/>
      <c r="X180" s="10"/>
      <c r="Y180" s="10"/>
    </row>
    <row r="181" spans="5:25" ht="15" customHeight="1" x14ac:dyDescent="0.25">
      <c r="E181" s="12">
        <v>41221</v>
      </c>
      <c r="F181" s="13">
        <v>1394.53</v>
      </c>
      <c r="G181" s="13">
        <v>1401.23</v>
      </c>
      <c r="H181" s="13">
        <v>1377.51</v>
      </c>
      <c r="I181" s="13">
        <v>1377.51</v>
      </c>
      <c r="J181" s="13">
        <v>3779520</v>
      </c>
      <c r="K181" s="13">
        <v>1377.51</v>
      </c>
      <c r="L181" s="17">
        <v>1</v>
      </c>
      <c r="M181" s="17">
        <v>4</v>
      </c>
      <c r="N181"/>
      <c r="O181"/>
      <c r="P181"/>
      <c r="Q181"/>
      <c r="R181" s="10"/>
      <c r="S181" s="10"/>
      <c r="T181" s="10"/>
      <c r="U181" s="10"/>
      <c r="V181" s="10"/>
      <c r="W181" s="10"/>
      <c r="X181" s="10"/>
      <c r="Y181" s="10"/>
    </row>
    <row r="182" spans="5:25" ht="15" customHeight="1" x14ac:dyDescent="0.25">
      <c r="E182" s="12">
        <v>41222</v>
      </c>
      <c r="F182" s="13">
        <v>1377.55</v>
      </c>
      <c r="G182" s="13">
        <v>1391.39</v>
      </c>
      <c r="H182" s="13">
        <v>1373.03</v>
      </c>
      <c r="I182" s="13">
        <v>1379.85</v>
      </c>
      <c r="J182" s="13">
        <v>3647350</v>
      </c>
      <c r="K182" s="13">
        <v>1379.85</v>
      </c>
      <c r="L182" s="17">
        <v>0</v>
      </c>
      <c r="M182" s="17">
        <v>3</v>
      </c>
      <c r="N182"/>
      <c r="O182"/>
      <c r="P182"/>
      <c r="Q182"/>
      <c r="R182" s="10"/>
      <c r="S182" s="10"/>
      <c r="T182" s="10"/>
      <c r="U182" s="10"/>
      <c r="V182" s="10"/>
      <c r="W182" s="10"/>
      <c r="X182" s="10"/>
      <c r="Y182" s="10"/>
    </row>
    <row r="183" spans="5:25" ht="15" customHeight="1" x14ac:dyDescent="0.25">
      <c r="E183" s="12">
        <v>41225</v>
      </c>
      <c r="F183" s="13">
        <v>1379.86</v>
      </c>
      <c r="G183" s="13">
        <v>1384.87</v>
      </c>
      <c r="H183" s="13">
        <v>1377.19</v>
      </c>
      <c r="I183" s="13">
        <v>1380.03</v>
      </c>
      <c r="J183" s="13">
        <v>2567540</v>
      </c>
      <c r="K183" s="13">
        <v>1380.03</v>
      </c>
      <c r="L183" s="17">
        <v>0</v>
      </c>
      <c r="M183" s="17">
        <v>3</v>
      </c>
      <c r="N183"/>
      <c r="O183"/>
      <c r="P183"/>
      <c r="Q183"/>
      <c r="R183" s="10"/>
      <c r="S183" s="10"/>
      <c r="T183" s="10"/>
      <c r="U183" s="10"/>
      <c r="V183" s="10"/>
      <c r="W183" s="10"/>
      <c r="X183" s="10"/>
      <c r="Y183" s="10"/>
    </row>
    <row r="184" spans="5:25" ht="15" customHeight="1" x14ac:dyDescent="0.25">
      <c r="E184" s="12">
        <v>41226</v>
      </c>
      <c r="F184" s="13">
        <v>1380.03</v>
      </c>
      <c r="G184" s="13">
        <v>1388.81</v>
      </c>
      <c r="H184" s="13">
        <v>1371.39</v>
      </c>
      <c r="I184" s="13">
        <v>1374.53</v>
      </c>
      <c r="J184" s="13">
        <v>3455550</v>
      </c>
      <c r="K184" s="13">
        <v>1374.53</v>
      </c>
      <c r="L184" s="17">
        <v>0</v>
      </c>
      <c r="M184" s="17">
        <v>2</v>
      </c>
      <c r="N184"/>
      <c r="O184"/>
      <c r="P184"/>
      <c r="Q184"/>
      <c r="R184" s="10"/>
      <c r="S184" s="10"/>
      <c r="T184" s="10"/>
      <c r="U184" s="10"/>
      <c r="V184" s="10"/>
      <c r="W184" s="10"/>
      <c r="X184" s="10"/>
      <c r="Y184" s="10"/>
    </row>
    <row r="185" spans="5:25" ht="15" customHeight="1" x14ac:dyDescent="0.25">
      <c r="E185" s="12">
        <v>41227</v>
      </c>
      <c r="F185" s="13">
        <v>1374.64</v>
      </c>
      <c r="G185" s="13">
        <v>1380.13</v>
      </c>
      <c r="H185" s="13">
        <v>1352.5</v>
      </c>
      <c r="I185" s="13">
        <v>1355.49</v>
      </c>
      <c r="J185" s="13">
        <v>4109510</v>
      </c>
      <c r="K185" s="13">
        <v>1355.49</v>
      </c>
      <c r="L185" s="17">
        <v>0</v>
      </c>
      <c r="M185" s="17">
        <v>2</v>
      </c>
      <c r="N185"/>
      <c r="O185"/>
      <c r="P185"/>
      <c r="Q185"/>
      <c r="R185" s="10"/>
      <c r="S185" s="10"/>
      <c r="T185" s="10"/>
      <c r="U185" s="10"/>
      <c r="V185" s="10"/>
      <c r="W185" s="10"/>
      <c r="X185" s="10"/>
      <c r="Y185" s="10"/>
    </row>
    <row r="186" spans="5:25" ht="15" customHeight="1" x14ac:dyDescent="0.25">
      <c r="E186" s="12">
        <v>41228</v>
      </c>
      <c r="F186" s="13">
        <v>1355.41</v>
      </c>
      <c r="G186" s="13">
        <v>1360.62</v>
      </c>
      <c r="H186" s="13">
        <v>1348.05</v>
      </c>
      <c r="I186" s="13">
        <v>1353.33</v>
      </c>
      <c r="J186" s="13">
        <v>3928870</v>
      </c>
      <c r="K186" s="13">
        <v>1353.33</v>
      </c>
      <c r="L186" s="17">
        <v>1</v>
      </c>
      <c r="M186" s="17">
        <v>3</v>
      </c>
      <c r="N186"/>
      <c r="O186"/>
      <c r="P186"/>
      <c r="Q186"/>
      <c r="R186" s="10"/>
      <c r="S186" s="10"/>
      <c r="T186" s="10"/>
      <c r="U186" s="10"/>
      <c r="V186" s="10"/>
      <c r="W186" s="10"/>
      <c r="X186" s="10"/>
      <c r="Y186" s="10"/>
    </row>
    <row r="187" spans="5:25" ht="15" customHeight="1" x14ac:dyDescent="0.25">
      <c r="E187" s="12">
        <v>41229</v>
      </c>
      <c r="F187" s="13">
        <v>1353.36</v>
      </c>
      <c r="G187" s="13">
        <v>1362.03</v>
      </c>
      <c r="H187" s="13">
        <v>1343.35</v>
      </c>
      <c r="I187" s="13">
        <v>1359.88</v>
      </c>
      <c r="J187" s="13">
        <v>4045910</v>
      </c>
      <c r="K187" s="13">
        <v>1359.88</v>
      </c>
      <c r="L187" s="17">
        <v>0</v>
      </c>
      <c r="M187" s="17">
        <v>2</v>
      </c>
      <c r="N187"/>
      <c r="O187"/>
      <c r="P187"/>
      <c r="Q187"/>
      <c r="R187" s="10"/>
      <c r="S187" s="10"/>
      <c r="T187" s="10"/>
      <c r="U187" s="10"/>
      <c r="V187" s="10"/>
      <c r="W187" s="10"/>
      <c r="X187" s="10"/>
      <c r="Y187" s="10"/>
    </row>
    <row r="188" spans="5:25" ht="15" customHeight="1" x14ac:dyDescent="0.25">
      <c r="E188" s="12">
        <v>41232</v>
      </c>
      <c r="F188" s="13">
        <v>1359.88</v>
      </c>
      <c r="G188" s="13">
        <v>1386.89</v>
      </c>
      <c r="H188" s="13">
        <v>1359.88</v>
      </c>
      <c r="I188" s="13">
        <v>1386.89</v>
      </c>
      <c r="J188" s="13">
        <v>3374800</v>
      </c>
      <c r="K188" s="13">
        <v>1386.89</v>
      </c>
      <c r="L188" s="17">
        <v>0</v>
      </c>
      <c r="M188" s="17">
        <v>2</v>
      </c>
      <c r="N188"/>
      <c r="O188"/>
      <c r="P188"/>
      <c r="Q188"/>
      <c r="R188" s="10"/>
      <c r="S188" s="10"/>
      <c r="T188" s="10"/>
      <c r="U188" s="10"/>
      <c r="V188" s="10"/>
      <c r="W188" s="10"/>
      <c r="X188" s="10"/>
      <c r="Y188" s="10"/>
    </row>
    <row r="189" spans="5:25" ht="15" customHeight="1" x14ac:dyDescent="0.25">
      <c r="E189" s="12">
        <v>41233</v>
      </c>
      <c r="F189" s="13">
        <v>1386.82</v>
      </c>
      <c r="G189" s="13">
        <v>1389.77</v>
      </c>
      <c r="H189" s="13">
        <v>1377.04</v>
      </c>
      <c r="I189" s="13">
        <v>1387.81</v>
      </c>
      <c r="J189" s="13">
        <v>3207160</v>
      </c>
      <c r="K189" s="13">
        <v>1387.81</v>
      </c>
      <c r="L189" s="17">
        <v>0</v>
      </c>
      <c r="M189" s="17">
        <v>2</v>
      </c>
      <c r="N189"/>
      <c r="O189"/>
      <c r="P189"/>
      <c r="Q189"/>
      <c r="R189" s="10"/>
      <c r="S189" s="10"/>
      <c r="T189" s="10"/>
      <c r="U189" s="10"/>
      <c r="V189" s="10"/>
      <c r="W189" s="10"/>
      <c r="X189" s="10"/>
      <c r="Y189" s="10"/>
    </row>
    <row r="190" spans="5:25" ht="15" customHeight="1" x14ac:dyDescent="0.25">
      <c r="E190" s="12">
        <v>41234</v>
      </c>
      <c r="F190" s="13">
        <v>1387.79</v>
      </c>
      <c r="G190" s="13">
        <v>1391.25</v>
      </c>
      <c r="H190" s="13">
        <v>1386.39</v>
      </c>
      <c r="I190" s="13">
        <v>1391.03</v>
      </c>
      <c r="J190" s="13">
        <v>2667090</v>
      </c>
      <c r="K190" s="13">
        <v>1391.03</v>
      </c>
      <c r="L190" s="17">
        <v>0</v>
      </c>
      <c r="M190" s="17">
        <v>2</v>
      </c>
      <c r="N190"/>
      <c r="O190"/>
      <c r="P190"/>
      <c r="Q190"/>
      <c r="R190" s="10"/>
      <c r="S190" s="10"/>
      <c r="T190" s="10"/>
      <c r="U190" s="10"/>
      <c r="V190" s="10"/>
      <c r="W190" s="10"/>
      <c r="X190" s="10"/>
      <c r="Y190" s="10"/>
    </row>
    <row r="191" spans="5:25" ht="15" customHeight="1" x14ac:dyDescent="0.25">
      <c r="E191" s="12">
        <v>41236</v>
      </c>
      <c r="F191" s="13">
        <v>1391.03</v>
      </c>
      <c r="G191" s="13">
        <v>1409.16</v>
      </c>
      <c r="H191" s="13">
        <v>1391.03</v>
      </c>
      <c r="I191" s="13">
        <v>1409.15</v>
      </c>
      <c r="J191" s="13">
        <v>1504960</v>
      </c>
      <c r="K191" s="13">
        <v>1409.15</v>
      </c>
      <c r="L191" s="17">
        <v>0</v>
      </c>
      <c r="M191" s="17">
        <v>1</v>
      </c>
      <c r="N191"/>
      <c r="O191"/>
      <c r="P191"/>
      <c r="Q191"/>
      <c r="R191" s="10"/>
      <c r="S191" s="10"/>
      <c r="T191" s="10"/>
      <c r="U191" s="10"/>
      <c r="V191" s="10"/>
      <c r="W191" s="10"/>
      <c r="X191" s="10"/>
      <c r="Y191" s="10"/>
    </row>
    <row r="192" spans="5:25" ht="15" customHeight="1" x14ac:dyDescent="0.25">
      <c r="E192" s="12">
        <v>41239</v>
      </c>
      <c r="F192" s="13">
        <v>1409.15</v>
      </c>
      <c r="G192" s="13">
        <v>1409.15</v>
      </c>
      <c r="H192" s="13">
        <v>1397.68</v>
      </c>
      <c r="I192" s="13">
        <v>1406.29</v>
      </c>
      <c r="J192" s="13">
        <v>2948960</v>
      </c>
      <c r="K192" s="13">
        <v>1406.29</v>
      </c>
      <c r="L192" s="17">
        <v>0</v>
      </c>
      <c r="M192" s="17">
        <v>1</v>
      </c>
      <c r="N192"/>
      <c r="O192"/>
      <c r="P192"/>
      <c r="Q192"/>
      <c r="R192" s="10"/>
      <c r="S192" s="10"/>
      <c r="T192" s="10"/>
      <c r="U192" s="10"/>
      <c r="V192" s="10"/>
      <c r="W192" s="10"/>
      <c r="X192" s="10"/>
      <c r="Y192" s="10"/>
    </row>
    <row r="193" spans="5:25" ht="15" customHeight="1" x14ac:dyDescent="0.25">
      <c r="E193" s="12">
        <v>41240</v>
      </c>
      <c r="F193" s="13">
        <v>1406.29</v>
      </c>
      <c r="G193" s="13">
        <v>1409.01</v>
      </c>
      <c r="H193" s="13">
        <v>1398.03</v>
      </c>
      <c r="I193" s="13">
        <v>1398.94</v>
      </c>
      <c r="J193" s="13">
        <v>3323120</v>
      </c>
      <c r="K193" s="13">
        <v>1398.94</v>
      </c>
      <c r="L193" s="17">
        <v>1</v>
      </c>
      <c r="M193" s="17">
        <v>2</v>
      </c>
      <c r="N193"/>
      <c r="O193"/>
      <c r="P193"/>
      <c r="Q193"/>
      <c r="R193" s="10"/>
      <c r="S193" s="10"/>
      <c r="T193" s="10"/>
      <c r="U193" s="10"/>
      <c r="V193" s="10"/>
      <c r="W193" s="10"/>
      <c r="X193" s="10"/>
      <c r="Y193" s="10"/>
    </row>
    <row r="194" spans="5:25" ht="15" customHeight="1" x14ac:dyDescent="0.25">
      <c r="E194" s="12">
        <v>41241</v>
      </c>
      <c r="F194" s="13">
        <v>1398.77</v>
      </c>
      <c r="G194" s="13">
        <v>1410.31</v>
      </c>
      <c r="H194" s="13">
        <v>1385.43</v>
      </c>
      <c r="I194" s="13">
        <v>1409.93</v>
      </c>
      <c r="J194" s="13">
        <v>3359250</v>
      </c>
      <c r="K194" s="13">
        <v>1409.93</v>
      </c>
      <c r="L194" s="17">
        <v>0</v>
      </c>
      <c r="M194" s="17">
        <v>2</v>
      </c>
      <c r="N194"/>
      <c r="O194"/>
      <c r="P194"/>
      <c r="Q194"/>
      <c r="R194" s="10"/>
      <c r="S194" s="10"/>
      <c r="T194" s="10"/>
      <c r="U194" s="10"/>
      <c r="V194" s="10"/>
      <c r="W194" s="10"/>
      <c r="X194" s="10"/>
      <c r="Y194" s="10"/>
    </row>
    <row r="195" spans="5:25" ht="15" customHeight="1" x14ac:dyDescent="0.25">
      <c r="E195" s="12">
        <v>41242</v>
      </c>
      <c r="F195" s="13">
        <v>1409.96</v>
      </c>
      <c r="G195" s="13">
        <v>1419.7</v>
      </c>
      <c r="H195" s="13">
        <v>1409.04</v>
      </c>
      <c r="I195" s="13">
        <v>1415.95</v>
      </c>
      <c r="J195" s="13">
        <v>3356850</v>
      </c>
      <c r="K195" s="13">
        <v>1415.95</v>
      </c>
      <c r="L195" s="17">
        <v>0</v>
      </c>
      <c r="M195" s="17">
        <v>2</v>
      </c>
      <c r="N195"/>
      <c r="O195"/>
      <c r="P195"/>
      <c r="Q195"/>
      <c r="R195" s="10"/>
      <c r="S195" s="10"/>
      <c r="T195" s="10"/>
      <c r="U195" s="10"/>
      <c r="V195" s="10"/>
      <c r="W195" s="10"/>
      <c r="X195" s="10"/>
      <c r="Y195" s="10"/>
    </row>
    <row r="196" spans="5:25" ht="15" customHeight="1" x14ac:dyDescent="0.25">
      <c r="E196" s="12">
        <v>41243</v>
      </c>
      <c r="F196" s="13">
        <v>1415.95</v>
      </c>
      <c r="G196" s="13">
        <v>1418.86</v>
      </c>
      <c r="H196" s="13">
        <v>1411.63</v>
      </c>
      <c r="I196" s="13">
        <v>1416.18</v>
      </c>
      <c r="J196" s="13">
        <v>3966000</v>
      </c>
      <c r="K196" s="13">
        <v>1416.18</v>
      </c>
      <c r="L196" s="17">
        <v>0</v>
      </c>
      <c r="M196" s="17">
        <v>1</v>
      </c>
      <c r="N196"/>
      <c r="O196"/>
      <c r="P196"/>
      <c r="Q196"/>
      <c r="R196" s="10"/>
      <c r="S196" s="10"/>
      <c r="T196" s="10"/>
      <c r="U196" s="10"/>
      <c r="V196" s="10"/>
      <c r="W196" s="10"/>
      <c r="X196" s="10"/>
      <c r="Y196" s="10"/>
    </row>
    <row r="197" spans="5:25" ht="15" customHeight="1" x14ac:dyDescent="0.25">
      <c r="E197" s="12">
        <v>41246</v>
      </c>
      <c r="F197" s="13">
        <v>1416.34</v>
      </c>
      <c r="G197" s="13">
        <v>1423.73</v>
      </c>
      <c r="H197" s="13">
        <v>1408.46</v>
      </c>
      <c r="I197" s="13">
        <v>1409.46</v>
      </c>
      <c r="J197" s="13">
        <v>3074280</v>
      </c>
      <c r="K197" s="13">
        <v>1409.46</v>
      </c>
      <c r="L197" s="17">
        <v>0</v>
      </c>
      <c r="M197" s="17">
        <v>1</v>
      </c>
      <c r="N197"/>
      <c r="O197"/>
      <c r="P197"/>
      <c r="Q197"/>
      <c r="R197" s="10"/>
      <c r="S197" s="10"/>
      <c r="T197" s="10"/>
      <c r="U197" s="10"/>
      <c r="V197" s="10"/>
      <c r="W197" s="10"/>
      <c r="X197" s="10"/>
      <c r="Y197" s="10"/>
    </row>
    <row r="198" spans="5:25" ht="15" customHeight="1" x14ac:dyDescent="0.25">
      <c r="E198" s="12">
        <v>41247</v>
      </c>
      <c r="F198" s="13">
        <v>1409.46</v>
      </c>
      <c r="G198" s="13">
        <v>1413.14</v>
      </c>
      <c r="H198" s="13">
        <v>1403.65</v>
      </c>
      <c r="I198" s="13">
        <v>1407.05</v>
      </c>
      <c r="J198" s="13">
        <v>3247710</v>
      </c>
      <c r="K198" s="13">
        <v>1407.05</v>
      </c>
      <c r="L198" s="17">
        <v>1</v>
      </c>
      <c r="M198" s="17">
        <v>2</v>
      </c>
      <c r="N198"/>
      <c r="O198"/>
      <c r="P198"/>
      <c r="Q198"/>
      <c r="R198" s="10"/>
      <c r="S198" s="10"/>
      <c r="T198" s="10"/>
      <c r="U198" s="10"/>
      <c r="V198" s="10"/>
      <c r="W198" s="10"/>
      <c r="X198" s="10"/>
      <c r="Y198" s="10"/>
    </row>
    <row r="199" spans="5:25" ht="15" customHeight="1" x14ac:dyDescent="0.25">
      <c r="E199" s="12">
        <v>41248</v>
      </c>
      <c r="F199" s="13">
        <v>1407.05</v>
      </c>
      <c r="G199" s="13">
        <v>1415.56</v>
      </c>
      <c r="H199" s="13">
        <v>1398.23</v>
      </c>
      <c r="I199" s="13">
        <v>1409.28</v>
      </c>
      <c r="J199" s="13">
        <v>4253920</v>
      </c>
      <c r="K199" s="13">
        <v>1409.28</v>
      </c>
      <c r="L199" s="17">
        <v>0</v>
      </c>
      <c r="M199" s="17">
        <v>2</v>
      </c>
      <c r="N199"/>
      <c r="O199"/>
      <c r="P199"/>
      <c r="Q199"/>
      <c r="R199" s="10"/>
      <c r="S199" s="10"/>
      <c r="T199" s="10"/>
      <c r="U199" s="10"/>
      <c r="V199" s="10"/>
      <c r="W199" s="10"/>
      <c r="X199" s="10"/>
      <c r="Y199" s="10"/>
    </row>
    <row r="200" spans="5:25" ht="15" customHeight="1" x14ac:dyDescent="0.25">
      <c r="E200" s="12">
        <v>41249</v>
      </c>
      <c r="F200" s="13">
        <v>1409.43</v>
      </c>
      <c r="G200" s="13">
        <v>1413.95</v>
      </c>
      <c r="H200" s="13">
        <v>1405.93</v>
      </c>
      <c r="I200" s="13">
        <v>1413.94</v>
      </c>
      <c r="J200" s="13">
        <v>3229700</v>
      </c>
      <c r="K200" s="13">
        <v>1413.94</v>
      </c>
      <c r="L200" s="17">
        <v>0</v>
      </c>
      <c r="M200" s="17">
        <v>2</v>
      </c>
      <c r="N200"/>
      <c r="O200"/>
      <c r="P200"/>
      <c r="Q200"/>
      <c r="R200" s="10"/>
      <c r="S200" s="10"/>
      <c r="T200" s="10"/>
      <c r="U200" s="10"/>
      <c r="V200" s="10"/>
      <c r="W200" s="10"/>
      <c r="X200" s="10"/>
      <c r="Y200" s="10"/>
    </row>
    <row r="201" spans="5:25" ht="15" customHeight="1" x14ac:dyDescent="0.25">
      <c r="E201" s="12">
        <v>41250</v>
      </c>
      <c r="F201" s="13">
        <v>1413.95</v>
      </c>
      <c r="G201" s="13">
        <v>1420.34</v>
      </c>
      <c r="H201" s="13">
        <v>1410.9</v>
      </c>
      <c r="I201" s="13">
        <v>1418.07</v>
      </c>
      <c r="J201" s="13">
        <v>3125160</v>
      </c>
      <c r="K201" s="13">
        <v>1418.07</v>
      </c>
      <c r="L201" s="17">
        <v>0</v>
      </c>
      <c r="M201" s="17">
        <v>2</v>
      </c>
      <c r="N201"/>
      <c r="O201"/>
      <c r="P201"/>
      <c r="Q201"/>
      <c r="R201" s="10"/>
      <c r="S201" s="10"/>
      <c r="T201" s="10"/>
      <c r="U201" s="10"/>
      <c r="V201" s="10"/>
      <c r="W201" s="10"/>
      <c r="X201" s="10"/>
      <c r="Y201" s="10"/>
    </row>
    <row r="202" spans="5:25" ht="15" customHeight="1" x14ac:dyDescent="0.25">
      <c r="E202" s="12">
        <v>41253</v>
      </c>
      <c r="F202" s="13">
        <v>1418.07</v>
      </c>
      <c r="G202" s="13">
        <v>1421.64</v>
      </c>
      <c r="H202" s="13">
        <v>1415.64</v>
      </c>
      <c r="I202" s="13">
        <v>1418.55</v>
      </c>
      <c r="J202" s="13">
        <v>2999430</v>
      </c>
      <c r="K202" s="13">
        <v>1418.55</v>
      </c>
      <c r="L202" s="17">
        <v>0</v>
      </c>
      <c r="M202" s="17">
        <v>2</v>
      </c>
      <c r="N202"/>
      <c r="O202"/>
      <c r="P202"/>
      <c r="Q202"/>
      <c r="R202" s="10"/>
      <c r="S202" s="10"/>
      <c r="T202" s="10"/>
      <c r="U202" s="10"/>
      <c r="V202" s="10"/>
      <c r="W202" s="10"/>
      <c r="X202" s="10"/>
      <c r="Y202" s="10"/>
    </row>
    <row r="203" spans="5:25" ht="15" customHeight="1" x14ac:dyDescent="0.25">
      <c r="E203" s="12">
        <v>41254</v>
      </c>
      <c r="F203" s="13">
        <v>1418.55</v>
      </c>
      <c r="G203" s="13">
        <v>1434.27</v>
      </c>
      <c r="H203" s="13">
        <v>1418.55</v>
      </c>
      <c r="I203" s="13">
        <v>1427.84</v>
      </c>
      <c r="J203" s="13">
        <v>3650230</v>
      </c>
      <c r="K203" s="13">
        <v>1427.84</v>
      </c>
      <c r="L203" s="17">
        <v>0</v>
      </c>
      <c r="M203" s="17">
        <v>1</v>
      </c>
      <c r="N203"/>
      <c r="O203"/>
      <c r="P203"/>
      <c r="Q203"/>
      <c r="R203" s="10"/>
      <c r="S203" s="10"/>
      <c r="T203" s="10"/>
      <c r="U203" s="10"/>
      <c r="V203" s="10"/>
      <c r="W203" s="10"/>
      <c r="X203" s="10"/>
      <c r="Y203" s="10"/>
    </row>
    <row r="204" spans="5:25" ht="15" customHeight="1" x14ac:dyDescent="0.25">
      <c r="E204" s="12">
        <v>41255</v>
      </c>
      <c r="F204" s="13">
        <v>1427.84</v>
      </c>
      <c r="G204" s="13">
        <v>1438.59</v>
      </c>
      <c r="H204" s="13">
        <v>1426.76</v>
      </c>
      <c r="I204" s="13">
        <v>1428.48</v>
      </c>
      <c r="J204" s="13">
        <v>3709050</v>
      </c>
      <c r="K204" s="13">
        <v>1428.48</v>
      </c>
      <c r="L204" s="17">
        <v>0</v>
      </c>
      <c r="M204" s="17">
        <v>1</v>
      </c>
      <c r="N204"/>
      <c r="O204"/>
      <c r="P204"/>
      <c r="Q204"/>
      <c r="R204" s="10"/>
      <c r="S204" s="10"/>
      <c r="T204" s="10"/>
      <c r="U204" s="10"/>
      <c r="V204" s="10"/>
      <c r="W204" s="10"/>
      <c r="X204" s="10"/>
      <c r="Y204" s="10"/>
    </row>
    <row r="205" spans="5:25" ht="15" customHeight="1" x14ac:dyDescent="0.25">
      <c r="E205" s="12">
        <v>41256</v>
      </c>
      <c r="F205" s="13">
        <v>1428.48</v>
      </c>
      <c r="G205" s="13">
        <v>1431.36</v>
      </c>
      <c r="H205" s="13">
        <v>1416</v>
      </c>
      <c r="I205" s="13">
        <v>1419.45</v>
      </c>
      <c r="J205" s="13">
        <v>3349960</v>
      </c>
      <c r="K205" s="13">
        <v>1419.45</v>
      </c>
      <c r="L205" s="17">
        <v>0</v>
      </c>
      <c r="M205" s="17">
        <v>1</v>
      </c>
      <c r="N205"/>
      <c r="O205"/>
      <c r="P205"/>
      <c r="Q205"/>
      <c r="R205" s="10"/>
      <c r="S205" s="10"/>
      <c r="T205" s="10"/>
      <c r="U205" s="10"/>
      <c r="V205" s="10"/>
      <c r="W205" s="10"/>
      <c r="X205" s="10"/>
      <c r="Y205" s="10"/>
    </row>
    <row r="206" spans="5:25" ht="15" customHeight="1" x14ac:dyDescent="0.25">
      <c r="E206" s="12">
        <v>41257</v>
      </c>
      <c r="F206" s="13">
        <v>1419.45</v>
      </c>
      <c r="G206" s="13">
        <v>1419.45</v>
      </c>
      <c r="H206" s="13">
        <v>1411.88</v>
      </c>
      <c r="I206" s="13">
        <v>1413.58</v>
      </c>
      <c r="J206" s="13">
        <v>3210170</v>
      </c>
      <c r="K206" s="13">
        <v>1413.58</v>
      </c>
      <c r="L206" s="17">
        <v>1</v>
      </c>
      <c r="M206" s="17">
        <v>2</v>
      </c>
      <c r="N206"/>
      <c r="O206"/>
      <c r="P206"/>
      <c r="Q206"/>
      <c r="R206" s="10"/>
      <c r="S206" s="10"/>
      <c r="T206" s="10"/>
      <c r="U206" s="10"/>
      <c r="V206" s="10"/>
      <c r="W206" s="10"/>
      <c r="X206" s="10"/>
      <c r="Y206" s="10"/>
    </row>
    <row r="207" spans="5:25" ht="15" customHeight="1" x14ac:dyDescent="0.25">
      <c r="E207" s="12">
        <v>41260</v>
      </c>
      <c r="F207" s="13">
        <v>1413.54</v>
      </c>
      <c r="G207" s="13">
        <v>1430.67</v>
      </c>
      <c r="H207" s="13">
        <v>1413.54</v>
      </c>
      <c r="I207" s="13">
        <v>1430.36</v>
      </c>
      <c r="J207" s="13">
        <v>3455610</v>
      </c>
      <c r="K207" s="13">
        <v>1430.36</v>
      </c>
      <c r="L207" s="17">
        <v>0</v>
      </c>
      <c r="M207" s="17">
        <v>2</v>
      </c>
      <c r="N207"/>
      <c r="O207"/>
      <c r="P207"/>
      <c r="Q207"/>
      <c r="R207" s="10"/>
      <c r="S207" s="10"/>
      <c r="T207" s="10"/>
      <c r="U207" s="10"/>
      <c r="V207" s="10"/>
      <c r="W207" s="10"/>
      <c r="X207" s="10"/>
      <c r="Y207" s="10"/>
    </row>
    <row r="208" spans="5:25" ht="15" customHeight="1" x14ac:dyDescent="0.25">
      <c r="E208" s="12">
        <v>41261</v>
      </c>
      <c r="F208" s="13">
        <v>1430.47</v>
      </c>
      <c r="G208" s="13">
        <v>1448</v>
      </c>
      <c r="H208" s="13">
        <v>1430.47</v>
      </c>
      <c r="I208" s="13">
        <v>1446.79</v>
      </c>
      <c r="J208" s="13">
        <v>4302240</v>
      </c>
      <c r="K208" s="13">
        <v>1446.79</v>
      </c>
      <c r="L208" s="17">
        <v>0</v>
      </c>
      <c r="M208" s="17">
        <v>1</v>
      </c>
      <c r="N208"/>
      <c r="O208"/>
      <c r="P208"/>
      <c r="Q208"/>
      <c r="R208" s="10"/>
      <c r="S208" s="10"/>
      <c r="T208" s="10"/>
      <c r="U208" s="10"/>
      <c r="V208" s="10"/>
      <c r="W208" s="10"/>
      <c r="X208" s="10"/>
      <c r="Y208" s="10"/>
    </row>
    <row r="209" spans="5:25" ht="15" customHeight="1" x14ac:dyDescent="0.25">
      <c r="E209" s="12">
        <v>41262</v>
      </c>
      <c r="F209" s="13">
        <v>1446.79</v>
      </c>
      <c r="G209" s="13">
        <v>1447.75</v>
      </c>
      <c r="H209" s="13">
        <v>1435.8</v>
      </c>
      <c r="I209" s="13">
        <v>1435.81</v>
      </c>
      <c r="J209" s="13">
        <v>3869800</v>
      </c>
      <c r="K209" s="13">
        <v>1435.81</v>
      </c>
      <c r="L209" s="17">
        <v>1</v>
      </c>
      <c r="M209" s="17">
        <v>2</v>
      </c>
      <c r="N209"/>
      <c r="O209"/>
      <c r="P209"/>
      <c r="Q209"/>
      <c r="R209" s="10"/>
      <c r="S209" s="10"/>
      <c r="T209" s="10"/>
      <c r="U209" s="10"/>
      <c r="V209" s="10"/>
      <c r="W209" s="10"/>
      <c r="X209" s="10"/>
      <c r="Y209" s="10"/>
    </row>
    <row r="210" spans="5:25" ht="15" customHeight="1" x14ac:dyDescent="0.25">
      <c r="E210" s="12">
        <v>41263</v>
      </c>
      <c r="F210" s="13">
        <v>1435.81</v>
      </c>
      <c r="G210" s="13">
        <v>1443.7</v>
      </c>
      <c r="H210" s="13">
        <v>1432.82</v>
      </c>
      <c r="I210" s="13">
        <v>1443.69</v>
      </c>
      <c r="J210" s="13">
        <v>3686580</v>
      </c>
      <c r="K210" s="13">
        <v>1443.69</v>
      </c>
      <c r="L210" s="17">
        <v>0</v>
      </c>
      <c r="M210" s="17">
        <v>2</v>
      </c>
      <c r="N210"/>
      <c r="O210"/>
      <c r="P210"/>
      <c r="Q210"/>
      <c r="R210" s="10"/>
      <c r="S210" s="10"/>
      <c r="T210" s="10"/>
      <c r="U210" s="10"/>
      <c r="V210" s="10"/>
      <c r="W210" s="10"/>
      <c r="X210" s="10"/>
      <c r="Y210" s="10"/>
    </row>
    <row r="211" spans="5:25" ht="15" customHeight="1" x14ac:dyDescent="0.25">
      <c r="E211" s="12">
        <v>41264</v>
      </c>
      <c r="F211" s="13">
        <v>1443.67</v>
      </c>
      <c r="G211" s="13">
        <v>1443.67</v>
      </c>
      <c r="H211" s="13">
        <v>1422.58</v>
      </c>
      <c r="I211" s="13">
        <v>1430.15</v>
      </c>
      <c r="J211" s="13">
        <v>5229160</v>
      </c>
      <c r="K211" s="13">
        <v>1430.15</v>
      </c>
      <c r="L211" s="17">
        <v>0</v>
      </c>
      <c r="M211" s="17">
        <v>2</v>
      </c>
      <c r="N211"/>
      <c r="O211"/>
      <c r="P211"/>
      <c r="Q211"/>
      <c r="R211" s="10"/>
      <c r="S211" s="10"/>
      <c r="T211" s="10"/>
      <c r="U211" s="10"/>
      <c r="V211" s="10"/>
      <c r="W211" s="10"/>
      <c r="X211" s="10"/>
      <c r="Y211" s="10"/>
    </row>
    <row r="212" spans="5:25" ht="15" customHeight="1" x14ac:dyDescent="0.25">
      <c r="E212" s="12">
        <v>41267</v>
      </c>
      <c r="F212" s="13">
        <v>1430.15</v>
      </c>
      <c r="G212" s="13">
        <v>1430.15</v>
      </c>
      <c r="H212" s="13">
        <v>1424.66</v>
      </c>
      <c r="I212" s="13">
        <v>1426.66</v>
      </c>
      <c r="J212" s="13">
        <v>1248960</v>
      </c>
      <c r="K212" s="13">
        <v>1426.66</v>
      </c>
      <c r="L212" s="17">
        <v>0</v>
      </c>
      <c r="M212" s="17">
        <v>2</v>
      </c>
      <c r="N212"/>
      <c r="O212"/>
      <c r="P212"/>
      <c r="Q212"/>
      <c r="R212" s="10"/>
      <c r="S212" s="10"/>
      <c r="T212" s="10"/>
      <c r="U212" s="10"/>
      <c r="V212" s="10"/>
      <c r="W212" s="10"/>
      <c r="X212" s="10"/>
      <c r="Y212" s="10"/>
    </row>
    <row r="213" spans="5:25" ht="15" customHeight="1" x14ac:dyDescent="0.25">
      <c r="E213" s="12">
        <v>41269</v>
      </c>
      <c r="F213" s="13">
        <v>1426.66</v>
      </c>
      <c r="G213" s="13">
        <v>1429.42</v>
      </c>
      <c r="H213" s="13">
        <v>1416.43</v>
      </c>
      <c r="I213" s="13">
        <v>1419.83</v>
      </c>
      <c r="J213" s="13">
        <v>2285030</v>
      </c>
      <c r="K213" s="13">
        <v>1419.83</v>
      </c>
      <c r="L213" s="17">
        <v>0</v>
      </c>
      <c r="M213" s="17">
        <v>2</v>
      </c>
      <c r="N213"/>
      <c r="O213"/>
      <c r="P213"/>
      <c r="Q213"/>
      <c r="R213" s="10"/>
      <c r="S213" s="10"/>
      <c r="T213" s="10"/>
      <c r="U213" s="10"/>
      <c r="V213" s="10"/>
      <c r="W213" s="10"/>
      <c r="X213" s="10"/>
      <c r="Y213" s="10"/>
    </row>
    <row r="214" spans="5:25" ht="15" customHeight="1" x14ac:dyDescent="0.25">
      <c r="E214" s="12">
        <v>41270</v>
      </c>
      <c r="F214" s="13">
        <v>1419.83</v>
      </c>
      <c r="G214" s="13">
        <v>1422.8</v>
      </c>
      <c r="H214" s="13">
        <v>1401.8</v>
      </c>
      <c r="I214" s="13">
        <v>1418.1</v>
      </c>
      <c r="J214" s="13">
        <v>2830180</v>
      </c>
      <c r="K214" s="13">
        <v>1418.1</v>
      </c>
      <c r="L214" s="17">
        <v>0</v>
      </c>
      <c r="M214" s="17">
        <v>2</v>
      </c>
      <c r="N214"/>
      <c r="O214"/>
      <c r="P214"/>
      <c r="Q214"/>
      <c r="R214" s="10"/>
      <c r="S214" s="10"/>
      <c r="T214" s="10"/>
      <c r="U214" s="10"/>
      <c r="V214" s="10"/>
      <c r="W214" s="10"/>
      <c r="X214" s="10"/>
      <c r="Y214" s="10"/>
    </row>
    <row r="215" spans="5:25" ht="15" customHeight="1" x14ac:dyDescent="0.25">
      <c r="E215" s="12">
        <v>41271</v>
      </c>
      <c r="F215" s="13">
        <v>1418.1</v>
      </c>
      <c r="G215" s="13">
        <v>1418.1</v>
      </c>
      <c r="H215" s="13">
        <v>1401.58</v>
      </c>
      <c r="I215" s="13">
        <v>1402.43</v>
      </c>
      <c r="J215" s="13">
        <v>2426680</v>
      </c>
      <c r="K215" s="13">
        <v>1402.43</v>
      </c>
      <c r="L215" s="17">
        <v>1</v>
      </c>
      <c r="M215" s="17">
        <v>3</v>
      </c>
      <c r="N215"/>
      <c r="O215"/>
      <c r="P215"/>
      <c r="Q215"/>
      <c r="R215" s="10"/>
      <c r="S215" s="10"/>
      <c r="T215" s="10"/>
      <c r="U215" s="10"/>
      <c r="V215" s="10"/>
      <c r="W215" s="10"/>
      <c r="X215" s="10"/>
      <c r="Y215" s="10"/>
    </row>
    <row r="216" spans="5:25" ht="15" customHeight="1" x14ac:dyDescent="0.25">
      <c r="E216" s="12">
        <v>41274</v>
      </c>
      <c r="F216" s="13">
        <v>1402.43</v>
      </c>
      <c r="G216" s="13">
        <v>1426.74</v>
      </c>
      <c r="H216" s="13">
        <v>1398.11</v>
      </c>
      <c r="I216" s="13">
        <v>1426.19</v>
      </c>
      <c r="J216" s="13">
        <v>3204330</v>
      </c>
      <c r="K216" s="13">
        <v>1426.19</v>
      </c>
      <c r="L216" s="17">
        <v>0</v>
      </c>
      <c r="M216" s="17">
        <v>2</v>
      </c>
      <c r="N216"/>
      <c r="O216"/>
      <c r="P216"/>
      <c r="Q216"/>
      <c r="R216" s="10"/>
      <c r="S216" s="10"/>
      <c r="T216" s="10"/>
      <c r="U216" s="10"/>
      <c r="V216" s="10"/>
      <c r="W216" s="10"/>
      <c r="X216" s="10"/>
      <c r="Y216" s="10"/>
    </row>
    <row r="217" spans="5:25" ht="15" customHeight="1" x14ac:dyDescent="0.25">
      <c r="E217" s="12">
        <v>41276</v>
      </c>
      <c r="F217" s="13">
        <v>1426.19</v>
      </c>
      <c r="G217" s="13">
        <v>1462.43</v>
      </c>
      <c r="H217" s="13">
        <v>1426.19</v>
      </c>
      <c r="I217" s="13">
        <v>1462.42</v>
      </c>
      <c r="J217" s="13">
        <v>4202600</v>
      </c>
      <c r="K217" s="13">
        <v>1462.42</v>
      </c>
      <c r="L217" s="17">
        <v>0</v>
      </c>
      <c r="M217" s="17">
        <v>2</v>
      </c>
      <c r="N217"/>
      <c r="O217"/>
      <c r="P217"/>
      <c r="Q217"/>
      <c r="R217" s="10"/>
      <c r="S217" s="10"/>
      <c r="T217" s="10"/>
      <c r="U217" s="10"/>
      <c r="V217" s="10"/>
      <c r="W217" s="10"/>
      <c r="X217" s="10"/>
      <c r="Y217" s="10"/>
    </row>
    <row r="218" spans="5:25" ht="15" customHeight="1" x14ac:dyDescent="0.25">
      <c r="E218" s="12">
        <v>41277</v>
      </c>
      <c r="F218" s="13">
        <v>1462.42</v>
      </c>
      <c r="G218" s="13">
        <v>1465.47</v>
      </c>
      <c r="H218" s="13">
        <v>1455.53</v>
      </c>
      <c r="I218" s="13">
        <v>1459.37</v>
      </c>
      <c r="J218" s="13">
        <v>3829730</v>
      </c>
      <c r="K218" s="13">
        <v>1459.37</v>
      </c>
      <c r="L218" s="17">
        <v>1</v>
      </c>
      <c r="M218" s="17">
        <v>3</v>
      </c>
      <c r="N218"/>
      <c r="O218"/>
      <c r="P218"/>
      <c r="Q218"/>
      <c r="R218" s="10"/>
      <c r="S218" s="10"/>
      <c r="T218" s="10"/>
      <c r="U218" s="10"/>
      <c r="V218" s="10"/>
      <c r="W218" s="10"/>
      <c r="X218" s="10"/>
      <c r="Y218" s="10"/>
    </row>
    <row r="219" spans="5:25" ht="15" customHeight="1" x14ac:dyDescent="0.25">
      <c r="E219" s="12">
        <v>41278</v>
      </c>
      <c r="F219" s="13">
        <v>1459.37</v>
      </c>
      <c r="G219" s="13">
        <v>1467.94</v>
      </c>
      <c r="H219" s="13">
        <v>1458.99</v>
      </c>
      <c r="I219" s="13">
        <v>1466.47</v>
      </c>
      <c r="J219" s="13">
        <v>3424290</v>
      </c>
      <c r="K219" s="13">
        <v>1466.47</v>
      </c>
      <c r="L219" s="17">
        <v>0</v>
      </c>
      <c r="M219" s="17">
        <v>2</v>
      </c>
      <c r="N219"/>
      <c r="O219"/>
      <c r="P219"/>
      <c r="Q219"/>
      <c r="R219" s="10"/>
      <c r="S219" s="10"/>
      <c r="T219" s="10"/>
      <c r="U219" s="10"/>
      <c r="V219" s="10"/>
      <c r="W219" s="10"/>
      <c r="X219" s="10"/>
      <c r="Y219" s="10"/>
    </row>
    <row r="220" spans="5:25" ht="15" customHeight="1" x14ac:dyDescent="0.25">
      <c r="E220" s="12">
        <v>41281</v>
      </c>
      <c r="F220" s="13">
        <v>1466.47</v>
      </c>
      <c r="G220" s="13">
        <v>1466.47</v>
      </c>
      <c r="H220" s="13">
        <v>1456.62</v>
      </c>
      <c r="I220" s="13">
        <v>1461.89</v>
      </c>
      <c r="J220" s="13">
        <v>3304970</v>
      </c>
      <c r="K220" s="13">
        <v>1461.89</v>
      </c>
      <c r="L220" s="17">
        <v>0</v>
      </c>
      <c r="M220" s="17">
        <v>2</v>
      </c>
      <c r="N220"/>
      <c r="O220"/>
      <c r="P220"/>
      <c r="Q220"/>
      <c r="R220" s="10"/>
      <c r="S220" s="10"/>
      <c r="T220" s="10"/>
      <c r="U220" s="10"/>
      <c r="V220" s="10"/>
      <c r="W220" s="10"/>
      <c r="X220" s="10"/>
      <c r="Y220" s="10"/>
    </row>
    <row r="221" spans="5:25" ht="15" customHeight="1" x14ac:dyDescent="0.25">
      <c r="E221" s="12">
        <v>41282</v>
      </c>
      <c r="F221" s="13">
        <v>1461.89</v>
      </c>
      <c r="G221" s="13">
        <v>1461.89</v>
      </c>
      <c r="H221" s="13">
        <v>1451.64</v>
      </c>
      <c r="I221" s="13">
        <v>1457.15</v>
      </c>
      <c r="J221" s="13">
        <v>3601600</v>
      </c>
      <c r="K221" s="13">
        <v>1457.15</v>
      </c>
      <c r="L221" s="17">
        <v>1</v>
      </c>
      <c r="M221" s="17">
        <v>3</v>
      </c>
      <c r="N221"/>
      <c r="O221"/>
      <c r="P221"/>
      <c r="Q221"/>
      <c r="R221" s="10"/>
      <c r="S221" s="10"/>
      <c r="T221" s="10"/>
      <c r="U221" s="10"/>
      <c r="V221" s="10"/>
      <c r="W221" s="10"/>
      <c r="X221" s="10"/>
      <c r="Y221" s="10"/>
    </row>
    <row r="222" spans="5:25" ht="15" customHeight="1" x14ac:dyDescent="0.25">
      <c r="E222" s="12">
        <v>41283</v>
      </c>
      <c r="F222" s="13">
        <v>1457.15</v>
      </c>
      <c r="G222" s="13">
        <v>1464.73</v>
      </c>
      <c r="H222" s="13">
        <v>1457.15</v>
      </c>
      <c r="I222" s="13">
        <v>1461.02</v>
      </c>
      <c r="J222" s="13">
        <v>3674390</v>
      </c>
      <c r="K222" s="13">
        <v>1461.02</v>
      </c>
      <c r="L222" s="17">
        <v>0</v>
      </c>
      <c r="M222" s="17">
        <v>3</v>
      </c>
      <c r="N222"/>
      <c r="O222"/>
      <c r="P222"/>
      <c r="Q222"/>
      <c r="R222" s="10"/>
      <c r="S222" s="10"/>
      <c r="T222" s="10"/>
      <c r="U222" s="10"/>
      <c r="V222" s="10"/>
      <c r="W222" s="10"/>
      <c r="X222" s="10"/>
      <c r="Y222" s="10"/>
    </row>
    <row r="223" spans="5:25" ht="15" customHeight="1" x14ac:dyDescent="0.25">
      <c r="E223" s="12">
        <v>41284</v>
      </c>
      <c r="F223" s="13">
        <v>1461.02</v>
      </c>
      <c r="G223" s="13">
        <v>1472.3</v>
      </c>
      <c r="H223" s="13">
        <v>1461.02</v>
      </c>
      <c r="I223" s="13">
        <v>1472.12</v>
      </c>
      <c r="J223" s="13">
        <v>4081840</v>
      </c>
      <c r="K223" s="13">
        <v>1472.12</v>
      </c>
      <c r="L223" s="17">
        <v>0</v>
      </c>
      <c r="M223" s="17">
        <v>3</v>
      </c>
      <c r="N223"/>
      <c r="O223"/>
      <c r="P223"/>
      <c r="Q223"/>
      <c r="R223" s="10"/>
      <c r="S223" s="10"/>
      <c r="T223" s="10"/>
      <c r="U223" s="10"/>
      <c r="V223" s="10"/>
      <c r="W223" s="10"/>
      <c r="X223" s="10"/>
      <c r="Y223" s="10"/>
    </row>
    <row r="224" spans="5:25" ht="15" customHeight="1" x14ac:dyDescent="0.25">
      <c r="E224" s="12">
        <v>41285</v>
      </c>
      <c r="F224" s="13">
        <v>1472.12</v>
      </c>
      <c r="G224" s="13">
        <v>1472.75</v>
      </c>
      <c r="H224" s="13">
        <v>1467.58</v>
      </c>
      <c r="I224" s="13">
        <v>1472.05</v>
      </c>
      <c r="J224" s="13">
        <v>3340650</v>
      </c>
      <c r="K224" s="13">
        <v>1472.05</v>
      </c>
      <c r="L224" s="17">
        <v>0</v>
      </c>
      <c r="M224" s="17">
        <v>3</v>
      </c>
      <c r="N224"/>
      <c r="O224"/>
      <c r="P224"/>
      <c r="Q224"/>
      <c r="R224" s="10"/>
      <c r="S224" s="10"/>
      <c r="T224" s="10"/>
      <c r="U224" s="10"/>
      <c r="V224" s="10"/>
      <c r="W224" s="10"/>
      <c r="X224" s="10"/>
      <c r="Y224" s="10"/>
    </row>
    <row r="225" spans="5:25" ht="15" customHeight="1" x14ac:dyDescent="0.25">
      <c r="E225" s="12">
        <v>41288</v>
      </c>
      <c r="F225" s="13">
        <v>1472.05</v>
      </c>
      <c r="G225" s="13">
        <v>1472.05</v>
      </c>
      <c r="H225" s="13">
        <v>1465.69</v>
      </c>
      <c r="I225" s="13">
        <v>1470.68</v>
      </c>
      <c r="J225" s="13">
        <v>3003010</v>
      </c>
      <c r="K225" s="13">
        <v>1470.68</v>
      </c>
      <c r="L225" s="17">
        <v>1</v>
      </c>
      <c r="M225" s="17">
        <v>3</v>
      </c>
      <c r="N225"/>
      <c r="O225"/>
      <c r="P225"/>
      <c r="Q225"/>
      <c r="R225" s="10"/>
      <c r="S225" s="10"/>
      <c r="T225" s="10"/>
      <c r="U225" s="10"/>
      <c r="V225" s="10"/>
      <c r="W225" s="10"/>
      <c r="X225" s="10"/>
      <c r="Y225" s="10"/>
    </row>
    <row r="226" spans="5:25" ht="15" customHeight="1" x14ac:dyDescent="0.25">
      <c r="E226" s="12">
        <v>41289</v>
      </c>
      <c r="F226" s="13">
        <v>1470.67</v>
      </c>
      <c r="G226" s="13">
        <v>1473.31</v>
      </c>
      <c r="H226" s="13">
        <v>1463.76</v>
      </c>
      <c r="I226" s="13">
        <v>1472.34</v>
      </c>
      <c r="J226" s="13">
        <v>3135350</v>
      </c>
      <c r="K226" s="13">
        <v>1472.34</v>
      </c>
      <c r="L226" s="17">
        <v>0</v>
      </c>
      <c r="M226" s="17">
        <v>3</v>
      </c>
      <c r="N226"/>
      <c r="O226"/>
      <c r="P226"/>
      <c r="Q226"/>
      <c r="R226" s="10"/>
      <c r="S226" s="10"/>
      <c r="T226" s="10"/>
      <c r="U226" s="10"/>
      <c r="V226" s="10"/>
      <c r="W226" s="10"/>
      <c r="X226" s="10"/>
      <c r="Y226" s="10"/>
    </row>
    <row r="227" spans="5:25" ht="15" customHeight="1" x14ac:dyDescent="0.25">
      <c r="E227" s="12">
        <v>41290</v>
      </c>
      <c r="F227" s="13">
        <v>1472.33</v>
      </c>
      <c r="G227" s="13">
        <v>1473.96</v>
      </c>
      <c r="H227" s="13">
        <v>1467.6</v>
      </c>
      <c r="I227" s="13">
        <v>1472.63</v>
      </c>
      <c r="J227" s="13">
        <v>3384080</v>
      </c>
      <c r="K227" s="13">
        <v>1472.63</v>
      </c>
      <c r="L227" s="17">
        <v>0</v>
      </c>
      <c r="M227" s="17">
        <v>3</v>
      </c>
      <c r="N227"/>
      <c r="O227"/>
      <c r="P227"/>
      <c r="Q227"/>
      <c r="R227" s="10"/>
      <c r="S227" s="10"/>
      <c r="T227" s="10"/>
      <c r="U227" s="10"/>
      <c r="V227" s="10"/>
      <c r="W227" s="10"/>
      <c r="X227" s="10"/>
      <c r="Y227" s="10"/>
    </row>
    <row r="228" spans="5:25" ht="15" customHeight="1" x14ac:dyDescent="0.25">
      <c r="E228" s="12">
        <v>41291</v>
      </c>
      <c r="F228" s="13">
        <v>1472.63</v>
      </c>
      <c r="G228" s="13">
        <v>1485.16</v>
      </c>
      <c r="H228" s="13">
        <v>1472.63</v>
      </c>
      <c r="I228" s="13">
        <v>1480.94</v>
      </c>
      <c r="J228" s="13">
        <v>3706710</v>
      </c>
      <c r="K228" s="13">
        <v>1480.94</v>
      </c>
      <c r="L228" s="17">
        <v>0</v>
      </c>
      <c r="M228" s="17">
        <v>2</v>
      </c>
      <c r="N228"/>
      <c r="O228"/>
      <c r="P228"/>
      <c r="Q228"/>
      <c r="R228" s="10"/>
      <c r="S228" s="10"/>
      <c r="T228" s="10"/>
      <c r="U228" s="10"/>
      <c r="V228" s="10"/>
      <c r="W228" s="10"/>
      <c r="X228" s="10"/>
      <c r="Y228" s="10"/>
    </row>
    <row r="229" spans="5:25" ht="15" customHeight="1" x14ac:dyDescent="0.25">
      <c r="E229" s="12">
        <v>41292</v>
      </c>
      <c r="F229" s="13">
        <v>1480.95</v>
      </c>
      <c r="G229" s="13">
        <v>1485.98</v>
      </c>
      <c r="H229" s="13">
        <v>1475.81</v>
      </c>
      <c r="I229" s="13">
        <v>1485.98</v>
      </c>
      <c r="J229" s="13">
        <v>3795740</v>
      </c>
      <c r="K229" s="13">
        <v>1485.98</v>
      </c>
      <c r="L229" s="17">
        <v>0</v>
      </c>
      <c r="M229" s="17">
        <v>2</v>
      </c>
      <c r="N229"/>
      <c r="O229"/>
      <c r="P229"/>
      <c r="Q229"/>
      <c r="R229" s="10"/>
      <c r="S229" s="10"/>
      <c r="T229" s="10"/>
      <c r="U229" s="10"/>
      <c r="V229" s="10"/>
      <c r="W229" s="10"/>
      <c r="X229" s="10"/>
      <c r="Y229" s="10"/>
    </row>
    <row r="230" spans="5:25" ht="15" customHeight="1" x14ac:dyDescent="0.25">
      <c r="E230" s="12">
        <v>41296</v>
      </c>
      <c r="F230" s="13">
        <v>1485.98</v>
      </c>
      <c r="G230" s="13">
        <v>1492.56</v>
      </c>
      <c r="H230" s="13">
        <v>1481.16</v>
      </c>
      <c r="I230" s="13">
        <v>1492.56</v>
      </c>
      <c r="J230" s="13">
        <v>3570950</v>
      </c>
      <c r="K230" s="13">
        <v>1492.56</v>
      </c>
      <c r="L230" s="17">
        <v>0</v>
      </c>
      <c r="M230" s="17">
        <v>2</v>
      </c>
      <c r="N230"/>
      <c r="O230"/>
      <c r="P230"/>
      <c r="Q230"/>
      <c r="R230" s="10"/>
      <c r="S230" s="10"/>
      <c r="T230" s="10"/>
      <c r="U230" s="10"/>
      <c r="V230" s="10"/>
      <c r="W230" s="10"/>
      <c r="X230" s="10"/>
      <c r="Y230" s="10"/>
    </row>
    <row r="231" spans="5:25" ht="15" customHeight="1" x14ac:dyDescent="0.25">
      <c r="E231" s="12">
        <v>41297</v>
      </c>
      <c r="F231" s="13">
        <v>1492.56</v>
      </c>
      <c r="G231" s="13">
        <v>1496.13</v>
      </c>
      <c r="H231" s="13">
        <v>1489.9</v>
      </c>
      <c r="I231" s="13">
        <v>1494.81</v>
      </c>
      <c r="J231" s="13">
        <v>3552010</v>
      </c>
      <c r="K231" s="13">
        <v>1494.81</v>
      </c>
      <c r="L231" s="17">
        <v>0</v>
      </c>
      <c r="M231" s="17">
        <v>1</v>
      </c>
      <c r="N231"/>
      <c r="O231"/>
      <c r="P231"/>
      <c r="Q231"/>
      <c r="R231" s="10"/>
      <c r="S231" s="10"/>
      <c r="T231" s="10"/>
      <c r="U231" s="10"/>
      <c r="V231" s="10"/>
      <c r="W231" s="10"/>
      <c r="X231" s="10"/>
      <c r="Y231" s="10"/>
    </row>
    <row r="232" spans="5:25" ht="15" customHeight="1" x14ac:dyDescent="0.25">
      <c r="E232" s="12">
        <v>41298</v>
      </c>
      <c r="F232" s="13">
        <v>1494.81</v>
      </c>
      <c r="G232" s="13">
        <v>1502.27</v>
      </c>
      <c r="H232" s="13">
        <v>1489.46</v>
      </c>
      <c r="I232" s="13">
        <v>1494.82</v>
      </c>
      <c r="J232" s="13">
        <v>3699430</v>
      </c>
      <c r="K232" s="13">
        <v>1494.82</v>
      </c>
      <c r="L232" s="17">
        <v>0</v>
      </c>
      <c r="M232" s="17">
        <v>1</v>
      </c>
      <c r="N232"/>
      <c r="O232"/>
      <c r="P232"/>
      <c r="Q232"/>
      <c r="R232" s="10"/>
      <c r="S232" s="10"/>
      <c r="T232" s="10"/>
      <c r="U232" s="10"/>
      <c r="V232" s="10"/>
      <c r="W232" s="10"/>
      <c r="X232" s="10"/>
      <c r="Y232" s="10"/>
    </row>
    <row r="233" spans="5:25" ht="15" customHeight="1" x14ac:dyDescent="0.25">
      <c r="E233" s="12">
        <v>41299</v>
      </c>
      <c r="F233" s="13">
        <v>1494.82</v>
      </c>
      <c r="G233" s="13">
        <v>1503.26</v>
      </c>
      <c r="H233" s="13">
        <v>1494.82</v>
      </c>
      <c r="I233" s="13">
        <v>1502.96</v>
      </c>
      <c r="J233" s="13">
        <v>3476290</v>
      </c>
      <c r="K233" s="13">
        <v>1502.96</v>
      </c>
      <c r="L233" s="17">
        <v>0</v>
      </c>
      <c r="M233" s="17">
        <v>1</v>
      </c>
      <c r="N233"/>
      <c r="O233"/>
      <c r="P233"/>
      <c r="Q233"/>
      <c r="R233" s="10"/>
      <c r="S233" s="10"/>
      <c r="T233" s="10"/>
      <c r="U233" s="10"/>
      <c r="V233" s="10"/>
      <c r="W233" s="10"/>
      <c r="X233" s="10"/>
      <c r="Y233" s="10"/>
    </row>
    <row r="234" spans="5:25" ht="15" customHeight="1" x14ac:dyDescent="0.25">
      <c r="E234" s="12">
        <v>41302</v>
      </c>
      <c r="F234" s="13">
        <v>1502.96</v>
      </c>
      <c r="G234" s="13">
        <v>1503.23</v>
      </c>
      <c r="H234" s="13">
        <v>1496.33</v>
      </c>
      <c r="I234" s="13">
        <v>1500.18</v>
      </c>
      <c r="J234" s="13">
        <v>3388540</v>
      </c>
      <c r="K234" s="13">
        <v>1500.18</v>
      </c>
      <c r="L234" s="17">
        <v>1</v>
      </c>
      <c r="M234" s="17">
        <v>2</v>
      </c>
      <c r="N234"/>
      <c r="O234"/>
      <c r="P234"/>
      <c r="Q234"/>
      <c r="R234" s="10"/>
      <c r="S234" s="10"/>
      <c r="T234" s="10"/>
      <c r="U234" s="10"/>
      <c r="V234" s="10"/>
      <c r="W234" s="10"/>
      <c r="X234" s="10"/>
      <c r="Y234" s="10"/>
    </row>
    <row r="235" spans="5:25" ht="15" customHeight="1" x14ac:dyDescent="0.25">
      <c r="E235" s="12">
        <v>41303</v>
      </c>
      <c r="F235" s="13">
        <v>1500.18</v>
      </c>
      <c r="G235" s="13">
        <v>1509.35</v>
      </c>
      <c r="H235" s="13">
        <v>1498.09</v>
      </c>
      <c r="I235" s="13">
        <v>1507.84</v>
      </c>
      <c r="J235" s="13">
        <v>3949640</v>
      </c>
      <c r="K235" s="13">
        <v>1507.84</v>
      </c>
      <c r="L235" s="17">
        <v>0</v>
      </c>
      <c r="M235" s="17">
        <v>1</v>
      </c>
      <c r="N235"/>
      <c r="O235"/>
      <c r="P235"/>
      <c r="Q235"/>
      <c r="R235" s="10"/>
      <c r="S235" s="10"/>
      <c r="T235" s="10"/>
      <c r="U235" s="10"/>
      <c r="V235" s="10"/>
      <c r="W235" s="10"/>
      <c r="X235" s="10"/>
      <c r="Y235" s="10"/>
    </row>
    <row r="236" spans="5:25" ht="15" customHeight="1" x14ac:dyDescent="0.25">
      <c r="E236" s="12">
        <v>41304</v>
      </c>
      <c r="F236" s="13">
        <v>1507.84</v>
      </c>
      <c r="G236" s="13">
        <v>1509.94</v>
      </c>
      <c r="H236" s="13">
        <v>1500.11</v>
      </c>
      <c r="I236" s="13">
        <v>1501.96</v>
      </c>
      <c r="J236" s="13">
        <v>3726810</v>
      </c>
      <c r="K236" s="13">
        <v>1501.96</v>
      </c>
      <c r="L236" s="17">
        <v>0</v>
      </c>
      <c r="M236" s="17">
        <v>1</v>
      </c>
      <c r="N236"/>
      <c r="O236"/>
      <c r="P236"/>
      <c r="Q236"/>
      <c r="R236" s="10"/>
      <c r="S236" s="10"/>
      <c r="T236" s="10"/>
      <c r="U236" s="10"/>
      <c r="V236" s="10"/>
      <c r="W236" s="10"/>
      <c r="X236" s="10"/>
      <c r="Y236" s="10"/>
    </row>
    <row r="237" spans="5:25" ht="15" customHeight="1" x14ac:dyDescent="0.25">
      <c r="E237" s="12">
        <v>41305</v>
      </c>
      <c r="F237" s="13">
        <v>1501.96</v>
      </c>
      <c r="G237" s="13">
        <v>1504.19</v>
      </c>
      <c r="H237" s="13">
        <v>1496.76</v>
      </c>
      <c r="I237" s="13">
        <v>1498.11</v>
      </c>
      <c r="J237" s="13">
        <v>3999880</v>
      </c>
      <c r="K237" s="13">
        <v>1498.11</v>
      </c>
      <c r="L237" s="17">
        <v>1</v>
      </c>
      <c r="M237" s="17">
        <v>2</v>
      </c>
      <c r="N237"/>
      <c r="O237"/>
      <c r="P237"/>
      <c r="Q237"/>
      <c r="R237" s="10"/>
      <c r="S237" s="10"/>
      <c r="T237" s="10"/>
      <c r="U237" s="10"/>
      <c r="V237" s="10"/>
      <c r="W237" s="10"/>
      <c r="X237" s="10"/>
      <c r="Y237" s="10"/>
    </row>
    <row r="238" spans="5:25" ht="15" customHeight="1" x14ac:dyDescent="0.25">
      <c r="E238" s="12">
        <v>41306</v>
      </c>
      <c r="F238" s="13">
        <v>1498.11</v>
      </c>
      <c r="G238" s="13">
        <v>1514.41</v>
      </c>
      <c r="H238" s="13">
        <v>1498.11</v>
      </c>
      <c r="I238" s="13">
        <v>1513.17</v>
      </c>
      <c r="J238" s="13">
        <v>3836320</v>
      </c>
      <c r="K238" s="13">
        <v>1513.17</v>
      </c>
      <c r="L238" s="17">
        <v>0</v>
      </c>
      <c r="M238" s="17">
        <v>2</v>
      </c>
      <c r="N238"/>
      <c r="O238"/>
      <c r="P238"/>
      <c r="Q238"/>
      <c r="R238" s="10"/>
      <c r="S238" s="10"/>
      <c r="T238" s="10"/>
      <c r="U238" s="10"/>
      <c r="V238" s="10"/>
      <c r="W238" s="10"/>
      <c r="X238" s="10"/>
      <c r="Y238" s="10"/>
    </row>
    <row r="239" spans="5:25" ht="15" customHeight="1" x14ac:dyDescent="0.25">
      <c r="E239" s="12">
        <v>41309</v>
      </c>
      <c r="F239" s="13">
        <v>1513.17</v>
      </c>
      <c r="G239" s="13">
        <v>1513.17</v>
      </c>
      <c r="H239" s="13">
        <v>1495.02</v>
      </c>
      <c r="I239" s="13">
        <v>1495.71</v>
      </c>
      <c r="J239" s="13">
        <v>3390000</v>
      </c>
      <c r="K239" s="13">
        <v>1495.71</v>
      </c>
      <c r="L239" s="17">
        <v>1</v>
      </c>
      <c r="M239" s="17">
        <v>3</v>
      </c>
      <c r="N239"/>
      <c r="O239"/>
      <c r="P239"/>
      <c r="Q239"/>
      <c r="R239" s="10"/>
      <c r="S239" s="10"/>
      <c r="T239" s="10"/>
      <c r="U239" s="10"/>
      <c r="V239" s="10"/>
      <c r="W239" s="10"/>
      <c r="X239" s="10"/>
      <c r="Y239" s="10"/>
    </row>
    <row r="240" spans="5:25" ht="15" customHeight="1" x14ac:dyDescent="0.25">
      <c r="E240" s="12">
        <v>41310</v>
      </c>
      <c r="F240" s="13">
        <v>1495.71</v>
      </c>
      <c r="G240" s="13">
        <v>1514.96</v>
      </c>
      <c r="H240" s="13">
        <v>1495.71</v>
      </c>
      <c r="I240" s="13">
        <v>1511.29</v>
      </c>
      <c r="J240" s="13">
        <v>3618360</v>
      </c>
      <c r="K240" s="13">
        <v>1511.29</v>
      </c>
      <c r="L240" s="17">
        <v>0</v>
      </c>
      <c r="M240" s="17">
        <v>3</v>
      </c>
      <c r="N240"/>
      <c r="O240"/>
      <c r="P240"/>
      <c r="Q240"/>
      <c r="R240" s="10"/>
      <c r="S240" s="10"/>
      <c r="T240" s="10"/>
      <c r="U240" s="10"/>
      <c r="V240" s="10"/>
      <c r="W240" s="10"/>
      <c r="X240" s="10"/>
      <c r="Y240" s="10"/>
    </row>
    <row r="241" spans="5:25" ht="15" customHeight="1" x14ac:dyDescent="0.25">
      <c r="E241" s="12">
        <v>41311</v>
      </c>
      <c r="F241" s="13">
        <v>1511.29</v>
      </c>
      <c r="G241" s="13">
        <v>1512.53</v>
      </c>
      <c r="H241" s="13">
        <v>1504.71</v>
      </c>
      <c r="I241" s="13">
        <v>1512.12</v>
      </c>
      <c r="J241" s="13">
        <v>3611570</v>
      </c>
      <c r="K241" s="13">
        <v>1512.12</v>
      </c>
      <c r="L241" s="17">
        <v>0</v>
      </c>
      <c r="M241" s="17">
        <v>3</v>
      </c>
      <c r="N241"/>
      <c r="O241"/>
      <c r="P241"/>
      <c r="Q241"/>
      <c r="R241" s="10"/>
      <c r="S241" s="10"/>
      <c r="T241" s="10"/>
      <c r="U241" s="10"/>
      <c r="V241" s="10"/>
      <c r="W241" s="10"/>
      <c r="X241" s="10"/>
      <c r="Y241" s="10"/>
    </row>
    <row r="242" spans="5:25" ht="15" customHeight="1" x14ac:dyDescent="0.25">
      <c r="E242" s="12">
        <v>41312</v>
      </c>
      <c r="F242" s="13">
        <v>1512.12</v>
      </c>
      <c r="G242" s="13">
        <v>1512.9</v>
      </c>
      <c r="H242" s="13">
        <v>1498.49</v>
      </c>
      <c r="I242" s="13">
        <v>1509.39</v>
      </c>
      <c r="J242" s="13">
        <v>3614580</v>
      </c>
      <c r="K242" s="13">
        <v>1509.39</v>
      </c>
      <c r="L242" s="17">
        <v>1</v>
      </c>
      <c r="M242" s="17">
        <v>4</v>
      </c>
      <c r="N242"/>
      <c r="O242"/>
      <c r="P242"/>
      <c r="Q242"/>
      <c r="R242" s="10"/>
      <c r="S242" s="10"/>
      <c r="T242" s="10"/>
      <c r="U242" s="10"/>
      <c r="V242" s="10"/>
      <c r="W242" s="10"/>
      <c r="X242" s="10"/>
      <c r="Y242" s="10"/>
    </row>
    <row r="243" spans="5:25" ht="15" customHeight="1" x14ac:dyDescent="0.25">
      <c r="E243" s="12">
        <v>41313</v>
      </c>
      <c r="F243" s="13">
        <v>1509.39</v>
      </c>
      <c r="G243" s="13">
        <v>1518.31</v>
      </c>
      <c r="H243" s="13">
        <v>1509.39</v>
      </c>
      <c r="I243" s="13">
        <v>1517.93</v>
      </c>
      <c r="J243" s="13">
        <v>2986150</v>
      </c>
      <c r="K243" s="13">
        <v>1517.93</v>
      </c>
      <c r="L243" s="17">
        <v>0</v>
      </c>
      <c r="M243" s="17">
        <v>4</v>
      </c>
      <c r="N243"/>
      <c r="O243"/>
      <c r="P243"/>
      <c r="Q243"/>
      <c r="R243" s="10"/>
      <c r="S243" s="10"/>
      <c r="T243" s="10"/>
      <c r="U243" s="10"/>
      <c r="V243" s="10"/>
      <c r="W243" s="10"/>
      <c r="X243" s="10"/>
      <c r="Y243" s="10"/>
    </row>
    <row r="244" spans="5:25" ht="15" customHeight="1" x14ac:dyDescent="0.25">
      <c r="E244" s="12">
        <v>41316</v>
      </c>
      <c r="F244" s="13">
        <v>1517.93</v>
      </c>
      <c r="G244" s="13">
        <v>1518.31</v>
      </c>
      <c r="H244" s="13">
        <v>1513.61</v>
      </c>
      <c r="I244" s="13">
        <v>1517.01</v>
      </c>
      <c r="J244" s="13">
        <v>2684100</v>
      </c>
      <c r="K244" s="13">
        <v>1517.01</v>
      </c>
      <c r="L244" s="17">
        <v>1</v>
      </c>
      <c r="M244" s="17">
        <v>4</v>
      </c>
      <c r="N244"/>
      <c r="O244"/>
      <c r="P244"/>
      <c r="Q244"/>
      <c r="R244" s="10"/>
      <c r="S244" s="10"/>
      <c r="T244" s="10"/>
      <c r="U244" s="10"/>
      <c r="V244" s="10"/>
      <c r="W244" s="10"/>
      <c r="X244" s="10"/>
      <c r="Y244" s="10"/>
    </row>
    <row r="245" spans="5:25" ht="15" customHeight="1" x14ac:dyDescent="0.25">
      <c r="E245" s="12">
        <v>41317</v>
      </c>
      <c r="F245" s="13">
        <v>1517.01</v>
      </c>
      <c r="G245" s="13">
        <v>1522.29</v>
      </c>
      <c r="H245" s="13">
        <v>1515.61</v>
      </c>
      <c r="I245" s="13">
        <v>1519.43</v>
      </c>
      <c r="J245" s="13">
        <v>3414370</v>
      </c>
      <c r="K245" s="13">
        <v>1519.43</v>
      </c>
      <c r="L245" s="17">
        <v>0</v>
      </c>
      <c r="M245" s="17">
        <v>4</v>
      </c>
      <c r="N245"/>
      <c r="O245"/>
      <c r="P245"/>
      <c r="Q245"/>
      <c r="R245" s="10"/>
      <c r="S245" s="10"/>
      <c r="T245" s="10"/>
      <c r="U245" s="10"/>
      <c r="V245" s="10"/>
      <c r="W245" s="10"/>
      <c r="X245" s="10"/>
      <c r="Y245" s="10"/>
    </row>
    <row r="246" spans="5:25" ht="15" customHeight="1" x14ac:dyDescent="0.25">
      <c r="E246" s="12">
        <v>41318</v>
      </c>
      <c r="F246" s="13">
        <v>1519.43</v>
      </c>
      <c r="G246" s="13">
        <v>1524.69</v>
      </c>
      <c r="H246" s="13">
        <v>1515.93</v>
      </c>
      <c r="I246" s="13">
        <v>1520.33</v>
      </c>
      <c r="J246" s="13">
        <v>3385880</v>
      </c>
      <c r="K246" s="13">
        <v>1520.33</v>
      </c>
      <c r="L246" s="17">
        <v>0</v>
      </c>
      <c r="M246" s="17">
        <v>4</v>
      </c>
      <c r="N246"/>
      <c r="O246"/>
      <c r="P246"/>
      <c r="Q246"/>
      <c r="R246" s="10"/>
      <c r="S246" s="10"/>
      <c r="T246" s="10"/>
      <c r="U246" s="10"/>
      <c r="V246" s="10"/>
      <c r="W246" s="10"/>
      <c r="X246" s="10"/>
      <c r="Y246" s="10"/>
    </row>
    <row r="247" spans="5:25" ht="15" customHeight="1" x14ac:dyDescent="0.25">
      <c r="E247" s="12">
        <v>41319</v>
      </c>
      <c r="F247" s="13">
        <v>1520.33</v>
      </c>
      <c r="G247" s="13">
        <v>1523.14</v>
      </c>
      <c r="H247" s="13">
        <v>1514.02</v>
      </c>
      <c r="I247" s="13">
        <v>1521.38</v>
      </c>
      <c r="J247" s="13">
        <v>3759740</v>
      </c>
      <c r="K247" s="13">
        <v>1521.38</v>
      </c>
      <c r="L247" s="17">
        <v>0</v>
      </c>
      <c r="M247" s="17">
        <v>3</v>
      </c>
      <c r="N247"/>
      <c r="O247"/>
      <c r="P247"/>
      <c r="Q247"/>
      <c r="R247" s="10"/>
      <c r="S247" s="10"/>
      <c r="T247" s="10"/>
      <c r="U247" s="10"/>
      <c r="V247" s="10"/>
      <c r="W247" s="10"/>
      <c r="X247" s="10"/>
      <c r="Y247" s="10"/>
    </row>
    <row r="248" spans="5:25" ht="15" customHeight="1" x14ac:dyDescent="0.25">
      <c r="E248" s="12">
        <v>41320</v>
      </c>
      <c r="F248" s="13">
        <v>1521.38</v>
      </c>
      <c r="G248" s="13">
        <v>1524.24</v>
      </c>
      <c r="H248" s="13">
        <v>1514.14</v>
      </c>
      <c r="I248" s="13">
        <v>1519.79</v>
      </c>
      <c r="J248" s="13">
        <v>3838510</v>
      </c>
      <c r="K248" s="13">
        <v>1519.79</v>
      </c>
      <c r="L248" s="17">
        <v>1</v>
      </c>
      <c r="M248" s="17">
        <v>4</v>
      </c>
      <c r="N248"/>
      <c r="O248"/>
      <c r="P248"/>
      <c r="Q248"/>
      <c r="R248" s="10"/>
      <c r="S248" s="10"/>
      <c r="T248" s="10"/>
      <c r="U248" s="10"/>
      <c r="V248" s="10"/>
      <c r="W248" s="10"/>
      <c r="X248" s="10"/>
      <c r="Y248" s="10"/>
    </row>
    <row r="249" spans="5:25" ht="15" customHeight="1" x14ac:dyDescent="0.25">
      <c r="E249" s="12">
        <v>41324</v>
      </c>
      <c r="F249" s="13">
        <v>1519.79</v>
      </c>
      <c r="G249" s="13">
        <v>1530.94</v>
      </c>
      <c r="H249" s="13">
        <v>1519.79</v>
      </c>
      <c r="I249" s="13">
        <v>1530.94</v>
      </c>
      <c r="J249" s="13">
        <v>3748910</v>
      </c>
      <c r="K249" s="13">
        <v>1530.94</v>
      </c>
      <c r="L249" s="17">
        <v>0</v>
      </c>
      <c r="M249" s="17">
        <v>3</v>
      </c>
      <c r="N249"/>
      <c r="O249"/>
      <c r="P249"/>
      <c r="Q249"/>
      <c r="R249" s="10"/>
      <c r="S249" s="10"/>
      <c r="T249" s="10"/>
      <c r="U249" s="10"/>
      <c r="V249" s="10"/>
      <c r="W249" s="10"/>
      <c r="X249" s="10"/>
      <c r="Y249" s="10"/>
    </row>
    <row r="250" spans="5:25" ht="15" customHeight="1" x14ac:dyDescent="0.25">
      <c r="E250" s="12">
        <v>41325</v>
      </c>
      <c r="F250" s="13">
        <v>1530.94</v>
      </c>
      <c r="G250" s="13">
        <v>1530.94</v>
      </c>
      <c r="H250" s="13">
        <v>1511.41</v>
      </c>
      <c r="I250" s="13">
        <v>1511.95</v>
      </c>
      <c r="J250" s="13">
        <v>4240570</v>
      </c>
      <c r="K250" s="13">
        <v>1511.95</v>
      </c>
      <c r="L250" s="17">
        <v>0</v>
      </c>
      <c r="M250" s="17">
        <v>3</v>
      </c>
      <c r="N250"/>
      <c r="O250"/>
      <c r="P250"/>
      <c r="Q250"/>
      <c r="R250" s="10"/>
      <c r="S250" s="10"/>
      <c r="T250" s="10"/>
      <c r="U250" s="10"/>
      <c r="V250" s="10"/>
      <c r="W250" s="10"/>
      <c r="X250" s="10"/>
      <c r="Y250" s="10"/>
    </row>
    <row r="251" spans="5:25" ht="15" customHeight="1" x14ac:dyDescent="0.25">
      <c r="E251" s="12">
        <v>41326</v>
      </c>
      <c r="F251" s="13">
        <v>1511.95</v>
      </c>
      <c r="G251" s="13">
        <v>1511.95</v>
      </c>
      <c r="H251" s="13">
        <v>1497.29</v>
      </c>
      <c r="I251" s="13">
        <v>1502.42</v>
      </c>
      <c r="J251" s="13">
        <v>4274600</v>
      </c>
      <c r="K251" s="13">
        <v>1502.42</v>
      </c>
      <c r="L251" s="17">
        <v>1</v>
      </c>
      <c r="M251" s="17">
        <v>4</v>
      </c>
      <c r="N251"/>
      <c r="O251"/>
      <c r="P251"/>
      <c r="Q251"/>
      <c r="R251" s="10"/>
      <c r="S251" s="10"/>
      <c r="T251" s="10"/>
      <c r="U251" s="10"/>
      <c r="V251" s="10"/>
      <c r="W251" s="10"/>
      <c r="X251" s="10"/>
      <c r="Y251" s="10"/>
    </row>
    <row r="252" spans="5:25" ht="15" customHeight="1" x14ac:dyDescent="0.25">
      <c r="E252" s="12">
        <v>41327</v>
      </c>
      <c r="F252" s="13">
        <v>1502.42</v>
      </c>
      <c r="G252" s="13">
        <v>1515.64</v>
      </c>
      <c r="H252" s="13">
        <v>1502.42</v>
      </c>
      <c r="I252" s="13">
        <v>1515.6</v>
      </c>
      <c r="J252" s="13">
        <v>3419320</v>
      </c>
      <c r="K252" s="13">
        <v>1515.6</v>
      </c>
      <c r="L252" s="17">
        <v>0</v>
      </c>
      <c r="M252" s="17">
        <v>3</v>
      </c>
      <c r="N252"/>
      <c r="O252"/>
      <c r="P252"/>
      <c r="Q252"/>
      <c r="R252" s="10"/>
      <c r="S252" s="10"/>
      <c r="T252" s="10"/>
      <c r="U252" s="10"/>
      <c r="V252" s="10"/>
      <c r="W252" s="10"/>
      <c r="X252" s="10"/>
      <c r="Y252" s="10"/>
    </row>
    <row r="253" spans="5:25" ht="15" customHeight="1" x14ac:dyDescent="0.25">
      <c r="E253" s="12">
        <v>41330</v>
      </c>
      <c r="F253" s="13">
        <v>1515.6</v>
      </c>
      <c r="G253" s="13">
        <v>1525.84</v>
      </c>
      <c r="H253" s="13">
        <v>1487.85</v>
      </c>
      <c r="I253" s="13">
        <v>1487.85</v>
      </c>
      <c r="J253" s="13">
        <v>4011050</v>
      </c>
      <c r="K253" s="13">
        <v>1487.85</v>
      </c>
      <c r="L253" s="17">
        <v>1</v>
      </c>
      <c r="M253" s="17">
        <v>4</v>
      </c>
      <c r="N253"/>
      <c r="O253"/>
      <c r="P253"/>
      <c r="Q253"/>
      <c r="R253" s="10"/>
      <c r="S253" s="10"/>
      <c r="T253" s="10"/>
      <c r="U253" s="10"/>
      <c r="V253" s="10"/>
      <c r="W253" s="10"/>
      <c r="X253" s="10"/>
      <c r="Y253" s="10"/>
    </row>
    <row r="254" spans="5:25" ht="15" customHeight="1" x14ac:dyDescent="0.25">
      <c r="E254" s="12">
        <v>41331</v>
      </c>
      <c r="F254" s="13">
        <v>1487.85</v>
      </c>
      <c r="G254" s="13">
        <v>1498.99</v>
      </c>
      <c r="H254" s="13">
        <v>1485.01</v>
      </c>
      <c r="I254" s="13">
        <v>1496.94</v>
      </c>
      <c r="J254" s="13">
        <v>3975280</v>
      </c>
      <c r="K254" s="13">
        <v>1496.94</v>
      </c>
      <c r="L254" s="17">
        <v>0</v>
      </c>
      <c r="M254" s="17">
        <v>3</v>
      </c>
      <c r="N254"/>
      <c r="O254"/>
      <c r="P254"/>
      <c r="Q254"/>
      <c r="R254" s="10"/>
      <c r="S254" s="10"/>
      <c r="T254" s="10"/>
      <c r="U254" s="10"/>
      <c r="V254" s="10"/>
      <c r="W254" s="10"/>
      <c r="X254" s="10"/>
      <c r="Y254" s="10"/>
    </row>
    <row r="255" spans="5:25" ht="15" customHeight="1" x14ac:dyDescent="0.25">
      <c r="E255" s="12">
        <v>41332</v>
      </c>
      <c r="F255" s="13">
        <v>1496.94</v>
      </c>
      <c r="G255" s="13">
        <v>1520.08</v>
      </c>
      <c r="H255" s="13">
        <v>1494.88</v>
      </c>
      <c r="I255" s="13">
        <v>1515.99</v>
      </c>
      <c r="J255" s="13">
        <v>3551850</v>
      </c>
      <c r="K255" s="13">
        <v>1515.99</v>
      </c>
      <c r="L255" s="17">
        <v>0</v>
      </c>
      <c r="M255" s="17">
        <v>3</v>
      </c>
      <c r="N255"/>
      <c r="O255"/>
      <c r="P255"/>
      <c r="Q255" s="10"/>
      <c r="R255" s="10"/>
      <c r="S255" s="10"/>
      <c r="T255" s="10"/>
      <c r="U255" s="10"/>
      <c r="V255" s="10"/>
      <c r="W255" s="10"/>
      <c r="X255" s="10"/>
      <c r="Y255" s="10"/>
    </row>
    <row r="256" spans="5:25" ht="15" customHeight="1" x14ac:dyDescent="0.2">
      <c r="E256"/>
      <c r="F256"/>
      <c r="G256"/>
      <c r="H256"/>
      <c r="I256"/>
      <c r="J256"/>
      <c r="K256"/>
      <c r="L256"/>
      <c r="M256"/>
      <c r="N256"/>
      <c r="O256"/>
      <c r="P256"/>
      <c r="Q256" s="10"/>
      <c r="R256" s="10"/>
      <c r="S256" s="10"/>
      <c r="T256" s="10"/>
      <c r="U256" s="10"/>
      <c r="V256" s="10"/>
      <c r="W256" s="10"/>
      <c r="X256" s="10"/>
      <c r="Y256" s="10"/>
    </row>
    <row r="257" spans="5:25" ht="15" customHeight="1" x14ac:dyDescent="0.2">
      <c r="E257"/>
      <c r="F257"/>
      <c r="G257"/>
      <c r="H257"/>
      <c r="I257"/>
      <c r="J257"/>
      <c r="K257"/>
      <c r="L257"/>
      <c r="M257"/>
      <c r="N257"/>
      <c r="O257"/>
      <c r="P257"/>
      <c r="Q257" s="10"/>
      <c r="R257" s="10"/>
      <c r="S257" s="10"/>
      <c r="T257" s="10"/>
      <c r="U257" s="10"/>
      <c r="V257" s="10"/>
      <c r="W257" s="10"/>
      <c r="X257" s="10"/>
      <c r="Y257" s="10"/>
    </row>
    <row r="258" spans="5:25" ht="15" customHeight="1" x14ac:dyDescent="0.2"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</row>
    <row r="259" spans="5:25" ht="15" customHeight="1" x14ac:dyDescent="0.2"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</row>
    <row r="260" spans="5:25" ht="15" customHeight="1" x14ac:dyDescent="0.2"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</row>
    <row r="261" spans="5:25" ht="15" customHeight="1" x14ac:dyDescent="0.2"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</row>
    <row r="262" spans="5:25" ht="15" customHeight="1" x14ac:dyDescent="0.2"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</row>
    <row r="263" spans="5:25" ht="15" customHeight="1" x14ac:dyDescent="0.2"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</row>
    <row r="264" spans="5:25" ht="15" customHeight="1" x14ac:dyDescent="0.2"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</row>
    <row r="265" spans="5:25" ht="15" customHeight="1" x14ac:dyDescent="0.2"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</row>
    <row r="266" spans="5:25" ht="15" customHeight="1" x14ac:dyDescent="0.2"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</row>
    <row r="267" spans="5:25" ht="15" customHeight="1" x14ac:dyDescent="0.2"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</row>
    <row r="268" spans="5:25" ht="15" customHeight="1" x14ac:dyDescent="0.2"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</row>
    <row r="269" spans="5:25" ht="15" customHeight="1" x14ac:dyDescent="0.2"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</row>
    <row r="270" spans="5:25" ht="15" customHeight="1" x14ac:dyDescent="0.2"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</row>
    <row r="271" spans="5:25" ht="15" customHeight="1" x14ac:dyDescent="0.2"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</row>
    <row r="272" spans="5:25" ht="15" customHeight="1" x14ac:dyDescent="0.2"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</row>
    <row r="273" spans="5:25" ht="15" customHeight="1" x14ac:dyDescent="0.2"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</row>
    <row r="274" spans="5:25" ht="15" customHeight="1" x14ac:dyDescent="0.2"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</row>
    <row r="275" spans="5:25" ht="15" customHeight="1" x14ac:dyDescent="0.2"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</row>
    <row r="276" spans="5:25" ht="15" customHeight="1" x14ac:dyDescent="0.2"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</row>
    <row r="277" spans="5:25" ht="15" customHeight="1" x14ac:dyDescent="0.2"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</row>
    <row r="278" spans="5:25" ht="15" customHeight="1" x14ac:dyDescent="0.2"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</row>
    <row r="279" spans="5:25" ht="15" customHeight="1" x14ac:dyDescent="0.2"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</row>
    <row r="280" spans="5:25" ht="15" customHeight="1" x14ac:dyDescent="0.2"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</row>
    <row r="281" spans="5:25" ht="15" customHeight="1" x14ac:dyDescent="0.2"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</row>
    <row r="282" spans="5:25" ht="15" customHeight="1" x14ac:dyDescent="0.2"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</row>
    <row r="283" spans="5:25" ht="15" customHeight="1" x14ac:dyDescent="0.2"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</row>
    <row r="284" spans="5:25" ht="15" customHeight="1" x14ac:dyDescent="0.2"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</row>
    <row r="285" spans="5:25" ht="15" customHeight="1" x14ac:dyDescent="0.2"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</row>
    <row r="286" spans="5:25" ht="15" customHeight="1" x14ac:dyDescent="0.2"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</row>
    <row r="287" spans="5:25" ht="15" customHeight="1" x14ac:dyDescent="0.2"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</row>
    <row r="288" spans="5:25" ht="15" customHeight="1" x14ac:dyDescent="0.2"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</row>
    <row r="289" spans="5:25" ht="15" customHeight="1" x14ac:dyDescent="0.2"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</row>
    <row r="290" spans="5:25" ht="15" customHeight="1" x14ac:dyDescent="0.2"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</row>
    <row r="291" spans="5:25" ht="15" customHeight="1" x14ac:dyDescent="0.2"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</row>
    <row r="292" spans="5:25" ht="15" customHeight="1" x14ac:dyDescent="0.2"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</row>
    <row r="293" spans="5:25" ht="15" customHeight="1" x14ac:dyDescent="0.2"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</row>
    <row r="294" spans="5:25" ht="15" customHeight="1" x14ac:dyDescent="0.2"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</row>
    <row r="295" spans="5:25" ht="15" customHeight="1" x14ac:dyDescent="0.2"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</row>
    <row r="296" spans="5:25" ht="15" customHeight="1" x14ac:dyDescent="0.2"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</row>
    <row r="297" spans="5:25" ht="15" customHeight="1" x14ac:dyDescent="0.2"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</row>
    <row r="298" spans="5:25" ht="15" customHeight="1" x14ac:dyDescent="0.2"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</row>
    <row r="299" spans="5:25" ht="15" customHeight="1" x14ac:dyDescent="0.2"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</row>
    <row r="300" spans="5:25" ht="15" customHeight="1" x14ac:dyDescent="0.2"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</row>
    <row r="301" spans="5:25" ht="15" customHeight="1" x14ac:dyDescent="0.2"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</row>
    <row r="302" spans="5:25" ht="15" customHeight="1" x14ac:dyDescent="0.2"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</row>
    <row r="303" spans="5:25" ht="15" customHeight="1" x14ac:dyDescent="0.2"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</row>
    <row r="304" spans="5:25" ht="15" customHeight="1" x14ac:dyDescent="0.2"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</row>
    <row r="305" spans="5:25" ht="15" customHeight="1" x14ac:dyDescent="0.2"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</row>
    <row r="306" spans="5:25" ht="15" customHeight="1" x14ac:dyDescent="0.2"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</row>
    <row r="307" spans="5:25" ht="15" customHeight="1" x14ac:dyDescent="0.2"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</row>
    <row r="308" spans="5:25" ht="15" customHeight="1" x14ac:dyDescent="0.2"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</row>
    <row r="309" spans="5:25" ht="15" customHeight="1" x14ac:dyDescent="0.2"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</row>
    <row r="310" spans="5:25" ht="15" customHeight="1" x14ac:dyDescent="0.2"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</row>
    <row r="311" spans="5:25" ht="15" customHeight="1" x14ac:dyDescent="0.2"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</row>
    <row r="312" spans="5:25" ht="15" customHeight="1" x14ac:dyDescent="0.2"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</row>
    <row r="313" spans="5:25" ht="15" customHeight="1" x14ac:dyDescent="0.2"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</row>
    <row r="314" spans="5:25" ht="15" customHeight="1" x14ac:dyDescent="0.2"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</row>
    <row r="315" spans="5:25" ht="15" customHeight="1" x14ac:dyDescent="0.2"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</row>
    <row r="316" spans="5:25" ht="15" customHeight="1" x14ac:dyDescent="0.2"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</row>
    <row r="317" spans="5:25" ht="15" customHeight="1" x14ac:dyDescent="0.2"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</row>
    <row r="318" spans="5:25" ht="15" customHeight="1" x14ac:dyDescent="0.2"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</row>
    <row r="319" spans="5:25" ht="15" customHeight="1" x14ac:dyDescent="0.2"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</row>
    <row r="320" spans="5:25" ht="15" customHeight="1" x14ac:dyDescent="0.2"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</row>
    <row r="321" spans="5:25" ht="15" customHeight="1" x14ac:dyDescent="0.2"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</row>
    <row r="322" spans="5:25" ht="15" customHeight="1" x14ac:dyDescent="0.2"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</row>
    <row r="323" spans="5:25" ht="15" customHeight="1" x14ac:dyDescent="0.2"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</row>
    <row r="324" spans="5:25" ht="15" customHeight="1" x14ac:dyDescent="0.2"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</row>
    <row r="325" spans="5:25" ht="15" customHeight="1" x14ac:dyDescent="0.2"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</row>
    <row r="326" spans="5:25" ht="15" customHeight="1" x14ac:dyDescent="0.2"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</row>
    <row r="327" spans="5:25" ht="15" customHeight="1" x14ac:dyDescent="0.2"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</row>
    <row r="328" spans="5:25" ht="15" customHeight="1" x14ac:dyDescent="0.2"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</row>
    <row r="329" spans="5:25" ht="15" customHeight="1" x14ac:dyDescent="0.2"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</row>
    <row r="330" spans="5:25" ht="15" customHeight="1" x14ac:dyDescent="0.2"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</row>
    <row r="331" spans="5:25" ht="15" customHeight="1" x14ac:dyDescent="0.2"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</row>
    <row r="332" spans="5:25" ht="15" customHeight="1" x14ac:dyDescent="0.2"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</row>
    <row r="333" spans="5:25" ht="15" customHeight="1" x14ac:dyDescent="0.2"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</row>
    <row r="334" spans="5:25" ht="15" customHeight="1" x14ac:dyDescent="0.2"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</row>
    <row r="335" spans="5:25" ht="15" customHeight="1" x14ac:dyDescent="0.2"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</row>
    <row r="336" spans="5:25" ht="15" customHeight="1" x14ac:dyDescent="0.2"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</row>
    <row r="337" spans="5:25" ht="15" customHeight="1" x14ac:dyDescent="0.2"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</row>
    <row r="338" spans="5:25" ht="15" customHeight="1" x14ac:dyDescent="0.2"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</row>
    <row r="339" spans="5:25" ht="15" customHeight="1" x14ac:dyDescent="0.2"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</row>
    <row r="340" spans="5:25" ht="15" customHeight="1" x14ac:dyDescent="0.2"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</row>
    <row r="341" spans="5:25" ht="15" customHeight="1" x14ac:dyDescent="0.2"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</row>
    <row r="342" spans="5:25" ht="15" customHeight="1" x14ac:dyDescent="0.2"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</row>
    <row r="343" spans="5:25" ht="15" customHeight="1" x14ac:dyDescent="0.2"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</row>
    <row r="344" spans="5:25" ht="15" customHeight="1" x14ac:dyDescent="0.2"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</row>
    <row r="345" spans="5:25" ht="15" customHeight="1" x14ac:dyDescent="0.2"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</row>
    <row r="346" spans="5:25" ht="15" customHeight="1" x14ac:dyDescent="0.2"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</row>
    <row r="347" spans="5:25" ht="15" customHeight="1" x14ac:dyDescent="0.2"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</row>
    <row r="348" spans="5:25" ht="15" customHeight="1" x14ac:dyDescent="0.2"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</row>
    <row r="349" spans="5:25" ht="15" customHeight="1" x14ac:dyDescent="0.2"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</row>
    <row r="350" spans="5:25" ht="15" customHeight="1" x14ac:dyDescent="0.2"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</row>
    <row r="351" spans="5:25" ht="15" customHeight="1" x14ac:dyDescent="0.2"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</row>
    <row r="352" spans="5:25" ht="15" customHeight="1" x14ac:dyDescent="0.2"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</row>
    <row r="353" spans="5:25" ht="15" customHeight="1" x14ac:dyDescent="0.2"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</row>
    <row r="354" spans="5:25" ht="15" customHeight="1" x14ac:dyDescent="0.2"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</row>
    <row r="355" spans="5:25" ht="15" customHeight="1" x14ac:dyDescent="0.2"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</row>
    <row r="356" spans="5:25" ht="15" customHeight="1" x14ac:dyDescent="0.2"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</row>
    <row r="357" spans="5:25" ht="15" customHeight="1" x14ac:dyDescent="0.2"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</row>
    <row r="358" spans="5:25" ht="15" customHeight="1" x14ac:dyDescent="0.2"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</row>
    <row r="359" spans="5:25" ht="15" customHeight="1" x14ac:dyDescent="0.2"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</row>
    <row r="360" spans="5:25" ht="15" customHeight="1" x14ac:dyDescent="0.2"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</row>
    <row r="361" spans="5:25" ht="15" customHeight="1" x14ac:dyDescent="0.2"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</row>
    <row r="362" spans="5:25" ht="15" customHeight="1" x14ac:dyDescent="0.2"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</row>
    <row r="363" spans="5:25" ht="15" customHeight="1" x14ac:dyDescent="0.2"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</row>
    <row r="364" spans="5:25" ht="15" customHeight="1" x14ac:dyDescent="0.2"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</row>
    <row r="365" spans="5:25" ht="15" customHeight="1" x14ac:dyDescent="0.2"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</row>
    <row r="366" spans="5:25" ht="15" customHeight="1" x14ac:dyDescent="0.2"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</row>
    <row r="367" spans="5:25" ht="15" customHeight="1" x14ac:dyDescent="0.2"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</row>
    <row r="368" spans="5:25" ht="15" customHeight="1" x14ac:dyDescent="0.2"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</row>
    <row r="369" spans="5:25" ht="15" customHeight="1" x14ac:dyDescent="0.2"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</row>
    <row r="370" spans="5:25" ht="15" customHeight="1" x14ac:dyDescent="0.2"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</row>
    <row r="371" spans="5:25" ht="15" customHeight="1" x14ac:dyDescent="0.2"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</row>
    <row r="372" spans="5:25" ht="15" customHeight="1" x14ac:dyDescent="0.2"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</row>
    <row r="373" spans="5:25" ht="15" customHeight="1" x14ac:dyDescent="0.2"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</row>
    <row r="374" spans="5:25" ht="15" customHeight="1" x14ac:dyDescent="0.2"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</row>
    <row r="375" spans="5:25" ht="15" customHeight="1" x14ac:dyDescent="0.2"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</row>
    <row r="376" spans="5:25" ht="15" customHeight="1" x14ac:dyDescent="0.2"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</row>
    <row r="377" spans="5:25" ht="15" customHeight="1" x14ac:dyDescent="0.2"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</row>
    <row r="378" spans="5:25" ht="15" customHeight="1" x14ac:dyDescent="0.2"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</row>
    <row r="379" spans="5:25" ht="15" customHeight="1" x14ac:dyDescent="0.2"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</row>
    <row r="380" spans="5:25" ht="15" customHeight="1" x14ac:dyDescent="0.2"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</row>
    <row r="381" spans="5:25" ht="15" customHeight="1" x14ac:dyDescent="0.2"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</row>
    <row r="382" spans="5:25" ht="15" customHeight="1" x14ac:dyDescent="0.2"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</row>
    <row r="383" spans="5:25" ht="15" customHeight="1" x14ac:dyDescent="0.2"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</row>
    <row r="384" spans="5:25" ht="15" customHeight="1" x14ac:dyDescent="0.2"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</row>
    <row r="385" spans="5:25" ht="15" customHeight="1" x14ac:dyDescent="0.2"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</row>
    <row r="386" spans="5:25" ht="15" customHeight="1" x14ac:dyDescent="0.2"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</row>
    <row r="387" spans="5:25" ht="15" customHeight="1" x14ac:dyDescent="0.2"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</row>
    <row r="388" spans="5:25" ht="15" customHeight="1" x14ac:dyDescent="0.2"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</row>
    <row r="389" spans="5:25" ht="15" customHeight="1" x14ac:dyDescent="0.2"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</row>
    <row r="390" spans="5:25" ht="15" customHeight="1" x14ac:dyDescent="0.2"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</row>
    <row r="391" spans="5:25" ht="15" customHeight="1" x14ac:dyDescent="0.2"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</row>
    <row r="392" spans="5:25" ht="15" customHeight="1" x14ac:dyDescent="0.2"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</row>
    <row r="393" spans="5:25" ht="15" customHeight="1" x14ac:dyDescent="0.2"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</row>
    <row r="394" spans="5:25" ht="15" customHeight="1" x14ac:dyDescent="0.2"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</row>
    <row r="395" spans="5:25" ht="15" customHeight="1" x14ac:dyDescent="0.2"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</row>
    <row r="396" spans="5:25" ht="15" customHeight="1" x14ac:dyDescent="0.2"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</row>
    <row r="397" spans="5:25" ht="15" customHeight="1" x14ac:dyDescent="0.2"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</row>
    <row r="398" spans="5:25" ht="15" customHeight="1" x14ac:dyDescent="0.2"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</row>
    <row r="399" spans="5:25" ht="15" customHeight="1" x14ac:dyDescent="0.2"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</row>
    <row r="400" spans="5:25" ht="15" customHeight="1" x14ac:dyDescent="0.2"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</row>
    <row r="401" spans="5:25" ht="15" customHeight="1" x14ac:dyDescent="0.2"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</row>
    <row r="402" spans="5:25" ht="15" customHeight="1" x14ac:dyDescent="0.2"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</row>
    <row r="403" spans="5:25" ht="15" customHeight="1" x14ac:dyDescent="0.2"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</row>
    <row r="404" spans="5:25" ht="15" customHeight="1" x14ac:dyDescent="0.2"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</row>
    <row r="405" spans="5:25" ht="15" customHeight="1" x14ac:dyDescent="0.2"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</row>
    <row r="406" spans="5:25" ht="15" customHeight="1" x14ac:dyDescent="0.2"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</row>
    <row r="407" spans="5:25" ht="15" customHeight="1" x14ac:dyDescent="0.2"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</row>
    <row r="408" spans="5:25" ht="15" customHeight="1" x14ac:dyDescent="0.2"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</row>
    <row r="409" spans="5:25" ht="15" customHeight="1" x14ac:dyDescent="0.2"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</row>
    <row r="410" spans="5:25" ht="15" customHeight="1" x14ac:dyDescent="0.2"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</row>
    <row r="411" spans="5:25" ht="15" customHeight="1" x14ac:dyDescent="0.2"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</row>
    <row r="412" spans="5:25" ht="15" customHeight="1" x14ac:dyDescent="0.2"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</row>
    <row r="413" spans="5:25" ht="15" customHeight="1" x14ac:dyDescent="0.2"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</row>
    <row r="414" spans="5:25" ht="15" customHeight="1" x14ac:dyDescent="0.2"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</row>
    <row r="415" spans="5:25" ht="15" customHeight="1" x14ac:dyDescent="0.2"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</row>
    <row r="416" spans="5:25" ht="15" customHeight="1" x14ac:dyDescent="0.2"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</row>
    <row r="417" spans="5:25" ht="15" customHeight="1" x14ac:dyDescent="0.2"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</row>
    <row r="418" spans="5:25" ht="15" customHeight="1" x14ac:dyDescent="0.2"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</row>
    <row r="419" spans="5:25" ht="15" customHeight="1" x14ac:dyDescent="0.2"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</row>
    <row r="420" spans="5:25" ht="15" customHeight="1" x14ac:dyDescent="0.2"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</row>
    <row r="421" spans="5:25" ht="15" customHeight="1" x14ac:dyDescent="0.2"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</row>
    <row r="422" spans="5:25" ht="15" customHeight="1" x14ac:dyDescent="0.2"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</row>
    <row r="423" spans="5:25" ht="15" customHeight="1" x14ac:dyDescent="0.2"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</row>
    <row r="424" spans="5:25" ht="15" customHeight="1" x14ac:dyDescent="0.2"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</row>
    <row r="425" spans="5:25" ht="15" customHeight="1" x14ac:dyDescent="0.2"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</row>
    <row r="426" spans="5:25" ht="15" customHeight="1" x14ac:dyDescent="0.2"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</row>
    <row r="427" spans="5:25" ht="15" customHeight="1" x14ac:dyDescent="0.2"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</row>
    <row r="428" spans="5:25" ht="15" customHeight="1" x14ac:dyDescent="0.2"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</row>
    <row r="429" spans="5:25" ht="15" customHeight="1" x14ac:dyDescent="0.2"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</row>
    <row r="430" spans="5:25" ht="15" customHeight="1" x14ac:dyDescent="0.2"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</row>
    <row r="431" spans="5:25" ht="15" customHeight="1" x14ac:dyDescent="0.2"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</row>
    <row r="432" spans="5:25" ht="15" customHeight="1" x14ac:dyDescent="0.2"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</row>
    <row r="433" spans="5:25" ht="15" customHeight="1" x14ac:dyDescent="0.2"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</row>
    <row r="434" spans="5:25" ht="15" customHeight="1" x14ac:dyDescent="0.2"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</row>
    <row r="435" spans="5:25" ht="15" customHeight="1" x14ac:dyDescent="0.2"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</row>
    <row r="436" spans="5:25" ht="15" customHeight="1" x14ac:dyDescent="0.2"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</row>
    <row r="437" spans="5:25" ht="15" customHeight="1" x14ac:dyDescent="0.2"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</row>
    <row r="438" spans="5:25" ht="15" customHeight="1" x14ac:dyDescent="0.2"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</row>
    <row r="439" spans="5:25" ht="15" customHeight="1" x14ac:dyDescent="0.2"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</row>
    <row r="440" spans="5:25" ht="15" customHeight="1" x14ac:dyDescent="0.2"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</row>
    <row r="441" spans="5:25" ht="15" customHeight="1" x14ac:dyDescent="0.2"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</row>
    <row r="442" spans="5:25" ht="15" customHeight="1" x14ac:dyDescent="0.2"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</row>
    <row r="443" spans="5:25" ht="15" customHeight="1" x14ac:dyDescent="0.2"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</row>
    <row r="444" spans="5:25" ht="15" customHeight="1" x14ac:dyDescent="0.2"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</row>
    <row r="445" spans="5:25" ht="15" customHeight="1" x14ac:dyDescent="0.2"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</row>
    <row r="446" spans="5:25" ht="15" customHeight="1" x14ac:dyDescent="0.2"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</row>
    <row r="447" spans="5:25" ht="15" customHeight="1" x14ac:dyDescent="0.2"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</row>
    <row r="448" spans="5:25" ht="15" customHeight="1" x14ac:dyDescent="0.2"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</row>
    <row r="449" spans="5:25" ht="15" customHeight="1" x14ac:dyDescent="0.2"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</row>
    <row r="450" spans="5:25" ht="15" customHeight="1" x14ac:dyDescent="0.2"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</row>
    <row r="451" spans="5:25" ht="15" customHeight="1" x14ac:dyDescent="0.2"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</row>
    <row r="452" spans="5:25" ht="15" customHeight="1" x14ac:dyDescent="0.2"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</row>
    <row r="453" spans="5:25" ht="15" customHeight="1" x14ac:dyDescent="0.2"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</row>
    <row r="454" spans="5:25" ht="15" customHeight="1" x14ac:dyDescent="0.2"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</row>
    <row r="455" spans="5:25" ht="15" customHeight="1" x14ac:dyDescent="0.2"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</row>
    <row r="456" spans="5:25" ht="15" customHeight="1" x14ac:dyDescent="0.2"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</row>
    <row r="457" spans="5:25" ht="15" customHeight="1" x14ac:dyDescent="0.2"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</row>
    <row r="458" spans="5:25" ht="15" customHeight="1" x14ac:dyDescent="0.2"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</row>
    <row r="459" spans="5:25" ht="15" customHeight="1" x14ac:dyDescent="0.2"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</row>
    <row r="460" spans="5:25" ht="15" customHeight="1" x14ac:dyDescent="0.2"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</row>
    <row r="461" spans="5:25" ht="15" customHeight="1" x14ac:dyDescent="0.2"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</row>
    <row r="462" spans="5:25" ht="15" customHeight="1" x14ac:dyDescent="0.2"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</row>
    <row r="463" spans="5:25" ht="15" customHeight="1" x14ac:dyDescent="0.2"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</row>
    <row r="464" spans="5:25" ht="15" customHeight="1" x14ac:dyDescent="0.2"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</row>
    <row r="465" spans="5:25" ht="15" customHeight="1" x14ac:dyDescent="0.2"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</row>
    <row r="466" spans="5:25" ht="15" customHeight="1" x14ac:dyDescent="0.2"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</row>
    <row r="467" spans="5:25" ht="15" customHeight="1" x14ac:dyDescent="0.2"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</row>
    <row r="468" spans="5:25" ht="15" customHeight="1" x14ac:dyDescent="0.2"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</row>
    <row r="469" spans="5:25" ht="15" customHeight="1" x14ac:dyDescent="0.2"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</row>
    <row r="470" spans="5:25" ht="15" customHeight="1" x14ac:dyDescent="0.2"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</row>
    <row r="471" spans="5:25" ht="15" customHeight="1" x14ac:dyDescent="0.2"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</row>
    <row r="472" spans="5:25" ht="15" customHeight="1" x14ac:dyDescent="0.2"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</row>
    <row r="473" spans="5:25" ht="15" customHeight="1" x14ac:dyDescent="0.2"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</row>
    <row r="474" spans="5:25" ht="15" customHeight="1" x14ac:dyDescent="0.2"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</row>
    <row r="475" spans="5:25" ht="15" customHeight="1" x14ac:dyDescent="0.2"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</row>
    <row r="476" spans="5:25" ht="15" customHeight="1" x14ac:dyDescent="0.2"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</row>
    <row r="477" spans="5:25" ht="15" customHeight="1" x14ac:dyDescent="0.2"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</row>
    <row r="478" spans="5:25" ht="15" customHeight="1" x14ac:dyDescent="0.2"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</row>
    <row r="479" spans="5:25" ht="15" customHeight="1" x14ac:dyDescent="0.2"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</row>
    <row r="480" spans="5:25" ht="15" customHeight="1" x14ac:dyDescent="0.2"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</row>
    <row r="481" spans="5:25" ht="15" customHeight="1" x14ac:dyDescent="0.2"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</row>
    <row r="482" spans="5:25" ht="15" customHeight="1" x14ac:dyDescent="0.2"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</row>
    <row r="483" spans="5:25" ht="15" customHeight="1" x14ac:dyDescent="0.2"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</row>
    <row r="484" spans="5:25" ht="15" customHeight="1" x14ac:dyDescent="0.2"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</row>
    <row r="485" spans="5:25" ht="15" customHeight="1" x14ac:dyDescent="0.2"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</row>
    <row r="486" spans="5:25" ht="15" customHeight="1" x14ac:dyDescent="0.2"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</row>
    <row r="487" spans="5:25" ht="15" customHeight="1" x14ac:dyDescent="0.2"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</row>
    <row r="488" spans="5:25" ht="15" customHeight="1" x14ac:dyDescent="0.2"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</row>
    <row r="489" spans="5:25" ht="15" customHeight="1" x14ac:dyDescent="0.2"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</row>
    <row r="490" spans="5:25" ht="15" customHeight="1" x14ac:dyDescent="0.2"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</row>
    <row r="491" spans="5:25" ht="15" customHeight="1" x14ac:dyDescent="0.2"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</row>
    <row r="492" spans="5:25" ht="15" customHeight="1" x14ac:dyDescent="0.2"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</row>
    <row r="493" spans="5:25" ht="15" customHeight="1" x14ac:dyDescent="0.2"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</row>
    <row r="494" spans="5:25" ht="15" customHeight="1" x14ac:dyDescent="0.2"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</row>
    <row r="495" spans="5:25" ht="15" customHeight="1" x14ac:dyDescent="0.2"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</row>
    <row r="496" spans="5:25" ht="15" customHeight="1" x14ac:dyDescent="0.2"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</row>
    <row r="497" spans="5:25" ht="15" customHeight="1" x14ac:dyDescent="0.2"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</row>
    <row r="498" spans="5:25" ht="15" customHeight="1" x14ac:dyDescent="0.2"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</row>
    <row r="499" spans="5:25" ht="15" customHeight="1" x14ac:dyDescent="0.2"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</row>
    <row r="500" spans="5:25" ht="15" customHeight="1" x14ac:dyDescent="0.2"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</row>
    <row r="501" spans="5:25" ht="15" customHeight="1" x14ac:dyDescent="0.2"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</row>
    <row r="502" spans="5:25" ht="15" customHeight="1" x14ac:dyDescent="0.2"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</row>
    <row r="503" spans="5:25" ht="15" customHeight="1" x14ac:dyDescent="0.2"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</row>
    <row r="504" spans="5:25" ht="15" customHeight="1" x14ac:dyDescent="0.2"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</row>
    <row r="505" spans="5:25" ht="15" customHeight="1" x14ac:dyDescent="0.2"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</row>
    <row r="506" spans="5:25" ht="15" customHeight="1" x14ac:dyDescent="0.2"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</row>
    <row r="507" spans="5:25" ht="15" customHeight="1" x14ac:dyDescent="0.2"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</row>
    <row r="508" spans="5:25" ht="15" customHeight="1" x14ac:dyDescent="0.2"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</row>
    <row r="509" spans="5:25" ht="15" customHeight="1" x14ac:dyDescent="0.2"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</row>
    <row r="510" spans="5:25" ht="15" customHeight="1" x14ac:dyDescent="0.2"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</row>
    <row r="511" spans="5:25" ht="15" customHeight="1" x14ac:dyDescent="0.2"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</row>
    <row r="512" spans="5:25" ht="15" customHeight="1" x14ac:dyDescent="0.2"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</row>
    <row r="513" spans="5:25" ht="15" customHeight="1" x14ac:dyDescent="0.2"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</row>
    <row r="514" spans="5:25" ht="15" customHeight="1" x14ac:dyDescent="0.2"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</row>
    <row r="515" spans="5:25" ht="15" customHeight="1" x14ac:dyDescent="0.2"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</row>
    <row r="516" spans="5:25" ht="15" customHeight="1" x14ac:dyDescent="0.2"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</row>
    <row r="517" spans="5:25" ht="15" customHeight="1" x14ac:dyDescent="0.2"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</row>
    <row r="518" spans="5:25" ht="15" customHeight="1" x14ac:dyDescent="0.2"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</row>
    <row r="519" spans="5:25" ht="15" customHeight="1" x14ac:dyDescent="0.2"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</row>
    <row r="520" spans="5:25" ht="15" customHeight="1" x14ac:dyDescent="0.2"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</row>
    <row r="521" spans="5:25" ht="15" customHeight="1" x14ac:dyDescent="0.2"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</row>
    <row r="522" spans="5:25" ht="15" customHeight="1" x14ac:dyDescent="0.2"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</row>
    <row r="523" spans="5:25" ht="15" customHeight="1" x14ac:dyDescent="0.2"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</row>
    <row r="524" spans="5:25" ht="15" customHeight="1" x14ac:dyDescent="0.2"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</row>
    <row r="525" spans="5:25" ht="15" customHeight="1" x14ac:dyDescent="0.2"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</row>
    <row r="526" spans="5:25" ht="15" customHeight="1" x14ac:dyDescent="0.2"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</row>
    <row r="527" spans="5:25" ht="15" customHeight="1" x14ac:dyDescent="0.2"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</row>
    <row r="528" spans="5:25" ht="15" customHeight="1" x14ac:dyDescent="0.2"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</row>
    <row r="529" spans="5:25" ht="15" customHeight="1" x14ac:dyDescent="0.2"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</row>
    <row r="530" spans="5:25" ht="15" customHeight="1" x14ac:dyDescent="0.2"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</row>
    <row r="531" spans="5:25" ht="15" customHeight="1" x14ac:dyDescent="0.2"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</row>
    <row r="532" spans="5:25" ht="15" customHeight="1" x14ac:dyDescent="0.2"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</row>
    <row r="533" spans="5:25" ht="15" customHeight="1" x14ac:dyDescent="0.2"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</row>
    <row r="534" spans="5:25" ht="15" customHeight="1" x14ac:dyDescent="0.2"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</row>
    <row r="535" spans="5:25" ht="15" customHeight="1" x14ac:dyDescent="0.2"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</row>
    <row r="536" spans="5:25" ht="15" customHeight="1" x14ac:dyDescent="0.2"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</row>
    <row r="537" spans="5:25" ht="15" customHeight="1" x14ac:dyDescent="0.2"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</row>
    <row r="538" spans="5:25" ht="15" customHeight="1" x14ac:dyDescent="0.2"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</row>
    <row r="539" spans="5:25" ht="15" customHeight="1" x14ac:dyDescent="0.2"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</row>
    <row r="540" spans="5:25" ht="15" customHeight="1" x14ac:dyDescent="0.2"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</row>
    <row r="541" spans="5:25" ht="15" customHeight="1" x14ac:dyDescent="0.2"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</row>
    <row r="542" spans="5:25" ht="15" customHeight="1" x14ac:dyDescent="0.2"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</row>
    <row r="543" spans="5:25" ht="15" customHeight="1" x14ac:dyDescent="0.2"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</row>
    <row r="544" spans="5:25" ht="15" customHeight="1" x14ac:dyDescent="0.2"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</row>
    <row r="545" spans="5:25" ht="15" customHeight="1" x14ac:dyDescent="0.2"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</row>
    <row r="546" spans="5:25" ht="15" customHeight="1" x14ac:dyDescent="0.2"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</row>
    <row r="547" spans="5:25" ht="15" customHeight="1" x14ac:dyDescent="0.2"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</row>
    <row r="548" spans="5:25" ht="15" customHeight="1" x14ac:dyDescent="0.2"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</row>
    <row r="549" spans="5:25" ht="15" customHeight="1" x14ac:dyDescent="0.2"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</row>
    <row r="550" spans="5:25" ht="15" customHeight="1" x14ac:dyDescent="0.2"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</row>
    <row r="551" spans="5:25" ht="15" customHeight="1" x14ac:dyDescent="0.2"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</row>
    <row r="552" spans="5:25" ht="15" customHeight="1" x14ac:dyDescent="0.2"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</row>
    <row r="553" spans="5:25" ht="15" customHeight="1" x14ac:dyDescent="0.2"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</row>
    <row r="554" spans="5:25" ht="15" customHeight="1" x14ac:dyDescent="0.2"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</row>
    <row r="555" spans="5:25" ht="15" customHeight="1" x14ac:dyDescent="0.2"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</row>
    <row r="556" spans="5:25" ht="15" customHeight="1" x14ac:dyDescent="0.2"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</row>
    <row r="557" spans="5:25" ht="15" customHeight="1" x14ac:dyDescent="0.2"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</row>
    <row r="558" spans="5:25" ht="15" customHeight="1" x14ac:dyDescent="0.2"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</row>
    <row r="559" spans="5:25" ht="15" customHeight="1" x14ac:dyDescent="0.2"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</row>
    <row r="560" spans="5:25" ht="15" customHeight="1" x14ac:dyDescent="0.2"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</row>
    <row r="561" spans="5:25" ht="15" customHeight="1" x14ac:dyDescent="0.2"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</row>
    <row r="562" spans="5:25" ht="15" customHeight="1" x14ac:dyDescent="0.2"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</row>
    <row r="563" spans="5:25" ht="15" customHeight="1" x14ac:dyDescent="0.2"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</row>
    <row r="564" spans="5:25" ht="15" customHeight="1" x14ac:dyDescent="0.2"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</row>
    <row r="565" spans="5:25" ht="15" customHeight="1" x14ac:dyDescent="0.2"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</row>
    <row r="566" spans="5:25" ht="15" customHeight="1" x14ac:dyDescent="0.2"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</row>
    <row r="567" spans="5:25" ht="15" customHeight="1" x14ac:dyDescent="0.2"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</row>
    <row r="568" spans="5:25" ht="15" customHeight="1" x14ac:dyDescent="0.2"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</row>
    <row r="569" spans="5:25" ht="15" customHeight="1" x14ac:dyDescent="0.2"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</row>
    <row r="570" spans="5:25" ht="15" customHeight="1" x14ac:dyDescent="0.2"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</row>
    <row r="571" spans="5:25" ht="15" customHeight="1" x14ac:dyDescent="0.2"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</row>
    <row r="572" spans="5:25" ht="15" customHeight="1" x14ac:dyDescent="0.2"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</row>
    <row r="573" spans="5:25" ht="15" customHeight="1" x14ac:dyDescent="0.2"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</row>
    <row r="574" spans="5:25" ht="15" customHeight="1" x14ac:dyDescent="0.2"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</row>
    <row r="575" spans="5:25" ht="15" customHeight="1" x14ac:dyDescent="0.2"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</row>
    <row r="576" spans="5:25" ht="15" customHeight="1" x14ac:dyDescent="0.2"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</row>
    <row r="577" spans="5:25" ht="15" customHeight="1" x14ac:dyDescent="0.2"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</row>
    <row r="578" spans="5:25" ht="15" customHeight="1" x14ac:dyDescent="0.2"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</row>
    <row r="579" spans="5:25" ht="15" customHeight="1" x14ac:dyDescent="0.2"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</row>
    <row r="580" spans="5:25" ht="15" customHeight="1" x14ac:dyDescent="0.2"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</row>
    <row r="581" spans="5:25" ht="15" customHeight="1" x14ac:dyDescent="0.2"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</row>
    <row r="582" spans="5:25" ht="15" customHeight="1" x14ac:dyDescent="0.2"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</row>
    <row r="583" spans="5:25" ht="15" customHeight="1" x14ac:dyDescent="0.2"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</row>
    <row r="584" spans="5:25" ht="15" customHeight="1" x14ac:dyDescent="0.2"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</row>
    <row r="585" spans="5:25" ht="15" customHeight="1" x14ac:dyDescent="0.2"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</row>
    <row r="586" spans="5:25" ht="15" customHeight="1" x14ac:dyDescent="0.2"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</row>
    <row r="587" spans="5:25" ht="15" customHeight="1" x14ac:dyDescent="0.2"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</row>
    <row r="588" spans="5:25" ht="15" customHeight="1" x14ac:dyDescent="0.2"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</row>
    <row r="589" spans="5:25" ht="15" customHeight="1" x14ac:dyDescent="0.2"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</row>
    <row r="590" spans="5:25" ht="15" customHeight="1" x14ac:dyDescent="0.2"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</row>
    <row r="591" spans="5:25" ht="15" customHeight="1" x14ac:dyDescent="0.2"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</row>
    <row r="592" spans="5:25" ht="15" customHeight="1" x14ac:dyDescent="0.2"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</row>
    <row r="593" spans="5:25" ht="15" customHeight="1" x14ac:dyDescent="0.2"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</row>
    <row r="594" spans="5:25" ht="15" customHeight="1" x14ac:dyDescent="0.2"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</row>
    <row r="595" spans="5:25" ht="15" customHeight="1" x14ac:dyDescent="0.2"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</row>
    <row r="596" spans="5:25" ht="15" customHeight="1" x14ac:dyDescent="0.2"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</row>
    <row r="597" spans="5:25" ht="15" customHeight="1" x14ac:dyDescent="0.2"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</row>
    <row r="598" spans="5:25" ht="15" customHeight="1" x14ac:dyDescent="0.2"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</row>
    <row r="599" spans="5:25" ht="15" customHeight="1" x14ac:dyDescent="0.2"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</row>
    <row r="600" spans="5:25" ht="15" customHeight="1" x14ac:dyDescent="0.2"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</row>
    <row r="601" spans="5:25" ht="15" customHeight="1" x14ac:dyDescent="0.2"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</row>
    <row r="602" spans="5:25" ht="15" customHeight="1" x14ac:dyDescent="0.2"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</row>
    <row r="603" spans="5:25" ht="15" customHeight="1" x14ac:dyDescent="0.2"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</row>
    <row r="604" spans="5:25" ht="15" customHeight="1" x14ac:dyDescent="0.2"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</row>
    <row r="605" spans="5:25" ht="15" customHeight="1" x14ac:dyDescent="0.2"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</row>
    <row r="606" spans="5:25" ht="15" customHeight="1" x14ac:dyDescent="0.2"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</row>
    <row r="607" spans="5:25" ht="15" customHeight="1" x14ac:dyDescent="0.2"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</row>
    <row r="608" spans="5:25" ht="15" customHeight="1" x14ac:dyDescent="0.2"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</row>
    <row r="609" spans="5:25" ht="15" customHeight="1" x14ac:dyDescent="0.2"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</row>
    <row r="610" spans="5:25" ht="15" customHeight="1" x14ac:dyDescent="0.2"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</row>
    <row r="611" spans="5:25" ht="15" customHeight="1" x14ac:dyDescent="0.2"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</row>
    <row r="612" spans="5:25" ht="15" customHeight="1" x14ac:dyDescent="0.2"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</row>
    <row r="613" spans="5:25" ht="15" customHeight="1" x14ac:dyDescent="0.2"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</row>
    <row r="614" spans="5:25" ht="15" customHeight="1" x14ac:dyDescent="0.2"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</row>
    <row r="615" spans="5:25" ht="15" customHeight="1" x14ac:dyDescent="0.2"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</row>
    <row r="616" spans="5:25" ht="15" customHeight="1" x14ac:dyDescent="0.2"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</row>
    <row r="617" spans="5:25" ht="15" customHeight="1" x14ac:dyDescent="0.2"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</row>
    <row r="618" spans="5:25" ht="15" customHeight="1" x14ac:dyDescent="0.2"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</row>
    <row r="619" spans="5:25" ht="15" customHeight="1" x14ac:dyDescent="0.2"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</row>
    <row r="620" spans="5:25" ht="15" customHeight="1" x14ac:dyDescent="0.2"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</row>
    <row r="621" spans="5:25" ht="15" customHeight="1" x14ac:dyDescent="0.2"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</row>
    <row r="622" spans="5:25" ht="15" customHeight="1" x14ac:dyDescent="0.2"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</row>
    <row r="623" spans="5:25" ht="15" customHeight="1" x14ac:dyDescent="0.2"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</row>
    <row r="624" spans="5:25" ht="15" customHeight="1" x14ac:dyDescent="0.2"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</row>
    <row r="625" spans="5:25" ht="15" customHeight="1" x14ac:dyDescent="0.2"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</row>
    <row r="626" spans="5:25" ht="15" customHeight="1" x14ac:dyDescent="0.2"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</row>
    <row r="627" spans="5:25" ht="15" customHeight="1" x14ac:dyDescent="0.2"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</row>
    <row r="628" spans="5:25" ht="15" customHeight="1" x14ac:dyDescent="0.2"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</row>
    <row r="629" spans="5:25" ht="15" customHeight="1" x14ac:dyDescent="0.2"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</row>
    <row r="630" spans="5:25" ht="15" customHeight="1" x14ac:dyDescent="0.2"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</row>
    <row r="631" spans="5:25" ht="15" customHeight="1" x14ac:dyDescent="0.2"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</row>
    <row r="632" spans="5:25" ht="15" customHeight="1" x14ac:dyDescent="0.2"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</row>
    <row r="633" spans="5:25" ht="15" customHeight="1" x14ac:dyDescent="0.2"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</row>
    <row r="634" spans="5:25" ht="15" customHeight="1" x14ac:dyDescent="0.2"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</row>
    <row r="635" spans="5:25" ht="15" customHeight="1" x14ac:dyDescent="0.2"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</row>
    <row r="636" spans="5:25" ht="15" customHeight="1" x14ac:dyDescent="0.2"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</row>
    <row r="637" spans="5:25" ht="15" customHeight="1" x14ac:dyDescent="0.2"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</row>
    <row r="638" spans="5:25" ht="15" customHeight="1" x14ac:dyDescent="0.2"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</row>
    <row r="639" spans="5:25" ht="15" customHeight="1" x14ac:dyDescent="0.2"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</row>
    <row r="640" spans="5:25" ht="15" customHeight="1" x14ac:dyDescent="0.2"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</row>
    <row r="641" spans="5:25" ht="15" customHeight="1" x14ac:dyDescent="0.2"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</row>
    <row r="642" spans="5:25" ht="15" customHeight="1" x14ac:dyDescent="0.2"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</row>
    <row r="643" spans="5:25" ht="15" customHeight="1" x14ac:dyDescent="0.2"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</row>
    <row r="644" spans="5:25" ht="15" customHeight="1" x14ac:dyDescent="0.2"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</row>
    <row r="645" spans="5:25" ht="15" customHeight="1" x14ac:dyDescent="0.2"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</row>
    <row r="646" spans="5:25" ht="15" customHeight="1" x14ac:dyDescent="0.2"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</row>
    <row r="647" spans="5:25" ht="15" customHeight="1" x14ac:dyDescent="0.2"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</row>
    <row r="648" spans="5:25" ht="15" customHeight="1" x14ac:dyDescent="0.2"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</row>
    <row r="649" spans="5:25" ht="15" customHeight="1" x14ac:dyDescent="0.2"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</row>
    <row r="650" spans="5:25" ht="15" customHeight="1" x14ac:dyDescent="0.2"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</row>
    <row r="651" spans="5:25" ht="15" customHeight="1" x14ac:dyDescent="0.2"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</row>
    <row r="652" spans="5:25" ht="15" customHeight="1" x14ac:dyDescent="0.2"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</row>
    <row r="653" spans="5:25" ht="15" customHeight="1" x14ac:dyDescent="0.2"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</row>
    <row r="654" spans="5:25" ht="15" customHeight="1" x14ac:dyDescent="0.2"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</row>
    <row r="655" spans="5:25" ht="15" customHeight="1" x14ac:dyDescent="0.2"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</row>
    <row r="656" spans="5:25" ht="15" customHeight="1" x14ac:dyDescent="0.2"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</row>
    <row r="657" spans="5:25" ht="15" customHeight="1" x14ac:dyDescent="0.2"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</row>
    <row r="658" spans="5:25" ht="15" customHeight="1" x14ac:dyDescent="0.2"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</row>
    <row r="659" spans="5:25" ht="15" customHeight="1" x14ac:dyDescent="0.2"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</row>
    <row r="660" spans="5:25" ht="15" customHeight="1" x14ac:dyDescent="0.2"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</row>
    <row r="661" spans="5:25" ht="15" customHeight="1" x14ac:dyDescent="0.2"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</row>
    <row r="662" spans="5:25" ht="15" customHeight="1" x14ac:dyDescent="0.2"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</row>
    <row r="663" spans="5:25" ht="15" customHeight="1" x14ac:dyDescent="0.2"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</row>
    <row r="664" spans="5:25" ht="15" customHeight="1" x14ac:dyDescent="0.2"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</row>
    <row r="665" spans="5:25" ht="15" customHeight="1" x14ac:dyDescent="0.2"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</row>
    <row r="666" spans="5:25" ht="15" customHeight="1" x14ac:dyDescent="0.2"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</row>
    <row r="667" spans="5:25" ht="15" customHeight="1" x14ac:dyDescent="0.2"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</row>
    <row r="668" spans="5:25" ht="15" customHeight="1" x14ac:dyDescent="0.2"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</row>
    <row r="669" spans="5:25" ht="15" customHeight="1" x14ac:dyDescent="0.2"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</row>
    <row r="670" spans="5:25" ht="15" customHeight="1" x14ac:dyDescent="0.2"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</row>
    <row r="671" spans="5:25" ht="15" customHeight="1" x14ac:dyDescent="0.2"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</row>
    <row r="672" spans="5:25" ht="15" customHeight="1" x14ac:dyDescent="0.2"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</row>
    <row r="673" spans="5:25" ht="15" customHeight="1" x14ac:dyDescent="0.2"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</row>
    <row r="674" spans="5:25" ht="15" customHeight="1" x14ac:dyDescent="0.2"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</row>
    <row r="675" spans="5:25" ht="15" customHeight="1" x14ac:dyDescent="0.2"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</row>
    <row r="676" spans="5:25" ht="15" customHeight="1" x14ac:dyDescent="0.2"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</row>
    <row r="677" spans="5:25" ht="15" customHeight="1" x14ac:dyDescent="0.2"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</row>
    <row r="678" spans="5:25" ht="15" customHeight="1" x14ac:dyDescent="0.2"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</row>
    <row r="679" spans="5:25" ht="15" customHeight="1" x14ac:dyDescent="0.2"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</row>
    <row r="680" spans="5:25" ht="15" customHeight="1" x14ac:dyDescent="0.2"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</row>
    <row r="681" spans="5:25" ht="15" customHeight="1" x14ac:dyDescent="0.2"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</row>
    <row r="682" spans="5:25" ht="15" customHeight="1" x14ac:dyDescent="0.2"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</row>
    <row r="683" spans="5:25" ht="15" customHeight="1" x14ac:dyDescent="0.2"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</row>
    <row r="684" spans="5:25" ht="15" customHeight="1" x14ac:dyDescent="0.2"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</row>
    <row r="685" spans="5:25" ht="15" customHeight="1" x14ac:dyDescent="0.2"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</row>
    <row r="686" spans="5:25" ht="15" customHeight="1" x14ac:dyDescent="0.2"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</row>
    <row r="687" spans="5:25" ht="15" customHeight="1" x14ac:dyDescent="0.2"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</row>
    <row r="688" spans="5:25" ht="15" customHeight="1" x14ac:dyDescent="0.2"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</row>
    <row r="689" spans="5:25" ht="15" customHeight="1" x14ac:dyDescent="0.2"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</row>
    <row r="690" spans="5:25" ht="15" customHeight="1" x14ac:dyDescent="0.2"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</row>
    <row r="691" spans="5:25" ht="15" customHeight="1" x14ac:dyDescent="0.2"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</row>
    <row r="692" spans="5:25" ht="15" customHeight="1" x14ac:dyDescent="0.2"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</row>
    <row r="693" spans="5:25" ht="15" customHeight="1" x14ac:dyDescent="0.2"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</row>
    <row r="694" spans="5:25" ht="15" customHeight="1" x14ac:dyDescent="0.2"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</row>
    <row r="695" spans="5:25" ht="15" customHeight="1" x14ac:dyDescent="0.2"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</row>
    <row r="696" spans="5:25" ht="15" customHeight="1" x14ac:dyDescent="0.2"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</row>
    <row r="697" spans="5:25" ht="15" customHeight="1" x14ac:dyDescent="0.2"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</row>
    <row r="698" spans="5:25" ht="15" customHeight="1" x14ac:dyDescent="0.2"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</row>
    <row r="699" spans="5:25" ht="15" customHeight="1" x14ac:dyDescent="0.2"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</row>
    <row r="700" spans="5:25" ht="15" customHeight="1" x14ac:dyDescent="0.2"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</row>
    <row r="701" spans="5:25" ht="15" customHeight="1" x14ac:dyDescent="0.2"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</row>
    <row r="702" spans="5:25" ht="15" customHeight="1" x14ac:dyDescent="0.2"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</row>
    <row r="703" spans="5:25" ht="15" customHeight="1" x14ac:dyDescent="0.2"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</row>
    <row r="704" spans="5:25" ht="15" customHeight="1" x14ac:dyDescent="0.2"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</row>
    <row r="705" spans="5:25" ht="15" customHeight="1" x14ac:dyDescent="0.2"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</row>
    <row r="706" spans="5:25" ht="15" customHeight="1" x14ac:dyDescent="0.2"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</row>
    <row r="707" spans="5:25" ht="15" customHeight="1" x14ac:dyDescent="0.2"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</row>
    <row r="708" spans="5:25" ht="15" customHeight="1" x14ac:dyDescent="0.2"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</row>
    <row r="709" spans="5:25" ht="15" customHeight="1" x14ac:dyDescent="0.2"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</row>
    <row r="710" spans="5:25" ht="15" customHeight="1" x14ac:dyDescent="0.2"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</row>
    <row r="711" spans="5:25" ht="15" customHeight="1" x14ac:dyDescent="0.2"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</row>
    <row r="712" spans="5:25" ht="15" customHeight="1" x14ac:dyDescent="0.2"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</row>
    <row r="713" spans="5:25" ht="15" customHeight="1" x14ac:dyDescent="0.2"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</row>
    <row r="714" spans="5:25" ht="15" customHeight="1" x14ac:dyDescent="0.2"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</row>
    <row r="715" spans="5:25" ht="15" customHeight="1" x14ac:dyDescent="0.2"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</row>
    <row r="716" spans="5:25" ht="15" customHeight="1" x14ac:dyDescent="0.2"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</row>
    <row r="717" spans="5:25" ht="15" customHeight="1" x14ac:dyDescent="0.2"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</row>
    <row r="718" spans="5:25" ht="15" customHeight="1" x14ac:dyDescent="0.2"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</row>
    <row r="719" spans="5:25" ht="15" customHeight="1" x14ac:dyDescent="0.2"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</row>
    <row r="720" spans="5:25" ht="15" customHeight="1" x14ac:dyDescent="0.2"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</row>
    <row r="721" spans="5:25" ht="15" customHeight="1" x14ac:dyDescent="0.2"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</row>
    <row r="722" spans="5:25" ht="15" customHeight="1" x14ac:dyDescent="0.2"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</row>
    <row r="723" spans="5:25" ht="15" customHeight="1" x14ac:dyDescent="0.2"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</row>
    <row r="724" spans="5:25" ht="15" customHeight="1" x14ac:dyDescent="0.2"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</row>
    <row r="725" spans="5:25" ht="15" customHeight="1" x14ac:dyDescent="0.2"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</row>
    <row r="726" spans="5:25" ht="15" customHeight="1" x14ac:dyDescent="0.2"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</row>
    <row r="727" spans="5:25" ht="15" customHeight="1" x14ac:dyDescent="0.2"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</row>
    <row r="728" spans="5:25" ht="15" customHeight="1" x14ac:dyDescent="0.2"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</row>
    <row r="729" spans="5:25" ht="15" customHeight="1" x14ac:dyDescent="0.2"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</row>
    <row r="730" spans="5:25" ht="15" customHeight="1" x14ac:dyDescent="0.2"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</row>
    <row r="731" spans="5:25" ht="15" customHeight="1" x14ac:dyDescent="0.2"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</row>
    <row r="732" spans="5:25" ht="15" customHeight="1" x14ac:dyDescent="0.2"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</row>
    <row r="733" spans="5:25" ht="15" customHeight="1" x14ac:dyDescent="0.2"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</row>
    <row r="734" spans="5:25" ht="15" customHeight="1" x14ac:dyDescent="0.2"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</row>
    <row r="735" spans="5:25" ht="15" customHeight="1" x14ac:dyDescent="0.2"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</row>
    <row r="736" spans="5:25" ht="15" customHeight="1" x14ac:dyDescent="0.2"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</row>
    <row r="737" spans="5:25" ht="15" customHeight="1" x14ac:dyDescent="0.2"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</row>
    <row r="738" spans="5:25" ht="15" customHeight="1" x14ac:dyDescent="0.2"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</row>
    <row r="739" spans="5:25" ht="15" customHeight="1" x14ac:dyDescent="0.2"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</row>
    <row r="740" spans="5:25" ht="15" customHeight="1" x14ac:dyDescent="0.2"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</row>
    <row r="741" spans="5:25" ht="15" customHeight="1" x14ac:dyDescent="0.2"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</row>
    <row r="742" spans="5:25" ht="15" customHeight="1" x14ac:dyDescent="0.2"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</row>
    <row r="743" spans="5:25" ht="15" customHeight="1" x14ac:dyDescent="0.2"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</row>
    <row r="744" spans="5:25" ht="15" customHeight="1" x14ac:dyDescent="0.2"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</row>
    <row r="745" spans="5:25" ht="15" customHeight="1" x14ac:dyDescent="0.2"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</row>
    <row r="746" spans="5:25" ht="15" customHeight="1" x14ac:dyDescent="0.2"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</row>
    <row r="747" spans="5:25" ht="15" customHeight="1" x14ac:dyDescent="0.2"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</row>
    <row r="748" spans="5:25" ht="15" customHeight="1" x14ac:dyDescent="0.2"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</row>
    <row r="749" spans="5:25" ht="15" customHeight="1" x14ac:dyDescent="0.2"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</row>
    <row r="750" spans="5:25" ht="15" customHeight="1" x14ac:dyDescent="0.2"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</row>
    <row r="751" spans="5:25" ht="15" customHeight="1" x14ac:dyDescent="0.2"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</row>
    <row r="752" spans="5:25" ht="15" customHeight="1" x14ac:dyDescent="0.2"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</row>
    <row r="753" spans="5:25" ht="15" customHeight="1" x14ac:dyDescent="0.2"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</row>
    <row r="754" spans="5:25" ht="15" customHeight="1" x14ac:dyDescent="0.2"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</row>
    <row r="755" spans="5:25" ht="15" customHeight="1" x14ac:dyDescent="0.2"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</row>
    <row r="756" spans="5:25" ht="15" customHeight="1" x14ac:dyDescent="0.2"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</row>
    <row r="757" spans="5:25" ht="15" customHeight="1" x14ac:dyDescent="0.2"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</row>
    <row r="758" spans="5:25" ht="15" customHeight="1" x14ac:dyDescent="0.2"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</row>
    <row r="759" spans="5:25" ht="15" customHeight="1" x14ac:dyDescent="0.2"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</row>
    <row r="760" spans="5:25" ht="15" customHeight="1" x14ac:dyDescent="0.2"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</row>
    <row r="761" spans="5:25" ht="15" customHeight="1" x14ac:dyDescent="0.2"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</row>
    <row r="762" spans="5:25" ht="15" customHeight="1" x14ac:dyDescent="0.2"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</row>
    <row r="763" spans="5:25" ht="15" customHeight="1" x14ac:dyDescent="0.2"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</row>
    <row r="764" spans="5:25" ht="15" customHeight="1" x14ac:dyDescent="0.2"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</row>
    <row r="765" spans="5:25" ht="15" customHeight="1" x14ac:dyDescent="0.2"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</row>
    <row r="766" spans="5:25" ht="15" customHeight="1" x14ac:dyDescent="0.2"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</row>
    <row r="767" spans="5:25" ht="15" customHeight="1" x14ac:dyDescent="0.2"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</row>
    <row r="768" spans="5:25" ht="15" customHeight="1" x14ac:dyDescent="0.2"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</row>
    <row r="769" spans="5:25" ht="15" customHeight="1" x14ac:dyDescent="0.2"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</row>
    <row r="770" spans="5:25" ht="15" customHeight="1" x14ac:dyDescent="0.2"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</row>
    <row r="771" spans="5:25" ht="15" customHeight="1" x14ac:dyDescent="0.2"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</row>
    <row r="772" spans="5:25" ht="15" customHeight="1" x14ac:dyDescent="0.2"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</row>
    <row r="773" spans="5:25" ht="15" customHeight="1" x14ac:dyDescent="0.2"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</row>
    <row r="774" spans="5:25" ht="15" customHeight="1" x14ac:dyDescent="0.2"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</row>
    <row r="775" spans="5:25" ht="15" customHeight="1" x14ac:dyDescent="0.2"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</row>
    <row r="776" spans="5:25" ht="15" customHeight="1" x14ac:dyDescent="0.2"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</row>
    <row r="777" spans="5:25" ht="15" customHeight="1" x14ac:dyDescent="0.2"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</row>
    <row r="778" spans="5:25" ht="15" customHeight="1" x14ac:dyDescent="0.2"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</row>
    <row r="779" spans="5:25" ht="15" customHeight="1" x14ac:dyDescent="0.2"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</row>
    <row r="780" spans="5:25" ht="15" customHeight="1" x14ac:dyDescent="0.2"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</row>
    <row r="781" spans="5:25" ht="15" customHeight="1" x14ac:dyDescent="0.2"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</row>
    <row r="782" spans="5:25" ht="15" customHeight="1" x14ac:dyDescent="0.2"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</row>
    <row r="783" spans="5:25" ht="15" customHeight="1" x14ac:dyDescent="0.2"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</row>
    <row r="784" spans="5:25" ht="15" customHeight="1" x14ac:dyDescent="0.2"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</row>
    <row r="785" spans="5:25" ht="15" customHeight="1" x14ac:dyDescent="0.2"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</row>
    <row r="786" spans="5:25" ht="15" customHeight="1" x14ac:dyDescent="0.2"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</row>
    <row r="787" spans="5:25" ht="15" customHeight="1" x14ac:dyDescent="0.2"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</row>
    <row r="788" spans="5:25" ht="15" customHeight="1" x14ac:dyDescent="0.2"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</row>
    <row r="789" spans="5:25" ht="15" customHeight="1" x14ac:dyDescent="0.2"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</row>
    <row r="790" spans="5:25" ht="15" customHeight="1" x14ac:dyDescent="0.2"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</row>
    <row r="791" spans="5:25" ht="15" customHeight="1" x14ac:dyDescent="0.2"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</row>
    <row r="792" spans="5:25" ht="15" customHeight="1" x14ac:dyDescent="0.2"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</row>
    <row r="793" spans="5:25" ht="15" customHeight="1" x14ac:dyDescent="0.2"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</row>
    <row r="794" spans="5:25" ht="15" customHeight="1" x14ac:dyDescent="0.2"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</row>
    <row r="795" spans="5:25" ht="15" customHeight="1" x14ac:dyDescent="0.2"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</row>
    <row r="796" spans="5:25" ht="15" customHeight="1" x14ac:dyDescent="0.2"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</row>
    <row r="797" spans="5:25" ht="15" customHeight="1" x14ac:dyDescent="0.2"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</row>
    <row r="798" spans="5:25" ht="15" customHeight="1" x14ac:dyDescent="0.2"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</row>
    <row r="799" spans="5:25" ht="15" customHeight="1" x14ac:dyDescent="0.2"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</row>
    <row r="800" spans="5:25" ht="15" customHeight="1" x14ac:dyDescent="0.2"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</row>
    <row r="801" spans="5:25" ht="15" customHeight="1" x14ac:dyDescent="0.2"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</row>
    <row r="802" spans="5:25" ht="15" customHeight="1" x14ac:dyDescent="0.2"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</row>
    <row r="803" spans="5:25" ht="15" customHeight="1" x14ac:dyDescent="0.2"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</row>
    <row r="804" spans="5:25" ht="15" customHeight="1" x14ac:dyDescent="0.2"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</row>
    <row r="805" spans="5:25" ht="15" customHeight="1" x14ac:dyDescent="0.2"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</row>
    <row r="806" spans="5:25" ht="15" customHeight="1" x14ac:dyDescent="0.2"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</row>
    <row r="807" spans="5:25" ht="15" customHeight="1" x14ac:dyDescent="0.2"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</row>
    <row r="808" spans="5:25" ht="15" customHeight="1" x14ac:dyDescent="0.2"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</row>
    <row r="809" spans="5:25" ht="15" customHeight="1" x14ac:dyDescent="0.2"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</row>
    <row r="810" spans="5:25" ht="15" customHeight="1" x14ac:dyDescent="0.2"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</row>
    <row r="811" spans="5:25" ht="15" customHeight="1" x14ac:dyDescent="0.2"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</row>
    <row r="812" spans="5:25" ht="15" customHeight="1" x14ac:dyDescent="0.2"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</row>
    <row r="813" spans="5:25" ht="15" customHeight="1" x14ac:dyDescent="0.2"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</row>
    <row r="814" spans="5:25" ht="15" customHeight="1" x14ac:dyDescent="0.2"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</row>
    <row r="815" spans="5:25" ht="15" customHeight="1" x14ac:dyDescent="0.2"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</row>
    <row r="816" spans="5:25" ht="15" customHeight="1" x14ac:dyDescent="0.2"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</row>
    <row r="817" spans="5:25" ht="15" customHeight="1" x14ac:dyDescent="0.2"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</row>
    <row r="818" spans="5:25" ht="15" customHeight="1" x14ac:dyDescent="0.2"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</row>
    <row r="819" spans="5:25" ht="15" customHeight="1" x14ac:dyDescent="0.2"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</row>
    <row r="820" spans="5:25" ht="15" customHeight="1" x14ac:dyDescent="0.2"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</row>
    <row r="821" spans="5:25" ht="15" customHeight="1" x14ac:dyDescent="0.2"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</row>
    <row r="822" spans="5:25" ht="15" customHeight="1" x14ac:dyDescent="0.2"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</row>
    <row r="823" spans="5:25" ht="15" customHeight="1" x14ac:dyDescent="0.2"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</row>
    <row r="824" spans="5:25" ht="15" customHeight="1" x14ac:dyDescent="0.2"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</row>
    <row r="825" spans="5:25" ht="15" customHeight="1" x14ac:dyDescent="0.2"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</row>
    <row r="826" spans="5:25" ht="15" customHeight="1" x14ac:dyDescent="0.2"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</row>
    <row r="827" spans="5:25" ht="15" customHeight="1" x14ac:dyDescent="0.2"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</row>
    <row r="828" spans="5:25" ht="15" customHeight="1" x14ac:dyDescent="0.2"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</row>
    <row r="829" spans="5:25" ht="15" customHeight="1" x14ac:dyDescent="0.2"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</row>
    <row r="830" spans="5:25" ht="15" customHeight="1" x14ac:dyDescent="0.2"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</row>
    <row r="831" spans="5:25" ht="15" customHeight="1" x14ac:dyDescent="0.2"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</row>
    <row r="832" spans="5:25" ht="15" customHeight="1" x14ac:dyDescent="0.2"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</row>
    <row r="833" spans="5:25" ht="15" customHeight="1" x14ac:dyDescent="0.2"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</row>
    <row r="834" spans="5:25" ht="15" customHeight="1" x14ac:dyDescent="0.2"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</row>
    <row r="835" spans="5:25" ht="15" customHeight="1" x14ac:dyDescent="0.2"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</row>
    <row r="836" spans="5:25" ht="15" customHeight="1" x14ac:dyDescent="0.2"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</row>
    <row r="837" spans="5:25" ht="15" customHeight="1" x14ac:dyDescent="0.2"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</row>
    <row r="838" spans="5:25" ht="15" customHeight="1" x14ac:dyDescent="0.2"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</row>
    <row r="839" spans="5:25" ht="15" customHeight="1" x14ac:dyDescent="0.2"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</row>
    <row r="840" spans="5:25" ht="15" customHeight="1" x14ac:dyDescent="0.2"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</row>
    <row r="841" spans="5:25" ht="15" customHeight="1" x14ac:dyDescent="0.2"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</row>
    <row r="842" spans="5:25" ht="15" customHeight="1" x14ac:dyDescent="0.2"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</row>
    <row r="843" spans="5:25" ht="15" customHeight="1" x14ac:dyDescent="0.2"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</row>
    <row r="844" spans="5:25" ht="15" customHeight="1" x14ac:dyDescent="0.2"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</row>
    <row r="845" spans="5:25" ht="15" customHeight="1" x14ac:dyDescent="0.2"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</row>
    <row r="846" spans="5:25" ht="15" customHeight="1" x14ac:dyDescent="0.2"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</row>
    <row r="847" spans="5:25" ht="15" customHeight="1" x14ac:dyDescent="0.2"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</row>
    <row r="848" spans="5:25" ht="15" customHeight="1" x14ac:dyDescent="0.2"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</row>
    <row r="849" spans="5:25" ht="15" customHeight="1" x14ac:dyDescent="0.2"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</row>
    <row r="850" spans="5:25" ht="15" customHeight="1" x14ac:dyDescent="0.2"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</row>
    <row r="851" spans="5:25" ht="15" customHeight="1" x14ac:dyDescent="0.2"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</row>
    <row r="852" spans="5:25" ht="15" customHeight="1" x14ac:dyDescent="0.2"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</row>
    <row r="853" spans="5:25" ht="15" customHeight="1" x14ac:dyDescent="0.2"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</row>
    <row r="854" spans="5:25" ht="15" customHeight="1" x14ac:dyDescent="0.2"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</row>
    <row r="855" spans="5:25" ht="15" customHeight="1" x14ac:dyDescent="0.2"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</row>
    <row r="856" spans="5:25" ht="15" customHeight="1" x14ac:dyDescent="0.2"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</row>
    <row r="857" spans="5:25" ht="15" customHeight="1" x14ac:dyDescent="0.2"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</row>
    <row r="858" spans="5:25" ht="15" customHeight="1" x14ac:dyDescent="0.2"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</row>
    <row r="859" spans="5:25" ht="15" customHeight="1" x14ac:dyDescent="0.2"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</row>
    <row r="860" spans="5:25" ht="15" customHeight="1" x14ac:dyDescent="0.2"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</row>
    <row r="861" spans="5:25" ht="15" customHeight="1" x14ac:dyDescent="0.2"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</row>
    <row r="862" spans="5:25" ht="15" customHeight="1" x14ac:dyDescent="0.2"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</row>
    <row r="863" spans="5:25" ht="15" customHeight="1" x14ac:dyDescent="0.2"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</row>
    <row r="864" spans="5:25" ht="15" customHeight="1" x14ac:dyDescent="0.2"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</row>
    <row r="865" spans="5:25" ht="15" customHeight="1" x14ac:dyDescent="0.2"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</row>
    <row r="866" spans="5:25" ht="15" customHeight="1" x14ac:dyDescent="0.2"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</row>
    <row r="867" spans="5:25" ht="15" customHeight="1" x14ac:dyDescent="0.2"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</row>
    <row r="868" spans="5:25" ht="15" customHeight="1" x14ac:dyDescent="0.2"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</row>
    <row r="869" spans="5:25" ht="15" customHeight="1" x14ac:dyDescent="0.2"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</row>
    <row r="870" spans="5:25" ht="15" customHeight="1" x14ac:dyDescent="0.2"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</row>
    <row r="871" spans="5:25" ht="15" customHeight="1" x14ac:dyDescent="0.2"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</row>
    <row r="872" spans="5:25" ht="15" customHeight="1" x14ac:dyDescent="0.2"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</row>
    <row r="873" spans="5:25" ht="15" customHeight="1" x14ac:dyDescent="0.2"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</row>
    <row r="874" spans="5:25" ht="15" customHeight="1" x14ac:dyDescent="0.2"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</row>
    <row r="875" spans="5:25" ht="15" customHeight="1" x14ac:dyDescent="0.2"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</row>
    <row r="876" spans="5:25" ht="15" customHeight="1" x14ac:dyDescent="0.2"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</row>
    <row r="877" spans="5:25" ht="15" customHeight="1" x14ac:dyDescent="0.2"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</row>
    <row r="878" spans="5:25" ht="15" customHeight="1" x14ac:dyDescent="0.2"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</row>
    <row r="879" spans="5:25" ht="15" customHeight="1" x14ac:dyDescent="0.2"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</row>
    <row r="880" spans="5:25" ht="15" customHeight="1" x14ac:dyDescent="0.2"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</row>
    <row r="881" spans="5:25" ht="15" customHeight="1" x14ac:dyDescent="0.2"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</row>
    <row r="882" spans="5:25" ht="15" customHeight="1" x14ac:dyDescent="0.2"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</row>
    <row r="883" spans="5:25" ht="15" customHeight="1" x14ac:dyDescent="0.2"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</row>
    <row r="884" spans="5:25" ht="15" customHeight="1" x14ac:dyDescent="0.2"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</row>
    <row r="885" spans="5:25" ht="15" customHeight="1" x14ac:dyDescent="0.2"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</row>
    <row r="886" spans="5:25" ht="15" customHeight="1" x14ac:dyDescent="0.2"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</row>
    <row r="887" spans="5:25" ht="15" customHeight="1" x14ac:dyDescent="0.2"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</row>
    <row r="888" spans="5:25" ht="15" customHeight="1" x14ac:dyDescent="0.2"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</row>
    <row r="889" spans="5:25" ht="15" customHeight="1" x14ac:dyDescent="0.2"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</row>
    <row r="890" spans="5:25" ht="15" customHeight="1" x14ac:dyDescent="0.2"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</row>
    <row r="891" spans="5:25" ht="15" customHeight="1" x14ac:dyDescent="0.2"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</row>
    <row r="892" spans="5:25" ht="15" customHeight="1" x14ac:dyDescent="0.2"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</row>
    <row r="893" spans="5:25" ht="15" customHeight="1" x14ac:dyDescent="0.2"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</row>
    <row r="894" spans="5:25" ht="15" customHeight="1" x14ac:dyDescent="0.2"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</row>
    <row r="895" spans="5:25" ht="15" customHeight="1" x14ac:dyDescent="0.2"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</row>
    <row r="896" spans="5:25" ht="15" customHeight="1" x14ac:dyDescent="0.2"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</row>
    <row r="897" spans="5:25" ht="15" customHeight="1" x14ac:dyDescent="0.2"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</row>
    <row r="898" spans="5:25" ht="15" customHeight="1" x14ac:dyDescent="0.2"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</row>
    <row r="899" spans="5:25" ht="15" customHeight="1" x14ac:dyDescent="0.2"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</row>
    <row r="900" spans="5:25" ht="15" customHeight="1" x14ac:dyDescent="0.2"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</row>
    <row r="901" spans="5:25" ht="15" customHeight="1" x14ac:dyDescent="0.2"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</row>
    <row r="902" spans="5:25" ht="15" customHeight="1" x14ac:dyDescent="0.2"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</row>
    <row r="903" spans="5:25" ht="15" customHeight="1" x14ac:dyDescent="0.2"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</row>
    <row r="904" spans="5:25" ht="15" customHeight="1" x14ac:dyDescent="0.2"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</row>
    <row r="905" spans="5:25" ht="15" customHeight="1" x14ac:dyDescent="0.2"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</row>
    <row r="906" spans="5:25" ht="15" customHeight="1" x14ac:dyDescent="0.2"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</row>
    <row r="907" spans="5:25" ht="15" customHeight="1" x14ac:dyDescent="0.2"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</row>
    <row r="908" spans="5:25" ht="15" customHeight="1" x14ac:dyDescent="0.2"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</row>
    <row r="909" spans="5:25" ht="15" customHeight="1" x14ac:dyDescent="0.2"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</row>
    <row r="910" spans="5:25" ht="15" customHeight="1" x14ac:dyDescent="0.2"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</row>
    <row r="911" spans="5:25" ht="15" customHeight="1" x14ac:dyDescent="0.2"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</row>
    <row r="912" spans="5:25" ht="15" customHeight="1" x14ac:dyDescent="0.2"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</row>
    <row r="913" spans="5:25" ht="15" customHeight="1" x14ac:dyDescent="0.2"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</row>
    <row r="914" spans="5:25" ht="15" customHeight="1" x14ac:dyDescent="0.2"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</row>
    <row r="915" spans="5:25" ht="15" customHeight="1" x14ac:dyDescent="0.2"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</row>
    <row r="916" spans="5:25" ht="15" customHeight="1" x14ac:dyDescent="0.2"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</row>
    <row r="917" spans="5:25" ht="15" customHeight="1" x14ac:dyDescent="0.2"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</row>
    <row r="918" spans="5:25" ht="15" customHeight="1" x14ac:dyDescent="0.2"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</row>
    <row r="919" spans="5:25" ht="15" customHeight="1" x14ac:dyDescent="0.2"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</row>
    <row r="920" spans="5:25" ht="15" customHeight="1" x14ac:dyDescent="0.2"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</row>
    <row r="921" spans="5:25" ht="15" customHeight="1" x14ac:dyDescent="0.2"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</row>
    <row r="922" spans="5:25" ht="15" customHeight="1" x14ac:dyDescent="0.2"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</row>
    <row r="923" spans="5:25" ht="15" customHeight="1" x14ac:dyDescent="0.2"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</row>
    <row r="924" spans="5:25" ht="15" customHeight="1" x14ac:dyDescent="0.2"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</row>
    <row r="925" spans="5:25" ht="15" customHeight="1" x14ac:dyDescent="0.2"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</row>
    <row r="926" spans="5:25" ht="15" customHeight="1" x14ac:dyDescent="0.2"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</row>
    <row r="927" spans="5:25" ht="15" customHeight="1" x14ac:dyDescent="0.2"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</row>
    <row r="928" spans="5:25" ht="15" customHeight="1" x14ac:dyDescent="0.2"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</row>
    <row r="929" spans="5:25" ht="15" customHeight="1" x14ac:dyDescent="0.2"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</row>
    <row r="930" spans="5:25" ht="15" customHeight="1" x14ac:dyDescent="0.2"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</row>
    <row r="931" spans="5:25" ht="15" customHeight="1" x14ac:dyDescent="0.2"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</row>
    <row r="932" spans="5:25" ht="15" customHeight="1" x14ac:dyDescent="0.2"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</row>
    <row r="933" spans="5:25" ht="15" customHeight="1" x14ac:dyDescent="0.2"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</row>
    <row r="934" spans="5:25" ht="15" customHeight="1" x14ac:dyDescent="0.2"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</row>
    <row r="935" spans="5:25" ht="15" customHeight="1" x14ac:dyDescent="0.2"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</row>
    <row r="936" spans="5:25" ht="15" customHeight="1" x14ac:dyDescent="0.2"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</row>
    <row r="937" spans="5:25" ht="15" customHeight="1" x14ac:dyDescent="0.2"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</row>
    <row r="938" spans="5:25" ht="15" customHeight="1" x14ac:dyDescent="0.2"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</row>
    <row r="939" spans="5:25" ht="15" customHeight="1" x14ac:dyDescent="0.2"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</row>
    <row r="940" spans="5:25" ht="15" customHeight="1" x14ac:dyDescent="0.2"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</row>
    <row r="941" spans="5:25" ht="15" customHeight="1" x14ac:dyDescent="0.2"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</row>
    <row r="942" spans="5:25" ht="15" customHeight="1" x14ac:dyDescent="0.2"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</row>
    <row r="943" spans="5:25" ht="15" customHeight="1" x14ac:dyDescent="0.2"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</row>
    <row r="944" spans="5:25" ht="15" customHeight="1" x14ac:dyDescent="0.2"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</row>
    <row r="945" spans="5:25" ht="15" customHeight="1" x14ac:dyDescent="0.2"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</row>
    <row r="946" spans="5:25" ht="15" customHeight="1" x14ac:dyDescent="0.2"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</row>
    <row r="947" spans="5:25" ht="15" customHeight="1" x14ac:dyDescent="0.2"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</row>
    <row r="948" spans="5:25" ht="15" customHeight="1" x14ac:dyDescent="0.2"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</row>
    <row r="949" spans="5:25" ht="15" customHeight="1" x14ac:dyDescent="0.2"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</row>
    <row r="950" spans="5:25" ht="15" customHeight="1" x14ac:dyDescent="0.2"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</row>
    <row r="951" spans="5:25" ht="15" customHeight="1" x14ac:dyDescent="0.2"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</row>
    <row r="952" spans="5:25" ht="15" customHeight="1" x14ac:dyDescent="0.2"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</row>
    <row r="953" spans="5:25" ht="15" customHeight="1" x14ac:dyDescent="0.2"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</row>
    <row r="954" spans="5:25" ht="15" customHeight="1" x14ac:dyDescent="0.2"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</row>
    <row r="955" spans="5:25" ht="15" customHeight="1" x14ac:dyDescent="0.2"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</row>
    <row r="956" spans="5:25" ht="15" customHeight="1" x14ac:dyDescent="0.2"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</row>
    <row r="957" spans="5:25" ht="15" customHeight="1" x14ac:dyDescent="0.2"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</row>
    <row r="958" spans="5:25" ht="15" customHeight="1" x14ac:dyDescent="0.2"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</row>
    <row r="959" spans="5:25" ht="15" customHeight="1" x14ac:dyDescent="0.2"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</row>
    <row r="960" spans="5:25" ht="15" customHeight="1" x14ac:dyDescent="0.2"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</row>
    <row r="961" spans="5:25" ht="15" customHeight="1" x14ac:dyDescent="0.2"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</row>
    <row r="962" spans="5:25" ht="15" customHeight="1" x14ac:dyDescent="0.2"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</row>
    <row r="963" spans="5:25" ht="15" customHeight="1" x14ac:dyDescent="0.2"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</row>
    <row r="964" spans="5:25" ht="15" customHeight="1" x14ac:dyDescent="0.2"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</row>
    <row r="965" spans="5:25" ht="15" customHeight="1" x14ac:dyDescent="0.2"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</row>
    <row r="966" spans="5:25" ht="15" customHeight="1" x14ac:dyDescent="0.2"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</row>
    <row r="967" spans="5:25" ht="15" customHeight="1" x14ac:dyDescent="0.2"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</row>
    <row r="968" spans="5:25" ht="15" customHeight="1" x14ac:dyDescent="0.2"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</row>
    <row r="969" spans="5:25" ht="15" customHeight="1" x14ac:dyDescent="0.2"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</row>
    <row r="970" spans="5:25" ht="15" customHeight="1" x14ac:dyDescent="0.2"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</row>
    <row r="971" spans="5:25" ht="15" customHeight="1" x14ac:dyDescent="0.2"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</row>
    <row r="972" spans="5:25" ht="15" customHeight="1" x14ac:dyDescent="0.2"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</row>
    <row r="973" spans="5:25" ht="15" customHeight="1" x14ac:dyDescent="0.2"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</row>
    <row r="974" spans="5:25" ht="15" customHeight="1" x14ac:dyDescent="0.2"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</row>
    <row r="975" spans="5:25" ht="15" customHeight="1" x14ac:dyDescent="0.2"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</row>
    <row r="976" spans="5:25" ht="15" customHeight="1" x14ac:dyDescent="0.2"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</row>
    <row r="977" spans="5:25" ht="15" customHeight="1" x14ac:dyDescent="0.2"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</row>
    <row r="978" spans="5:25" ht="15" customHeight="1" x14ac:dyDescent="0.2"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</row>
    <row r="979" spans="5:25" ht="15" customHeight="1" x14ac:dyDescent="0.2"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</row>
    <row r="980" spans="5:25" ht="15" customHeight="1" x14ac:dyDescent="0.2"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</row>
    <row r="981" spans="5:25" ht="15" customHeight="1" x14ac:dyDescent="0.2"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</row>
    <row r="982" spans="5:25" ht="15" customHeight="1" x14ac:dyDescent="0.2"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</row>
    <row r="983" spans="5:25" ht="15" customHeight="1" x14ac:dyDescent="0.2"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</row>
    <row r="984" spans="5:25" ht="15" customHeight="1" x14ac:dyDescent="0.2"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</row>
    <row r="985" spans="5:25" ht="15" customHeight="1" x14ac:dyDescent="0.2"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</row>
    <row r="986" spans="5:25" ht="15" customHeight="1" x14ac:dyDescent="0.2"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</row>
    <row r="987" spans="5:25" ht="15" customHeight="1" x14ac:dyDescent="0.2"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</row>
    <row r="988" spans="5:25" ht="15" customHeight="1" x14ac:dyDescent="0.2"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</row>
    <row r="989" spans="5:25" ht="15" customHeight="1" x14ac:dyDescent="0.2"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</row>
    <row r="990" spans="5:25" ht="15" customHeight="1" x14ac:dyDescent="0.2"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</row>
    <row r="991" spans="5:25" ht="15" customHeight="1" x14ac:dyDescent="0.2"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</row>
    <row r="992" spans="5:25" ht="15" customHeight="1" x14ac:dyDescent="0.2"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</row>
    <row r="993" spans="5:25" ht="15" customHeight="1" x14ac:dyDescent="0.2"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</row>
    <row r="994" spans="5:25" ht="15" customHeight="1" x14ac:dyDescent="0.2"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</row>
    <row r="995" spans="5:25" ht="15" customHeight="1" x14ac:dyDescent="0.2"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</row>
    <row r="996" spans="5:25" ht="15" customHeight="1" x14ac:dyDescent="0.2"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</row>
    <row r="997" spans="5:25" ht="15" customHeight="1" x14ac:dyDescent="0.2"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</row>
    <row r="998" spans="5:25" ht="15" customHeight="1" x14ac:dyDescent="0.2"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</row>
    <row r="999" spans="5:25" ht="15" customHeight="1" x14ac:dyDescent="0.2"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</row>
    <row r="1000" spans="5:25" ht="15" customHeight="1" x14ac:dyDescent="0.2"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</row>
    <row r="1001" spans="5:25" ht="15" customHeight="1" x14ac:dyDescent="0.2"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</row>
    <row r="1002" spans="5:25" ht="15" customHeight="1" x14ac:dyDescent="0.2"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</row>
    <row r="1003" spans="5:25" ht="15" customHeight="1" x14ac:dyDescent="0.2"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</row>
    <row r="1004" spans="5:25" ht="15" customHeight="1" x14ac:dyDescent="0.2"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</row>
    <row r="1005" spans="5:25" ht="15" customHeight="1" x14ac:dyDescent="0.2"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</row>
    <row r="1006" spans="5:25" ht="15" customHeight="1" x14ac:dyDescent="0.2"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</row>
    <row r="1007" spans="5:25" ht="15" customHeight="1" x14ac:dyDescent="0.2"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</row>
    <row r="1008" spans="5:25" ht="15" customHeight="1" x14ac:dyDescent="0.2"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</row>
    <row r="1009" spans="5:25" ht="15" customHeight="1" x14ac:dyDescent="0.2"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</row>
    <row r="1010" spans="5:25" ht="15" customHeight="1" x14ac:dyDescent="0.2"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</row>
    <row r="1011" spans="5:25" ht="15" customHeight="1" x14ac:dyDescent="0.2"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</row>
    <row r="1012" spans="5:25" ht="15" customHeight="1" x14ac:dyDescent="0.2"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</row>
    <row r="1013" spans="5:25" ht="15" customHeight="1" x14ac:dyDescent="0.2"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</row>
    <row r="1014" spans="5:25" ht="15" customHeight="1" x14ac:dyDescent="0.2"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</row>
    <row r="1015" spans="5:25" ht="15" customHeight="1" x14ac:dyDescent="0.2"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</row>
    <row r="1016" spans="5:25" ht="15" customHeight="1" x14ac:dyDescent="0.2"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</row>
    <row r="1017" spans="5:25" ht="15" customHeight="1" x14ac:dyDescent="0.2"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</row>
    <row r="1018" spans="5:25" ht="15" customHeight="1" x14ac:dyDescent="0.2"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</row>
    <row r="1019" spans="5:25" ht="15" customHeight="1" x14ac:dyDescent="0.2"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</row>
    <row r="1020" spans="5:25" ht="15" customHeight="1" x14ac:dyDescent="0.2"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</row>
    <row r="1021" spans="5:25" ht="15" customHeight="1" x14ac:dyDescent="0.2"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</row>
    <row r="1022" spans="5:25" ht="15" customHeight="1" x14ac:dyDescent="0.2"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</row>
    <row r="1023" spans="5:25" ht="15" customHeight="1" x14ac:dyDescent="0.2"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</row>
    <row r="1024" spans="5:25" ht="15" customHeight="1" x14ac:dyDescent="0.2"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</row>
    <row r="1025" spans="5:25" ht="15" customHeight="1" x14ac:dyDescent="0.2"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</row>
    <row r="1026" spans="5:25" ht="15" customHeight="1" x14ac:dyDescent="0.2"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</row>
    <row r="1027" spans="5:25" ht="15" customHeight="1" x14ac:dyDescent="0.2"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</row>
    <row r="1028" spans="5:25" ht="15" customHeight="1" x14ac:dyDescent="0.2"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</row>
    <row r="1029" spans="5:25" ht="15" customHeight="1" x14ac:dyDescent="0.2"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10"/>
      <c r="U1029" s="10"/>
      <c r="V1029" s="10"/>
      <c r="W1029" s="10"/>
      <c r="X1029" s="10"/>
      <c r="Y1029" s="10"/>
    </row>
    <row r="1030" spans="5:25" ht="15" customHeight="1" x14ac:dyDescent="0.2"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</row>
    <row r="1031" spans="5:25" ht="15" customHeight="1" x14ac:dyDescent="0.2"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</row>
    <row r="1032" spans="5:25" ht="15" customHeight="1" x14ac:dyDescent="0.2"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</row>
    <row r="1033" spans="5:25" ht="15" customHeight="1" x14ac:dyDescent="0.2"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</row>
    <row r="1034" spans="5:25" ht="15" customHeight="1" x14ac:dyDescent="0.2"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10"/>
      <c r="U1034" s="10"/>
      <c r="V1034" s="10"/>
      <c r="W1034" s="10"/>
      <c r="X1034" s="10"/>
      <c r="Y1034" s="10"/>
    </row>
    <row r="1035" spans="5:25" ht="15" customHeight="1" x14ac:dyDescent="0.2"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10"/>
      <c r="U1035" s="10"/>
      <c r="V1035" s="10"/>
      <c r="W1035" s="10"/>
      <c r="X1035" s="10"/>
      <c r="Y1035" s="10"/>
    </row>
    <row r="1036" spans="5:25" ht="15" customHeight="1" x14ac:dyDescent="0.2"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10"/>
      <c r="U1036" s="10"/>
      <c r="V1036" s="10"/>
      <c r="W1036" s="10"/>
      <c r="X1036" s="10"/>
      <c r="Y1036" s="10"/>
    </row>
    <row r="1037" spans="5:25" ht="15" customHeight="1" x14ac:dyDescent="0.2"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10"/>
      <c r="U1037" s="10"/>
      <c r="V1037" s="10"/>
      <c r="W1037" s="10"/>
      <c r="X1037" s="10"/>
      <c r="Y1037" s="10"/>
    </row>
    <row r="1038" spans="5:25" ht="15" customHeight="1" x14ac:dyDescent="0.2"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10"/>
      <c r="U1038" s="10"/>
      <c r="V1038" s="10"/>
      <c r="W1038" s="10"/>
      <c r="X1038" s="10"/>
      <c r="Y1038" s="10"/>
    </row>
    <row r="1039" spans="5:25" ht="15" customHeight="1" x14ac:dyDescent="0.2"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10"/>
      <c r="U1039" s="10"/>
      <c r="V1039" s="10"/>
      <c r="W1039" s="10"/>
      <c r="X1039" s="10"/>
      <c r="Y1039" s="10"/>
    </row>
    <row r="1040" spans="5:25" ht="15" customHeight="1" x14ac:dyDescent="0.2"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10"/>
      <c r="U1040" s="10"/>
      <c r="V1040" s="10"/>
      <c r="W1040" s="10"/>
      <c r="X1040" s="10"/>
      <c r="Y1040" s="10"/>
    </row>
    <row r="1041" spans="5:25" ht="15" customHeight="1" x14ac:dyDescent="0.2"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10"/>
      <c r="U1041" s="10"/>
      <c r="V1041" s="10"/>
      <c r="W1041" s="10"/>
      <c r="X1041" s="10"/>
      <c r="Y1041" s="10"/>
    </row>
    <row r="1042" spans="5:25" ht="15" customHeight="1" x14ac:dyDescent="0.2"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10"/>
      <c r="U1042" s="10"/>
      <c r="V1042" s="10"/>
      <c r="W1042" s="10"/>
      <c r="X1042" s="10"/>
      <c r="Y1042" s="10"/>
    </row>
    <row r="1043" spans="5:25" ht="15" customHeight="1" x14ac:dyDescent="0.2"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</row>
    <row r="1044" spans="5:25" ht="15" customHeight="1" x14ac:dyDescent="0.2"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10"/>
      <c r="U1044" s="10"/>
      <c r="V1044" s="10"/>
      <c r="W1044" s="10"/>
      <c r="X1044" s="10"/>
      <c r="Y1044" s="10"/>
    </row>
    <row r="1045" spans="5:25" ht="15" customHeight="1" x14ac:dyDescent="0.2"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10"/>
      <c r="U1045" s="10"/>
      <c r="V1045" s="10"/>
      <c r="W1045" s="10"/>
      <c r="X1045" s="10"/>
      <c r="Y1045" s="10"/>
    </row>
    <row r="1046" spans="5:25" ht="15" customHeight="1" x14ac:dyDescent="0.2"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10"/>
      <c r="U1046" s="10"/>
      <c r="V1046" s="10"/>
      <c r="W1046" s="10"/>
      <c r="X1046" s="10"/>
      <c r="Y1046" s="10"/>
    </row>
    <row r="1047" spans="5:25" ht="15" customHeight="1" x14ac:dyDescent="0.2"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10"/>
      <c r="U1047" s="10"/>
      <c r="V1047" s="10"/>
      <c r="W1047" s="10"/>
      <c r="X1047" s="10"/>
      <c r="Y1047" s="10"/>
    </row>
    <row r="1048" spans="5:25" ht="15" customHeight="1" x14ac:dyDescent="0.2"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10"/>
      <c r="U1048" s="10"/>
      <c r="V1048" s="10"/>
      <c r="W1048" s="10"/>
      <c r="X1048" s="10"/>
      <c r="Y1048" s="10"/>
    </row>
    <row r="1049" spans="5:25" ht="15" customHeight="1" x14ac:dyDescent="0.2"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10"/>
      <c r="U1049" s="10"/>
      <c r="V1049" s="10"/>
      <c r="W1049" s="10"/>
      <c r="X1049" s="10"/>
      <c r="Y1049" s="10"/>
    </row>
    <row r="1050" spans="5:25" ht="15" customHeight="1" x14ac:dyDescent="0.2"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10"/>
      <c r="U1050" s="10"/>
      <c r="V1050" s="10"/>
      <c r="W1050" s="10"/>
      <c r="X1050" s="10"/>
      <c r="Y1050" s="10"/>
    </row>
    <row r="1051" spans="5:25" ht="15" customHeight="1" x14ac:dyDescent="0.2"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10"/>
      <c r="U1051" s="10"/>
      <c r="V1051" s="10"/>
      <c r="W1051" s="10"/>
      <c r="X1051" s="10"/>
      <c r="Y1051" s="10"/>
    </row>
    <row r="1052" spans="5:25" ht="15" customHeight="1" x14ac:dyDescent="0.2"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10"/>
      <c r="U1052" s="10"/>
      <c r="V1052" s="10"/>
      <c r="W1052" s="10"/>
      <c r="X1052" s="10"/>
      <c r="Y1052" s="10"/>
    </row>
    <row r="1053" spans="5:25" ht="15" customHeight="1" x14ac:dyDescent="0.2"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10"/>
      <c r="U1053" s="10"/>
      <c r="V1053" s="10"/>
      <c r="W1053" s="10"/>
      <c r="X1053" s="10"/>
      <c r="Y1053" s="10"/>
    </row>
    <row r="1054" spans="5:25" ht="15" customHeight="1" x14ac:dyDescent="0.2"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10"/>
      <c r="U1054" s="10"/>
      <c r="V1054" s="10"/>
      <c r="W1054" s="10"/>
      <c r="X1054" s="10"/>
      <c r="Y1054" s="10"/>
    </row>
    <row r="1055" spans="5:25" ht="15" customHeight="1" x14ac:dyDescent="0.2"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10"/>
      <c r="U1055" s="10"/>
      <c r="V1055" s="10"/>
      <c r="W1055" s="10"/>
      <c r="X1055" s="10"/>
      <c r="Y1055" s="10"/>
    </row>
    <row r="1056" spans="5:25" ht="15" customHeight="1" x14ac:dyDescent="0.2"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10"/>
      <c r="U1056" s="10"/>
      <c r="V1056" s="10"/>
      <c r="W1056" s="10"/>
      <c r="X1056" s="10"/>
      <c r="Y1056" s="10"/>
    </row>
    <row r="1057" spans="5:25" ht="15" customHeight="1" x14ac:dyDescent="0.2"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10"/>
      <c r="U1057" s="10"/>
      <c r="V1057" s="10"/>
      <c r="W1057" s="10"/>
      <c r="X1057" s="10"/>
      <c r="Y1057" s="10"/>
    </row>
    <row r="1058" spans="5:25" ht="15" customHeight="1" x14ac:dyDescent="0.2"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10"/>
      <c r="U1058" s="10"/>
      <c r="V1058" s="10"/>
      <c r="W1058" s="10"/>
      <c r="X1058" s="10"/>
      <c r="Y1058" s="10"/>
    </row>
    <row r="1059" spans="5:25" ht="15" customHeight="1" x14ac:dyDescent="0.2"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10"/>
      <c r="U1059" s="10"/>
      <c r="V1059" s="10"/>
      <c r="W1059" s="10"/>
      <c r="X1059" s="10"/>
      <c r="Y1059" s="10"/>
    </row>
    <row r="1060" spans="5:25" ht="15" customHeight="1" x14ac:dyDescent="0.2"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10"/>
      <c r="U1060" s="10"/>
      <c r="V1060" s="10"/>
      <c r="W1060" s="10"/>
      <c r="X1060" s="10"/>
      <c r="Y1060" s="10"/>
    </row>
    <row r="1061" spans="5:25" ht="15" customHeight="1" x14ac:dyDescent="0.2"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10"/>
      <c r="U1061" s="10"/>
      <c r="V1061" s="10"/>
      <c r="W1061" s="10"/>
      <c r="X1061" s="10"/>
      <c r="Y1061" s="10"/>
    </row>
    <row r="1062" spans="5:25" ht="15" customHeight="1" x14ac:dyDescent="0.2"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10"/>
      <c r="U1062" s="10"/>
      <c r="V1062" s="10"/>
      <c r="W1062" s="10"/>
      <c r="X1062" s="10"/>
      <c r="Y1062" s="10"/>
    </row>
    <row r="1063" spans="5:25" ht="15" customHeight="1" x14ac:dyDescent="0.2"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10"/>
      <c r="U1063" s="10"/>
      <c r="V1063" s="10"/>
      <c r="W1063" s="10"/>
      <c r="X1063" s="10"/>
      <c r="Y1063" s="10"/>
    </row>
    <row r="1064" spans="5:25" ht="15" customHeight="1" x14ac:dyDescent="0.2"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10"/>
      <c r="U1064" s="10"/>
      <c r="V1064" s="10"/>
      <c r="W1064" s="10"/>
      <c r="X1064" s="10"/>
      <c r="Y1064" s="10"/>
    </row>
    <row r="1065" spans="5:25" ht="15" customHeight="1" x14ac:dyDescent="0.2"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10"/>
      <c r="U1065" s="10"/>
      <c r="V1065" s="10"/>
      <c r="W1065" s="10"/>
      <c r="X1065" s="10"/>
      <c r="Y1065" s="10"/>
    </row>
    <row r="1066" spans="5:25" ht="15" customHeight="1" x14ac:dyDescent="0.2"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10"/>
      <c r="U1066" s="10"/>
      <c r="V1066" s="10"/>
      <c r="W1066" s="10"/>
      <c r="X1066" s="10"/>
      <c r="Y1066" s="10"/>
    </row>
    <row r="1067" spans="5:25" ht="15" customHeight="1" x14ac:dyDescent="0.2"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10"/>
      <c r="U1067" s="10"/>
      <c r="V1067" s="10"/>
      <c r="W1067" s="10"/>
      <c r="X1067" s="10"/>
      <c r="Y1067" s="10"/>
    </row>
    <row r="1068" spans="5:25" ht="15" customHeight="1" x14ac:dyDescent="0.2"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10"/>
      <c r="U1068" s="10"/>
      <c r="V1068" s="10"/>
      <c r="W1068" s="10"/>
      <c r="X1068" s="10"/>
      <c r="Y1068" s="10"/>
    </row>
    <row r="1069" spans="5:25" ht="15" customHeight="1" x14ac:dyDescent="0.2"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10"/>
      <c r="U1069" s="10"/>
      <c r="V1069" s="10"/>
      <c r="W1069" s="10"/>
      <c r="X1069" s="10"/>
      <c r="Y1069" s="10"/>
    </row>
    <row r="1070" spans="5:25" ht="15" customHeight="1" x14ac:dyDescent="0.2"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10"/>
      <c r="U1070" s="10"/>
      <c r="V1070" s="10"/>
      <c r="W1070" s="10"/>
      <c r="X1070" s="10"/>
      <c r="Y1070" s="10"/>
    </row>
    <row r="1071" spans="5:25" ht="15" customHeight="1" x14ac:dyDescent="0.2"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10"/>
      <c r="U1071" s="10"/>
      <c r="V1071" s="10"/>
      <c r="W1071" s="10"/>
      <c r="X1071" s="10"/>
      <c r="Y1071" s="10"/>
    </row>
    <row r="1072" spans="5:25" ht="15" customHeight="1" x14ac:dyDescent="0.2"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10"/>
      <c r="U1072" s="10"/>
      <c r="V1072" s="10"/>
      <c r="W1072" s="10"/>
      <c r="X1072" s="10"/>
      <c r="Y1072" s="10"/>
    </row>
    <row r="1073" spans="5:25" ht="15" customHeight="1" x14ac:dyDescent="0.2"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10"/>
      <c r="U1073" s="10"/>
      <c r="V1073" s="10"/>
      <c r="W1073" s="10"/>
      <c r="X1073" s="10"/>
      <c r="Y1073" s="10"/>
    </row>
    <row r="1074" spans="5:25" ht="15" customHeight="1" x14ac:dyDescent="0.2"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10"/>
      <c r="U1074" s="10"/>
      <c r="V1074" s="10"/>
      <c r="W1074" s="10"/>
      <c r="X1074" s="10"/>
      <c r="Y1074" s="10"/>
    </row>
    <row r="1075" spans="5:25" ht="15" customHeight="1" x14ac:dyDescent="0.2"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10"/>
      <c r="U1075" s="10"/>
      <c r="V1075" s="10"/>
      <c r="W1075" s="10"/>
      <c r="X1075" s="10"/>
      <c r="Y1075" s="10"/>
    </row>
    <row r="1076" spans="5:25" ht="15" customHeight="1" x14ac:dyDescent="0.2"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10"/>
      <c r="U1076" s="10"/>
      <c r="V1076" s="10"/>
      <c r="W1076" s="10"/>
      <c r="X1076" s="10"/>
      <c r="Y1076" s="10"/>
    </row>
    <row r="1077" spans="5:25" ht="15" customHeight="1" x14ac:dyDescent="0.2"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10"/>
      <c r="U1077" s="10"/>
      <c r="V1077" s="10"/>
      <c r="W1077" s="10"/>
      <c r="X1077" s="10"/>
      <c r="Y1077" s="10"/>
    </row>
    <row r="1078" spans="5:25" ht="15" customHeight="1" x14ac:dyDescent="0.2"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10"/>
      <c r="U1078" s="10"/>
      <c r="V1078" s="10"/>
      <c r="W1078" s="10"/>
      <c r="X1078" s="10"/>
      <c r="Y1078" s="10"/>
    </row>
    <row r="1079" spans="5:25" ht="15" customHeight="1" x14ac:dyDescent="0.2"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10"/>
      <c r="U1079" s="10"/>
      <c r="V1079" s="10"/>
      <c r="W1079" s="10"/>
      <c r="X1079" s="10"/>
      <c r="Y1079" s="10"/>
    </row>
    <row r="1080" spans="5:25" ht="15" customHeight="1" x14ac:dyDescent="0.2"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10"/>
      <c r="U1080" s="10"/>
      <c r="V1080" s="10"/>
      <c r="W1080" s="10"/>
      <c r="X1080" s="10"/>
      <c r="Y1080" s="10"/>
    </row>
    <row r="1081" spans="5:25" ht="15" customHeight="1" x14ac:dyDescent="0.2"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10"/>
      <c r="U1081" s="10"/>
      <c r="V1081" s="10"/>
      <c r="W1081" s="10"/>
      <c r="X1081" s="10"/>
      <c r="Y1081" s="10"/>
    </row>
    <row r="1082" spans="5:25" ht="15" customHeight="1" x14ac:dyDescent="0.2"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10"/>
      <c r="U1082" s="10"/>
      <c r="V1082" s="10"/>
      <c r="W1082" s="10"/>
      <c r="X1082" s="10"/>
      <c r="Y1082" s="10"/>
    </row>
    <row r="1083" spans="5:25" ht="15" customHeight="1" x14ac:dyDescent="0.2"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10"/>
      <c r="U1083" s="10"/>
      <c r="V1083" s="10"/>
      <c r="W1083" s="10"/>
      <c r="X1083" s="10"/>
      <c r="Y1083" s="10"/>
    </row>
    <row r="1084" spans="5:25" ht="15" customHeight="1" x14ac:dyDescent="0.2"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10"/>
      <c r="U1084" s="10"/>
      <c r="V1084" s="10"/>
      <c r="W1084" s="10"/>
      <c r="X1084" s="10"/>
      <c r="Y1084" s="10"/>
    </row>
    <row r="1085" spans="5:25" ht="15" customHeight="1" x14ac:dyDescent="0.2"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10"/>
      <c r="U1085" s="10"/>
      <c r="V1085" s="10"/>
      <c r="W1085" s="10"/>
      <c r="X1085" s="10"/>
      <c r="Y1085" s="10"/>
    </row>
    <row r="1086" spans="5:25" ht="15" customHeight="1" x14ac:dyDescent="0.2"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10"/>
      <c r="U1086" s="10"/>
      <c r="V1086" s="10"/>
      <c r="W1086" s="10"/>
      <c r="X1086" s="10"/>
      <c r="Y1086" s="10"/>
    </row>
    <row r="1087" spans="5:25" ht="15" customHeight="1" x14ac:dyDescent="0.2"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10"/>
      <c r="U1087" s="10"/>
      <c r="V1087" s="10"/>
      <c r="W1087" s="10"/>
      <c r="X1087" s="10"/>
      <c r="Y1087" s="10"/>
    </row>
    <row r="1088" spans="5:25" ht="15" customHeight="1" x14ac:dyDescent="0.2"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10"/>
      <c r="U1088" s="10"/>
      <c r="V1088" s="10"/>
      <c r="W1088" s="10"/>
      <c r="X1088" s="10"/>
      <c r="Y1088" s="10"/>
    </row>
    <row r="1089" spans="5:25" ht="15" customHeight="1" x14ac:dyDescent="0.2"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10"/>
      <c r="U1089" s="10"/>
      <c r="V1089" s="10"/>
      <c r="W1089" s="10"/>
      <c r="X1089" s="10"/>
      <c r="Y1089" s="10"/>
    </row>
    <row r="1090" spans="5:25" ht="15" customHeight="1" x14ac:dyDescent="0.2"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10"/>
      <c r="U1090" s="10"/>
      <c r="V1090" s="10"/>
      <c r="W1090" s="10"/>
      <c r="X1090" s="10"/>
      <c r="Y1090" s="10"/>
    </row>
    <row r="1091" spans="5:25" ht="15" customHeight="1" x14ac:dyDescent="0.2"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10"/>
      <c r="U1091" s="10"/>
      <c r="V1091" s="10"/>
      <c r="W1091" s="10"/>
      <c r="X1091" s="10"/>
      <c r="Y1091" s="10"/>
    </row>
    <row r="1092" spans="5:25" ht="15" customHeight="1" x14ac:dyDescent="0.2"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10"/>
      <c r="U1092" s="10"/>
      <c r="V1092" s="10"/>
      <c r="W1092" s="10"/>
      <c r="X1092" s="10"/>
      <c r="Y1092" s="10"/>
    </row>
    <row r="1093" spans="5:25" ht="15" customHeight="1" x14ac:dyDescent="0.2"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10"/>
      <c r="U1093" s="10"/>
      <c r="V1093" s="10"/>
      <c r="W1093" s="10"/>
      <c r="X1093" s="10"/>
      <c r="Y1093" s="10"/>
    </row>
    <row r="1094" spans="5:25" ht="15" customHeight="1" x14ac:dyDescent="0.2"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10"/>
      <c r="U1094" s="10"/>
      <c r="V1094" s="10"/>
      <c r="W1094" s="10"/>
      <c r="X1094" s="10"/>
      <c r="Y1094" s="10"/>
    </row>
    <row r="1095" spans="5:25" ht="15" customHeight="1" x14ac:dyDescent="0.2"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10"/>
      <c r="U1095" s="10"/>
      <c r="V1095" s="10"/>
      <c r="W1095" s="10"/>
      <c r="X1095" s="10"/>
      <c r="Y1095" s="10"/>
    </row>
    <row r="1096" spans="5:25" ht="15" customHeight="1" x14ac:dyDescent="0.2"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10"/>
      <c r="U1096" s="10"/>
      <c r="V1096" s="10"/>
      <c r="W1096" s="10"/>
      <c r="X1096" s="10"/>
      <c r="Y1096" s="10"/>
    </row>
    <row r="1097" spans="5:25" ht="15" customHeight="1" x14ac:dyDescent="0.2"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10"/>
      <c r="U1097" s="10"/>
      <c r="V1097" s="10"/>
      <c r="W1097" s="10"/>
      <c r="X1097" s="10"/>
      <c r="Y1097" s="10"/>
    </row>
    <row r="1098" spans="5:25" ht="15" customHeight="1" x14ac:dyDescent="0.2"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10"/>
      <c r="U1098" s="10"/>
      <c r="V1098" s="10"/>
      <c r="W1098" s="10"/>
      <c r="X1098" s="10"/>
      <c r="Y1098" s="10"/>
    </row>
    <row r="1099" spans="5:25" ht="15" customHeight="1" x14ac:dyDescent="0.2"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10"/>
      <c r="U1099" s="10"/>
      <c r="V1099" s="10"/>
      <c r="W1099" s="10"/>
      <c r="X1099" s="10"/>
      <c r="Y1099" s="10"/>
    </row>
    <row r="1100" spans="5:25" ht="15" customHeight="1" x14ac:dyDescent="0.2"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10"/>
      <c r="U1100" s="10"/>
      <c r="V1100" s="10"/>
      <c r="W1100" s="10"/>
      <c r="X1100" s="10"/>
      <c r="Y1100" s="10"/>
    </row>
    <row r="1101" spans="5:25" ht="15" customHeight="1" x14ac:dyDescent="0.2"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10"/>
      <c r="U1101" s="10"/>
      <c r="V1101" s="10"/>
      <c r="W1101" s="10"/>
      <c r="X1101" s="10"/>
      <c r="Y1101" s="10"/>
    </row>
    <row r="1102" spans="5:25" ht="15" customHeight="1" x14ac:dyDescent="0.2"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10"/>
      <c r="U1102" s="10"/>
      <c r="V1102" s="10"/>
      <c r="W1102" s="10"/>
      <c r="X1102" s="10"/>
      <c r="Y1102" s="10"/>
    </row>
    <row r="1103" spans="5:25" ht="15" customHeight="1" x14ac:dyDescent="0.2"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10"/>
      <c r="U1103" s="10"/>
      <c r="V1103" s="10"/>
      <c r="W1103" s="10"/>
      <c r="X1103" s="10"/>
      <c r="Y1103" s="10"/>
    </row>
    <row r="1104" spans="5:25" ht="15" customHeight="1" x14ac:dyDescent="0.2"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10"/>
      <c r="U1104" s="10"/>
      <c r="V1104" s="10"/>
      <c r="W1104" s="10"/>
      <c r="X1104" s="10"/>
      <c r="Y1104" s="10"/>
    </row>
    <row r="1105" spans="5:25" ht="15" customHeight="1" x14ac:dyDescent="0.2"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10"/>
      <c r="U1105" s="10"/>
      <c r="V1105" s="10"/>
      <c r="W1105" s="10"/>
      <c r="X1105" s="10"/>
      <c r="Y1105" s="10"/>
    </row>
    <row r="1106" spans="5:25" ht="15" customHeight="1" x14ac:dyDescent="0.2"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10"/>
      <c r="U1106" s="10"/>
      <c r="V1106" s="10"/>
      <c r="W1106" s="10"/>
      <c r="X1106" s="10"/>
      <c r="Y1106" s="10"/>
    </row>
    <row r="1107" spans="5:25" ht="15" customHeight="1" x14ac:dyDescent="0.2"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10"/>
      <c r="U1107" s="10"/>
      <c r="V1107" s="10"/>
      <c r="W1107" s="10"/>
      <c r="X1107" s="10"/>
      <c r="Y1107" s="10"/>
    </row>
    <row r="1108" spans="5:25" ht="15" customHeight="1" x14ac:dyDescent="0.2"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10"/>
      <c r="U1108" s="10"/>
      <c r="V1108" s="10"/>
      <c r="W1108" s="10"/>
      <c r="X1108" s="10"/>
      <c r="Y1108" s="10"/>
    </row>
    <row r="1109" spans="5:25" ht="15" customHeight="1" x14ac:dyDescent="0.2"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10"/>
      <c r="U1109" s="10"/>
      <c r="V1109" s="10"/>
      <c r="W1109" s="10"/>
      <c r="X1109" s="10"/>
      <c r="Y1109" s="10"/>
    </row>
    <row r="1110" spans="5:25" ht="15" customHeight="1" x14ac:dyDescent="0.2"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10"/>
      <c r="U1110" s="10"/>
      <c r="V1110" s="10"/>
      <c r="W1110" s="10"/>
      <c r="X1110" s="10"/>
      <c r="Y1110" s="10"/>
    </row>
    <row r="1111" spans="5:25" ht="15" customHeight="1" x14ac:dyDescent="0.2"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10"/>
      <c r="U1111" s="10"/>
      <c r="V1111" s="10"/>
      <c r="W1111" s="10"/>
      <c r="X1111" s="10"/>
      <c r="Y1111" s="10"/>
    </row>
    <row r="1112" spans="5:25" ht="15" customHeight="1" x14ac:dyDescent="0.2"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10"/>
      <c r="U1112" s="10"/>
      <c r="V1112" s="10"/>
      <c r="W1112" s="10"/>
      <c r="X1112" s="10"/>
      <c r="Y1112" s="10"/>
    </row>
    <row r="1113" spans="5:25" ht="15" customHeight="1" x14ac:dyDescent="0.2"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10"/>
      <c r="U1113" s="10"/>
      <c r="V1113" s="10"/>
      <c r="W1113" s="10"/>
      <c r="X1113" s="10"/>
      <c r="Y1113" s="10"/>
    </row>
    <row r="1114" spans="5:25" ht="15" customHeight="1" x14ac:dyDescent="0.2"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10"/>
      <c r="U1114" s="10"/>
      <c r="V1114" s="10"/>
      <c r="W1114" s="10"/>
      <c r="X1114" s="10"/>
      <c r="Y1114" s="10"/>
    </row>
    <row r="1115" spans="5:25" ht="15" customHeight="1" x14ac:dyDescent="0.2"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10"/>
      <c r="U1115" s="10"/>
      <c r="V1115" s="10"/>
      <c r="W1115" s="10"/>
      <c r="X1115" s="10"/>
      <c r="Y1115" s="10"/>
    </row>
    <row r="1116" spans="5:25" ht="15" customHeight="1" x14ac:dyDescent="0.2"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10"/>
      <c r="U1116" s="10"/>
      <c r="V1116" s="10"/>
      <c r="W1116" s="10"/>
      <c r="X1116" s="10"/>
      <c r="Y1116" s="10"/>
    </row>
    <row r="1117" spans="5:25" ht="15" customHeight="1" x14ac:dyDescent="0.2"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10"/>
      <c r="U1117" s="10"/>
      <c r="V1117" s="10"/>
      <c r="W1117" s="10"/>
      <c r="X1117" s="10"/>
      <c r="Y1117" s="10"/>
    </row>
    <row r="1118" spans="5:25" ht="15" customHeight="1" x14ac:dyDescent="0.2"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10"/>
      <c r="U1118" s="10"/>
      <c r="V1118" s="10"/>
      <c r="W1118" s="10"/>
      <c r="X1118" s="10"/>
      <c r="Y1118" s="10"/>
    </row>
    <row r="1119" spans="5:25" ht="15" customHeight="1" x14ac:dyDescent="0.2"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10"/>
      <c r="U1119" s="10"/>
      <c r="V1119" s="10"/>
      <c r="W1119" s="10"/>
      <c r="X1119" s="10"/>
      <c r="Y1119" s="10"/>
    </row>
    <row r="1120" spans="5:25" ht="15" customHeight="1" x14ac:dyDescent="0.2"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10"/>
      <c r="U1120" s="10"/>
      <c r="V1120" s="10"/>
      <c r="W1120" s="10"/>
      <c r="X1120" s="10"/>
      <c r="Y1120" s="10"/>
    </row>
    <row r="1121" spans="5:25" ht="15" customHeight="1" x14ac:dyDescent="0.2"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10"/>
      <c r="U1121" s="10"/>
      <c r="V1121" s="10"/>
      <c r="W1121" s="10"/>
      <c r="X1121" s="10"/>
      <c r="Y1121" s="10"/>
    </row>
    <row r="1122" spans="5:25" ht="15" customHeight="1" x14ac:dyDescent="0.2"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10"/>
      <c r="U1122" s="10"/>
      <c r="V1122" s="10"/>
      <c r="W1122" s="10"/>
      <c r="X1122" s="10"/>
      <c r="Y1122" s="10"/>
    </row>
    <row r="1123" spans="5:25" ht="15" customHeight="1" x14ac:dyDescent="0.2"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10"/>
      <c r="U1123" s="10"/>
      <c r="V1123" s="10"/>
      <c r="W1123" s="10"/>
      <c r="X1123" s="10"/>
      <c r="Y1123" s="10"/>
    </row>
    <row r="1124" spans="5:25" ht="15" customHeight="1" x14ac:dyDescent="0.2"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10"/>
      <c r="U1124" s="10"/>
      <c r="V1124" s="10"/>
      <c r="W1124" s="10"/>
      <c r="X1124" s="10"/>
      <c r="Y1124" s="10"/>
    </row>
    <row r="1125" spans="5:25" ht="15" customHeight="1" x14ac:dyDescent="0.2"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10"/>
      <c r="U1125" s="10"/>
      <c r="V1125" s="10"/>
      <c r="W1125" s="10"/>
      <c r="X1125" s="10"/>
      <c r="Y1125" s="10"/>
    </row>
    <row r="1126" spans="5:25" ht="15" customHeight="1" x14ac:dyDescent="0.2"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10"/>
      <c r="U1126" s="10"/>
      <c r="V1126" s="10"/>
      <c r="W1126" s="10"/>
      <c r="X1126" s="10"/>
      <c r="Y1126" s="10"/>
    </row>
    <row r="1127" spans="5:25" ht="15" customHeight="1" x14ac:dyDescent="0.2"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10"/>
      <c r="U1127" s="10"/>
      <c r="V1127" s="10"/>
      <c r="W1127" s="10"/>
      <c r="X1127" s="10"/>
      <c r="Y1127" s="10"/>
    </row>
    <row r="1128" spans="5:25" ht="15" customHeight="1" x14ac:dyDescent="0.2"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10"/>
      <c r="U1128" s="10"/>
      <c r="V1128" s="10"/>
      <c r="W1128" s="10"/>
      <c r="X1128" s="10"/>
      <c r="Y1128" s="10"/>
    </row>
    <row r="1129" spans="5:25" ht="15" customHeight="1" x14ac:dyDescent="0.2"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10"/>
      <c r="U1129" s="10"/>
      <c r="V1129" s="10"/>
      <c r="W1129" s="10"/>
      <c r="X1129" s="10"/>
      <c r="Y1129" s="10"/>
    </row>
    <row r="1130" spans="5:25" ht="15" customHeight="1" x14ac:dyDescent="0.2"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10"/>
      <c r="U1130" s="10"/>
      <c r="V1130" s="10"/>
      <c r="W1130" s="10"/>
      <c r="X1130" s="10"/>
      <c r="Y1130" s="10"/>
    </row>
    <row r="1131" spans="5:25" ht="15" customHeight="1" x14ac:dyDescent="0.2"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10"/>
      <c r="U1131" s="10"/>
      <c r="V1131" s="10"/>
      <c r="W1131" s="10"/>
      <c r="X1131" s="10"/>
      <c r="Y1131" s="10"/>
    </row>
    <row r="1132" spans="5:25" ht="15" customHeight="1" x14ac:dyDescent="0.2"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10"/>
      <c r="U1132" s="10"/>
      <c r="V1132" s="10"/>
      <c r="W1132" s="10"/>
      <c r="X1132" s="10"/>
      <c r="Y1132" s="10"/>
    </row>
    <row r="1133" spans="5:25" ht="15" customHeight="1" x14ac:dyDescent="0.2"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10"/>
      <c r="U1133" s="10"/>
      <c r="V1133" s="10"/>
      <c r="W1133" s="10"/>
      <c r="X1133" s="10"/>
      <c r="Y1133" s="10"/>
    </row>
    <row r="1134" spans="5:25" ht="15" customHeight="1" x14ac:dyDescent="0.2"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10"/>
      <c r="U1134" s="10"/>
      <c r="V1134" s="10"/>
      <c r="W1134" s="10"/>
      <c r="X1134" s="10"/>
      <c r="Y1134" s="10"/>
    </row>
    <row r="1135" spans="5:25" ht="15" customHeight="1" x14ac:dyDescent="0.2"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10"/>
      <c r="U1135" s="10"/>
      <c r="V1135" s="10"/>
      <c r="W1135" s="10"/>
      <c r="X1135" s="10"/>
      <c r="Y1135" s="10"/>
    </row>
    <row r="1136" spans="5:25" ht="15" customHeight="1" x14ac:dyDescent="0.2"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10"/>
      <c r="U1136" s="10"/>
      <c r="V1136" s="10"/>
      <c r="W1136" s="10"/>
      <c r="X1136" s="10"/>
      <c r="Y1136" s="10"/>
    </row>
    <row r="1137" spans="5:25" ht="15" customHeight="1" x14ac:dyDescent="0.2"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10"/>
      <c r="U1137" s="10"/>
      <c r="V1137" s="10"/>
      <c r="W1137" s="10"/>
      <c r="X1137" s="10"/>
      <c r="Y1137" s="10"/>
    </row>
    <row r="1138" spans="5:25" ht="15" customHeight="1" x14ac:dyDescent="0.2"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10"/>
      <c r="U1138" s="10"/>
      <c r="V1138" s="10"/>
      <c r="W1138" s="10"/>
      <c r="X1138" s="10"/>
      <c r="Y1138" s="10"/>
    </row>
    <row r="1139" spans="5:25" ht="15" customHeight="1" x14ac:dyDescent="0.2"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10"/>
      <c r="U1139" s="10"/>
      <c r="V1139" s="10"/>
      <c r="W1139" s="10"/>
      <c r="X1139" s="10"/>
      <c r="Y1139" s="10"/>
    </row>
    <row r="1140" spans="5:25" ht="15" customHeight="1" x14ac:dyDescent="0.2"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10"/>
      <c r="U1140" s="10"/>
      <c r="V1140" s="10"/>
      <c r="W1140" s="10"/>
      <c r="X1140" s="10"/>
      <c r="Y1140" s="10"/>
    </row>
    <row r="1141" spans="5:25" ht="15" customHeight="1" x14ac:dyDescent="0.2"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10"/>
      <c r="U1141" s="10"/>
      <c r="V1141" s="10"/>
      <c r="W1141" s="10"/>
      <c r="X1141" s="10"/>
      <c r="Y1141" s="10"/>
    </row>
    <row r="1142" spans="5:25" ht="15" customHeight="1" x14ac:dyDescent="0.2"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10"/>
      <c r="U1142" s="10"/>
      <c r="V1142" s="10"/>
      <c r="W1142" s="10"/>
      <c r="X1142" s="10"/>
      <c r="Y1142" s="10"/>
    </row>
    <row r="1143" spans="5:25" ht="15" customHeight="1" x14ac:dyDescent="0.2"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10"/>
      <c r="U1143" s="10"/>
      <c r="V1143" s="10"/>
      <c r="W1143" s="10"/>
      <c r="X1143" s="10"/>
      <c r="Y1143" s="10"/>
    </row>
    <row r="1144" spans="5:25" ht="15" customHeight="1" x14ac:dyDescent="0.2"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10"/>
      <c r="U1144" s="10"/>
      <c r="V1144" s="10"/>
      <c r="W1144" s="10"/>
      <c r="X1144" s="10"/>
      <c r="Y1144" s="10"/>
    </row>
    <row r="1145" spans="5:25" ht="15" customHeight="1" x14ac:dyDescent="0.2"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10"/>
      <c r="U1145" s="10"/>
      <c r="V1145" s="10"/>
      <c r="W1145" s="10"/>
      <c r="X1145" s="10"/>
      <c r="Y1145" s="10"/>
    </row>
    <row r="1146" spans="5:25" ht="15" customHeight="1" x14ac:dyDescent="0.2"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10"/>
      <c r="U1146" s="10"/>
      <c r="V1146" s="10"/>
      <c r="W1146" s="10"/>
      <c r="X1146" s="10"/>
      <c r="Y1146" s="10"/>
    </row>
    <row r="1147" spans="5:25" ht="15" customHeight="1" x14ac:dyDescent="0.2"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10"/>
      <c r="U1147" s="10"/>
      <c r="V1147" s="10"/>
      <c r="W1147" s="10"/>
      <c r="X1147" s="10"/>
      <c r="Y1147" s="10"/>
    </row>
    <row r="1148" spans="5:25" ht="15" customHeight="1" x14ac:dyDescent="0.2"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10"/>
      <c r="U1148" s="10"/>
      <c r="V1148" s="10"/>
      <c r="W1148" s="10"/>
      <c r="X1148" s="10"/>
      <c r="Y1148" s="10"/>
    </row>
    <row r="1149" spans="5:25" ht="15" customHeight="1" x14ac:dyDescent="0.2"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10"/>
      <c r="U1149" s="10"/>
      <c r="V1149" s="10"/>
      <c r="W1149" s="10"/>
      <c r="X1149" s="10"/>
      <c r="Y1149" s="10"/>
    </row>
    <row r="1150" spans="5:25" ht="15" customHeight="1" x14ac:dyDescent="0.2"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10"/>
      <c r="U1150" s="10"/>
      <c r="V1150" s="10"/>
      <c r="W1150" s="10"/>
      <c r="X1150" s="10"/>
      <c r="Y1150" s="10"/>
    </row>
    <row r="1151" spans="5:25" ht="15" customHeight="1" x14ac:dyDescent="0.2"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10"/>
      <c r="U1151" s="10"/>
      <c r="V1151" s="10"/>
      <c r="W1151" s="10"/>
      <c r="X1151" s="10"/>
      <c r="Y1151" s="10"/>
    </row>
    <row r="1152" spans="5:25" ht="15" customHeight="1" x14ac:dyDescent="0.2"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10"/>
      <c r="U1152" s="10"/>
      <c r="V1152" s="10"/>
      <c r="W1152" s="10"/>
      <c r="X1152" s="10"/>
      <c r="Y1152" s="10"/>
    </row>
    <row r="1153" spans="5:25" ht="15" customHeight="1" x14ac:dyDescent="0.2"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10"/>
      <c r="U1153" s="10"/>
      <c r="V1153" s="10"/>
      <c r="W1153" s="10"/>
      <c r="X1153" s="10"/>
      <c r="Y1153" s="10"/>
    </row>
    <row r="1154" spans="5:25" ht="15" customHeight="1" x14ac:dyDescent="0.2"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10"/>
      <c r="U1154" s="10"/>
      <c r="V1154" s="10"/>
      <c r="W1154" s="10"/>
      <c r="X1154" s="10"/>
      <c r="Y1154" s="10"/>
    </row>
    <row r="1155" spans="5:25" ht="15" customHeight="1" x14ac:dyDescent="0.2"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10"/>
      <c r="U1155" s="10"/>
      <c r="V1155" s="10"/>
      <c r="W1155" s="10"/>
      <c r="X1155" s="10"/>
      <c r="Y1155" s="10"/>
    </row>
    <row r="1156" spans="5:25" ht="15" customHeight="1" x14ac:dyDescent="0.2"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10"/>
      <c r="U1156" s="10"/>
      <c r="V1156" s="10"/>
      <c r="W1156" s="10"/>
      <c r="X1156" s="10"/>
      <c r="Y1156" s="10"/>
    </row>
    <row r="1157" spans="5:25" ht="15" customHeight="1" x14ac:dyDescent="0.2"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10"/>
      <c r="U1157" s="10"/>
      <c r="V1157" s="10"/>
      <c r="W1157" s="10"/>
      <c r="X1157" s="10"/>
      <c r="Y1157" s="10"/>
    </row>
    <row r="1158" spans="5:25" ht="15" customHeight="1" x14ac:dyDescent="0.2"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10"/>
      <c r="U1158" s="10"/>
      <c r="V1158" s="10"/>
      <c r="W1158" s="10"/>
      <c r="X1158" s="10"/>
      <c r="Y1158" s="10"/>
    </row>
    <row r="1159" spans="5:25" ht="15" customHeight="1" x14ac:dyDescent="0.2"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10"/>
      <c r="U1159" s="10"/>
      <c r="V1159" s="10"/>
      <c r="W1159" s="10"/>
      <c r="X1159" s="10"/>
      <c r="Y1159" s="10"/>
    </row>
    <row r="1160" spans="5:25" ht="15" customHeight="1" x14ac:dyDescent="0.2"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10"/>
      <c r="U1160" s="10"/>
      <c r="V1160" s="10"/>
      <c r="W1160" s="10"/>
      <c r="X1160" s="10"/>
      <c r="Y1160" s="10"/>
    </row>
    <row r="1161" spans="5:25" ht="15" customHeight="1" x14ac:dyDescent="0.2"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10"/>
      <c r="U1161" s="10"/>
      <c r="V1161" s="10"/>
      <c r="W1161" s="10"/>
      <c r="X1161" s="10"/>
      <c r="Y1161" s="10"/>
    </row>
    <row r="1162" spans="5:25" ht="15" customHeight="1" x14ac:dyDescent="0.2"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10"/>
      <c r="U1162" s="10"/>
      <c r="V1162" s="10"/>
      <c r="W1162" s="10"/>
      <c r="X1162" s="10"/>
      <c r="Y1162" s="10"/>
    </row>
    <row r="1163" spans="5:25" ht="15" customHeight="1" x14ac:dyDescent="0.2"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10"/>
      <c r="U1163" s="10"/>
      <c r="V1163" s="10"/>
      <c r="W1163" s="10"/>
      <c r="X1163" s="10"/>
      <c r="Y1163" s="10"/>
    </row>
    <row r="1164" spans="5:25" ht="15" customHeight="1" x14ac:dyDescent="0.2"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10"/>
      <c r="U1164" s="10"/>
      <c r="V1164" s="10"/>
      <c r="W1164" s="10"/>
      <c r="X1164" s="10"/>
      <c r="Y1164" s="10"/>
    </row>
    <row r="1165" spans="5:25" ht="15" customHeight="1" x14ac:dyDescent="0.2"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10"/>
      <c r="U1165" s="10"/>
      <c r="V1165" s="10"/>
      <c r="W1165" s="10"/>
      <c r="X1165" s="10"/>
      <c r="Y1165" s="10"/>
    </row>
    <row r="1166" spans="5:25" ht="15" customHeight="1" x14ac:dyDescent="0.2"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10"/>
      <c r="U1166" s="10"/>
      <c r="V1166" s="10"/>
      <c r="W1166" s="10"/>
      <c r="X1166" s="10"/>
      <c r="Y1166" s="10"/>
    </row>
    <row r="1167" spans="5:25" ht="15" customHeight="1" x14ac:dyDescent="0.2"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10"/>
      <c r="U1167" s="10"/>
      <c r="V1167" s="10"/>
      <c r="W1167" s="10"/>
      <c r="X1167" s="10"/>
      <c r="Y1167" s="10"/>
    </row>
    <row r="1168" spans="5:25" ht="15" customHeight="1" x14ac:dyDescent="0.2"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10"/>
      <c r="U1168" s="10"/>
      <c r="V1168" s="10"/>
      <c r="W1168" s="10"/>
      <c r="X1168" s="10"/>
      <c r="Y1168" s="10"/>
    </row>
    <row r="1169" spans="5:25" ht="15" customHeight="1" x14ac:dyDescent="0.2"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10"/>
      <c r="U1169" s="10"/>
      <c r="V1169" s="10"/>
      <c r="W1169" s="10"/>
      <c r="X1169" s="10"/>
      <c r="Y1169" s="10"/>
    </row>
    <row r="1170" spans="5:25" ht="15" customHeight="1" x14ac:dyDescent="0.2"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10"/>
      <c r="U1170" s="10"/>
      <c r="V1170" s="10"/>
      <c r="W1170" s="10"/>
      <c r="X1170" s="10"/>
      <c r="Y1170" s="10"/>
    </row>
    <row r="1171" spans="5:25" ht="15" customHeight="1" x14ac:dyDescent="0.2"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10"/>
      <c r="U1171" s="10"/>
      <c r="V1171" s="10"/>
      <c r="W1171" s="10"/>
      <c r="X1171" s="10"/>
      <c r="Y1171" s="10"/>
    </row>
    <row r="1172" spans="5:25" ht="15" customHeight="1" x14ac:dyDescent="0.2"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10"/>
      <c r="U1172" s="10"/>
      <c r="V1172" s="10"/>
      <c r="W1172" s="10"/>
      <c r="X1172" s="10"/>
      <c r="Y1172" s="10"/>
    </row>
    <row r="1173" spans="5:25" ht="15" customHeight="1" x14ac:dyDescent="0.2"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10"/>
      <c r="U1173" s="10"/>
      <c r="V1173" s="10"/>
      <c r="W1173" s="10"/>
      <c r="X1173" s="10"/>
      <c r="Y1173" s="10"/>
    </row>
    <row r="1174" spans="5:25" ht="15" customHeight="1" x14ac:dyDescent="0.2"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10"/>
      <c r="U1174" s="10"/>
      <c r="V1174" s="10"/>
      <c r="W1174" s="10"/>
      <c r="X1174" s="10"/>
      <c r="Y1174" s="10"/>
    </row>
    <row r="1175" spans="5:25" ht="15" customHeight="1" x14ac:dyDescent="0.2"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10"/>
      <c r="U1175" s="10"/>
      <c r="V1175" s="10"/>
      <c r="W1175" s="10"/>
      <c r="X1175" s="10"/>
      <c r="Y1175" s="10"/>
    </row>
    <row r="1176" spans="5:25" ht="15" customHeight="1" x14ac:dyDescent="0.2"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10"/>
      <c r="U1176" s="10"/>
      <c r="V1176" s="10"/>
      <c r="W1176" s="10"/>
      <c r="X1176" s="10"/>
      <c r="Y1176" s="10"/>
    </row>
    <row r="1177" spans="5:25" ht="15" customHeight="1" x14ac:dyDescent="0.2"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10"/>
      <c r="U1177" s="10"/>
      <c r="V1177" s="10"/>
      <c r="W1177" s="10"/>
      <c r="X1177" s="10"/>
      <c r="Y1177" s="10"/>
    </row>
    <row r="1178" spans="5:25" ht="15" customHeight="1" x14ac:dyDescent="0.2"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10"/>
      <c r="U1178" s="10"/>
      <c r="V1178" s="10"/>
      <c r="W1178" s="10"/>
      <c r="X1178" s="10"/>
      <c r="Y1178" s="10"/>
    </row>
    <row r="1179" spans="5:25" ht="15" customHeight="1" x14ac:dyDescent="0.2"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10"/>
      <c r="U1179" s="10"/>
      <c r="V1179" s="10"/>
      <c r="W1179" s="10"/>
      <c r="X1179" s="10"/>
      <c r="Y1179" s="10"/>
    </row>
    <row r="1180" spans="5:25" ht="15" customHeight="1" x14ac:dyDescent="0.2"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10"/>
      <c r="U1180" s="10"/>
      <c r="V1180" s="10"/>
      <c r="W1180" s="10"/>
      <c r="X1180" s="10"/>
      <c r="Y1180" s="10"/>
    </row>
    <row r="1181" spans="5:25" ht="15" customHeight="1" x14ac:dyDescent="0.2"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10"/>
      <c r="U1181" s="10"/>
      <c r="V1181" s="10"/>
      <c r="W1181" s="10"/>
      <c r="X1181" s="10"/>
      <c r="Y1181" s="10"/>
    </row>
    <row r="1182" spans="5:25" ht="15" customHeight="1" x14ac:dyDescent="0.2"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10"/>
      <c r="U1182" s="10"/>
      <c r="V1182" s="10"/>
      <c r="W1182" s="10"/>
      <c r="X1182" s="10"/>
      <c r="Y1182" s="10"/>
    </row>
    <row r="1183" spans="5:25" ht="15" customHeight="1" x14ac:dyDescent="0.2"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10"/>
      <c r="U1183" s="10"/>
      <c r="V1183" s="10"/>
      <c r="W1183" s="10"/>
      <c r="X1183" s="10"/>
      <c r="Y1183" s="10"/>
    </row>
    <row r="1184" spans="5:25" ht="15" customHeight="1" x14ac:dyDescent="0.2"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10"/>
      <c r="U1184" s="10"/>
      <c r="V1184" s="10"/>
      <c r="W1184" s="10"/>
      <c r="X1184" s="10"/>
      <c r="Y1184" s="10"/>
    </row>
    <row r="1185" spans="5:25" ht="15" customHeight="1" x14ac:dyDescent="0.2"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10"/>
      <c r="U1185" s="10"/>
      <c r="V1185" s="10"/>
      <c r="W1185" s="10"/>
      <c r="X1185" s="10"/>
      <c r="Y1185" s="10"/>
    </row>
    <row r="1186" spans="5:25" ht="15" customHeight="1" x14ac:dyDescent="0.2"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10"/>
      <c r="U1186" s="10"/>
      <c r="V1186" s="10"/>
      <c r="W1186" s="10"/>
      <c r="X1186" s="10"/>
      <c r="Y1186" s="10"/>
    </row>
    <row r="1187" spans="5:25" ht="15" customHeight="1" x14ac:dyDescent="0.2"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10"/>
      <c r="U1187" s="10"/>
      <c r="V1187" s="10"/>
      <c r="W1187" s="10"/>
      <c r="X1187" s="10"/>
      <c r="Y1187" s="10"/>
    </row>
    <row r="1188" spans="5:25" ht="15" customHeight="1" x14ac:dyDescent="0.2"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10"/>
      <c r="U1188" s="10"/>
      <c r="V1188" s="10"/>
      <c r="W1188" s="10"/>
      <c r="X1188" s="10"/>
      <c r="Y1188" s="10"/>
    </row>
    <row r="1189" spans="5:25" ht="15" customHeight="1" x14ac:dyDescent="0.2"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10"/>
      <c r="U1189" s="10"/>
      <c r="V1189" s="10"/>
      <c r="W1189" s="10"/>
      <c r="X1189" s="10"/>
      <c r="Y1189" s="10"/>
    </row>
    <row r="1190" spans="5:25" ht="15" customHeight="1" x14ac:dyDescent="0.2"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10"/>
      <c r="U1190" s="10"/>
      <c r="V1190" s="10"/>
      <c r="W1190" s="10"/>
      <c r="X1190" s="10"/>
      <c r="Y1190" s="10"/>
    </row>
    <row r="1191" spans="5:25" ht="15" customHeight="1" x14ac:dyDescent="0.2"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10"/>
      <c r="U1191" s="10"/>
      <c r="V1191" s="10"/>
      <c r="W1191" s="10"/>
      <c r="X1191" s="10"/>
      <c r="Y1191" s="10"/>
    </row>
    <row r="1192" spans="5:25" ht="15" customHeight="1" x14ac:dyDescent="0.2"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10"/>
      <c r="U1192" s="10"/>
      <c r="V1192" s="10"/>
      <c r="W1192" s="10"/>
      <c r="X1192" s="10"/>
      <c r="Y1192" s="10"/>
    </row>
    <row r="1193" spans="5:25" ht="15" customHeight="1" x14ac:dyDescent="0.2"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10"/>
      <c r="U1193" s="10"/>
      <c r="V1193" s="10"/>
      <c r="W1193" s="10"/>
      <c r="X1193" s="10"/>
      <c r="Y1193" s="10"/>
    </row>
    <row r="1194" spans="5:25" ht="15" customHeight="1" x14ac:dyDescent="0.2"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10"/>
      <c r="U1194" s="10"/>
      <c r="V1194" s="10"/>
      <c r="W1194" s="10"/>
      <c r="X1194" s="10"/>
      <c r="Y1194" s="10"/>
    </row>
    <row r="1195" spans="5:25" ht="15" customHeight="1" x14ac:dyDescent="0.2"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10"/>
      <c r="U1195" s="10"/>
      <c r="V1195" s="10"/>
      <c r="W1195" s="10"/>
      <c r="X1195" s="10"/>
      <c r="Y1195" s="10"/>
    </row>
    <row r="1196" spans="5:25" ht="15" customHeight="1" x14ac:dyDescent="0.2"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10"/>
      <c r="U1196" s="10"/>
      <c r="V1196" s="10"/>
      <c r="W1196" s="10"/>
      <c r="X1196" s="10"/>
      <c r="Y1196" s="10"/>
    </row>
    <row r="1197" spans="5:25" ht="15" customHeight="1" x14ac:dyDescent="0.2"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10"/>
      <c r="U1197" s="10"/>
      <c r="V1197" s="10"/>
      <c r="W1197" s="10"/>
      <c r="X1197" s="10"/>
      <c r="Y1197" s="10"/>
    </row>
    <row r="1198" spans="5:25" ht="15" customHeight="1" x14ac:dyDescent="0.2">
      <c r="E1198" s="10"/>
      <c r="F1198" s="10"/>
      <c r="G1198" s="10"/>
      <c r="H1198" s="10"/>
      <c r="I1198" s="10"/>
      <c r="J1198" s="10"/>
      <c r="K1198" s="10"/>
      <c r="L1198" s="10"/>
      <c r="M1198" s="10"/>
      <c r="N1198" s="10"/>
      <c r="O1198" s="10"/>
      <c r="P1198" s="10"/>
      <c r="Q1198" s="10"/>
      <c r="R1198" s="10"/>
      <c r="S1198" s="10"/>
      <c r="T1198" s="10"/>
      <c r="U1198" s="10"/>
      <c r="V1198" s="10"/>
      <c r="W1198" s="10"/>
      <c r="X1198" s="10"/>
      <c r="Y1198" s="10"/>
    </row>
    <row r="1199" spans="5:25" ht="15" customHeight="1" x14ac:dyDescent="0.2">
      <c r="E1199" s="10"/>
      <c r="F1199" s="10"/>
      <c r="G1199" s="10"/>
      <c r="H1199" s="10"/>
      <c r="I1199" s="10"/>
      <c r="J1199" s="10"/>
      <c r="K1199" s="10"/>
      <c r="L1199" s="10"/>
      <c r="M1199" s="10"/>
      <c r="N1199" s="10"/>
      <c r="O1199" s="10"/>
      <c r="P1199" s="10"/>
      <c r="Q1199" s="10"/>
      <c r="R1199" s="10"/>
      <c r="S1199" s="10"/>
      <c r="T1199" s="10"/>
      <c r="U1199" s="10"/>
      <c r="V1199" s="10"/>
      <c r="W1199" s="10"/>
      <c r="X1199" s="10"/>
      <c r="Y1199" s="10"/>
    </row>
    <row r="1200" spans="5:25" ht="15" customHeight="1" x14ac:dyDescent="0.2">
      <c r="E1200" s="10"/>
      <c r="F1200" s="10"/>
      <c r="G1200" s="10"/>
      <c r="H1200" s="10"/>
      <c r="I1200" s="10"/>
      <c r="J1200" s="10"/>
      <c r="K1200" s="10"/>
      <c r="L1200" s="10"/>
      <c r="M1200" s="10"/>
      <c r="N1200" s="10"/>
      <c r="O1200" s="10"/>
      <c r="P1200" s="10"/>
      <c r="Q1200" s="10"/>
      <c r="R1200" s="10"/>
      <c r="S1200" s="10"/>
      <c r="T1200" s="10"/>
      <c r="U1200" s="10"/>
      <c r="V1200" s="10"/>
      <c r="W1200" s="10"/>
      <c r="X1200" s="10"/>
      <c r="Y1200" s="10"/>
    </row>
    <row r="1201" spans="5:25" ht="15" customHeight="1" x14ac:dyDescent="0.2">
      <c r="E1201" s="10"/>
      <c r="F1201" s="10"/>
      <c r="G1201" s="10"/>
      <c r="H1201" s="10"/>
      <c r="I1201" s="10"/>
      <c r="J1201" s="10"/>
      <c r="K1201" s="10"/>
      <c r="L1201" s="10"/>
      <c r="M1201" s="10"/>
      <c r="N1201" s="10"/>
      <c r="O1201" s="10"/>
      <c r="P1201" s="10"/>
      <c r="Q1201" s="10"/>
      <c r="R1201" s="10"/>
      <c r="S1201" s="10"/>
      <c r="T1201" s="10"/>
      <c r="U1201" s="10"/>
      <c r="V1201" s="10"/>
      <c r="W1201" s="10"/>
      <c r="X1201" s="10"/>
      <c r="Y1201" s="10"/>
    </row>
    <row r="1202" spans="5:25" ht="15" customHeight="1" x14ac:dyDescent="0.2">
      <c r="E1202" s="10"/>
      <c r="F1202" s="10"/>
      <c r="G1202" s="10"/>
      <c r="H1202" s="10"/>
      <c r="I1202" s="10"/>
      <c r="J1202" s="10"/>
      <c r="K1202" s="10"/>
      <c r="L1202" s="10"/>
      <c r="M1202" s="10"/>
      <c r="N1202" s="10"/>
      <c r="O1202" s="10"/>
      <c r="P1202" s="10"/>
      <c r="Q1202" s="10"/>
      <c r="R1202" s="10"/>
      <c r="S1202" s="10"/>
      <c r="T1202" s="10"/>
      <c r="U1202" s="10"/>
      <c r="V1202" s="10"/>
      <c r="W1202" s="10"/>
      <c r="X1202" s="10"/>
      <c r="Y1202" s="10"/>
    </row>
    <row r="1203" spans="5:25" ht="15" customHeight="1" x14ac:dyDescent="0.2">
      <c r="E1203" s="10"/>
      <c r="F1203" s="10"/>
      <c r="G1203" s="10"/>
      <c r="H1203" s="10"/>
      <c r="I1203" s="10"/>
      <c r="J1203" s="10"/>
      <c r="K1203" s="10"/>
      <c r="L1203" s="10"/>
      <c r="M1203" s="10"/>
      <c r="N1203" s="10"/>
      <c r="O1203" s="10"/>
      <c r="P1203" s="10"/>
      <c r="Q1203" s="10"/>
      <c r="R1203" s="10"/>
      <c r="S1203" s="10"/>
      <c r="T1203" s="10"/>
      <c r="U1203" s="10"/>
      <c r="V1203" s="10"/>
      <c r="W1203" s="10"/>
      <c r="X1203" s="10"/>
      <c r="Y1203" s="10"/>
    </row>
    <row r="1204" spans="5:25" ht="15" customHeight="1" x14ac:dyDescent="0.2">
      <c r="E1204" s="10"/>
      <c r="F1204" s="10"/>
      <c r="G1204" s="10"/>
      <c r="H1204" s="10"/>
      <c r="I1204" s="10"/>
      <c r="J1204" s="10"/>
      <c r="K1204" s="10"/>
      <c r="L1204" s="10"/>
      <c r="M1204" s="10"/>
      <c r="N1204" s="10"/>
      <c r="O1204" s="10"/>
      <c r="P1204" s="10"/>
      <c r="Q1204" s="10"/>
      <c r="R1204" s="10"/>
      <c r="S1204" s="10"/>
      <c r="T1204" s="10"/>
      <c r="U1204" s="10"/>
      <c r="V1204" s="10"/>
      <c r="W1204" s="10"/>
      <c r="X1204" s="10"/>
      <c r="Y1204" s="10"/>
    </row>
    <row r="1205" spans="5:25" ht="15" customHeight="1" x14ac:dyDescent="0.2">
      <c r="E1205" s="10"/>
      <c r="F1205" s="10"/>
      <c r="G1205" s="10"/>
      <c r="H1205" s="10"/>
      <c r="I1205" s="10"/>
      <c r="J1205" s="10"/>
      <c r="K1205" s="10"/>
      <c r="L1205" s="10"/>
      <c r="M1205" s="10"/>
      <c r="N1205" s="10"/>
      <c r="O1205" s="10"/>
      <c r="P1205" s="10"/>
      <c r="Q1205" s="10"/>
      <c r="R1205" s="10"/>
      <c r="S1205" s="10"/>
      <c r="T1205" s="10"/>
      <c r="U1205" s="10"/>
      <c r="V1205" s="10"/>
      <c r="W1205" s="10"/>
      <c r="X1205" s="10"/>
      <c r="Y1205" s="10"/>
    </row>
    <row r="1206" spans="5:25" ht="15" customHeight="1" x14ac:dyDescent="0.2">
      <c r="E1206" s="10"/>
      <c r="F1206" s="10"/>
      <c r="G1206" s="10"/>
      <c r="H1206" s="10"/>
      <c r="I1206" s="10"/>
      <c r="J1206" s="10"/>
      <c r="K1206" s="10"/>
      <c r="L1206" s="10"/>
      <c r="M1206" s="10"/>
      <c r="N1206" s="10"/>
      <c r="O1206" s="10"/>
      <c r="P1206" s="10"/>
      <c r="Q1206" s="10"/>
      <c r="R1206" s="10"/>
      <c r="S1206" s="10"/>
      <c r="T1206" s="10"/>
      <c r="U1206" s="10"/>
      <c r="V1206" s="10"/>
      <c r="W1206" s="10"/>
      <c r="X1206" s="10"/>
      <c r="Y1206" s="10"/>
    </row>
    <row r="1207" spans="5:25" ht="15" customHeight="1" x14ac:dyDescent="0.2">
      <c r="E1207" s="10"/>
      <c r="F1207" s="10"/>
      <c r="G1207" s="10"/>
      <c r="H1207" s="10"/>
      <c r="I1207" s="10"/>
      <c r="J1207" s="10"/>
      <c r="K1207" s="10"/>
      <c r="L1207" s="10"/>
      <c r="M1207" s="10"/>
      <c r="N1207" s="10"/>
      <c r="O1207" s="10"/>
      <c r="P1207" s="10"/>
      <c r="Q1207" s="10"/>
      <c r="R1207" s="10"/>
      <c r="S1207" s="10"/>
      <c r="T1207" s="10"/>
      <c r="U1207" s="10"/>
      <c r="V1207" s="10"/>
      <c r="W1207" s="10"/>
      <c r="X1207" s="10"/>
      <c r="Y1207" s="10"/>
    </row>
    <row r="1208" spans="5:25" ht="15" customHeight="1" x14ac:dyDescent="0.2">
      <c r="E1208" s="10"/>
      <c r="F1208" s="10"/>
      <c r="G1208" s="10"/>
      <c r="H1208" s="10"/>
      <c r="I1208" s="10"/>
      <c r="J1208" s="10"/>
      <c r="K1208" s="10"/>
      <c r="L1208" s="10"/>
      <c r="M1208" s="10"/>
      <c r="N1208" s="10"/>
      <c r="O1208" s="10"/>
      <c r="P1208" s="10"/>
      <c r="Q1208" s="10"/>
      <c r="R1208" s="10"/>
      <c r="S1208" s="10"/>
      <c r="T1208" s="10"/>
      <c r="U1208" s="10"/>
      <c r="V1208" s="10"/>
      <c r="W1208" s="10"/>
      <c r="X1208" s="10"/>
      <c r="Y1208" s="10"/>
    </row>
    <row r="1209" spans="5:25" ht="15" customHeight="1" x14ac:dyDescent="0.2">
      <c r="E1209" s="10"/>
      <c r="F1209" s="10"/>
      <c r="G1209" s="10"/>
      <c r="H1209" s="10"/>
      <c r="I1209" s="10"/>
      <c r="J1209" s="10"/>
      <c r="K1209" s="10"/>
      <c r="L1209" s="10"/>
      <c r="M1209" s="10"/>
      <c r="N1209" s="10"/>
      <c r="O1209" s="10"/>
      <c r="P1209" s="10"/>
      <c r="Q1209" s="10"/>
      <c r="R1209" s="10"/>
      <c r="S1209" s="10"/>
      <c r="T1209" s="10"/>
      <c r="U1209" s="10"/>
      <c r="V1209" s="10"/>
      <c r="W1209" s="10"/>
      <c r="X1209" s="10"/>
      <c r="Y1209" s="10"/>
    </row>
    <row r="1210" spans="5:25" ht="15" customHeight="1" x14ac:dyDescent="0.2">
      <c r="E1210" s="10"/>
      <c r="F1210" s="10"/>
      <c r="G1210" s="10"/>
      <c r="H1210" s="10"/>
      <c r="I1210" s="10"/>
      <c r="J1210" s="10"/>
      <c r="K1210" s="10"/>
      <c r="L1210" s="10"/>
      <c r="M1210" s="10"/>
      <c r="N1210" s="10"/>
      <c r="O1210" s="10"/>
      <c r="P1210" s="10"/>
      <c r="Q1210" s="10"/>
      <c r="R1210" s="10"/>
      <c r="S1210" s="10"/>
      <c r="T1210" s="10"/>
      <c r="U1210" s="10"/>
      <c r="V1210" s="10"/>
      <c r="W1210" s="10"/>
      <c r="X1210" s="10"/>
      <c r="Y1210" s="10"/>
    </row>
    <row r="1211" spans="5:25" ht="15" customHeight="1" x14ac:dyDescent="0.2">
      <c r="E1211" s="10"/>
      <c r="F1211" s="10"/>
      <c r="G1211" s="10"/>
      <c r="H1211" s="10"/>
      <c r="I1211" s="10"/>
      <c r="J1211" s="10"/>
      <c r="K1211" s="10"/>
      <c r="L1211" s="10"/>
      <c r="M1211" s="10"/>
      <c r="N1211" s="10"/>
      <c r="O1211" s="10"/>
      <c r="P1211" s="10"/>
      <c r="Q1211" s="10"/>
      <c r="R1211" s="10"/>
      <c r="S1211" s="10"/>
      <c r="T1211" s="10"/>
      <c r="U1211" s="10"/>
      <c r="V1211" s="10"/>
      <c r="W1211" s="10"/>
      <c r="X1211" s="10"/>
      <c r="Y1211" s="10"/>
    </row>
    <row r="1212" spans="5:25" ht="15" customHeight="1" x14ac:dyDescent="0.2">
      <c r="E1212" s="10"/>
      <c r="F1212" s="10"/>
      <c r="G1212" s="10"/>
      <c r="H1212" s="10"/>
      <c r="I1212" s="10"/>
      <c r="J1212" s="10"/>
      <c r="K1212" s="10"/>
      <c r="L1212" s="10"/>
      <c r="M1212" s="10"/>
      <c r="N1212" s="10"/>
      <c r="O1212" s="10"/>
      <c r="P1212" s="10"/>
      <c r="Q1212" s="10"/>
      <c r="R1212" s="10"/>
      <c r="S1212" s="10"/>
      <c r="T1212" s="10"/>
      <c r="U1212" s="10"/>
      <c r="V1212" s="10"/>
      <c r="W1212" s="10"/>
      <c r="X1212" s="10"/>
      <c r="Y1212" s="10"/>
    </row>
    <row r="1213" spans="5:25" ht="15" customHeight="1" x14ac:dyDescent="0.2">
      <c r="E1213" s="10"/>
      <c r="F1213" s="10"/>
      <c r="G1213" s="10"/>
      <c r="H1213" s="10"/>
      <c r="I1213" s="10"/>
      <c r="J1213" s="10"/>
      <c r="K1213" s="10"/>
      <c r="L1213" s="10"/>
      <c r="M1213" s="10"/>
      <c r="N1213" s="10"/>
      <c r="O1213" s="10"/>
      <c r="P1213" s="10"/>
      <c r="Q1213" s="10"/>
      <c r="R1213" s="10"/>
      <c r="S1213" s="10"/>
      <c r="T1213" s="10"/>
      <c r="U1213" s="10"/>
      <c r="V1213" s="10"/>
      <c r="W1213" s="10"/>
      <c r="X1213" s="10"/>
      <c r="Y1213" s="10"/>
    </row>
    <row r="1214" spans="5:25" ht="15" customHeight="1" x14ac:dyDescent="0.2">
      <c r="E1214" s="10"/>
      <c r="F1214" s="10"/>
      <c r="G1214" s="10"/>
      <c r="H1214" s="10"/>
      <c r="I1214" s="10"/>
      <c r="J1214" s="10"/>
      <c r="K1214" s="10"/>
      <c r="L1214" s="10"/>
      <c r="M1214" s="10"/>
      <c r="N1214" s="10"/>
      <c r="O1214" s="10"/>
      <c r="P1214" s="10"/>
      <c r="Q1214" s="10"/>
      <c r="R1214" s="10"/>
      <c r="S1214" s="10"/>
      <c r="T1214" s="10"/>
      <c r="U1214" s="10"/>
      <c r="V1214" s="10"/>
      <c r="W1214" s="10"/>
      <c r="X1214" s="10"/>
      <c r="Y1214" s="10"/>
    </row>
    <row r="1215" spans="5:25" ht="15" customHeight="1" x14ac:dyDescent="0.2">
      <c r="E1215" s="10"/>
      <c r="F1215" s="10"/>
      <c r="G1215" s="10"/>
      <c r="H1215" s="10"/>
      <c r="I1215" s="10"/>
      <c r="J1215" s="10"/>
      <c r="K1215" s="10"/>
      <c r="L1215" s="10"/>
      <c r="M1215" s="10"/>
      <c r="N1215" s="10"/>
      <c r="O1215" s="10"/>
      <c r="P1215" s="10"/>
      <c r="Q1215" s="10"/>
      <c r="R1215" s="10"/>
      <c r="S1215" s="10"/>
      <c r="T1215" s="10"/>
      <c r="U1215" s="10"/>
      <c r="V1215" s="10"/>
      <c r="W1215" s="10"/>
      <c r="X1215" s="10"/>
      <c r="Y1215" s="10"/>
    </row>
    <row r="1216" spans="5:25" ht="15" customHeight="1" x14ac:dyDescent="0.2">
      <c r="E1216" s="10"/>
      <c r="F1216" s="10"/>
      <c r="G1216" s="10"/>
      <c r="H1216" s="10"/>
      <c r="I1216" s="10"/>
      <c r="J1216" s="10"/>
      <c r="K1216" s="10"/>
      <c r="L1216" s="10"/>
      <c r="M1216" s="10"/>
      <c r="N1216" s="10"/>
      <c r="O1216" s="10"/>
      <c r="P1216" s="10"/>
      <c r="Q1216" s="10"/>
      <c r="R1216" s="10"/>
      <c r="S1216" s="10"/>
      <c r="T1216" s="10"/>
      <c r="U1216" s="10"/>
      <c r="V1216" s="10"/>
      <c r="W1216" s="10"/>
      <c r="X1216" s="10"/>
      <c r="Y1216" s="10"/>
    </row>
    <row r="1217" spans="5:25" ht="15" customHeight="1" x14ac:dyDescent="0.2">
      <c r="E1217" s="10"/>
      <c r="F1217" s="10"/>
      <c r="G1217" s="10"/>
      <c r="H1217" s="10"/>
      <c r="I1217" s="10"/>
      <c r="J1217" s="10"/>
      <c r="K1217" s="10"/>
      <c r="L1217" s="10"/>
      <c r="M1217" s="10"/>
      <c r="N1217" s="10"/>
      <c r="O1217" s="10"/>
      <c r="P1217" s="10"/>
      <c r="Q1217" s="10"/>
      <c r="R1217" s="10"/>
      <c r="S1217" s="10"/>
      <c r="T1217" s="10"/>
      <c r="U1217" s="10"/>
      <c r="V1217" s="10"/>
      <c r="W1217" s="10"/>
      <c r="X1217" s="10"/>
      <c r="Y1217" s="10"/>
    </row>
    <row r="1218" spans="5:25" ht="15" customHeight="1" x14ac:dyDescent="0.2">
      <c r="E1218" s="10"/>
      <c r="F1218" s="10"/>
      <c r="G1218" s="10"/>
      <c r="H1218" s="10"/>
      <c r="I1218" s="10"/>
      <c r="J1218" s="10"/>
      <c r="K1218" s="10"/>
      <c r="L1218" s="10"/>
      <c r="M1218" s="10"/>
      <c r="N1218" s="10"/>
      <c r="O1218" s="10"/>
      <c r="P1218" s="10"/>
      <c r="Q1218" s="10"/>
      <c r="R1218" s="10"/>
      <c r="S1218" s="10"/>
      <c r="T1218" s="10"/>
      <c r="U1218" s="10"/>
      <c r="V1218" s="10"/>
      <c r="W1218" s="10"/>
      <c r="X1218" s="10"/>
      <c r="Y1218" s="10"/>
    </row>
    <row r="1219" spans="5:25" ht="15" customHeight="1" x14ac:dyDescent="0.2">
      <c r="E1219" s="10"/>
      <c r="F1219" s="10"/>
      <c r="G1219" s="10"/>
      <c r="H1219" s="10"/>
      <c r="I1219" s="10"/>
      <c r="J1219" s="10"/>
      <c r="K1219" s="10"/>
      <c r="L1219" s="10"/>
      <c r="M1219" s="10"/>
      <c r="N1219" s="10"/>
      <c r="O1219" s="10"/>
      <c r="P1219" s="10"/>
      <c r="Q1219" s="10"/>
      <c r="R1219" s="10"/>
      <c r="S1219" s="10"/>
      <c r="T1219" s="10"/>
      <c r="U1219" s="10"/>
      <c r="V1219" s="10"/>
      <c r="W1219" s="10"/>
      <c r="X1219" s="10"/>
      <c r="Y1219" s="10"/>
    </row>
    <row r="1220" spans="5:25" ht="15" customHeight="1" x14ac:dyDescent="0.2">
      <c r="E1220" s="10"/>
      <c r="F1220" s="10"/>
      <c r="G1220" s="10"/>
      <c r="H1220" s="10"/>
      <c r="I1220" s="10"/>
      <c r="J1220" s="10"/>
      <c r="K1220" s="10"/>
      <c r="L1220" s="10"/>
      <c r="M1220" s="10"/>
      <c r="N1220" s="10"/>
      <c r="O1220" s="10"/>
      <c r="P1220" s="10"/>
      <c r="Q1220" s="10"/>
      <c r="R1220" s="10"/>
      <c r="S1220" s="10"/>
      <c r="T1220" s="10"/>
      <c r="U1220" s="10"/>
      <c r="V1220" s="10"/>
      <c r="W1220" s="10"/>
      <c r="X1220" s="10"/>
      <c r="Y1220" s="10"/>
    </row>
    <row r="1221" spans="5:25" ht="15" customHeight="1" x14ac:dyDescent="0.2">
      <c r="E1221" s="10"/>
      <c r="F1221" s="10"/>
      <c r="G1221" s="10"/>
      <c r="H1221" s="10"/>
      <c r="I1221" s="10"/>
      <c r="J1221" s="10"/>
      <c r="K1221" s="10"/>
      <c r="L1221" s="10"/>
      <c r="M1221" s="10"/>
      <c r="N1221" s="10"/>
      <c r="O1221" s="10"/>
      <c r="P1221" s="10"/>
      <c r="Q1221" s="10"/>
      <c r="R1221" s="10"/>
      <c r="S1221" s="10"/>
      <c r="T1221" s="10"/>
      <c r="U1221" s="10"/>
      <c r="V1221" s="10"/>
      <c r="W1221" s="10"/>
      <c r="X1221" s="10"/>
      <c r="Y1221" s="10"/>
    </row>
    <row r="1222" spans="5:25" ht="15" customHeight="1" x14ac:dyDescent="0.2">
      <c r="E1222" s="10"/>
      <c r="F1222" s="10"/>
      <c r="G1222" s="10"/>
      <c r="H1222" s="10"/>
      <c r="I1222" s="10"/>
      <c r="J1222" s="10"/>
      <c r="K1222" s="10"/>
      <c r="L1222" s="10"/>
      <c r="M1222" s="10"/>
      <c r="N1222" s="10"/>
      <c r="O1222" s="10"/>
      <c r="P1222" s="10"/>
      <c r="Q1222" s="10"/>
      <c r="R1222" s="10"/>
      <c r="S1222" s="10"/>
      <c r="T1222" s="10"/>
      <c r="U1222" s="10"/>
      <c r="V1222" s="10"/>
      <c r="W1222" s="10"/>
      <c r="X1222" s="10"/>
      <c r="Y1222" s="10"/>
    </row>
    <row r="1223" spans="5:25" ht="15" customHeight="1" x14ac:dyDescent="0.2">
      <c r="E1223" s="10"/>
      <c r="F1223" s="10"/>
      <c r="G1223" s="10"/>
      <c r="H1223" s="10"/>
      <c r="I1223" s="10"/>
      <c r="J1223" s="10"/>
      <c r="K1223" s="10"/>
      <c r="L1223" s="10"/>
      <c r="M1223" s="10"/>
      <c r="N1223" s="10"/>
      <c r="O1223" s="10"/>
      <c r="P1223" s="10"/>
      <c r="Q1223" s="10"/>
      <c r="R1223" s="10"/>
      <c r="S1223" s="10"/>
      <c r="T1223" s="10"/>
      <c r="U1223" s="10"/>
      <c r="V1223" s="10"/>
      <c r="W1223" s="10"/>
      <c r="X1223" s="10"/>
      <c r="Y1223" s="10"/>
    </row>
    <row r="1224" spans="5:25" ht="15" customHeight="1" x14ac:dyDescent="0.2">
      <c r="E1224" s="10"/>
      <c r="F1224" s="10"/>
      <c r="G1224" s="10"/>
      <c r="H1224" s="10"/>
      <c r="I1224" s="10"/>
      <c r="J1224" s="10"/>
      <c r="K1224" s="10"/>
      <c r="L1224" s="10"/>
      <c r="M1224" s="10"/>
      <c r="N1224" s="10"/>
      <c r="O1224" s="10"/>
      <c r="P1224" s="10"/>
      <c r="Q1224" s="10"/>
      <c r="R1224" s="10"/>
      <c r="S1224" s="10"/>
      <c r="T1224" s="10"/>
      <c r="U1224" s="10"/>
      <c r="V1224" s="10"/>
      <c r="W1224" s="10"/>
      <c r="X1224" s="10"/>
      <c r="Y1224" s="10"/>
    </row>
    <row r="1225" spans="5:25" ht="15" customHeight="1" x14ac:dyDescent="0.2">
      <c r="E1225" s="10"/>
      <c r="F1225" s="10"/>
      <c r="G1225" s="10"/>
      <c r="H1225" s="10"/>
      <c r="I1225" s="10"/>
      <c r="J1225" s="10"/>
      <c r="K1225" s="10"/>
      <c r="L1225" s="10"/>
      <c r="M1225" s="10"/>
      <c r="N1225" s="10"/>
      <c r="O1225" s="10"/>
      <c r="P1225" s="10"/>
      <c r="Q1225" s="10"/>
      <c r="R1225" s="10"/>
      <c r="S1225" s="10"/>
      <c r="T1225" s="10"/>
      <c r="U1225" s="10"/>
      <c r="V1225" s="10"/>
      <c r="W1225" s="10"/>
      <c r="X1225" s="10"/>
      <c r="Y1225" s="10"/>
    </row>
    <row r="1226" spans="5:25" ht="15" customHeight="1" x14ac:dyDescent="0.2">
      <c r="E1226" s="10"/>
      <c r="F1226" s="10"/>
      <c r="G1226" s="10"/>
      <c r="H1226" s="10"/>
      <c r="I1226" s="10"/>
      <c r="J1226" s="10"/>
      <c r="K1226" s="10"/>
      <c r="L1226" s="10"/>
      <c r="M1226" s="10"/>
      <c r="N1226" s="10"/>
      <c r="O1226" s="10"/>
      <c r="P1226" s="10"/>
      <c r="Q1226" s="10"/>
      <c r="R1226" s="10"/>
      <c r="S1226" s="10"/>
      <c r="T1226" s="10"/>
      <c r="U1226" s="10"/>
      <c r="V1226" s="10"/>
      <c r="W1226" s="10"/>
      <c r="X1226" s="10"/>
      <c r="Y1226" s="10"/>
    </row>
    <row r="1227" spans="5:25" ht="15" customHeight="1" x14ac:dyDescent="0.2">
      <c r="E1227" s="10"/>
      <c r="F1227" s="10"/>
      <c r="G1227" s="10"/>
      <c r="H1227" s="10"/>
      <c r="I1227" s="10"/>
      <c r="J1227" s="10"/>
      <c r="K1227" s="10"/>
      <c r="L1227" s="10"/>
      <c r="M1227" s="10"/>
      <c r="N1227" s="10"/>
      <c r="O1227" s="10"/>
      <c r="P1227" s="10"/>
      <c r="Q1227" s="10"/>
      <c r="R1227" s="10"/>
      <c r="S1227" s="10"/>
      <c r="T1227" s="10"/>
      <c r="U1227" s="10"/>
      <c r="V1227" s="10"/>
      <c r="W1227" s="10"/>
      <c r="X1227" s="10"/>
      <c r="Y1227" s="10"/>
    </row>
    <row r="1228" spans="5:25" ht="15" customHeight="1" x14ac:dyDescent="0.2">
      <c r="E1228" s="10"/>
      <c r="F1228" s="10"/>
      <c r="G1228" s="10"/>
      <c r="H1228" s="10"/>
      <c r="I1228" s="10"/>
      <c r="J1228" s="10"/>
      <c r="K1228" s="10"/>
      <c r="L1228" s="10"/>
      <c r="M1228" s="10"/>
      <c r="N1228" s="10"/>
      <c r="O1228" s="10"/>
      <c r="P1228" s="10"/>
      <c r="Q1228" s="10"/>
      <c r="R1228" s="10"/>
      <c r="S1228" s="10"/>
      <c r="T1228" s="10"/>
      <c r="U1228" s="10"/>
      <c r="V1228" s="10"/>
      <c r="W1228" s="10"/>
      <c r="X1228" s="10"/>
      <c r="Y1228" s="10"/>
    </row>
    <row r="1229" spans="5:25" ht="15" customHeight="1" x14ac:dyDescent="0.2">
      <c r="E1229" s="10"/>
      <c r="F1229" s="10"/>
      <c r="G1229" s="10"/>
      <c r="H1229" s="10"/>
      <c r="I1229" s="10"/>
      <c r="J1229" s="10"/>
      <c r="K1229" s="10"/>
      <c r="L1229" s="10"/>
      <c r="M1229" s="10"/>
      <c r="N1229" s="10"/>
      <c r="O1229" s="10"/>
      <c r="P1229" s="10"/>
      <c r="Q1229" s="10"/>
      <c r="R1229" s="10"/>
      <c r="S1229" s="10"/>
      <c r="T1229" s="10"/>
      <c r="U1229" s="10"/>
      <c r="V1229" s="10"/>
      <c r="W1229" s="10"/>
      <c r="X1229" s="10"/>
      <c r="Y1229" s="10"/>
    </row>
    <row r="1230" spans="5:25" ht="15" customHeight="1" x14ac:dyDescent="0.2">
      <c r="E1230" s="10"/>
      <c r="F1230" s="10"/>
      <c r="G1230" s="10"/>
      <c r="H1230" s="10"/>
      <c r="I1230" s="10"/>
      <c r="J1230" s="10"/>
      <c r="K1230" s="10"/>
      <c r="L1230" s="10"/>
      <c r="M1230" s="10"/>
      <c r="N1230" s="10"/>
      <c r="O1230" s="10"/>
      <c r="P1230" s="10"/>
      <c r="Q1230" s="10"/>
      <c r="R1230" s="10"/>
      <c r="S1230" s="10"/>
      <c r="T1230" s="10"/>
      <c r="U1230" s="10"/>
      <c r="V1230" s="10"/>
      <c r="W1230" s="10"/>
      <c r="X1230" s="10"/>
      <c r="Y1230" s="10"/>
    </row>
    <row r="1231" spans="5:25" ht="15" customHeight="1" x14ac:dyDescent="0.2">
      <c r="E1231" s="10"/>
      <c r="F1231" s="10"/>
      <c r="G1231" s="10"/>
      <c r="H1231" s="10"/>
      <c r="I1231" s="10"/>
      <c r="J1231" s="10"/>
      <c r="K1231" s="10"/>
      <c r="L1231" s="10"/>
      <c r="M1231" s="10"/>
      <c r="N1231" s="10"/>
      <c r="O1231" s="10"/>
      <c r="P1231" s="10"/>
      <c r="Q1231" s="10"/>
      <c r="R1231" s="10"/>
      <c r="S1231" s="10"/>
      <c r="T1231" s="10"/>
      <c r="U1231" s="10"/>
      <c r="V1231" s="10"/>
      <c r="W1231" s="10"/>
      <c r="X1231" s="10"/>
      <c r="Y1231" s="10"/>
    </row>
    <row r="1232" spans="5:25" ht="15" customHeight="1" x14ac:dyDescent="0.2">
      <c r="E1232" s="10"/>
      <c r="F1232" s="10"/>
      <c r="G1232" s="10"/>
      <c r="H1232" s="10"/>
      <c r="I1232" s="10"/>
      <c r="J1232" s="10"/>
      <c r="K1232" s="10"/>
      <c r="L1232" s="10"/>
      <c r="M1232" s="10"/>
      <c r="N1232" s="10"/>
      <c r="O1232" s="10"/>
      <c r="P1232" s="10"/>
      <c r="Q1232" s="10"/>
      <c r="R1232" s="10"/>
      <c r="S1232" s="10"/>
      <c r="T1232" s="10"/>
      <c r="U1232" s="10"/>
      <c r="V1232" s="10"/>
      <c r="W1232" s="10"/>
      <c r="X1232" s="10"/>
      <c r="Y1232" s="10"/>
    </row>
    <row r="1233" spans="5:25" ht="15" customHeight="1" x14ac:dyDescent="0.2">
      <c r="E1233" s="10"/>
      <c r="F1233" s="10"/>
      <c r="G1233" s="10"/>
      <c r="H1233" s="10"/>
      <c r="I1233" s="10"/>
      <c r="J1233" s="10"/>
      <c r="K1233" s="10"/>
      <c r="L1233" s="10"/>
      <c r="M1233" s="10"/>
      <c r="N1233" s="10"/>
      <c r="O1233" s="10"/>
      <c r="P1233" s="10"/>
      <c r="Q1233" s="10"/>
      <c r="R1233" s="10"/>
      <c r="S1233" s="10"/>
      <c r="T1233" s="10"/>
      <c r="U1233" s="10"/>
      <c r="V1233" s="10"/>
      <c r="W1233" s="10"/>
      <c r="X1233" s="10"/>
      <c r="Y1233" s="10"/>
    </row>
    <row r="1234" spans="5:25" ht="15" customHeight="1" x14ac:dyDescent="0.2">
      <c r="E1234" s="10"/>
      <c r="F1234" s="10"/>
      <c r="G1234" s="10"/>
      <c r="H1234" s="10"/>
      <c r="I1234" s="10"/>
      <c r="J1234" s="10"/>
      <c r="K1234" s="10"/>
      <c r="L1234" s="10"/>
      <c r="M1234" s="10"/>
      <c r="N1234" s="10"/>
      <c r="O1234" s="10"/>
      <c r="P1234" s="10"/>
      <c r="Q1234" s="10"/>
      <c r="R1234" s="10"/>
      <c r="S1234" s="10"/>
      <c r="T1234" s="10"/>
      <c r="U1234" s="10"/>
      <c r="V1234" s="10"/>
      <c r="W1234" s="10"/>
      <c r="X1234" s="10"/>
      <c r="Y1234" s="10"/>
    </row>
    <row r="1235" spans="5:25" ht="15" customHeight="1" x14ac:dyDescent="0.2">
      <c r="E1235" s="10"/>
      <c r="F1235" s="10"/>
      <c r="G1235" s="10"/>
      <c r="H1235" s="10"/>
      <c r="I1235" s="10"/>
      <c r="J1235" s="10"/>
      <c r="K1235" s="10"/>
      <c r="L1235" s="10"/>
      <c r="M1235" s="10"/>
      <c r="N1235" s="10"/>
      <c r="O1235" s="10"/>
      <c r="P1235" s="10"/>
      <c r="Q1235" s="10"/>
      <c r="R1235" s="10"/>
      <c r="S1235" s="10"/>
      <c r="T1235" s="10"/>
      <c r="U1235" s="10"/>
      <c r="V1235" s="10"/>
      <c r="W1235" s="10"/>
      <c r="X1235" s="10"/>
      <c r="Y1235" s="10"/>
    </row>
    <row r="1236" spans="5:25" ht="15" customHeight="1" x14ac:dyDescent="0.2">
      <c r="E1236" s="10"/>
      <c r="F1236" s="10"/>
      <c r="G1236" s="10"/>
      <c r="H1236" s="10"/>
      <c r="I1236" s="10"/>
      <c r="J1236" s="10"/>
      <c r="K1236" s="10"/>
      <c r="L1236" s="10"/>
      <c r="M1236" s="10"/>
      <c r="N1236" s="10"/>
      <c r="O1236" s="10"/>
      <c r="P1236" s="10"/>
      <c r="Q1236" s="10"/>
      <c r="R1236" s="10"/>
      <c r="S1236" s="10"/>
      <c r="T1236" s="10"/>
      <c r="U1236" s="10"/>
      <c r="V1236" s="10"/>
      <c r="W1236" s="10"/>
      <c r="X1236" s="10"/>
      <c r="Y1236" s="10"/>
    </row>
    <row r="1237" spans="5:25" ht="15" customHeight="1" x14ac:dyDescent="0.2">
      <c r="E1237" s="10"/>
      <c r="F1237" s="10"/>
      <c r="G1237" s="10"/>
      <c r="H1237" s="10"/>
      <c r="I1237" s="10"/>
      <c r="J1237" s="10"/>
      <c r="K1237" s="10"/>
      <c r="L1237" s="10"/>
      <c r="M1237" s="10"/>
      <c r="N1237" s="10"/>
      <c r="O1237" s="10"/>
      <c r="P1237" s="10"/>
      <c r="Q1237" s="10"/>
      <c r="R1237" s="10"/>
      <c r="S1237" s="10"/>
      <c r="T1237" s="10"/>
      <c r="U1237" s="10"/>
      <c r="V1237" s="10"/>
      <c r="W1237" s="10"/>
      <c r="X1237" s="10"/>
      <c r="Y1237" s="10"/>
    </row>
    <row r="1238" spans="5:25" ht="15" customHeight="1" x14ac:dyDescent="0.2">
      <c r="E1238" s="10"/>
      <c r="F1238" s="10"/>
      <c r="G1238" s="10"/>
      <c r="H1238" s="10"/>
      <c r="I1238" s="10"/>
      <c r="J1238" s="10"/>
      <c r="K1238" s="10"/>
      <c r="L1238" s="10"/>
      <c r="M1238" s="10"/>
      <c r="N1238" s="10"/>
      <c r="O1238" s="10"/>
      <c r="P1238" s="10"/>
      <c r="Q1238" s="10"/>
      <c r="R1238" s="10"/>
      <c r="S1238" s="10"/>
      <c r="T1238" s="10"/>
      <c r="U1238" s="10"/>
      <c r="V1238" s="10"/>
      <c r="W1238" s="10"/>
      <c r="X1238" s="10"/>
      <c r="Y1238" s="10"/>
    </row>
    <row r="1239" spans="5:25" ht="15" customHeight="1" x14ac:dyDescent="0.2">
      <c r="E1239" s="10"/>
      <c r="F1239" s="10"/>
      <c r="G1239" s="10"/>
      <c r="H1239" s="10"/>
      <c r="I1239" s="10"/>
      <c r="J1239" s="10"/>
      <c r="K1239" s="10"/>
      <c r="L1239" s="10"/>
      <c r="M1239" s="10"/>
      <c r="N1239" s="10"/>
      <c r="O1239" s="10"/>
      <c r="P1239" s="10"/>
      <c r="Q1239" s="10"/>
      <c r="R1239" s="10"/>
      <c r="S1239" s="10"/>
      <c r="T1239" s="10"/>
      <c r="U1239" s="10"/>
      <c r="V1239" s="10"/>
      <c r="W1239" s="10"/>
      <c r="X1239" s="10"/>
      <c r="Y1239" s="10"/>
    </row>
    <row r="1240" spans="5:25" ht="15" customHeight="1" x14ac:dyDescent="0.2">
      <c r="E1240" s="10"/>
      <c r="F1240" s="10"/>
      <c r="G1240" s="10"/>
      <c r="H1240" s="10"/>
      <c r="I1240" s="10"/>
      <c r="J1240" s="10"/>
      <c r="K1240" s="10"/>
      <c r="L1240" s="10"/>
      <c r="M1240" s="10"/>
      <c r="N1240" s="10"/>
      <c r="O1240" s="10"/>
      <c r="P1240" s="10"/>
      <c r="Q1240" s="10"/>
      <c r="R1240" s="10"/>
      <c r="S1240" s="10"/>
      <c r="T1240" s="10"/>
      <c r="U1240" s="10"/>
      <c r="V1240" s="10"/>
      <c r="W1240" s="10"/>
      <c r="X1240" s="10"/>
      <c r="Y1240" s="10"/>
    </row>
    <row r="1241" spans="5:25" ht="15" customHeight="1" x14ac:dyDescent="0.2">
      <c r="E1241" s="10"/>
      <c r="F1241" s="10"/>
      <c r="G1241" s="10"/>
      <c r="H1241" s="10"/>
      <c r="I1241" s="10"/>
      <c r="J1241" s="10"/>
      <c r="K1241" s="10"/>
      <c r="L1241" s="10"/>
      <c r="M1241" s="10"/>
      <c r="N1241" s="10"/>
      <c r="O1241" s="10"/>
      <c r="P1241" s="10"/>
      <c r="Q1241" s="10"/>
      <c r="R1241" s="10"/>
      <c r="S1241" s="10"/>
      <c r="T1241" s="10"/>
      <c r="U1241" s="10"/>
      <c r="V1241" s="10"/>
      <c r="W1241" s="10"/>
      <c r="X1241" s="10"/>
      <c r="Y1241" s="10"/>
    </row>
    <row r="1242" spans="5:25" ht="15" customHeight="1" x14ac:dyDescent="0.2">
      <c r="E1242" s="10"/>
      <c r="F1242" s="10"/>
      <c r="G1242" s="10"/>
      <c r="H1242" s="10"/>
      <c r="I1242" s="10"/>
      <c r="J1242" s="10"/>
      <c r="K1242" s="10"/>
      <c r="L1242" s="10"/>
      <c r="M1242" s="10"/>
      <c r="N1242" s="10"/>
      <c r="O1242" s="10"/>
      <c r="P1242" s="10"/>
      <c r="Q1242" s="10"/>
      <c r="R1242" s="10"/>
      <c r="S1242" s="10"/>
      <c r="T1242" s="10"/>
      <c r="U1242" s="10"/>
      <c r="V1242" s="10"/>
      <c r="W1242" s="10"/>
      <c r="X1242" s="10"/>
      <c r="Y1242" s="10"/>
    </row>
    <row r="1243" spans="5:25" ht="15" customHeight="1" x14ac:dyDescent="0.2">
      <c r="E1243" s="10"/>
      <c r="F1243" s="10"/>
      <c r="G1243" s="10"/>
      <c r="H1243" s="10"/>
      <c r="I1243" s="10"/>
      <c r="J1243" s="10"/>
      <c r="K1243" s="10"/>
      <c r="L1243" s="10"/>
      <c r="M1243" s="10"/>
      <c r="N1243" s="10"/>
      <c r="O1243" s="10"/>
      <c r="P1243" s="10"/>
      <c r="Q1243" s="10"/>
      <c r="R1243" s="10"/>
      <c r="S1243" s="10"/>
      <c r="T1243" s="10"/>
      <c r="U1243" s="10"/>
      <c r="V1243" s="10"/>
      <c r="W1243" s="10"/>
      <c r="X1243" s="10"/>
      <c r="Y1243" s="10"/>
    </row>
    <row r="1244" spans="5:25" ht="15" customHeight="1" x14ac:dyDescent="0.2">
      <c r="E1244" s="10"/>
      <c r="F1244" s="10"/>
      <c r="G1244" s="10"/>
      <c r="H1244" s="10"/>
      <c r="I1244" s="10"/>
      <c r="J1244" s="10"/>
      <c r="K1244" s="10"/>
      <c r="L1244" s="10"/>
      <c r="M1244" s="10"/>
      <c r="N1244" s="10"/>
      <c r="O1244" s="10"/>
      <c r="P1244" s="10"/>
      <c r="Q1244" s="10"/>
      <c r="R1244" s="10"/>
      <c r="S1244" s="10"/>
      <c r="T1244" s="10"/>
      <c r="U1244" s="10"/>
      <c r="V1244" s="10"/>
      <c r="W1244" s="10"/>
      <c r="X1244" s="10"/>
      <c r="Y1244" s="10"/>
    </row>
    <row r="1245" spans="5:25" ht="15" customHeight="1" x14ac:dyDescent="0.2">
      <c r="E1245" s="10"/>
      <c r="F1245" s="10"/>
      <c r="G1245" s="10"/>
      <c r="H1245" s="10"/>
      <c r="I1245" s="10"/>
      <c r="J1245" s="10"/>
      <c r="K1245" s="10"/>
      <c r="L1245" s="10"/>
      <c r="M1245" s="10"/>
      <c r="N1245" s="10"/>
      <c r="O1245" s="10"/>
      <c r="P1245" s="10"/>
      <c r="Q1245" s="10"/>
      <c r="R1245" s="10"/>
      <c r="S1245" s="10"/>
      <c r="T1245" s="10"/>
      <c r="U1245" s="10"/>
      <c r="V1245" s="10"/>
      <c r="W1245" s="10"/>
      <c r="X1245" s="10"/>
      <c r="Y1245" s="10"/>
    </row>
    <row r="1246" spans="5:25" ht="15" customHeight="1" x14ac:dyDescent="0.2">
      <c r="E1246" s="10"/>
      <c r="F1246" s="10"/>
      <c r="G1246" s="10"/>
      <c r="H1246" s="10"/>
      <c r="I1246" s="10"/>
      <c r="J1246" s="10"/>
      <c r="K1246" s="10"/>
      <c r="L1246" s="10"/>
      <c r="M1246" s="10"/>
      <c r="N1246" s="10"/>
      <c r="O1246" s="10"/>
      <c r="P1246" s="10"/>
      <c r="Q1246" s="10"/>
      <c r="R1246" s="10"/>
      <c r="S1246" s="10"/>
      <c r="T1246" s="10"/>
      <c r="U1246" s="10"/>
      <c r="V1246" s="10"/>
      <c r="W1246" s="10"/>
      <c r="X1246" s="10"/>
      <c r="Y1246" s="10"/>
    </row>
    <row r="1247" spans="5:25" ht="15" customHeight="1" x14ac:dyDescent="0.2">
      <c r="E1247" s="10"/>
      <c r="F1247" s="10"/>
      <c r="G1247" s="10"/>
      <c r="H1247" s="10"/>
      <c r="I1247" s="10"/>
      <c r="J1247" s="10"/>
      <c r="K1247" s="10"/>
      <c r="L1247" s="10"/>
      <c r="M1247" s="10"/>
      <c r="N1247" s="10"/>
      <c r="O1247" s="10"/>
      <c r="P1247" s="10"/>
      <c r="Q1247" s="10"/>
      <c r="R1247" s="10"/>
      <c r="S1247" s="10"/>
      <c r="T1247" s="10"/>
      <c r="U1247" s="10"/>
      <c r="V1247" s="10"/>
      <c r="W1247" s="10"/>
      <c r="X1247" s="10"/>
      <c r="Y1247" s="10"/>
    </row>
    <row r="1248" spans="5:25" ht="15" customHeight="1" x14ac:dyDescent="0.2">
      <c r="E1248" s="10"/>
      <c r="F1248" s="10"/>
      <c r="G1248" s="10"/>
      <c r="H1248" s="10"/>
      <c r="I1248" s="10"/>
      <c r="J1248" s="10"/>
      <c r="K1248" s="10"/>
      <c r="L1248" s="10"/>
      <c r="M1248" s="10"/>
      <c r="N1248" s="10"/>
      <c r="O1248" s="10"/>
      <c r="P1248" s="10"/>
      <c r="Q1248" s="10"/>
      <c r="R1248" s="10"/>
      <c r="S1248" s="10"/>
      <c r="T1248" s="10"/>
      <c r="U1248" s="10"/>
      <c r="V1248" s="10"/>
      <c r="W1248" s="10"/>
      <c r="X1248" s="10"/>
      <c r="Y1248" s="10"/>
    </row>
    <row r="1249" spans="5:25" ht="15" customHeight="1" x14ac:dyDescent="0.2">
      <c r="E1249" s="10"/>
      <c r="F1249" s="10"/>
      <c r="G1249" s="10"/>
      <c r="H1249" s="10"/>
      <c r="I1249" s="10"/>
      <c r="J1249" s="10"/>
      <c r="K1249" s="10"/>
      <c r="L1249" s="10"/>
      <c r="M1249" s="10"/>
      <c r="N1249" s="10"/>
      <c r="O1249" s="10"/>
      <c r="P1249" s="10"/>
      <c r="Q1249" s="10"/>
      <c r="R1249" s="10"/>
      <c r="S1249" s="10"/>
      <c r="T1249" s="10"/>
      <c r="U1249" s="10"/>
      <c r="V1249" s="10"/>
      <c r="W1249" s="10"/>
      <c r="X1249" s="10"/>
      <c r="Y1249" s="10"/>
    </row>
    <row r="1250" spans="5:25" ht="15" customHeight="1" x14ac:dyDescent="0.2">
      <c r="E1250" s="10"/>
      <c r="F1250" s="10"/>
      <c r="G1250" s="10"/>
      <c r="H1250" s="10"/>
      <c r="I1250" s="10"/>
      <c r="J1250" s="10"/>
      <c r="K1250" s="10"/>
      <c r="L1250" s="10"/>
      <c r="M1250" s="10"/>
      <c r="N1250" s="10"/>
      <c r="O1250" s="10"/>
      <c r="P1250" s="10"/>
      <c r="Q1250" s="10"/>
      <c r="R1250" s="10"/>
      <c r="S1250" s="10"/>
      <c r="T1250" s="10"/>
      <c r="U1250" s="10"/>
      <c r="V1250" s="10"/>
      <c r="W1250" s="10"/>
      <c r="X1250" s="10"/>
      <c r="Y1250" s="10"/>
    </row>
    <row r="1251" spans="5:25" ht="15" customHeight="1" x14ac:dyDescent="0.2">
      <c r="E1251" s="10"/>
      <c r="F1251" s="10"/>
      <c r="G1251" s="10"/>
      <c r="H1251" s="10"/>
      <c r="I1251" s="10"/>
      <c r="J1251" s="10"/>
      <c r="K1251" s="10"/>
      <c r="L1251" s="10"/>
      <c r="M1251" s="10"/>
      <c r="N1251" s="10"/>
      <c r="O1251" s="10"/>
      <c r="P1251" s="10"/>
      <c r="Q1251" s="10"/>
      <c r="R1251" s="10"/>
      <c r="S1251" s="10"/>
      <c r="T1251" s="10"/>
      <c r="U1251" s="10"/>
      <c r="V1251" s="10"/>
      <c r="W1251" s="10"/>
      <c r="X1251" s="10"/>
      <c r="Y1251" s="10"/>
    </row>
    <row r="1252" spans="5:25" ht="15" customHeight="1" x14ac:dyDescent="0.2">
      <c r="E1252" s="10"/>
      <c r="F1252" s="10"/>
      <c r="G1252" s="10"/>
      <c r="H1252" s="10"/>
      <c r="I1252" s="10"/>
      <c r="J1252" s="10"/>
      <c r="K1252" s="10"/>
      <c r="L1252" s="10"/>
      <c r="M1252" s="10"/>
      <c r="N1252" s="10"/>
      <c r="O1252" s="10"/>
      <c r="P1252" s="10"/>
      <c r="Q1252" s="10"/>
      <c r="R1252" s="10"/>
      <c r="S1252" s="10"/>
      <c r="T1252" s="10"/>
      <c r="U1252" s="10"/>
      <c r="V1252" s="10"/>
      <c r="W1252" s="10"/>
      <c r="X1252" s="10"/>
      <c r="Y1252" s="10"/>
    </row>
    <row r="1253" spans="5:25" ht="15" customHeight="1" x14ac:dyDescent="0.2">
      <c r="E1253" s="10"/>
      <c r="F1253" s="10"/>
      <c r="G1253" s="10"/>
      <c r="H1253" s="10"/>
      <c r="I1253" s="10"/>
      <c r="J1253" s="10"/>
      <c r="K1253" s="10"/>
      <c r="L1253" s="10"/>
      <c r="M1253" s="10"/>
      <c r="N1253" s="10"/>
      <c r="O1253" s="10"/>
      <c r="P1253" s="10"/>
      <c r="Q1253" s="10"/>
      <c r="R1253" s="10"/>
      <c r="S1253" s="10"/>
      <c r="T1253" s="10"/>
      <c r="U1253" s="10"/>
      <c r="V1253" s="10"/>
      <c r="W1253" s="10"/>
      <c r="X1253" s="10"/>
      <c r="Y1253" s="10"/>
    </row>
    <row r="1254" spans="5:25" ht="15" customHeight="1" x14ac:dyDescent="0.2">
      <c r="E1254" s="10"/>
      <c r="F1254" s="10"/>
      <c r="G1254" s="10"/>
      <c r="H1254" s="10"/>
      <c r="I1254" s="10"/>
      <c r="J1254" s="10"/>
      <c r="K1254" s="10"/>
      <c r="L1254" s="10"/>
      <c r="M1254" s="10"/>
      <c r="N1254" s="10"/>
      <c r="O1254" s="10"/>
      <c r="P1254" s="10"/>
      <c r="Q1254" s="10"/>
      <c r="R1254" s="10"/>
      <c r="S1254" s="10"/>
      <c r="T1254" s="10"/>
      <c r="U1254" s="10"/>
      <c r="V1254" s="10"/>
      <c r="W1254" s="10"/>
      <c r="X1254" s="10"/>
      <c r="Y1254" s="10"/>
    </row>
    <row r="1255" spans="5:25" ht="15" customHeight="1" x14ac:dyDescent="0.2">
      <c r="E1255" s="10"/>
      <c r="F1255" s="10"/>
      <c r="G1255" s="10"/>
      <c r="H1255" s="10"/>
      <c r="I1255" s="10"/>
      <c r="J1255" s="10"/>
      <c r="K1255" s="10"/>
      <c r="L1255" s="10"/>
      <c r="M1255" s="10"/>
      <c r="N1255" s="10"/>
      <c r="O1255" s="10"/>
      <c r="P1255" s="10"/>
      <c r="Q1255" s="10"/>
      <c r="R1255" s="10"/>
      <c r="S1255" s="10"/>
      <c r="T1255" s="10"/>
      <c r="U1255" s="10"/>
      <c r="V1255" s="10"/>
      <c r="W1255" s="10"/>
      <c r="X1255" s="10"/>
      <c r="Y1255" s="10"/>
    </row>
    <row r="1256" spans="5:25" ht="15" customHeight="1" x14ac:dyDescent="0.2">
      <c r="E1256" s="10"/>
      <c r="F1256" s="10"/>
      <c r="G1256" s="10"/>
      <c r="H1256" s="10"/>
      <c r="I1256" s="10"/>
      <c r="J1256" s="10"/>
      <c r="K1256" s="10"/>
      <c r="L1256" s="10"/>
      <c r="M1256" s="10"/>
      <c r="N1256" s="10"/>
      <c r="O1256" s="10"/>
      <c r="P1256" s="10"/>
      <c r="Q1256" s="10"/>
      <c r="R1256" s="10"/>
      <c r="S1256" s="10"/>
      <c r="T1256" s="10"/>
      <c r="U1256" s="10"/>
      <c r="V1256" s="10"/>
      <c r="W1256" s="10"/>
      <c r="X1256" s="10"/>
      <c r="Y1256" s="10"/>
    </row>
    <row r="1257" spans="5:25" ht="15" customHeight="1" x14ac:dyDescent="0.2">
      <c r="E1257" s="10"/>
      <c r="F1257" s="10"/>
      <c r="G1257" s="10"/>
      <c r="H1257" s="10"/>
      <c r="I1257" s="10"/>
      <c r="J1257" s="10"/>
      <c r="K1257" s="10"/>
      <c r="L1257" s="10"/>
      <c r="M1257" s="10"/>
      <c r="N1257" s="10"/>
      <c r="O1257" s="10"/>
      <c r="P1257" s="10"/>
      <c r="Q1257" s="10"/>
      <c r="R1257" s="10"/>
      <c r="S1257" s="10"/>
      <c r="T1257" s="10"/>
      <c r="U1257" s="10"/>
      <c r="V1257" s="10"/>
      <c r="W1257" s="10"/>
      <c r="X1257" s="10"/>
      <c r="Y1257" s="10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B3:AI1791"/>
  <sheetViews>
    <sheetView showGridLines="0" tabSelected="1" workbookViewId="0">
      <selection activeCell="D10" sqref="D10"/>
    </sheetView>
  </sheetViews>
  <sheetFormatPr defaultColWidth="9.140625" defaultRowHeight="15" customHeight="1" x14ac:dyDescent="0.25"/>
  <cols>
    <col min="1" max="1" width="3.7109375" style="7" customWidth="1"/>
    <col min="2" max="3" width="15.7109375" style="7" customWidth="1"/>
    <col min="4" max="4" width="3.7109375" style="7" customWidth="1"/>
    <col min="5" max="35" width="15.7109375" style="7" customWidth="1"/>
    <col min="36" max="16384" width="9.140625" style="7"/>
  </cols>
  <sheetData>
    <row r="3" spans="2:35" ht="15" customHeight="1" x14ac:dyDescent="0.25">
      <c r="F3" s="18"/>
      <c r="G3" s="19"/>
      <c r="H3" s="19"/>
      <c r="I3" s="18"/>
      <c r="J3" s="19"/>
      <c r="K3" s="20"/>
      <c r="L3" s="20"/>
      <c r="M3" s="20"/>
      <c r="N3" s="19"/>
    </row>
    <row r="6" spans="2:35" ht="15" customHeight="1" x14ac:dyDescent="0.25">
      <c r="B6" s="21" t="s">
        <v>11</v>
      </c>
      <c r="C6" s="21" t="s">
        <v>0</v>
      </c>
      <c r="D6" s="10"/>
      <c r="E6" s="26" t="s">
        <v>1022</v>
      </c>
      <c r="F6" s="27" t="s">
        <v>12</v>
      </c>
      <c r="G6" s="27" t="s">
        <v>13</v>
      </c>
      <c r="H6" s="27" t="s">
        <v>14</v>
      </c>
      <c r="I6" s="27" t="s">
        <v>15</v>
      </c>
      <c r="J6" s="27" t="s">
        <v>16</v>
      </c>
      <c r="K6" s="27" t="s">
        <v>17</v>
      </c>
      <c r="L6" s="24" t="s">
        <v>18</v>
      </c>
      <c r="M6" s="24" t="s">
        <v>19</v>
      </c>
      <c r="N6" s="27" t="s">
        <v>1368</v>
      </c>
      <c r="O6" s="27" t="s">
        <v>1019</v>
      </c>
      <c r="P6" s="27" t="s">
        <v>1370</v>
      </c>
      <c r="Q6" s="27" t="s">
        <v>1371</v>
      </c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</row>
    <row r="7" spans="2:35" ht="15" customHeight="1" x14ac:dyDescent="0.25">
      <c r="B7" s="22" t="s">
        <v>20</v>
      </c>
      <c r="C7" s="23" t="s">
        <v>21</v>
      </c>
      <c r="D7" s="10"/>
      <c r="E7" s="26" t="s">
        <v>21</v>
      </c>
      <c r="F7" s="28" t="s">
        <v>1023</v>
      </c>
      <c r="G7" s="28">
        <v>91.43</v>
      </c>
      <c r="H7" s="28">
        <v>17.72</v>
      </c>
      <c r="I7" s="28">
        <v>1.39</v>
      </c>
      <c r="J7" s="28">
        <v>3.2789999999999999</v>
      </c>
      <c r="K7" s="28">
        <v>0</v>
      </c>
      <c r="L7" s="25">
        <v>1.8131999999999999</v>
      </c>
      <c r="M7" s="25">
        <v>2.3414000000000001</v>
      </c>
      <c r="N7" s="28">
        <v>81.099999999999994</v>
      </c>
      <c r="O7" s="28">
        <v>97.19</v>
      </c>
      <c r="P7" s="28">
        <v>1.1273736128236744</v>
      </c>
      <c r="Q7" s="28">
        <v>0.94073464348183977</v>
      </c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</row>
    <row r="8" spans="2:35" ht="15" customHeight="1" x14ac:dyDescent="0.25">
      <c r="B8" s="22" t="s">
        <v>22</v>
      </c>
      <c r="C8" s="23" t="s">
        <v>23</v>
      </c>
      <c r="D8" s="10"/>
      <c r="E8" s="26" t="s">
        <v>23</v>
      </c>
      <c r="F8" s="28" t="s">
        <v>23</v>
      </c>
      <c r="G8" s="28">
        <v>0</v>
      </c>
      <c r="H8" s="28">
        <v>0</v>
      </c>
      <c r="I8" s="28">
        <v>0</v>
      </c>
      <c r="J8" s="28">
        <v>0</v>
      </c>
      <c r="K8" s="28">
        <v>0</v>
      </c>
      <c r="L8" s="25">
        <v>0</v>
      </c>
      <c r="M8" s="25">
        <v>0</v>
      </c>
      <c r="N8" s="28">
        <v>0</v>
      </c>
      <c r="O8" s="28">
        <v>0</v>
      </c>
      <c r="P8" s="28"/>
      <c r="Q8" s="28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</row>
    <row r="9" spans="2:35" ht="15" customHeight="1" x14ac:dyDescent="0.25">
      <c r="B9" s="22" t="s">
        <v>24</v>
      </c>
      <c r="C9" s="23" t="s">
        <v>25</v>
      </c>
      <c r="D9" s="10"/>
      <c r="E9" s="26" t="s">
        <v>25</v>
      </c>
      <c r="F9" s="28" t="s">
        <v>1024</v>
      </c>
      <c r="G9" s="28">
        <v>52.36</v>
      </c>
      <c r="H9" s="28">
        <v>15.63</v>
      </c>
      <c r="I9" s="28">
        <v>1.33</v>
      </c>
      <c r="J9" s="28">
        <v>0.64</v>
      </c>
      <c r="K9" s="28">
        <v>2.12</v>
      </c>
      <c r="L9" s="25">
        <v>0.72819999999999996</v>
      </c>
      <c r="M9" s="25">
        <v>4.5015999999999998</v>
      </c>
      <c r="N9" s="28">
        <v>37.340000000000003</v>
      </c>
      <c r="O9" s="28">
        <v>56.06</v>
      </c>
      <c r="P9" s="28">
        <v>1.4022495982860206</v>
      </c>
      <c r="Q9" s="28">
        <v>0.93399928647877284</v>
      </c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</row>
    <row r="10" spans="2:35" ht="15" customHeight="1" x14ac:dyDescent="0.25">
      <c r="B10" s="22" t="s">
        <v>26</v>
      </c>
      <c r="C10" s="23" t="s">
        <v>27</v>
      </c>
      <c r="D10" s="10"/>
      <c r="E10" s="26" t="s">
        <v>27</v>
      </c>
      <c r="F10" s="28" t="s">
        <v>1372</v>
      </c>
      <c r="G10" s="28">
        <v>11.42</v>
      </c>
      <c r="H10" s="28">
        <v>0</v>
      </c>
      <c r="I10" s="28">
        <v>2.38</v>
      </c>
      <c r="J10" s="28">
        <v>0.15</v>
      </c>
      <c r="K10" s="28">
        <v>0.82</v>
      </c>
      <c r="L10" s="25">
        <v>-0.2162</v>
      </c>
      <c r="M10" s="25">
        <v>-0.56369999999999998</v>
      </c>
      <c r="N10" s="28">
        <v>8.85</v>
      </c>
      <c r="O10" s="28">
        <v>12.75</v>
      </c>
      <c r="P10" s="28">
        <v>1.2903954802259889</v>
      </c>
      <c r="Q10" s="28">
        <v>0.89568627450980387</v>
      </c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</row>
    <row r="11" spans="2:35" ht="15" customHeight="1" x14ac:dyDescent="0.25">
      <c r="B11" s="22" t="s">
        <v>28</v>
      </c>
      <c r="C11" s="23" t="s">
        <v>29</v>
      </c>
      <c r="D11" s="10"/>
      <c r="E11" s="26" t="s">
        <v>29</v>
      </c>
      <c r="F11" s="28" t="s">
        <v>1373</v>
      </c>
      <c r="G11" s="28">
        <v>34.07</v>
      </c>
      <c r="H11" s="28">
        <v>16.66</v>
      </c>
      <c r="I11" s="28">
        <v>2.0499999999999998</v>
      </c>
      <c r="J11" s="28">
        <v>1.7</v>
      </c>
      <c r="K11" s="28">
        <v>21.68</v>
      </c>
      <c r="L11" s="25">
        <v>0.19620000000000001</v>
      </c>
      <c r="M11" s="25">
        <v>0.74080000000000001</v>
      </c>
      <c r="N11" s="28">
        <v>29.77</v>
      </c>
      <c r="O11" s="28">
        <v>36.82</v>
      </c>
      <c r="P11" s="28">
        <v>1.1444407121263018</v>
      </c>
      <c r="Q11" s="28">
        <v>0.92531233025529602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2:35" ht="15" customHeight="1" x14ac:dyDescent="0.25">
      <c r="B12" s="22" t="s">
        <v>30</v>
      </c>
      <c r="C12" s="23" t="s">
        <v>31</v>
      </c>
      <c r="D12" s="10"/>
      <c r="E12" s="26" t="s">
        <v>31</v>
      </c>
      <c r="F12" s="28" t="s">
        <v>31</v>
      </c>
      <c r="G12" s="28">
        <v>0</v>
      </c>
      <c r="H12" s="28">
        <v>0</v>
      </c>
      <c r="I12" s="28">
        <v>0</v>
      </c>
      <c r="J12" s="28">
        <v>0</v>
      </c>
      <c r="K12" s="28">
        <v>0</v>
      </c>
      <c r="L12" s="25">
        <v>0</v>
      </c>
      <c r="M12" s="25">
        <v>0</v>
      </c>
      <c r="N12" s="28">
        <v>0</v>
      </c>
      <c r="O12" s="28">
        <v>0</v>
      </c>
      <c r="P12" s="28"/>
      <c r="Q12" s="28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2:35" ht="15" customHeight="1" x14ac:dyDescent="0.25">
      <c r="B13" s="22" t="s">
        <v>32</v>
      </c>
      <c r="C13" s="23" t="s">
        <v>33</v>
      </c>
      <c r="D13" s="10"/>
      <c r="E13" s="26" t="s">
        <v>33</v>
      </c>
      <c r="F13" s="28" t="s">
        <v>1025</v>
      </c>
      <c r="G13" s="28">
        <v>45.99</v>
      </c>
      <c r="H13" s="28">
        <v>11.98</v>
      </c>
      <c r="I13" s="28">
        <v>0.77</v>
      </c>
      <c r="J13" s="28">
        <v>0.7</v>
      </c>
      <c r="K13" s="28">
        <v>1.43</v>
      </c>
      <c r="L13" s="25">
        <v>3.9005999999999998</v>
      </c>
      <c r="M13" s="25">
        <v>12.0215</v>
      </c>
      <c r="N13" s="28">
        <v>20</v>
      </c>
      <c r="O13" s="28">
        <v>50.25</v>
      </c>
      <c r="P13" s="28">
        <v>2.2995000000000001</v>
      </c>
      <c r="Q13" s="28">
        <v>0.91522388059701498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2:35" ht="15" customHeight="1" x14ac:dyDescent="0.25">
      <c r="B14" s="22" t="s">
        <v>34</v>
      </c>
      <c r="C14" s="23" t="s">
        <v>35</v>
      </c>
      <c r="D14" s="10"/>
      <c r="E14" s="26" t="s">
        <v>35</v>
      </c>
      <c r="F14" s="28" t="s">
        <v>1026</v>
      </c>
      <c r="G14" s="28">
        <v>36.729999999999997</v>
      </c>
      <c r="H14" s="28">
        <v>16.91</v>
      </c>
      <c r="I14" s="28">
        <v>1.28</v>
      </c>
      <c r="J14" s="28">
        <v>0.91</v>
      </c>
      <c r="K14" s="28">
        <v>2.96</v>
      </c>
      <c r="L14" s="25">
        <v>1.0477000000000001</v>
      </c>
      <c r="M14" s="25">
        <v>1.9415</v>
      </c>
      <c r="N14" s="28">
        <v>30.74</v>
      </c>
      <c r="O14" s="28">
        <v>39.229999999999997</v>
      </c>
      <c r="P14" s="28">
        <v>1.1948601171112558</v>
      </c>
      <c r="Q14" s="28">
        <v>0.93627326026000524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</row>
    <row r="15" spans="2:35" ht="15" customHeight="1" x14ac:dyDescent="0.25">
      <c r="B15" s="22" t="s">
        <v>36</v>
      </c>
      <c r="C15" s="23" t="s">
        <v>37</v>
      </c>
      <c r="D15" s="10"/>
      <c r="E15" s="26" t="s">
        <v>37</v>
      </c>
      <c r="F15" s="28" t="s">
        <v>1374</v>
      </c>
      <c r="G15" s="28">
        <v>19.850000000000001</v>
      </c>
      <c r="H15" s="28">
        <v>10.74</v>
      </c>
      <c r="I15" s="28">
        <v>1.83</v>
      </c>
      <c r="J15" s="28">
        <v>0.8</v>
      </c>
      <c r="K15" s="28">
        <v>1.81</v>
      </c>
      <c r="L15" s="25">
        <v>0.23619999999999999</v>
      </c>
      <c r="M15" s="25">
        <v>1.9113</v>
      </c>
      <c r="N15" s="28">
        <v>12.17</v>
      </c>
      <c r="O15" s="28">
        <v>20.78</v>
      </c>
      <c r="P15" s="28">
        <v>1.6310599835661463</v>
      </c>
      <c r="Q15" s="28">
        <v>0.95524542829643888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</row>
    <row r="16" spans="2:35" ht="15" customHeight="1" x14ac:dyDescent="0.25">
      <c r="B16" s="22" t="s">
        <v>38</v>
      </c>
      <c r="C16" s="23" t="s">
        <v>39</v>
      </c>
      <c r="D16" s="10"/>
      <c r="E16" s="26" t="s">
        <v>39</v>
      </c>
      <c r="F16" s="28" t="s">
        <v>1027</v>
      </c>
      <c r="G16" s="28">
        <v>8.58</v>
      </c>
      <c r="H16" s="28">
        <v>30.07</v>
      </c>
      <c r="I16" s="28">
        <v>0</v>
      </c>
      <c r="J16" s="28">
        <v>1</v>
      </c>
      <c r="K16" s="28">
        <v>4.5</v>
      </c>
      <c r="L16" s="25">
        <v>-0.89559999999999995</v>
      </c>
      <c r="M16" s="25">
        <v>-0.85699999999999998</v>
      </c>
      <c r="N16" s="28">
        <v>7.86</v>
      </c>
      <c r="O16" s="28">
        <v>10.050000000000001</v>
      </c>
      <c r="P16" s="28">
        <v>1.0916030534351147</v>
      </c>
      <c r="Q16" s="28">
        <v>0.85373134328358202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</row>
    <row r="17" spans="2:35" ht="15" customHeight="1" x14ac:dyDescent="0.25">
      <c r="B17" s="22" t="s">
        <v>40</v>
      </c>
      <c r="C17" s="23" t="s">
        <v>41</v>
      </c>
      <c r="D17" s="10"/>
      <c r="E17" s="26" t="s">
        <v>41</v>
      </c>
      <c r="F17" s="28" t="s">
        <v>1028</v>
      </c>
      <c r="G17" s="28">
        <v>46.05</v>
      </c>
      <c r="H17" s="28">
        <v>9.74</v>
      </c>
      <c r="I17" s="28">
        <v>1.19</v>
      </c>
      <c r="J17" s="28">
        <v>1.1299999999999999</v>
      </c>
      <c r="K17" s="28">
        <v>1.06</v>
      </c>
      <c r="L17" s="25">
        <v>1.5485</v>
      </c>
      <c r="M17" s="25">
        <v>5.0461999999999998</v>
      </c>
      <c r="N17" s="28">
        <v>30.76</v>
      </c>
      <c r="O17" s="28">
        <v>48.88</v>
      </c>
      <c r="P17" s="28">
        <v>1.497074122236671</v>
      </c>
      <c r="Q17" s="28">
        <v>0.94210310965630117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</row>
    <row r="18" spans="2:35" ht="15" customHeight="1" x14ac:dyDescent="0.25">
      <c r="B18" s="22" t="s">
        <v>42</v>
      </c>
      <c r="C18" s="23" t="s">
        <v>43</v>
      </c>
      <c r="D18" s="10"/>
      <c r="E18" s="26" t="s">
        <v>43</v>
      </c>
      <c r="F18" s="28" t="s">
        <v>1029</v>
      </c>
      <c r="G18" s="28">
        <v>55.55</v>
      </c>
      <c r="H18" s="28">
        <v>10.34</v>
      </c>
      <c r="I18" s="28">
        <v>0.69</v>
      </c>
      <c r="J18" s="28">
        <v>0.47</v>
      </c>
      <c r="K18" s="28">
        <v>1.73</v>
      </c>
      <c r="L18" s="25">
        <v>6.6</v>
      </c>
      <c r="M18" s="25">
        <v>13.069100000000001</v>
      </c>
      <c r="N18" s="28">
        <v>20.77</v>
      </c>
      <c r="O18" s="28">
        <v>60.25</v>
      </c>
      <c r="P18" s="28">
        <v>2.6745305729417428</v>
      </c>
      <c r="Q18" s="28">
        <v>0.92199170124481333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</row>
    <row r="19" spans="2:35" ht="15" customHeight="1" x14ac:dyDescent="0.25">
      <c r="B19" s="22" t="s">
        <v>44</v>
      </c>
      <c r="C19" s="23" t="s">
        <v>45</v>
      </c>
      <c r="D19" s="10"/>
      <c r="E19" s="26" t="s">
        <v>45</v>
      </c>
      <c r="F19" s="28" t="s">
        <v>45</v>
      </c>
      <c r="G19" s="28">
        <v>0</v>
      </c>
      <c r="H19" s="28">
        <v>0</v>
      </c>
      <c r="I19" s="28">
        <v>0</v>
      </c>
      <c r="J19" s="28">
        <v>0</v>
      </c>
      <c r="K19" s="28">
        <v>0</v>
      </c>
      <c r="L19" s="25">
        <v>0</v>
      </c>
      <c r="M19" s="25">
        <v>0</v>
      </c>
      <c r="N19" s="28">
        <v>0</v>
      </c>
      <c r="O19" s="28">
        <v>0</v>
      </c>
      <c r="P19" s="28"/>
      <c r="Q19" s="28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</row>
    <row r="20" spans="2:35" ht="15" customHeight="1" x14ac:dyDescent="0.25">
      <c r="B20" s="22" t="s">
        <v>46</v>
      </c>
      <c r="C20" s="23" t="s">
        <v>47</v>
      </c>
      <c r="D20" s="10"/>
      <c r="E20" s="26" t="s">
        <v>47</v>
      </c>
      <c r="F20" s="28" t="s">
        <v>47</v>
      </c>
      <c r="G20" s="28">
        <v>0</v>
      </c>
      <c r="H20" s="28">
        <v>0</v>
      </c>
      <c r="I20" s="28">
        <v>0</v>
      </c>
      <c r="J20" s="28">
        <v>0</v>
      </c>
      <c r="K20" s="28">
        <v>0</v>
      </c>
      <c r="L20" s="25">
        <v>0</v>
      </c>
      <c r="M20" s="25">
        <v>0</v>
      </c>
      <c r="N20" s="28">
        <v>0</v>
      </c>
      <c r="O20" s="28">
        <v>0</v>
      </c>
      <c r="P20" s="28"/>
      <c r="Q20" s="28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</row>
    <row r="21" spans="2:35" ht="15" customHeight="1" x14ac:dyDescent="0.25">
      <c r="B21" s="22" t="s">
        <v>48</v>
      </c>
      <c r="C21" s="23" t="s">
        <v>49</v>
      </c>
      <c r="D21" s="10"/>
      <c r="E21" s="26" t="s">
        <v>49</v>
      </c>
      <c r="F21" s="28" t="s">
        <v>1369</v>
      </c>
      <c r="G21" s="28">
        <v>11.6</v>
      </c>
      <c r="H21" s="28">
        <v>0</v>
      </c>
      <c r="I21" s="28">
        <v>0</v>
      </c>
      <c r="J21" s="28">
        <v>0</v>
      </c>
      <c r="K21" s="28">
        <v>0</v>
      </c>
      <c r="L21" s="25">
        <v>-1.0491999999999999</v>
      </c>
      <c r="M21" s="25">
        <v>-1.7014</v>
      </c>
      <c r="N21" s="28">
        <v>10.33</v>
      </c>
      <c r="O21" s="28">
        <v>0</v>
      </c>
      <c r="P21" s="28">
        <v>1.122942884801549</v>
      </c>
      <c r="Q21" s="28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</row>
    <row r="22" spans="2:35" ht="15" customHeight="1" x14ac:dyDescent="0.25">
      <c r="B22" s="22" t="s">
        <v>50</v>
      </c>
      <c r="C22" s="23" t="s">
        <v>51</v>
      </c>
      <c r="D22" s="10"/>
      <c r="E22" s="26" t="s">
        <v>51</v>
      </c>
      <c r="F22" s="28" t="s">
        <v>51</v>
      </c>
      <c r="G22" s="28">
        <v>0</v>
      </c>
      <c r="H22" s="28">
        <v>0</v>
      </c>
      <c r="I22" s="28">
        <v>0</v>
      </c>
      <c r="J22" s="28">
        <v>0</v>
      </c>
      <c r="K22" s="28">
        <v>0</v>
      </c>
      <c r="L22" s="25">
        <v>0</v>
      </c>
      <c r="M22" s="25">
        <v>0</v>
      </c>
      <c r="N22" s="28">
        <v>0</v>
      </c>
      <c r="O22" s="28">
        <v>0</v>
      </c>
      <c r="P22" s="28"/>
      <c r="Q22" s="28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</row>
    <row r="23" spans="2:35" ht="15" customHeight="1" x14ac:dyDescent="0.25">
      <c r="B23" s="22" t="s">
        <v>52</v>
      </c>
      <c r="C23" s="23" t="s">
        <v>53</v>
      </c>
      <c r="D23" s="10"/>
      <c r="E23" s="26" t="s">
        <v>53</v>
      </c>
      <c r="F23" s="28" t="s">
        <v>1030</v>
      </c>
      <c r="G23" s="28">
        <v>11.86</v>
      </c>
      <c r="H23" s="28">
        <v>2.48</v>
      </c>
      <c r="I23" s="28">
        <v>1.08</v>
      </c>
      <c r="J23" s="28">
        <v>0.06</v>
      </c>
      <c r="K23" s="28">
        <v>1.01</v>
      </c>
      <c r="L23" s="25">
        <v>0.8841</v>
      </c>
      <c r="M23" s="25">
        <v>3.1244000000000001</v>
      </c>
      <c r="N23" s="28">
        <v>4.0999999999999996</v>
      </c>
      <c r="O23" s="28">
        <v>11.38</v>
      </c>
      <c r="P23" s="28">
        <v>2.8926829268292682</v>
      </c>
      <c r="Q23" s="28">
        <v>1.0421792618629175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2:35" ht="15" customHeight="1" x14ac:dyDescent="0.25">
      <c r="B24" s="22" t="s">
        <v>54</v>
      </c>
      <c r="C24" s="23" t="s">
        <v>55</v>
      </c>
      <c r="D24" s="10"/>
      <c r="E24" s="26" t="s">
        <v>55</v>
      </c>
      <c r="F24" s="28" t="s">
        <v>1031</v>
      </c>
      <c r="G24" s="28">
        <v>84.42</v>
      </c>
      <c r="H24" s="28">
        <v>14.69</v>
      </c>
      <c r="I24" s="28">
        <v>1.54</v>
      </c>
      <c r="J24" s="28">
        <v>1.64</v>
      </c>
      <c r="K24" s="28">
        <v>1.37</v>
      </c>
      <c r="L24" s="25">
        <v>2.8437999999999999</v>
      </c>
      <c r="M24" s="25">
        <v>6.9996999999999998</v>
      </c>
      <c r="N24" s="28">
        <v>66.650000000000006</v>
      </c>
      <c r="O24" s="28">
        <v>87</v>
      </c>
      <c r="P24" s="28">
        <v>1.2666166541635409</v>
      </c>
      <c r="Q24" s="28">
        <v>0.97034482758620688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2:35" ht="15" customHeight="1" x14ac:dyDescent="0.25">
      <c r="B25" s="22" t="s">
        <v>56</v>
      </c>
      <c r="C25" s="23" t="s">
        <v>57</v>
      </c>
      <c r="D25" s="10"/>
      <c r="E25" s="26" t="s">
        <v>57</v>
      </c>
      <c r="F25" s="28" t="s">
        <v>1032</v>
      </c>
      <c r="G25" s="28">
        <v>80.78</v>
      </c>
      <c r="H25" s="28">
        <v>12.71</v>
      </c>
      <c r="I25" s="28">
        <v>1.1100000000000001</v>
      </c>
      <c r="J25" s="28">
        <v>1.79</v>
      </c>
      <c r="K25" s="28">
        <v>1.19</v>
      </c>
      <c r="L25" s="25">
        <v>2.5381999999999998</v>
      </c>
      <c r="M25" s="25">
        <v>9.0512999999999995</v>
      </c>
      <c r="N25" s="28">
        <v>55.86</v>
      </c>
      <c r="O25" s="28">
        <v>83.06</v>
      </c>
      <c r="P25" s="28">
        <v>1.4461152882205515</v>
      </c>
      <c r="Q25" s="28">
        <v>0.97254996388153148</v>
      </c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2:35" ht="15" customHeight="1" x14ac:dyDescent="0.25">
      <c r="B26" s="22" t="s">
        <v>58</v>
      </c>
      <c r="C26" s="23" t="s">
        <v>59</v>
      </c>
      <c r="D26" s="10"/>
      <c r="E26" s="26" t="s">
        <v>59</v>
      </c>
      <c r="F26" s="28" t="s">
        <v>1033</v>
      </c>
      <c r="G26" s="28">
        <v>66.260000000000005</v>
      </c>
      <c r="H26" s="28">
        <v>18.510000000000002</v>
      </c>
      <c r="I26" s="28">
        <v>3.56</v>
      </c>
      <c r="J26" s="28">
        <v>2.4159999999999999</v>
      </c>
      <c r="K26" s="28">
        <v>1.54</v>
      </c>
      <c r="L26" s="25">
        <v>2.8418000000000001</v>
      </c>
      <c r="M26" s="25">
        <v>5.3125</v>
      </c>
      <c r="N26" s="28">
        <v>53.59</v>
      </c>
      <c r="O26" s="28">
        <v>64.67</v>
      </c>
      <c r="P26" s="28">
        <v>1.2364247061018847</v>
      </c>
      <c r="Q26" s="28">
        <v>1.0245863615277564</v>
      </c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2:35" ht="15" customHeight="1" x14ac:dyDescent="0.25">
      <c r="B27" s="22" t="s">
        <v>60</v>
      </c>
      <c r="C27" s="23" t="s">
        <v>61</v>
      </c>
      <c r="D27" s="10"/>
      <c r="E27" s="26" t="s">
        <v>61</v>
      </c>
      <c r="F27" s="28" t="s">
        <v>1034</v>
      </c>
      <c r="G27" s="28">
        <v>90.38</v>
      </c>
      <c r="H27" s="28">
        <v>17.75</v>
      </c>
      <c r="I27" s="28">
        <v>1.5</v>
      </c>
      <c r="J27" s="28">
        <v>1.835</v>
      </c>
      <c r="K27" s="28">
        <v>6.31</v>
      </c>
      <c r="L27" s="25">
        <v>1.2679</v>
      </c>
      <c r="M27" s="25">
        <v>11.6412</v>
      </c>
      <c r="N27" s="28">
        <v>61.2</v>
      </c>
      <c r="O27" s="28">
        <v>91.71</v>
      </c>
      <c r="P27" s="28">
        <v>1.4767973856209151</v>
      </c>
      <c r="Q27" s="28">
        <v>0.98549776469305417</v>
      </c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2:35" ht="15" customHeight="1" x14ac:dyDescent="0.25">
      <c r="B28" s="22" t="s">
        <v>62</v>
      </c>
      <c r="C28" s="23" t="s">
        <v>63</v>
      </c>
      <c r="D28" s="10"/>
      <c r="E28" s="26" t="s">
        <v>63</v>
      </c>
      <c r="F28" s="28" t="s">
        <v>1035</v>
      </c>
      <c r="G28" s="28">
        <v>85.77</v>
      </c>
      <c r="H28" s="28">
        <v>10.78</v>
      </c>
      <c r="I28" s="28">
        <v>1.65</v>
      </c>
      <c r="J28" s="28">
        <v>1.94</v>
      </c>
      <c r="K28" s="28">
        <v>1.05</v>
      </c>
      <c r="L28" s="25">
        <v>0.86150000000000004</v>
      </c>
      <c r="M28" s="25">
        <v>6.2488000000000001</v>
      </c>
      <c r="N28" s="28">
        <v>68.98</v>
      </c>
      <c r="O28" s="28">
        <v>91.92</v>
      </c>
      <c r="P28" s="28">
        <v>1.2434038851841114</v>
      </c>
      <c r="Q28" s="28">
        <v>0.93309399477806787</v>
      </c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2:35" ht="15" customHeight="1" x14ac:dyDescent="0.25">
      <c r="B29" s="22" t="s">
        <v>64</v>
      </c>
      <c r="C29" s="23" t="s">
        <v>65</v>
      </c>
      <c r="D29" s="10"/>
      <c r="E29" s="26" t="s">
        <v>65</v>
      </c>
      <c r="F29" s="28" t="s">
        <v>1036</v>
      </c>
      <c r="G29" s="28">
        <v>44.99</v>
      </c>
      <c r="H29" s="28">
        <v>17.36</v>
      </c>
      <c r="I29" s="28">
        <v>9.36</v>
      </c>
      <c r="J29" s="28">
        <v>1.621</v>
      </c>
      <c r="K29" s="28">
        <v>1.33</v>
      </c>
      <c r="L29" s="25">
        <v>1.7903</v>
      </c>
      <c r="M29" s="25">
        <v>4.7034000000000002</v>
      </c>
      <c r="N29" s="28">
        <v>33.06</v>
      </c>
      <c r="O29" s="28">
        <v>41.67</v>
      </c>
      <c r="P29" s="28">
        <v>1.3608590441621295</v>
      </c>
      <c r="Q29" s="28">
        <v>1.0796736261099114</v>
      </c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2:35" ht="15" customHeight="1" x14ac:dyDescent="0.25">
      <c r="B30" s="22" t="s">
        <v>66</v>
      </c>
      <c r="C30" s="23" t="s">
        <v>67</v>
      </c>
      <c r="D30" s="10"/>
      <c r="E30" s="26" t="s">
        <v>67</v>
      </c>
      <c r="F30" s="28" t="s">
        <v>1375</v>
      </c>
      <c r="G30" s="28">
        <v>4.03</v>
      </c>
      <c r="H30" s="28">
        <v>0</v>
      </c>
      <c r="I30" s="28">
        <v>6.01</v>
      </c>
      <c r="J30" s="28">
        <v>0</v>
      </c>
      <c r="K30" s="28">
        <v>1.72</v>
      </c>
      <c r="L30" s="25">
        <v>-0.24379999999999999</v>
      </c>
      <c r="M30" s="25">
        <v>0.98970000000000002</v>
      </c>
      <c r="N30" s="28">
        <v>1.51</v>
      </c>
      <c r="O30" s="28">
        <v>4.34</v>
      </c>
      <c r="P30" s="28">
        <v>2.6688741721854305</v>
      </c>
      <c r="Q30" s="28">
        <v>0.9285714285714286</v>
      </c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2:35" ht="15" customHeight="1" x14ac:dyDescent="0.25">
      <c r="B31" s="22" t="s">
        <v>68</v>
      </c>
      <c r="C31" s="23" t="s">
        <v>69</v>
      </c>
      <c r="D31" s="10"/>
      <c r="E31" s="26" t="s">
        <v>69</v>
      </c>
      <c r="F31" s="28" t="s">
        <v>1037</v>
      </c>
      <c r="G31" s="28">
        <v>33.86</v>
      </c>
      <c r="H31" s="28">
        <v>12.57</v>
      </c>
      <c r="I31" s="28">
        <v>1.68</v>
      </c>
      <c r="J31" s="28">
        <v>0.55000000000000004</v>
      </c>
      <c r="K31" s="28">
        <v>0.91</v>
      </c>
      <c r="L31" s="25">
        <v>-9.1800000000000007E-2</v>
      </c>
      <c r="M31" s="25">
        <v>2.5722999999999998</v>
      </c>
      <c r="N31" s="28">
        <v>27.72</v>
      </c>
      <c r="O31" s="28">
        <v>34.07</v>
      </c>
      <c r="P31" s="28">
        <v>1.2215007215007216</v>
      </c>
      <c r="Q31" s="28">
        <v>0.9938362195479894</v>
      </c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2:35" ht="15" customHeight="1" x14ac:dyDescent="0.25">
      <c r="B32" s="22" t="s">
        <v>70</v>
      </c>
      <c r="C32" s="23" t="s">
        <v>71</v>
      </c>
      <c r="D32" s="10"/>
      <c r="E32" s="26" t="s">
        <v>71</v>
      </c>
      <c r="F32" s="28" t="s">
        <v>1038</v>
      </c>
      <c r="G32" s="28">
        <v>151.65</v>
      </c>
      <c r="H32" s="28">
        <v>10.47</v>
      </c>
      <c r="I32" s="28">
        <v>1.57</v>
      </c>
      <c r="J32" s="28">
        <v>1.92</v>
      </c>
      <c r="K32" s="28">
        <v>1.05</v>
      </c>
      <c r="L32" s="25">
        <v>4.2080000000000002</v>
      </c>
      <c r="M32" s="25">
        <v>26.238</v>
      </c>
      <c r="N32" s="28">
        <v>90.43</v>
      </c>
      <c r="O32" s="28">
        <v>146.96</v>
      </c>
      <c r="P32" s="28">
        <v>1.6769877253123964</v>
      </c>
      <c r="Q32" s="28">
        <v>1.0319134458356016</v>
      </c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2:30" ht="15" customHeight="1" x14ac:dyDescent="0.25">
      <c r="B33" s="22" t="s">
        <v>72</v>
      </c>
      <c r="C33" s="23" t="s">
        <v>73</v>
      </c>
      <c r="D33" s="10"/>
      <c r="E33" s="26" t="s">
        <v>73</v>
      </c>
      <c r="F33" s="28" t="s">
        <v>1376</v>
      </c>
      <c r="G33" s="28">
        <v>0</v>
      </c>
      <c r="H33" s="28">
        <v>0</v>
      </c>
      <c r="I33" s="28">
        <v>0</v>
      </c>
      <c r="J33" s="28">
        <v>0</v>
      </c>
      <c r="K33" s="28">
        <v>0</v>
      </c>
      <c r="L33" s="25">
        <v>0</v>
      </c>
      <c r="M33" s="25">
        <v>0</v>
      </c>
      <c r="N33" s="28">
        <v>0</v>
      </c>
      <c r="O33" s="28">
        <v>0</v>
      </c>
      <c r="P33" s="28"/>
      <c r="Q33" s="28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2:30" ht="15" customHeight="1" x14ac:dyDescent="0.25">
      <c r="B34" s="22" t="s">
        <v>74</v>
      </c>
      <c r="C34" s="23" t="s">
        <v>75</v>
      </c>
      <c r="D34" s="10"/>
      <c r="E34" s="26" t="s">
        <v>75</v>
      </c>
      <c r="F34" s="28" t="s">
        <v>1039</v>
      </c>
      <c r="G34" s="28">
        <v>23.73</v>
      </c>
      <c r="H34" s="28">
        <v>32.479999999999997</v>
      </c>
      <c r="I34" s="28">
        <v>1.1100000000000001</v>
      </c>
      <c r="J34" s="28">
        <v>0.4</v>
      </c>
      <c r="K34" s="28">
        <v>0.46</v>
      </c>
      <c r="L34" s="25">
        <v>-0.56530000000000002</v>
      </c>
      <c r="M34" s="25">
        <v>2.1812999999999998</v>
      </c>
      <c r="N34" s="28">
        <v>15.65</v>
      </c>
      <c r="O34" s="28">
        <v>27.57</v>
      </c>
      <c r="P34" s="28">
        <v>1.51629392971246</v>
      </c>
      <c r="Q34" s="28">
        <v>0.86071817192600664</v>
      </c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2:30" ht="15" customHeight="1" x14ac:dyDescent="0.25">
      <c r="B35" s="22" t="s">
        <v>76</v>
      </c>
      <c r="C35" s="23" t="s">
        <v>77</v>
      </c>
      <c r="D35" s="10"/>
      <c r="E35" s="26" t="s">
        <v>77</v>
      </c>
      <c r="F35" s="28" t="s">
        <v>1377</v>
      </c>
      <c r="G35" s="28">
        <v>0</v>
      </c>
      <c r="H35" s="28">
        <v>0</v>
      </c>
      <c r="I35" s="28">
        <v>0</v>
      </c>
      <c r="J35" s="28">
        <v>0</v>
      </c>
      <c r="K35" s="28">
        <v>0</v>
      </c>
      <c r="L35" s="25">
        <v>0</v>
      </c>
      <c r="M35" s="25">
        <v>0</v>
      </c>
      <c r="N35" s="28">
        <v>0</v>
      </c>
      <c r="O35" s="28">
        <v>0</v>
      </c>
      <c r="P35" s="28"/>
      <c r="Q35" s="28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2:30" ht="15" customHeight="1" x14ac:dyDescent="0.25">
      <c r="B36" s="22" t="s">
        <v>78</v>
      </c>
      <c r="C36" s="23" t="s">
        <v>79</v>
      </c>
      <c r="D36" s="10"/>
      <c r="E36" s="26" t="s">
        <v>79</v>
      </c>
      <c r="F36" s="28" t="s">
        <v>1040</v>
      </c>
      <c r="G36" s="28">
        <v>21.16</v>
      </c>
      <c r="H36" s="28">
        <v>0</v>
      </c>
      <c r="I36" s="28">
        <v>0</v>
      </c>
      <c r="J36" s="28">
        <v>0.2</v>
      </c>
      <c r="K36" s="28">
        <v>1.32</v>
      </c>
      <c r="L36" s="25">
        <v>1.5012000000000001</v>
      </c>
      <c r="M36" s="25">
        <v>-0.84240000000000004</v>
      </c>
      <c r="N36" s="28">
        <v>15.69</v>
      </c>
      <c r="O36" s="28">
        <v>18.41</v>
      </c>
      <c r="P36" s="28">
        <v>1.3486297004461443</v>
      </c>
      <c r="Q36" s="28">
        <v>1.149375339489408</v>
      </c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2:30" ht="15" customHeight="1" x14ac:dyDescent="0.25">
      <c r="B37" s="22" t="s">
        <v>80</v>
      </c>
      <c r="C37" s="23" t="s">
        <v>81</v>
      </c>
      <c r="D37" s="10"/>
      <c r="E37" s="26" t="s">
        <v>81</v>
      </c>
      <c r="F37" s="28" t="s">
        <v>1041</v>
      </c>
      <c r="G37" s="28">
        <v>33.42</v>
      </c>
      <c r="H37" s="28">
        <v>14.74</v>
      </c>
      <c r="I37" s="28">
        <v>2.25</v>
      </c>
      <c r="J37" s="28">
        <v>0.68</v>
      </c>
      <c r="K37" s="28">
        <v>1.27</v>
      </c>
      <c r="L37" s="25">
        <v>-0.30030000000000001</v>
      </c>
      <c r="M37" s="25">
        <v>2.5577000000000001</v>
      </c>
      <c r="N37" s="28">
        <v>23.17</v>
      </c>
      <c r="O37" s="28">
        <v>39.56</v>
      </c>
      <c r="P37" s="28">
        <v>1.4423823910228746</v>
      </c>
      <c r="Q37" s="28">
        <v>0.8447927199191102</v>
      </c>
    </row>
    <row r="38" spans="2:30" ht="15" customHeight="1" x14ac:dyDescent="0.25">
      <c r="B38" s="22" t="s">
        <v>82</v>
      </c>
      <c r="C38" s="23" t="s">
        <v>83</v>
      </c>
      <c r="D38" s="10"/>
      <c r="E38" s="26" t="s">
        <v>83</v>
      </c>
      <c r="F38" s="28" t="s">
        <v>1042</v>
      </c>
      <c r="G38" s="28">
        <v>80.040000000000006</v>
      </c>
      <c r="H38" s="28">
        <v>16.579999999999998</v>
      </c>
      <c r="I38" s="28">
        <v>0.9</v>
      </c>
      <c r="J38" s="28">
        <v>0.36</v>
      </c>
      <c r="K38" s="28">
        <v>1.91</v>
      </c>
      <c r="L38" s="25">
        <v>-0.4879</v>
      </c>
      <c r="M38" s="25">
        <v>6.1463999999999999</v>
      </c>
      <c r="N38" s="28">
        <v>56.42</v>
      </c>
      <c r="O38" s="28">
        <v>103.54</v>
      </c>
      <c r="P38" s="28">
        <v>1.4186458702587734</v>
      </c>
      <c r="Q38" s="28">
        <v>0.77303457600927183</v>
      </c>
    </row>
    <row r="39" spans="2:30" ht="15" customHeight="1" x14ac:dyDescent="0.25">
      <c r="B39" s="22" t="s">
        <v>84</v>
      </c>
      <c r="C39" s="23" t="s">
        <v>85</v>
      </c>
      <c r="D39" s="10"/>
      <c r="E39" s="26" t="s">
        <v>85</v>
      </c>
      <c r="F39" s="28" t="s">
        <v>1378</v>
      </c>
      <c r="G39" s="28">
        <v>34.51</v>
      </c>
      <c r="H39" s="28">
        <v>27.3</v>
      </c>
      <c r="I39" s="28">
        <v>12.5</v>
      </c>
      <c r="J39" s="28">
        <v>2.9</v>
      </c>
      <c r="K39" s="28">
        <v>1.1000000000000001</v>
      </c>
      <c r="L39" s="25">
        <v>-4.2609000000000004</v>
      </c>
      <c r="M39" s="25">
        <v>-5.1767000000000003</v>
      </c>
      <c r="N39" s="28">
        <v>32.049999999999997</v>
      </c>
      <c r="O39" s="28">
        <v>37.380000000000003</v>
      </c>
      <c r="P39" s="28">
        <v>1.0767550702028081</v>
      </c>
      <c r="Q39" s="28">
        <v>0.92322097378277157</v>
      </c>
    </row>
    <row r="40" spans="2:30" ht="15" customHeight="1" x14ac:dyDescent="0.25">
      <c r="B40" s="22" t="s">
        <v>86</v>
      </c>
      <c r="C40" s="23" t="s">
        <v>87</v>
      </c>
      <c r="D40" s="10"/>
      <c r="E40" s="26" t="s">
        <v>87</v>
      </c>
      <c r="F40" s="28" t="s">
        <v>1379</v>
      </c>
      <c r="G40" s="28">
        <v>17.170000000000002</v>
      </c>
      <c r="H40" s="28">
        <v>17.21</v>
      </c>
      <c r="I40" s="28">
        <v>5.9</v>
      </c>
      <c r="J40" s="28">
        <v>0.88</v>
      </c>
      <c r="K40" s="28">
        <v>1.59</v>
      </c>
      <c r="L40" s="25">
        <v>1.9699999999999999E-2</v>
      </c>
      <c r="M40" s="25">
        <v>-7.2400000000000006E-2</v>
      </c>
      <c r="N40" s="28">
        <v>16.12</v>
      </c>
      <c r="O40" s="28">
        <v>17.68</v>
      </c>
      <c r="P40" s="28">
        <v>1.065136476426799</v>
      </c>
      <c r="Q40" s="28">
        <v>0.97115384615384615</v>
      </c>
    </row>
    <row r="41" spans="2:30" ht="15" customHeight="1" x14ac:dyDescent="0.25">
      <c r="B41" s="22" t="s">
        <v>88</v>
      </c>
      <c r="C41" s="23" t="s">
        <v>89</v>
      </c>
      <c r="D41" s="10"/>
      <c r="E41" s="26" t="s">
        <v>89</v>
      </c>
      <c r="F41" s="28" t="s">
        <v>1043</v>
      </c>
      <c r="G41" s="28">
        <v>8.5399999999999991</v>
      </c>
      <c r="H41" s="28">
        <v>12.71</v>
      </c>
      <c r="I41" s="28">
        <v>1.43</v>
      </c>
      <c r="J41" s="28">
        <v>0</v>
      </c>
      <c r="K41" s="28">
        <v>0.25</v>
      </c>
      <c r="L41" s="25">
        <v>-0.33410000000000001</v>
      </c>
      <c r="M41" s="25">
        <v>1.8737999999999999</v>
      </c>
      <c r="N41" s="28">
        <v>4.0599999999999996</v>
      </c>
      <c r="O41" s="28">
        <v>9.1300000000000008</v>
      </c>
      <c r="P41" s="28">
        <v>2.103448275862069</v>
      </c>
      <c r="Q41" s="28">
        <v>0.93537787513691129</v>
      </c>
    </row>
    <row r="42" spans="2:30" ht="15" customHeight="1" x14ac:dyDescent="0.25">
      <c r="B42" s="22" t="s">
        <v>90</v>
      </c>
      <c r="C42" s="23" t="s">
        <v>91</v>
      </c>
      <c r="D42" s="10"/>
      <c r="E42" s="26" t="s">
        <v>91</v>
      </c>
      <c r="F42" s="28" t="s">
        <v>1044</v>
      </c>
      <c r="G42" s="28">
        <v>13.9</v>
      </c>
      <c r="H42" s="28">
        <v>4.01</v>
      </c>
      <c r="I42" s="28">
        <v>0.83</v>
      </c>
      <c r="J42" s="28">
        <v>0</v>
      </c>
      <c r="K42" s="28">
        <v>0.77</v>
      </c>
      <c r="L42" s="25">
        <v>0.52380000000000004</v>
      </c>
      <c r="M42" s="25">
        <v>1.7629999999999999</v>
      </c>
      <c r="N42" s="28">
        <v>8.16</v>
      </c>
      <c r="O42" s="28">
        <v>14.29</v>
      </c>
      <c r="P42" s="28">
        <v>1.7034313725490198</v>
      </c>
      <c r="Q42" s="28">
        <v>0.97270818754373689</v>
      </c>
    </row>
    <row r="43" spans="2:30" ht="15" customHeight="1" x14ac:dyDescent="0.25">
      <c r="B43" s="22" t="s">
        <v>92</v>
      </c>
      <c r="C43" s="23" t="s">
        <v>93</v>
      </c>
      <c r="D43" s="10"/>
      <c r="E43" s="26" t="s">
        <v>93</v>
      </c>
      <c r="F43" s="28" t="s">
        <v>1380</v>
      </c>
      <c r="G43" s="28">
        <v>0</v>
      </c>
      <c r="H43" s="28">
        <v>0</v>
      </c>
      <c r="I43" s="28">
        <v>0</v>
      </c>
      <c r="J43" s="28">
        <v>0</v>
      </c>
      <c r="K43" s="28">
        <v>0</v>
      </c>
      <c r="L43" s="25">
        <v>0</v>
      </c>
      <c r="M43" s="25">
        <v>0</v>
      </c>
      <c r="N43" s="28">
        <v>0</v>
      </c>
      <c r="O43" s="28">
        <v>0</v>
      </c>
      <c r="P43" s="28"/>
      <c r="Q43" s="28"/>
    </row>
    <row r="44" spans="2:30" ht="15" customHeight="1" x14ac:dyDescent="0.25">
      <c r="B44" s="22" t="s">
        <v>94</v>
      </c>
      <c r="C44" s="23" t="s">
        <v>95</v>
      </c>
      <c r="D44" s="10"/>
      <c r="E44" s="26" t="s">
        <v>95</v>
      </c>
      <c r="F44" s="28" t="s">
        <v>1045</v>
      </c>
      <c r="G44" s="28">
        <v>103.9</v>
      </c>
      <c r="H44" s="28">
        <v>54.16</v>
      </c>
      <c r="I44" s="28">
        <v>2.81</v>
      </c>
      <c r="J44" s="28">
        <v>2.2999999999999998</v>
      </c>
      <c r="K44" s="28">
        <v>3.1</v>
      </c>
      <c r="L44" s="25">
        <v>-2.7210000000000001</v>
      </c>
      <c r="M44" s="25">
        <v>-3.778</v>
      </c>
      <c r="N44" s="28">
        <v>98.92</v>
      </c>
      <c r="O44" s="28">
        <v>118.5</v>
      </c>
      <c r="P44" s="28">
        <v>1.0503437120905783</v>
      </c>
      <c r="Q44" s="28">
        <v>0.87679324894514765</v>
      </c>
    </row>
    <row r="45" spans="2:30" ht="15" customHeight="1" x14ac:dyDescent="0.25">
      <c r="B45" s="22" t="s">
        <v>96</v>
      </c>
      <c r="C45" s="23" t="s">
        <v>97</v>
      </c>
      <c r="D45" s="10"/>
      <c r="E45" s="26" t="s">
        <v>97</v>
      </c>
      <c r="F45" s="28" t="s">
        <v>1046</v>
      </c>
      <c r="G45" s="28">
        <v>59.17</v>
      </c>
      <c r="H45" s="28">
        <v>21.21</v>
      </c>
      <c r="I45" s="28">
        <v>0.84</v>
      </c>
      <c r="J45" s="28">
        <v>0.92</v>
      </c>
      <c r="K45" s="28">
        <v>4.1399999999999997</v>
      </c>
      <c r="L45" s="25">
        <v>1.8226</v>
      </c>
      <c r="M45" s="25">
        <v>5.7371999999999996</v>
      </c>
      <c r="N45" s="28">
        <v>42.96</v>
      </c>
      <c r="O45" s="28">
        <v>68.25</v>
      </c>
      <c r="P45" s="28">
        <v>1.3773277467411547</v>
      </c>
      <c r="Q45" s="28">
        <v>0.86695970695970703</v>
      </c>
    </row>
    <row r="46" spans="2:30" ht="15" customHeight="1" x14ac:dyDescent="0.25">
      <c r="B46" s="22" t="s">
        <v>98</v>
      </c>
      <c r="C46" s="23" t="s">
        <v>99</v>
      </c>
      <c r="D46" s="10"/>
      <c r="E46" s="26" t="s">
        <v>99</v>
      </c>
      <c r="F46" s="28" t="s">
        <v>99</v>
      </c>
      <c r="G46" s="28">
        <v>0</v>
      </c>
      <c r="H46" s="28">
        <v>0</v>
      </c>
      <c r="I46" s="28">
        <v>0</v>
      </c>
      <c r="J46" s="28">
        <v>0</v>
      </c>
      <c r="K46" s="28">
        <v>0</v>
      </c>
      <c r="L46" s="25">
        <v>0</v>
      </c>
      <c r="M46" s="25">
        <v>0</v>
      </c>
      <c r="N46" s="28">
        <v>0</v>
      </c>
      <c r="O46" s="28">
        <v>0</v>
      </c>
      <c r="P46" s="28"/>
      <c r="Q46" s="28"/>
    </row>
    <row r="47" spans="2:30" ht="15" customHeight="1" x14ac:dyDescent="0.25">
      <c r="B47" s="22" t="s">
        <v>100</v>
      </c>
      <c r="C47" s="23" t="s">
        <v>101</v>
      </c>
      <c r="D47" s="10"/>
      <c r="E47" s="26" t="s">
        <v>101</v>
      </c>
      <c r="F47" s="28" t="s">
        <v>1047</v>
      </c>
      <c r="G47" s="28">
        <v>3.28</v>
      </c>
      <c r="H47" s="28">
        <v>0</v>
      </c>
      <c r="I47" s="28">
        <v>0.05</v>
      </c>
      <c r="J47" s="28">
        <v>0.25</v>
      </c>
      <c r="K47" s="28">
        <v>0.46</v>
      </c>
      <c r="L47" s="25">
        <v>0.40350000000000003</v>
      </c>
      <c r="M47" s="25">
        <v>0.78620000000000001</v>
      </c>
      <c r="N47" s="28">
        <v>1.9</v>
      </c>
      <c r="O47" s="28">
        <v>2.56</v>
      </c>
      <c r="P47" s="28">
        <v>1.7263157894736842</v>
      </c>
      <c r="Q47" s="28">
        <v>1.28125</v>
      </c>
    </row>
    <row r="48" spans="2:30" ht="15" customHeight="1" x14ac:dyDescent="0.25">
      <c r="B48" s="22" t="s">
        <v>102</v>
      </c>
      <c r="C48" s="23" t="s">
        <v>103</v>
      </c>
      <c r="D48" s="10"/>
      <c r="E48" s="26" t="s">
        <v>103</v>
      </c>
      <c r="F48" s="28" t="s">
        <v>1048</v>
      </c>
      <c r="G48" s="28">
        <v>69.209999999999994</v>
      </c>
      <c r="H48" s="28">
        <v>9.23</v>
      </c>
      <c r="I48" s="28">
        <v>0.83</v>
      </c>
      <c r="J48" s="28">
        <v>1.03</v>
      </c>
      <c r="K48" s="28">
        <v>1.23</v>
      </c>
      <c r="L48" s="25">
        <v>-4.9503000000000004</v>
      </c>
      <c r="M48" s="25">
        <v>-1.7020999999999999</v>
      </c>
      <c r="N48" s="28">
        <v>59.92</v>
      </c>
      <c r="O48" s="28">
        <v>85.16</v>
      </c>
      <c r="P48" s="28">
        <v>1.1550400534045393</v>
      </c>
      <c r="Q48" s="28">
        <v>0.81270549553781113</v>
      </c>
    </row>
    <row r="49" spans="2:17" ht="15" customHeight="1" x14ac:dyDescent="0.25">
      <c r="B49" s="22" t="s">
        <v>104</v>
      </c>
      <c r="C49" s="23" t="s">
        <v>105</v>
      </c>
      <c r="D49" s="10"/>
      <c r="E49" s="26" t="s">
        <v>105</v>
      </c>
      <c r="F49" s="28" t="s">
        <v>1381</v>
      </c>
      <c r="G49" s="28">
        <v>62.46</v>
      </c>
      <c r="H49" s="28">
        <v>7.56</v>
      </c>
      <c r="I49" s="28">
        <v>0.66</v>
      </c>
      <c r="J49" s="28">
        <v>1.151</v>
      </c>
      <c r="K49" s="28">
        <v>0.79</v>
      </c>
      <c r="L49" s="25">
        <v>-1.4026000000000001</v>
      </c>
      <c r="M49" s="25">
        <v>2.2553000000000001</v>
      </c>
      <c r="N49" s="28">
        <v>52.52</v>
      </c>
      <c r="O49" s="28">
        <v>69.930000000000007</v>
      </c>
      <c r="P49" s="28">
        <v>1.1892612338156894</v>
      </c>
      <c r="Q49" s="28">
        <v>0.89317889317889321</v>
      </c>
    </row>
    <row r="50" spans="2:17" ht="15" customHeight="1" x14ac:dyDescent="0.25">
      <c r="B50" s="22" t="s">
        <v>106</v>
      </c>
      <c r="C50" s="23" t="s">
        <v>107</v>
      </c>
      <c r="D50" s="10"/>
      <c r="E50" s="26" t="s">
        <v>107</v>
      </c>
      <c r="F50" s="28" t="s">
        <v>1049</v>
      </c>
      <c r="G50" s="28">
        <v>24.11</v>
      </c>
      <c r="H50" s="28">
        <v>23.46</v>
      </c>
      <c r="I50" s="28">
        <v>1.76</v>
      </c>
      <c r="J50" s="28">
        <v>0.04</v>
      </c>
      <c r="K50" s="28">
        <v>0.91</v>
      </c>
      <c r="L50" s="25">
        <v>0.74150000000000005</v>
      </c>
      <c r="M50" s="25">
        <v>2.7907000000000002</v>
      </c>
      <c r="N50" s="28">
        <v>17.45</v>
      </c>
      <c r="O50" s="28">
        <v>23.9</v>
      </c>
      <c r="P50" s="28">
        <v>1.3816618911174785</v>
      </c>
      <c r="Q50" s="28">
        <v>1.0087866108786609</v>
      </c>
    </row>
    <row r="51" spans="2:17" ht="15" customHeight="1" x14ac:dyDescent="0.25">
      <c r="B51" s="22" t="s">
        <v>108</v>
      </c>
      <c r="C51" s="23" t="s">
        <v>109</v>
      </c>
      <c r="D51" s="10"/>
      <c r="E51" s="26" t="s">
        <v>109</v>
      </c>
      <c r="F51" s="28" t="s">
        <v>1382</v>
      </c>
      <c r="G51" s="28">
        <v>44.5</v>
      </c>
      <c r="H51" s="28">
        <v>18.690000000000001</v>
      </c>
      <c r="I51" s="28">
        <v>1.31</v>
      </c>
      <c r="J51" s="28">
        <v>2.0499999999999998</v>
      </c>
      <c r="K51" s="28">
        <v>0</v>
      </c>
      <c r="L51" s="25">
        <v>-1.3424</v>
      </c>
      <c r="M51" s="25">
        <v>-3.4769000000000001</v>
      </c>
      <c r="N51" s="28">
        <v>40.32</v>
      </c>
      <c r="O51" s="28">
        <v>52.17</v>
      </c>
      <c r="P51" s="28">
        <v>1.1036706349206349</v>
      </c>
      <c r="Q51" s="28">
        <v>0.85298064021468267</v>
      </c>
    </row>
    <row r="52" spans="2:17" ht="15" customHeight="1" x14ac:dyDescent="0.25">
      <c r="B52" s="22" t="s">
        <v>110</v>
      </c>
      <c r="C52" s="23" t="s">
        <v>111</v>
      </c>
      <c r="D52" s="10"/>
      <c r="E52" s="26" t="s">
        <v>111</v>
      </c>
      <c r="F52" s="28" t="s">
        <v>1050</v>
      </c>
      <c r="G52" s="28">
        <v>52.23</v>
      </c>
      <c r="H52" s="28">
        <v>18.87</v>
      </c>
      <c r="I52" s="28">
        <v>0.98</v>
      </c>
      <c r="J52" s="28">
        <v>0.67500000000000004</v>
      </c>
      <c r="K52" s="28">
        <v>4.5</v>
      </c>
      <c r="L52" s="25">
        <v>6.7100000000000007E-2</v>
      </c>
      <c r="M52" s="25">
        <v>5.2321999999999997</v>
      </c>
      <c r="N52" s="28">
        <v>37.840000000000003</v>
      </c>
      <c r="O52" s="28">
        <v>59</v>
      </c>
      <c r="P52" s="28">
        <v>1.3802854122621564</v>
      </c>
      <c r="Q52" s="28">
        <v>0.88525423728813557</v>
      </c>
    </row>
    <row r="53" spans="2:17" ht="15" customHeight="1" x14ac:dyDescent="0.25">
      <c r="B53" s="22" t="s">
        <v>112</v>
      </c>
      <c r="C53" s="23" t="s">
        <v>113</v>
      </c>
      <c r="D53" s="10"/>
      <c r="E53" s="26" t="s">
        <v>113</v>
      </c>
      <c r="F53" s="28" t="s">
        <v>1383</v>
      </c>
      <c r="G53" s="28">
        <v>34.24</v>
      </c>
      <c r="H53" s="28">
        <v>24.7</v>
      </c>
      <c r="I53" s="28">
        <v>0.47</v>
      </c>
      <c r="J53" s="28">
        <v>0</v>
      </c>
      <c r="K53" s="28">
        <v>0.94</v>
      </c>
      <c r="L53" s="25">
        <v>-0.50029999999999997</v>
      </c>
      <c r="M53" s="25">
        <v>0.44529999999999997</v>
      </c>
      <c r="N53" s="28">
        <v>28.62</v>
      </c>
      <c r="O53" s="28">
        <v>38.39</v>
      </c>
      <c r="P53" s="28">
        <v>1.196366177498253</v>
      </c>
      <c r="Q53" s="28">
        <v>0.8918989320135452</v>
      </c>
    </row>
    <row r="54" spans="2:17" ht="15" customHeight="1" x14ac:dyDescent="0.25">
      <c r="B54" s="22" t="s">
        <v>114</v>
      </c>
      <c r="C54" s="23" t="s">
        <v>115</v>
      </c>
      <c r="D54" s="10"/>
      <c r="E54" s="26" t="s">
        <v>115</v>
      </c>
      <c r="F54" s="28" t="s">
        <v>1051</v>
      </c>
      <c r="G54" s="28">
        <v>49.28</v>
      </c>
      <c r="H54" s="28">
        <v>9.15</v>
      </c>
      <c r="I54" s="28">
        <v>1.22</v>
      </c>
      <c r="J54" s="28">
        <v>1.2</v>
      </c>
      <c r="K54" s="28">
        <v>0.93</v>
      </c>
      <c r="L54" s="25">
        <v>1.6881999999999999</v>
      </c>
      <c r="M54" s="25">
        <v>6.6161000000000003</v>
      </c>
      <c r="N54" s="28">
        <v>30.83</v>
      </c>
      <c r="O54" s="28">
        <v>53.1</v>
      </c>
      <c r="P54" s="28">
        <v>1.5984430749270191</v>
      </c>
      <c r="Q54" s="28">
        <v>0.92806026365348404</v>
      </c>
    </row>
    <row r="55" spans="2:17" ht="15" customHeight="1" x14ac:dyDescent="0.25">
      <c r="B55" s="22" t="s">
        <v>116</v>
      </c>
      <c r="C55" s="23" t="s">
        <v>117</v>
      </c>
      <c r="D55" s="10"/>
      <c r="E55" s="26" t="s">
        <v>117</v>
      </c>
      <c r="F55" s="28" t="s">
        <v>1384</v>
      </c>
      <c r="G55" s="28">
        <v>60.22</v>
      </c>
      <c r="H55" s="28">
        <v>11.76</v>
      </c>
      <c r="I55" s="28">
        <v>0.3</v>
      </c>
      <c r="J55" s="28">
        <v>1.5</v>
      </c>
      <c r="K55" s="28">
        <v>1.1499999999999999</v>
      </c>
      <c r="L55" s="25">
        <v>-2.27</v>
      </c>
      <c r="M55" s="25">
        <v>1.5701000000000001</v>
      </c>
      <c r="N55" s="28">
        <v>41.63</v>
      </c>
      <c r="O55" s="28">
        <v>68.349999999999994</v>
      </c>
      <c r="P55" s="28">
        <v>1.4465529666106174</v>
      </c>
      <c r="Q55" s="28">
        <v>0.88105340160936363</v>
      </c>
    </row>
    <row r="56" spans="2:17" ht="15" customHeight="1" x14ac:dyDescent="0.25">
      <c r="B56" s="22" t="s">
        <v>118</v>
      </c>
      <c r="C56" s="23" t="s">
        <v>119</v>
      </c>
      <c r="D56" s="10"/>
      <c r="E56" s="26" t="s">
        <v>119</v>
      </c>
      <c r="F56" s="28" t="s">
        <v>1052</v>
      </c>
      <c r="G56" s="28">
        <v>15.72</v>
      </c>
      <c r="H56" s="28">
        <v>9.3699999999999992</v>
      </c>
      <c r="I56" s="28">
        <v>2.2799999999999998</v>
      </c>
      <c r="J56" s="28">
        <v>0.36</v>
      </c>
      <c r="K56" s="28">
        <v>1.03</v>
      </c>
      <c r="L56" s="25">
        <v>-0.35289999999999999</v>
      </c>
      <c r="M56" s="25">
        <v>0.49440000000000001</v>
      </c>
      <c r="N56" s="28">
        <v>12.04</v>
      </c>
      <c r="O56" s="28">
        <v>17.309999999999999</v>
      </c>
      <c r="P56" s="28">
        <v>1.3056478405315615</v>
      </c>
      <c r="Q56" s="28">
        <v>0.90814558058925476</v>
      </c>
    </row>
    <row r="57" spans="2:17" ht="15" customHeight="1" x14ac:dyDescent="0.25">
      <c r="B57" s="22" t="s">
        <v>120</v>
      </c>
      <c r="C57" s="23" t="s">
        <v>121</v>
      </c>
      <c r="D57" s="10"/>
      <c r="E57" s="26" t="s">
        <v>121</v>
      </c>
      <c r="F57" s="28" t="s">
        <v>1385</v>
      </c>
      <c r="G57" s="28">
        <v>12.9</v>
      </c>
      <c r="H57" s="28">
        <v>17.43</v>
      </c>
      <c r="I57" s="28">
        <v>0.15</v>
      </c>
      <c r="J57" s="28">
        <v>0</v>
      </c>
      <c r="K57" s="28">
        <v>0</v>
      </c>
      <c r="L57" s="25">
        <v>-0.85819999999999996</v>
      </c>
      <c r="M57" s="25">
        <v>0.1139</v>
      </c>
      <c r="N57" s="28">
        <v>9.24</v>
      </c>
      <c r="O57" s="28">
        <v>16.5</v>
      </c>
      <c r="P57" s="28">
        <v>1.3961038961038963</v>
      </c>
      <c r="Q57" s="28">
        <v>0.78181818181818186</v>
      </c>
    </row>
    <row r="58" spans="2:17" ht="15" customHeight="1" x14ac:dyDescent="0.25">
      <c r="B58" s="22" t="s">
        <v>122</v>
      </c>
      <c r="C58" s="23" t="s">
        <v>123</v>
      </c>
      <c r="D58" s="10"/>
      <c r="E58" s="26" t="s">
        <v>123</v>
      </c>
      <c r="F58" s="28" t="s">
        <v>1053</v>
      </c>
      <c r="G58" s="28">
        <v>9.3800000000000008</v>
      </c>
      <c r="H58" s="28">
        <v>10.38</v>
      </c>
      <c r="I58" s="28">
        <v>2.64</v>
      </c>
      <c r="J58" s="28">
        <v>0.15</v>
      </c>
      <c r="K58" s="28">
        <v>0.86</v>
      </c>
      <c r="L58" s="25">
        <v>6.5000000000000002E-2</v>
      </c>
      <c r="M58" s="25">
        <v>0.70230000000000004</v>
      </c>
      <c r="N58" s="28">
        <v>6.8</v>
      </c>
      <c r="O58" s="28">
        <v>9.83</v>
      </c>
      <c r="P58" s="28">
        <v>1.3794117647058826</v>
      </c>
      <c r="Q58" s="28">
        <v>0.95422177009155651</v>
      </c>
    </row>
    <row r="59" spans="2:17" ht="15" customHeight="1" x14ac:dyDescent="0.25">
      <c r="B59" s="22" t="s">
        <v>124</v>
      </c>
      <c r="C59" s="23" t="s">
        <v>125</v>
      </c>
      <c r="D59" s="10"/>
      <c r="E59" s="26" t="s">
        <v>125</v>
      </c>
      <c r="F59" s="28" t="s">
        <v>1054</v>
      </c>
      <c r="G59" s="28">
        <v>42.1</v>
      </c>
      <c r="H59" s="28">
        <v>9.23</v>
      </c>
      <c r="I59" s="28">
        <v>1.05</v>
      </c>
      <c r="J59" s="28">
        <v>0.52500000000000002</v>
      </c>
      <c r="K59" s="28">
        <v>1.77</v>
      </c>
      <c r="L59" s="25">
        <v>-4.6284999999999998</v>
      </c>
      <c r="M59" s="25">
        <v>-2.4137</v>
      </c>
      <c r="N59" s="28">
        <v>34.08</v>
      </c>
      <c r="O59" s="28">
        <v>50</v>
      </c>
      <c r="P59" s="28">
        <v>1.2353286384976527</v>
      </c>
      <c r="Q59" s="28">
        <v>0.84199999999999997</v>
      </c>
    </row>
    <row r="60" spans="2:17" ht="15" customHeight="1" x14ac:dyDescent="0.25">
      <c r="B60" s="22" t="s">
        <v>126</v>
      </c>
      <c r="C60" s="23" t="s">
        <v>127</v>
      </c>
      <c r="D60" s="10"/>
      <c r="E60" s="26" t="s">
        <v>127</v>
      </c>
      <c r="F60" s="28" t="s">
        <v>1055</v>
      </c>
      <c r="G60" s="28">
        <v>30.39</v>
      </c>
      <c r="H60" s="28">
        <v>11.14</v>
      </c>
      <c r="I60" s="28">
        <v>0.87</v>
      </c>
      <c r="J60" s="28">
        <v>1.03</v>
      </c>
      <c r="K60" s="28">
        <v>1.1100000000000001</v>
      </c>
      <c r="L60" s="25">
        <v>-0.15240000000000001</v>
      </c>
      <c r="M60" s="25">
        <v>-0.12820000000000001</v>
      </c>
      <c r="N60" s="28">
        <v>26.86</v>
      </c>
      <c r="O60" s="28">
        <v>33.450000000000003</v>
      </c>
      <c r="P60" s="28">
        <v>1.1314221891288161</v>
      </c>
      <c r="Q60" s="28">
        <v>0.90852017937219742</v>
      </c>
    </row>
    <row r="61" spans="2:17" ht="15" customHeight="1" x14ac:dyDescent="0.25">
      <c r="B61" s="22" t="s">
        <v>128</v>
      </c>
      <c r="C61" s="23" t="s">
        <v>129</v>
      </c>
      <c r="D61" s="10"/>
      <c r="E61" s="26" t="s">
        <v>129</v>
      </c>
      <c r="F61" s="28" t="s">
        <v>1056</v>
      </c>
      <c r="G61" s="28">
        <v>111.04</v>
      </c>
      <c r="H61" s="28">
        <v>21.66</v>
      </c>
      <c r="I61" s="28">
        <v>1.4</v>
      </c>
      <c r="J61" s="28">
        <v>2</v>
      </c>
      <c r="K61" s="28">
        <v>2.02</v>
      </c>
      <c r="L61" s="25">
        <v>2.6949999999999998</v>
      </c>
      <c r="M61" s="25">
        <v>16.281500000000001</v>
      </c>
      <c r="N61" s="28">
        <v>54.08</v>
      </c>
      <c r="O61" s="28">
        <v>122.5</v>
      </c>
      <c r="P61" s="28">
        <v>2.0532544378698225</v>
      </c>
      <c r="Q61" s="28">
        <v>0.90644897959183668</v>
      </c>
    </row>
    <row r="62" spans="2:17" ht="15" customHeight="1" x14ac:dyDescent="0.25">
      <c r="B62" s="22" t="s">
        <v>130</v>
      </c>
      <c r="C62" s="23" t="s">
        <v>131</v>
      </c>
      <c r="D62" s="10"/>
      <c r="E62" s="26" t="s">
        <v>131</v>
      </c>
      <c r="F62" s="28" t="s">
        <v>1057</v>
      </c>
      <c r="G62" s="28">
        <v>55.86</v>
      </c>
      <c r="H62" s="28">
        <v>58</v>
      </c>
      <c r="I62" s="28">
        <v>0.53</v>
      </c>
      <c r="J62" s="28">
        <v>2</v>
      </c>
      <c r="K62" s="28">
        <v>0.66</v>
      </c>
      <c r="L62" s="25">
        <v>-1.5108999999999999</v>
      </c>
      <c r="M62" s="25">
        <v>0.54849999999999999</v>
      </c>
      <c r="N62" s="28">
        <v>44.47</v>
      </c>
      <c r="O62" s="28">
        <v>68</v>
      </c>
      <c r="P62" s="28">
        <v>1.2561277265572295</v>
      </c>
      <c r="Q62" s="28">
        <v>0.82147058823529417</v>
      </c>
    </row>
    <row r="63" spans="2:17" ht="15" customHeight="1" x14ac:dyDescent="0.25">
      <c r="B63" s="22" t="s">
        <v>132</v>
      </c>
      <c r="C63" s="23" t="s">
        <v>133</v>
      </c>
      <c r="D63" s="10"/>
      <c r="E63" s="26" t="s">
        <v>133</v>
      </c>
      <c r="F63" s="28" t="s">
        <v>1058</v>
      </c>
      <c r="G63" s="28">
        <v>44.05</v>
      </c>
      <c r="H63" s="28">
        <v>23.72</v>
      </c>
      <c r="I63" s="28">
        <v>0.66</v>
      </c>
      <c r="J63" s="28">
        <v>1.1259999999999999</v>
      </c>
      <c r="K63" s="28">
        <v>2.95</v>
      </c>
      <c r="L63" s="25">
        <v>2.23</v>
      </c>
      <c r="M63" s="25">
        <v>6.3517999999999999</v>
      </c>
      <c r="N63" s="28">
        <v>27.29</v>
      </c>
      <c r="O63" s="28">
        <v>49.07</v>
      </c>
      <c r="P63" s="28">
        <v>1.6141443752290217</v>
      </c>
      <c r="Q63" s="28">
        <v>0.89769716731200333</v>
      </c>
    </row>
    <row r="64" spans="2:17" ht="15" customHeight="1" x14ac:dyDescent="0.25">
      <c r="B64" s="22" t="s">
        <v>134</v>
      </c>
      <c r="C64" s="23" t="s">
        <v>135</v>
      </c>
      <c r="D64" s="10"/>
      <c r="E64" s="26" t="s">
        <v>135</v>
      </c>
      <c r="F64" s="28" t="s">
        <v>1059</v>
      </c>
      <c r="G64" s="28">
        <v>16.41</v>
      </c>
      <c r="H64" s="28">
        <v>23.49</v>
      </c>
      <c r="I64" s="28">
        <v>1.2</v>
      </c>
      <c r="J64" s="28">
        <v>0.24</v>
      </c>
      <c r="K64" s="28">
        <v>2.37</v>
      </c>
      <c r="L64" s="25">
        <v>0.18290000000000001</v>
      </c>
      <c r="M64" s="25">
        <v>2.2332000000000001</v>
      </c>
      <c r="N64" s="28">
        <v>11.64</v>
      </c>
      <c r="O64" s="28">
        <v>16.14</v>
      </c>
      <c r="P64" s="28">
        <v>1.4097938144329896</v>
      </c>
      <c r="Q64" s="28">
        <v>1.016728624535316</v>
      </c>
    </row>
    <row r="65" spans="2:17" ht="15" customHeight="1" x14ac:dyDescent="0.25">
      <c r="B65" s="22" t="s">
        <v>136</v>
      </c>
      <c r="C65" s="23" t="s">
        <v>137</v>
      </c>
      <c r="D65" s="10"/>
      <c r="E65" s="26" t="s">
        <v>137</v>
      </c>
      <c r="F65" s="28" t="s">
        <v>1060</v>
      </c>
      <c r="G65" s="28">
        <v>30.71</v>
      </c>
      <c r="H65" s="28">
        <v>20.94</v>
      </c>
      <c r="I65" s="28">
        <v>1.57</v>
      </c>
      <c r="J65" s="28">
        <v>0.72</v>
      </c>
      <c r="K65" s="28">
        <v>1.3</v>
      </c>
      <c r="L65" s="25">
        <v>-0.79179999999999995</v>
      </c>
      <c r="M65" s="25">
        <v>0.29339999999999999</v>
      </c>
      <c r="N65" s="28">
        <v>25.35</v>
      </c>
      <c r="O65" s="28">
        <v>38.15</v>
      </c>
      <c r="P65" s="28">
        <v>1.2114398422090729</v>
      </c>
      <c r="Q65" s="28">
        <v>0.80498034076015734</v>
      </c>
    </row>
    <row r="66" spans="2:17" ht="15" customHeight="1" x14ac:dyDescent="0.25">
      <c r="B66" s="22" t="s">
        <v>138</v>
      </c>
      <c r="C66" s="23" t="s">
        <v>139</v>
      </c>
      <c r="D66" s="10"/>
      <c r="E66" s="26" t="s">
        <v>139</v>
      </c>
      <c r="F66" s="28" t="s">
        <v>1061</v>
      </c>
      <c r="G66" s="28">
        <v>116.65</v>
      </c>
      <c r="H66" s="28">
        <v>8.6300000000000008</v>
      </c>
      <c r="I66" s="28">
        <v>116.5</v>
      </c>
      <c r="J66" s="28">
        <v>3.6</v>
      </c>
      <c r="K66" s="28">
        <v>1.64</v>
      </c>
      <c r="L66" s="25">
        <v>1.6830000000000001</v>
      </c>
      <c r="M66" s="25">
        <v>4.7519999999999998</v>
      </c>
      <c r="N66" s="28">
        <v>95.73</v>
      </c>
      <c r="O66" s="28">
        <v>124.05</v>
      </c>
      <c r="P66" s="28">
        <v>1.2185312859082837</v>
      </c>
      <c r="Q66" s="28">
        <v>0.94034663442160427</v>
      </c>
    </row>
    <row r="67" spans="2:17" ht="15" customHeight="1" x14ac:dyDescent="0.25">
      <c r="B67" s="22" t="s">
        <v>140</v>
      </c>
      <c r="C67" s="23" t="s">
        <v>141</v>
      </c>
      <c r="D67" s="10"/>
      <c r="E67" s="26" t="s">
        <v>141</v>
      </c>
      <c r="F67" s="28" t="s">
        <v>1062</v>
      </c>
      <c r="G67" s="28">
        <v>22.64</v>
      </c>
      <c r="H67" s="28">
        <v>13.55</v>
      </c>
      <c r="I67" s="28">
        <v>0</v>
      </c>
      <c r="J67" s="28">
        <v>1.1499999999999999</v>
      </c>
      <c r="K67" s="28">
        <v>1.1200000000000001</v>
      </c>
      <c r="L67" s="25">
        <v>-2.1997</v>
      </c>
      <c r="M67" s="25">
        <v>-0.47460000000000002</v>
      </c>
      <c r="N67" s="28">
        <v>16.100000000000001</v>
      </c>
      <c r="O67" s="28">
        <v>20.38</v>
      </c>
      <c r="P67" s="28">
        <v>1.4062111801242236</v>
      </c>
      <c r="Q67" s="28">
        <v>1.1108930323846911</v>
      </c>
    </row>
    <row r="68" spans="2:17" ht="15" customHeight="1" x14ac:dyDescent="0.25">
      <c r="B68" s="22" t="s">
        <v>142</v>
      </c>
      <c r="C68" s="23" t="s">
        <v>143</v>
      </c>
      <c r="D68" s="10"/>
      <c r="E68" s="26" t="s">
        <v>143</v>
      </c>
      <c r="F68" s="28" t="s">
        <v>143</v>
      </c>
      <c r="G68" s="28">
        <v>0</v>
      </c>
      <c r="H68" s="28">
        <v>0</v>
      </c>
      <c r="I68" s="28">
        <v>0</v>
      </c>
      <c r="J68" s="28">
        <v>0</v>
      </c>
      <c r="K68" s="28">
        <v>0</v>
      </c>
      <c r="L68" s="25">
        <v>0</v>
      </c>
      <c r="M68" s="25">
        <v>0</v>
      </c>
      <c r="N68" s="28">
        <v>0</v>
      </c>
      <c r="O68" s="28">
        <v>0</v>
      </c>
      <c r="P68" s="28"/>
      <c r="Q68" s="28"/>
    </row>
    <row r="69" spans="2:17" ht="15" customHeight="1" x14ac:dyDescent="0.25">
      <c r="B69" s="22" t="s">
        <v>144</v>
      </c>
      <c r="C69" s="23" t="s">
        <v>145</v>
      </c>
      <c r="D69" s="10"/>
      <c r="E69" s="26" t="s">
        <v>145</v>
      </c>
      <c r="F69" s="28" t="s">
        <v>1063</v>
      </c>
      <c r="G69" s="28">
        <v>52.64</v>
      </c>
      <c r="H69" s="28">
        <v>0</v>
      </c>
      <c r="I69" s="28">
        <v>0.6</v>
      </c>
      <c r="J69" s="28">
        <v>0</v>
      </c>
      <c r="K69" s="28">
        <v>1.21</v>
      </c>
      <c r="L69" s="25">
        <v>-2.8311999999999999</v>
      </c>
      <c r="M69" s="25">
        <v>3.6920999999999999</v>
      </c>
      <c r="N69" s="28">
        <v>39.32</v>
      </c>
      <c r="O69" s="28">
        <v>61.83</v>
      </c>
      <c r="P69" s="28">
        <v>1.3387589013224823</v>
      </c>
      <c r="Q69" s="28">
        <v>0.85136665049328808</v>
      </c>
    </row>
    <row r="70" spans="2:17" ht="15" customHeight="1" x14ac:dyDescent="0.25">
      <c r="B70" s="22" t="s">
        <v>146</v>
      </c>
      <c r="C70" s="23" t="s">
        <v>147</v>
      </c>
      <c r="D70" s="10"/>
      <c r="E70" s="26" t="s">
        <v>147</v>
      </c>
      <c r="F70" s="28" t="s">
        <v>1064</v>
      </c>
      <c r="G70" s="28">
        <v>45.56</v>
      </c>
      <c r="H70" s="28">
        <v>12.82</v>
      </c>
      <c r="I70" s="28">
        <v>1.08</v>
      </c>
      <c r="J70" s="28">
        <v>0.5</v>
      </c>
      <c r="K70" s="28">
        <v>1.27</v>
      </c>
      <c r="L70" s="25">
        <v>-0.22789999999999999</v>
      </c>
      <c r="M70" s="25">
        <v>2.1717</v>
      </c>
      <c r="N70" s="28">
        <v>27.72</v>
      </c>
      <c r="O70" s="28">
        <v>43.29</v>
      </c>
      <c r="P70" s="28">
        <v>1.6435786435786437</v>
      </c>
      <c r="Q70" s="28">
        <v>1.0524370524370523</v>
      </c>
    </row>
    <row r="71" spans="2:17" ht="15" customHeight="1" x14ac:dyDescent="0.25">
      <c r="B71" s="22" t="s">
        <v>148</v>
      </c>
      <c r="C71" s="23" t="s">
        <v>149</v>
      </c>
      <c r="D71" s="10"/>
      <c r="E71" s="26" t="s">
        <v>149</v>
      </c>
      <c r="F71" s="28" t="s">
        <v>1386</v>
      </c>
      <c r="G71" s="28">
        <v>44.03</v>
      </c>
      <c r="H71" s="28">
        <v>17.079999999999998</v>
      </c>
      <c r="I71" s="28">
        <v>0.84</v>
      </c>
      <c r="J71" s="28">
        <v>0</v>
      </c>
      <c r="K71" s="28">
        <v>3.07</v>
      </c>
      <c r="L71" s="25">
        <v>-1.2253000000000001</v>
      </c>
      <c r="M71" s="25">
        <v>1.2714000000000001</v>
      </c>
      <c r="N71" s="28">
        <v>31.57</v>
      </c>
      <c r="O71" s="28">
        <v>46.25</v>
      </c>
      <c r="P71" s="28">
        <v>1.3946784922394679</v>
      </c>
      <c r="Q71" s="28">
        <v>0.95199999999999996</v>
      </c>
    </row>
    <row r="72" spans="2:17" ht="15" customHeight="1" x14ac:dyDescent="0.25">
      <c r="B72" s="22" t="s">
        <v>150</v>
      </c>
      <c r="C72" s="23" t="s">
        <v>151</v>
      </c>
      <c r="D72" s="10"/>
      <c r="E72" s="26" t="s">
        <v>151</v>
      </c>
      <c r="F72" s="28" t="s">
        <v>1065</v>
      </c>
      <c r="G72" s="28">
        <v>41.85</v>
      </c>
      <c r="H72" s="28">
        <v>16.940000000000001</v>
      </c>
      <c r="I72" s="28">
        <v>0.98</v>
      </c>
      <c r="J72" s="28">
        <v>1.556</v>
      </c>
      <c r="K72" s="28">
        <v>2.27</v>
      </c>
      <c r="L72" s="25">
        <v>4.4156000000000004</v>
      </c>
      <c r="M72" s="25">
        <v>7.2118000000000002</v>
      </c>
      <c r="N72" s="28">
        <v>26.89</v>
      </c>
      <c r="O72" s="28">
        <v>43.8</v>
      </c>
      <c r="P72" s="28">
        <v>1.5563406470806991</v>
      </c>
      <c r="Q72" s="28">
        <v>0.95547945205479456</v>
      </c>
    </row>
    <row r="73" spans="2:17" ht="15" customHeight="1" x14ac:dyDescent="0.25">
      <c r="B73" s="22" t="s">
        <v>152</v>
      </c>
      <c r="C73" s="23" t="s">
        <v>153</v>
      </c>
      <c r="D73" s="10"/>
      <c r="E73" s="26" t="s">
        <v>153</v>
      </c>
      <c r="F73" s="28" t="s">
        <v>1066</v>
      </c>
      <c r="G73" s="28">
        <v>11.3</v>
      </c>
      <c r="H73" s="28">
        <v>44.48</v>
      </c>
      <c r="I73" s="28">
        <v>0.59</v>
      </c>
      <c r="J73" s="28">
        <v>0.03</v>
      </c>
      <c r="K73" s="28">
        <v>0.55000000000000004</v>
      </c>
      <c r="L73" s="25">
        <v>-0.31759999999999999</v>
      </c>
      <c r="M73" s="25">
        <v>1.238</v>
      </c>
      <c r="N73" s="28">
        <v>6.72</v>
      </c>
      <c r="O73" s="28">
        <v>12.49</v>
      </c>
      <c r="P73" s="28">
        <v>1.6815476190476188</v>
      </c>
      <c r="Q73" s="28">
        <v>0.90472377902321865</v>
      </c>
    </row>
    <row r="74" spans="2:17" ht="15" customHeight="1" x14ac:dyDescent="0.25">
      <c r="B74" s="22" t="s">
        <v>152</v>
      </c>
      <c r="C74" s="23" t="s">
        <v>153</v>
      </c>
      <c r="D74" s="10"/>
      <c r="E74" s="26" t="s">
        <v>153</v>
      </c>
      <c r="F74" s="28" t="s">
        <v>1066</v>
      </c>
      <c r="G74" s="28">
        <v>11.3</v>
      </c>
      <c r="H74" s="28">
        <v>44.48</v>
      </c>
      <c r="I74" s="28">
        <v>0.59</v>
      </c>
      <c r="J74" s="28">
        <v>0.03</v>
      </c>
      <c r="K74" s="28">
        <v>0.55000000000000004</v>
      </c>
      <c r="L74" s="25">
        <v>-0.31759999999999999</v>
      </c>
      <c r="M74" s="25">
        <v>1.238</v>
      </c>
      <c r="N74" s="28">
        <v>6.72</v>
      </c>
      <c r="O74" s="28">
        <v>12.49</v>
      </c>
      <c r="P74" s="28">
        <v>1.6815476190476188</v>
      </c>
      <c r="Q74" s="28">
        <v>0.90472377902321865</v>
      </c>
    </row>
    <row r="75" spans="2:17" ht="15" customHeight="1" x14ac:dyDescent="0.25">
      <c r="B75" s="22" t="s">
        <v>154</v>
      </c>
      <c r="C75" s="23" t="s">
        <v>155</v>
      </c>
      <c r="D75" s="10"/>
      <c r="E75" s="26" t="s">
        <v>155</v>
      </c>
      <c r="F75" s="28" t="s">
        <v>1067</v>
      </c>
      <c r="G75" s="28">
        <v>53.87</v>
      </c>
      <c r="H75" s="28">
        <v>10.050000000000001</v>
      </c>
      <c r="I75" s="28">
        <v>0.9</v>
      </c>
      <c r="J75" s="28">
        <v>0.80200000000000005</v>
      </c>
      <c r="K75" s="28">
        <v>1.73</v>
      </c>
      <c r="L75" s="25">
        <v>-1.5552999999999999</v>
      </c>
      <c r="M75" s="25">
        <v>-0.91300000000000003</v>
      </c>
      <c r="N75" s="28">
        <v>50.32</v>
      </c>
      <c r="O75" s="28">
        <v>66.09</v>
      </c>
      <c r="P75" s="28">
        <v>1.0705484896661366</v>
      </c>
      <c r="Q75" s="28">
        <v>0.81510062036616737</v>
      </c>
    </row>
    <row r="76" spans="2:17" ht="15" customHeight="1" x14ac:dyDescent="0.25">
      <c r="B76" s="22" t="s">
        <v>156</v>
      </c>
      <c r="C76" s="23" t="s">
        <v>157</v>
      </c>
      <c r="D76" s="10"/>
      <c r="E76" s="26" t="s">
        <v>157</v>
      </c>
      <c r="F76" s="28" t="s">
        <v>1068</v>
      </c>
      <c r="G76" s="28">
        <v>16.32</v>
      </c>
      <c r="H76" s="28">
        <v>28</v>
      </c>
      <c r="I76" s="28">
        <v>1.19</v>
      </c>
      <c r="J76" s="28">
        <v>0</v>
      </c>
      <c r="K76" s="28">
        <v>0.77</v>
      </c>
      <c r="L76" s="25">
        <v>0.1159</v>
      </c>
      <c r="M76" s="25">
        <v>1.3041</v>
      </c>
      <c r="N76" s="28">
        <v>12.4</v>
      </c>
      <c r="O76" s="28">
        <v>18.71</v>
      </c>
      <c r="P76" s="28">
        <v>1.3161290322580645</v>
      </c>
      <c r="Q76" s="28">
        <v>0.87226082308925712</v>
      </c>
    </row>
    <row r="77" spans="2:17" ht="15" customHeight="1" x14ac:dyDescent="0.25">
      <c r="B77" s="22" t="s">
        <v>158</v>
      </c>
      <c r="C77" s="23" t="s">
        <v>159</v>
      </c>
      <c r="D77" s="10"/>
      <c r="E77" s="26" t="s">
        <v>159</v>
      </c>
      <c r="F77" s="28" t="s">
        <v>1387</v>
      </c>
      <c r="G77" s="28">
        <v>58.98</v>
      </c>
      <c r="H77" s="28">
        <v>10.67</v>
      </c>
      <c r="I77" s="28">
        <v>0.93</v>
      </c>
      <c r="J77" s="28">
        <v>0.04</v>
      </c>
      <c r="K77" s="28">
        <v>1.74</v>
      </c>
      <c r="L77" s="25">
        <v>0.3856</v>
      </c>
      <c r="M77" s="25">
        <v>6.9778000000000002</v>
      </c>
      <c r="N77" s="28">
        <v>39.01</v>
      </c>
      <c r="O77" s="28">
        <v>65.959999999999994</v>
      </c>
      <c r="P77" s="28">
        <v>1.5119200205075622</v>
      </c>
      <c r="Q77" s="28">
        <v>0.89417828987265013</v>
      </c>
    </row>
    <row r="78" spans="2:17" ht="15" customHeight="1" x14ac:dyDescent="0.25">
      <c r="B78" s="22" t="s">
        <v>160</v>
      </c>
      <c r="C78" s="23" t="s">
        <v>161</v>
      </c>
      <c r="D78" s="10"/>
      <c r="E78" s="26" t="s">
        <v>161</v>
      </c>
      <c r="F78" s="28" t="s">
        <v>1388</v>
      </c>
      <c r="G78" s="28">
        <v>35.700000000000003</v>
      </c>
      <c r="H78" s="28">
        <v>31.24</v>
      </c>
      <c r="I78" s="28">
        <v>0.76</v>
      </c>
      <c r="J78" s="28">
        <v>0.92500000000000004</v>
      </c>
      <c r="K78" s="28">
        <v>0.59</v>
      </c>
      <c r="L78" s="25">
        <v>-0.99909999999999999</v>
      </c>
      <c r="M78" s="25">
        <v>0.88560000000000005</v>
      </c>
      <c r="N78" s="28">
        <v>27.6</v>
      </c>
      <c r="O78" s="28">
        <v>43.56</v>
      </c>
      <c r="P78" s="28">
        <v>1.2934782608695652</v>
      </c>
      <c r="Q78" s="28">
        <v>0.81955922865013775</v>
      </c>
    </row>
    <row r="79" spans="2:17" ht="15" customHeight="1" x14ac:dyDescent="0.25">
      <c r="B79" s="22" t="s">
        <v>162</v>
      </c>
      <c r="C79" s="23" t="s">
        <v>163</v>
      </c>
      <c r="D79" s="10"/>
      <c r="E79" s="26" t="s">
        <v>163</v>
      </c>
      <c r="F79" s="28" t="s">
        <v>1069</v>
      </c>
      <c r="G79" s="28">
        <v>55.06</v>
      </c>
      <c r="H79" s="28">
        <v>9.7799999999999994</v>
      </c>
      <c r="I79" s="28">
        <v>1.78</v>
      </c>
      <c r="J79" s="28">
        <v>2</v>
      </c>
      <c r="K79" s="28">
        <v>2.2200000000000002</v>
      </c>
      <c r="L79" s="25">
        <v>-0.29409999999999997</v>
      </c>
      <c r="M79" s="25">
        <v>-1.3187</v>
      </c>
      <c r="N79" s="28">
        <v>49.03</v>
      </c>
      <c r="O79" s="28">
        <v>57.31</v>
      </c>
      <c r="P79" s="28">
        <v>1.1229859269834794</v>
      </c>
      <c r="Q79" s="28">
        <v>0.9607398359797592</v>
      </c>
    </row>
    <row r="80" spans="2:17" ht="15" customHeight="1" x14ac:dyDescent="0.25">
      <c r="B80" s="22" t="s">
        <v>164</v>
      </c>
      <c r="C80" s="23" t="s">
        <v>165</v>
      </c>
      <c r="D80" s="10"/>
      <c r="E80" s="26" t="s">
        <v>165</v>
      </c>
      <c r="F80" s="28" t="s">
        <v>1070</v>
      </c>
      <c r="G80" s="28">
        <v>55.81</v>
      </c>
      <c r="H80" s="28">
        <v>54.62</v>
      </c>
      <c r="I80" s="28">
        <v>2.29</v>
      </c>
      <c r="J80" s="28">
        <v>2.1459999999999999</v>
      </c>
      <c r="K80" s="28">
        <v>2.93</v>
      </c>
      <c r="L80" s="25">
        <v>1.7076</v>
      </c>
      <c r="M80" s="25">
        <v>3.1288</v>
      </c>
      <c r="N80" s="28">
        <v>48.94</v>
      </c>
      <c r="O80" s="28">
        <v>54.77</v>
      </c>
      <c r="P80" s="28">
        <v>1.140375970576216</v>
      </c>
      <c r="Q80" s="28">
        <v>1.0189884973525654</v>
      </c>
    </row>
    <row r="81" spans="2:17" ht="15" customHeight="1" x14ac:dyDescent="0.25">
      <c r="B81" s="22" t="s">
        <v>166</v>
      </c>
      <c r="C81" s="23" t="s">
        <v>167</v>
      </c>
      <c r="D81" s="10"/>
      <c r="E81" s="26" t="s">
        <v>167</v>
      </c>
      <c r="F81" s="28" t="s">
        <v>1071</v>
      </c>
      <c r="G81" s="28">
        <v>56.1</v>
      </c>
      <c r="H81" s="28">
        <v>10.23</v>
      </c>
      <c r="I81" s="28">
        <v>1.03</v>
      </c>
      <c r="J81" s="28">
        <v>0.6</v>
      </c>
      <c r="K81" s="28">
        <v>1.22</v>
      </c>
      <c r="L81" s="25">
        <v>0.95709999999999995</v>
      </c>
      <c r="M81" s="25">
        <v>3.7665000000000002</v>
      </c>
      <c r="N81" s="28">
        <v>45.09</v>
      </c>
      <c r="O81" s="28">
        <v>59.91</v>
      </c>
      <c r="P81" s="28">
        <v>1.2441783100465735</v>
      </c>
      <c r="Q81" s="28">
        <v>0.93640460691036553</v>
      </c>
    </row>
    <row r="82" spans="2:17" ht="15" customHeight="1" x14ac:dyDescent="0.25">
      <c r="B82" s="22" t="s">
        <v>168</v>
      </c>
      <c r="C82" s="23" t="s">
        <v>169</v>
      </c>
      <c r="D82" s="10"/>
      <c r="E82" s="26" t="s">
        <v>169</v>
      </c>
      <c r="F82" s="28" t="s">
        <v>1072</v>
      </c>
      <c r="G82" s="28">
        <v>58.04</v>
      </c>
      <c r="H82" s="28">
        <v>8.59</v>
      </c>
      <c r="I82" s="28">
        <v>3.53</v>
      </c>
      <c r="J82" s="28">
        <v>19.664999999999999</v>
      </c>
      <c r="K82" s="28">
        <v>1.47</v>
      </c>
      <c r="L82" s="25">
        <v>-0.62529999999999997</v>
      </c>
      <c r="M82" s="25">
        <v>0.4743</v>
      </c>
      <c r="N82" s="28">
        <v>50.62</v>
      </c>
      <c r="O82" s="28">
        <v>63.92</v>
      </c>
      <c r="P82" s="28">
        <v>1.1465823785065192</v>
      </c>
      <c r="Q82" s="28">
        <v>0.90801001251564462</v>
      </c>
    </row>
    <row r="83" spans="2:17" ht="15" customHeight="1" x14ac:dyDescent="0.25">
      <c r="B83" s="22" t="s">
        <v>170</v>
      </c>
      <c r="C83" s="23" t="s">
        <v>171</v>
      </c>
      <c r="D83" s="10"/>
      <c r="E83" s="26" t="s">
        <v>171</v>
      </c>
      <c r="F83" s="28" t="s">
        <v>1389</v>
      </c>
      <c r="G83" s="28">
        <v>27.72</v>
      </c>
      <c r="H83" s="28">
        <v>7.62</v>
      </c>
      <c r="I83" s="28">
        <v>0.64</v>
      </c>
      <c r="J83" s="28">
        <v>0.15</v>
      </c>
      <c r="K83" s="28">
        <v>0.72</v>
      </c>
      <c r="L83" s="25">
        <v>-0.91120000000000001</v>
      </c>
      <c r="M83" s="25">
        <v>-4.1599999999999998E-2</v>
      </c>
      <c r="N83" s="28">
        <v>20.96</v>
      </c>
      <c r="O83" s="28">
        <v>30.07</v>
      </c>
      <c r="P83" s="28">
        <v>1.3225190839694656</v>
      </c>
      <c r="Q83" s="28">
        <v>0.92184901895576987</v>
      </c>
    </row>
    <row r="84" spans="2:17" ht="15" customHeight="1" x14ac:dyDescent="0.25">
      <c r="B84" s="22" t="s">
        <v>172</v>
      </c>
      <c r="C84" s="23" t="s">
        <v>173</v>
      </c>
      <c r="D84" s="10"/>
      <c r="E84" s="26" t="s">
        <v>173</v>
      </c>
      <c r="F84" s="28" t="s">
        <v>1073</v>
      </c>
      <c r="G84" s="28">
        <v>32.96</v>
      </c>
      <c r="H84" s="28">
        <v>34.65</v>
      </c>
      <c r="I84" s="28">
        <v>1.24</v>
      </c>
      <c r="J84" s="28">
        <v>0</v>
      </c>
      <c r="K84" s="28">
        <v>1.76</v>
      </c>
      <c r="L84" s="25">
        <v>1.1950000000000001</v>
      </c>
      <c r="M84" s="25">
        <v>7.2192999999999996</v>
      </c>
      <c r="N84" s="28">
        <v>14.05</v>
      </c>
      <c r="O84" s="28">
        <v>37.07</v>
      </c>
      <c r="P84" s="28">
        <v>2.3459074733096088</v>
      </c>
      <c r="Q84" s="28">
        <v>0.8891286754788239</v>
      </c>
    </row>
    <row r="85" spans="2:17" ht="15" customHeight="1" x14ac:dyDescent="0.25">
      <c r="B85" s="22" t="s">
        <v>174</v>
      </c>
      <c r="C85" s="23" t="s">
        <v>175</v>
      </c>
      <c r="D85" s="10"/>
      <c r="E85" s="26" t="s">
        <v>175</v>
      </c>
      <c r="F85" s="28" t="s">
        <v>1074</v>
      </c>
      <c r="G85" s="28">
        <v>29.29</v>
      </c>
      <c r="H85" s="28">
        <v>6.24</v>
      </c>
      <c r="I85" s="28">
        <v>0.78</v>
      </c>
      <c r="J85" s="28">
        <v>0.36</v>
      </c>
      <c r="K85" s="28">
        <v>0.52</v>
      </c>
      <c r="L85" s="25">
        <v>0.37819999999999998</v>
      </c>
      <c r="M85" s="25">
        <v>3.4958</v>
      </c>
      <c r="N85" s="28">
        <v>19.04</v>
      </c>
      <c r="O85" s="28">
        <v>31.38</v>
      </c>
      <c r="P85" s="28">
        <v>1.5383403361344539</v>
      </c>
      <c r="Q85" s="28">
        <v>0.93339706819630341</v>
      </c>
    </row>
    <row r="86" spans="2:17" ht="15" customHeight="1" x14ac:dyDescent="0.25">
      <c r="B86" s="22" t="s">
        <v>176</v>
      </c>
      <c r="C86" s="23" t="s">
        <v>177</v>
      </c>
      <c r="D86" s="10"/>
      <c r="E86" s="26" t="s">
        <v>177</v>
      </c>
      <c r="F86" s="28" t="s">
        <v>177</v>
      </c>
      <c r="G86" s="28">
        <v>0</v>
      </c>
      <c r="H86" s="28">
        <v>0</v>
      </c>
      <c r="I86" s="28">
        <v>0</v>
      </c>
      <c r="J86" s="28">
        <v>0</v>
      </c>
      <c r="K86" s="28">
        <v>0</v>
      </c>
      <c r="L86" s="25">
        <v>0</v>
      </c>
      <c r="M86" s="25">
        <v>0</v>
      </c>
      <c r="N86" s="28">
        <v>0</v>
      </c>
      <c r="O86" s="28">
        <v>0</v>
      </c>
      <c r="P86" s="28"/>
      <c r="Q86" s="28"/>
    </row>
    <row r="87" spans="2:17" ht="15" customHeight="1" x14ac:dyDescent="0.25">
      <c r="B87" s="22" t="s">
        <v>178</v>
      </c>
      <c r="C87" s="23" t="s">
        <v>179</v>
      </c>
      <c r="D87" s="10"/>
      <c r="E87" s="26" t="s">
        <v>179</v>
      </c>
      <c r="F87" s="28" t="s">
        <v>1075</v>
      </c>
      <c r="G87" s="28">
        <v>161.22999999999999</v>
      </c>
      <c r="H87" s="28">
        <v>25.9</v>
      </c>
      <c r="I87" s="28">
        <v>1.37</v>
      </c>
      <c r="J87" s="28">
        <v>1.67</v>
      </c>
      <c r="K87" s="28">
        <v>8.9</v>
      </c>
      <c r="L87" s="25">
        <v>-1.165</v>
      </c>
      <c r="M87" s="25">
        <v>9.1839999999999993</v>
      </c>
      <c r="N87" s="28">
        <v>101.8</v>
      </c>
      <c r="O87" s="28">
        <v>167.85</v>
      </c>
      <c r="P87" s="28">
        <v>1.5837917485265227</v>
      </c>
      <c r="Q87" s="28">
        <v>0.96056002383080141</v>
      </c>
    </row>
    <row r="88" spans="2:17" ht="15" customHeight="1" x14ac:dyDescent="0.25">
      <c r="B88" s="22" t="s">
        <v>180</v>
      </c>
      <c r="C88" s="23" t="s">
        <v>181</v>
      </c>
      <c r="D88" s="10"/>
      <c r="E88" s="26" t="s">
        <v>181</v>
      </c>
      <c r="F88" s="28" t="s">
        <v>1076</v>
      </c>
      <c r="G88" s="28">
        <v>7.62</v>
      </c>
      <c r="H88" s="28">
        <v>10.46</v>
      </c>
      <c r="I88" s="28">
        <v>1.41</v>
      </c>
      <c r="J88" s="28">
        <v>0.04</v>
      </c>
      <c r="K88" s="28">
        <v>0.71</v>
      </c>
      <c r="L88" s="25">
        <v>-5.5899999999999998E-2</v>
      </c>
      <c r="M88" s="25">
        <v>0.45040000000000002</v>
      </c>
      <c r="N88" s="28">
        <v>5.46</v>
      </c>
      <c r="O88" s="28">
        <v>8.2899999999999991</v>
      </c>
      <c r="P88" s="28">
        <v>1.3956043956043958</v>
      </c>
      <c r="Q88" s="28">
        <v>0.91917973462002422</v>
      </c>
    </row>
    <row r="89" spans="2:17" ht="15" customHeight="1" x14ac:dyDescent="0.25">
      <c r="B89" s="22" t="s">
        <v>182</v>
      </c>
      <c r="C89" s="23" t="s">
        <v>183</v>
      </c>
      <c r="D89" s="10"/>
      <c r="E89" s="26" t="s">
        <v>183</v>
      </c>
      <c r="F89" s="28" t="s">
        <v>1390</v>
      </c>
      <c r="G89" s="28">
        <v>39.979999999999997</v>
      </c>
      <c r="H89" s="28">
        <v>17.16</v>
      </c>
      <c r="I89" s="28">
        <v>0</v>
      </c>
      <c r="J89" s="28">
        <v>1.85</v>
      </c>
      <c r="K89" s="28">
        <v>1.37</v>
      </c>
      <c r="L89" s="25">
        <v>-0.66649999999999998</v>
      </c>
      <c r="M89" s="25">
        <v>-0.1792</v>
      </c>
      <c r="N89" s="28">
        <v>36.590000000000003</v>
      </c>
      <c r="O89" s="28">
        <v>47.5</v>
      </c>
      <c r="P89" s="28">
        <v>1.0926482645531568</v>
      </c>
      <c r="Q89" s="28">
        <v>0.84168421052631581</v>
      </c>
    </row>
    <row r="90" spans="2:17" ht="15" customHeight="1" x14ac:dyDescent="0.25">
      <c r="B90" s="22" t="s">
        <v>184</v>
      </c>
      <c r="C90" s="23" t="s">
        <v>185</v>
      </c>
      <c r="D90" s="10"/>
      <c r="E90" s="26" t="s">
        <v>185</v>
      </c>
      <c r="F90" s="28" t="s">
        <v>1077</v>
      </c>
      <c r="G90" s="28">
        <v>3.94</v>
      </c>
      <c r="H90" s="28">
        <v>0</v>
      </c>
      <c r="I90" s="28">
        <v>0</v>
      </c>
      <c r="J90" s="28">
        <v>8.7999999999999995E-2</v>
      </c>
      <c r="K90" s="28">
        <v>117.88</v>
      </c>
      <c r="L90" s="25">
        <v>0.20380000000000001</v>
      </c>
      <c r="M90" s="25">
        <v>1.1167</v>
      </c>
      <c r="N90" s="28">
        <v>1.68</v>
      </c>
      <c r="O90" s="28">
        <v>3.3</v>
      </c>
      <c r="P90" s="28">
        <v>2.3452380952380953</v>
      </c>
      <c r="Q90" s="28">
        <v>1.1939393939393941</v>
      </c>
    </row>
    <row r="91" spans="2:17" ht="15" customHeight="1" x14ac:dyDescent="0.25">
      <c r="B91" s="22" t="s">
        <v>186</v>
      </c>
      <c r="C91" s="23" t="s">
        <v>187</v>
      </c>
      <c r="D91" s="10"/>
      <c r="E91" s="26" t="s">
        <v>187</v>
      </c>
      <c r="F91" s="28" t="s">
        <v>1078</v>
      </c>
      <c r="G91" s="28">
        <v>24.54</v>
      </c>
      <c r="H91" s="28">
        <v>16.420000000000002</v>
      </c>
      <c r="I91" s="28">
        <v>1.86</v>
      </c>
      <c r="J91" s="28">
        <v>0.28399999999999997</v>
      </c>
      <c r="K91" s="28">
        <v>2.4500000000000002</v>
      </c>
      <c r="L91" s="25">
        <v>1.3152999999999999</v>
      </c>
      <c r="M91" s="25">
        <v>2.7884000000000002</v>
      </c>
      <c r="N91" s="28">
        <v>19.170000000000002</v>
      </c>
      <c r="O91" s="28">
        <v>23.13</v>
      </c>
      <c r="P91" s="28">
        <v>1.2801251956181534</v>
      </c>
      <c r="Q91" s="28">
        <v>1.0609597924773022</v>
      </c>
    </row>
    <row r="92" spans="2:17" ht="15" customHeight="1" x14ac:dyDescent="0.25">
      <c r="B92" s="22" t="s">
        <v>188</v>
      </c>
      <c r="C92" s="23" t="s">
        <v>189</v>
      </c>
      <c r="D92" s="10"/>
      <c r="E92" s="26" t="s">
        <v>189</v>
      </c>
      <c r="F92" s="28" t="s">
        <v>189</v>
      </c>
      <c r="G92" s="28">
        <v>0</v>
      </c>
      <c r="H92" s="28">
        <v>0</v>
      </c>
      <c r="I92" s="28">
        <v>0</v>
      </c>
      <c r="J92" s="28">
        <v>0</v>
      </c>
      <c r="K92" s="28">
        <v>0</v>
      </c>
      <c r="L92" s="25">
        <v>0</v>
      </c>
      <c r="M92" s="25">
        <v>0</v>
      </c>
      <c r="N92" s="28">
        <v>0</v>
      </c>
      <c r="O92" s="28">
        <v>0</v>
      </c>
      <c r="P92" s="28"/>
      <c r="Q92" s="28"/>
    </row>
    <row r="93" spans="2:17" ht="15" customHeight="1" x14ac:dyDescent="0.25">
      <c r="B93" s="22" t="s">
        <v>190</v>
      </c>
      <c r="C93" s="23" t="s">
        <v>191</v>
      </c>
      <c r="D93" s="10"/>
      <c r="E93" s="26" t="s">
        <v>191</v>
      </c>
      <c r="F93" s="28" t="s">
        <v>1391</v>
      </c>
      <c r="G93" s="28">
        <v>28.43</v>
      </c>
      <c r="H93" s="28">
        <v>0</v>
      </c>
      <c r="I93" s="28">
        <v>0</v>
      </c>
      <c r="J93" s="28">
        <v>0.41</v>
      </c>
      <c r="K93" s="28">
        <v>0.73</v>
      </c>
      <c r="L93" s="25">
        <v>1.0235000000000001</v>
      </c>
      <c r="M93" s="25">
        <v>2.5139999999999998</v>
      </c>
      <c r="N93" s="28">
        <v>22.36</v>
      </c>
      <c r="O93" s="28">
        <v>26.87</v>
      </c>
      <c r="P93" s="28">
        <v>1.2714669051878356</v>
      </c>
      <c r="Q93" s="28">
        <v>1.0580573129884632</v>
      </c>
    </row>
    <row r="94" spans="2:17" ht="15" customHeight="1" x14ac:dyDescent="0.25">
      <c r="B94" s="22" t="s">
        <v>192</v>
      </c>
      <c r="C94" s="23" t="s">
        <v>193</v>
      </c>
      <c r="D94" s="10"/>
      <c r="E94" s="26" t="s">
        <v>193</v>
      </c>
      <c r="F94" s="28" t="s">
        <v>1079</v>
      </c>
      <c r="G94" s="28">
        <v>51.59</v>
      </c>
      <c r="H94" s="28">
        <v>8.36</v>
      </c>
      <c r="I94" s="28">
        <v>1.08</v>
      </c>
      <c r="J94" s="28">
        <v>0.2</v>
      </c>
      <c r="K94" s="28">
        <v>0.75</v>
      </c>
      <c r="L94" s="25">
        <v>-4.9767999999999999</v>
      </c>
      <c r="M94" s="25">
        <v>-6.09</v>
      </c>
      <c r="N94" s="28">
        <v>47.99</v>
      </c>
      <c r="O94" s="28">
        <v>65.08</v>
      </c>
      <c r="P94" s="28">
        <v>1.0750156282558867</v>
      </c>
      <c r="Q94" s="28">
        <v>0.79271665642286426</v>
      </c>
    </row>
    <row r="95" spans="2:17" ht="15" customHeight="1" x14ac:dyDescent="0.25">
      <c r="B95" s="22" t="s">
        <v>194</v>
      </c>
      <c r="C95" s="23" t="s">
        <v>195</v>
      </c>
      <c r="D95" s="10"/>
      <c r="E95" s="26" t="s">
        <v>195</v>
      </c>
      <c r="F95" s="28" t="s">
        <v>1080</v>
      </c>
      <c r="G95" s="28">
        <v>40.58</v>
      </c>
      <c r="H95" s="28">
        <v>12.27</v>
      </c>
      <c r="I95" s="28">
        <v>0.79</v>
      </c>
      <c r="J95" s="28">
        <v>0.8</v>
      </c>
      <c r="K95" s="28">
        <v>2.81</v>
      </c>
      <c r="L95" s="25">
        <v>1.5494000000000001</v>
      </c>
      <c r="M95" s="25">
        <v>1.4742</v>
      </c>
      <c r="N95" s="28">
        <v>32.31</v>
      </c>
      <c r="O95" s="28">
        <v>45.64</v>
      </c>
      <c r="P95" s="28">
        <v>1.2559579077684928</v>
      </c>
      <c r="Q95" s="28">
        <v>0.88913234005258546</v>
      </c>
    </row>
    <row r="96" spans="2:17" ht="15" customHeight="1" x14ac:dyDescent="0.25">
      <c r="B96" s="22" t="s">
        <v>196</v>
      </c>
      <c r="C96" s="23" t="s">
        <v>197</v>
      </c>
      <c r="D96" s="10"/>
      <c r="E96" s="26" t="s">
        <v>197</v>
      </c>
      <c r="F96" s="28" t="s">
        <v>1081</v>
      </c>
      <c r="G96" s="28">
        <v>35.130000000000003</v>
      </c>
      <c r="H96" s="28">
        <v>10.34</v>
      </c>
      <c r="I96" s="28">
        <v>1.02</v>
      </c>
      <c r="J96" s="28">
        <v>1.01</v>
      </c>
      <c r="K96" s="28">
        <v>1.26</v>
      </c>
      <c r="L96" s="25">
        <v>6.1800000000000001E-2</v>
      </c>
      <c r="M96" s="25">
        <v>0.82930000000000004</v>
      </c>
      <c r="N96" s="28">
        <v>29.8</v>
      </c>
      <c r="O96" s="28">
        <v>39.28</v>
      </c>
      <c r="P96" s="28">
        <v>1.1788590604026845</v>
      </c>
      <c r="Q96" s="28">
        <v>0.8943482688391039</v>
      </c>
    </row>
    <row r="97" spans="2:17" ht="15" customHeight="1" x14ac:dyDescent="0.25">
      <c r="B97" s="22" t="s">
        <v>198</v>
      </c>
      <c r="C97" s="23" t="s">
        <v>199</v>
      </c>
      <c r="D97" s="10"/>
      <c r="E97" s="26" t="s">
        <v>199</v>
      </c>
      <c r="F97" s="28" t="s">
        <v>199</v>
      </c>
      <c r="G97" s="28">
        <v>0</v>
      </c>
      <c r="H97" s="28">
        <v>0</v>
      </c>
      <c r="I97" s="28">
        <v>0</v>
      </c>
      <c r="J97" s="28">
        <v>0</v>
      </c>
      <c r="K97" s="28">
        <v>0</v>
      </c>
      <c r="L97" s="25">
        <v>0</v>
      </c>
      <c r="M97" s="25">
        <v>0</v>
      </c>
      <c r="N97" s="28">
        <v>0</v>
      </c>
      <c r="O97" s="28">
        <v>0</v>
      </c>
      <c r="P97" s="28"/>
      <c r="Q97" s="28"/>
    </row>
    <row r="98" spans="2:17" ht="15" customHeight="1" x14ac:dyDescent="0.25">
      <c r="B98" s="22" t="s">
        <v>200</v>
      </c>
      <c r="C98" s="23" t="s">
        <v>201</v>
      </c>
      <c r="D98" s="10"/>
      <c r="E98" s="26" t="s">
        <v>201</v>
      </c>
      <c r="F98" s="28" t="s">
        <v>201</v>
      </c>
      <c r="G98" s="28">
        <v>0</v>
      </c>
      <c r="H98" s="28">
        <v>0</v>
      </c>
      <c r="I98" s="28">
        <v>0</v>
      </c>
      <c r="J98" s="28">
        <v>0</v>
      </c>
      <c r="K98" s="28">
        <v>0</v>
      </c>
      <c r="L98" s="25">
        <v>0</v>
      </c>
      <c r="M98" s="25">
        <v>0</v>
      </c>
      <c r="N98" s="28">
        <v>0</v>
      </c>
      <c r="O98" s="28">
        <v>0</v>
      </c>
      <c r="P98" s="28"/>
      <c r="Q98" s="28"/>
    </row>
    <row r="99" spans="2:17" ht="15" customHeight="1" x14ac:dyDescent="0.25">
      <c r="B99" s="22" t="s">
        <v>202</v>
      </c>
      <c r="C99" s="23" t="s">
        <v>203</v>
      </c>
      <c r="D99" s="10"/>
      <c r="E99" s="26" t="s">
        <v>203</v>
      </c>
      <c r="F99" s="28" t="s">
        <v>1392</v>
      </c>
      <c r="G99" s="28">
        <v>41.04</v>
      </c>
      <c r="H99" s="28">
        <v>7.17</v>
      </c>
      <c r="I99" s="28">
        <v>0.76</v>
      </c>
      <c r="J99" s="28">
        <v>0.84</v>
      </c>
      <c r="K99" s="28">
        <v>0.63</v>
      </c>
      <c r="L99" s="25">
        <v>2.0855999999999999</v>
      </c>
      <c r="M99" s="25">
        <v>4.0910000000000002</v>
      </c>
      <c r="N99" s="28">
        <v>32.409999999999997</v>
      </c>
      <c r="O99" s="28">
        <v>40.57</v>
      </c>
      <c r="P99" s="28">
        <v>1.2662758407898798</v>
      </c>
      <c r="Q99" s="28">
        <v>1.0115849149617944</v>
      </c>
    </row>
    <row r="100" spans="2:17" ht="15" customHeight="1" x14ac:dyDescent="0.25">
      <c r="B100" s="22" t="s">
        <v>204</v>
      </c>
      <c r="C100" s="23" t="s">
        <v>205</v>
      </c>
      <c r="D100" s="10"/>
      <c r="E100" s="26" t="s">
        <v>205</v>
      </c>
      <c r="F100" s="28" t="s">
        <v>1082</v>
      </c>
      <c r="G100" s="28">
        <v>48.18</v>
      </c>
      <c r="H100" s="28">
        <v>14.2</v>
      </c>
      <c r="I100" s="28">
        <v>2.4900000000000002</v>
      </c>
      <c r="J100" s="28">
        <v>0.8</v>
      </c>
      <c r="K100" s="28">
        <v>2.21</v>
      </c>
      <c r="L100" s="25">
        <v>3.8014999999999999</v>
      </c>
      <c r="M100" s="25">
        <v>10.9481</v>
      </c>
      <c r="N100" s="28">
        <v>22.19</v>
      </c>
      <c r="O100" s="28">
        <v>46.05</v>
      </c>
      <c r="P100" s="28">
        <v>2.1712483100495721</v>
      </c>
      <c r="Q100" s="28">
        <v>1.0462540716612378</v>
      </c>
    </row>
    <row r="101" spans="2:17" ht="15" customHeight="1" x14ac:dyDescent="0.25">
      <c r="B101" s="22" t="s">
        <v>206</v>
      </c>
      <c r="C101" s="23" t="s">
        <v>207</v>
      </c>
      <c r="D101" s="10"/>
      <c r="E101" s="26" t="s">
        <v>207</v>
      </c>
      <c r="F101" s="28" t="s">
        <v>1393</v>
      </c>
      <c r="G101" s="28">
        <v>68.06</v>
      </c>
      <c r="H101" s="28">
        <v>24.01</v>
      </c>
      <c r="I101" s="28">
        <v>1.21</v>
      </c>
      <c r="J101" s="28">
        <v>1.1599999999999999</v>
      </c>
      <c r="K101" s="28">
        <v>5.7</v>
      </c>
      <c r="L101" s="25">
        <v>1.9376</v>
      </c>
      <c r="M101" s="25">
        <v>6.0262000000000002</v>
      </c>
      <c r="N101" s="28">
        <v>46.12</v>
      </c>
      <c r="O101" s="28">
        <v>70.52</v>
      </c>
      <c r="P101" s="28">
        <v>1.4757155247181266</v>
      </c>
      <c r="Q101" s="28">
        <v>0.96511627906976749</v>
      </c>
    </row>
    <row r="102" spans="2:17" ht="15" customHeight="1" x14ac:dyDescent="0.25">
      <c r="B102" s="22" t="s">
        <v>208</v>
      </c>
      <c r="C102" s="23" t="s">
        <v>209</v>
      </c>
      <c r="D102" s="10"/>
      <c r="E102" s="26" t="s">
        <v>209</v>
      </c>
      <c r="F102" s="28" t="s">
        <v>1083</v>
      </c>
      <c r="G102" s="28">
        <v>55.99</v>
      </c>
      <c r="H102" s="28">
        <v>20.52</v>
      </c>
      <c r="I102" s="28">
        <v>2.41</v>
      </c>
      <c r="J102" s="28">
        <v>1.7809999999999999</v>
      </c>
      <c r="K102" s="28">
        <v>2.5099999999999998</v>
      </c>
      <c r="L102" s="25">
        <v>-1.1071</v>
      </c>
      <c r="M102" s="25">
        <v>-1.2978000000000001</v>
      </c>
      <c r="N102" s="28">
        <v>53.25</v>
      </c>
      <c r="O102" s="28">
        <v>61.32</v>
      </c>
      <c r="P102" s="28">
        <v>1.0514553990610329</v>
      </c>
      <c r="Q102" s="28">
        <v>0.91307893020221786</v>
      </c>
    </row>
    <row r="103" spans="2:17" ht="15" customHeight="1" x14ac:dyDescent="0.25">
      <c r="B103" s="22" t="s">
        <v>210</v>
      </c>
      <c r="C103" s="23" t="s">
        <v>211</v>
      </c>
      <c r="D103" s="10"/>
      <c r="E103" s="26" t="s">
        <v>211</v>
      </c>
      <c r="F103" s="28" t="s">
        <v>1084</v>
      </c>
      <c r="G103" s="28">
        <v>58.57</v>
      </c>
      <c r="H103" s="28">
        <v>15.08</v>
      </c>
      <c r="I103" s="28">
        <v>7.61</v>
      </c>
      <c r="J103" s="28">
        <v>2.4300000000000002</v>
      </c>
      <c r="K103" s="28">
        <v>1.44</v>
      </c>
      <c r="L103" s="25">
        <v>1.9</v>
      </c>
      <c r="M103" s="25">
        <v>0.59389999999999998</v>
      </c>
      <c r="N103" s="28">
        <v>53.63</v>
      </c>
      <c r="O103" s="28">
        <v>57</v>
      </c>
      <c r="P103" s="28">
        <v>1.0921126235316054</v>
      </c>
      <c r="Q103" s="28">
        <v>1.0275438596491229</v>
      </c>
    </row>
    <row r="104" spans="2:17" ht="15" customHeight="1" x14ac:dyDescent="0.25">
      <c r="B104" s="22" t="s">
        <v>212</v>
      </c>
      <c r="C104" s="23" t="s">
        <v>213</v>
      </c>
      <c r="D104" s="10"/>
      <c r="E104" s="26" t="s">
        <v>213</v>
      </c>
      <c r="F104" s="28" t="s">
        <v>1085</v>
      </c>
      <c r="G104" s="28">
        <v>24.39</v>
      </c>
      <c r="H104" s="28">
        <v>7.5</v>
      </c>
      <c r="I104" s="28">
        <v>0.93</v>
      </c>
      <c r="J104" s="28">
        <v>0.495</v>
      </c>
      <c r="K104" s="28">
        <v>0.75</v>
      </c>
      <c r="L104" s="25">
        <v>1.0035000000000001</v>
      </c>
      <c r="M104" s="25">
        <v>3.4169999999999998</v>
      </c>
      <c r="N104" s="28">
        <v>18.28</v>
      </c>
      <c r="O104" s="28">
        <v>26.13</v>
      </c>
      <c r="P104" s="28">
        <v>1.3342450765864333</v>
      </c>
      <c r="Q104" s="28">
        <v>0.93340987370838113</v>
      </c>
    </row>
    <row r="105" spans="2:17" ht="15" customHeight="1" x14ac:dyDescent="0.25">
      <c r="B105" s="22" t="s">
        <v>214</v>
      </c>
      <c r="C105" s="23" t="s">
        <v>215</v>
      </c>
      <c r="D105" s="10"/>
      <c r="E105" s="26" t="s">
        <v>215</v>
      </c>
      <c r="F105" s="28" t="s">
        <v>1394</v>
      </c>
      <c r="G105" s="28">
        <v>23.89</v>
      </c>
      <c r="H105" s="28">
        <v>24.27</v>
      </c>
      <c r="I105" s="28">
        <v>1.36</v>
      </c>
      <c r="J105" s="28">
        <v>0</v>
      </c>
      <c r="K105" s="28">
        <v>4.95</v>
      </c>
      <c r="L105" s="25">
        <v>1.5488</v>
      </c>
      <c r="M105" s="25">
        <v>4.3312999999999997</v>
      </c>
      <c r="N105" s="28">
        <v>14.97</v>
      </c>
      <c r="O105" s="28">
        <v>24.75</v>
      </c>
      <c r="P105" s="28">
        <v>1.5958583834335338</v>
      </c>
      <c r="Q105" s="28">
        <v>0.96525252525252525</v>
      </c>
    </row>
    <row r="106" spans="2:17" ht="15" customHeight="1" x14ac:dyDescent="0.25">
      <c r="B106" s="22" t="s">
        <v>216</v>
      </c>
      <c r="C106" s="23" t="s">
        <v>217</v>
      </c>
      <c r="D106" s="10"/>
      <c r="E106" s="26" t="s">
        <v>217</v>
      </c>
      <c r="F106" s="28" t="s">
        <v>1086</v>
      </c>
      <c r="G106" s="28">
        <v>55.24</v>
      </c>
      <c r="H106" s="28">
        <v>15.89</v>
      </c>
      <c r="I106" s="28">
        <v>2.04</v>
      </c>
      <c r="J106" s="28">
        <v>2.14</v>
      </c>
      <c r="K106" s="28">
        <v>1.51</v>
      </c>
      <c r="L106" s="25">
        <v>1.7332000000000001</v>
      </c>
      <c r="M106" s="25">
        <v>2.8975</v>
      </c>
      <c r="N106" s="28">
        <v>45.95</v>
      </c>
      <c r="O106" s="28">
        <v>54</v>
      </c>
      <c r="P106" s="28">
        <v>1.2021762785636563</v>
      </c>
      <c r="Q106" s="28">
        <v>1.0229629629629629</v>
      </c>
    </row>
    <row r="107" spans="2:17" ht="15" customHeight="1" x14ac:dyDescent="0.25">
      <c r="B107" s="22" t="s">
        <v>218</v>
      </c>
      <c r="C107" s="23" t="s">
        <v>219</v>
      </c>
      <c r="D107" s="10"/>
      <c r="E107" s="26" t="s">
        <v>219</v>
      </c>
      <c r="F107" s="28" t="s">
        <v>1395</v>
      </c>
      <c r="G107" s="28">
        <v>53.9</v>
      </c>
      <c r="H107" s="28">
        <v>14.76</v>
      </c>
      <c r="I107" s="28">
        <v>1.2</v>
      </c>
      <c r="J107" s="28">
        <v>0.81</v>
      </c>
      <c r="K107" s="28">
        <v>5.46</v>
      </c>
      <c r="L107" s="25">
        <v>-1.0938000000000001</v>
      </c>
      <c r="M107" s="25">
        <v>-1.4119999999999999</v>
      </c>
      <c r="N107" s="28">
        <v>46.27</v>
      </c>
      <c r="O107" s="28">
        <v>58.76</v>
      </c>
      <c r="P107" s="28">
        <v>1.1649016641452345</v>
      </c>
      <c r="Q107" s="28">
        <v>0.91729067392784214</v>
      </c>
    </row>
    <row r="108" spans="2:17" ht="15" customHeight="1" x14ac:dyDescent="0.25">
      <c r="B108" s="22" t="s">
        <v>220</v>
      </c>
      <c r="C108" s="23" t="s">
        <v>221</v>
      </c>
      <c r="D108" s="10"/>
      <c r="E108" s="26" t="s">
        <v>221</v>
      </c>
      <c r="F108" s="28" t="s">
        <v>1087</v>
      </c>
      <c r="G108" s="28">
        <v>77.92</v>
      </c>
      <c r="H108" s="28">
        <v>14.38</v>
      </c>
      <c r="I108" s="28">
        <v>1.25</v>
      </c>
      <c r="J108" s="28">
        <v>1.8</v>
      </c>
      <c r="K108" s="28">
        <v>1.83</v>
      </c>
      <c r="L108" s="25">
        <v>1.0711999999999999</v>
      </c>
      <c r="M108" s="25">
        <v>5.1882000000000001</v>
      </c>
      <c r="N108" s="28">
        <v>58.59</v>
      </c>
      <c r="O108" s="28">
        <v>84.7</v>
      </c>
      <c r="P108" s="28">
        <v>1.3299197815326849</v>
      </c>
      <c r="Q108" s="28">
        <v>0.9199527744982291</v>
      </c>
    </row>
    <row r="109" spans="2:17" ht="15" customHeight="1" x14ac:dyDescent="0.25">
      <c r="B109" s="22" t="s">
        <v>222</v>
      </c>
      <c r="C109" s="23" t="s">
        <v>223</v>
      </c>
      <c r="D109" s="10"/>
      <c r="E109" s="26" t="s">
        <v>223</v>
      </c>
      <c r="F109" s="28" t="s">
        <v>223</v>
      </c>
      <c r="G109" s="28">
        <v>0</v>
      </c>
      <c r="H109" s="28">
        <v>0</v>
      </c>
      <c r="I109" s="28">
        <v>0</v>
      </c>
      <c r="J109" s="28">
        <v>0</v>
      </c>
      <c r="K109" s="28">
        <v>0</v>
      </c>
      <c r="L109" s="25">
        <v>0</v>
      </c>
      <c r="M109" s="25">
        <v>0</v>
      </c>
      <c r="N109" s="28">
        <v>0</v>
      </c>
      <c r="O109" s="28">
        <v>0</v>
      </c>
      <c r="P109" s="28"/>
      <c r="Q109" s="28"/>
    </row>
    <row r="110" spans="2:17" ht="15" customHeight="1" x14ac:dyDescent="0.25">
      <c r="B110" s="22" t="s">
        <v>224</v>
      </c>
      <c r="C110" s="23" t="s">
        <v>225</v>
      </c>
      <c r="D110" s="10"/>
      <c r="E110" s="26" t="s">
        <v>225</v>
      </c>
      <c r="F110" s="28" t="s">
        <v>1088</v>
      </c>
      <c r="G110" s="28">
        <v>41.27</v>
      </c>
      <c r="H110" s="28">
        <v>14.25</v>
      </c>
      <c r="I110" s="28">
        <v>0.82</v>
      </c>
      <c r="J110" s="28">
        <v>0.36</v>
      </c>
      <c r="K110" s="28">
        <v>2.39</v>
      </c>
      <c r="L110" s="25">
        <v>1.5921000000000001</v>
      </c>
      <c r="M110" s="25">
        <v>5.9630000000000001</v>
      </c>
      <c r="N110" s="28">
        <v>26.28</v>
      </c>
      <c r="O110" s="28">
        <v>48.48</v>
      </c>
      <c r="P110" s="28">
        <v>1.5703957382039575</v>
      </c>
      <c r="Q110" s="28">
        <v>0.85127887788778889</v>
      </c>
    </row>
    <row r="111" spans="2:17" ht="15" customHeight="1" x14ac:dyDescent="0.25">
      <c r="B111" s="22" t="s">
        <v>226</v>
      </c>
      <c r="C111" s="23" t="s">
        <v>227</v>
      </c>
      <c r="D111" s="10"/>
      <c r="E111" s="26" t="s">
        <v>227</v>
      </c>
      <c r="F111" s="28" t="s">
        <v>1089</v>
      </c>
      <c r="G111" s="28">
        <v>43.8</v>
      </c>
      <c r="H111" s="28">
        <v>17.79</v>
      </c>
      <c r="I111" s="28">
        <v>1.19</v>
      </c>
      <c r="J111" s="28">
        <v>0.44</v>
      </c>
      <c r="K111" s="28">
        <v>2.62</v>
      </c>
      <c r="L111" s="25">
        <v>2.0097</v>
      </c>
      <c r="M111" s="25">
        <v>6.5884999999999998</v>
      </c>
      <c r="N111" s="28">
        <v>28.85</v>
      </c>
      <c r="O111" s="28">
        <v>48.35</v>
      </c>
      <c r="P111" s="28">
        <v>1.5181975736568458</v>
      </c>
      <c r="Q111" s="28">
        <v>0.90589451913133412</v>
      </c>
    </row>
    <row r="112" spans="2:17" ht="15" customHeight="1" x14ac:dyDescent="0.25">
      <c r="B112" s="22" t="s">
        <v>228</v>
      </c>
      <c r="C112" s="23" t="s">
        <v>229</v>
      </c>
      <c r="D112" s="10"/>
      <c r="E112" s="26" t="s">
        <v>229</v>
      </c>
      <c r="F112" s="28" t="s">
        <v>1090</v>
      </c>
      <c r="G112" s="28">
        <v>47.53</v>
      </c>
      <c r="H112" s="28">
        <v>9.68</v>
      </c>
      <c r="I112" s="28">
        <v>1.0900000000000001</v>
      </c>
      <c r="J112" s="28">
        <v>0.72499999999999998</v>
      </c>
      <c r="K112" s="28">
        <v>1.47</v>
      </c>
      <c r="L112" s="25">
        <v>-0.67530000000000001</v>
      </c>
      <c r="M112" s="25">
        <v>3.9056999999999999</v>
      </c>
      <c r="N112" s="28">
        <v>34.58</v>
      </c>
      <c r="O112" s="28">
        <v>54.61</v>
      </c>
      <c r="P112" s="28">
        <v>1.3744939271255063</v>
      </c>
      <c r="Q112" s="28">
        <v>0.87035341512543496</v>
      </c>
    </row>
    <row r="113" spans="2:17" ht="15" customHeight="1" x14ac:dyDescent="0.25">
      <c r="B113" s="22" t="s">
        <v>230</v>
      </c>
      <c r="C113" s="23" t="s">
        <v>231</v>
      </c>
      <c r="D113" s="10"/>
      <c r="E113" s="26" t="s">
        <v>231</v>
      </c>
      <c r="F113" s="28" t="s">
        <v>1091</v>
      </c>
      <c r="G113" s="28">
        <v>36.340000000000003</v>
      </c>
      <c r="H113" s="28">
        <v>17.66</v>
      </c>
      <c r="I113" s="28">
        <v>0.87</v>
      </c>
      <c r="J113" s="28">
        <v>0.53</v>
      </c>
      <c r="K113" s="28">
        <v>1.18</v>
      </c>
      <c r="L113" s="25">
        <v>-2.2924000000000002</v>
      </c>
      <c r="M113" s="25">
        <v>-0.63959999999999995</v>
      </c>
      <c r="N113" s="28">
        <v>28.73</v>
      </c>
      <c r="O113" s="28">
        <v>45.66</v>
      </c>
      <c r="P113" s="28">
        <v>1.2648799164636271</v>
      </c>
      <c r="Q113" s="28">
        <v>0.79588261060008758</v>
      </c>
    </row>
    <row r="114" spans="2:17" ht="15" customHeight="1" x14ac:dyDescent="0.25">
      <c r="B114" s="22" t="s">
        <v>232</v>
      </c>
      <c r="C114" s="23" t="s">
        <v>233</v>
      </c>
      <c r="D114" s="10"/>
      <c r="E114" s="26" t="s">
        <v>233</v>
      </c>
      <c r="F114" s="28" t="s">
        <v>1092</v>
      </c>
      <c r="G114" s="28">
        <v>8.18</v>
      </c>
      <c r="H114" s="28">
        <v>9.09</v>
      </c>
      <c r="I114" s="28">
        <v>1.06</v>
      </c>
      <c r="J114" s="28">
        <v>0.17199999999999999</v>
      </c>
      <c r="K114" s="28">
        <v>0.85</v>
      </c>
      <c r="L114" s="25">
        <v>0.34179999999999999</v>
      </c>
      <c r="M114" s="25">
        <v>0.91900000000000004</v>
      </c>
      <c r="N114" s="28">
        <v>6.1</v>
      </c>
      <c r="O114" s="28">
        <v>8.14</v>
      </c>
      <c r="P114" s="28">
        <v>1.340983606557377</v>
      </c>
      <c r="Q114" s="28">
        <v>1.0049140049140048</v>
      </c>
    </row>
    <row r="115" spans="2:17" ht="15" customHeight="1" x14ac:dyDescent="0.25">
      <c r="B115" s="22" t="s">
        <v>234</v>
      </c>
      <c r="C115" s="23" t="s">
        <v>235</v>
      </c>
      <c r="D115" s="10"/>
      <c r="E115" s="26" t="s">
        <v>235</v>
      </c>
      <c r="F115" s="28" t="s">
        <v>1093</v>
      </c>
      <c r="G115" s="28">
        <v>53.31</v>
      </c>
      <c r="H115" s="28">
        <v>16.920000000000002</v>
      </c>
      <c r="I115" s="28">
        <v>1.1499999999999999</v>
      </c>
      <c r="J115" s="28">
        <v>1.0669999999999999</v>
      </c>
      <c r="K115" s="28">
        <v>1.63</v>
      </c>
      <c r="L115" s="25">
        <v>2.0794000000000001</v>
      </c>
      <c r="M115" s="25">
        <v>6.6420000000000003</v>
      </c>
      <c r="N115" s="28">
        <v>33.619999999999997</v>
      </c>
      <c r="O115" s="28">
        <v>58.29</v>
      </c>
      <c r="P115" s="28">
        <v>1.5856632956573469</v>
      </c>
      <c r="Q115" s="28">
        <v>0.91456510550694803</v>
      </c>
    </row>
    <row r="116" spans="2:17" ht="15" customHeight="1" x14ac:dyDescent="0.25">
      <c r="B116" s="22" t="s">
        <v>236</v>
      </c>
      <c r="C116" s="23" t="s">
        <v>237</v>
      </c>
      <c r="D116" s="10"/>
      <c r="E116" s="26" t="s">
        <v>237</v>
      </c>
      <c r="F116" s="28" t="s">
        <v>237</v>
      </c>
      <c r="G116" s="28">
        <v>0</v>
      </c>
      <c r="H116" s="28">
        <v>0</v>
      </c>
      <c r="I116" s="28">
        <v>0</v>
      </c>
      <c r="J116" s="28">
        <v>0</v>
      </c>
      <c r="K116" s="28">
        <v>0</v>
      </c>
      <c r="L116" s="25">
        <v>0</v>
      </c>
      <c r="M116" s="25">
        <v>0</v>
      </c>
      <c r="N116" s="28">
        <v>0</v>
      </c>
      <c r="O116" s="28">
        <v>0</v>
      </c>
      <c r="P116" s="28"/>
      <c r="Q116" s="28"/>
    </row>
    <row r="117" spans="2:17" ht="15" customHeight="1" x14ac:dyDescent="0.25">
      <c r="B117" s="22" t="s">
        <v>238</v>
      </c>
      <c r="C117" s="23" t="s">
        <v>239</v>
      </c>
      <c r="D117" s="10"/>
      <c r="E117" s="26" t="s">
        <v>239</v>
      </c>
      <c r="F117" s="28" t="s">
        <v>1094</v>
      </c>
      <c r="G117" s="28">
        <v>37.700000000000003</v>
      </c>
      <c r="H117" s="28">
        <v>23.84</v>
      </c>
      <c r="I117" s="28">
        <v>1.1200000000000001</v>
      </c>
      <c r="J117" s="28">
        <v>0.8</v>
      </c>
      <c r="K117" s="28">
        <v>1.63</v>
      </c>
      <c r="L117" s="25">
        <v>0.62790000000000001</v>
      </c>
      <c r="M117" s="25">
        <v>3.3555000000000001</v>
      </c>
      <c r="N117" s="28">
        <v>30.46</v>
      </c>
      <c r="O117" s="28">
        <v>40.43</v>
      </c>
      <c r="P117" s="28">
        <v>1.2376887721602101</v>
      </c>
      <c r="Q117" s="28">
        <v>0.93247588424437311</v>
      </c>
    </row>
    <row r="118" spans="2:17" ht="15" customHeight="1" x14ac:dyDescent="0.25">
      <c r="B118" s="22" t="s">
        <v>240</v>
      </c>
      <c r="C118" s="23" t="s">
        <v>241</v>
      </c>
      <c r="D118" s="10"/>
      <c r="E118" s="26" t="s">
        <v>241</v>
      </c>
      <c r="F118" s="28" t="s">
        <v>1095</v>
      </c>
      <c r="G118" s="28">
        <v>61.69</v>
      </c>
      <c r="H118" s="28">
        <v>17.21</v>
      </c>
      <c r="I118" s="28">
        <v>1.73</v>
      </c>
      <c r="J118" s="28">
        <v>1.1399999999999999</v>
      </c>
      <c r="K118" s="28">
        <v>1.51</v>
      </c>
      <c r="L118" s="25">
        <v>3.4687999999999999</v>
      </c>
      <c r="M118" s="25">
        <v>10.467499999999999</v>
      </c>
      <c r="N118" s="28">
        <v>36.380000000000003</v>
      </c>
      <c r="O118" s="28">
        <v>64.349999999999994</v>
      </c>
      <c r="P118" s="28">
        <v>1.6957119296316658</v>
      </c>
      <c r="Q118" s="28">
        <v>0.95866355866355868</v>
      </c>
    </row>
    <row r="119" spans="2:17" ht="15" customHeight="1" x14ac:dyDescent="0.25">
      <c r="B119" s="22" t="s">
        <v>242</v>
      </c>
      <c r="C119" s="23" t="s">
        <v>243</v>
      </c>
      <c r="D119" s="10"/>
      <c r="E119" s="26" t="s">
        <v>243</v>
      </c>
      <c r="F119" s="28" t="s">
        <v>1096</v>
      </c>
      <c r="G119" s="28">
        <v>82.23</v>
      </c>
      <c r="H119" s="28">
        <v>14.44</v>
      </c>
      <c r="I119" s="28">
        <v>1.9</v>
      </c>
      <c r="J119" s="28">
        <v>2.16</v>
      </c>
      <c r="K119" s="28">
        <v>1.64</v>
      </c>
      <c r="L119" s="25">
        <v>-2.5529000000000002</v>
      </c>
      <c r="M119" s="25">
        <v>-0.1293</v>
      </c>
      <c r="N119" s="28">
        <v>72.430000000000007</v>
      </c>
      <c r="O119" s="28">
        <v>99.86</v>
      </c>
      <c r="P119" s="28">
        <v>1.1353030512218694</v>
      </c>
      <c r="Q119" s="28">
        <v>0.82345283396755453</v>
      </c>
    </row>
    <row r="120" spans="2:17" ht="15" customHeight="1" x14ac:dyDescent="0.25">
      <c r="B120" s="22" t="s">
        <v>244</v>
      </c>
      <c r="C120" s="23" t="s">
        <v>245</v>
      </c>
      <c r="D120" s="10"/>
      <c r="E120" s="26" t="s">
        <v>245</v>
      </c>
      <c r="F120" s="28" t="s">
        <v>1097</v>
      </c>
      <c r="G120" s="28">
        <v>36.07</v>
      </c>
      <c r="H120" s="28">
        <v>65.39</v>
      </c>
      <c r="I120" s="28">
        <v>1.21</v>
      </c>
      <c r="J120" s="28">
        <v>0.05</v>
      </c>
      <c r="K120" s="28">
        <v>40.61</v>
      </c>
      <c r="L120" s="25">
        <v>1.32</v>
      </c>
      <c r="M120" s="25">
        <v>8.74</v>
      </c>
      <c r="N120" s="28">
        <v>19.350000000000001</v>
      </c>
      <c r="O120" s="28">
        <v>41.63</v>
      </c>
      <c r="P120" s="28">
        <v>1.8640826873385012</v>
      </c>
      <c r="Q120" s="28">
        <v>0.86644246937304836</v>
      </c>
    </row>
    <row r="121" spans="2:17" ht="15" customHeight="1" x14ac:dyDescent="0.25">
      <c r="B121" s="22" t="s">
        <v>246</v>
      </c>
      <c r="C121" s="23" t="s">
        <v>247</v>
      </c>
      <c r="D121" s="10"/>
      <c r="E121" s="26" t="s">
        <v>247</v>
      </c>
      <c r="F121" s="28" t="s">
        <v>1098</v>
      </c>
      <c r="G121" s="28">
        <v>16.64</v>
      </c>
      <c r="H121" s="28">
        <v>19.2</v>
      </c>
      <c r="I121" s="28">
        <v>1.74</v>
      </c>
      <c r="J121" s="28">
        <v>0.15</v>
      </c>
      <c r="K121" s="28">
        <v>1.27</v>
      </c>
      <c r="L121" s="25">
        <v>-8.9399999999999993E-2</v>
      </c>
      <c r="M121" s="25">
        <v>0.4945</v>
      </c>
      <c r="N121" s="28">
        <v>12.13</v>
      </c>
      <c r="O121" s="28">
        <v>17.7</v>
      </c>
      <c r="P121" s="28">
        <v>1.3718054410552349</v>
      </c>
      <c r="Q121" s="28">
        <v>0.9401129943502825</v>
      </c>
    </row>
    <row r="122" spans="2:17" ht="15" customHeight="1" x14ac:dyDescent="0.25">
      <c r="B122" s="22" t="s">
        <v>248</v>
      </c>
      <c r="C122" s="23" t="s">
        <v>249</v>
      </c>
      <c r="D122" s="10"/>
      <c r="E122" s="26" t="s">
        <v>249</v>
      </c>
      <c r="F122" s="28" t="s">
        <v>1099</v>
      </c>
      <c r="G122" s="28">
        <v>89.53</v>
      </c>
      <c r="H122" s="28">
        <v>9.1199999999999992</v>
      </c>
      <c r="I122" s="28">
        <v>6.16</v>
      </c>
      <c r="J122" s="28">
        <v>2.2799999999999998</v>
      </c>
      <c r="K122" s="28">
        <v>2.42</v>
      </c>
      <c r="L122" s="25">
        <v>-9.1000000000000004E-3</v>
      </c>
      <c r="M122" s="25">
        <v>0.1857</v>
      </c>
      <c r="N122" s="28">
        <v>77.13</v>
      </c>
      <c r="O122" s="28">
        <v>93.99</v>
      </c>
      <c r="P122" s="28">
        <v>1.1607675353299622</v>
      </c>
      <c r="Q122" s="28">
        <v>0.95254814341951277</v>
      </c>
    </row>
    <row r="123" spans="2:17" ht="15" customHeight="1" x14ac:dyDescent="0.25">
      <c r="B123" s="22" t="s">
        <v>250</v>
      </c>
      <c r="C123" s="23" t="s">
        <v>251</v>
      </c>
      <c r="D123" s="10"/>
      <c r="E123" s="26" t="s">
        <v>251</v>
      </c>
      <c r="F123" s="28" t="s">
        <v>1100</v>
      </c>
      <c r="G123" s="28">
        <v>16.7</v>
      </c>
      <c r="H123" s="28">
        <v>210</v>
      </c>
      <c r="I123" s="28">
        <v>0.78</v>
      </c>
      <c r="J123" s="28">
        <v>0.3</v>
      </c>
      <c r="K123" s="28">
        <v>1.76</v>
      </c>
      <c r="L123" s="25">
        <v>-0.1191</v>
      </c>
      <c r="M123" s="25">
        <v>0.92269999999999996</v>
      </c>
      <c r="N123" s="28">
        <v>13.58</v>
      </c>
      <c r="O123" s="28">
        <v>17.86</v>
      </c>
      <c r="P123" s="28">
        <v>1.2297496318114876</v>
      </c>
      <c r="Q123" s="28">
        <v>0.93505039193729</v>
      </c>
    </row>
    <row r="124" spans="2:17" ht="15" customHeight="1" x14ac:dyDescent="0.25">
      <c r="B124" s="22" t="s">
        <v>252</v>
      </c>
      <c r="C124" s="23" t="s">
        <v>253</v>
      </c>
      <c r="D124" s="10"/>
      <c r="E124" s="26" t="s">
        <v>253</v>
      </c>
      <c r="F124" s="28" t="s">
        <v>1396</v>
      </c>
      <c r="G124" s="28">
        <v>134.66</v>
      </c>
      <c r="H124" s="28">
        <v>21.89</v>
      </c>
      <c r="I124" s="28">
        <v>1.98</v>
      </c>
      <c r="J124" s="28">
        <v>2.36</v>
      </c>
      <c r="K124" s="28">
        <v>5.01</v>
      </c>
      <c r="L124" s="25">
        <v>-4.0880000000000001</v>
      </c>
      <c r="M124" s="25">
        <v>10.308999999999999</v>
      </c>
      <c r="N124" s="28">
        <v>90.04</v>
      </c>
      <c r="O124" s="28">
        <v>151.88</v>
      </c>
      <c r="P124" s="28">
        <v>1.4955575299866728</v>
      </c>
      <c r="Q124" s="28">
        <v>0.8866210165920464</v>
      </c>
    </row>
    <row r="125" spans="2:17" ht="15" customHeight="1" x14ac:dyDescent="0.25">
      <c r="B125" s="22" t="s">
        <v>254</v>
      </c>
      <c r="C125" s="23" t="s">
        <v>255</v>
      </c>
      <c r="D125" s="10"/>
      <c r="E125" s="26" t="s">
        <v>255</v>
      </c>
      <c r="F125" s="28" t="s">
        <v>255</v>
      </c>
      <c r="G125" s="28">
        <v>0</v>
      </c>
      <c r="H125" s="28">
        <v>0</v>
      </c>
      <c r="I125" s="28">
        <v>0</v>
      </c>
      <c r="J125" s="28">
        <v>0</v>
      </c>
      <c r="K125" s="28">
        <v>0</v>
      </c>
      <c r="L125" s="25">
        <v>0</v>
      </c>
      <c r="M125" s="25">
        <v>0</v>
      </c>
      <c r="N125" s="28">
        <v>0</v>
      </c>
      <c r="O125" s="28">
        <v>0</v>
      </c>
      <c r="P125" s="28"/>
      <c r="Q125" s="28"/>
    </row>
    <row r="126" spans="2:17" ht="15" customHeight="1" x14ac:dyDescent="0.25">
      <c r="B126" s="22" t="s">
        <v>256</v>
      </c>
      <c r="C126" s="23" t="s">
        <v>257</v>
      </c>
      <c r="D126" s="10"/>
      <c r="E126" s="26" t="s">
        <v>257</v>
      </c>
      <c r="F126" s="28" t="s">
        <v>1101</v>
      </c>
      <c r="G126" s="28">
        <v>46.72</v>
      </c>
      <c r="H126" s="28">
        <v>29.98</v>
      </c>
      <c r="I126" s="28">
        <v>0.78</v>
      </c>
      <c r="J126" s="28">
        <v>1.0449999999999999</v>
      </c>
      <c r="K126" s="28">
        <v>15.17</v>
      </c>
      <c r="L126" s="25">
        <v>-3.7496999999999998</v>
      </c>
      <c r="M126" s="25">
        <v>-5.8605999999999998</v>
      </c>
      <c r="N126" s="28">
        <v>42.02</v>
      </c>
      <c r="O126" s="28">
        <v>58</v>
      </c>
      <c r="P126" s="28">
        <v>1.1118514992860542</v>
      </c>
      <c r="Q126" s="28">
        <v>0.80551724137931036</v>
      </c>
    </row>
    <row r="127" spans="2:17" ht="15" customHeight="1" x14ac:dyDescent="0.25">
      <c r="B127" s="22" t="s">
        <v>258</v>
      </c>
      <c r="C127" s="23" t="s">
        <v>259</v>
      </c>
      <c r="D127" s="10"/>
      <c r="E127" s="26" t="s">
        <v>259</v>
      </c>
      <c r="F127" s="28" t="s">
        <v>1102</v>
      </c>
      <c r="G127" s="28">
        <v>46.26</v>
      </c>
      <c r="H127" s="28">
        <v>13.87</v>
      </c>
      <c r="I127" s="28">
        <v>1.23</v>
      </c>
      <c r="J127" s="28">
        <v>0.96599999999999997</v>
      </c>
      <c r="K127" s="28">
        <v>2.38</v>
      </c>
      <c r="L127" s="25">
        <v>1.5159</v>
      </c>
      <c r="M127" s="25">
        <v>4.8396999999999997</v>
      </c>
      <c r="N127" s="28">
        <v>36.909999999999997</v>
      </c>
      <c r="O127" s="28">
        <v>49.5</v>
      </c>
      <c r="P127" s="28">
        <v>1.2533188837713356</v>
      </c>
      <c r="Q127" s="28">
        <v>0.93454545454545457</v>
      </c>
    </row>
    <row r="128" spans="2:17" ht="15" customHeight="1" x14ac:dyDescent="0.25">
      <c r="B128" s="22" t="s">
        <v>260</v>
      </c>
      <c r="C128" s="23" t="s">
        <v>261</v>
      </c>
      <c r="D128" s="10"/>
      <c r="E128" s="26" t="s">
        <v>261</v>
      </c>
      <c r="F128" s="28" t="s">
        <v>1103</v>
      </c>
      <c r="G128" s="28">
        <v>1.5</v>
      </c>
      <c r="H128" s="28">
        <v>1.42</v>
      </c>
      <c r="I128" s="28">
        <v>0</v>
      </c>
      <c r="J128" s="28">
        <v>0</v>
      </c>
      <c r="K128" s="28">
        <v>0.14000000000000001</v>
      </c>
      <c r="L128" s="25">
        <v>6.3799999999999996E-2</v>
      </c>
      <c r="M128" s="25">
        <v>-2.9499999999999998E-2</v>
      </c>
      <c r="N128" s="28">
        <v>1.18</v>
      </c>
      <c r="O128" s="28">
        <v>10</v>
      </c>
      <c r="P128" s="28">
        <v>1.2711864406779663</v>
      </c>
      <c r="Q128" s="28">
        <v>0.15</v>
      </c>
    </row>
    <row r="129" spans="2:17" ht="15" customHeight="1" x14ac:dyDescent="0.25">
      <c r="B129" s="22" t="s">
        <v>262</v>
      </c>
      <c r="C129" s="23" t="s">
        <v>263</v>
      </c>
      <c r="D129" s="10"/>
      <c r="E129" s="26" t="s">
        <v>263</v>
      </c>
      <c r="F129" s="28" t="s">
        <v>1104</v>
      </c>
      <c r="G129" s="28">
        <v>31.81</v>
      </c>
      <c r="H129" s="28">
        <v>44.13</v>
      </c>
      <c r="I129" s="28">
        <v>1.98</v>
      </c>
      <c r="J129" s="28">
        <v>1.21</v>
      </c>
      <c r="K129" s="28">
        <v>2.2000000000000002</v>
      </c>
      <c r="L129" s="25">
        <v>-1.1403000000000001</v>
      </c>
      <c r="M129" s="25">
        <v>0.995</v>
      </c>
      <c r="N129" s="28">
        <v>27.45</v>
      </c>
      <c r="O129" s="28">
        <v>34.97</v>
      </c>
      <c r="P129" s="28">
        <v>1.1588342440801458</v>
      </c>
      <c r="Q129" s="28">
        <v>0.90963683156991715</v>
      </c>
    </row>
    <row r="130" spans="2:17" ht="15" customHeight="1" x14ac:dyDescent="0.25">
      <c r="B130" s="22" t="s">
        <v>264</v>
      </c>
      <c r="C130" s="23" t="s">
        <v>265</v>
      </c>
      <c r="D130" s="10"/>
      <c r="E130" s="26" t="s">
        <v>265</v>
      </c>
      <c r="F130" s="28" t="s">
        <v>1105</v>
      </c>
      <c r="G130" s="28">
        <v>32</v>
      </c>
      <c r="H130" s="28">
        <v>15.3</v>
      </c>
      <c r="I130" s="28">
        <v>1.28</v>
      </c>
      <c r="J130" s="28">
        <v>0.71499999999999997</v>
      </c>
      <c r="K130" s="28">
        <v>1.1000000000000001</v>
      </c>
      <c r="L130" s="25">
        <v>2.0853000000000002</v>
      </c>
      <c r="M130" s="25">
        <v>4.2074999999999996</v>
      </c>
      <c r="N130" s="28">
        <v>24.38</v>
      </c>
      <c r="O130" s="28">
        <v>31</v>
      </c>
      <c r="P130" s="28">
        <v>1.3125512715340442</v>
      </c>
      <c r="Q130" s="28">
        <v>1.032258064516129</v>
      </c>
    </row>
    <row r="131" spans="2:17" ht="15" customHeight="1" x14ac:dyDescent="0.25">
      <c r="B131" s="22" t="s">
        <v>266</v>
      </c>
      <c r="C131" s="23" t="s">
        <v>267</v>
      </c>
      <c r="D131" s="10"/>
      <c r="E131" s="26" t="s">
        <v>267</v>
      </c>
      <c r="F131" s="28" t="s">
        <v>1106</v>
      </c>
      <c r="G131" s="28">
        <v>62.5</v>
      </c>
      <c r="H131" s="28">
        <v>15.92</v>
      </c>
      <c r="I131" s="28">
        <v>1.19</v>
      </c>
      <c r="J131" s="28">
        <v>0.8</v>
      </c>
      <c r="K131" s="28">
        <v>3.62</v>
      </c>
      <c r="L131" s="25">
        <v>1.6553</v>
      </c>
      <c r="M131" s="25">
        <v>4.4863999999999997</v>
      </c>
      <c r="N131" s="28">
        <v>51.54</v>
      </c>
      <c r="O131" s="28">
        <v>65.430000000000007</v>
      </c>
      <c r="P131" s="28">
        <v>1.2126503686457122</v>
      </c>
      <c r="Q131" s="28">
        <v>0.95521931835549445</v>
      </c>
    </row>
    <row r="132" spans="2:17" ht="15" customHeight="1" x14ac:dyDescent="0.25">
      <c r="B132" s="22" t="s">
        <v>268</v>
      </c>
      <c r="C132" s="23" t="s">
        <v>269</v>
      </c>
      <c r="D132" s="10"/>
      <c r="E132" s="26" t="s">
        <v>269</v>
      </c>
      <c r="F132" s="28" t="s">
        <v>1397</v>
      </c>
      <c r="G132" s="28">
        <v>34.090000000000003</v>
      </c>
      <c r="H132" s="28">
        <v>21.34</v>
      </c>
      <c r="I132" s="28">
        <v>1.77</v>
      </c>
      <c r="J132" s="28">
        <v>0.98</v>
      </c>
      <c r="K132" s="28">
        <v>2.97</v>
      </c>
      <c r="L132" s="25">
        <v>1.4561999999999999</v>
      </c>
      <c r="M132" s="25">
        <v>5.1036999999999999</v>
      </c>
      <c r="N132" s="28">
        <v>23.64</v>
      </c>
      <c r="O132" s="28">
        <v>36.58</v>
      </c>
      <c r="P132" s="28">
        <v>1.4420473773265652</v>
      </c>
      <c r="Q132" s="28">
        <v>0.93193001640240569</v>
      </c>
    </row>
    <row r="133" spans="2:17" ht="15" customHeight="1" x14ac:dyDescent="0.25">
      <c r="B133" s="22" t="s">
        <v>270</v>
      </c>
      <c r="C133" s="23" t="s">
        <v>271</v>
      </c>
      <c r="D133" s="10"/>
      <c r="E133" s="26" t="s">
        <v>271</v>
      </c>
      <c r="F133" s="28" t="s">
        <v>1107</v>
      </c>
      <c r="G133" s="28">
        <v>115.77</v>
      </c>
      <c r="H133" s="28">
        <v>13.08</v>
      </c>
      <c r="I133" s="28">
        <v>1.31</v>
      </c>
      <c r="J133" s="28">
        <v>1.9</v>
      </c>
      <c r="K133" s="28">
        <v>3.23</v>
      </c>
      <c r="L133" s="25">
        <v>0.154</v>
      </c>
      <c r="M133" s="25">
        <v>12.601000000000001</v>
      </c>
      <c r="N133" s="28">
        <v>82.2</v>
      </c>
      <c r="O133" s="28">
        <v>130.07</v>
      </c>
      <c r="P133" s="28">
        <v>1.4083941605839416</v>
      </c>
      <c r="Q133" s="28">
        <v>0.89005919889290386</v>
      </c>
    </row>
    <row r="134" spans="2:17" ht="15" customHeight="1" x14ac:dyDescent="0.25">
      <c r="B134" s="22" t="s">
        <v>272</v>
      </c>
      <c r="C134" s="23" t="s">
        <v>273</v>
      </c>
      <c r="D134" s="10"/>
      <c r="E134" s="26" t="s">
        <v>273</v>
      </c>
      <c r="F134" s="28" t="s">
        <v>1398</v>
      </c>
      <c r="G134" s="28">
        <v>376.79</v>
      </c>
      <c r="H134" s="28">
        <v>15.49</v>
      </c>
      <c r="I134" s="28">
        <v>0.93</v>
      </c>
      <c r="J134" s="28">
        <v>0</v>
      </c>
      <c r="K134" s="28">
        <v>0</v>
      </c>
      <c r="L134" s="25">
        <v>9.9120000000000008</v>
      </c>
      <c r="M134" s="25">
        <v>9.15</v>
      </c>
      <c r="N134" s="28">
        <v>341.98</v>
      </c>
      <c r="O134" s="28">
        <v>413.22</v>
      </c>
      <c r="P134" s="28">
        <v>1.1017895783379146</v>
      </c>
      <c r="Q134" s="28">
        <v>0.91183872997434789</v>
      </c>
    </row>
    <row r="135" spans="2:17" ht="15" customHeight="1" x14ac:dyDescent="0.25">
      <c r="B135" s="22" t="s">
        <v>274</v>
      </c>
      <c r="C135" s="23" t="s">
        <v>4</v>
      </c>
      <c r="D135" s="10"/>
      <c r="E135" s="26" t="s">
        <v>4</v>
      </c>
      <c r="F135" s="28" t="s">
        <v>1108</v>
      </c>
      <c r="G135" s="28">
        <v>37.71</v>
      </c>
      <c r="H135" s="28">
        <v>21.65</v>
      </c>
      <c r="I135" s="28">
        <v>1.0900000000000001</v>
      </c>
      <c r="J135" s="28">
        <v>0.62</v>
      </c>
      <c r="K135" s="28">
        <v>2.93</v>
      </c>
      <c r="L135" s="25">
        <v>-7.8200000000000006E-2</v>
      </c>
      <c r="M135" s="25">
        <v>4.3680000000000003</v>
      </c>
      <c r="N135" s="28">
        <v>24.76</v>
      </c>
      <c r="O135" s="28">
        <v>39.86</v>
      </c>
      <c r="P135" s="28">
        <v>1.523021001615509</v>
      </c>
      <c r="Q135" s="28">
        <v>0.94606121424987455</v>
      </c>
    </row>
    <row r="136" spans="2:17" ht="15" customHeight="1" x14ac:dyDescent="0.25">
      <c r="B136" s="22" t="s">
        <v>275</v>
      </c>
      <c r="C136" s="23" t="s">
        <v>276</v>
      </c>
      <c r="D136" s="10"/>
      <c r="E136" s="26" t="s">
        <v>276</v>
      </c>
      <c r="F136" s="28" t="s">
        <v>1109</v>
      </c>
      <c r="G136" s="28">
        <v>43.85</v>
      </c>
      <c r="H136" s="28">
        <v>19.600000000000001</v>
      </c>
      <c r="I136" s="28">
        <v>1.88</v>
      </c>
      <c r="J136" s="28">
        <v>2.33</v>
      </c>
      <c r="K136" s="28">
        <v>4.62</v>
      </c>
      <c r="L136" s="25">
        <v>0.2621</v>
      </c>
      <c r="M136" s="25">
        <v>0.53920000000000001</v>
      </c>
      <c r="N136" s="28">
        <v>39.450000000000003</v>
      </c>
      <c r="O136" s="28">
        <v>46.44</v>
      </c>
      <c r="P136" s="28">
        <v>1.1115335868187579</v>
      </c>
      <c r="Q136" s="28">
        <v>0.94422911283376409</v>
      </c>
    </row>
    <row r="137" spans="2:17" ht="15" customHeight="1" x14ac:dyDescent="0.25">
      <c r="B137" s="22" t="s">
        <v>277</v>
      </c>
      <c r="C137" s="23" t="s">
        <v>278</v>
      </c>
      <c r="D137" s="10"/>
      <c r="E137" s="26" t="s">
        <v>278</v>
      </c>
      <c r="F137" s="28" t="s">
        <v>1110</v>
      </c>
      <c r="G137" s="28">
        <v>46.61</v>
      </c>
      <c r="H137" s="28">
        <v>10.41</v>
      </c>
      <c r="I137" s="28">
        <v>1.78</v>
      </c>
      <c r="J137" s="28">
        <v>1.28</v>
      </c>
      <c r="K137" s="28">
        <v>1.73</v>
      </c>
      <c r="L137" s="25">
        <v>1.5662</v>
      </c>
      <c r="M137" s="25">
        <v>-1.9926999999999999</v>
      </c>
      <c r="N137" s="28">
        <v>41.35</v>
      </c>
      <c r="O137" s="28">
        <v>49.33</v>
      </c>
      <c r="P137" s="28">
        <v>1.1272067714631198</v>
      </c>
      <c r="Q137" s="28">
        <v>0.94486113926616666</v>
      </c>
    </row>
    <row r="138" spans="2:17" ht="15" customHeight="1" x14ac:dyDescent="0.25">
      <c r="B138" s="22" t="s">
        <v>279</v>
      </c>
      <c r="C138" s="23" t="s">
        <v>280</v>
      </c>
      <c r="D138" s="10"/>
      <c r="E138" s="26" t="s">
        <v>280</v>
      </c>
      <c r="F138" s="28" t="s">
        <v>280</v>
      </c>
      <c r="G138" s="28">
        <v>0</v>
      </c>
      <c r="H138" s="28">
        <v>0</v>
      </c>
      <c r="I138" s="28">
        <v>0</v>
      </c>
      <c r="J138" s="28">
        <v>0</v>
      </c>
      <c r="K138" s="28">
        <v>0</v>
      </c>
      <c r="L138" s="25">
        <v>0</v>
      </c>
      <c r="M138" s="25">
        <v>0</v>
      </c>
      <c r="N138" s="28">
        <v>0</v>
      </c>
      <c r="O138" s="28">
        <v>0</v>
      </c>
      <c r="P138" s="28"/>
      <c r="Q138" s="28"/>
    </row>
    <row r="139" spans="2:17" ht="15" customHeight="1" x14ac:dyDescent="0.25">
      <c r="B139" s="22" t="s">
        <v>281</v>
      </c>
      <c r="C139" s="23" t="s">
        <v>282</v>
      </c>
      <c r="D139" s="10"/>
      <c r="E139" s="26" t="s">
        <v>282</v>
      </c>
      <c r="F139" s="28" t="s">
        <v>1111</v>
      </c>
      <c r="G139" s="28">
        <v>35.5</v>
      </c>
      <c r="H139" s="28">
        <v>23.34</v>
      </c>
      <c r="I139" s="28">
        <v>1.2</v>
      </c>
      <c r="J139" s="28">
        <v>0.61</v>
      </c>
      <c r="K139" s="28">
        <v>5.69</v>
      </c>
      <c r="L139" s="25">
        <v>0.88819999999999999</v>
      </c>
      <c r="M139" s="25">
        <v>5.9095000000000004</v>
      </c>
      <c r="N139" s="28">
        <v>25.1</v>
      </c>
      <c r="O139" s="28">
        <v>39.33</v>
      </c>
      <c r="P139" s="28">
        <v>1.4143426294820718</v>
      </c>
      <c r="Q139" s="28">
        <v>0.90261886600559371</v>
      </c>
    </row>
    <row r="140" spans="2:17" ht="15" customHeight="1" x14ac:dyDescent="0.25">
      <c r="B140" s="22" t="s">
        <v>283</v>
      </c>
      <c r="C140" s="23" t="s">
        <v>284</v>
      </c>
      <c r="D140" s="10"/>
      <c r="E140" s="26" t="s">
        <v>284</v>
      </c>
      <c r="F140" s="28" t="s">
        <v>1112</v>
      </c>
      <c r="G140" s="28">
        <v>21.23</v>
      </c>
      <c r="H140" s="28">
        <v>22.09</v>
      </c>
      <c r="I140" s="28">
        <v>3.25</v>
      </c>
      <c r="J140" s="28">
        <v>0.81599999999999995</v>
      </c>
      <c r="K140" s="28">
        <v>2.08</v>
      </c>
      <c r="L140" s="25">
        <v>0.78649999999999998</v>
      </c>
      <c r="M140" s="25">
        <v>0.77270000000000005</v>
      </c>
      <c r="N140" s="28">
        <v>18.79</v>
      </c>
      <c r="O140" s="28">
        <v>22</v>
      </c>
      <c r="P140" s="28">
        <v>1.1298563065460352</v>
      </c>
      <c r="Q140" s="28">
        <v>0.96499999999999997</v>
      </c>
    </row>
    <row r="141" spans="2:17" ht="15" customHeight="1" x14ac:dyDescent="0.25">
      <c r="B141" s="22" t="s">
        <v>285</v>
      </c>
      <c r="C141" s="23" t="s">
        <v>286</v>
      </c>
      <c r="D141" s="10"/>
      <c r="E141" s="26" t="s">
        <v>286</v>
      </c>
      <c r="F141" s="28" t="s">
        <v>1113</v>
      </c>
      <c r="G141" s="28">
        <v>141.82</v>
      </c>
      <c r="H141" s="28">
        <v>15.21</v>
      </c>
      <c r="I141" s="28">
        <v>1.01</v>
      </c>
      <c r="J141" s="28">
        <v>1.1000000000000001</v>
      </c>
      <c r="K141" s="28">
        <v>3.31</v>
      </c>
      <c r="L141" s="25">
        <v>3.403</v>
      </c>
      <c r="M141" s="25">
        <v>12.331</v>
      </c>
      <c r="N141" s="28">
        <v>100.91</v>
      </c>
      <c r="O141" s="28">
        <v>151.58000000000001</v>
      </c>
      <c r="P141" s="28">
        <v>1.4054107620652068</v>
      </c>
      <c r="Q141" s="28">
        <v>0.93561155825306774</v>
      </c>
    </row>
    <row r="142" spans="2:17" ht="15" customHeight="1" x14ac:dyDescent="0.25">
      <c r="B142" s="22" t="s">
        <v>287</v>
      </c>
      <c r="C142" s="23" t="s">
        <v>288</v>
      </c>
      <c r="D142" s="10"/>
      <c r="E142" s="26" t="s">
        <v>288</v>
      </c>
      <c r="F142" s="28" t="s">
        <v>1114</v>
      </c>
      <c r="G142" s="28">
        <v>23.36</v>
      </c>
      <c r="H142" s="28">
        <v>16.670000000000002</v>
      </c>
      <c r="I142" s="28">
        <v>1.34</v>
      </c>
      <c r="J142" s="28">
        <v>0.5</v>
      </c>
      <c r="K142" s="28">
        <v>3.31</v>
      </c>
      <c r="L142" s="25">
        <v>3.09E-2</v>
      </c>
      <c r="M142" s="25">
        <v>2.4184000000000001</v>
      </c>
      <c r="N142" s="28">
        <v>16.63</v>
      </c>
      <c r="O142" s="28">
        <v>26.33</v>
      </c>
      <c r="P142" s="28">
        <v>1.4046903187011426</v>
      </c>
      <c r="Q142" s="28">
        <v>0.88720091150778579</v>
      </c>
    </row>
    <row r="143" spans="2:17" ht="15" customHeight="1" x14ac:dyDescent="0.25">
      <c r="B143" s="22" t="s">
        <v>289</v>
      </c>
      <c r="C143" s="23" t="s">
        <v>290</v>
      </c>
      <c r="D143" s="10"/>
      <c r="E143" s="26" t="s">
        <v>290</v>
      </c>
      <c r="F143" s="28" t="s">
        <v>1115</v>
      </c>
      <c r="G143" s="28">
        <v>57.68</v>
      </c>
      <c r="H143" s="28">
        <v>15.66</v>
      </c>
      <c r="I143" s="28">
        <v>1.1100000000000001</v>
      </c>
      <c r="J143" s="28">
        <v>0.84</v>
      </c>
      <c r="K143" s="28">
        <v>4.82</v>
      </c>
      <c r="L143" s="25">
        <v>0.76149999999999995</v>
      </c>
      <c r="M143" s="25">
        <v>-5.5495999999999999</v>
      </c>
      <c r="N143" s="28">
        <v>54.03</v>
      </c>
      <c r="O143" s="28">
        <v>63.47</v>
      </c>
      <c r="P143" s="28">
        <v>1.0675550620025913</v>
      </c>
      <c r="Q143" s="28">
        <v>0.9087757995903577</v>
      </c>
    </row>
    <row r="144" spans="2:17" ht="15" customHeight="1" x14ac:dyDescent="0.25">
      <c r="B144" s="22" t="s">
        <v>291</v>
      </c>
      <c r="C144" s="23" t="s">
        <v>292</v>
      </c>
      <c r="D144" s="10"/>
      <c r="E144" s="26" t="s">
        <v>292</v>
      </c>
      <c r="F144" s="28" t="s">
        <v>1116</v>
      </c>
      <c r="G144" s="28">
        <v>43.84</v>
      </c>
      <c r="H144" s="28">
        <v>17.989999999999998</v>
      </c>
      <c r="I144" s="28">
        <v>1.69</v>
      </c>
      <c r="J144" s="28">
        <v>0.64</v>
      </c>
      <c r="K144" s="28">
        <v>2.57</v>
      </c>
      <c r="L144" s="25">
        <v>0.89849999999999997</v>
      </c>
      <c r="M144" s="25">
        <v>2.0489999999999999</v>
      </c>
      <c r="N144" s="28">
        <v>35.409999999999997</v>
      </c>
      <c r="O144" s="28">
        <v>43.71</v>
      </c>
      <c r="P144" s="28">
        <v>1.2380683422761933</v>
      </c>
      <c r="Q144" s="28">
        <v>1.0029741477922673</v>
      </c>
    </row>
    <row r="145" spans="2:17" ht="15" customHeight="1" x14ac:dyDescent="0.25">
      <c r="B145" s="22" t="s">
        <v>293</v>
      </c>
      <c r="C145" s="23" t="s">
        <v>294</v>
      </c>
      <c r="D145" s="10"/>
      <c r="E145" s="26" t="s">
        <v>294</v>
      </c>
      <c r="F145" s="28" t="s">
        <v>1117</v>
      </c>
      <c r="G145" s="28">
        <v>34.03</v>
      </c>
      <c r="H145" s="28">
        <v>11.9</v>
      </c>
      <c r="I145" s="28">
        <v>1.06</v>
      </c>
      <c r="J145" s="28">
        <v>0.78</v>
      </c>
      <c r="K145" s="28">
        <v>1.85</v>
      </c>
      <c r="L145" s="25">
        <v>0.55030000000000001</v>
      </c>
      <c r="M145" s="25">
        <v>0.83509999999999995</v>
      </c>
      <c r="N145" s="28">
        <v>28.26</v>
      </c>
      <c r="O145" s="28">
        <v>36.85</v>
      </c>
      <c r="P145" s="28">
        <v>1.2041755130927105</v>
      </c>
      <c r="Q145" s="28">
        <v>0.92347354138398918</v>
      </c>
    </row>
    <row r="146" spans="2:17" ht="15" customHeight="1" x14ac:dyDescent="0.25">
      <c r="B146" s="22" t="s">
        <v>295</v>
      </c>
      <c r="C146" s="23" t="s">
        <v>296</v>
      </c>
      <c r="D146" s="10"/>
      <c r="E146" s="26" t="s">
        <v>296</v>
      </c>
      <c r="F146" s="28" t="s">
        <v>1118</v>
      </c>
      <c r="G146" s="28">
        <v>9.65</v>
      </c>
      <c r="H146" s="28">
        <v>10.75</v>
      </c>
      <c r="I146" s="28">
        <v>0</v>
      </c>
      <c r="J146" s="28">
        <v>0</v>
      </c>
      <c r="K146" s="28">
        <v>2.93</v>
      </c>
      <c r="L146" s="25">
        <v>0.86709999999999998</v>
      </c>
      <c r="M146" s="25">
        <v>0.65500000000000003</v>
      </c>
      <c r="N146" s="28">
        <v>5.88</v>
      </c>
      <c r="O146" s="28">
        <v>8.92</v>
      </c>
      <c r="P146" s="28">
        <v>1.6411564625850341</v>
      </c>
      <c r="Q146" s="28">
        <v>1.0818385650224214</v>
      </c>
    </row>
    <row r="147" spans="2:17" ht="15" customHeight="1" x14ac:dyDescent="0.25">
      <c r="B147" s="22" t="s">
        <v>297</v>
      </c>
      <c r="C147" s="23" t="s">
        <v>298</v>
      </c>
      <c r="D147" s="10"/>
      <c r="E147" s="26" t="s">
        <v>298</v>
      </c>
      <c r="F147" s="28" t="s">
        <v>1119</v>
      </c>
      <c r="G147" s="28">
        <v>77.7</v>
      </c>
      <c r="H147" s="28">
        <v>21.4</v>
      </c>
      <c r="I147" s="28">
        <v>2.5</v>
      </c>
      <c r="J147" s="28">
        <v>2.4</v>
      </c>
      <c r="K147" s="28">
        <v>1.85</v>
      </c>
      <c r="L147" s="25">
        <v>2.9131999999999998</v>
      </c>
      <c r="M147" s="25">
        <v>8.0335999999999999</v>
      </c>
      <c r="N147" s="28">
        <v>57.76</v>
      </c>
      <c r="O147" s="28">
        <v>77.08</v>
      </c>
      <c r="P147" s="28">
        <v>1.3452216066481997</v>
      </c>
      <c r="Q147" s="28">
        <v>1.0080435910742087</v>
      </c>
    </row>
    <row r="148" spans="2:17" ht="15" customHeight="1" x14ac:dyDescent="0.25">
      <c r="B148" s="22" t="s">
        <v>299</v>
      </c>
      <c r="C148" s="23" t="s">
        <v>300</v>
      </c>
      <c r="D148" s="10"/>
      <c r="E148" s="26" t="s">
        <v>300</v>
      </c>
      <c r="F148" s="28" t="s">
        <v>1399</v>
      </c>
      <c r="G148" s="28">
        <v>16.600000000000001</v>
      </c>
      <c r="H148" s="28">
        <v>0</v>
      </c>
      <c r="I148" s="28">
        <v>0</v>
      </c>
      <c r="J148" s="28">
        <v>0.66</v>
      </c>
      <c r="K148" s="28">
        <v>1.59</v>
      </c>
      <c r="L148" s="25">
        <v>1.0208999999999999</v>
      </c>
      <c r="M148" s="25">
        <v>1.0019</v>
      </c>
      <c r="N148" s="28">
        <v>11.2</v>
      </c>
      <c r="O148" s="28">
        <v>14.94</v>
      </c>
      <c r="P148" s="28">
        <v>1.4821428571428572</v>
      </c>
      <c r="Q148" s="28">
        <v>1.1111111111111112</v>
      </c>
    </row>
    <row r="149" spans="2:17" ht="15" customHeight="1" x14ac:dyDescent="0.25">
      <c r="B149" s="22" t="s">
        <v>301</v>
      </c>
      <c r="C149" s="23" t="s">
        <v>302</v>
      </c>
      <c r="D149" s="10"/>
      <c r="E149" s="26" t="s">
        <v>302</v>
      </c>
      <c r="F149" s="28" t="s">
        <v>1120</v>
      </c>
      <c r="G149" s="28">
        <v>73.62</v>
      </c>
      <c r="H149" s="28">
        <v>16.38</v>
      </c>
      <c r="I149" s="28">
        <v>1.04</v>
      </c>
      <c r="J149" s="28">
        <v>1.365</v>
      </c>
      <c r="K149" s="28">
        <v>2.57</v>
      </c>
      <c r="L149" s="25">
        <v>3.7997000000000001</v>
      </c>
      <c r="M149" s="25">
        <v>10.7218</v>
      </c>
      <c r="N149" s="28">
        <v>50.27</v>
      </c>
      <c r="O149" s="28">
        <v>74.25</v>
      </c>
      <c r="P149" s="28">
        <v>1.464491744579272</v>
      </c>
      <c r="Q149" s="28">
        <v>0.99151515151515146</v>
      </c>
    </row>
    <row r="150" spans="2:17" ht="15" customHeight="1" x14ac:dyDescent="0.25">
      <c r="B150" s="22" t="s">
        <v>303</v>
      </c>
      <c r="C150" s="23" t="s">
        <v>304</v>
      </c>
      <c r="D150" s="10"/>
      <c r="E150" s="26" t="s">
        <v>304</v>
      </c>
      <c r="F150" s="28" t="s">
        <v>1121</v>
      </c>
      <c r="G150" s="28">
        <v>35.549999999999997</v>
      </c>
      <c r="H150" s="28">
        <v>20.76</v>
      </c>
      <c r="I150" s="28">
        <v>1.1200000000000001</v>
      </c>
      <c r="J150" s="28">
        <v>1</v>
      </c>
      <c r="K150" s="28">
        <v>1.1200000000000001</v>
      </c>
      <c r="L150" s="25">
        <v>-2.1181999999999999</v>
      </c>
      <c r="M150" s="25">
        <v>-1.6696</v>
      </c>
      <c r="N150" s="28">
        <v>29.22</v>
      </c>
      <c r="O150" s="28">
        <v>42.21</v>
      </c>
      <c r="P150" s="28">
        <v>1.2166324435318276</v>
      </c>
      <c r="Q150" s="28">
        <v>0.84221748400852881</v>
      </c>
    </row>
    <row r="151" spans="2:17" ht="15" customHeight="1" x14ac:dyDescent="0.25">
      <c r="B151" s="22" t="s">
        <v>305</v>
      </c>
      <c r="C151" s="23" t="s">
        <v>306</v>
      </c>
      <c r="D151" s="10"/>
      <c r="E151" s="26" t="s">
        <v>306</v>
      </c>
      <c r="F151" s="28" t="s">
        <v>1122</v>
      </c>
      <c r="G151" s="28">
        <v>8.5399999999999991</v>
      </c>
      <c r="H151" s="28">
        <v>47.51</v>
      </c>
      <c r="I151" s="28">
        <v>2.21</v>
      </c>
      <c r="J151" s="28">
        <v>0.12</v>
      </c>
      <c r="K151" s="28">
        <v>0.68</v>
      </c>
      <c r="L151" s="25">
        <v>-0.37730000000000002</v>
      </c>
      <c r="M151" s="25">
        <v>-0.2576</v>
      </c>
      <c r="N151" s="28">
        <v>7.97</v>
      </c>
      <c r="O151" s="28">
        <v>10</v>
      </c>
      <c r="P151" s="28">
        <v>1.0715181932245923</v>
      </c>
      <c r="Q151" s="28">
        <v>0.85399999999999998</v>
      </c>
    </row>
    <row r="152" spans="2:17" ht="15" customHeight="1" x14ac:dyDescent="0.25">
      <c r="B152" s="22" t="s">
        <v>307</v>
      </c>
      <c r="C152" s="23" t="s">
        <v>308</v>
      </c>
      <c r="D152" s="10"/>
      <c r="E152" s="26" t="s">
        <v>308</v>
      </c>
      <c r="F152" s="28" t="s">
        <v>1400</v>
      </c>
      <c r="G152" s="28">
        <v>45.38</v>
      </c>
      <c r="H152" s="28">
        <v>21.38</v>
      </c>
      <c r="I152" s="28">
        <v>6.34</v>
      </c>
      <c r="J152" s="28">
        <v>1.2</v>
      </c>
      <c r="K152" s="28">
        <v>3.16</v>
      </c>
      <c r="L152" s="25">
        <v>1.0476000000000001</v>
      </c>
      <c r="M152" s="25">
        <v>4.0461</v>
      </c>
      <c r="N152" s="28">
        <v>34.25</v>
      </c>
      <c r="O152" s="28">
        <v>48.35</v>
      </c>
      <c r="P152" s="28">
        <v>1.324963503649635</v>
      </c>
      <c r="Q152" s="28">
        <v>0.93857290589451914</v>
      </c>
    </row>
    <row r="153" spans="2:17" ht="15" customHeight="1" x14ac:dyDescent="0.25">
      <c r="B153" s="22" t="s">
        <v>309</v>
      </c>
      <c r="C153" s="23" t="s">
        <v>310</v>
      </c>
      <c r="D153" s="10"/>
      <c r="E153" s="26" t="s">
        <v>310</v>
      </c>
      <c r="F153" s="28" t="s">
        <v>1123</v>
      </c>
      <c r="G153" s="28">
        <v>46.4</v>
      </c>
      <c r="H153" s="28">
        <v>35.19</v>
      </c>
      <c r="I153" s="28">
        <v>0.73</v>
      </c>
      <c r="J153" s="28">
        <v>0.52500000000000002</v>
      </c>
      <c r="K153" s="28">
        <v>2.1800000000000002</v>
      </c>
      <c r="L153" s="25">
        <v>-3.2208999999999999</v>
      </c>
      <c r="M153" s="25">
        <v>5.0407999999999999</v>
      </c>
      <c r="N153" s="28">
        <v>28.64</v>
      </c>
      <c r="O153" s="28">
        <v>53.14</v>
      </c>
      <c r="P153" s="28">
        <v>1.6201117318435756</v>
      </c>
      <c r="Q153" s="28">
        <v>0.87316522393677087</v>
      </c>
    </row>
    <row r="154" spans="2:17" ht="15" customHeight="1" x14ac:dyDescent="0.25">
      <c r="B154" s="22" t="s">
        <v>311</v>
      </c>
      <c r="C154" s="23" t="s">
        <v>312</v>
      </c>
      <c r="D154" s="10"/>
      <c r="E154" s="26" t="s">
        <v>312</v>
      </c>
      <c r="F154" s="28" t="s">
        <v>1401</v>
      </c>
      <c r="G154" s="28">
        <v>40.82</v>
      </c>
      <c r="H154" s="28">
        <v>18.100000000000001</v>
      </c>
      <c r="I154" s="28">
        <v>1.45</v>
      </c>
      <c r="J154" s="28">
        <v>1.29</v>
      </c>
      <c r="K154" s="28">
        <v>4.5</v>
      </c>
      <c r="L154" s="25">
        <v>1.9397</v>
      </c>
      <c r="M154" s="25">
        <v>3.9813999999999998</v>
      </c>
      <c r="N154" s="28">
        <v>30.15</v>
      </c>
      <c r="O154" s="28">
        <v>42.64</v>
      </c>
      <c r="P154" s="28">
        <v>1.3538971807628526</v>
      </c>
      <c r="Q154" s="28">
        <v>0.95731707317073178</v>
      </c>
    </row>
    <row r="155" spans="2:17" ht="15" customHeight="1" x14ac:dyDescent="0.25">
      <c r="B155" s="22" t="s">
        <v>313</v>
      </c>
      <c r="C155" s="23" t="s">
        <v>314</v>
      </c>
      <c r="D155" s="10"/>
      <c r="E155" s="26" t="s">
        <v>314</v>
      </c>
      <c r="F155" s="28" t="s">
        <v>1124</v>
      </c>
      <c r="G155" s="28">
        <v>18.45</v>
      </c>
      <c r="H155" s="28">
        <v>23.81</v>
      </c>
      <c r="I155" s="28">
        <v>0.94</v>
      </c>
      <c r="J155" s="28">
        <v>0.08</v>
      </c>
      <c r="K155" s="28">
        <v>4.1100000000000003</v>
      </c>
      <c r="L155" s="25">
        <v>0.62560000000000004</v>
      </c>
      <c r="M155" s="25">
        <v>3.3020999999999998</v>
      </c>
      <c r="N155" s="28">
        <v>9.6</v>
      </c>
      <c r="O155" s="28">
        <v>20.91</v>
      </c>
      <c r="P155" s="28">
        <v>1.921875</v>
      </c>
      <c r="Q155" s="28">
        <v>0.88235294117647056</v>
      </c>
    </row>
    <row r="156" spans="2:17" ht="15" customHeight="1" x14ac:dyDescent="0.25">
      <c r="B156" s="22" t="s">
        <v>315</v>
      </c>
      <c r="C156" s="23" t="s">
        <v>316</v>
      </c>
      <c r="D156" s="10"/>
      <c r="E156" s="26" t="s">
        <v>316</v>
      </c>
      <c r="F156" s="28" t="s">
        <v>1125</v>
      </c>
      <c r="G156" s="28">
        <v>47.44</v>
      </c>
      <c r="H156" s="28">
        <v>14.93</v>
      </c>
      <c r="I156" s="28">
        <v>1.65</v>
      </c>
      <c r="J156" s="28">
        <v>0.8</v>
      </c>
      <c r="K156" s="28">
        <v>2.82</v>
      </c>
      <c r="L156" s="25">
        <v>0.28499999999999998</v>
      </c>
      <c r="M156" s="25">
        <v>3.8323999999999998</v>
      </c>
      <c r="N156" s="28">
        <v>35.21</v>
      </c>
      <c r="O156" s="28">
        <v>50.67</v>
      </c>
      <c r="P156" s="28">
        <v>1.3473445044021586</v>
      </c>
      <c r="Q156" s="28">
        <v>0.93625419380303931</v>
      </c>
    </row>
    <row r="157" spans="2:17" ht="15" customHeight="1" x14ac:dyDescent="0.25">
      <c r="B157" s="22" t="s">
        <v>317</v>
      </c>
      <c r="C157" s="23" t="s">
        <v>318</v>
      </c>
      <c r="D157" s="10"/>
      <c r="E157" s="26" t="s">
        <v>318</v>
      </c>
      <c r="F157" s="28" t="s">
        <v>1126</v>
      </c>
      <c r="G157" s="28">
        <v>70.489999999999995</v>
      </c>
      <c r="H157" s="28">
        <v>16.73</v>
      </c>
      <c r="I157" s="28">
        <v>1.75</v>
      </c>
      <c r="J157" s="28">
        <v>1.98</v>
      </c>
      <c r="K157" s="28">
        <v>3.58</v>
      </c>
      <c r="L157" s="25">
        <v>2.4750000000000001</v>
      </c>
      <c r="M157" s="25">
        <v>6.4032</v>
      </c>
      <c r="N157" s="28">
        <v>55.58</v>
      </c>
      <c r="O157" s="28">
        <v>72</v>
      </c>
      <c r="P157" s="28">
        <v>1.2682619647355162</v>
      </c>
      <c r="Q157" s="28">
        <v>0.97902777777777783</v>
      </c>
    </row>
    <row r="158" spans="2:17" ht="15" customHeight="1" x14ac:dyDescent="0.25">
      <c r="B158" s="22" t="s">
        <v>319</v>
      </c>
      <c r="C158" s="23" t="s">
        <v>320</v>
      </c>
      <c r="D158" s="10"/>
      <c r="E158" s="26" t="s">
        <v>320</v>
      </c>
      <c r="F158" s="28" t="s">
        <v>1127</v>
      </c>
      <c r="G158" s="28">
        <v>56.38</v>
      </c>
      <c r="H158" s="28">
        <v>17.54</v>
      </c>
      <c r="I158" s="28">
        <v>3.12</v>
      </c>
      <c r="J158" s="28">
        <v>2.72</v>
      </c>
      <c r="K158" s="28">
        <v>1.44</v>
      </c>
      <c r="L158" s="25">
        <v>1.2428999999999999</v>
      </c>
      <c r="M158" s="25">
        <v>2.1709000000000001</v>
      </c>
      <c r="N158" s="28">
        <v>50.89</v>
      </c>
      <c r="O158" s="28">
        <v>56.81</v>
      </c>
      <c r="P158" s="28">
        <v>1.1078797406170171</v>
      </c>
      <c r="Q158" s="28">
        <v>0.99243091005104733</v>
      </c>
    </row>
    <row r="159" spans="2:17" ht="15" customHeight="1" x14ac:dyDescent="0.25">
      <c r="B159" s="22" t="s">
        <v>321</v>
      </c>
      <c r="C159" s="23" t="s">
        <v>322</v>
      </c>
      <c r="D159" s="10"/>
      <c r="E159" s="26" t="s">
        <v>322</v>
      </c>
      <c r="F159" s="28" t="s">
        <v>1128</v>
      </c>
      <c r="G159" s="28">
        <v>12.6</v>
      </c>
      <c r="H159" s="28">
        <v>13.74</v>
      </c>
      <c r="I159" s="28">
        <v>1.6</v>
      </c>
      <c r="J159" s="28">
        <v>0.15</v>
      </c>
      <c r="K159" s="28">
        <v>1.59</v>
      </c>
      <c r="L159" s="25">
        <v>0.2626</v>
      </c>
      <c r="M159" s="25">
        <v>-0.1729</v>
      </c>
      <c r="N159" s="28">
        <v>11.15</v>
      </c>
      <c r="O159" s="28">
        <v>14.3</v>
      </c>
      <c r="P159" s="28">
        <v>1.1300448430493273</v>
      </c>
      <c r="Q159" s="28">
        <v>0.88111888111888115</v>
      </c>
    </row>
    <row r="160" spans="2:17" ht="15" customHeight="1" x14ac:dyDescent="0.25">
      <c r="B160" s="22" t="s">
        <v>323</v>
      </c>
      <c r="C160" s="23" t="s">
        <v>324</v>
      </c>
      <c r="D160" s="10"/>
      <c r="E160" s="26" t="s">
        <v>324</v>
      </c>
      <c r="F160" s="28" t="s">
        <v>1129</v>
      </c>
      <c r="G160" s="28">
        <v>48.4</v>
      </c>
      <c r="H160" s="28">
        <v>15.57</v>
      </c>
      <c r="I160" s="28">
        <v>0.94</v>
      </c>
      <c r="J160" s="28">
        <v>0.68</v>
      </c>
      <c r="K160" s="28">
        <v>26.52</v>
      </c>
      <c r="L160" s="25">
        <v>-2.0324</v>
      </c>
      <c r="M160" s="25">
        <v>1.6392</v>
      </c>
      <c r="N160" s="28">
        <v>33.86</v>
      </c>
      <c r="O160" s="28">
        <v>50.88</v>
      </c>
      <c r="P160" s="28">
        <v>1.4294152392203188</v>
      </c>
      <c r="Q160" s="28">
        <v>0.95125786163522019</v>
      </c>
    </row>
    <row r="161" spans="2:17" ht="15" customHeight="1" x14ac:dyDescent="0.25">
      <c r="B161" s="22" t="s">
        <v>325</v>
      </c>
      <c r="C161" s="23" t="s">
        <v>326</v>
      </c>
      <c r="D161" s="10"/>
      <c r="E161" s="26" t="s">
        <v>326</v>
      </c>
      <c r="F161" s="28" t="s">
        <v>1130</v>
      </c>
      <c r="G161" s="28">
        <v>13.92</v>
      </c>
      <c r="H161" s="28">
        <v>10.28</v>
      </c>
      <c r="I161" s="28">
        <v>0.9</v>
      </c>
      <c r="J161" s="28">
        <v>0.16</v>
      </c>
      <c r="K161" s="28">
        <v>2.2599999999999998</v>
      </c>
      <c r="L161" s="25">
        <v>0.72440000000000004</v>
      </c>
      <c r="M161" s="25">
        <v>2.9434</v>
      </c>
      <c r="N161" s="28">
        <v>8.69</v>
      </c>
      <c r="O161" s="28">
        <v>13.83</v>
      </c>
      <c r="P161" s="28">
        <v>1.6018411967779056</v>
      </c>
      <c r="Q161" s="28">
        <v>1.0065075921908895</v>
      </c>
    </row>
    <row r="162" spans="2:17" ht="15" customHeight="1" x14ac:dyDescent="0.25">
      <c r="B162" s="22" t="s">
        <v>327</v>
      </c>
      <c r="C162" s="23" t="s">
        <v>328</v>
      </c>
      <c r="D162" s="10"/>
      <c r="E162" s="26" t="s">
        <v>328</v>
      </c>
      <c r="F162" s="28" t="s">
        <v>1131</v>
      </c>
      <c r="G162" s="28">
        <v>44.93</v>
      </c>
      <c r="H162" s="28">
        <v>27.75</v>
      </c>
      <c r="I162" s="28">
        <v>2.38</v>
      </c>
      <c r="J162" s="28">
        <v>1.462</v>
      </c>
      <c r="K162" s="28">
        <v>1.83</v>
      </c>
      <c r="L162" s="25">
        <v>-1.5165</v>
      </c>
      <c r="M162" s="25">
        <v>3.0042</v>
      </c>
      <c r="N162" s="28">
        <v>34.229999999999997</v>
      </c>
      <c r="O162" s="28">
        <v>50.3</v>
      </c>
      <c r="P162" s="28">
        <v>1.3125912941863862</v>
      </c>
      <c r="Q162" s="28">
        <v>0.89324055666003987</v>
      </c>
    </row>
    <row r="163" spans="2:17" ht="15" customHeight="1" x14ac:dyDescent="0.25">
      <c r="B163" s="22" t="s">
        <v>329</v>
      </c>
      <c r="C163" s="23" t="s">
        <v>330</v>
      </c>
      <c r="D163" s="10"/>
      <c r="E163" s="26" t="s">
        <v>330</v>
      </c>
      <c r="F163" s="28" t="s">
        <v>1132</v>
      </c>
      <c r="G163" s="28">
        <v>21.84</v>
      </c>
      <c r="H163" s="28">
        <v>0</v>
      </c>
      <c r="I163" s="28">
        <v>1.81</v>
      </c>
      <c r="J163" s="28">
        <v>0.52</v>
      </c>
      <c r="K163" s="28">
        <v>2.33</v>
      </c>
      <c r="L163" s="25">
        <v>2.5373999999999999</v>
      </c>
      <c r="M163" s="25">
        <v>5.0286</v>
      </c>
      <c r="N163" s="28">
        <v>11.51</v>
      </c>
      <c r="O163" s="28">
        <v>21.75</v>
      </c>
      <c r="P163" s="28">
        <v>1.89748045178106</v>
      </c>
      <c r="Q163" s="28">
        <v>1.0041379310344827</v>
      </c>
    </row>
    <row r="164" spans="2:17" ht="15" customHeight="1" x14ac:dyDescent="0.25">
      <c r="B164" s="22" t="s">
        <v>331</v>
      </c>
      <c r="C164" s="23" t="s">
        <v>332</v>
      </c>
      <c r="D164" s="10"/>
      <c r="E164" s="26" t="s">
        <v>332</v>
      </c>
      <c r="F164" s="28" t="s">
        <v>1133</v>
      </c>
      <c r="G164" s="28">
        <v>65.97</v>
      </c>
      <c r="H164" s="28">
        <v>8.33</v>
      </c>
      <c r="I164" s="28">
        <v>0</v>
      </c>
      <c r="J164" s="28">
        <v>1.65</v>
      </c>
      <c r="K164" s="28">
        <v>1.64</v>
      </c>
      <c r="L164" s="25">
        <v>-0.37759999999999999</v>
      </c>
      <c r="M164" s="25">
        <v>-1.268</v>
      </c>
      <c r="N164" s="28">
        <v>56.59</v>
      </c>
      <c r="O164" s="28">
        <v>67.2</v>
      </c>
      <c r="P164" s="28">
        <v>1.1657536667255699</v>
      </c>
      <c r="Q164" s="28">
        <v>0.98169642857142869</v>
      </c>
    </row>
    <row r="165" spans="2:17" ht="15" customHeight="1" x14ac:dyDescent="0.25">
      <c r="B165" s="22" t="s">
        <v>333</v>
      </c>
      <c r="C165" s="23" t="s">
        <v>334</v>
      </c>
      <c r="D165" s="10"/>
      <c r="E165" s="26" t="s">
        <v>334</v>
      </c>
      <c r="F165" s="28" t="s">
        <v>334</v>
      </c>
      <c r="G165" s="28">
        <v>0</v>
      </c>
      <c r="H165" s="28">
        <v>0</v>
      </c>
      <c r="I165" s="28">
        <v>0</v>
      </c>
      <c r="J165" s="28">
        <v>0</v>
      </c>
      <c r="K165" s="28">
        <v>0</v>
      </c>
      <c r="L165" s="25">
        <v>0</v>
      </c>
      <c r="M165" s="25">
        <v>0</v>
      </c>
      <c r="N165" s="28">
        <v>0</v>
      </c>
      <c r="O165" s="28">
        <v>0</v>
      </c>
      <c r="P165" s="28"/>
      <c r="Q165" s="28"/>
    </row>
    <row r="166" spans="2:17" ht="15" customHeight="1" x14ac:dyDescent="0.25">
      <c r="B166" s="22" t="s">
        <v>335</v>
      </c>
      <c r="C166" s="23" t="s">
        <v>336</v>
      </c>
      <c r="D166" s="10"/>
      <c r="E166" s="26" t="s">
        <v>336</v>
      </c>
      <c r="F166" s="28" t="s">
        <v>1134</v>
      </c>
      <c r="G166" s="28">
        <v>42.12</v>
      </c>
      <c r="H166" s="28">
        <v>21.72</v>
      </c>
      <c r="I166" s="28">
        <v>0</v>
      </c>
      <c r="J166" s="28">
        <v>1.82</v>
      </c>
      <c r="K166" s="28">
        <v>1.36</v>
      </c>
      <c r="L166" s="25">
        <v>0.2</v>
      </c>
      <c r="M166" s="25">
        <v>6.6299999999999998E-2</v>
      </c>
      <c r="N166" s="28">
        <v>39.4</v>
      </c>
      <c r="O166" s="28">
        <v>44</v>
      </c>
      <c r="P166" s="28">
        <v>1.0690355329949239</v>
      </c>
      <c r="Q166" s="28">
        <v>0.95727272727272739</v>
      </c>
    </row>
    <row r="167" spans="2:17" ht="15" customHeight="1" x14ac:dyDescent="0.25">
      <c r="B167" s="22" t="s">
        <v>337</v>
      </c>
      <c r="C167" s="23" t="s">
        <v>338</v>
      </c>
      <c r="D167" s="10"/>
      <c r="E167" s="26" t="s">
        <v>338</v>
      </c>
      <c r="F167" s="28" t="s">
        <v>1135</v>
      </c>
      <c r="G167" s="28">
        <v>32.270000000000003</v>
      </c>
      <c r="H167" s="28">
        <v>10.01</v>
      </c>
      <c r="I167" s="28">
        <v>2.0499999999999998</v>
      </c>
      <c r="J167" s="28">
        <v>1.252</v>
      </c>
      <c r="K167" s="28">
        <v>1.73</v>
      </c>
      <c r="L167" s="25">
        <v>-2.2953000000000001</v>
      </c>
      <c r="M167" s="25">
        <v>-4.5548000000000002</v>
      </c>
      <c r="N167" s="28">
        <v>30.54</v>
      </c>
      <c r="O167" s="28">
        <v>40.14</v>
      </c>
      <c r="P167" s="28">
        <v>1.0566470203012444</v>
      </c>
      <c r="Q167" s="28">
        <v>0.80393622321873437</v>
      </c>
    </row>
    <row r="168" spans="2:17" ht="15" customHeight="1" x14ac:dyDescent="0.25">
      <c r="B168" s="22" t="s">
        <v>339</v>
      </c>
      <c r="C168" s="23" t="s">
        <v>340</v>
      </c>
      <c r="D168" s="10"/>
      <c r="E168" s="26" t="s">
        <v>340</v>
      </c>
      <c r="F168" s="28" t="s">
        <v>1402</v>
      </c>
      <c r="G168" s="28">
        <v>19.3</v>
      </c>
      <c r="H168" s="28">
        <v>35.28</v>
      </c>
      <c r="I168" s="28">
        <v>3.12</v>
      </c>
      <c r="J168" s="28">
        <v>0</v>
      </c>
      <c r="K168" s="28">
        <v>3.36</v>
      </c>
      <c r="L168" s="25">
        <v>-0.58940000000000003</v>
      </c>
      <c r="M168" s="25">
        <v>2.1442000000000001</v>
      </c>
      <c r="N168" s="28">
        <v>7.63</v>
      </c>
      <c r="O168" s="28">
        <v>21.16</v>
      </c>
      <c r="P168" s="28">
        <v>2.529488859764089</v>
      </c>
      <c r="Q168" s="28">
        <v>0.91209829867674863</v>
      </c>
    </row>
    <row r="169" spans="2:17" ht="15" customHeight="1" x14ac:dyDescent="0.25">
      <c r="B169" s="22" t="s">
        <v>341</v>
      </c>
      <c r="C169" s="23" t="s">
        <v>342</v>
      </c>
      <c r="D169" s="10"/>
      <c r="E169" s="26" t="s">
        <v>342</v>
      </c>
      <c r="F169" s="28" t="s">
        <v>1136</v>
      </c>
      <c r="G169" s="28">
        <v>23.77</v>
      </c>
      <c r="H169" s="28">
        <v>9.86</v>
      </c>
      <c r="I169" s="28">
        <v>1.59</v>
      </c>
      <c r="J169" s="28">
        <v>0.67</v>
      </c>
      <c r="K169" s="28">
        <v>1.94</v>
      </c>
      <c r="L169" s="25">
        <v>3.9611999999999998</v>
      </c>
      <c r="M169" s="25">
        <v>6.3280000000000003</v>
      </c>
      <c r="N169" s="28">
        <v>14.73</v>
      </c>
      <c r="O169" s="28">
        <v>21.88</v>
      </c>
      <c r="P169" s="28">
        <v>1.6137135098438562</v>
      </c>
      <c r="Q169" s="28">
        <v>1.0863802559414992</v>
      </c>
    </row>
    <row r="170" spans="2:17" ht="15" customHeight="1" x14ac:dyDescent="0.25">
      <c r="B170" s="22" t="s">
        <v>343</v>
      </c>
      <c r="C170" s="23" t="s">
        <v>344</v>
      </c>
      <c r="D170" s="10"/>
      <c r="E170" s="26" t="s">
        <v>344</v>
      </c>
      <c r="F170" s="28" t="s">
        <v>1137</v>
      </c>
      <c r="G170" s="28">
        <v>103.57</v>
      </c>
      <c r="H170" s="28">
        <v>16.190000000000001</v>
      </c>
      <c r="I170" s="28">
        <v>1.53</v>
      </c>
      <c r="J170" s="28">
        <v>2.4049999999999998</v>
      </c>
      <c r="K170" s="28">
        <v>4</v>
      </c>
      <c r="L170" s="25">
        <v>2.722</v>
      </c>
      <c r="M170" s="25">
        <v>9.3246000000000002</v>
      </c>
      <c r="N170" s="28">
        <v>81.99</v>
      </c>
      <c r="O170" s="28">
        <v>106.33</v>
      </c>
      <c r="P170" s="28">
        <v>1.2632028296133675</v>
      </c>
      <c r="Q170" s="28">
        <v>0.97404307345057839</v>
      </c>
    </row>
    <row r="171" spans="2:17" ht="15" customHeight="1" x14ac:dyDescent="0.25">
      <c r="B171" s="22" t="s">
        <v>345</v>
      </c>
      <c r="C171" s="23" t="s">
        <v>346</v>
      </c>
      <c r="D171" s="10"/>
      <c r="E171" s="26" t="s">
        <v>346</v>
      </c>
      <c r="F171" s="28" t="s">
        <v>1403</v>
      </c>
      <c r="G171" s="28">
        <v>92.25</v>
      </c>
      <c r="H171" s="28">
        <v>10.61</v>
      </c>
      <c r="I171" s="28">
        <v>0.8</v>
      </c>
      <c r="J171" s="28">
        <v>2.02</v>
      </c>
      <c r="K171" s="28">
        <v>3.36</v>
      </c>
      <c r="L171" s="25">
        <v>-3.4952999999999999</v>
      </c>
      <c r="M171" s="25">
        <v>3.0949</v>
      </c>
      <c r="N171" s="28">
        <v>78.25</v>
      </c>
      <c r="O171" s="28">
        <v>111.05</v>
      </c>
      <c r="P171" s="28">
        <v>1.1789137380191692</v>
      </c>
      <c r="Q171" s="28">
        <v>0.83070688878883392</v>
      </c>
    </row>
    <row r="172" spans="2:17" ht="15" customHeight="1" x14ac:dyDescent="0.25">
      <c r="B172" s="22" t="s">
        <v>347</v>
      </c>
      <c r="C172" s="23" t="s">
        <v>348</v>
      </c>
      <c r="D172" s="10"/>
      <c r="E172" s="26" t="s">
        <v>348</v>
      </c>
      <c r="F172" s="28" t="s">
        <v>1138</v>
      </c>
      <c r="G172" s="28">
        <v>29.1</v>
      </c>
      <c r="H172" s="28">
        <v>21.81</v>
      </c>
      <c r="I172" s="28">
        <v>1.19</v>
      </c>
      <c r="J172" s="28">
        <v>0.53</v>
      </c>
      <c r="K172" s="28">
        <v>3.93</v>
      </c>
      <c r="L172" s="25">
        <v>1.4782</v>
      </c>
      <c r="M172" s="25">
        <v>3.8475999999999999</v>
      </c>
      <c r="N172" s="28">
        <v>20.98</v>
      </c>
      <c r="O172" s="28">
        <v>28.29</v>
      </c>
      <c r="P172" s="28">
        <v>1.3870352716873213</v>
      </c>
      <c r="Q172" s="28">
        <v>1.0286320254506893</v>
      </c>
    </row>
    <row r="173" spans="2:17" ht="15" customHeight="1" x14ac:dyDescent="0.25">
      <c r="B173" s="22" t="s">
        <v>349</v>
      </c>
      <c r="C173" s="23" t="s">
        <v>350</v>
      </c>
      <c r="D173" s="10"/>
      <c r="E173" s="26" t="s">
        <v>350</v>
      </c>
      <c r="F173" s="28" t="s">
        <v>1139</v>
      </c>
      <c r="G173" s="28">
        <v>54.14</v>
      </c>
      <c r="H173" s="28">
        <v>0</v>
      </c>
      <c r="I173" s="28">
        <v>2.15</v>
      </c>
      <c r="J173" s="28">
        <v>0.8</v>
      </c>
      <c r="K173" s="28">
        <v>1.03</v>
      </c>
      <c r="L173" s="25">
        <v>-2.2444000000000002</v>
      </c>
      <c r="M173" s="25">
        <v>-2.8111999999999999</v>
      </c>
      <c r="N173" s="28">
        <v>50.89</v>
      </c>
      <c r="O173" s="28">
        <v>71.23</v>
      </c>
      <c r="P173" s="28">
        <v>1.0638632344271959</v>
      </c>
      <c r="Q173" s="28">
        <v>0.76007300294819602</v>
      </c>
    </row>
    <row r="174" spans="2:17" ht="15" customHeight="1" x14ac:dyDescent="0.25">
      <c r="B174" s="22" t="s">
        <v>351</v>
      </c>
      <c r="C174" s="23" t="s">
        <v>352</v>
      </c>
      <c r="D174" s="10"/>
      <c r="E174" s="26" t="s">
        <v>352</v>
      </c>
      <c r="F174" s="28" t="s">
        <v>1140</v>
      </c>
      <c r="G174" s="28">
        <v>56.97</v>
      </c>
      <c r="H174" s="28">
        <v>12.94</v>
      </c>
      <c r="I174" s="28">
        <v>1.02</v>
      </c>
      <c r="J174" s="28">
        <v>0</v>
      </c>
      <c r="K174" s="28">
        <v>3.16</v>
      </c>
      <c r="L174" s="25">
        <v>-0.79259999999999997</v>
      </c>
      <c r="M174" s="25">
        <v>-3.3622999999999998</v>
      </c>
      <c r="N174" s="28">
        <v>54.33</v>
      </c>
      <c r="O174" s="28">
        <v>69.290000000000006</v>
      </c>
      <c r="P174" s="28">
        <v>1.0485919381557149</v>
      </c>
      <c r="Q174" s="28">
        <v>0.82219656516091799</v>
      </c>
    </row>
    <row r="175" spans="2:17" ht="15" customHeight="1" x14ac:dyDescent="0.25">
      <c r="B175" s="22" t="s">
        <v>353</v>
      </c>
      <c r="C175" s="23" t="s">
        <v>354</v>
      </c>
      <c r="D175" s="10"/>
      <c r="E175" s="26" t="s">
        <v>354</v>
      </c>
      <c r="F175" s="28" t="s">
        <v>1141</v>
      </c>
      <c r="G175" s="28">
        <v>30.71</v>
      </c>
      <c r="H175" s="28">
        <v>11.62</v>
      </c>
      <c r="I175" s="28">
        <v>8.99</v>
      </c>
      <c r="J175" s="28">
        <v>1.44</v>
      </c>
      <c r="K175" s="28">
        <v>1.69</v>
      </c>
      <c r="L175" s="25">
        <v>0.79559999999999997</v>
      </c>
      <c r="M175" s="25">
        <v>1.4280999999999999</v>
      </c>
      <c r="N175" s="28">
        <v>26.68</v>
      </c>
      <c r="O175" s="28">
        <v>31.35</v>
      </c>
      <c r="P175" s="28">
        <v>1.1510494752623688</v>
      </c>
      <c r="Q175" s="28">
        <v>0.979585326953748</v>
      </c>
    </row>
    <row r="176" spans="2:17" ht="15" customHeight="1" x14ac:dyDescent="0.25">
      <c r="B176" s="22" t="s">
        <v>355</v>
      </c>
      <c r="C176" s="23" t="s">
        <v>356</v>
      </c>
      <c r="D176" s="10"/>
      <c r="E176" s="26" t="s">
        <v>356</v>
      </c>
      <c r="F176" s="28" t="s">
        <v>1142</v>
      </c>
      <c r="G176" s="28">
        <v>25.79</v>
      </c>
      <c r="H176" s="28">
        <v>0</v>
      </c>
      <c r="I176" s="28">
        <v>1.43</v>
      </c>
      <c r="J176" s="28">
        <v>0.36399999999999999</v>
      </c>
      <c r="K176" s="28">
        <v>3.03</v>
      </c>
      <c r="L176" s="25">
        <v>3.9699999999999999E-2</v>
      </c>
      <c r="M176" s="25">
        <v>3.2625999999999999</v>
      </c>
      <c r="N176" s="28">
        <v>16.88</v>
      </c>
      <c r="O176" s="28">
        <v>24.75</v>
      </c>
      <c r="P176" s="28">
        <v>1.5278436018957346</v>
      </c>
      <c r="Q176" s="28">
        <v>1.0420202020202021</v>
      </c>
    </row>
    <row r="177" spans="2:17" ht="15" customHeight="1" x14ac:dyDescent="0.25">
      <c r="B177" s="22" t="s">
        <v>357</v>
      </c>
      <c r="C177" s="23" t="s">
        <v>358</v>
      </c>
      <c r="D177" s="10"/>
      <c r="E177" s="26" t="s">
        <v>358</v>
      </c>
      <c r="F177" s="28" t="s">
        <v>1404</v>
      </c>
      <c r="G177" s="28">
        <v>33.15</v>
      </c>
      <c r="H177" s="28">
        <v>11.85</v>
      </c>
      <c r="I177" s="28">
        <v>1.17</v>
      </c>
      <c r="J177" s="28">
        <v>0</v>
      </c>
      <c r="K177" s="28">
        <v>2.95</v>
      </c>
      <c r="L177" s="25">
        <v>1.2197</v>
      </c>
      <c r="M177" s="25">
        <v>2.5541</v>
      </c>
      <c r="N177" s="28">
        <v>26.69</v>
      </c>
      <c r="O177" s="28">
        <v>34.36</v>
      </c>
      <c r="P177" s="28">
        <v>1.2420382165605095</v>
      </c>
      <c r="Q177" s="28">
        <v>0.96478463329452846</v>
      </c>
    </row>
    <row r="178" spans="2:17" ht="15" customHeight="1" x14ac:dyDescent="0.25">
      <c r="B178" s="22" t="s">
        <v>359</v>
      </c>
      <c r="C178" s="23" t="s">
        <v>360</v>
      </c>
      <c r="D178" s="10"/>
      <c r="E178" s="26" t="s">
        <v>360</v>
      </c>
      <c r="F178" s="28" t="s">
        <v>1405</v>
      </c>
      <c r="G178" s="28">
        <v>0</v>
      </c>
      <c r="H178" s="28">
        <v>0</v>
      </c>
      <c r="I178" s="28">
        <v>0</v>
      </c>
      <c r="J178" s="28">
        <v>0</v>
      </c>
      <c r="K178" s="28">
        <v>0</v>
      </c>
      <c r="L178" s="25">
        <v>0</v>
      </c>
      <c r="M178" s="25">
        <v>0</v>
      </c>
      <c r="N178" s="28">
        <v>0</v>
      </c>
      <c r="O178" s="28">
        <v>0</v>
      </c>
      <c r="P178" s="28"/>
      <c r="Q178" s="28"/>
    </row>
    <row r="179" spans="2:17" ht="15" customHeight="1" x14ac:dyDescent="0.25">
      <c r="B179" s="22" t="s">
        <v>361</v>
      </c>
      <c r="C179" s="23" t="s">
        <v>362</v>
      </c>
      <c r="D179" s="10"/>
      <c r="E179" s="26" t="s">
        <v>362</v>
      </c>
      <c r="F179" s="28" t="s">
        <v>1143</v>
      </c>
      <c r="G179" s="28">
        <v>77.36</v>
      </c>
      <c r="H179" s="28">
        <v>14.82</v>
      </c>
      <c r="I179" s="28">
        <v>1.1100000000000001</v>
      </c>
      <c r="J179" s="28">
        <v>1.8049999999999999</v>
      </c>
      <c r="K179" s="28">
        <v>9.74</v>
      </c>
      <c r="L179" s="25">
        <v>1.9176</v>
      </c>
      <c r="M179" s="25">
        <v>3.9923999999999999</v>
      </c>
      <c r="N179" s="28">
        <v>66.819999999999993</v>
      </c>
      <c r="O179" s="28">
        <v>88.16</v>
      </c>
      <c r="P179" s="28">
        <v>1.1577372044298115</v>
      </c>
      <c r="Q179" s="28">
        <v>0.87749546279491841</v>
      </c>
    </row>
    <row r="180" spans="2:17" ht="15" customHeight="1" x14ac:dyDescent="0.25">
      <c r="B180" s="22" t="s">
        <v>363</v>
      </c>
      <c r="C180" s="23" t="s">
        <v>364</v>
      </c>
      <c r="D180" s="10"/>
      <c r="E180" s="26" t="s">
        <v>364</v>
      </c>
      <c r="F180" s="28" t="s">
        <v>1144</v>
      </c>
      <c r="G180" s="28">
        <v>61.68</v>
      </c>
      <c r="H180" s="28">
        <v>11.53</v>
      </c>
      <c r="I180" s="28">
        <v>1.55</v>
      </c>
      <c r="J180" s="28">
        <v>1.6</v>
      </c>
      <c r="K180" s="28">
        <v>0.91</v>
      </c>
      <c r="L180" s="25">
        <v>-0.5262</v>
      </c>
      <c r="M180" s="25">
        <v>1.0820000000000001</v>
      </c>
      <c r="N180" s="28">
        <v>53.36</v>
      </c>
      <c r="O180" s="28">
        <v>68.33</v>
      </c>
      <c r="P180" s="28">
        <v>1.1559220389805098</v>
      </c>
      <c r="Q180" s="28">
        <v>0.90267817942338657</v>
      </c>
    </row>
    <row r="181" spans="2:17" ht="15" customHeight="1" x14ac:dyDescent="0.25">
      <c r="B181" s="22" t="s">
        <v>365</v>
      </c>
      <c r="C181" s="23" t="s">
        <v>366</v>
      </c>
      <c r="D181" s="10"/>
      <c r="E181" s="26" t="s">
        <v>366</v>
      </c>
      <c r="F181" s="28" t="s">
        <v>1406</v>
      </c>
      <c r="G181" s="28">
        <v>20.3</v>
      </c>
      <c r="H181" s="28">
        <v>17.57</v>
      </c>
      <c r="I181" s="28">
        <v>3.73</v>
      </c>
      <c r="J181" s="28">
        <v>1.08</v>
      </c>
      <c r="K181" s="28">
        <v>1.04</v>
      </c>
      <c r="L181" s="25">
        <v>0.7359</v>
      </c>
      <c r="M181" s="25">
        <v>0.8518</v>
      </c>
      <c r="N181" s="28">
        <v>18.14</v>
      </c>
      <c r="O181" s="28">
        <v>19.920000000000002</v>
      </c>
      <c r="P181" s="28">
        <v>1.1190738699007718</v>
      </c>
      <c r="Q181" s="28">
        <v>1.0190763052208835</v>
      </c>
    </row>
    <row r="182" spans="2:17" ht="15" customHeight="1" x14ac:dyDescent="0.25">
      <c r="B182" s="22" t="s">
        <v>367</v>
      </c>
      <c r="C182" s="23" t="s">
        <v>368</v>
      </c>
      <c r="D182" s="10"/>
      <c r="E182" s="26" t="s">
        <v>368</v>
      </c>
      <c r="F182" s="28" t="s">
        <v>1145</v>
      </c>
      <c r="G182" s="28">
        <v>54.48</v>
      </c>
      <c r="H182" s="28">
        <v>17.39</v>
      </c>
      <c r="I182" s="28">
        <v>1.39</v>
      </c>
      <c r="J182" s="28">
        <v>0.75</v>
      </c>
      <c r="K182" s="28">
        <v>2.37</v>
      </c>
      <c r="L182" s="25">
        <v>0.85270000000000001</v>
      </c>
      <c r="M182" s="25">
        <v>3.2913999999999999</v>
      </c>
      <c r="N182" s="28">
        <v>40.880000000000003</v>
      </c>
      <c r="O182" s="28">
        <v>60.79</v>
      </c>
      <c r="P182" s="28">
        <v>1.3326810176125246</v>
      </c>
      <c r="Q182" s="28">
        <v>0.89620003290014805</v>
      </c>
    </row>
    <row r="183" spans="2:17" ht="15" customHeight="1" x14ac:dyDescent="0.25">
      <c r="B183" s="22" t="s">
        <v>369</v>
      </c>
      <c r="C183" s="23" t="s">
        <v>370</v>
      </c>
      <c r="D183" s="10"/>
      <c r="E183" s="26" t="s">
        <v>370</v>
      </c>
      <c r="F183" s="28" t="s">
        <v>1146</v>
      </c>
      <c r="G183" s="28">
        <v>102.65</v>
      </c>
      <c r="H183" s="28">
        <v>13.53</v>
      </c>
      <c r="I183" s="28">
        <v>1.51</v>
      </c>
      <c r="J183" s="28">
        <v>2.8</v>
      </c>
      <c r="K183" s="28">
        <v>1.4</v>
      </c>
      <c r="L183" s="25">
        <v>-1.0760000000000001</v>
      </c>
      <c r="M183" s="25">
        <v>4.3468</v>
      </c>
      <c r="N183" s="28">
        <v>76.92</v>
      </c>
      <c r="O183" s="28">
        <v>107.64</v>
      </c>
      <c r="P183" s="28">
        <v>1.3345033801352055</v>
      </c>
      <c r="Q183" s="28">
        <v>0.95364176885916019</v>
      </c>
    </row>
    <row r="184" spans="2:17" ht="15" customHeight="1" x14ac:dyDescent="0.25">
      <c r="B184" s="22" t="s">
        <v>371</v>
      </c>
      <c r="C184" s="23" t="s">
        <v>372</v>
      </c>
      <c r="D184" s="10"/>
      <c r="E184" s="26" t="s">
        <v>372</v>
      </c>
      <c r="F184" s="28" t="s">
        <v>1147</v>
      </c>
      <c r="G184" s="28">
        <v>160.86000000000001</v>
      </c>
      <c r="H184" s="28">
        <v>16.29</v>
      </c>
      <c r="I184" s="28">
        <v>1.26</v>
      </c>
      <c r="J184" s="28">
        <v>3.03</v>
      </c>
      <c r="K184" s="28">
        <v>3.4</v>
      </c>
      <c r="L184" s="25">
        <v>8.5920000000000005</v>
      </c>
      <c r="M184" s="25">
        <v>5.99</v>
      </c>
      <c r="N184" s="28">
        <v>129.53</v>
      </c>
      <c r="O184" s="28">
        <v>176.19</v>
      </c>
      <c r="P184" s="28">
        <v>1.2418744692349264</v>
      </c>
      <c r="Q184" s="28">
        <v>0.91299165673420746</v>
      </c>
    </row>
    <row r="185" spans="2:17" ht="15" customHeight="1" x14ac:dyDescent="0.25">
      <c r="B185" s="22" t="s">
        <v>373</v>
      </c>
      <c r="C185" s="23" t="s">
        <v>374</v>
      </c>
      <c r="D185" s="10"/>
      <c r="E185" s="26" t="s">
        <v>374</v>
      </c>
      <c r="F185" s="28" t="s">
        <v>374</v>
      </c>
      <c r="G185" s="28">
        <v>0</v>
      </c>
      <c r="H185" s="28">
        <v>0</v>
      </c>
      <c r="I185" s="28">
        <v>0</v>
      </c>
      <c r="J185" s="28">
        <v>0</v>
      </c>
      <c r="K185" s="28">
        <v>0</v>
      </c>
      <c r="L185" s="25">
        <v>0</v>
      </c>
      <c r="M185" s="25">
        <v>0</v>
      </c>
      <c r="N185" s="28">
        <v>0</v>
      </c>
      <c r="O185" s="28">
        <v>0</v>
      </c>
      <c r="P185" s="28"/>
      <c r="Q185" s="28"/>
    </row>
    <row r="186" spans="2:17" ht="15" customHeight="1" x14ac:dyDescent="0.25">
      <c r="B186" s="22" t="s">
        <v>375</v>
      </c>
      <c r="C186" s="23" t="s">
        <v>376</v>
      </c>
      <c r="D186" s="10"/>
      <c r="E186" s="26" t="s">
        <v>376</v>
      </c>
      <c r="F186" s="28" t="s">
        <v>1148</v>
      </c>
      <c r="G186" s="28">
        <v>88.33</v>
      </c>
      <c r="H186" s="28">
        <v>10.31</v>
      </c>
      <c r="I186" s="28">
        <v>1.24</v>
      </c>
      <c r="J186" s="28">
        <v>3.15</v>
      </c>
      <c r="K186" s="28">
        <v>711.98</v>
      </c>
      <c r="L186" s="25">
        <v>-1.6474</v>
      </c>
      <c r="M186" s="25">
        <v>-3.339</v>
      </c>
      <c r="N186" s="28">
        <v>80.14</v>
      </c>
      <c r="O186" s="28">
        <v>96.31</v>
      </c>
      <c r="P186" s="28">
        <v>1.1021961567257299</v>
      </c>
      <c r="Q186" s="28">
        <v>0.91714256048177767</v>
      </c>
    </row>
    <row r="187" spans="2:17" ht="15" customHeight="1" x14ac:dyDescent="0.25">
      <c r="B187" s="22" t="s">
        <v>377</v>
      </c>
      <c r="C187" s="23" t="s">
        <v>378</v>
      </c>
      <c r="D187" s="10"/>
      <c r="E187" s="26" t="s">
        <v>378</v>
      </c>
      <c r="F187" s="28" t="s">
        <v>1149</v>
      </c>
      <c r="G187" s="28">
        <v>93.56</v>
      </c>
      <c r="H187" s="28">
        <v>13.56</v>
      </c>
      <c r="I187" s="28">
        <v>2.4500000000000002</v>
      </c>
      <c r="J187" s="28">
        <v>1.66</v>
      </c>
      <c r="K187" s="28">
        <v>2.57</v>
      </c>
      <c r="L187" s="25">
        <v>0.38119999999999998</v>
      </c>
      <c r="M187" s="25">
        <v>8.4657</v>
      </c>
      <c r="N187" s="28">
        <v>70.42</v>
      </c>
      <c r="O187" s="28">
        <v>98.46</v>
      </c>
      <c r="P187" s="28">
        <v>1.3285998295938655</v>
      </c>
      <c r="Q187" s="28">
        <v>0.95023359739995938</v>
      </c>
    </row>
    <row r="188" spans="2:17" ht="15" customHeight="1" x14ac:dyDescent="0.25">
      <c r="B188" s="22" t="s">
        <v>379</v>
      </c>
      <c r="C188" s="23" t="s">
        <v>380</v>
      </c>
      <c r="D188" s="10"/>
      <c r="E188" s="26" t="s">
        <v>380</v>
      </c>
      <c r="F188" s="28" t="s">
        <v>1150</v>
      </c>
      <c r="G188" s="28">
        <v>11.82</v>
      </c>
      <c r="H188" s="28">
        <v>20.36</v>
      </c>
      <c r="I188" s="28">
        <v>0.36</v>
      </c>
      <c r="J188" s="28">
        <v>0.03</v>
      </c>
      <c r="K188" s="28">
        <v>1.19</v>
      </c>
      <c r="L188" s="25">
        <v>0.43469999999999998</v>
      </c>
      <c r="M188" s="25">
        <v>1.9678</v>
      </c>
      <c r="N188" s="28">
        <v>7.76</v>
      </c>
      <c r="O188" s="28">
        <v>13.35</v>
      </c>
      <c r="P188" s="28">
        <v>1.5231958762886599</v>
      </c>
      <c r="Q188" s="28">
        <v>0.88539325842696637</v>
      </c>
    </row>
    <row r="189" spans="2:17" ht="15" customHeight="1" x14ac:dyDescent="0.25">
      <c r="B189" s="22" t="s">
        <v>381</v>
      </c>
      <c r="C189" s="23" t="s">
        <v>382</v>
      </c>
      <c r="D189" s="10"/>
      <c r="E189" s="26" t="s">
        <v>382</v>
      </c>
      <c r="F189" s="28" t="s">
        <v>1151</v>
      </c>
      <c r="G189" s="28">
        <v>23.37</v>
      </c>
      <c r="H189" s="28">
        <v>17.84</v>
      </c>
      <c r="I189" s="28">
        <v>1.25</v>
      </c>
      <c r="J189" s="28">
        <v>0.72</v>
      </c>
      <c r="K189" s="28">
        <v>1.96</v>
      </c>
      <c r="L189" s="25">
        <v>0.99119999999999997</v>
      </c>
      <c r="M189" s="25">
        <v>1.6860999999999999</v>
      </c>
      <c r="N189" s="28">
        <v>18.02</v>
      </c>
      <c r="O189" s="28">
        <v>25</v>
      </c>
      <c r="P189" s="28">
        <v>1.2968923418423972</v>
      </c>
      <c r="Q189" s="28">
        <v>0.93479999999999996</v>
      </c>
    </row>
    <row r="190" spans="2:17" ht="15" customHeight="1" x14ac:dyDescent="0.25">
      <c r="B190" s="22" t="s">
        <v>383</v>
      </c>
      <c r="C190" s="23" t="s">
        <v>384</v>
      </c>
      <c r="D190" s="10"/>
      <c r="E190" s="26" t="s">
        <v>384</v>
      </c>
      <c r="F190" s="28" t="s">
        <v>1152</v>
      </c>
      <c r="G190" s="28">
        <v>105.74</v>
      </c>
      <c r="H190" s="28">
        <v>16.559999999999999</v>
      </c>
      <c r="I190" s="28">
        <v>1.28</v>
      </c>
      <c r="J190" s="28">
        <v>0.55000000000000004</v>
      </c>
      <c r="K190" s="28">
        <v>2.09</v>
      </c>
      <c r="L190" s="25">
        <v>2.831</v>
      </c>
      <c r="M190" s="25">
        <v>12.9323</v>
      </c>
      <c r="N190" s="28">
        <v>83.8</v>
      </c>
      <c r="O190" s="28">
        <v>109.7</v>
      </c>
      <c r="P190" s="28">
        <v>1.2618138424821004</v>
      </c>
      <c r="Q190" s="28">
        <v>0.9639015496809481</v>
      </c>
    </row>
    <row r="191" spans="2:17" ht="15" customHeight="1" x14ac:dyDescent="0.25">
      <c r="B191" s="22" t="s">
        <v>385</v>
      </c>
      <c r="C191" s="23" t="s">
        <v>386</v>
      </c>
      <c r="D191" s="10"/>
      <c r="E191" s="26" t="s">
        <v>386</v>
      </c>
      <c r="F191" s="28" t="s">
        <v>1153</v>
      </c>
      <c r="G191" s="28">
        <v>31.41</v>
      </c>
      <c r="H191" s="28">
        <v>18.3</v>
      </c>
      <c r="I191" s="28">
        <v>1.03</v>
      </c>
      <c r="J191" s="28">
        <v>0.73</v>
      </c>
      <c r="K191" s="28">
        <v>1.78</v>
      </c>
      <c r="L191" s="25">
        <v>8.1799999999999998E-2</v>
      </c>
      <c r="M191" s="25">
        <v>2.8955000000000002</v>
      </c>
      <c r="N191" s="28">
        <v>23.37</v>
      </c>
      <c r="O191" s="28">
        <v>32.92</v>
      </c>
      <c r="P191" s="28">
        <v>1.3440308087291399</v>
      </c>
      <c r="Q191" s="28">
        <v>0.95413122721749699</v>
      </c>
    </row>
    <row r="192" spans="2:17" ht="15" customHeight="1" x14ac:dyDescent="0.25">
      <c r="B192" s="22" t="s">
        <v>387</v>
      </c>
      <c r="C192" s="23" t="s">
        <v>388</v>
      </c>
      <c r="D192" s="10"/>
      <c r="E192" s="26" t="s">
        <v>388</v>
      </c>
      <c r="F192" s="28" t="s">
        <v>1154</v>
      </c>
      <c r="G192" s="28">
        <v>32.19</v>
      </c>
      <c r="H192" s="28">
        <v>21.2</v>
      </c>
      <c r="I192" s="28">
        <v>1.74</v>
      </c>
      <c r="J192" s="28">
        <v>0.8004</v>
      </c>
      <c r="K192" s="28">
        <v>3.96</v>
      </c>
      <c r="L192" s="25">
        <v>0.22939999999999999</v>
      </c>
      <c r="M192" s="25">
        <v>2.7782</v>
      </c>
      <c r="N192" s="28">
        <v>24.111999999999998</v>
      </c>
      <c r="O192" s="28">
        <v>33.28</v>
      </c>
      <c r="P192" s="28">
        <v>1.3350199071001991</v>
      </c>
      <c r="Q192" s="28">
        <v>0.96724759615384615</v>
      </c>
    </row>
    <row r="193" spans="2:17" ht="15" customHeight="1" x14ac:dyDescent="0.25">
      <c r="B193" s="22" t="s">
        <v>389</v>
      </c>
      <c r="C193" s="23" t="s">
        <v>390</v>
      </c>
      <c r="D193" s="10"/>
      <c r="E193" s="26" t="s">
        <v>390</v>
      </c>
      <c r="F193" s="28" t="s">
        <v>1407</v>
      </c>
      <c r="G193" s="28">
        <v>55.75</v>
      </c>
      <c r="H193" s="28">
        <v>13.24</v>
      </c>
      <c r="I193" s="28">
        <v>1.03</v>
      </c>
      <c r="J193" s="28">
        <v>1.22</v>
      </c>
      <c r="K193" s="28">
        <v>1.89</v>
      </c>
      <c r="L193" s="25">
        <v>-0.19789999999999999</v>
      </c>
      <c r="M193" s="25">
        <v>8.3469999999999995</v>
      </c>
      <c r="N193" s="28">
        <v>32.76</v>
      </c>
      <c r="O193" s="28">
        <v>65.38</v>
      </c>
      <c r="P193" s="28">
        <v>1.7017704517704519</v>
      </c>
      <c r="Q193" s="28">
        <v>0.85270724992352409</v>
      </c>
    </row>
    <row r="194" spans="2:17" ht="15" customHeight="1" x14ac:dyDescent="0.25">
      <c r="B194" s="22" t="s">
        <v>391</v>
      </c>
      <c r="C194" s="23" t="s">
        <v>392</v>
      </c>
      <c r="D194" s="10"/>
      <c r="E194" s="26" t="s">
        <v>392</v>
      </c>
      <c r="F194" s="28" t="s">
        <v>392</v>
      </c>
      <c r="G194" s="28">
        <v>0</v>
      </c>
      <c r="H194" s="28">
        <v>0</v>
      </c>
      <c r="I194" s="28">
        <v>0</v>
      </c>
      <c r="J194" s="28">
        <v>0</v>
      </c>
      <c r="K194" s="28">
        <v>0</v>
      </c>
      <c r="L194" s="25">
        <v>0</v>
      </c>
      <c r="M194" s="25">
        <v>0</v>
      </c>
      <c r="N194" s="28">
        <v>0</v>
      </c>
      <c r="O194" s="28">
        <v>0</v>
      </c>
      <c r="P194" s="28"/>
      <c r="Q194" s="28"/>
    </row>
    <row r="195" spans="2:17" ht="15" customHeight="1" x14ac:dyDescent="0.25">
      <c r="B195" s="22" t="s">
        <v>393</v>
      </c>
      <c r="C195" s="23" t="s">
        <v>394</v>
      </c>
      <c r="D195" s="10"/>
      <c r="E195" s="26" t="s">
        <v>394</v>
      </c>
      <c r="F195" s="28" t="s">
        <v>1155</v>
      </c>
      <c r="G195" s="28">
        <v>68.11</v>
      </c>
      <c r="H195" s="28">
        <v>14.42</v>
      </c>
      <c r="I195" s="28">
        <v>0.69</v>
      </c>
      <c r="J195" s="28">
        <v>1.6</v>
      </c>
      <c r="K195" s="28">
        <v>1.49</v>
      </c>
      <c r="L195" s="25">
        <v>1.4794</v>
      </c>
      <c r="M195" s="25">
        <v>7.4287000000000001</v>
      </c>
      <c r="N195" s="28">
        <v>45.17</v>
      </c>
      <c r="O195" s="28">
        <v>73.11</v>
      </c>
      <c r="P195" s="28">
        <v>1.5078591985831304</v>
      </c>
      <c r="Q195" s="28">
        <v>0.93160990288606216</v>
      </c>
    </row>
    <row r="196" spans="2:17" ht="15" customHeight="1" x14ac:dyDescent="0.25">
      <c r="B196" s="22" t="s">
        <v>395</v>
      </c>
      <c r="C196" s="23" t="s">
        <v>396</v>
      </c>
      <c r="D196" s="10"/>
      <c r="E196" s="26" t="s">
        <v>396</v>
      </c>
      <c r="F196" s="28" t="s">
        <v>1156</v>
      </c>
      <c r="G196" s="28">
        <v>61.45</v>
      </c>
      <c r="H196" s="28">
        <v>9.91</v>
      </c>
      <c r="I196" s="28">
        <v>1.66</v>
      </c>
      <c r="J196" s="28">
        <v>1.48</v>
      </c>
      <c r="K196" s="28">
        <v>3.13</v>
      </c>
      <c r="L196" s="25">
        <v>-1.4320999999999999</v>
      </c>
      <c r="M196" s="25">
        <v>0.4264</v>
      </c>
      <c r="N196" s="28">
        <v>49.07</v>
      </c>
      <c r="O196" s="28">
        <v>68.790000000000006</v>
      </c>
      <c r="P196" s="28">
        <v>1.2522926431628285</v>
      </c>
      <c r="Q196" s="28">
        <v>0.89329844454135776</v>
      </c>
    </row>
    <row r="197" spans="2:17" ht="15" customHeight="1" x14ac:dyDescent="0.25">
      <c r="B197" s="22" t="s">
        <v>397</v>
      </c>
      <c r="C197" s="23" t="s">
        <v>398</v>
      </c>
      <c r="D197" s="10"/>
      <c r="E197" s="26" t="s">
        <v>398</v>
      </c>
      <c r="F197" s="28" t="s">
        <v>1408</v>
      </c>
      <c r="G197" s="28">
        <v>37.51</v>
      </c>
      <c r="H197" s="28">
        <v>22.45</v>
      </c>
      <c r="I197" s="28">
        <v>2.0699999999999998</v>
      </c>
      <c r="J197" s="28">
        <v>1.01</v>
      </c>
      <c r="K197" s="28">
        <v>2.34</v>
      </c>
      <c r="L197" s="25">
        <v>1.3471</v>
      </c>
      <c r="M197" s="25">
        <v>4.2807000000000004</v>
      </c>
      <c r="N197" s="28">
        <v>29.52</v>
      </c>
      <c r="O197" s="28">
        <v>35.64</v>
      </c>
      <c r="P197" s="28">
        <v>1.2706639566395663</v>
      </c>
      <c r="Q197" s="28">
        <v>1.0524691358024691</v>
      </c>
    </row>
    <row r="198" spans="2:17" ht="15" customHeight="1" x14ac:dyDescent="0.25">
      <c r="B198" s="22" t="s">
        <v>399</v>
      </c>
      <c r="C198" s="23" t="s">
        <v>400</v>
      </c>
      <c r="D198" s="10"/>
      <c r="E198" s="26" t="s">
        <v>400</v>
      </c>
      <c r="F198" s="28" t="s">
        <v>1157</v>
      </c>
      <c r="G198" s="28">
        <v>57.46</v>
      </c>
      <c r="H198" s="28">
        <v>15.81</v>
      </c>
      <c r="I198" s="28">
        <v>1.6</v>
      </c>
      <c r="J198" s="28">
        <v>1.2</v>
      </c>
      <c r="K198" s="28">
        <v>4.32</v>
      </c>
      <c r="L198" s="25">
        <v>2.7244000000000002</v>
      </c>
      <c r="M198" s="25">
        <v>5.9532999999999996</v>
      </c>
      <c r="N198" s="28">
        <v>45.11</v>
      </c>
      <c r="O198" s="28">
        <v>58</v>
      </c>
      <c r="P198" s="28">
        <v>1.2737752161383287</v>
      </c>
      <c r="Q198" s="28">
        <v>0.99068965517241381</v>
      </c>
    </row>
    <row r="199" spans="2:17" ht="15" customHeight="1" x14ac:dyDescent="0.25">
      <c r="B199" s="22" t="s">
        <v>401</v>
      </c>
      <c r="C199" s="23" t="s">
        <v>402</v>
      </c>
      <c r="D199" s="10"/>
      <c r="E199" s="26" t="s">
        <v>402</v>
      </c>
      <c r="F199" s="28" t="s">
        <v>1158</v>
      </c>
      <c r="G199" s="28">
        <v>33.47</v>
      </c>
      <c r="H199" s="28">
        <v>0</v>
      </c>
      <c r="I199" s="28">
        <v>0</v>
      </c>
      <c r="J199" s="28">
        <v>1.6</v>
      </c>
      <c r="K199" s="28">
        <v>1.22</v>
      </c>
      <c r="L199" s="25">
        <v>1.0041</v>
      </c>
      <c r="M199" s="25">
        <v>1.5677000000000001</v>
      </c>
      <c r="N199" s="28">
        <v>28.43</v>
      </c>
      <c r="O199" s="28">
        <v>34.4</v>
      </c>
      <c r="P199" s="28">
        <v>1.1772775237425255</v>
      </c>
      <c r="Q199" s="28">
        <v>0.97296511627906979</v>
      </c>
    </row>
    <row r="200" spans="2:17" ht="15" customHeight="1" x14ac:dyDescent="0.25">
      <c r="B200" s="22" t="s">
        <v>403</v>
      </c>
      <c r="C200" s="23" t="s">
        <v>404</v>
      </c>
      <c r="D200" s="10"/>
      <c r="E200" s="26" t="s">
        <v>404</v>
      </c>
      <c r="F200" s="28" t="s">
        <v>1159</v>
      </c>
      <c r="G200" s="28">
        <v>47.51</v>
      </c>
      <c r="H200" s="28">
        <v>15.92</v>
      </c>
      <c r="I200" s="28">
        <v>1.98</v>
      </c>
      <c r="J200" s="28">
        <v>1.72</v>
      </c>
      <c r="K200" s="28">
        <v>4.45</v>
      </c>
      <c r="L200" s="25">
        <v>0.31380000000000002</v>
      </c>
      <c r="M200" s="25">
        <v>0.3896</v>
      </c>
      <c r="N200" s="28">
        <v>41.67</v>
      </c>
      <c r="O200" s="28">
        <v>52.07</v>
      </c>
      <c r="P200" s="28">
        <v>1.1401487880969523</v>
      </c>
      <c r="Q200" s="28">
        <v>0.91242558094872295</v>
      </c>
    </row>
    <row r="201" spans="2:17" ht="15" customHeight="1" x14ac:dyDescent="0.25">
      <c r="B201" s="22" t="s">
        <v>405</v>
      </c>
      <c r="C201" s="23" t="s">
        <v>406</v>
      </c>
      <c r="D201" s="10"/>
      <c r="E201" s="26" t="s">
        <v>406</v>
      </c>
      <c r="F201" s="28" t="s">
        <v>1160</v>
      </c>
      <c r="G201" s="28">
        <v>51.1</v>
      </c>
      <c r="H201" s="28">
        <v>0</v>
      </c>
      <c r="I201" s="28">
        <v>32.42</v>
      </c>
      <c r="J201" s="28">
        <v>0.04</v>
      </c>
      <c r="K201" s="28">
        <v>1.75</v>
      </c>
      <c r="L201" s="25">
        <v>-4.0011999999999999</v>
      </c>
      <c r="M201" s="25">
        <v>1.9715</v>
      </c>
      <c r="N201" s="28">
        <v>32.31</v>
      </c>
      <c r="O201" s="28">
        <v>56.67</v>
      </c>
      <c r="P201" s="28">
        <v>1.581553698545342</v>
      </c>
      <c r="Q201" s="28">
        <v>0.90171166401976355</v>
      </c>
    </row>
    <row r="202" spans="2:17" ht="15" customHeight="1" x14ac:dyDescent="0.25">
      <c r="B202" s="22" t="s">
        <v>407</v>
      </c>
      <c r="C202" s="23" t="s">
        <v>408</v>
      </c>
      <c r="D202" s="10"/>
      <c r="E202" s="26" t="s">
        <v>408</v>
      </c>
      <c r="F202" s="28" t="s">
        <v>1161</v>
      </c>
      <c r="G202" s="28">
        <v>70.13</v>
      </c>
      <c r="H202" s="28">
        <v>22.65</v>
      </c>
      <c r="I202" s="28">
        <v>4.22</v>
      </c>
      <c r="J202" s="28">
        <v>3.0449999999999999</v>
      </c>
      <c r="K202" s="28">
        <v>1.2</v>
      </c>
      <c r="L202" s="25">
        <v>2.1602999999999999</v>
      </c>
      <c r="M202" s="25">
        <v>4.9279000000000002</v>
      </c>
      <c r="N202" s="28">
        <v>59.63</v>
      </c>
      <c r="O202" s="28">
        <v>71.08</v>
      </c>
      <c r="P202" s="28">
        <v>1.1760858628207278</v>
      </c>
      <c r="Q202" s="28">
        <v>0.98663477771525043</v>
      </c>
    </row>
    <row r="203" spans="2:17" ht="15" customHeight="1" x14ac:dyDescent="0.25">
      <c r="B203" s="22" t="s">
        <v>409</v>
      </c>
      <c r="C203" s="23" t="s">
        <v>410</v>
      </c>
      <c r="D203" s="10"/>
      <c r="E203" s="26" t="s">
        <v>410</v>
      </c>
      <c r="F203" s="28" t="s">
        <v>1162</v>
      </c>
      <c r="G203" s="28">
        <v>27.42</v>
      </c>
      <c r="H203" s="28">
        <v>19.559999999999999</v>
      </c>
      <c r="I203" s="28">
        <v>2.6</v>
      </c>
      <c r="J203" s="28">
        <v>0.95</v>
      </c>
      <c r="K203" s="28">
        <v>1.52</v>
      </c>
      <c r="L203" s="25">
        <v>0.73760000000000003</v>
      </c>
      <c r="M203" s="25">
        <v>2.1031</v>
      </c>
      <c r="N203" s="28">
        <v>23.14</v>
      </c>
      <c r="O203" s="28">
        <v>27.61</v>
      </c>
      <c r="P203" s="28">
        <v>1.184961106309421</v>
      </c>
      <c r="Q203" s="28">
        <v>0.99311843534951105</v>
      </c>
    </row>
    <row r="204" spans="2:17" ht="15" customHeight="1" x14ac:dyDescent="0.25">
      <c r="B204" s="22" t="s">
        <v>411</v>
      </c>
      <c r="C204" s="23" t="s">
        <v>412</v>
      </c>
      <c r="D204" s="10"/>
      <c r="E204" s="26" t="s">
        <v>412</v>
      </c>
      <c r="F204" s="28" t="s">
        <v>412</v>
      </c>
      <c r="G204" s="28">
        <v>0</v>
      </c>
      <c r="H204" s="28">
        <v>0</v>
      </c>
      <c r="I204" s="28">
        <v>0</v>
      </c>
      <c r="J204" s="28">
        <v>0</v>
      </c>
      <c r="K204" s="28">
        <v>0</v>
      </c>
      <c r="L204" s="25">
        <v>0</v>
      </c>
      <c r="M204" s="25">
        <v>0</v>
      </c>
      <c r="N204" s="28">
        <v>0</v>
      </c>
      <c r="O204" s="28">
        <v>0</v>
      </c>
      <c r="P204" s="28"/>
      <c r="Q204" s="28"/>
    </row>
    <row r="205" spans="2:17" ht="15" customHeight="1" x14ac:dyDescent="0.25">
      <c r="B205" s="22" t="s">
        <v>413</v>
      </c>
      <c r="C205" s="23" t="s">
        <v>414</v>
      </c>
      <c r="D205" s="10"/>
      <c r="E205" s="26" t="s">
        <v>414</v>
      </c>
      <c r="F205" s="28" t="s">
        <v>1163</v>
      </c>
      <c r="G205" s="28">
        <v>28.55</v>
      </c>
      <c r="H205" s="28">
        <v>15.33</v>
      </c>
      <c r="I205" s="28">
        <v>3.02</v>
      </c>
      <c r="J205" s="28">
        <v>1.07</v>
      </c>
      <c r="K205" s="28">
        <v>1.56</v>
      </c>
      <c r="L205" s="25">
        <v>0.87150000000000005</v>
      </c>
      <c r="M205" s="25">
        <v>1.0257000000000001</v>
      </c>
      <c r="N205" s="28">
        <v>25.84</v>
      </c>
      <c r="O205" s="28">
        <v>29.12</v>
      </c>
      <c r="P205" s="28">
        <v>1.1048761609907123</v>
      </c>
      <c r="Q205" s="28">
        <v>0.98042582417582425</v>
      </c>
    </row>
    <row r="206" spans="2:17" ht="15" customHeight="1" x14ac:dyDescent="0.25">
      <c r="B206" s="22" t="s">
        <v>415</v>
      </c>
      <c r="C206" s="23" t="s">
        <v>416</v>
      </c>
      <c r="D206" s="10"/>
      <c r="E206" s="26" t="s">
        <v>416</v>
      </c>
      <c r="F206" s="28" t="s">
        <v>1164</v>
      </c>
      <c r="G206" s="28">
        <v>78.38</v>
      </c>
      <c r="H206" s="28">
        <v>91.97</v>
      </c>
      <c r="I206" s="28">
        <v>0.81</v>
      </c>
      <c r="J206" s="28">
        <v>0.9</v>
      </c>
      <c r="K206" s="28">
        <v>1.44</v>
      </c>
      <c r="L206" s="25">
        <v>-2.4544000000000001</v>
      </c>
      <c r="M206" s="25">
        <v>2.8694000000000002</v>
      </c>
      <c r="N206" s="28">
        <v>58.54</v>
      </c>
      <c r="O206" s="28">
        <v>93.5</v>
      </c>
      <c r="P206" s="28">
        <v>1.3389135633754699</v>
      </c>
      <c r="Q206" s="28">
        <v>0.83828877005347591</v>
      </c>
    </row>
    <row r="207" spans="2:17" ht="15" customHeight="1" x14ac:dyDescent="0.25">
      <c r="B207" s="22" t="s">
        <v>417</v>
      </c>
      <c r="C207" s="23" t="s">
        <v>418</v>
      </c>
      <c r="D207" s="10"/>
      <c r="E207" s="26" t="s">
        <v>418</v>
      </c>
      <c r="F207" s="28" t="s">
        <v>1409</v>
      </c>
      <c r="G207" s="28">
        <v>40.520000000000003</v>
      </c>
      <c r="H207" s="28">
        <v>15.71</v>
      </c>
      <c r="I207" s="28">
        <v>2.0699999999999998</v>
      </c>
      <c r="J207" s="28">
        <v>1.44</v>
      </c>
      <c r="K207" s="28">
        <v>3.45</v>
      </c>
      <c r="L207" s="25">
        <v>1.8259000000000001</v>
      </c>
      <c r="M207" s="25">
        <v>2.7711999999999999</v>
      </c>
      <c r="N207" s="28">
        <v>32</v>
      </c>
      <c r="O207" s="28">
        <v>37.67</v>
      </c>
      <c r="P207" s="28">
        <v>1.2662500000000001</v>
      </c>
      <c r="Q207" s="28">
        <v>1.0756570215025218</v>
      </c>
    </row>
    <row r="208" spans="2:17" ht="15" customHeight="1" x14ac:dyDescent="0.25">
      <c r="B208" s="22" t="s">
        <v>419</v>
      </c>
      <c r="C208" s="23" t="s">
        <v>420</v>
      </c>
      <c r="D208" s="10"/>
      <c r="E208" s="26" t="s">
        <v>420</v>
      </c>
      <c r="F208" s="28" t="s">
        <v>1165</v>
      </c>
      <c r="G208" s="28">
        <v>91.03</v>
      </c>
      <c r="H208" s="28">
        <v>16.21</v>
      </c>
      <c r="I208" s="28">
        <v>1.25</v>
      </c>
      <c r="J208" s="28">
        <v>1.55</v>
      </c>
      <c r="K208" s="28">
        <v>3.55</v>
      </c>
      <c r="L208" s="25">
        <v>5.3871000000000002</v>
      </c>
      <c r="M208" s="25">
        <v>5.1836000000000002</v>
      </c>
      <c r="N208" s="28">
        <v>65.37</v>
      </c>
      <c r="O208" s="28">
        <v>95.25</v>
      </c>
      <c r="P208" s="28">
        <v>1.3925348018968946</v>
      </c>
      <c r="Q208" s="28">
        <v>0.95569553805774288</v>
      </c>
    </row>
    <row r="209" spans="2:17" ht="15" customHeight="1" x14ac:dyDescent="0.25">
      <c r="B209" s="22" t="s">
        <v>421</v>
      </c>
      <c r="C209" s="23" t="s">
        <v>422</v>
      </c>
      <c r="D209" s="10"/>
      <c r="E209" s="26" t="s">
        <v>422</v>
      </c>
      <c r="F209" s="28" t="s">
        <v>1410</v>
      </c>
      <c r="G209" s="28">
        <v>38.65</v>
      </c>
      <c r="H209" s="28">
        <v>0</v>
      </c>
      <c r="I209" s="28">
        <v>0</v>
      </c>
      <c r="J209" s="28">
        <v>1.1200000000000001</v>
      </c>
      <c r="K209" s="28">
        <v>1.41</v>
      </c>
      <c r="L209" s="25">
        <v>-0.70379999999999998</v>
      </c>
      <c r="M209" s="25">
        <v>2.68</v>
      </c>
      <c r="N209" s="28">
        <v>30.03</v>
      </c>
      <c r="O209" s="28">
        <v>15.46</v>
      </c>
      <c r="P209" s="28">
        <v>1.2870462870462871</v>
      </c>
      <c r="Q209" s="28">
        <v>2.5</v>
      </c>
    </row>
    <row r="210" spans="2:17" ht="15" customHeight="1" x14ac:dyDescent="0.25">
      <c r="B210" s="22" t="s">
        <v>423</v>
      </c>
      <c r="C210" s="23" t="s">
        <v>424</v>
      </c>
      <c r="D210" s="10"/>
      <c r="E210" s="26" t="s">
        <v>424</v>
      </c>
      <c r="F210" s="28" t="s">
        <v>424</v>
      </c>
      <c r="G210" s="28">
        <v>0</v>
      </c>
      <c r="H210" s="28">
        <v>0</v>
      </c>
      <c r="I210" s="28">
        <v>0</v>
      </c>
      <c r="J210" s="28">
        <v>0</v>
      </c>
      <c r="K210" s="28">
        <v>0</v>
      </c>
      <c r="L210" s="25">
        <v>0</v>
      </c>
      <c r="M210" s="25">
        <v>0</v>
      </c>
      <c r="N210" s="28">
        <v>0</v>
      </c>
      <c r="O210" s="28">
        <v>0</v>
      </c>
      <c r="P210" s="28"/>
      <c r="Q210" s="28"/>
    </row>
    <row r="211" spans="2:17" ht="15" customHeight="1" x14ac:dyDescent="0.25">
      <c r="B211" s="22" t="s">
        <v>425</v>
      </c>
      <c r="C211" s="23" t="s">
        <v>426</v>
      </c>
      <c r="D211" s="10"/>
      <c r="E211" s="26" t="s">
        <v>426</v>
      </c>
      <c r="F211" s="28" t="s">
        <v>1166</v>
      </c>
      <c r="G211" s="28">
        <v>23.22</v>
      </c>
      <c r="H211" s="28">
        <v>12.85</v>
      </c>
      <c r="I211" s="28">
        <v>1.87</v>
      </c>
      <c r="J211" s="28">
        <v>2.4700000000000002</v>
      </c>
      <c r="K211" s="28">
        <v>4.58</v>
      </c>
      <c r="L211" s="25">
        <v>-0.18970000000000001</v>
      </c>
      <c r="M211" s="25">
        <v>1.8344</v>
      </c>
      <c r="N211" s="28">
        <v>18.28</v>
      </c>
      <c r="O211" s="28">
        <v>22.82</v>
      </c>
      <c r="P211" s="28">
        <v>1.2702407002188185</v>
      </c>
      <c r="Q211" s="28">
        <v>1.0175284837861525</v>
      </c>
    </row>
    <row r="212" spans="2:17" ht="15" customHeight="1" x14ac:dyDescent="0.25">
      <c r="B212" s="22" t="s">
        <v>427</v>
      </c>
      <c r="C212" s="23" t="s">
        <v>428</v>
      </c>
      <c r="D212" s="10"/>
      <c r="E212" s="26" t="s">
        <v>428</v>
      </c>
      <c r="F212" s="28" t="s">
        <v>428</v>
      </c>
      <c r="G212" s="28">
        <v>0</v>
      </c>
      <c r="H212" s="28">
        <v>0</v>
      </c>
      <c r="I212" s="28">
        <v>0</v>
      </c>
      <c r="J212" s="28">
        <v>0</v>
      </c>
      <c r="K212" s="28">
        <v>0</v>
      </c>
      <c r="L212" s="25">
        <v>0</v>
      </c>
      <c r="M212" s="25">
        <v>0</v>
      </c>
      <c r="N212" s="28">
        <v>0</v>
      </c>
      <c r="O212" s="28">
        <v>0</v>
      </c>
      <c r="P212" s="28"/>
      <c r="Q212" s="28"/>
    </row>
    <row r="213" spans="2:17" ht="15" customHeight="1" x14ac:dyDescent="0.25">
      <c r="B213" s="22" t="s">
        <v>429</v>
      </c>
      <c r="C213" s="23" t="s">
        <v>430</v>
      </c>
      <c r="D213" s="10"/>
      <c r="E213" s="26" t="s">
        <v>430</v>
      </c>
      <c r="F213" s="28" t="s">
        <v>1167</v>
      </c>
      <c r="G213" s="28">
        <v>95.19</v>
      </c>
      <c r="H213" s="28">
        <v>21.32</v>
      </c>
      <c r="I213" s="28">
        <v>1.61</v>
      </c>
      <c r="J213" s="28">
        <v>2.96</v>
      </c>
      <c r="K213" s="28">
        <v>7.36</v>
      </c>
      <c r="L213" s="25">
        <v>6.0094000000000003</v>
      </c>
      <c r="M213" s="25">
        <v>9.3429000000000002</v>
      </c>
      <c r="N213" s="28">
        <v>71.260000000000005</v>
      </c>
      <c r="O213" s="28">
        <v>87.71</v>
      </c>
      <c r="P213" s="28">
        <v>1.3358125175413977</v>
      </c>
      <c r="Q213" s="28">
        <v>1.0852810397902177</v>
      </c>
    </row>
    <row r="214" spans="2:17" ht="15" customHeight="1" x14ac:dyDescent="0.25">
      <c r="B214" s="22" t="s">
        <v>431</v>
      </c>
      <c r="C214" s="23" t="s">
        <v>432</v>
      </c>
      <c r="D214" s="10"/>
      <c r="E214" s="26" t="s">
        <v>432</v>
      </c>
      <c r="F214" s="28" t="s">
        <v>1168</v>
      </c>
      <c r="G214" s="28">
        <v>47.24</v>
      </c>
      <c r="H214" s="28">
        <v>0</v>
      </c>
      <c r="I214" s="28">
        <v>15.28</v>
      </c>
      <c r="J214" s="28">
        <v>1.3129999999999999</v>
      </c>
      <c r="K214" s="28">
        <v>1.5</v>
      </c>
      <c r="L214" s="25">
        <v>0.30380000000000001</v>
      </c>
      <c r="M214" s="25">
        <v>1.5287999999999999</v>
      </c>
      <c r="N214" s="28">
        <v>41.42</v>
      </c>
      <c r="O214" s="28">
        <v>49.93</v>
      </c>
      <c r="P214" s="28">
        <v>1.1405118300338002</v>
      </c>
      <c r="Q214" s="28">
        <v>0.94612457440416597</v>
      </c>
    </row>
    <row r="215" spans="2:17" ht="15" customHeight="1" x14ac:dyDescent="0.25">
      <c r="B215" s="22" t="s">
        <v>433</v>
      </c>
      <c r="C215" s="23" t="s">
        <v>434</v>
      </c>
      <c r="D215" s="10"/>
      <c r="E215" s="26" t="s">
        <v>434</v>
      </c>
      <c r="F215" s="28" t="s">
        <v>1169</v>
      </c>
      <c r="G215" s="28">
        <v>34.29</v>
      </c>
      <c r="H215" s="28">
        <v>22.36</v>
      </c>
      <c r="I215" s="28">
        <v>2.0099999999999998</v>
      </c>
      <c r="J215" s="28">
        <v>0.76</v>
      </c>
      <c r="K215" s="28">
        <v>3.41</v>
      </c>
      <c r="L215" s="25">
        <v>1.0406</v>
      </c>
      <c r="M215" s="25">
        <v>3.9958</v>
      </c>
      <c r="N215" s="28">
        <v>26.06</v>
      </c>
      <c r="O215" s="28">
        <v>32.83</v>
      </c>
      <c r="P215" s="28">
        <v>1.3158096699923256</v>
      </c>
      <c r="Q215" s="28">
        <v>1.0444715199512642</v>
      </c>
    </row>
    <row r="216" spans="2:17" ht="15" customHeight="1" x14ac:dyDescent="0.25">
      <c r="B216" s="22" t="s">
        <v>435</v>
      </c>
      <c r="C216" s="23" t="s">
        <v>436</v>
      </c>
      <c r="D216" s="10"/>
      <c r="E216" s="26" t="s">
        <v>436</v>
      </c>
      <c r="F216" s="28" t="s">
        <v>1170</v>
      </c>
      <c r="G216" s="28">
        <v>19.77</v>
      </c>
      <c r="H216" s="28">
        <v>0</v>
      </c>
      <c r="I216" s="28">
        <v>0</v>
      </c>
      <c r="J216" s="28">
        <v>0.51600000000000001</v>
      </c>
      <c r="K216" s="28">
        <v>1.73</v>
      </c>
      <c r="L216" s="25">
        <v>2.6993999999999998</v>
      </c>
      <c r="M216" s="25">
        <v>3.9628999999999999</v>
      </c>
      <c r="N216" s="28">
        <v>11.35</v>
      </c>
      <c r="O216" s="28">
        <v>17.43</v>
      </c>
      <c r="P216" s="28">
        <v>1.7418502202643174</v>
      </c>
      <c r="Q216" s="28">
        <v>1.1342512908777971</v>
      </c>
    </row>
    <row r="217" spans="2:17" ht="15" customHeight="1" x14ac:dyDescent="0.25">
      <c r="B217" s="22" t="s">
        <v>437</v>
      </c>
      <c r="C217" s="23" t="s">
        <v>438</v>
      </c>
      <c r="D217" s="10"/>
      <c r="E217" s="26" t="s">
        <v>438</v>
      </c>
      <c r="F217" s="28" t="s">
        <v>1171</v>
      </c>
      <c r="G217" s="28">
        <v>47.03</v>
      </c>
      <c r="H217" s="28">
        <v>16.04</v>
      </c>
      <c r="I217" s="28">
        <v>1.23</v>
      </c>
      <c r="J217" s="28">
        <v>0.68</v>
      </c>
      <c r="K217" s="28">
        <v>4.58</v>
      </c>
      <c r="L217" s="25">
        <v>1.1247</v>
      </c>
      <c r="M217" s="25">
        <v>5.3323999999999998</v>
      </c>
      <c r="N217" s="28">
        <v>35.479999999999997</v>
      </c>
      <c r="O217" s="28">
        <v>48.79</v>
      </c>
      <c r="P217" s="28">
        <v>1.3255355129650508</v>
      </c>
      <c r="Q217" s="28">
        <v>0.9639270342283256</v>
      </c>
    </row>
    <row r="218" spans="2:17" ht="15" customHeight="1" x14ac:dyDescent="0.25">
      <c r="B218" s="22" t="s">
        <v>439</v>
      </c>
      <c r="C218" s="23" t="s">
        <v>440</v>
      </c>
      <c r="D218" s="10"/>
      <c r="E218" s="26" t="s">
        <v>440</v>
      </c>
      <c r="F218" s="28" t="s">
        <v>1172</v>
      </c>
      <c r="G218" s="28">
        <v>28.98</v>
      </c>
      <c r="H218" s="28">
        <v>20.239999999999998</v>
      </c>
      <c r="I218" s="28">
        <v>3.46</v>
      </c>
      <c r="J218" s="28">
        <v>1.17</v>
      </c>
      <c r="K218" s="28">
        <v>1.97</v>
      </c>
      <c r="L218" s="25">
        <v>0.58409999999999995</v>
      </c>
      <c r="M218" s="25">
        <v>0.54090000000000005</v>
      </c>
      <c r="N218" s="28">
        <v>26.55</v>
      </c>
      <c r="O218" s="28">
        <v>29.91</v>
      </c>
      <c r="P218" s="28">
        <v>1.0915254237288137</v>
      </c>
      <c r="Q218" s="28">
        <v>0.96890672016048141</v>
      </c>
    </row>
    <row r="219" spans="2:17" ht="15" customHeight="1" x14ac:dyDescent="0.25">
      <c r="B219" s="22" t="s">
        <v>441</v>
      </c>
      <c r="C219" s="23" t="s">
        <v>442</v>
      </c>
      <c r="D219" s="10"/>
      <c r="E219" s="26" t="s">
        <v>442</v>
      </c>
      <c r="F219" s="28" t="s">
        <v>1411</v>
      </c>
      <c r="G219" s="28">
        <v>72.7</v>
      </c>
      <c r="H219" s="28">
        <v>13.29</v>
      </c>
      <c r="I219" s="28">
        <v>1.23</v>
      </c>
      <c r="J219" s="28">
        <v>1.97</v>
      </c>
      <c r="K219" s="28">
        <v>2.2999999999999998</v>
      </c>
      <c r="L219" s="25">
        <v>3.5129000000000001</v>
      </c>
      <c r="M219" s="25">
        <v>6.3315999999999999</v>
      </c>
      <c r="N219" s="28">
        <v>56.05</v>
      </c>
      <c r="O219" s="28">
        <v>75.83</v>
      </c>
      <c r="P219" s="28">
        <v>1.2970561998215879</v>
      </c>
      <c r="Q219" s="28">
        <v>0.95872346037188461</v>
      </c>
    </row>
    <row r="220" spans="2:17" ht="15" customHeight="1" x14ac:dyDescent="0.25">
      <c r="B220" s="22" t="s">
        <v>443</v>
      </c>
      <c r="C220" s="23" t="s">
        <v>444</v>
      </c>
      <c r="D220" s="10"/>
      <c r="E220" s="26" t="s">
        <v>444</v>
      </c>
      <c r="F220" s="28" t="s">
        <v>444</v>
      </c>
      <c r="G220" s="28">
        <v>0</v>
      </c>
      <c r="H220" s="28">
        <v>0</v>
      </c>
      <c r="I220" s="28">
        <v>0</v>
      </c>
      <c r="J220" s="28">
        <v>0</v>
      </c>
      <c r="K220" s="28">
        <v>0</v>
      </c>
      <c r="L220" s="25">
        <v>0</v>
      </c>
      <c r="M220" s="25">
        <v>0</v>
      </c>
      <c r="N220" s="28">
        <v>0</v>
      </c>
      <c r="O220" s="28">
        <v>0</v>
      </c>
      <c r="P220" s="28"/>
      <c r="Q220" s="28"/>
    </row>
    <row r="221" spans="2:17" ht="15" customHeight="1" x14ac:dyDescent="0.25">
      <c r="B221" s="22" t="s">
        <v>445</v>
      </c>
      <c r="C221" s="23" t="s">
        <v>446</v>
      </c>
      <c r="D221" s="10"/>
      <c r="E221" s="26" t="s">
        <v>446</v>
      </c>
      <c r="F221" s="28" t="s">
        <v>1173</v>
      </c>
      <c r="G221" s="28">
        <v>63.12</v>
      </c>
      <c r="H221" s="28">
        <v>14.2</v>
      </c>
      <c r="I221" s="28">
        <v>1.25</v>
      </c>
      <c r="J221" s="28">
        <v>1.38</v>
      </c>
      <c r="K221" s="28">
        <v>2.56</v>
      </c>
      <c r="L221" s="25">
        <v>1.2821</v>
      </c>
      <c r="M221" s="25">
        <v>0.60060000000000002</v>
      </c>
      <c r="N221" s="28">
        <v>54.68</v>
      </c>
      <c r="O221" s="28">
        <v>70.22</v>
      </c>
      <c r="P221" s="28">
        <v>1.1543525969275787</v>
      </c>
      <c r="Q221" s="28">
        <v>0.89888920535459982</v>
      </c>
    </row>
    <row r="222" spans="2:17" ht="15" customHeight="1" x14ac:dyDescent="0.25">
      <c r="B222" s="22" t="s">
        <v>447</v>
      </c>
      <c r="C222" s="23" t="s">
        <v>448</v>
      </c>
      <c r="D222" s="10"/>
      <c r="E222" s="26" t="s">
        <v>448</v>
      </c>
      <c r="F222" s="28" t="s">
        <v>1174</v>
      </c>
      <c r="G222" s="28">
        <v>72.8</v>
      </c>
      <c r="H222" s="28">
        <v>23.18</v>
      </c>
      <c r="I222" s="28">
        <v>2.73</v>
      </c>
      <c r="J222" s="28">
        <v>1.3</v>
      </c>
      <c r="K222" s="28">
        <v>4.6500000000000004</v>
      </c>
      <c r="L222" s="25">
        <v>1.4481999999999999</v>
      </c>
      <c r="M222" s="25">
        <v>7.7102000000000004</v>
      </c>
      <c r="N222" s="28">
        <v>53.03</v>
      </c>
      <c r="O222" s="28">
        <v>76.400000000000006</v>
      </c>
      <c r="P222" s="28">
        <v>1.372807844616255</v>
      </c>
      <c r="Q222" s="28">
        <v>0.95287958115183247</v>
      </c>
    </row>
    <row r="223" spans="2:17" ht="15" customHeight="1" x14ac:dyDescent="0.25">
      <c r="B223" s="22" t="s">
        <v>449</v>
      </c>
      <c r="C223" s="23" t="s">
        <v>450</v>
      </c>
      <c r="D223" s="10"/>
      <c r="E223" s="26" t="s">
        <v>450</v>
      </c>
      <c r="F223" s="28" t="s">
        <v>1412</v>
      </c>
      <c r="G223" s="28">
        <v>173.31</v>
      </c>
      <c r="H223" s="28">
        <v>22.37</v>
      </c>
      <c r="I223" s="28">
        <v>1.61</v>
      </c>
      <c r="J223" s="28">
        <v>1.4</v>
      </c>
      <c r="K223" s="28">
        <v>4.09</v>
      </c>
      <c r="L223" s="25">
        <v>3.472</v>
      </c>
      <c r="M223" s="25">
        <v>13.986000000000001</v>
      </c>
      <c r="N223" s="28">
        <v>134.29</v>
      </c>
      <c r="O223" s="28">
        <v>190.08</v>
      </c>
      <c r="P223" s="28">
        <v>1.2905651947278278</v>
      </c>
      <c r="Q223" s="28">
        <v>0.91177398989898994</v>
      </c>
    </row>
    <row r="224" spans="2:17" ht="15" customHeight="1" x14ac:dyDescent="0.25">
      <c r="B224" s="22" t="s">
        <v>451</v>
      </c>
      <c r="C224" s="23" t="s">
        <v>452</v>
      </c>
      <c r="D224" s="10"/>
      <c r="E224" s="26" t="s">
        <v>452</v>
      </c>
      <c r="F224" s="28" t="s">
        <v>1175</v>
      </c>
      <c r="G224" s="28">
        <v>110.28</v>
      </c>
      <c r="H224" s="28">
        <v>19.04</v>
      </c>
      <c r="I224" s="28">
        <v>1.36</v>
      </c>
      <c r="J224" s="28">
        <v>0.94</v>
      </c>
      <c r="K224" s="28">
        <v>2.35</v>
      </c>
      <c r="L224" s="25">
        <v>0.94399999999999995</v>
      </c>
      <c r="M224" s="25">
        <v>11.776300000000001</v>
      </c>
      <c r="N224" s="28">
        <v>76.83</v>
      </c>
      <c r="O224" s="28">
        <v>128.74</v>
      </c>
      <c r="P224" s="28">
        <v>1.4353768059351815</v>
      </c>
      <c r="Q224" s="28">
        <v>0.85661022215317706</v>
      </c>
    </row>
    <row r="225" spans="2:17" ht="15" customHeight="1" x14ac:dyDescent="0.25">
      <c r="B225" s="22" t="s">
        <v>453</v>
      </c>
      <c r="C225" s="23" t="s">
        <v>454</v>
      </c>
      <c r="D225" s="10"/>
      <c r="E225" s="26" t="s">
        <v>454</v>
      </c>
      <c r="F225" s="28" t="s">
        <v>1413</v>
      </c>
      <c r="G225" s="28">
        <v>46.28</v>
      </c>
      <c r="H225" s="28">
        <v>16.98</v>
      </c>
      <c r="I225" s="28">
        <v>2.17</v>
      </c>
      <c r="J225" s="28">
        <v>1.2949999999999999</v>
      </c>
      <c r="K225" s="28">
        <v>4.26</v>
      </c>
      <c r="L225" s="25">
        <v>3.5367999999999999</v>
      </c>
      <c r="M225" s="25">
        <v>5.5833000000000004</v>
      </c>
      <c r="N225" s="28">
        <v>36.75</v>
      </c>
      <c r="O225" s="28">
        <v>44.63</v>
      </c>
      <c r="P225" s="28">
        <v>1.2593197278911563</v>
      </c>
      <c r="Q225" s="28">
        <v>1.0369706475464933</v>
      </c>
    </row>
    <row r="226" spans="2:17" ht="15" customHeight="1" x14ac:dyDescent="0.25">
      <c r="B226" s="22" t="s">
        <v>455</v>
      </c>
      <c r="C226" s="23" t="s">
        <v>456</v>
      </c>
      <c r="D226" s="10"/>
      <c r="E226" s="26" t="s">
        <v>456</v>
      </c>
      <c r="F226" s="28" t="s">
        <v>1176</v>
      </c>
      <c r="G226" s="28">
        <v>45.22</v>
      </c>
      <c r="H226" s="28">
        <v>14.97</v>
      </c>
      <c r="I226" s="28">
        <v>1.51</v>
      </c>
      <c r="J226" s="28">
        <v>0.6</v>
      </c>
      <c r="K226" s="28">
        <v>1.1499999999999999</v>
      </c>
      <c r="L226" s="25">
        <v>0.4173</v>
      </c>
      <c r="M226" s="25">
        <v>1.0245</v>
      </c>
      <c r="N226" s="28">
        <v>37.08</v>
      </c>
      <c r="O226" s="28">
        <v>49.75</v>
      </c>
      <c r="P226" s="28">
        <v>1.2195253505933117</v>
      </c>
      <c r="Q226" s="28">
        <v>0.90894472361809053</v>
      </c>
    </row>
    <row r="227" spans="2:17" ht="15" customHeight="1" x14ac:dyDescent="0.25">
      <c r="B227" s="22" t="s">
        <v>457</v>
      </c>
      <c r="C227" s="23" t="s">
        <v>458</v>
      </c>
      <c r="D227" s="10"/>
      <c r="E227" s="26" t="s">
        <v>458</v>
      </c>
      <c r="F227" s="28" t="s">
        <v>1414</v>
      </c>
      <c r="G227" s="28">
        <v>13.25</v>
      </c>
      <c r="H227" s="28">
        <v>0</v>
      </c>
      <c r="I227" s="28">
        <v>2.38</v>
      </c>
      <c r="J227" s="28">
        <v>0.44</v>
      </c>
      <c r="K227" s="28">
        <v>1.44</v>
      </c>
      <c r="L227" s="25">
        <v>0.19259999999999999</v>
      </c>
      <c r="M227" s="25">
        <v>1.3129999999999999</v>
      </c>
      <c r="N227" s="28">
        <v>10.57</v>
      </c>
      <c r="O227" s="28">
        <v>14.06</v>
      </c>
      <c r="P227" s="28">
        <v>1.2535477767265848</v>
      </c>
      <c r="Q227" s="28">
        <v>0.94238975817923187</v>
      </c>
    </row>
    <row r="228" spans="2:17" ht="15" customHeight="1" x14ac:dyDescent="0.25">
      <c r="B228" s="22" t="s">
        <v>459</v>
      </c>
      <c r="C228" s="23" t="s">
        <v>460</v>
      </c>
      <c r="D228" s="10"/>
      <c r="E228" s="26" t="s">
        <v>460</v>
      </c>
      <c r="F228" s="28" t="s">
        <v>1177</v>
      </c>
      <c r="G228" s="28">
        <v>40.619999999999997</v>
      </c>
      <c r="H228" s="28">
        <v>17.3</v>
      </c>
      <c r="I228" s="28">
        <v>2.78</v>
      </c>
      <c r="J228" s="28">
        <v>1.45</v>
      </c>
      <c r="K228" s="28">
        <v>10.98</v>
      </c>
      <c r="L228" s="25">
        <v>3.1924000000000001</v>
      </c>
      <c r="M228" s="25">
        <v>4.7085999999999997</v>
      </c>
      <c r="N228" s="28">
        <v>31.32</v>
      </c>
      <c r="O228" s="28">
        <v>38.64</v>
      </c>
      <c r="P228" s="28">
        <v>1.2969348659003832</v>
      </c>
      <c r="Q228" s="28">
        <v>1.0512422360248448</v>
      </c>
    </row>
    <row r="229" spans="2:17" ht="15" customHeight="1" x14ac:dyDescent="0.25">
      <c r="B229" s="22" t="s">
        <v>461</v>
      </c>
      <c r="C229" s="23" t="s">
        <v>462</v>
      </c>
      <c r="D229" s="10"/>
      <c r="E229" s="26" t="s">
        <v>462</v>
      </c>
      <c r="F229" s="28" t="s">
        <v>1178</v>
      </c>
      <c r="G229" s="28">
        <v>45.07</v>
      </c>
      <c r="H229" s="28">
        <v>16.57</v>
      </c>
      <c r="I229" s="28">
        <v>3.34</v>
      </c>
      <c r="J229" s="28">
        <v>1.96</v>
      </c>
      <c r="K229" s="28">
        <v>2.1</v>
      </c>
      <c r="L229" s="25">
        <v>1.1029</v>
      </c>
      <c r="M229" s="25">
        <v>0.55789999999999995</v>
      </c>
      <c r="N229" s="28">
        <v>41.75</v>
      </c>
      <c r="O229" s="28">
        <v>45.58</v>
      </c>
      <c r="P229" s="28">
        <v>1.0795209580838323</v>
      </c>
      <c r="Q229" s="28">
        <v>0.98881088196577449</v>
      </c>
    </row>
    <row r="230" spans="2:17" ht="15" customHeight="1" x14ac:dyDescent="0.25">
      <c r="B230" s="22" t="s">
        <v>463</v>
      </c>
      <c r="C230" s="23" t="s">
        <v>464</v>
      </c>
      <c r="D230" s="10"/>
      <c r="E230" s="26" t="s">
        <v>464</v>
      </c>
      <c r="F230" s="28" t="s">
        <v>1179</v>
      </c>
      <c r="G230" s="28">
        <v>27.81</v>
      </c>
      <c r="H230" s="28">
        <v>15.04</v>
      </c>
      <c r="I230" s="28">
        <v>1.1499999999999999</v>
      </c>
      <c r="J230" s="28">
        <v>0.86</v>
      </c>
      <c r="K230" s="28">
        <v>3.16</v>
      </c>
      <c r="L230" s="25">
        <v>0.28939999999999999</v>
      </c>
      <c r="M230" s="25">
        <v>-0.69059999999999999</v>
      </c>
      <c r="N230" s="28">
        <v>26.26</v>
      </c>
      <c r="O230" s="28">
        <v>33.11</v>
      </c>
      <c r="P230" s="28">
        <v>1.0590251332825591</v>
      </c>
      <c r="Q230" s="28">
        <v>0.83992751434611901</v>
      </c>
    </row>
    <row r="231" spans="2:17" ht="15" customHeight="1" x14ac:dyDescent="0.25">
      <c r="B231" s="22" t="s">
        <v>465</v>
      </c>
      <c r="C231" s="23" t="s">
        <v>466</v>
      </c>
      <c r="D231" s="10"/>
      <c r="E231" s="26" t="s">
        <v>466</v>
      </c>
      <c r="F231" s="28" t="s">
        <v>1180</v>
      </c>
      <c r="G231" s="28">
        <v>46.66</v>
      </c>
      <c r="H231" s="28">
        <v>14.53</v>
      </c>
      <c r="I231" s="28">
        <v>3.3</v>
      </c>
      <c r="J231" s="28">
        <v>1.88</v>
      </c>
      <c r="K231" s="28">
        <v>1.47</v>
      </c>
      <c r="L231" s="25">
        <v>2.0306000000000002</v>
      </c>
      <c r="M231" s="25">
        <v>3.0567000000000002</v>
      </c>
      <c r="N231" s="28">
        <v>36.97</v>
      </c>
      <c r="O231" s="28">
        <v>47.25</v>
      </c>
      <c r="P231" s="28">
        <v>1.2621044089802542</v>
      </c>
      <c r="Q231" s="28">
        <v>0.98751322751322756</v>
      </c>
    </row>
    <row r="232" spans="2:17" ht="15" customHeight="1" x14ac:dyDescent="0.25">
      <c r="B232" s="22" t="s">
        <v>467</v>
      </c>
      <c r="C232" s="23" t="s">
        <v>468</v>
      </c>
      <c r="D232" s="10"/>
      <c r="E232" s="26" t="s">
        <v>468</v>
      </c>
      <c r="F232" s="28" t="s">
        <v>1181</v>
      </c>
      <c r="G232" s="28">
        <v>40.72</v>
      </c>
      <c r="H232" s="28">
        <v>19.170000000000002</v>
      </c>
      <c r="I232" s="28">
        <v>1.5</v>
      </c>
      <c r="J232" s="28">
        <v>1.08</v>
      </c>
      <c r="K232" s="28">
        <v>2.5499999999999998</v>
      </c>
      <c r="L232" s="25">
        <v>2.7896999999999998</v>
      </c>
      <c r="M232" s="25">
        <v>6.9687000000000001</v>
      </c>
      <c r="N232" s="28">
        <v>26.18</v>
      </c>
      <c r="O232" s="28">
        <v>40</v>
      </c>
      <c r="P232" s="28">
        <v>1.5553857906799085</v>
      </c>
      <c r="Q232" s="28">
        <v>1.018</v>
      </c>
    </row>
    <row r="233" spans="2:17" ht="15" customHeight="1" x14ac:dyDescent="0.25">
      <c r="B233" s="22" t="s">
        <v>469</v>
      </c>
      <c r="C233" s="23" t="s">
        <v>470</v>
      </c>
      <c r="D233" s="10"/>
      <c r="E233" s="26" t="s">
        <v>470</v>
      </c>
      <c r="F233" s="28" t="s">
        <v>1182</v>
      </c>
      <c r="G233" s="28">
        <v>74.38</v>
      </c>
      <c r="H233" s="28">
        <v>14.95</v>
      </c>
      <c r="I233" s="28">
        <v>1.21</v>
      </c>
      <c r="J233" s="28">
        <v>0.68</v>
      </c>
      <c r="K233" s="28">
        <v>0.92</v>
      </c>
      <c r="L233" s="25">
        <v>-6.6874000000000002</v>
      </c>
      <c r="M233" s="25">
        <v>-8.2065999999999999</v>
      </c>
      <c r="N233" s="28">
        <v>72.62</v>
      </c>
      <c r="O233" s="28">
        <v>101.33</v>
      </c>
      <c r="P233" s="28">
        <v>1.0242357477278987</v>
      </c>
      <c r="Q233" s="28">
        <v>0.7340373038586796</v>
      </c>
    </row>
    <row r="234" spans="2:17" ht="15" customHeight="1" x14ac:dyDescent="0.25">
      <c r="B234" s="22" t="s">
        <v>471</v>
      </c>
      <c r="C234" s="23" t="s">
        <v>472</v>
      </c>
      <c r="D234" s="10"/>
      <c r="E234" s="26" t="s">
        <v>472</v>
      </c>
      <c r="F234" s="28" t="s">
        <v>1415</v>
      </c>
      <c r="G234" s="28">
        <v>56.33</v>
      </c>
      <c r="H234" s="28">
        <v>0</v>
      </c>
      <c r="I234" s="28">
        <v>0</v>
      </c>
      <c r="J234" s="28">
        <v>0.01</v>
      </c>
      <c r="K234" s="28">
        <v>0</v>
      </c>
      <c r="L234" s="25">
        <v>0.59850000000000003</v>
      </c>
      <c r="M234" s="25">
        <v>-0.27929999999999999</v>
      </c>
      <c r="N234" s="28">
        <v>49.935000000000002</v>
      </c>
      <c r="O234" s="28">
        <v>0</v>
      </c>
      <c r="P234" s="28">
        <v>1.1280664864323622</v>
      </c>
      <c r="Q234" s="28"/>
    </row>
    <row r="235" spans="2:17" ht="15" customHeight="1" x14ac:dyDescent="0.25">
      <c r="B235" s="22" t="s">
        <v>473</v>
      </c>
      <c r="C235" s="23" t="s">
        <v>474</v>
      </c>
      <c r="D235" s="10"/>
      <c r="E235" s="26" t="s">
        <v>474</v>
      </c>
      <c r="F235" s="28" t="s">
        <v>1183</v>
      </c>
      <c r="G235" s="28">
        <v>202.33</v>
      </c>
      <c r="H235" s="28">
        <v>13.86</v>
      </c>
      <c r="I235" s="28">
        <v>1.2</v>
      </c>
      <c r="J235" s="28">
        <v>3.4</v>
      </c>
      <c r="K235" s="28">
        <v>11.83</v>
      </c>
      <c r="L235" s="25">
        <v>2.794</v>
      </c>
      <c r="M235" s="25">
        <v>4.6109999999999998</v>
      </c>
      <c r="N235" s="28">
        <v>181.85</v>
      </c>
      <c r="O235" s="28">
        <v>225.55</v>
      </c>
      <c r="P235" s="28">
        <v>1.1126202914489967</v>
      </c>
      <c r="Q235" s="28">
        <v>0.89705165151851041</v>
      </c>
    </row>
    <row r="236" spans="2:17" ht="15" customHeight="1" x14ac:dyDescent="0.25">
      <c r="B236" s="22" t="s">
        <v>475</v>
      </c>
      <c r="C236" s="23" t="s">
        <v>476</v>
      </c>
      <c r="D236" s="10"/>
      <c r="E236" s="26" t="s">
        <v>476</v>
      </c>
      <c r="F236" s="28" t="s">
        <v>1184</v>
      </c>
      <c r="G236" s="28">
        <v>68.55</v>
      </c>
      <c r="H236" s="28">
        <v>0</v>
      </c>
      <c r="I236" s="28">
        <v>1.39</v>
      </c>
      <c r="J236" s="28">
        <v>2.04</v>
      </c>
      <c r="K236" s="28">
        <v>2.06</v>
      </c>
      <c r="L236" s="25">
        <v>0.3044</v>
      </c>
      <c r="M236" s="25">
        <v>1.4399</v>
      </c>
      <c r="N236" s="28">
        <v>61.09</v>
      </c>
      <c r="O236" s="28">
        <v>74.930000000000007</v>
      </c>
      <c r="P236" s="28">
        <v>1.1221149124242922</v>
      </c>
      <c r="Q236" s="28">
        <v>0.91485386360603227</v>
      </c>
    </row>
    <row r="237" spans="2:17" ht="15" customHeight="1" x14ac:dyDescent="0.25">
      <c r="B237" s="22" t="s">
        <v>477</v>
      </c>
      <c r="C237" s="23" t="s">
        <v>478</v>
      </c>
      <c r="D237" s="10"/>
      <c r="E237" s="26" t="s">
        <v>478</v>
      </c>
      <c r="F237" s="28" t="s">
        <v>1185</v>
      </c>
      <c r="G237" s="28">
        <v>32.14</v>
      </c>
      <c r="H237" s="28">
        <v>17.52</v>
      </c>
      <c r="I237" s="28">
        <v>2.21</v>
      </c>
      <c r="J237" s="28">
        <v>1.0900000000000001</v>
      </c>
      <c r="K237" s="28">
        <v>3.81</v>
      </c>
      <c r="L237" s="25">
        <v>0.4647</v>
      </c>
      <c r="M237" s="25">
        <v>0.95340000000000003</v>
      </c>
      <c r="N237" s="28">
        <v>27.05</v>
      </c>
      <c r="O237" s="28">
        <v>30.44</v>
      </c>
      <c r="P237" s="28">
        <v>1.1881700554528651</v>
      </c>
      <c r="Q237" s="28">
        <v>1.0558475689881734</v>
      </c>
    </row>
    <row r="238" spans="2:17" ht="15" customHeight="1" x14ac:dyDescent="0.25">
      <c r="B238" s="22" t="s">
        <v>479</v>
      </c>
      <c r="C238" s="23" t="s">
        <v>480</v>
      </c>
      <c r="D238" s="10"/>
      <c r="E238" s="26" t="s">
        <v>480</v>
      </c>
      <c r="F238" s="28" t="s">
        <v>1416</v>
      </c>
      <c r="G238" s="28">
        <v>47.82</v>
      </c>
      <c r="H238" s="28">
        <v>12.83</v>
      </c>
      <c r="I238" s="28">
        <v>0.93</v>
      </c>
      <c r="J238" s="28">
        <v>1.125</v>
      </c>
      <c r="K238" s="28">
        <v>6.27</v>
      </c>
      <c r="L238" s="25">
        <v>-4.2656000000000001</v>
      </c>
      <c r="M238" s="25">
        <v>-7.7995000000000001</v>
      </c>
      <c r="N238" s="28">
        <v>45.87</v>
      </c>
      <c r="O238" s="28">
        <v>61.06</v>
      </c>
      <c r="P238" s="28">
        <v>1.0425114453891433</v>
      </c>
      <c r="Q238" s="28">
        <v>0.78316410088437616</v>
      </c>
    </row>
    <row r="239" spans="2:17" ht="15" customHeight="1" x14ac:dyDescent="0.25">
      <c r="B239" s="22" t="s">
        <v>481</v>
      </c>
      <c r="C239" s="23" t="s">
        <v>482</v>
      </c>
      <c r="D239" s="10"/>
      <c r="E239" s="26" t="s">
        <v>482</v>
      </c>
      <c r="F239" s="28" t="s">
        <v>1186</v>
      </c>
      <c r="G239" s="28">
        <v>54.73</v>
      </c>
      <c r="H239" s="28">
        <v>13.18</v>
      </c>
      <c r="I239" s="28">
        <v>1.65</v>
      </c>
      <c r="J239" s="28">
        <v>1.55</v>
      </c>
      <c r="K239" s="28">
        <v>2.67</v>
      </c>
      <c r="L239" s="25">
        <v>0.86850000000000005</v>
      </c>
      <c r="M239" s="25">
        <v>5.0891000000000002</v>
      </c>
      <c r="N239" s="28">
        <v>43.21</v>
      </c>
      <c r="O239" s="28">
        <v>59.71</v>
      </c>
      <c r="P239" s="28">
        <v>1.2666049525572785</v>
      </c>
      <c r="Q239" s="28">
        <v>0.91659688494389557</v>
      </c>
    </row>
    <row r="240" spans="2:17" ht="15" customHeight="1" x14ac:dyDescent="0.25">
      <c r="B240" s="22" t="s">
        <v>483</v>
      </c>
      <c r="C240" s="23" t="s">
        <v>484</v>
      </c>
      <c r="D240" s="10"/>
      <c r="E240" s="26" t="s">
        <v>484</v>
      </c>
      <c r="F240" s="28" t="s">
        <v>1417</v>
      </c>
      <c r="G240" s="28">
        <v>38.299999999999997</v>
      </c>
      <c r="H240" s="28">
        <v>23.16</v>
      </c>
      <c r="I240" s="28">
        <v>0</v>
      </c>
      <c r="J240" s="28">
        <v>0</v>
      </c>
      <c r="K240" s="28">
        <v>4.79</v>
      </c>
      <c r="L240" s="25">
        <v>0.84619999999999995</v>
      </c>
      <c r="M240" s="25">
        <v>6.2690999999999999</v>
      </c>
      <c r="N240" s="28">
        <v>13</v>
      </c>
      <c r="O240" s="28">
        <v>23.14</v>
      </c>
      <c r="P240" s="28">
        <v>2.9461538461538463</v>
      </c>
      <c r="Q240" s="28">
        <v>1.6551426101987898</v>
      </c>
    </row>
    <row r="241" spans="2:17" ht="15" customHeight="1" x14ac:dyDescent="0.25">
      <c r="B241" s="22" t="s">
        <v>485</v>
      </c>
      <c r="C241" s="23" t="s">
        <v>486</v>
      </c>
      <c r="D241" s="10"/>
      <c r="E241" s="26" t="s">
        <v>486</v>
      </c>
      <c r="F241" s="28" t="s">
        <v>1187</v>
      </c>
      <c r="G241" s="28">
        <v>32.67</v>
      </c>
      <c r="H241" s="28">
        <v>12.81</v>
      </c>
      <c r="I241" s="28">
        <v>0</v>
      </c>
      <c r="J241" s="28">
        <v>1.42</v>
      </c>
      <c r="K241" s="28">
        <v>1.51</v>
      </c>
      <c r="L241" s="25">
        <v>1.7188000000000001</v>
      </c>
      <c r="M241" s="25">
        <v>1.5141</v>
      </c>
      <c r="N241" s="28">
        <v>28.92</v>
      </c>
      <c r="O241" s="28">
        <v>31.25</v>
      </c>
      <c r="P241" s="28">
        <v>1.1296680497925313</v>
      </c>
      <c r="Q241" s="28">
        <v>1.0454399999999999</v>
      </c>
    </row>
    <row r="242" spans="2:17" ht="15" customHeight="1" x14ac:dyDescent="0.25">
      <c r="B242" s="22" t="s">
        <v>487</v>
      </c>
      <c r="C242" s="23" t="s">
        <v>488</v>
      </c>
      <c r="D242" s="10"/>
      <c r="E242" s="26" t="s">
        <v>488</v>
      </c>
      <c r="F242" s="28" t="s">
        <v>488</v>
      </c>
      <c r="G242" s="28">
        <v>0</v>
      </c>
      <c r="H242" s="28">
        <v>0</v>
      </c>
      <c r="I242" s="28">
        <v>0</v>
      </c>
      <c r="J242" s="28">
        <v>0</v>
      </c>
      <c r="K242" s="28">
        <v>0</v>
      </c>
      <c r="L242" s="25">
        <v>0</v>
      </c>
      <c r="M242" s="25">
        <v>0</v>
      </c>
      <c r="N242" s="28">
        <v>0</v>
      </c>
      <c r="O242" s="28">
        <v>0</v>
      </c>
      <c r="P242" s="28"/>
      <c r="Q242" s="28"/>
    </row>
    <row r="243" spans="2:17" ht="15" customHeight="1" x14ac:dyDescent="0.25">
      <c r="B243" s="22" t="s">
        <v>489</v>
      </c>
      <c r="C243" s="23" t="s">
        <v>490</v>
      </c>
      <c r="D243" s="10"/>
      <c r="E243" s="26" t="s">
        <v>490</v>
      </c>
      <c r="F243" s="28" t="s">
        <v>1188</v>
      </c>
      <c r="G243" s="28">
        <v>84.37</v>
      </c>
      <c r="H243" s="28">
        <v>19.600000000000001</v>
      </c>
      <c r="I243" s="28">
        <v>2.41</v>
      </c>
      <c r="J243" s="28">
        <v>2.52</v>
      </c>
      <c r="K243" s="28">
        <v>195.37</v>
      </c>
      <c r="L243" s="25">
        <v>4.9814999999999996</v>
      </c>
      <c r="M243" s="25">
        <v>9.4209999999999994</v>
      </c>
      <c r="N243" s="28">
        <v>66.72</v>
      </c>
      <c r="O243" s="28">
        <v>80</v>
      </c>
      <c r="P243" s="28">
        <v>1.2645383693045564</v>
      </c>
      <c r="Q243" s="28">
        <v>1.0546249999999999</v>
      </c>
    </row>
    <row r="244" spans="2:17" ht="15" customHeight="1" x14ac:dyDescent="0.25">
      <c r="B244" s="22" t="s">
        <v>491</v>
      </c>
      <c r="C244" s="23" t="s">
        <v>492</v>
      </c>
      <c r="D244" s="10"/>
      <c r="E244" s="26" t="s">
        <v>492</v>
      </c>
      <c r="F244" s="28" t="s">
        <v>1189</v>
      </c>
      <c r="G244" s="28">
        <v>35.340000000000003</v>
      </c>
      <c r="H244" s="28">
        <v>15.54</v>
      </c>
      <c r="I244" s="28">
        <v>1.34</v>
      </c>
      <c r="J244" s="28">
        <v>0.64</v>
      </c>
      <c r="K244" s="28">
        <v>3.66</v>
      </c>
      <c r="L244" s="25">
        <v>0.51880000000000004</v>
      </c>
      <c r="M244" s="25">
        <v>3.3860000000000001</v>
      </c>
      <c r="N244" s="28">
        <v>26.05</v>
      </c>
      <c r="O244" s="28">
        <v>37.68</v>
      </c>
      <c r="P244" s="28">
        <v>1.3566218809980806</v>
      </c>
      <c r="Q244" s="28">
        <v>0.93789808917197448</v>
      </c>
    </row>
    <row r="245" spans="2:17" ht="15" customHeight="1" x14ac:dyDescent="0.25">
      <c r="B245" s="22" t="s">
        <v>493</v>
      </c>
      <c r="C245" s="23" t="s">
        <v>494</v>
      </c>
      <c r="D245" s="10"/>
      <c r="E245" s="26" t="s">
        <v>494</v>
      </c>
      <c r="F245" s="28" t="s">
        <v>1190</v>
      </c>
      <c r="G245" s="28">
        <v>11.79</v>
      </c>
      <c r="H245" s="28">
        <v>35.64</v>
      </c>
      <c r="I245" s="28">
        <v>4.3600000000000003</v>
      </c>
      <c r="J245" s="28">
        <v>0</v>
      </c>
      <c r="K245" s="28">
        <v>2.38</v>
      </c>
      <c r="L245" s="25">
        <v>0.33710000000000001</v>
      </c>
      <c r="M245" s="25">
        <v>1.6575</v>
      </c>
      <c r="N245" s="28">
        <v>7.97</v>
      </c>
      <c r="O245" s="28">
        <v>12.6</v>
      </c>
      <c r="P245" s="28">
        <v>1.479297365119197</v>
      </c>
      <c r="Q245" s="28">
        <v>0.93571428571428583</v>
      </c>
    </row>
    <row r="246" spans="2:17" ht="15" customHeight="1" x14ac:dyDescent="0.25">
      <c r="B246" s="22" t="s">
        <v>495</v>
      </c>
      <c r="C246" s="23" t="s">
        <v>496</v>
      </c>
      <c r="D246" s="10"/>
      <c r="E246" s="26" t="s">
        <v>496</v>
      </c>
      <c r="F246" s="28" t="s">
        <v>1191</v>
      </c>
      <c r="G246" s="28">
        <v>90.57</v>
      </c>
      <c r="H246" s="28">
        <v>15.76</v>
      </c>
      <c r="I246" s="28">
        <v>1.07</v>
      </c>
      <c r="J246" s="28">
        <v>2.085</v>
      </c>
      <c r="K246" s="28">
        <v>3.16</v>
      </c>
      <c r="L246" s="25">
        <v>1.9615</v>
      </c>
      <c r="M246" s="25">
        <v>8.8811999999999998</v>
      </c>
      <c r="N246" s="28">
        <v>70.709999999999994</v>
      </c>
      <c r="O246" s="28">
        <v>96.47</v>
      </c>
      <c r="P246" s="28">
        <v>1.2808655070004242</v>
      </c>
      <c r="Q246" s="28">
        <v>0.9388410904944543</v>
      </c>
    </row>
    <row r="247" spans="2:17" ht="15" customHeight="1" x14ac:dyDescent="0.25">
      <c r="B247" s="22" t="s">
        <v>497</v>
      </c>
      <c r="C247" s="23" t="s">
        <v>498</v>
      </c>
      <c r="D247" s="10"/>
      <c r="E247" s="26" t="s">
        <v>498</v>
      </c>
      <c r="F247" s="28" t="s">
        <v>498</v>
      </c>
      <c r="G247" s="28">
        <v>0</v>
      </c>
      <c r="H247" s="28">
        <v>0</v>
      </c>
      <c r="I247" s="28">
        <v>0</v>
      </c>
      <c r="J247" s="28">
        <v>0</v>
      </c>
      <c r="K247" s="28">
        <v>0</v>
      </c>
      <c r="L247" s="25">
        <v>0</v>
      </c>
      <c r="M247" s="25">
        <v>0</v>
      </c>
      <c r="N247" s="28">
        <v>0</v>
      </c>
      <c r="O247" s="28">
        <v>0</v>
      </c>
      <c r="P247" s="28"/>
      <c r="Q247" s="28"/>
    </row>
    <row r="248" spans="2:17" ht="15" customHeight="1" x14ac:dyDescent="0.25">
      <c r="B248" s="22" t="s">
        <v>499</v>
      </c>
      <c r="C248" s="23" t="s">
        <v>500</v>
      </c>
      <c r="D248" s="10"/>
      <c r="E248" s="26" t="s">
        <v>500</v>
      </c>
      <c r="F248" s="28" t="s">
        <v>1192</v>
      </c>
      <c r="G248" s="28">
        <v>185.97</v>
      </c>
      <c r="H248" s="28">
        <v>19.91</v>
      </c>
      <c r="I248" s="28">
        <v>1.3</v>
      </c>
      <c r="J248" s="28">
        <v>0.12</v>
      </c>
      <c r="K248" s="28">
        <v>2.83</v>
      </c>
      <c r="L248" s="25">
        <v>-0.39700000000000002</v>
      </c>
      <c r="M248" s="25">
        <v>10.622999999999999</v>
      </c>
      <c r="N248" s="28">
        <v>150.53</v>
      </c>
      <c r="O248" s="28">
        <v>219.11</v>
      </c>
      <c r="P248" s="28">
        <v>1.235434797050422</v>
      </c>
      <c r="Q248" s="28">
        <v>0.84875176851809597</v>
      </c>
    </row>
    <row r="249" spans="2:17" ht="15" customHeight="1" x14ac:dyDescent="0.25">
      <c r="B249" s="22" t="s">
        <v>501</v>
      </c>
      <c r="C249" s="23" t="s">
        <v>502</v>
      </c>
      <c r="D249" s="10"/>
      <c r="E249" s="26" t="s">
        <v>502</v>
      </c>
      <c r="F249" s="28" t="s">
        <v>1193</v>
      </c>
      <c r="G249" s="28">
        <v>28.8</v>
      </c>
      <c r="H249" s="28">
        <v>14.05</v>
      </c>
      <c r="I249" s="28">
        <v>0.71</v>
      </c>
      <c r="J249" s="28">
        <v>0.08</v>
      </c>
      <c r="K249" s="28">
        <v>2.54</v>
      </c>
      <c r="L249" s="25">
        <v>0.51149999999999995</v>
      </c>
      <c r="M249" s="25">
        <v>2.6395</v>
      </c>
      <c r="N249" s="28">
        <v>21.97</v>
      </c>
      <c r="O249" s="28">
        <v>31.3</v>
      </c>
      <c r="P249" s="28">
        <v>1.3108784706417842</v>
      </c>
      <c r="Q249" s="28">
        <v>0.92012779552715651</v>
      </c>
    </row>
    <row r="250" spans="2:17" ht="15" customHeight="1" x14ac:dyDescent="0.25">
      <c r="B250" s="22" t="s">
        <v>503</v>
      </c>
      <c r="C250" s="23" t="s">
        <v>504</v>
      </c>
      <c r="D250" s="10"/>
      <c r="E250" s="26" t="s">
        <v>504</v>
      </c>
      <c r="F250" s="28" t="s">
        <v>1194</v>
      </c>
      <c r="G250" s="28">
        <v>105.6</v>
      </c>
      <c r="H250" s="28">
        <v>15.75</v>
      </c>
      <c r="I250" s="28">
        <v>1.1499999999999999</v>
      </c>
      <c r="J250" s="28">
        <v>0.6</v>
      </c>
      <c r="K250" s="28">
        <v>3.16</v>
      </c>
      <c r="L250" s="25">
        <v>1.946</v>
      </c>
      <c r="M250" s="25">
        <v>10.957800000000001</v>
      </c>
      <c r="N250" s="28">
        <v>81.53</v>
      </c>
      <c r="O250" s="28">
        <v>115.88</v>
      </c>
      <c r="P250" s="28">
        <v>1.295228750153318</v>
      </c>
      <c r="Q250" s="28">
        <v>0.91128753883327585</v>
      </c>
    </row>
    <row r="251" spans="2:17" ht="15" customHeight="1" x14ac:dyDescent="0.25">
      <c r="B251" s="22" t="s">
        <v>505</v>
      </c>
      <c r="C251" s="23" t="s">
        <v>506</v>
      </c>
      <c r="D251" s="10"/>
      <c r="E251" s="26" t="s">
        <v>506</v>
      </c>
      <c r="F251" s="28" t="s">
        <v>1195</v>
      </c>
      <c r="G251" s="28">
        <v>79.430000000000007</v>
      </c>
      <c r="H251" s="28">
        <v>14.96</v>
      </c>
      <c r="I251" s="28">
        <v>1.41</v>
      </c>
      <c r="J251" s="28">
        <v>1.44</v>
      </c>
      <c r="K251" s="28">
        <v>2.5099999999999998</v>
      </c>
      <c r="L251" s="25">
        <v>-0.53680000000000005</v>
      </c>
      <c r="M251" s="25">
        <v>3.2502</v>
      </c>
      <c r="N251" s="28">
        <v>56.88</v>
      </c>
      <c r="O251" s="28">
        <v>84.88</v>
      </c>
      <c r="P251" s="28">
        <v>1.396448663853727</v>
      </c>
      <c r="Q251" s="28">
        <v>0.93579170593779459</v>
      </c>
    </row>
    <row r="252" spans="2:17" ht="15" customHeight="1" x14ac:dyDescent="0.25">
      <c r="B252" s="22" t="s">
        <v>507</v>
      </c>
      <c r="C252" s="23" t="s">
        <v>508</v>
      </c>
      <c r="D252" s="10"/>
      <c r="E252" s="26" t="s">
        <v>508</v>
      </c>
      <c r="F252" s="28" t="s">
        <v>1418</v>
      </c>
      <c r="G252" s="28">
        <v>227.62</v>
      </c>
      <c r="H252" s="28">
        <v>23.43</v>
      </c>
      <c r="I252" s="28">
        <v>1.37</v>
      </c>
      <c r="J252" s="28">
        <v>3.2</v>
      </c>
      <c r="K252" s="28">
        <v>4.97</v>
      </c>
      <c r="L252" s="25">
        <v>10.726000000000001</v>
      </c>
      <c r="M252" s="25">
        <v>22.25</v>
      </c>
      <c r="N252" s="28">
        <v>172.5</v>
      </c>
      <c r="O252" s="28">
        <v>231.79</v>
      </c>
      <c r="P252" s="28">
        <v>1.319536231884058</v>
      </c>
      <c r="Q252" s="28">
        <v>0.98200957763492824</v>
      </c>
    </row>
    <row r="253" spans="2:17" ht="15" customHeight="1" x14ac:dyDescent="0.25">
      <c r="B253" s="22" t="s">
        <v>509</v>
      </c>
      <c r="C253" s="23" t="s">
        <v>510</v>
      </c>
      <c r="D253" s="10"/>
      <c r="E253" s="26" t="s">
        <v>510</v>
      </c>
      <c r="F253" s="28" t="s">
        <v>510</v>
      </c>
      <c r="G253" s="28">
        <v>0</v>
      </c>
      <c r="H253" s="28">
        <v>0</v>
      </c>
      <c r="I253" s="28">
        <v>0</v>
      </c>
      <c r="J253" s="28">
        <v>0</v>
      </c>
      <c r="K253" s="28">
        <v>0</v>
      </c>
      <c r="L253" s="25">
        <v>0</v>
      </c>
      <c r="M253" s="25">
        <v>0</v>
      </c>
      <c r="N253" s="28">
        <v>0</v>
      </c>
      <c r="O253" s="28">
        <v>0</v>
      </c>
      <c r="P253" s="28"/>
      <c r="Q253" s="28"/>
    </row>
    <row r="254" spans="2:17" ht="15" customHeight="1" x14ac:dyDescent="0.25">
      <c r="B254" s="22" t="s">
        <v>511</v>
      </c>
      <c r="C254" s="23" t="s">
        <v>512</v>
      </c>
      <c r="D254" s="10"/>
      <c r="E254" s="26" t="s">
        <v>512</v>
      </c>
      <c r="F254" s="28" t="s">
        <v>1419</v>
      </c>
      <c r="G254" s="28">
        <v>54.41</v>
      </c>
      <c r="H254" s="28">
        <v>24.02</v>
      </c>
      <c r="I254" s="28">
        <v>1.17</v>
      </c>
      <c r="J254" s="28">
        <v>0.76</v>
      </c>
      <c r="K254" s="28">
        <v>3.32</v>
      </c>
      <c r="L254" s="25">
        <v>-2.1747000000000001</v>
      </c>
      <c r="M254" s="25">
        <v>2.8565</v>
      </c>
      <c r="N254" s="28">
        <v>41.33</v>
      </c>
      <c r="O254" s="28">
        <v>61.82</v>
      </c>
      <c r="P254" s="28">
        <v>1.316477135252843</v>
      </c>
      <c r="Q254" s="28">
        <v>0.88013587835651896</v>
      </c>
    </row>
    <row r="255" spans="2:17" ht="15" customHeight="1" x14ac:dyDescent="0.25">
      <c r="B255" s="22" t="s">
        <v>513</v>
      </c>
      <c r="C255" s="23" t="s">
        <v>514</v>
      </c>
      <c r="D255" s="10"/>
      <c r="E255" s="26" t="s">
        <v>514</v>
      </c>
      <c r="F255" s="28" t="s">
        <v>1420</v>
      </c>
      <c r="G255" s="28">
        <v>41.17</v>
      </c>
      <c r="H255" s="28">
        <v>18.46</v>
      </c>
      <c r="I255" s="28">
        <v>0.88</v>
      </c>
      <c r="J255" s="28">
        <v>1.05</v>
      </c>
      <c r="K255" s="28">
        <v>2.1</v>
      </c>
      <c r="L255" s="25">
        <v>0.77029999999999998</v>
      </c>
      <c r="M255" s="25">
        <v>4.4622999999999999</v>
      </c>
      <c r="N255" s="28">
        <v>28.53</v>
      </c>
      <c r="O255" s="28">
        <v>43</v>
      </c>
      <c r="P255" s="28">
        <v>1.4430424114966702</v>
      </c>
      <c r="Q255" s="28">
        <v>0.95744186046511637</v>
      </c>
    </row>
    <row r="256" spans="2:17" ht="15" customHeight="1" x14ac:dyDescent="0.25">
      <c r="B256" s="22" t="s">
        <v>515</v>
      </c>
      <c r="C256" s="23" t="s">
        <v>516</v>
      </c>
      <c r="D256" s="10"/>
      <c r="E256" s="26" t="s">
        <v>516</v>
      </c>
      <c r="F256" s="28" t="s">
        <v>1196</v>
      </c>
      <c r="G256" s="28">
        <v>13.74</v>
      </c>
      <c r="H256" s="28">
        <v>649.04999999999995</v>
      </c>
      <c r="I256" s="28">
        <v>2.48</v>
      </c>
      <c r="J256" s="28">
        <v>0.27</v>
      </c>
      <c r="K256" s="28">
        <v>2.2599999999999998</v>
      </c>
      <c r="L256" s="25">
        <v>0.7571</v>
      </c>
      <c r="M256" s="25">
        <v>2.0916000000000001</v>
      </c>
      <c r="N256" s="28">
        <v>9.9499999999999993</v>
      </c>
      <c r="O256" s="28">
        <v>14.38</v>
      </c>
      <c r="P256" s="28">
        <v>1.3809045226130652</v>
      </c>
      <c r="Q256" s="28">
        <v>0.9554937413073713</v>
      </c>
    </row>
    <row r="257" spans="2:17" ht="15" customHeight="1" x14ac:dyDescent="0.25">
      <c r="B257" s="22" t="s">
        <v>517</v>
      </c>
      <c r="C257" s="23" t="s">
        <v>518</v>
      </c>
      <c r="D257" s="10"/>
      <c r="E257" s="26" t="s">
        <v>518</v>
      </c>
      <c r="F257" s="28" t="s">
        <v>1197</v>
      </c>
      <c r="G257" s="28">
        <v>31.64</v>
      </c>
      <c r="H257" s="28">
        <v>12</v>
      </c>
      <c r="I257" s="28">
        <v>0.86</v>
      </c>
      <c r="J257" s="28">
        <v>0.78</v>
      </c>
      <c r="K257" s="28">
        <v>0.93</v>
      </c>
      <c r="L257" s="25">
        <v>1.0435000000000001</v>
      </c>
      <c r="M257" s="25">
        <v>3.2852999999999999</v>
      </c>
      <c r="N257" s="28">
        <v>23.09</v>
      </c>
      <c r="O257" s="28">
        <v>33.06</v>
      </c>
      <c r="P257" s="28">
        <v>1.3702901689042875</v>
      </c>
      <c r="Q257" s="28">
        <v>0.95704779189352707</v>
      </c>
    </row>
    <row r="258" spans="2:17" ht="15" customHeight="1" x14ac:dyDescent="0.25">
      <c r="B258" s="22" t="s">
        <v>519</v>
      </c>
      <c r="C258" s="23" t="s">
        <v>520</v>
      </c>
      <c r="D258" s="10"/>
      <c r="E258" s="26" t="s">
        <v>520</v>
      </c>
      <c r="F258" s="28" t="s">
        <v>1198</v>
      </c>
      <c r="G258" s="28">
        <v>29.61</v>
      </c>
      <c r="H258" s="28">
        <v>41.1</v>
      </c>
      <c r="I258" s="28">
        <v>5.43</v>
      </c>
      <c r="J258" s="28">
        <v>0.47</v>
      </c>
      <c r="K258" s="28">
        <v>3.89</v>
      </c>
      <c r="L258" s="25">
        <v>-0.76529999999999998</v>
      </c>
      <c r="M258" s="25">
        <v>2.0331999999999999</v>
      </c>
      <c r="N258" s="28">
        <v>18.600000000000001</v>
      </c>
      <c r="O258" s="28">
        <v>30.42</v>
      </c>
      <c r="P258" s="28">
        <v>1.5919354838709676</v>
      </c>
      <c r="Q258" s="28">
        <v>0.97337278106508884</v>
      </c>
    </row>
    <row r="259" spans="2:17" ht="15" customHeight="1" x14ac:dyDescent="0.25">
      <c r="B259" s="22" t="s">
        <v>521</v>
      </c>
      <c r="C259" s="23" t="s">
        <v>522</v>
      </c>
      <c r="D259" s="10"/>
      <c r="E259" s="26" t="s">
        <v>522</v>
      </c>
      <c r="F259" s="28" t="s">
        <v>1199</v>
      </c>
      <c r="G259" s="28">
        <v>35.64</v>
      </c>
      <c r="H259" s="28">
        <v>30.17</v>
      </c>
      <c r="I259" s="28">
        <v>1.84</v>
      </c>
      <c r="J259" s="28">
        <v>1</v>
      </c>
      <c r="K259" s="28">
        <v>1.86</v>
      </c>
      <c r="L259" s="25">
        <v>2.8218000000000001</v>
      </c>
      <c r="M259" s="25">
        <v>4.8209</v>
      </c>
      <c r="N259" s="28">
        <v>26.15</v>
      </c>
      <c r="O259" s="28">
        <v>35.67</v>
      </c>
      <c r="P259" s="28">
        <v>1.362906309751434</v>
      </c>
      <c r="Q259" s="28">
        <v>0.99915895710681246</v>
      </c>
    </row>
    <row r="260" spans="2:17" ht="15" customHeight="1" x14ac:dyDescent="0.25">
      <c r="B260" s="22" t="s">
        <v>523</v>
      </c>
      <c r="C260" s="23" t="s">
        <v>524</v>
      </c>
      <c r="D260" s="10"/>
      <c r="E260" s="26" t="s">
        <v>524</v>
      </c>
      <c r="F260" s="28" t="s">
        <v>1200</v>
      </c>
      <c r="G260" s="28">
        <v>93.69</v>
      </c>
      <c r="H260" s="28">
        <v>20.23</v>
      </c>
      <c r="I260" s="28">
        <v>2.5099999999999998</v>
      </c>
      <c r="J260" s="28">
        <v>1.5740000000000001</v>
      </c>
      <c r="K260" s="28">
        <v>3.9</v>
      </c>
      <c r="L260" s="25">
        <v>3.7865000000000002</v>
      </c>
      <c r="M260" s="25">
        <v>6.9157000000000002</v>
      </c>
      <c r="N260" s="28">
        <v>64.989999999999995</v>
      </c>
      <c r="O260" s="28">
        <v>100.55</v>
      </c>
      <c r="P260" s="28">
        <v>1.4416064009847669</v>
      </c>
      <c r="Q260" s="28">
        <v>0.93177523620089509</v>
      </c>
    </row>
    <row r="261" spans="2:17" ht="15" customHeight="1" x14ac:dyDescent="0.25">
      <c r="B261" s="22" t="s">
        <v>525</v>
      </c>
      <c r="C261" s="23" t="s">
        <v>526</v>
      </c>
      <c r="D261" s="10"/>
      <c r="E261" s="26" t="s">
        <v>526</v>
      </c>
      <c r="F261" s="28" t="s">
        <v>1201</v>
      </c>
      <c r="G261" s="28">
        <v>44.31</v>
      </c>
      <c r="H261" s="28">
        <v>17.12</v>
      </c>
      <c r="I261" s="28">
        <v>1.26</v>
      </c>
      <c r="J261" s="28">
        <v>0.3</v>
      </c>
      <c r="K261" s="28">
        <v>5.87</v>
      </c>
      <c r="L261" s="25">
        <v>-1.0714999999999999</v>
      </c>
      <c r="M261" s="25">
        <v>0.43690000000000001</v>
      </c>
      <c r="N261" s="28">
        <v>38.39</v>
      </c>
      <c r="O261" s="28">
        <v>48</v>
      </c>
      <c r="P261" s="28">
        <v>1.1542068246939308</v>
      </c>
      <c r="Q261" s="28">
        <v>0.92312499999999997</v>
      </c>
    </row>
    <row r="262" spans="2:17" ht="15" customHeight="1" x14ac:dyDescent="0.25">
      <c r="B262" s="22" t="s">
        <v>527</v>
      </c>
      <c r="C262" s="23" t="s">
        <v>528</v>
      </c>
      <c r="D262" s="10"/>
      <c r="E262" s="26" t="s">
        <v>528</v>
      </c>
      <c r="F262" s="28" t="s">
        <v>1202</v>
      </c>
      <c r="G262" s="28">
        <v>59.92</v>
      </c>
      <c r="H262" s="28">
        <v>13.79</v>
      </c>
      <c r="I262" s="28">
        <v>1.3</v>
      </c>
      <c r="J262" s="28">
        <v>1.2</v>
      </c>
      <c r="K262" s="28">
        <v>7.61</v>
      </c>
      <c r="L262" s="25">
        <v>0.63319999999999999</v>
      </c>
      <c r="M262" s="25">
        <v>4.5477999999999996</v>
      </c>
      <c r="N262" s="28">
        <v>46.37</v>
      </c>
      <c r="O262" s="28">
        <v>62.53</v>
      </c>
      <c r="P262" s="28">
        <v>1.2922147940478759</v>
      </c>
      <c r="Q262" s="28">
        <v>0.95826003518311209</v>
      </c>
    </row>
    <row r="263" spans="2:17" ht="15" customHeight="1" x14ac:dyDescent="0.25">
      <c r="B263" s="22" t="s">
        <v>529</v>
      </c>
      <c r="C263" s="23" t="s">
        <v>530</v>
      </c>
      <c r="D263" s="10"/>
      <c r="E263" s="26" t="s">
        <v>530</v>
      </c>
      <c r="F263" s="28" t="s">
        <v>1203</v>
      </c>
      <c r="G263" s="28">
        <v>39.450000000000003</v>
      </c>
      <c r="H263" s="28">
        <v>21.14</v>
      </c>
      <c r="I263" s="28">
        <v>3.26</v>
      </c>
      <c r="J263" s="28">
        <v>2.2000000000000002</v>
      </c>
      <c r="K263" s="28">
        <v>1.24</v>
      </c>
      <c r="L263" s="25">
        <v>-0.60499999999999998</v>
      </c>
      <c r="M263" s="25">
        <v>-3.0891999999999999</v>
      </c>
      <c r="N263" s="28">
        <v>38.26</v>
      </c>
      <c r="O263" s="28">
        <v>42.75</v>
      </c>
      <c r="P263" s="28">
        <v>1.0311029796131732</v>
      </c>
      <c r="Q263" s="28">
        <v>0.92280701754385974</v>
      </c>
    </row>
    <row r="264" spans="2:17" ht="15" customHeight="1" x14ac:dyDescent="0.25">
      <c r="B264" s="22" t="s">
        <v>531</v>
      </c>
      <c r="C264" s="23" t="s">
        <v>532</v>
      </c>
      <c r="D264" s="10"/>
      <c r="E264" s="26" t="s">
        <v>532</v>
      </c>
      <c r="F264" s="28" t="s">
        <v>532</v>
      </c>
      <c r="G264" s="28">
        <v>0</v>
      </c>
      <c r="H264" s="28">
        <v>0</v>
      </c>
      <c r="I264" s="28">
        <v>0</v>
      </c>
      <c r="J264" s="28">
        <v>0</v>
      </c>
      <c r="K264" s="28">
        <v>0</v>
      </c>
      <c r="L264" s="25">
        <v>0</v>
      </c>
      <c r="M264" s="25">
        <v>0</v>
      </c>
      <c r="N264" s="28">
        <v>0</v>
      </c>
      <c r="O264" s="28">
        <v>0</v>
      </c>
      <c r="P264" s="28"/>
      <c r="Q264" s="28"/>
    </row>
    <row r="265" spans="2:17" ht="15" customHeight="1" x14ac:dyDescent="0.25">
      <c r="B265" s="22" t="s">
        <v>533</v>
      </c>
      <c r="C265" s="23" t="s">
        <v>534</v>
      </c>
      <c r="D265" s="10"/>
      <c r="E265" s="26" t="s">
        <v>534</v>
      </c>
      <c r="F265" s="28" t="s">
        <v>1421</v>
      </c>
      <c r="G265" s="28">
        <v>27.41</v>
      </c>
      <c r="H265" s="28">
        <v>13.95</v>
      </c>
      <c r="I265" s="28">
        <v>3.81</v>
      </c>
      <c r="J265" s="28">
        <v>0.9</v>
      </c>
      <c r="K265" s="28">
        <v>2.44</v>
      </c>
      <c r="L265" s="25">
        <v>0.35410000000000003</v>
      </c>
      <c r="M265" s="25">
        <v>2.0729000000000002</v>
      </c>
      <c r="N265" s="28">
        <v>21.05</v>
      </c>
      <c r="O265" s="28">
        <v>29.75</v>
      </c>
      <c r="P265" s="28">
        <v>1.3021377672209027</v>
      </c>
      <c r="Q265" s="28">
        <v>0.92134453781512615</v>
      </c>
    </row>
    <row r="266" spans="2:17" ht="15" customHeight="1" x14ac:dyDescent="0.25">
      <c r="B266" s="22" t="s">
        <v>535</v>
      </c>
      <c r="C266" s="23" t="s">
        <v>536</v>
      </c>
      <c r="D266" s="10"/>
      <c r="E266" s="26" t="s">
        <v>536</v>
      </c>
      <c r="F266" s="28" t="s">
        <v>1204</v>
      </c>
      <c r="G266" s="28">
        <v>18.399999999999999</v>
      </c>
      <c r="H266" s="28">
        <v>0</v>
      </c>
      <c r="I266" s="28">
        <v>0</v>
      </c>
      <c r="J266" s="28">
        <v>0</v>
      </c>
      <c r="K266" s="28">
        <v>0</v>
      </c>
      <c r="L266" s="25">
        <v>0.53349999999999997</v>
      </c>
      <c r="M266" s="25">
        <v>1.4443999999999999</v>
      </c>
      <c r="N266" s="28">
        <v>14.5</v>
      </c>
      <c r="O266" s="28">
        <v>0</v>
      </c>
      <c r="P266" s="28">
        <v>1.2689655172413794</v>
      </c>
      <c r="Q266" s="28"/>
    </row>
    <row r="267" spans="2:17" ht="15" customHeight="1" x14ac:dyDescent="0.25">
      <c r="B267" s="22" t="s">
        <v>537</v>
      </c>
      <c r="C267" s="23" t="s">
        <v>538</v>
      </c>
      <c r="D267" s="10"/>
      <c r="E267" s="26" t="s">
        <v>538</v>
      </c>
      <c r="F267" s="28" t="s">
        <v>1205</v>
      </c>
      <c r="G267" s="28">
        <v>47.47</v>
      </c>
      <c r="H267" s="28">
        <v>0</v>
      </c>
      <c r="I267" s="28">
        <v>0.12</v>
      </c>
      <c r="J267" s="28">
        <v>0</v>
      </c>
      <c r="K267" s="28">
        <v>1.25</v>
      </c>
      <c r="L267" s="25">
        <v>1.2356</v>
      </c>
      <c r="M267" s="25">
        <v>-4.1153000000000004</v>
      </c>
      <c r="N267" s="28">
        <v>38.4</v>
      </c>
      <c r="O267" s="28">
        <v>17.329999999999998</v>
      </c>
      <c r="P267" s="28">
        <v>1.2361979166666668</v>
      </c>
      <c r="Q267" s="28">
        <v>2.7391806116560882</v>
      </c>
    </row>
    <row r="268" spans="2:17" ht="15" customHeight="1" x14ac:dyDescent="0.25">
      <c r="B268" s="22" t="s">
        <v>539</v>
      </c>
      <c r="C268" s="23" t="s">
        <v>540</v>
      </c>
      <c r="D268" s="10"/>
      <c r="E268" s="26" t="s">
        <v>540</v>
      </c>
      <c r="F268" s="28" t="s">
        <v>1206</v>
      </c>
      <c r="G268" s="28">
        <v>20.93</v>
      </c>
      <c r="H268" s="28">
        <v>9.66</v>
      </c>
      <c r="I268" s="28">
        <v>0.86</v>
      </c>
      <c r="J268" s="28">
        <v>0.88500000000000001</v>
      </c>
      <c r="K268" s="28">
        <v>1.99</v>
      </c>
      <c r="L268" s="25">
        <v>-0.2656</v>
      </c>
      <c r="M268" s="25">
        <v>-0.9607</v>
      </c>
      <c r="N268" s="28">
        <v>19.23</v>
      </c>
      <c r="O268" s="28">
        <v>22.86</v>
      </c>
      <c r="P268" s="28">
        <v>1.0884035361414457</v>
      </c>
      <c r="Q268" s="28">
        <v>0.91557305336832906</v>
      </c>
    </row>
    <row r="269" spans="2:17" ht="15" customHeight="1" x14ac:dyDescent="0.25">
      <c r="B269" s="22" t="s">
        <v>541</v>
      </c>
      <c r="C269" s="23" t="s">
        <v>542</v>
      </c>
      <c r="D269" s="10"/>
      <c r="E269" s="26" t="s">
        <v>542</v>
      </c>
      <c r="F269" s="28" t="s">
        <v>1207</v>
      </c>
      <c r="G269" s="28">
        <v>61.24</v>
      </c>
      <c r="H269" s="28">
        <v>17.93</v>
      </c>
      <c r="I269" s="28">
        <v>1.35</v>
      </c>
      <c r="J269" s="28">
        <v>0.1</v>
      </c>
      <c r="K269" s="28">
        <v>2.1800000000000002</v>
      </c>
      <c r="L269" s="25">
        <v>0.69120000000000004</v>
      </c>
      <c r="M269" s="25">
        <v>5.4058000000000002</v>
      </c>
      <c r="N269" s="28">
        <v>49.18</v>
      </c>
      <c r="O269" s="28">
        <v>65.77</v>
      </c>
      <c r="P269" s="28">
        <v>1.2452216348108989</v>
      </c>
      <c r="Q269" s="28">
        <v>0.93112361258932641</v>
      </c>
    </row>
    <row r="270" spans="2:17" ht="15" customHeight="1" x14ac:dyDescent="0.25">
      <c r="B270" s="22" t="s">
        <v>543</v>
      </c>
      <c r="C270" s="23" t="s">
        <v>544</v>
      </c>
      <c r="D270" s="10"/>
      <c r="E270" s="26" t="s">
        <v>544</v>
      </c>
      <c r="F270" s="28" t="s">
        <v>1422</v>
      </c>
      <c r="G270" s="28">
        <v>32.51</v>
      </c>
      <c r="H270" s="28">
        <v>15.54</v>
      </c>
      <c r="I270" s="28">
        <v>1.47</v>
      </c>
      <c r="J270" s="28">
        <v>0.5</v>
      </c>
      <c r="K270" s="28">
        <v>4.83</v>
      </c>
      <c r="L270" s="25">
        <v>8.6199999999999999E-2</v>
      </c>
      <c r="M270" s="25">
        <v>-1.4873000000000001</v>
      </c>
      <c r="N270" s="28">
        <v>24.17</v>
      </c>
      <c r="O270" s="28">
        <v>38.950000000000003</v>
      </c>
      <c r="P270" s="28">
        <v>1.3450558543649154</v>
      </c>
      <c r="Q270" s="28">
        <v>0.83465982028241337</v>
      </c>
    </row>
    <row r="271" spans="2:17" ht="15" customHeight="1" x14ac:dyDescent="0.25">
      <c r="B271" s="22" t="s">
        <v>545</v>
      </c>
      <c r="C271" s="23" t="s">
        <v>546</v>
      </c>
      <c r="D271" s="10"/>
      <c r="E271" s="26" t="s">
        <v>546</v>
      </c>
      <c r="F271" s="28" t="s">
        <v>1208</v>
      </c>
      <c r="G271" s="28">
        <v>70.349999999999994</v>
      </c>
      <c r="H271" s="28">
        <v>18.73</v>
      </c>
      <c r="I271" s="28">
        <v>1.34</v>
      </c>
      <c r="J271" s="28">
        <v>1.5660000000000001</v>
      </c>
      <c r="K271" s="28">
        <v>4.17</v>
      </c>
      <c r="L271" s="25">
        <v>1.4791000000000001</v>
      </c>
      <c r="M271" s="25">
        <v>7.3064</v>
      </c>
      <c r="N271" s="28">
        <v>52.21</v>
      </c>
      <c r="O271" s="28">
        <v>74.59</v>
      </c>
      <c r="P271" s="28">
        <v>1.3474430185788164</v>
      </c>
      <c r="Q271" s="28">
        <v>0.94315591902399787</v>
      </c>
    </row>
    <row r="272" spans="2:17" ht="15" customHeight="1" x14ac:dyDescent="0.25">
      <c r="B272" s="22" t="s">
        <v>547</v>
      </c>
      <c r="C272" s="23" t="s">
        <v>548</v>
      </c>
      <c r="D272" s="10"/>
      <c r="E272" s="26" t="s">
        <v>548</v>
      </c>
      <c r="F272" s="28" t="s">
        <v>548</v>
      </c>
      <c r="G272" s="28">
        <v>0</v>
      </c>
      <c r="H272" s="28">
        <v>0</v>
      </c>
      <c r="I272" s="28">
        <v>0</v>
      </c>
      <c r="J272" s="28">
        <v>0</v>
      </c>
      <c r="K272" s="28">
        <v>0</v>
      </c>
      <c r="L272" s="25">
        <v>0</v>
      </c>
      <c r="M272" s="25">
        <v>0</v>
      </c>
      <c r="N272" s="28">
        <v>0</v>
      </c>
      <c r="O272" s="28">
        <v>0</v>
      </c>
      <c r="P272" s="28"/>
      <c r="Q272" s="28"/>
    </row>
    <row r="273" spans="2:17" ht="15" customHeight="1" x14ac:dyDescent="0.25">
      <c r="B273" s="22" t="s">
        <v>549</v>
      </c>
      <c r="C273" s="23" t="s">
        <v>550</v>
      </c>
      <c r="D273" s="10"/>
      <c r="E273" s="26" t="s">
        <v>550</v>
      </c>
      <c r="F273" s="28" t="s">
        <v>1423</v>
      </c>
      <c r="G273" s="28">
        <v>20.89</v>
      </c>
      <c r="H273" s="28">
        <v>11.85</v>
      </c>
      <c r="I273" s="28">
        <v>1.23</v>
      </c>
      <c r="J273" s="28">
        <v>0.44</v>
      </c>
      <c r="K273" s="28">
        <v>1.98</v>
      </c>
      <c r="L273" s="25">
        <v>-1.44E-2</v>
      </c>
      <c r="M273" s="25">
        <v>1.534</v>
      </c>
      <c r="N273" s="28">
        <v>14.96</v>
      </c>
      <c r="O273" s="28">
        <v>23.55</v>
      </c>
      <c r="P273" s="28">
        <v>1.3963903743315509</v>
      </c>
      <c r="Q273" s="28">
        <v>0.88704883227176223</v>
      </c>
    </row>
    <row r="274" spans="2:17" ht="15" customHeight="1" x14ac:dyDescent="0.25">
      <c r="B274" s="22" t="s">
        <v>551</v>
      </c>
      <c r="C274" s="23" t="s">
        <v>552</v>
      </c>
      <c r="D274" s="10"/>
      <c r="E274" s="26" t="s">
        <v>552</v>
      </c>
      <c r="F274" s="28" t="s">
        <v>1209</v>
      </c>
      <c r="G274" s="28">
        <v>71.66</v>
      </c>
      <c r="H274" s="28">
        <v>14.17</v>
      </c>
      <c r="I274" s="28">
        <v>1.5</v>
      </c>
      <c r="J274" s="28">
        <v>1.5920000000000001</v>
      </c>
      <c r="K274" s="28">
        <v>3.11</v>
      </c>
      <c r="L274" s="25">
        <v>1.72</v>
      </c>
      <c r="M274" s="25">
        <v>-0.1041</v>
      </c>
      <c r="N274" s="28">
        <v>57.18</v>
      </c>
      <c r="O274" s="28">
        <v>78.94</v>
      </c>
      <c r="P274" s="28">
        <v>1.2532353969919552</v>
      </c>
      <c r="Q274" s="28">
        <v>0.90777805928553335</v>
      </c>
    </row>
    <row r="275" spans="2:17" ht="15" customHeight="1" x14ac:dyDescent="0.25">
      <c r="B275" s="22" t="s">
        <v>553</v>
      </c>
      <c r="C275" s="23" t="s">
        <v>554</v>
      </c>
      <c r="D275" s="10"/>
      <c r="E275" s="26" t="s">
        <v>554</v>
      </c>
      <c r="F275" s="28" t="s">
        <v>1210</v>
      </c>
      <c r="G275" s="28">
        <v>65.680000000000007</v>
      </c>
      <c r="H275" s="28">
        <v>9.92</v>
      </c>
      <c r="I275" s="28">
        <v>1.43</v>
      </c>
      <c r="J275" s="28">
        <v>0.4</v>
      </c>
      <c r="K275" s="28">
        <v>1.03</v>
      </c>
      <c r="L275" s="25">
        <v>2.3961999999999999</v>
      </c>
      <c r="M275" s="25">
        <v>10.675599999999999</v>
      </c>
      <c r="N275" s="28">
        <v>39.67</v>
      </c>
      <c r="O275" s="28">
        <v>72.42</v>
      </c>
      <c r="P275" s="28">
        <v>1.6556591883035041</v>
      </c>
      <c r="Q275" s="28">
        <v>0.90693178679922681</v>
      </c>
    </row>
    <row r="276" spans="2:17" ht="15" customHeight="1" x14ac:dyDescent="0.25">
      <c r="B276" s="22" t="s">
        <v>555</v>
      </c>
      <c r="C276" s="23" t="s">
        <v>556</v>
      </c>
      <c r="D276" s="10"/>
      <c r="E276" s="26" t="s">
        <v>556</v>
      </c>
      <c r="F276" s="28" t="s">
        <v>1211</v>
      </c>
      <c r="G276" s="28">
        <v>76.319999999999993</v>
      </c>
      <c r="H276" s="28">
        <v>19.62</v>
      </c>
      <c r="I276" s="28">
        <v>2.1800000000000002</v>
      </c>
      <c r="J276" s="28">
        <v>2.44</v>
      </c>
      <c r="K276" s="28">
        <v>3.27</v>
      </c>
      <c r="L276" s="25">
        <v>1.8906000000000001</v>
      </c>
      <c r="M276" s="25">
        <v>5.6185</v>
      </c>
      <c r="N276" s="28">
        <v>61.71</v>
      </c>
      <c r="O276" s="28">
        <v>78</v>
      </c>
      <c r="P276" s="28">
        <v>1.2367525522605736</v>
      </c>
      <c r="Q276" s="28">
        <v>0.97846153846153849</v>
      </c>
    </row>
    <row r="277" spans="2:17" ht="15" customHeight="1" x14ac:dyDescent="0.25">
      <c r="B277" s="22" t="s">
        <v>557</v>
      </c>
      <c r="C277" s="23" t="s">
        <v>558</v>
      </c>
      <c r="D277" s="10"/>
      <c r="E277" s="26" t="s">
        <v>558</v>
      </c>
      <c r="F277" s="28" t="s">
        <v>558</v>
      </c>
      <c r="G277" s="28">
        <v>0</v>
      </c>
      <c r="H277" s="28">
        <v>0</v>
      </c>
      <c r="I277" s="28">
        <v>0</v>
      </c>
      <c r="J277" s="28">
        <v>0</v>
      </c>
      <c r="K277" s="28">
        <v>0</v>
      </c>
      <c r="L277" s="25">
        <v>0</v>
      </c>
      <c r="M277" s="25">
        <v>0</v>
      </c>
      <c r="N277" s="28">
        <v>0</v>
      </c>
      <c r="O277" s="28">
        <v>0</v>
      </c>
      <c r="P277" s="28"/>
      <c r="Q277" s="28"/>
    </row>
    <row r="278" spans="2:17" ht="15" customHeight="1" x14ac:dyDescent="0.25">
      <c r="B278" s="22" t="s">
        <v>559</v>
      </c>
      <c r="C278" s="23" t="s">
        <v>560</v>
      </c>
      <c r="D278" s="10"/>
      <c r="E278" s="26" t="s">
        <v>560</v>
      </c>
      <c r="F278" s="28" t="s">
        <v>1212</v>
      </c>
      <c r="G278" s="28">
        <v>39.299999999999997</v>
      </c>
      <c r="H278" s="28">
        <v>22.33</v>
      </c>
      <c r="I278" s="28">
        <v>1.1000000000000001</v>
      </c>
      <c r="J278" s="28">
        <v>0.39</v>
      </c>
      <c r="K278" s="28">
        <v>0</v>
      </c>
      <c r="L278" s="25">
        <v>-0.50409999999999999</v>
      </c>
      <c r="M278" s="25">
        <v>1.2616000000000001</v>
      </c>
      <c r="N278" s="28">
        <v>33.93</v>
      </c>
      <c r="O278" s="28">
        <v>43.92</v>
      </c>
      <c r="P278" s="28">
        <v>1.1582670203359859</v>
      </c>
      <c r="Q278" s="28">
        <v>0.89480874316939896</v>
      </c>
    </row>
    <row r="279" spans="2:17" ht="15" customHeight="1" x14ac:dyDescent="0.25">
      <c r="B279" s="22" t="s">
        <v>561</v>
      </c>
      <c r="C279" s="23" t="s">
        <v>562</v>
      </c>
      <c r="D279" s="10"/>
      <c r="E279" s="26" t="s">
        <v>562</v>
      </c>
      <c r="F279" s="28" t="s">
        <v>1213</v>
      </c>
      <c r="G279" s="28">
        <v>19.2</v>
      </c>
      <c r="H279" s="28">
        <v>0</v>
      </c>
      <c r="I279" s="28">
        <v>2.73</v>
      </c>
      <c r="J279" s="28">
        <v>0.3</v>
      </c>
      <c r="K279" s="28">
        <v>20.28</v>
      </c>
      <c r="L279" s="25">
        <v>0.86909999999999998</v>
      </c>
      <c r="M279" s="25">
        <v>3.0712000000000002</v>
      </c>
      <c r="N279" s="28">
        <v>11.01</v>
      </c>
      <c r="O279" s="28">
        <v>18.78</v>
      </c>
      <c r="P279" s="28">
        <v>1.7438692098092643</v>
      </c>
      <c r="Q279" s="28">
        <v>1.0223642172523961</v>
      </c>
    </row>
    <row r="280" spans="2:17" ht="15" customHeight="1" x14ac:dyDescent="0.25">
      <c r="B280" s="22" t="s">
        <v>563</v>
      </c>
      <c r="C280" s="23" t="s">
        <v>564</v>
      </c>
      <c r="D280" s="10"/>
      <c r="E280" s="26" t="s">
        <v>564</v>
      </c>
      <c r="F280" s="28" t="s">
        <v>1214</v>
      </c>
      <c r="G280" s="28">
        <v>57.26</v>
      </c>
      <c r="H280" s="28">
        <v>20.100000000000001</v>
      </c>
      <c r="I280" s="28">
        <v>1.7</v>
      </c>
      <c r="J280" s="28">
        <v>1.62</v>
      </c>
      <c r="K280" s="28">
        <v>3.87</v>
      </c>
      <c r="L280" s="25">
        <v>0.38090000000000002</v>
      </c>
      <c r="M280" s="25">
        <v>5.2625000000000002</v>
      </c>
      <c r="N280" s="28">
        <v>43.59</v>
      </c>
      <c r="O280" s="28">
        <v>60.25</v>
      </c>
      <c r="P280" s="28">
        <v>1.3136040376233082</v>
      </c>
      <c r="Q280" s="28">
        <v>0.95037344398340251</v>
      </c>
    </row>
    <row r="281" spans="2:17" ht="15" customHeight="1" x14ac:dyDescent="0.25">
      <c r="B281" s="22" t="s">
        <v>565</v>
      </c>
      <c r="C281" s="23" t="s">
        <v>566</v>
      </c>
      <c r="D281" s="10"/>
      <c r="E281" s="26" t="s">
        <v>566</v>
      </c>
      <c r="F281" s="28" t="s">
        <v>1424</v>
      </c>
      <c r="G281" s="28">
        <v>54.34</v>
      </c>
      <c r="H281" s="28">
        <v>24.49</v>
      </c>
      <c r="I281" s="28">
        <v>1.98</v>
      </c>
      <c r="J281" s="28">
        <v>0.75</v>
      </c>
      <c r="K281" s="28">
        <v>4.8499999999999996</v>
      </c>
      <c r="L281" s="25">
        <v>0.31759999999999999</v>
      </c>
      <c r="M281" s="25">
        <v>4.4425999999999997</v>
      </c>
      <c r="N281" s="28">
        <v>42.55</v>
      </c>
      <c r="O281" s="28">
        <v>56.06</v>
      </c>
      <c r="P281" s="28">
        <v>1.2770857814336074</v>
      </c>
      <c r="Q281" s="28">
        <v>0.96931858722797004</v>
      </c>
    </row>
    <row r="282" spans="2:17" ht="15" customHeight="1" x14ac:dyDescent="0.25">
      <c r="B282" s="22" t="s">
        <v>567</v>
      </c>
      <c r="C282" s="23" t="s">
        <v>568</v>
      </c>
      <c r="D282" s="10"/>
      <c r="E282" s="26" t="s">
        <v>568</v>
      </c>
      <c r="F282" s="28" t="s">
        <v>1215</v>
      </c>
      <c r="G282" s="28">
        <v>76.47</v>
      </c>
      <c r="H282" s="28">
        <v>9.08</v>
      </c>
      <c r="I282" s="28">
        <v>14.89</v>
      </c>
      <c r="J282" s="28">
        <v>1.5</v>
      </c>
      <c r="K282" s="28">
        <v>1.28</v>
      </c>
      <c r="L282" s="25">
        <v>-1.0159</v>
      </c>
      <c r="M282" s="25">
        <v>1.8167</v>
      </c>
      <c r="N282" s="28">
        <v>66.459999999999994</v>
      </c>
      <c r="O282" s="28">
        <v>78.44</v>
      </c>
      <c r="P282" s="28">
        <v>1.1506169124285286</v>
      </c>
      <c r="Q282" s="28">
        <v>0.97488526262111175</v>
      </c>
    </row>
    <row r="283" spans="2:17" ht="15" customHeight="1" x14ac:dyDescent="0.25">
      <c r="B283" s="22" t="s">
        <v>569</v>
      </c>
      <c r="C283" s="23" t="s">
        <v>570</v>
      </c>
      <c r="D283" s="10"/>
      <c r="E283" s="26" t="s">
        <v>570</v>
      </c>
      <c r="F283" s="28" t="s">
        <v>1216</v>
      </c>
      <c r="G283" s="28">
        <v>12.59</v>
      </c>
      <c r="H283" s="28">
        <v>10.69</v>
      </c>
      <c r="I283" s="28">
        <v>0.87</v>
      </c>
      <c r="J283" s="28">
        <v>0.33</v>
      </c>
      <c r="K283" s="28">
        <v>0.84</v>
      </c>
      <c r="L283" s="25">
        <v>0.2165</v>
      </c>
      <c r="M283" s="25">
        <v>0.21729999999999999</v>
      </c>
      <c r="N283" s="28">
        <v>10.62</v>
      </c>
      <c r="O283" s="28">
        <v>13.97</v>
      </c>
      <c r="P283" s="28">
        <v>1.1854990583804144</v>
      </c>
      <c r="Q283" s="28">
        <v>0.90121689334287758</v>
      </c>
    </row>
    <row r="284" spans="2:17" ht="15" customHeight="1" x14ac:dyDescent="0.25">
      <c r="B284" s="22" t="s">
        <v>571</v>
      </c>
      <c r="C284" s="23" t="s">
        <v>572</v>
      </c>
      <c r="D284" s="10"/>
      <c r="E284" s="26" t="s">
        <v>572</v>
      </c>
      <c r="F284" s="28" t="s">
        <v>1217</v>
      </c>
      <c r="G284" s="28">
        <v>72.510000000000005</v>
      </c>
      <c r="H284" s="28">
        <v>23.62</v>
      </c>
      <c r="I284" s="28">
        <v>3.08</v>
      </c>
      <c r="J284" s="28">
        <v>2.0249999999999999</v>
      </c>
      <c r="K284" s="28">
        <v>8.41</v>
      </c>
      <c r="L284" s="25">
        <v>9.1267999999999994</v>
      </c>
      <c r="M284" s="25">
        <v>13.729100000000001</v>
      </c>
      <c r="N284" s="28">
        <v>51.91</v>
      </c>
      <c r="O284" s="28">
        <v>69.92</v>
      </c>
      <c r="P284" s="28">
        <v>1.3968406858023501</v>
      </c>
      <c r="Q284" s="28">
        <v>1.0370423340961099</v>
      </c>
    </row>
    <row r="285" spans="2:17" ht="15" customHeight="1" x14ac:dyDescent="0.25">
      <c r="B285" s="22" t="s">
        <v>573</v>
      </c>
      <c r="C285" s="23" t="s">
        <v>574</v>
      </c>
      <c r="D285" s="10"/>
      <c r="E285" s="26" t="s">
        <v>574</v>
      </c>
      <c r="F285" s="28" t="s">
        <v>1218</v>
      </c>
      <c r="G285" s="28">
        <v>23.28</v>
      </c>
      <c r="H285" s="28">
        <v>18.649999999999999</v>
      </c>
      <c r="I285" s="28">
        <v>0.95</v>
      </c>
      <c r="J285" s="28">
        <v>0</v>
      </c>
      <c r="K285" s="28">
        <v>2.16</v>
      </c>
      <c r="L285" s="25">
        <v>-0.96060000000000001</v>
      </c>
      <c r="M285" s="25">
        <v>-2.0478000000000001</v>
      </c>
      <c r="N285" s="28">
        <v>22.77</v>
      </c>
      <c r="O285" s="28">
        <v>29.54</v>
      </c>
      <c r="P285" s="28">
        <v>1.0223978919631094</v>
      </c>
      <c r="Q285" s="28">
        <v>0.78808395396073117</v>
      </c>
    </row>
    <row r="286" spans="2:17" ht="15" customHeight="1" x14ac:dyDescent="0.25">
      <c r="B286" s="22" t="s">
        <v>575</v>
      </c>
      <c r="C286" s="23" t="s">
        <v>576</v>
      </c>
      <c r="D286" s="10"/>
      <c r="E286" s="26" t="s">
        <v>576</v>
      </c>
      <c r="F286" s="28" t="s">
        <v>1219</v>
      </c>
      <c r="G286" s="28">
        <v>46.35</v>
      </c>
      <c r="H286" s="28">
        <v>150.22999999999999</v>
      </c>
      <c r="I286" s="28">
        <v>2.63</v>
      </c>
      <c r="J286" s="28">
        <v>2.0299999999999998</v>
      </c>
      <c r="K286" s="28">
        <v>3.98</v>
      </c>
      <c r="L286" s="25">
        <v>2.4544000000000001</v>
      </c>
      <c r="M286" s="25">
        <v>2.2565</v>
      </c>
      <c r="N286" s="28">
        <v>36.799999999999997</v>
      </c>
      <c r="O286" s="28">
        <v>47.72</v>
      </c>
      <c r="P286" s="28">
        <v>1.2595108695652175</v>
      </c>
      <c r="Q286" s="28">
        <v>0.97129086336965642</v>
      </c>
    </row>
    <row r="287" spans="2:17" ht="15" customHeight="1" x14ac:dyDescent="0.25">
      <c r="B287" s="22" t="s">
        <v>577</v>
      </c>
      <c r="C287" s="23" t="s">
        <v>578</v>
      </c>
      <c r="D287" s="10"/>
      <c r="E287" s="26" t="s">
        <v>578</v>
      </c>
      <c r="F287" s="28" t="s">
        <v>1220</v>
      </c>
      <c r="G287" s="28">
        <v>37.770000000000003</v>
      </c>
      <c r="H287" s="28">
        <v>18.489999999999998</v>
      </c>
      <c r="I287" s="28">
        <v>0.91</v>
      </c>
      <c r="J287" s="28">
        <v>0</v>
      </c>
      <c r="K287" s="28">
        <v>0.65</v>
      </c>
      <c r="L287" s="25">
        <v>0.42530000000000001</v>
      </c>
      <c r="M287" s="25">
        <v>2.8130000000000002</v>
      </c>
      <c r="N287" s="28">
        <v>27.18</v>
      </c>
      <c r="O287" s="28">
        <v>41.7</v>
      </c>
      <c r="P287" s="28">
        <v>1.3896247240618103</v>
      </c>
      <c r="Q287" s="28">
        <v>0.90575539568345331</v>
      </c>
    </row>
    <row r="288" spans="2:17" ht="15" customHeight="1" x14ac:dyDescent="0.25">
      <c r="B288" s="22" t="s">
        <v>579</v>
      </c>
      <c r="C288" s="23" t="s">
        <v>580</v>
      </c>
      <c r="D288" s="10"/>
      <c r="E288" s="26" t="s">
        <v>580</v>
      </c>
      <c r="F288" s="28" t="s">
        <v>1425</v>
      </c>
      <c r="G288" s="28">
        <v>44.75</v>
      </c>
      <c r="H288" s="28">
        <v>18.559999999999999</v>
      </c>
      <c r="I288" s="28">
        <v>1.38</v>
      </c>
      <c r="J288" s="28">
        <v>0.46</v>
      </c>
      <c r="K288" s="28">
        <v>9.19</v>
      </c>
      <c r="L288" s="25">
        <v>-5.5999999999999999E-3</v>
      </c>
      <c r="M288" s="25">
        <v>0.67179999999999995</v>
      </c>
      <c r="N288" s="28">
        <v>36.5</v>
      </c>
      <c r="O288" s="28">
        <v>49.37</v>
      </c>
      <c r="P288" s="28">
        <v>1.226027397260274</v>
      </c>
      <c r="Q288" s="28">
        <v>0.90642090338262105</v>
      </c>
    </row>
    <row r="289" spans="2:17" ht="15" customHeight="1" x14ac:dyDescent="0.25">
      <c r="B289" s="22" t="s">
        <v>581</v>
      </c>
      <c r="C289" s="23" t="s">
        <v>582</v>
      </c>
      <c r="D289" s="10"/>
      <c r="E289" s="26" t="s">
        <v>582</v>
      </c>
      <c r="F289" s="28" t="s">
        <v>582</v>
      </c>
      <c r="G289" s="28">
        <v>0</v>
      </c>
      <c r="H289" s="28">
        <v>0</v>
      </c>
      <c r="I289" s="28">
        <v>0</v>
      </c>
      <c r="J289" s="28">
        <v>0</v>
      </c>
      <c r="K289" s="28">
        <v>0</v>
      </c>
      <c r="L289" s="25">
        <v>0</v>
      </c>
      <c r="M289" s="25">
        <v>0</v>
      </c>
      <c r="N289" s="28">
        <v>0</v>
      </c>
      <c r="O289" s="28">
        <v>0</v>
      </c>
      <c r="P289" s="28"/>
      <c r="Q289" s="28"/>
    </row>
    <row r="290" spans="2:17" ht="15" customHeight="1" x14ac:dyDescent="0.25">
      <c r="B290" s="22" t="s">
        <v>583</v>
      </c>
      <c r="C290" s="23" t="s">
        <v>584</v>
      </c>
      <c r="D290" s="10"/>
      <c r="E290" s="26" t="s">
        <v>584</v>
      </c>
      <c r="F290" s="28" t="s">
        <v>1221</v>
      </c>
      <c r="G290" s="28">
        <v>14.18</v>
      </c>
      <c r="H290" s="28">
        <v>8.2799999999999994</v>
      </c>
      <c r="I290" s="28">
        <v>0.93</v>
      </c>
      <c r="J290" s="28">
        <v>0.42499999999999999</v>
      </c>
      <c r="K290" s="28">
        <v>8.52</v>
      </c>
      <c r="L290" s="25">
        <v>0.15</v>
      </c>
      <c r="M290" s="25">
        <v>-1.0988</v>
      </c>
      <c r="N290" s="28">
        <v>11.93</v>
      </c>
      <c r="O290" s="28">
        <v>16.07</v>
      </c>
      <c r="P290" s="28">
        <v>1.1886001676445934</v>
      </c>
      <c r="Q290" s="28">
        <v>0.88238954573739892</v>
      </c>
    </row>
    <row r="291" spans="2:17" ht="15" customHeight="1" x14ac:dyDescent="0.25">
      <c r="B291" s="22" t="s">
        <v>585</v>
      </c>
      <c r="C291" s="23" t="s">
        <v>586</v>
      </c>
      <c r="D291" s="10"/>
      <c r="E291" s="26" t="s">
        <v>586</v>
      </c>
      <c r="F291" s="28" t="s">
        <v>586</v>
      </c>
      <c r="G291" s="28">
        <v>0</v>
      </c>
      <c r="H291" s="28">
        <v>0</v>
      </c>
      <c r="I291" s="28">
        <v>0</v>
      </c>
      <c r="J291" s="28">
        <v>0</v>
      </c>
      <c r="K291" s="28">
        <v>0</v>
      </c>
      <c r="L291" s="25">
        <v>0</v>
      </c>
      <c r="M291" s="25">
        <v>0</v>
      </c>
      <c r="N291" s="28">
        <v>0</v>
      </c>
      <c r="O291" s="28">
        <v>0</v>
      </c>
      <c r="P291" s="28"/>
      <c r="Q291" s="28"/>
    </row>
    <row r="292" spans="2:17" ht="15" customHeight="1" x14ac:dyDescent="0.25">
      <c r="B292" s="22" t="s">
        <v>587</v>
      </c>
      <c r="C292" s="23" t="s">
        <v>588</v>
      </c>
      <c r="D292" s="10"/>
      <c r="E292" s="26" t="s">
        <v>588</v>
      </c>
      <c r="F292" s="28" t="s">
        <v>1222</v>
      </c>
      <c r="G292" s="28">
        <v>68.510000000000005</v>
      </c>
      <c r="H292" s="28">
        <v>11.46</v>
      </c>
      <c r="I292" s="28">
        <v>0.8</v>
      </c>
      <c r="J292" s="28">
        <v>0.49</v>
      </c>
      <c r="K292" s="28">
        <v>1.41</v>
      </c>
      <c r="L292" s="25">
        <v>-1.7949999999999999</v>
      </c>
      <c r="M292" s="25">
        <v>-5.2028999999999996</v>
      </c>
      <c r="N292" s="28">
        <v>59.07</v>
      </c>
      <c r="O292" s="28">
        <v>85.16</v>
      </c>
      <c r="P292" s="28">
        <v>1.159810394447266</v>
      </c>
      <c r="Q292" s="28">
        <v>0.80448567402536408</v>
      </c>
    </row>
    <row r="293" spans="2:17" ht="15" customHeight="1" x14ac:dyDescent="0.25">
      <c r="B293" s="22" t="s">
        <v>589</v>
      </c>
      <c r="C293" s="23" t="s">
        <v>590</v>
      </c>
      <c r="D293" s="10"/>
      <c r="E293" s="26" t="s">
        <v>590</v>
      </c>
      <c r="F293" s="28" t="s">
        <v>1223</v>
      </c>
      <c r="G293" s="28">
        <v>58.38</v>
      </c>
      <c r="H293" s="28">
        <v>24.78</v>
      </c>
      <c r="I293" s="28">
        <v>1.39</v>
      </c>
      <c r="J293" s="28">
        <v>0</v>
      </c>
      <c r="K293" s="28">
        <v>5.69</v>
      </c>
      <c r="L293" s="25">
        <v>-6.09</v>
      </c>
      <c r="M293" s="25">
        <v>-9.3483000000000001</v>
      </c>
      <c r="N293" s="28">
        <v>56.1</v>
      </c>
      <c r="O293" s="28">
        <v>75.45</v>
      </c>
      <c r="P293" s="28">
        <v>1.0406417112299464</v>
      </c>
      <c r="Q293" s="28">
        <v>0.77375745526838957</v>
      </c>
    </row>
    <row r="294" spans="2:17" ht="15" customHeight="1" x14ac:dyDescent="0.25">
      <c r="B294" s="22" t="s">
        <v>591</v>
      </c>
      <c r="C294" s="23" t="s">
        <v>592</v>
      </c>
      <c r="D294" s="10"/>
      <c r="E294" s="26" t="s">
        <v>592</v>
      </c>
      <c r="F294" s="28" t="s">
        <v>1224</v>
      </c>
      <c r="G294" s="28">
        <v>60.09</v>
      </c>
      <c r="H294" s="28">
        <v>20.59</v>
      </c>
      <c r="I294" s="28">
        <v>3.05</v>
      </c>
      <c r="J294" s="28">
        <v>1.25</v>
      </c>
      <c r="K294" s="28">
        <v>3.62</v>
      </c>
      <c r="L294" s="25">
        <v>-0.74260000000000004</v>
      </c>
      <c r="M294" s="25">
        <v>3.3307000000000002</v>
      </c>
      <c r="N294" s="28">
        <v>47.41</v>
      </c>
      <c r="O294" s="28">
        <v>67.52</v>
      </c>
      <c r="P294" s="28">
        <v>1.2674541236026153</v>
      </c>
      <c r="Q294" s="28">
        <v>0.88995853080568732</v>
      </c>
    </row>
    <row r="295" spans="2:17" ht="15" customHeight="1" x14ac:dyDescent="0.25">
      <c r="B295" s="22" t="s">
        <v>593</v>
      </c>
      <c r="C295" s="23" t="s">
        <v>594</v>
      </c>
      <c r="D295" s="10"/>
      <c r="E295" s="26" t="s">
        <v>594</v>
      </c>
      <c r="F295" s="28" t="s">
        <v>1225</v>
      </c>
      <c r="G295" s="28">
        <v>38.4</v>
      </c>
      <c r="H295" s="28">
        <v>8.48</v>
      </c>
      <c r="I295" s="28">
        <v>0.81</v>
      </c>
      <c r="J295" s="28">
        <v>0.44</v>
      </c>
      <c r="K295" s="28">
        <v>2.04</v>
      </c>
      <c r="L295" s="25">
        <v>-0.65210000000000001</v>
      </c>
      <c r="M295" s="25">
        <v>-0.99480000000000002</v>
      </c>
      <c r="N295" s="28">
        <v>29.62</v>
      </c>
      <c r="O295" s="28">
        <v>46.14</v>
      </c>
      <c r="P295" s="28">
        <v>1.2964213369345039</v>
      </c>
      <c r="Q295" s="28">
        <v>0.8322496749024707</v>
      </c>
    </row>
    <row r="296" spans="2:17" ht="15" customHeight="1" x14ac:dyDescent="0.25">
      <c r="B296" s="22" t="s">
        <v>595</v>
      </c>
      <c r="C296" s="23" t="s">
        <v>596</v>
      </c>
      <c r="D296" s="10"/>
      <c r="E296" s="26" t="s">
        <v>596</v>
      </c>
      <c r="F296" s="28" t="s">
        <v>1226</v>
      </c>
      <c r="G296" s="28">
        <v>89</v>
      </c>
      <c r="H296" s="28">
        <v>14.78</v>
      </c>
      <c r="I296" s="28">
        <v>1.1399999999999999</v>
      </c>
      <c r="J296" s="28">
        <v>0</v>
      </c>
      <c r="K296" s="28">
        <v>3.1</v>
      </c>
      <c r="L296" s="25">
        <v>-6.88E-2</v>
      </c>
      <c r="M296" s="25">
        <v>0.90880000000000005</v>
      </c>
      <c r="N296" s="28">
        <v>81.56</v>
      </c>
      <c r="O296" s="28">
        <v>94.37</v>
      </c>
      <c r="P296" s="28">
        <v>1.091221186856302</v>
      </c>
      <c r="Q296" s="28">
        <v>0.94309632298399915</v>
      </c>
    </row>
    <row r="297" spans="2:17" ht="15" customHeight="1" x14ac:dyDescent="0.25">
      <c r="B297" s="22" t="s">
        <v>597</v>
      </c>
      <c r="C297" s="23" t="s">
        <v>598</v>
      </c>
      <c r="D297" s="10"/>
      <c r="E297" s="26" t="s">
        <v>598</v>
      </c>
      <c r="F297" s="28" t="s">
        <v>1227</v>
      </c>
      <c r="G297" s="28">
        <v>66.66</v>
      </c>
      <c r="H297" s="28">
        <v>20.399999999999999</v>
      </c>
      <c r="I297" s="28">
        <v>2.0299999999999998</v>
      </c>
      <c r="J297" s="28">
        <v>1.25</v>
      </c>
      <c r="K297" s="28">
        <v>3.41</v>
      </c>
      <c r="L297" s="25">
        <v>2.99</v>
      </c>
      <c r="M297" s="25">
        <v>4.8091999999999997</v>
      </c>
      <c r="N297" s="28">
        <v>49.72</v>
      </c>
      <c r="O297" s="28">
        <v>66.91</v>
      </c>
      <c r="P297" s="28">
        <v>1.3407079646017701</v>
      </c>
      <c r="Q297" s="28">
        <v>0.99626363772231363</v>
      </c>
    </row>
    <row r="298" spans="2:17" ht="15" customHeight="1" x14ac:dyDescent="0.25">
      <c r="B298" s="22" t="s">
        <v>599</v>
      </c>
      <c r="C298" s="23" t="s">
        <v>600</v>
      </c>
      <c r="D298" s="10"/>
      <c r="E298" s="26" t="s">
        <v>600</v>
      </c>
      <c r="F298" s="28" t="s">
        <v>1228</v>
      </c>
      <c r="G298" s="28">
        <v>20.14</v>
      </c>
      <c r="H298" s="28">
        <v>0</v>
      </c>
      <c r="I298" s="28">
        <v>1.75</v>
      </c>
      <c r="J298" s="28">
        <v>0.35</v>
      </c>
      <c r="K298" s="28">
        <v>0.82</v>
      </c>
      <c r="L298" s="25">
        <v>0.89</v>
      </c>
      <c r="M298" s="25">
        <v>1.3861000000000001</v>
      </c>
      <c r="N298" s="28">
        <v>13.32</v>
      </c>
      <c r="O298" s="28">
        <v>22.97</v>
      </c>
      <c r="P298" s="28">
        <v>1.512012012012012</v>
      </c>
      <c r="Q298" s="28">
        <v>0.87679582063561168</v>
      </c>
    </row>
    <row r="299" spans="2:17" ht="15" customHeight="1" x14ac:dyDescent="0.25">
      <c r="B299" s="22" t="s">
        <v>601</v>
      </c>
      <c r="C299" s="23" t="s">
        <v>602</v>
      </c>
      <c r="D299" s="10"/>
      <c r="E299" s="26" t="s">
        <v>602</v>
      </c>
      <c r="F299" s="28" t="s">
        <v>602</v>
      </c>
      <c r="G299" s="28">
        <v>0</v>
      </c>
      <c r="H299" s="28">
        <v>0</v>
      </c>
      <c r="I299" s="28">
        <v>0</v>
      </c>
      <c r="J299" s="28">
        <v>0</v>
      </c>
      <c r="K299" s="28">
        <v>0</v>
      </c>
      <c r="L299" s="25">
        <v>0</v>
      </c>
      <c r="M299" s="25">
        <v>0</v>
      </c>
      <c r="N299" s="28">
        <v>0</v>
      </c>
      <c r="O299" s="28">
        <v>0</v>
      </c>
      <c r="P299" s="28"/>
      <c r="Q299" s="28"/>
    </row>
    <row r="300" spans="2:17" ht="15" customHeight="1" x14ac:dyDescent="0.25">
      <c r="B300" s="22" t="s">
        <v>603</v>
      </c>
      <c r="C300" s="23" t="s">
        <v>604</v>
      </c>
      <c r="D300" s="10"/>
      <c r="E300" s="26" t="s">
        <v>604</v>
      </c>
      <c r="F300" s="28" t="s">
        <v>1426</v>
      </c>
      <c r="G300" s="28">
        <v>81.34</v>
      </c>
      <c r="H300" s="28">
        <v>18.18</v>
      </c>
      <c r="I300" s="28">
        <v>1.0900000000000001</v>
      </c>
      <c r="J300" s="28">
        <v>0</v>
      </c>
      <c r="K300" s="28">
        <v>3.15</v>
      </c>
      <c r="L300" s="25">
        <v>0.41499999999999998</v>
      </c>
      <c r="M300" s="25">
        <v>4.8460999999999999</v>
      </c>
      <c r="N300" s="28">
        <v>64.48</v>
      </c>
      <c r="O300" s="28">
        <v>86.5</v>
      </c>
      <c r="P300" s="28">
        <v>1.2614764267990075</v>
      </c>
      <c r="Q300" s="28">
        <v>0.94034682080924858</v>
      </c>
    </row>
    <row r="301" spans="2:17" ht="15" customHeight="1" x14ac:dyDescent="0.25">
      <c r="B301" s="22" t="s">
        <v>605</v>
      </c>
      <c r="C301" s="23" t="s">
        <v>606</v>
      </c>
      <c r="D301" s="10"/>
      <c r="E301" s="26" t="s">
        <v>606</v>
      </c>
      <c r="F301" s="28" t="s">
        <v>1229</v>
      </c>
      <c r="G301" s="28">
        <v>136.71</v>
      </c>
      <c r="H301" s="28">
        <v>16.2</v>
      </c>
      <c r="I301" s="28">
        <v>0.99</v>
      </c>
      <c r="J301" s="28">
        <v>2.58</v>
      </c>
      <c r="K301" s="28">
        <v>3.16</v>
      </c>
      <c r="L301" s="25">
        <v>3.198</v>
      </c>
      <c r="M301" s="25">
        <v>10.98</v>
      </c>
      <c r="N301" s="28">
        <v>104.08</v>
      </c>
      <c r="O301" s="28">
        <v>148.43</v>
      </c>
      <c r="P301" s="28">
        <v>1.313508839354343</v>
      </c>
      <c r="Q301" s="28">
        <v>0.92104022097958638</v>
      </c>
    </row>
    <row r="302" spans="2:17" ht="15" customHeight="1" x14ac:dyDescent="0.25">
      <c r="B302" s="22" t="s">
        <v>607</v>
      </c>
      <c r="C302" s="23" t="s">
        <v>608</v>
      </c>
      <c r="D302" s="10"/>
      <c r="E302" s="26" t="s">
        <v>608</v>
      </c>
      <c r="F302" s="28" t="s">
        <v>608</v>
      </c>
      <c r="G302" s="28">
        <v>0</v>
      </c>
      <c r="H302" s="28">
        <v>0</v>
      </c>
      <c r="I302" s="28">
        <v>0</v>
      </c>
      <c r="J302" s="28">
        <v>0</v>
      </c>
      <c r="K302" s="28">
        <v>0</v>
      </c>
      <c r="L302" s="25">
        <v>0</v>
      </c>
      <c r="M302" s="25">
        <v>0</v>
      </c>
      <c r="N302" s="28">
        <v>0</v>
      </c>
      <c r="O302" s="28">
        <v>0</v>
      </c>
      <c r="P302" s="28"/>
      <c r="Q302" s="28"/>
    </row>
    <row r="303" spans="2:17" ht="15" customHeight="1" x14ac:dyDescent="0.25">
      <c r="B303" s="22" t="s">
        <v>609</v>
      </c>
      <c r="C303" s="23" t="s">
        <v>610</v>
      </c>
      <c r="D303" s="10"/>
      <c r="E303" s="26" t="s">
        <v>610</v>
      </c>
      <c r="F303" s="28" t="s">
        <v>1230</v>
      </c>
      <c r="G303" s="28">
        <v>41.73</v>
      </c>
      <c r="H303" s="28">
        <v>13.09</v>
      </c>
      <c r="I303" s="28">
        <v>1.64</v>
      </c>
      <c r="J303" s="28">
        <v>0.4</v>
      </c>
      <c r="K303" s="28">
        <v>2.66</v>
      </c>
      <c r="L303" s="25">
        <v>-2.0756000000000001</v>
      </c>
      <c r="M303" s="25">
        <v>2.0215999999999998</v>
      </c>
      <c r="N303" s="28">
        <v>35.32</v>
      </c>
      <c r="O303" s="28">
        <v>48.36</v>
      </c>
      <c r="P303" s="28">
        <v>1.1814835787089468</v>
      </c>
      <c r="Q303" s="28">
        <v>0.86290322580645173</v>
      </c>
    </row>
    <row r="304" spans="2:17" ht="15" customHeight="1" x14ac:dyDescent="0.25">
      <c r="B304" s="22" t="s">
        <v>611</v>
      </c>
      <c r="C304" s="23" t="s">
        <v>612</v>
      </c>
      <c r="D304" s="10"/>
      <c r="E304" s="26" t="s">
        <v>612</v>
      </c>
      <c r="F304" s="28" t="s">
        <v>1231</v>
      </c>
      <c r="G304" s="28">
        <v>54.8</v>
      </c>
      <c r="H304" s="28">
        <v>14.87</v>
      </c>
      <c r="I304" s="28">
        <v>0</v>
      </c>
      <c r="J304" s="28">
        <v>1.96</v>
      </c>
      <c r="K304" s="28">
        <v>4.03</v>
      </c>
      <c r="L304" s="25">
        <v>1.1609</v>
      </c>
      <c r="M304" s="25">
        <v>5.3895999999999997</v>
      </c>
      <c r="N304" s="28">
        <v>38.56</v>
      </c>
      <c r="O304" s="28">
        <v>55.03</v>
      </c>
      <c r="P304" s="28">
        <v>1.4211618257261411</v>
      </c>
      <c r="Q304" s="28">
        <v>0.99582046156641835</v>
      </c>
    </row>
    <row r="305" spans="2:17" ht="15" customHeight="1" x14ac:dyDescent="0.25">
      <c r="B305" s="22" t="s">
        <v>613</v>
      </c>
      <c r="C305" s="23" t="s">
        <v>614</v>
      </c>
      <c r="D305" s="10"/>
      <c r="E305" s="26" t="s">
        <v>614</v>
      </c>
      <c r="F305" s="28" t="s">
        <v>614</v>
      </c>
      <c r="G305" s="28">
        <v>0</v>
      </c>
      <c r="H305" s="28">
        <v>0</v>
      </c>
      <c r="I305" s="28">
        <v>0</v>
      </c>
      <c r="J305" s="28">
        <v>0</v>
      </c>
      <c r="K305" s="28">
        <v>0</v>
      </c>
      <c r="L305" s="25">
        <v>0</v>
      </c>
      <c r="M305" s="25">
        <v>0</v>
      </c>
      <c r="N305" s="28">
        <v>0</v>
      </c>
      <c r="O305" s="28">
        <v>0</v>
      </c>
      <c r="P305" s="28"/>
      <c r="Q305" s="28"/>
    </row>
    <row r="306" spans="2:17" ht="15" customHeight="1" x14ac:dyDescent="0.25">
      <c r="B306" s="22" t="s">
        <v>615</v>
      </c>
      <c r="C306" s="23" t="s">
        <v>616</v>
      </c>
      <c r="D306" s="10"/>
      <c r="E306" s="26" t="s">
        <v>616</v>
      </c>
      <c r="F306" s="28" t="s">
        <v>1232</v>
      </c>
      <c r="G306" s="28">
        <v>35.85</v>
      </c>
      <c r="H306" s="28">
        <v>28.39</v>
      </c>
      <c r="I306" s="28">
        <v>2.56</v>
      </c>
      <c r="J306" s="28">
        <v>1.77</v>
      </c>
      <c r="K306" s="28">
        <v>2.14</v>
      </c>
      <c r="L306" s="25">
        <v>1.0988</v>
      </c>
      <c r="M306" s="25">
        <v>0.46239999999999998</v>
      </c>
      <c r="N306" s="28">
        <v>29.95</v>
      </c>
      <c r="O306" s="28">
        <v>36.46</v>
      </c>
      <c r="P306" s="28">
        <v>1.1969949916527547</v>
      </c>
      <c r="Q306" s="28">
        <v>0.98326933625891388</v>
      </c>
    </row>
    <row r="307" spans="2:17" ht="15" customHeight="1" x14ac:dyDescent="0.25">
      <c r="B307" s="22" t="s">
        <v>617</v>
      </c>
      <c r="C307" s="23" t="s">
        <v>618</v>
      </c>
      <c r="D307" s="10"/>
      <c r="E307" s="26" t="s">
        <v>618</v>
      </c>
      <c r="F307" s="28" t="s">
        <v>1233</v>
      </c>
      <c r="G307" s="28">
        <v>60.49</v>
      </c>
      <c r="H307" s="28">
        <v>22.45</v>
      </c>
      <c r="I307" s="28">
        <v>2.2000000000000002</v>
      </c>
      <c r="J307" s="28">
        <v>1.31</v>
      </c>
      <c r="K307" s="28">
        <v>8.9499999999999993</v>
      </c>
      <c r="L307" s="25">
        <v>1.8056000000000001</v>
      </c>
      <c r="M307" s="25">
        <v>5.8914</v>
      </c>
      <c r="N307" s="28">
        <v>46.33</v>
      </c>
      <c r="O307" s="28">
        <v>60.35</v>
      </c>
      <c r="P307" s="28">
        <v>1.3056334988128642</v>
      </c>
      <c r="Q307" s="28">
        <v>1.0023198011599008</v>
      </c>
    </row>
    <row r="308" spans="2:17" ht="15" customHeight="1" x14ac:dyDescent="0.25">
      <c r="B308" s="22" t="s">
        <v>619</v>
      </c>
      <c r="C308" s="23" t="s">
        <v>620</v>
      </c>
      <c r="D308" s="10"/>
      <c r="E308" s="26" t="s">
        <v>620</v>
      </c>
      <c r="F308" s="28" t="s">
        <v>1234</v>
      </c>
      <c r="G308" s="28">
        <v>70.790000000000006</v>
      </c>
      <c r="H308" s="28">
        <v>23.43</v>
      </c>
      <c r="I308" s="28">
        <v>1.27</v>
      </c>
      <c r="J308" s="28">
        <v>1.08</v>
      </c>
      <c r="K308" s="28">
        <v>3.49</v>
      </c>
      <c r="L308" s="25">
        <v>-0.89259999999999995</v>
      </c>
      <c r="M308" s="25">
        <v>8.5944000000000003</v>
      </c>
      <c r="N308" s="28">
        <v>41.54</v>
      </c>
      <c r="O308" s="28">
        <v>81.790000000000006</v>
      </c>
      <c r="P308" s="28">
        <v>1.7041405873856523</v>
      </c>
      <c r="Q308" s="28">
        <v>0.86550923095732979</v>
      </c>
    </row>
    <row r="309" spans="2:17" ht="15" customHeight="1" x14ac:dyDescent="0.25">
      <c r="B309" s="22" t="s">
        <v>621</v>
      </c>
      <c r="C309" s="23" t="s">
        <v>622</v>
      </c>
      <c r="D309" s="10"/>
      <c r="E309" s="26" t="s">
        <v>622</v>
      </c>
      <c r="F309" s="28" t="s">
        <v>1235</v>
      </c>
      <c r="G309" s="28">
        <v>22.8</v>
      </c>
      <c r="H309" s="28">
        <v>12.38</v>
      </c>
      <c r="I309" s="28">
        <v>1.04</v>
      </c>
      <c r="J309" s="28">
        <v>0.56000000000000005</v>
      </c>
      <c r="K309" s="28">
        <v>2.5099999999999998</v>
      </c>
      <c r="L309" s="25">
        <v>0.90849999999999997</v>
      </c>
      <c r="M309" s="25">
        <v>1.5546</v>
      </c>
      <c r="N309" s="28">
        <v>18.88</v>
      </c>
      <c r="O309" s="28">
        <v>24.89</v>
      </c>
      <c r="P309" s="28">
        <v>1.2076271186440677</v>
      </c>
      <c r="Q309" s="28">
        <v>0.91603053435114512</v>
      </c>
    </row>
    <row r="310" spans="2:17" ht="15" customHeight="1" x14ac:dyDescent="0.25">
      <c r="B310" s="22" t="s">
        <v>623</v>
      </c>
      <c r="C310" s="23" t="s">
        <v>624</v>
      </c>
      <c r="D310" s="10"/>
      <c r="E310" s="26" t="s">
        <v>624</v>
      </c>
      <c r="F310" s="28" t="s">
        <v>1236</v>
      </c>
      <c r="G310" s="28">
        <v>54.57</v>
      </c>
      <c r="H310" s="28">
        <v>28.66</v>
      </c>
      <c r="I310" s="28">
        <v>1.33</v>
      </c>
      <c r="J310" s="28">
        <v>0.76</v>
      </c>
      <c r="K310" s="28">
        <v>7.72</v>
      </c>
      <c r="L310" s="25">
        <v>-0.53149999999999997</v>
      </c>
      <c r="M310" s="25">
        <v>3.0442</v>
      </c>
      <c r="N310" s="28">
        <v>43.04</v>
      </c>
      <c r="O310" s="28">
        <v>62.72</v>
      </c>
      <c r="P310" s="28">
        <v>1.2678903345724908</v>
      </c>
      <c r="Q310" s="28">
        <v>0.87005739795918369</v>
      </c>
    </row>
    <row r="311" spans="2:17" ht="15" customHeight="1" x14ac:dyDescent="0.25">
      <c r="B311" s="22" t="s">
        <v>625</v>
      </c>
      <c r="C311" s="23" t="s">
        <v>626</v>
      </c>
      <c r="D311" s="10"/>
      <c r="E311" s="26" t="s">
        <v>626</v>
      </c>
      <c r="F311" s="28" t="s">
        <v>1427</v>
      </c>
      <c r="G311" s="28">
        <v>37.39</v>
      </c>
      <c r="H311" s="28">
        <v>20.84</v>
      </c>
      <c r="I311" s="28">
        <v>2.44</v>
      </c>
      <c r="J311" s="28">
        <v>0.88</v>
      </c>
      <c r="K311" s="28">
        <v>3.4</v>
      </c>
      <c r="L311" s="25">
        <v>0.37909999999999999</v>
      </c>
      <c r="M311" s="25">
        <v>2.4430000000000001</v>
      </c>
      <c r="N311" s="28">
        <v>30.25</v>
      </c>
      <c r="O311" s="28">
        <v>37.96</v>
      </c>
      <c r="P311" s="28">
        <v>1.2360330578512397</v>
      </c>
      <c r="Q311" s="28">
        <v>0.98498419388830349</v>
      </c>
    </row>
    <row r="312" spans="2:17" ht="15" customHeight="1" x14ac:dyDescent="0.25">
      <c r="B312" s="22" t="s">
        <v>627</v>
      </c>
      <c r="C312" s="23" t="s">
        <v>628</v>
      </c>
      <c r="D312" s="10"/>
      <c r="E312" s="26" t="s">
        <v>628</v>
      </c>
      <c r="F312" s="28" t="s">
        <v>1237</v>
      </c>
      <c r="G312" s="28">
        <v>62.02</v>
      </c>
      <c r="H312" s="28">
        <v>12.93</v>
      </c>
      <c r="I312" s="28">
        <v>5.08</v>
      </c>
      <c r="J312" s="28">
        <v>3.32</v>
      </c>
      <c r="K312" s="28">
        <v>1.19</v>
      </c>
      <c r="L312" s="25">
        <v>-1.4232</v>
      </c>
      <c r="M312" s="25">
        <v>-4.1546000000000003</v>
      </c>
      <c r="N312" s="28">
        <v>61.09</v>
      </c>
      <c r="O312" s="28">
        <v>64.86</v>
      </c>
      <c r="P312" s="28">
        <v>1.0152234408250123</v>
      </c>
      <c r="Q312" s="28">
        <v>0.95621338267036704</v>
      </c>
    </row>
    <row r="313" spans="2:17" ht="15" customHeight="1" x14ac:dyDescent="0.25">
      <c r="B313" s="22" t="s">
        <v>629</v>
      </c>
      <c r="C313" s="23" t="s">
        <v>630</v>
      </c>
      <c r="D313" s="10"/>
      <c r="E313" s="26" t="s">
        <v>630</v>
      </c>
      <c r="F313" s="28" t="s">
        <v>1238</v>
      </c>
      <c r="G313" s="28">
        <v>27.4</v>
      </c>
      <c r="H313" s="28">
        <v>13.33</v>
      </c>
      <c r="I313" s="28">
        <v>0.94</v>
      </c>
      <c r="J313" s="28">
        <v>0.52</v>
      </c>
      <c r="K313" s="28">
        <v>0.89</v>
      </c>
      <c r="L313" s="25">
        <v>0.1268</v>
      </c>
      <c r="M313" s="25">
        <v>2.6257999999999999</v>
      </c>
      <c r="N313" s="28">
        <v>19.3</v>
      </c>
      <c r="O313" s="28">
        <v>26.95</v>
      </c>
      <c r="P313" s="28">
        <v>1.4196891191709844</v>
      </c>
      <c r="Q313" s="28">
        <v>1.0166975881261597</v>
      </c>
    </row>
    <row r="314" spans="2:17" ht="15" customHeight="1" x14ac:dyDescent="0.25">
      <c r="B314" s="22" t="s">
        <v>631</v>
      </c>
      <c r="C314" s="23" t="s">
        <v>632</v>
      </c>
      <c r="D314" s="10"/>
      <c r="E314" s="26" t="s">
        <v>632</v>
      </c>
      <c r="F314" s="28" t="s">
        <v>1239</v>
      </c>
      <c r="G314" s="28">
        <v>37.1</v>
      </c>
      <c r="H314" s="28">
        <v>31.37</v>
      </c>
      <c r="I314" s="28">
        <v>3.51</v>
      </c>
      <c r="J314" s="28">
        <v>1.37</v>
      </c>
      <c r="K314" s="28">
        <v>4.38</v>
      </c>
      <c r="L314" s="25">
        <v>1.1815</v>
      </c>
      <c r="M314" s="25">
        <v>3.4306999999999999</v>
      </c>
      <c r="N314" s="28">
        <v>30.64</v>
      </c>
      <c r="O314" s="28">
        <v>35.44</v>
      </c>
      <c r="P314" s="28">
        <v>1.2108355091383811</v>
      </c>
      <c r="Q314" s="28">
        <v>1.0468397291196387</v>
      </c>
    </row>
    <row r="315" spans="2:17" ht="15" customHeight="1" x14ac:dyDescent="0.25">
      <c r="B315" s="22" t="s">
        <v>633</v>
      </c>
      <c r="C315" s="23" t="s">
        <v>634</v>
      </c>
      <c r="D315" s="10"/>
      <c r="E315" s="26" t="s">
        <v>634</v>
      </c>
      <c r="F315" s="28" t="s">
        <v>1240</v>
      </c>
      <c r="G315" s="28">
        <v>61.59</v>
      </c>
      <c r="H315" s="28">
        <v>21.3</v>
      </c>
      <c r="I315" s="28">
        <v>2.29</v>
      </c>
      <c r="J315" s="28">
        <v>1.62</v>
      </c>
      <c r="K315" s="28">
        <v>4.63</v>
      </c>
      <c r="L315" s="25">
        <v>1.4127000000000001</v>
      </c>
      <c r="M315" s="25">
        <v>3.2494000000000001</v>
      </c>
      <c r="N315" s="28">
        <v>50.89</v>
      </c>
      <c r="O315" s="28">
        <v>63.58</v>
      </c>
      <c r="P315" s="28">
        <v>1.2102574179603067</v>
      </c>
      <c r="Q315" s="28">
        <v>0.96870084932368672</v>
      </c>
    </row>
    <row r="316" spans="2:17" ht="15" customHeight="1" x14ac:dyDescent="0.25">
      <c r="B316" s="22" t="s">
        <v>635</v>
      </c>
      <c r="C316" s="23" t="s">
        <v>636</v>
      </c>
      <c r="D316" s="10"/>
      <c r="E316" s="26" t="s">
        <v>636</v>
      </c>
      <c r="F316" s="28" t="s">
        <v>1428</v>
      </c>
      <c r="G316" s="28">
        <v>49.62</v>
      </c>
      <c r="H316" s="28">
        <v>26.9</v>
      </c>
      <c r="I316" s="28">
        <v>1.38</v>
      </c>
      <c r="J316" s="28">
        <v>0</v>
      </c>
      <c r="K316" s="28">
        <v>9.43</v>
      </c>
      <c r="L316" s="25">
        <v>0.82320000000000004</v>
      </c>
      <c r="M316" s="25">
        <v>-2.1646999999999998</v>
      </c>
      <c r="N316" s="28">
        <v>39.99</v>
      </c>
      <c r="O316" s="28">
        <v>61.36</v>
      </c>
      <c r="P316" s="28">
        <v>1.2408102025506376</v>
      </c>
      <c r="Q316" s="28">
        <v>0.80867014341590626</v>
      </c>
    </row>
    <row r="317" spans="2:17" ht="15" customHeight="1" x14ac:dyDescent="0.25">
      <c r="B317" s="22" t="s">
        <v>637</v>
      </c>
      <c r="C317" s="23" t="s">
        <v>638</v>
      </c>
      <c r="D317" s="10"/>
      <c r="E317" s="26" t="s">
        <v>638</v>
      </c>
      <c r="F317" s="28" t="s">
        <v>1241</v>
      </c>
      <c r="G317" s="28">
        <v>44.79</v>
      </c>
      <c r="H317" s="28">
        <v>18.46</v>
      </c>
      <c r="I317" s="28">
        <v>2.33</v>
      </c>
      <c r="J317" s="28">
        <v>1.28</v>
      </c>
      <c r="K317" s="28">
        <v>1.02</v>
      </c>
      <c r="L317" s="25">
        <v>0.3291</v>
      </c>
      <c r="M317" s="25">
        <v>1.1126</v>
      </c>
      <c r="N317" s="28">
        <v>37.96</v>
      </c>
      <c r="O317" s="28">
        <v>46.7</v>
      </c>
      <c r="P317" s="28">
        <v>1.1799262381454163</v>
      </c>
      <c r="Q317" s="28">
        <v>0.95910064239828696</v>
      </c>
    </row>
    <row r="318" spans="2:17" ht="15" customHeight="1" x14ac:dyDescent="0.25">
      <c r="B318" s="22" t="s">
        <v>639</v>
      </c>
      <c r="C318" s="23" t="s">
        <v>640</v>
      </c>
      <c r="D318" s="10"/>
      <c r="E318" s="26" t="s">
        <v>640</v>
      </c>
      <c r="F318" s="28" t="s">
        <v>1242</v>
      </c>
      <c r="G318" s="28">
        <v>21.05</v>
      </c>
      <c r="H318" s="28">
        <v>0</v>
      </c>
      <c r="I318" s="28">
        <v>0.71</v>
      </c>
      <c r="J318" s="28">
        <v>0.2</v>
      </c>
      <c r="K318" s="28">
        <v>0.86</v>
      </c>
      <c r="L318" s="25">
        <v>-2.1429</v>
      </c>
      <c r="M318" s="25">
        <v>-0.99160000000000004</v>
      </c>
      <c r="N318" s="28">
        <v>17.670000000000002</v>
      </c>
      <c r="O318" s="28">
        <v>26.07</v>
      </c>
      <c r="P318" s="28">
        <v>1.191284663271081</v>
      </c>
      <c r="Q318" s="28">
        <v>0.80744150364403533</v>
      </c>
    </row>
    <row r="319" spans="2:17" ht="15" customHeight="1" x14ac:dyDescent="0.25">
      <c r="B319" s="22" t="s">
        <v>641</v>
      </c>
      <c r="C319" s="23" t="s">
        <v>642</v>
      </c>
      <c r="D319" s="10"/>
      <c r="E319" s="26" t="s">
        <v>642</v>
      </c>
      <c r="F319" s="28" t="s">
        <v>642</v>
      </c>
      <c r="G319" s="28">
        <v>0</v>
      </c>
      <c r="H319" s="28">
        <v>0</v>
      </c>
      <c r="I319" s="28">
        <v>0</v>
      </c>
      <c r="J319" s="28">
        <v>0</v>
      </c>
      <c r="K319" s="28">
        <v>0</v>
      </c>
      <c r="L319" s="25">
        <v>0</v>
      </c>
      <c r="M319" s="25">
        <v>0</v>
      </c>
      <c r="N319" s="28">
        <v>0</v>
      </c>
      <c r="O319" s="28">
        <v>0</v>
      </c>
      <c r="P319" s="28"/>
      <c r="Q319" s="28"/>
    </row>
    <row r="320" spans="2:17" ht="15" customHeight="1" x14ac:dyDescent="0.25">
      <c r="B320" s="22" t="s">
        <v>643</v>
      </c>
      <c r="C320" s="23" t="s">
        <v>644</v>
      </c>
      <c r="D320" s="10"/>
      <c r="E320" s="26" t="s">
        <v>644</v>
      </c>
      <c r="F320" s="28" t="s">
        <v>1243</v>
      </c>
      <c r="G320" s="28">
        <v>23.75</v>
      </c>
      <c r="H320" s="28">
        <v>18.09</v>
      </c>
      <c r="I320" s="28">
        <v>1.56</v>
      </c>
      <c r="J320" s="28">
        <v>0.4</v>
      </c>
      <c r="K320" s="28">
        <v>3.05</v>
      </c>
      <c r="L320" s="25">
        <v>0.46760000000000002</v>
      </c>
      <c r="M320" s="25">
        <v>0.83299999999999996</v>
      </c>
      <c r="N320" s="28">
        <v>21.1</v>
      </c>
      <c r="O320" s="28">
        <v>25.59</v>
      </c>
      <c r="P320" s="28">
        <v>1.1255924170616114</v>
      </c>
      <c r="Q320" s="28">
        <v>0.92809691285658469</v>
      </c>
    </row>
    <row r="321" spans="2:17" ht="15" customHeight="1" x14ac:dyDescent="0.25">
      <c r="B321" s="22" t="s">
        <v>645</v>
      </c>
      <c r="C321" s="23" t="s">
        <v>646</v>
      </c>
      <c r="D321" s="10"/>
      <c r="E321" s="26" t="s">
        <v>646</v>
      </c>
      <c r="F321" s="28" t="s">
        <v>1244</v>
      </c>
      <c r="G321" s="28">
        <v>87.82</v>
      </c>
      <c r="H321" s="28">
        <v>10.81</v>
      </c>
      <c r="I321" s="28">
        <v>1.01</v>
      </c>
      <c r="J321" s="28">
        <v>1.84</v>
      </c>
      <c r="K321" s="28">
        <v>4.5</v>
      </c>
      <c r="L321" s="25">
        <v>-3.3182</v>
      </c>
      <c r="M321" s="25">
        <v>2.9222000000000001</v>
      </c>
      <c r="N321" s="28">
        <v>69.510000000000005</v>
      </c>
      <c r="O321" s="28">
        <v>99.83</v>
      </c>
      <c r="P321" s="28">
        <v>1.2634153359228888</v>
      </c>
      <c r="Q321" s="28">
        <v>0.87969548231994388</v>
      </c>
    </row>
    <row r="322" spans="2:17" ht="15" customHeight="1" x14ac:dyDescent="0.25">
      <c r="B322" s="22" t="s">
        <v>647</v>
      </c>
      <c r="C322" s="23" t="s">
        <v>648</v>
      </c>
      <c r="D322" s="10"/>
      <c r="E322" s="26" t="s">
        <v>648</v>
      </c>
      <c r="F322" s="28" t="s">
        <v>1245</v>
      </c>
      <c r="G322" s="28">
        <v>85.56</v>
      </c>
      <c r="H322" s="28">
        <v>15.1</v>
      </c>
      <c r="I322" s="28">
        <v>1.7</v>
      </c>
      <c r="J322" s="28">
        <v>2.56</v>
      </c>
      <c r="K322" s="28">
        <v>2.78</v>
      </c>
      <c r="L322" s="25">
        <v>-2.1682000000000001</v>
      </c>
      <c r="M322" s="25">
        <v>1.5999000000000001</v>
      </c>
      <c r="N322" s="28">
        <v>76.11</v>
      </c>
      <c r="O322" s="28">
        <v>94.43</v>
      </c>
      <c r="P322" s="28">
        <v>1.1241623965313363</v>
      </c>
      <c r="Q322" s="28">
        <v>0.90606798686857992</v>
      </c>
    </row>
    <row r="323" spans="2:17" ht="15" customHeight="1" x14ac:dyDescent="0.25">
      <c r="B323" s="22" t="s">
        <v>649</v>
      </c>
      <c r="C323" s="23" t="s">
        <v>650</v>
      </c>
      <c r="D323" s="10"/>
      <c r="E323" s="26" t="s">
        <v>650</v>
      </c>
      <c r="F323" s="28" t="s">
        <v>650</v>
      </c>
      <c r="G323" s="28">
        <v>0</v>
      </c>
      <c r="H323" s="28">
        <v>0</v>
      </c>
      <c r="I323" s="28">
        <v>0</v>
      </c>
      <c r="J323" s="28">
        <v>0</v>
      </c>
      <c r="K323" s="28">
        <v>0</v>
      </c>
      <c r="L323" s="25">
        <v>0</v>
      </c>
      <c r="M323" s="25">
        <v>0</v>
      </c>
      <c r="N323" s="28">
        <v>0</v>
      </c>
      <c r="O323" s="28">
        <v>0</v>
      </c>
      <c r="P323" s="28"/>
      <c r="Q323" s="28"/>
    </row>
    <row r="324" spans="2:17" ht="15" customHeight="1" x14ac:dyDescent="0.25">
      <c r="B324" s="22" t="s">
        <v>651</v>
      </c>
      <c r="C324" s="23" t="s">
        <v>652</v>
      </c>
      <c r="D324" s="10"/>
      <c r="E324" s="26" t="s">
        <v>652</v>
      </c>
      <c r="F324" s="28" t="s">
        <v>1246</v>
      </c>
      <c r="G324" s="28">
        <v>56.97</v>
      </c>
      <c r="H324" s="28">
        <v>13.55</v>
      </c>
      <c r="I324" s="28">
        <v>2.12</v>
      </c>
      <c r="J324" s="28">
        <v>0.96</v>
      </c>
      <c r="K324" s="28">
        <v>1.28</v>
      </c>
      <c r="L324" s="25">
        <v>1.8940999999999999</v>
      </c>
      <c r="M324" s="25">
        <v>10.181900000000001</v>
      </c>
      <c r="N324" s="28">
        <v>38.950000000000003</v>
      </c>
      <c r="O324" s="28">
        <v>58.88</v>
      </c>
      <c r="P324" s="28">
        <v>1.4626444159178436</v>
      </c>
      <c r="Q324" s="28">
        <v>0.96756114130434789</v>
      </c>
    </row>
    <row r="325" spans="2:17" ht="15" customHeight="1" x14ac:dyDescent="0.25">
      <c r="B325" s="22" t="s">
        <v>653</v>
      </c>
      <c r="C325" s="23" t="s">
        <v>654</v>
      </c>
      <c r="D325" s="10"/>
      <c r="E325" s="26" t="s">
        <v>654</v>
      </c>
      <c r="F325" s="28" t="s">
        <v>1247</v>
      </c>
      <c r="G325" s="28">
        <v>49.93</v>
      </c>
      <c r="H325" s="28">
        <v>7.99</v>
      </c>
      <c r="I325" s="28">
        <v>1.18</v>
      </c>
      <c r="J325" s="28">
        <v>1.36</v>
      </c>
      <c r="K325" s="28">
        <v>1.43</v>
      </c>
      <c r="L325" s="25">
        <v>-1.4915</v>
      </c>
      <c r="M325" s="25">
        <v>-0.3362</v>
      </c>
      <c r="N325" s="28">
        <v>38.130000000000003</v>
      </c>
      <c r="O325" s="28">
        <v>58.35</v>
      </c>
      <c r="P325" s="28">
        <v>1.3094676108051404</v>
      </c>
      <c r="Q325" s="28">
        <v>0.85569837189374465</v>
      </c>
    </row>
    <row r="326" spans="2:17" ht="15" customHeight="1" x14ac:dyDescent="0.25">
      <c r="B326" s="22" t="s">
        <v>655</v>
      </c>
      <c r="C326" s="23" t="s">
        <v>656</v>
      </c>
      <c r="D326" s="10"/>
      <c r="E326" s="26" t="s">
        <v>656</v>
      </c>
      <c r="F326" s="28" t="s">
        <v>1248</v>
      </c>
      <c r="G326" s="28">
        <v>63.93</v>
      </c>
      <c r="H326" s="28">
        <v>26.57</v>
      </c>
      <c r="I326" s="28">
        <v>1.65</v>
      </c>
      <c r="J326" s="28">
        <v>0.18</v>
      </c>
      <c r="K326" s="28">
        <v>7.75</v>
      </c>
      <c r="L326" s="25">
        <v>0.82730000000000004</v>
      </c>
      <c r="M326" s="25">
        <v>2.7976000000000001</v>
      </c>
      <c r="N326" s="28">
        <v>49.81</v>
      </c>
      <c r="O326" s="28">
        <v>71.31</v>
      </c>
      <c r="P326" s="28">
        <v>1.2834772134109615</v>
      </c>
      <c r="Q326" s="28">
        <v>0.89650820361800598</v>
      </c>
    </row>
    <row r="327" spans="2:17" ht="15" customHeight="1" x14ac:dyDescent="0.25">
      <c r="B327" s="22" t="s">
        <v>657</v>
      </c>
      <c r="C327" s="23" t="s">
        <v>658</v>
      </c>
      <c r="D327" s="10"/>
      <c r="E327" s="26" t="s">
        <v>658</v>
      </c>
      <c r="F327" s="28" t="s">
        <v>1249</v>
      </c>
      <c r="G327" s="28">
        <v>65.64</v>
      </c>
      <c r="H327" s="28">
        <v>17.23</v>
      </c>
      <c r="I327" s="28">
        <v>0.99</v>
      </c>
      <c r="J327" s="28">
        <v>0.75</v>
      </c>
      <c r="K327" s="28">
        <v>3.17</v>
      </c>
      <c r="L327" s="25">
        <v>0.40379999999999999</v>
      </c>
      <c r="M327" s="25">
        <v>2.8534000000000002</v>
      </c>
      <c r="N327" s="28">
        <v>53.09</v>
      </c>
      <c r="O327" s="28">
        <v>75.05</v>
      </c>
      <c r="P327" s="28">
        <v>1.2363910340930495</v>
      </c>
      <c r="Q327" s="28">
        <v>0.8746169220519654</v>
      </c>
    </row>
    <row r="328" spans="2:17" ht="15" customHeight="1" x14ac:dyDescent="0.25">
      <c r="B328" s="22" t="s">
        <v>659</v>
      </c>
      <c r="C328" s="23" t="s">
        <v>660</v>
      </c>
      <c r="D328" s="10"/>
      <c r="E328" s="26" t="s">
        <v>660</v>
      </c>
      <c r="F328" s="28" t="s">
        <v>1429</v>
      </c>
      <c r="G328" s="28">
        <v>4.93</v>
      </c>
      <c r="H328" s="28">
        <v>0</v>
      </c>
      <c r="I328" s="28">
        <v>1.34</v>
      </c>
      <c r="J328" s="28">
        <v>0</v>
      </c>
      <c r="K328" s="28">
        <v>1.97</v>
      </c>
      <c r="L328" s="25">
        <v>0.56259999999999999</v>
      </c>
      <c r="M328" s="25">
        <v>1.7197</v>
      </c>
      <c r="N328" s="28">
        <v>1.44</v>
      </c>
      <c r="O328" s="28">
        <v>5.59</v>
      </c>
      <c r="P328" s="28">
        <v>3.4236111111111116</v>
      </c>
      <c r="Q328" s="28">
        <v>0.8819320214669053</v>
      </c>
    </row>
    <row r="329" spans="2:17" ht="15" customHeight="1" x14ac:dyDescent="0.25">
      <c r="B329" s="22" t="s">
        <v>661</v>
      </c>
      <c r="C329" s="23" t="s">
        <v>662</v>
      </c>
      <c r="D329" s="10"/>
      <c r="E329" s="26" t="s">
        <v>662</v>
      </c>
      <c r="F329" s="28" t="s">
        <v>1250</v>
      </c>
      <c r="G329" s="28">
        <v>36.18</v>
      </c>
      <c r="H329" s="28">
        <v>17.920000000000002</v>
      </c>
      <c r="I329" s="28">
        <v>1.41</v>
      </c>
      <c r="J329" s="28">
        <v>0.56000000000000005</v>
      </c>
      <c r="K329" s="28">
        <v>2.71</v>
      </c>
      <c r="L329" s="25">
        <v>-0.12559999999999999</v>
      </c>
      <c r="M329" s="25">
        <v>1.367</v>
      </c>
      <c r="N329" s="28">
        <v>30.45</v>
      </c>
      <c r="O329" s="28">
        <v>37.130000000000003</v>
      </c>
      <c r="P329" s="28">
        <v>1.1881773399014779</v>
      </c>
      <c r="Q329" s="28">
        <v>0.9744142203070294</v>
      </c>
    </row>
    <row r="330" spans="2:17" ht="15" customHeight="1" x14ac:dyDescent="0.25">
      <c r="B330" s="22" t="s">
        <v>663</v>
      </c>
      <c r="C330" s="23" t="s">
        <v>664</v>
      </c>
      <c r="D330" s="10"/>
      <c r="E330" s="26" t="s">
        <v>664</v>
      </c>
      <c r="F330" s="28" t="s">
        <v>1251</v>
      </c>
      <c r="G330" s="28">
        <v>92.98</v>
      </c>
      <c r="H330" s="28">
        <v>17.63</v>
      </c>
      <c r="I330" s="28">
        <v>1.76</v>
      </c>
      <c r="J330" s="28">
        <v>0</v>
      </c>
      <c r="K330" s="28">
        <v>5.41</v>
      </c>
      <c r="L330" s="25">
        <v>1.1468</v>
      </c>
      <c r="M330" s="25">
        <v>7.6753999999999998</v>
      </c>
      <c r="N330" s="28">
        <v>74.12</v>
      </c>
      <c r="O330" s="28">
        <v>95.3</v>
      </c>
      <c r="P330" s="28">
        <v>1.254452239611441</v>
      </c>
      <c r="Q330" s="28">
        <v>0.97565582371458559</v>
      </c>
    </row>
    <row r="331" spans="2:17" ht="15" customHeight="1" x14ac:dyDescent="0.25">
      <c r="B331" s="22" t="s">
        <v>665</v>
      </c>
      <c r="C331" s="23" t="s">
        <v>666</v>
      </c>
      <c r="D331" s="10"/>
      <c r="E331" s="26" t="s">
        <v>666</v>
      </c>
      <c r="F331" s="28" t="s">
        <v>1252</v>
      </c>
      <c r="G331" s="28">
        <v>13.17</v>
      </c>
      <c r="H331" s="28">
        <v>5.87</v>
      </c>
      <c r="I331" s="28">
        <v>0</v>
      </c>
      <c r="J331" s="28">
        <v>1.5</v>
      </c>
      <c r="K331" s="28">
        <v>23.67</v>
      </c>
      <c r="L331" s="25">
        <v>0.34589999999999999</v>
      </c>
      <c r="M331" s="25">
        <v>0.43619999999999998</v>
      </c>
      <c r="N331" s="28">
        <v>10.34</v>
      </c>
      <c r="O331" s="28">
        <v>15.67</v>
      </c>
      <c r="P331" s="28">
        <v>1.2736943907156675</v>
      </c>
      <c r="Q331" s="28">
        <v>0.84045947670708365</v>
      </c>
    </row>
    <row r="332" spans="2:17" ht="15" customHeight="1" x14ac:dyDescent="0.25">
      <c r="B332" s="22" t="s">
        <v>667</v>
      </c>
      <c r="C332" s="23" t="s">
        <v>668</v>
      </c>
      <c r="D332" s="10"/>
      <c r="E332" s="26" t="s">
        <v>668</v>
      </c>
      <c r="F332" s="28" t="s">
        <v>1253</v>
      </c>
      <c r="G332" s="28">
        <v>67.319999999999993</v>
      </c>
      <c r="H332" s="28">
        <v>21.91</v>
      </c>
      <c r="I332" s="28">
        <v>2.5099999999999998</v>
      </c>
      <c r="J332" s="28">
        <v>1.27</v>
      </c>
      <c r="K332" s="28">
        <v>5.24</v>
      </c>
      <c r="L332" s="25">
        <v>2.8765000000000001</v>
      </c>
      <c r="M332" s="25">
        <v>4.0296000000000003</v>
      </c>
      <c r="N332" s="28">
        <v>50.17</v>
      </c>
      <c r="O332" s="28">
        <v>65.64</v>
      </c>
      <c r="P332" s="28">
        <v>1.3418377516444091</v>
      </c>
      <c r="Q332" s="28">
        <v>1.0255941499085923</v>
      </c>
    </row>
    <row r="333" spans="2:17" ht="15" customHeight="1" x14ac:dyDescent="0.25">
      <c r="B333" s="22" t="s">
        <v>669</v>
      </c>
      <c r="C333" s="23" t="s">
        <v>670</v>
      </c>
      <c r="D333" s="10"/>
      <c r="E333" s="26" t="s">
        <v>670</v>
      </c>
      <c r="F333" s="28" t="s">
        <v>1254</v>
      </c>
      <c r="G333" s="28">
        <v>37.06</v>
      </c>
      <c r="H333" s="28">
        <v>85.24</v>
      </c>
      <c r="I333" s="28">
        <v>0</v>
      </c>
      <c r="J333" s="28">
        <v>0</v>
      </c>
      <c r="K333" s="28">
        <v>1.72</v>
      </c>
      <c r="L333" s="25">
        <v>0.57350000000000001</v>
      </c>
      <c r="M333" s="25">
        <v>1.6950000000000001</v>
      </c>
      <c r="N333" s="28">
        <v>31.28</v>
      </c>
      <c r="O333" s="28">
        <v>38.65</v>
      </c>
      <c r="P333" s="28">
        <v>1.1847826086956523</v>
      </c>
      <c r="Q333" s="28">
        <v>0.95886157826649421</v>
      </c>
    </row>
    <row r="334" spans="2:17" ht="15" customHeight="1" x14ac:dyDescent="0.25">
      <c r="B334" s="22" t="s">
        <v>671</v>
      </c>
      <c r="C334" s="23" t="s">
        <v>672</v>
      </c>
      <c r="D334" s="10"/>
      <c r="E334" s="26" t="s">
        <v>672</v>
      </c>
      <c r="F334" s="28" t="s">
        <v>1255</v>
      </c>
      <c r="G334" s="28">
        <v>51.16</v>
      </c>
      <c r="H334" s="28">
        <v>16.739999999999998</v>
      </c>
      <c r="I334" s="28">
        <v>0.95</v>
      </c>
      <c r="J334" s="28">
        <v>0.71399999999999997</v>
      </c>
      <c r="K334" s="28">
        <v>1.65</v>
      </c>
      <c r="L334" s="25">
        <v>-0.34470000000000001</v>
      </c>
      <c r="M334" s="25">
        <v>3.0844</v>
      </c>
      <c r="N334" s="28">
        <v>43.08</v>
      </c>
      <c r="O334" s="28">
        <v>57.73</v>
      </c>
      <c r="P334" s="28">
        <v>1.1875580315691736</v>
      </c>
      <c r="Q334" s="28">
        <v>0.88619435302269189</v>
      </c>
    </row>
    <row r="335" spans="2:17" ht="15" customHeight="1" x14ac:dyDescent="0.25">
      <c r="B335" s="22" t="s">
        <v>673</v>
      </c>
      <c r="C335" s="23" t="s">
        <v>674</v>
      </c>
      <c r="D335" s="10"/>
      <c r="E335" s="26" t="s">
        <v>674</v>
      </c>
      <c r="F335" s="28" t="s">
        <v>1256</v>
      </c>
      <c r="G335" s="28">
        <v>34.68</v>
      </c>
      <c r="H335" s="28">
        <v>16.14</v>
      </c>
      <c r="I335" s="28">
        <v>1.08</v>
      </c>
      <c r="J335" s="28">
        <v>0.36</v>
      </c>
      <c r="K335" s="28">
        <v>3.79</v>
      </c>
      <c r="L335" s="25">
        <v>-0.29880000000000001</v>
      </c>
      <c r="M335" s="25">
        <v>2.0623</v>
      </c>
      <c r="N335" s="28">
        <v>25.33</v>
      </c>
      <c r="O335" s="28">
        <v>37.729999999999997</v>
      </c>
      <c r="P335" s="28">
        <v>1.3691275167785235</v>
      </c>
      <c r="Q335" s="28">
        <v>0.91916247018287844</v>
      </c>
    </row>
    <row r="336" spans="2:17" ht="15" customHeight="1" x14ac:dyDescent="0.25">
      <c r="B336" s="22" t="s">
        <v>675</v>
      </c>
      <c r="C336" s="23" t="s">
        <v>676</v>
      </c>
      <c r="D336" s="10"/>
      <c r="E336" s="26" t="s">
        <v>676</v>
      </c>
      <c r="F336" s="28" t="s">
        <v>1430</v>
      </c>
      <c r="G336" s="28">
        <v>75.48</v>
      </c>
      <c r="H336" s="28">
        <v>19.14</v>
      </c>
      <c r="I336" s="28">
        <v>2.37</v>
      </c>
      <c r="J336" s="28">
        <v>2.15</v>
      </c>
      <c r="K336" s="28">
        <v>5.17</v>
      </c>
      <c r="L336" s="25">
        <v>2.6006</v>
      </c>
      <c r="M336" s="25">
        <v>4.4642999999999997</v>
      </c>
      <c r="N336" s="28">
        <v>62.15</v>
      </c>
      <c r="O336" s="28">
        <v>79.23</v>
      </c>
      <c r="P336" s="28">
        <v>1.214481094127112</v>
      </c>
      <c r="Q336" s="28">
        <v>0.95266944339265425</v>
      </c>
    </row>
    <row r="337" spans="2:17" ht="15" customHeight="1" x14ac:dyDescent="0.25">
      <c r="B337" s="22" t="s">
        <v>677</v>
      </c>
      <c r="C337" s="23" t="s">
        <v>678</v>
      </c>
      <c r="D337" s="10"/>
      <c r="E337" s="26" t="s">
        <v>678</v>
      </c>
      <c r="F337" s="28" t="s">
        <v>1257</v>
      </c>
      <c r="G337" s="28">
        <v>30.79</v>
      </c>
      <c r="H337" s="28">
        <v>21.55</v>
      </c>
      <c r="I337" s="28">
        <v>0</v>
      </c>
      <c r="J337" s="28">
        <v>2.1</v>
      </c>
      <c r="K337" s="28">
        <v>1.22</v>
      </c>
      <c r="L337" s="25">
        <v>0.20880000000000001</v>
      </c>
      <c r="M337" s="25">
        <v>-1.9291</v>
      </c>
      <c r="N337" s="28">
        <v>28.4</v>
      </c>
      <c r="O337" s="28">
        <v>32.71</v>
      </c>
      <c r="P337" s="28">
        <v>1.0841549295774648</v>
      </c>
      <c r="Q337" s="28">
        <v>0.94130235402017737</v>
      </c>
    </row>
    <row r="338" spans="2:17" ht="15" customHeight="1" x14ac:dyDescent="0.25">
      <c r="B338" s="22" t="s">
        <v>679</v>
      </c>
      <c r="C338" s="23" t="s">
        <v>680</v>
      </c>
      <c r="D338" s="10"/>
      <c r="E338" s="26" t="s">
        <v>680</v>
      </c>
      <c r="F338" s="28" t="s">
        <v>1431</v>
      </c>
      <c r="G338" s="28">
        <v>88.17</v>
      </c>
      <c r="H338" s="28">
        <v>11.61</v>
      </c>
      <c r="I338" s="28">
        <v>2</v>
      </c>
      <c r="J338" s="28">
        <v>1.845</v>
      </c>
      <c r="K338" s="28">
        <v>3.77</v>
      </c>
      <c r="L338" s="25">
        <v>2.6126</v>
      </c>
      <c r="M338" s="25">
        <v>8.7589000000000006</v>
      </c>
      <c r="N338" s="28">
        <v>71.56</v>
      </c>
      <c r="O338" s="28">
        <v>88.2</v>
      </c>
      <c r="P338" s="28">
        <v>1.2321129122414756</v>
      </c>
      <c r="Q338" s="28">
        <v>0.99965986394557815</v>
      </c>
    </row>
    <row r="339" spans="2:17" ht="15" customHeight="1" x14ac:dyDescent="0.25">
      <c r="B339" s="22" t="s">
        <v>681</v>
      </c>
      <c r="C339" s="23" t="s">
        <v>682</v>
      </c>
      <c r="D339" s="10"/>
      <c r="E339" s="26" t="s">
        <v>682</v>
      </c>
      <c r="F339" s="28" t="s">
        <v>1258</v>
      </c>
      <c r="G339" s="28">
        <v>53.29</v>
      </c>
      <c r="H339" s="28">
        <v>18.68</v>
      </c>
      <c r="I339" s="28">
        <v>1.45</v>
      </c>
      <c r="J339" s="28">
        <v>1.18</v>
      </c>
      <c r="K339" s="28">
        <v>1.67</v>
      </c>
      <c r="L339" s="25">
        <v>1.18</v>
      </c>
      <c r="M339" s="25">
        <v>4.3856000000000002</v>
      </c>
      <c r="N339" s="28">
        <v>41.11</v>
      </c>
      <c r="O339" s="28">
        <v>51.2</v>
      </c>
      <c r="P339" s="28">
        <v>1.2962782777912916</v>
      </c>
      <c r="Q339" s="28">
        <v>1.0408203125</v>
      </c>
    </row>
    <row r="340" spans="2:17" ht="15" customHeight="1" x14ac:dyDescent="0.25">
      <c r="B340" s="22" t="s">
        <v>683</v>
      </c>
      <c r="C340" s="23" t="s">
        <v>684</v>
      </c>
      <c r="D340" s="10"/>
      <c r="E340" s="26" t="s">
        <v>684</v>
      </c>
      <c r="F340" s="28" t="s">
        <v>1259</v>
      </c>
      <c r="G340" s="28">
        <v>48.45</v>
      </c>
      <c r="H340" s="28">
        <v>10.52</v>
      </c>
      <c r="I340" s="28">
        <v>0.66</v>
      </c>
      <c r="J340" s="28">
        <v>0</v>
      </c>
      <c r="K340" s="28">
        <v>0</v>
      </c>
      <c r="L340" s="25">
        <v>-3.1511999999999998</v>
      </c>
      <c r="M340" s="25">
        <v>-2.7934999999999999</v>
      </c>
      <c r="N340" s="28">
        <v>42.87</v>
      </c>
      <c r="O340" s="28">
        <v>57.05</v>
      </c>
      <c r="P340" s="28">
        <v>1.1301609517144857</v>
      </c>
      <c r="Q340" s="28">
        <v>0.84925503943908853</v>
      </c>
    </row>
    <row r="341" spans="2:17" ht="15" customHeight="1" x14ac:dyDescent="0.25">
      <c r="B341" s="22" t="s">
        <v>685</v>
      </c>
      <c r="C341" s="23" t="s">
        <v>686</v>
      </c>
      <c r="D341" s="10"/>
      <c r="E341" s="26" t="s">
        <v>686</v>
      </c>
      <c r="F341" s="28" t="s">
        <v>1260</v>
      </c>
      <c r="G341" s="28">
        <v>27.73</v>
      </c>
      <c r="H341" s="28">
        <v>17.53</v>
      </c>
      <c r="I341" s="28">
        <v>1.43</v>
      </c>
      <c r="J341" s="28">
        <v>0.86</v>
      </c>
      <c r="K341" s="28">
        <v>1.91</v>
      </c>
      <c r="L341" s="25">
        <v>-7.7600000000000002E-2</v>
      </c>
      <c r="M341" s="25">
        <v>0.75509999999999999</v>
      </c>
      <c r="N341" s="28">
        <v>21.89</v>
      </c>
      <c r="O341" s="28">
        <v>28.25</v>
      </c>
      <c r="P341" s="28">
        <v>1.2667884878940157</v>
      </c>
      <c r="Q341" s="28">
        <v>0.98159292035398227</v>
      </c>
    </row>
    <row r="342" spans="2:17" ht="15" customHeight="1" x14ac:dyDescent="0.25">
      <c r="B342" s="22" t="s">
        <v>687</v>
      </c>
      <c r="C342" s="23" t="s">
        <v>688</v>
      </c>
      <c r="D342" s="10"/>
      <c r="E342" s="26" t="s">
        <v>688</v>
      </c>
      <c r="F342" s="28" t="s">
        <v>1261</v>
      </c>
      <c r="G342" s="28">
        <v>23.48</v>
      </c>
      <c r="H342" s="28">
        <v>19.47</v>
      </c>
      <c r="I342" s="28">
        <v>4.5999999999999996</v>
      </c>
      <c r="J342" s="28">
        <v>0.67300000000000004</v>
      </c>
      <c r="K342" s="28">
        <v>3.92</v>
      </c>
      <c r="L342" s="25">
        <v>0.62470000000000003</v>
      </c>
      <c r="M342" s="25">
        <v>2.8530000000000002</v>
      </c>
      <c r="N342" s="28">
        <v>17.2</v>
      </c>
      <c r="O342" s="28">
        <v>23.88</v>
      </c>
      <c r="P342" s="28">
        <v>1.3651162790697675</v>
      </c>
      <c r="Q342" s="28">
        <v>0.98324958123953099</v>
      </c>
    </row>
    <row r="343" spans="2:17" ht="15" customHeight="1" x14ac:dyDescent="0.25">
      <c r="B343" s="22" t="s">
        <v>689</v>
      </c>
      <c r="C343" s="23" t="s">
        <v>690</v>
      </c>
      <c r="D343" s="10"/>
      <c r="E343" s="26" t="s">
        <v>690</v>
      </c>
      <c r="F343" s="28" t="s">
        <v>1262</v>
      </c>
      <c r="G343" s="28">
        <v>76.75</v>
      </c>
      <c r="H343" s="28">
        <v>17.27</v>
      </c>
      <c r="I343" s="28">
        <v>2.36</v>
      </c>
      <c r="J343" s="28">
        <v>2.2480000000000002</v>
      </c>
      <c r="K343" s="28">
        <v>3.17</v>
      </c>
      <c r="L343" s="25">
        <v>2.8388</v>
      </c>
      <c r="M343" s="25">
        <v>6.8544999999999998</v>
      </c>
      <c r="N343" s="28">
        <v>59.07</v>
      </c>
      <c r="O343" s="28">
        <v>79.44</v>
      </c>
      <c r="P343" s="28">
        <v>1.2993059082444558</v>
      </c>
      <c r="Q343" s="28">
        <v>0.96613796576032229</v>
      </c>
    </row>
    <row r="344" spans="2:17" ht="15" customHeight="1" x14ac:dyDescent="0.25">
      <c r="B344" s="22" t="s">
        <v>691</v>
      </c>
      <c r="C344" s="23" t="s">
        <v>692</v>
      </c>
      <c r="D344" s="10"/>
      <c r="E344" s="26" t="s">
        <v>692</v>
      </c>
      <c r="F344" s="28" t="s">
        <v>1263</v>
      </c>
      <c r="G344" s="28">
        <v>36.729999999999997</v>
      </c>
      <c r="H344" s="28">
        <v>50.47</v>
      </c>
      <c r="I344" s="28">
        <v>2.4500000000000002</v>
      </c>
      <c r="J344" s="28">
        <v>1.4059999999999999</v>
      </c>
      <c r="K344" s="28">
        <v>3.69</v>
      </c>
      <c r="L344" s="25">
        <v>1.9715</v>
      </c>
      <c r="M344" s="25">
        <v>3.6206999999999998</v>
      </c>
      <c r="N344" s="28">
        <v>28.92</v>
      </c>
      <c r="O344" s="28">
        <v>38.869999999999997</v>
      </c>
      <c r="P344" s="28">
        <v>1.2700553250345781</v>
      </c>
      <c r="Q344" s="28">
        <v>0.94494468741960391</v>
      </c>
    </row>
    <row r="345" spans="2:17" ht="15" customHeight="1" x14ac:dyDescent="0.25">
      <c r="B345" s="22" t="s">
        <v>693</v>
      </c>
      <c r="C345" s="23" t="s">
        <v>694</v>
      </c>
      <c r="D345" s="10"/>
      <c r="E345" s="26" t="s">
        <v>694</v>
      </c>
      <c r="F345" s="28" t="s">
        <v>1264</v>
      </c>
      <c r="G345" s="28">
        <v>71.72</v>
      </c>
      <c r="H345" s="28">
        <v>20.98</v>
      </c>
      <c r="I345" s="28">
        <v>1.33</v>
      </c>
      <c r="J345" s="28">
        <v>1.36</v>
      </c>
      <c r="K345" s="28">
        <v>4.71</v>
      </c>
      <c r="L345" s="25">
        <v>0.15529999999999999</v>
      </c>
      <c r="M345" s="25">
        <v>5.7035</v>
      </c>
      <c r="N345" s="28">
        <v>54.47</v>
      </c>
      <c r="O345" s="28">
        <v>72.430000000000007</v>
      </c>
      <c r="P345" s="28">
        <v>1.3166880851845053</v>
      </c>
      <c r="Q345" s="28">
        <v>0.99019743200331356</v>
      </c>
    </row>
    <row r="346" spans="2:17" ht="15" customHeight="1" x14ac:dyDescent="0.25">
      <c r="B346" s="22" t="s">
        <v>695</v>
      </c>
      <c r="C346" s="23" t="s">
        <v>696</v>
      </c>
      <c r="D346" s="10"/>
      <c r="E346" s="26" t="s">
        <v>696</v>
      </c>
      <c r="F346" s="28" t="s">
        <v>1265</v>
      </c>
      <c r="G346" s="28">
        <v>38.24</v>
      </c>
      <c r="H346" s="28">
        <v>22.48</v>
      </c>
      <c r="I346" s="28">
        <v>2.29</v>
      </c>
      <c r="J346" s="28">
        <v>1.01</v>
      </c>
      <c r="K346" s="28">
        <v>11.03</v>
      </c>
      <c r="L346" s="25">
        <v>1.2421</v>
      </c>
      <c r="M346" s="25">
        <v>4.2751000000000001</v>
      </c>
      <c r="N346" s="28">
        <v>28.28</v>
      </c>
      <c r="O346" s="28">
        <v>36.97</v>
      </c>
      <c r="P346" s="28">
        <v>1.3521923620933523</v>
      </c>
      <c r="Q346" s="28">
        <v>1.0343521774411686</v>
      </c>
    </row>
    <row r="347" spans="2:17" ht="15" customHeight="1" x14ac:dyDescent="0.25">
      <c r="B347" s="22" t="s">
        <v>697</v>
      </c>
      <c r="C347" s="23" t="s">
        <v>698</v>
      </c>
      <c r="D347" s="10"/>
      <c r="E347" s="26" t="s">
        <v>698</v>
      </c>
      <c r="F347" s="28" t="s">
        <v>1266</v>
      </c>
      <c r="G347" s="28">
        <v>63.76</v>
      </c>
      <c r="H347" s="28">
        <v>23.94</v>
      </c>
      <c r="I347" s="28">
        <v>1.36</v>
      </c>
      <c r="J347" s="28">
        <v>0.64</v>
      </c>
      <c r="K347" s="28">
        <v>6.74</v>
      </c>
      <c r="L347" s="25">
        <v>1.1347</v>
      </c>
      <c r="M347" s="25">
        <v>3.2721</v>
      </c>
      <c r="N347" s="28">
        <v>53.38</v>
      </c>
      <c r="O347" s="28">
        <v>67.63</v>
      </c>
      <c r="P347" s="28">
        <v>1.194454852004496</v>
      </c>
      <c r="Q347" s="28">
        <v>0.94277687416826861</v>
      </c>
    </row>
    <row r="348" spans="2:17" ht="15" customHeight="1" x14ac:dyDescent="0.25">
      <c r="B348" s="22" t="s">
        <v>699</v>
      </c>
      <c r="C348" s="23" t="s">
        <v>700</v>
      </c>
      <c r="D348" s="10"/>
      <c r="E348" s="26" t="s">
        <v>700</v>
      </c>
      <c r="F348" s="28" t="s">
        <v>1432</v>
      </c>
      <c r="G348" s="28">
        <v>36.200000000000003</v>
      </c>
      <c r="H348" s="28">
        <v>34.380000000000003</v>
      </c>
      <c r="I348" s="28">
        <v>1.1499999999999999</v>
      </c>
      <c r="J348" s="28">
        <v>0</v>
      </c>
      <c r="K348" s="28">
        <v>4.04</v>
      </c>
      <c r="L348" s="25">
        <v>-1.7567999999999999</v>
      </c>
      <c r="M348" s="25">
        <v>1.9452</v>
      </c>
      <c r="N348" s="28">
        <v>27.7</v>
      </c>
      <c r="O348" s="28">
        <v>41.1</v>
      </c>
      <c r="P348" s="28">
        <v>1.3068592057761734</v>
      </c>
      <c r="Q348" s="28">
        <v>0.88077858880778592</v>
      </c>
    </row>
    <row r="349" spans="2:17" ht="15" customHeight="1" x14ac:dyDescent="0.25">
      <c r="B349" s="22" t="s">
        <v>701</v>
      </c>
      <c r="C349" s="23" t="s">
        <v>702</v>
      </c>
      <c r="D349" s="10"/>
      <c r="E349" s="26" t="s">
        <v>702</v>
      </c>
      <c r="F349" s="28" t="s">
        <v>1433</v>
      </c>
      <c r="G349" s="28">
        <v>40.06</v>
      </c>
      <c r="H349" s="28">
        <v>19.45</v>
      </c>
      <c r="I349" s="28">
        <v>1</v>
      </c>
      <c r="J349" s="28">
        <v>0</v>
      </c>
      <c r="K349" s="28">
        <v>8.4</v>
      </c>
      <c r="L349" s="25">
        <v>-1.9453</v>
      </c>
      <c r="M349" s="25">
        <v>-1.4944</v>
      </c>
      <c r="N349" s="28">
        <v>35.479999999999997</v>
      </c>
      <c r="O349" s="28">
        <v>44.18</v>
      </c>
      <c r="P349" s="28">
        <v>1.1290868094701241</v>
      </c>
      <c r="Q349" s="28">
        <v>0.9067451335445903</v>
      </c>
    </row>
    <row r="350" spans="2:17" ht="15" customHeight="1" x14ac:dyDescent="0.25">
      <c r="B350" s="22" t="s">
        <v>703</v>
      </c>
      <c r="C350" s="23" t="s">
        <v>704</v>
      </c>
      <c r="D350" s="10"/>
      <c r="E350" s="26" t="s">
        <v>704</v>
      </c>
      <c r="F350" s="28" t="s">
        <v>1267</v>
      </c>
      <c r="G350" s="28">
        <v>65.58</v>
      </c>
      <c r="H350" s="28">
        <v>25.33</v>
      </c>
      <c r="I350" s="28">
        <v>0</v>
      </c>
      <c r="J350" s="28">
        <v>0.95469999999999999</v>
      </c>
      <c r="K350" s="28">
        <v>6.08</v>
      </c>
      <c r="L350" s="25">
        <v>0.89349999999999996</v>
      </c>
      <c r="M350" s="25">
        <v>0.78290000000000004</v>
      </c>
      <c r="N350" s="28">
        <v>52.353299999999997</v>
      </c>
      <c r="O350" s="28">
        <v>0</v>
      </c>
      <c r="P350" s="28">
        <v>1.2526430998619</v>
      </c>
      <c r="Q350" s="28"/>
    </row>
    <row r="351" spans="2:17" ht="15" customHeight="1" x14ac:dyDescent="0.25">
      <c r="B351" s="22" t="s">
        <v>705</v>
      </c>
      <c r="C351" s="23" t="s">
        <v>706</v>
      </c>
      <c r="D351" s="10"/>
      <c r="E351" s="26" t="s">
        <v>706</v>
      </c>
      <c r="F351" s="28" t="s">
        <v>706</v>
      </c>
      <c r="G351" s="28">
        <v>0</v>
      </c>
      <c r="H351" s="28">
        <v>0</v>
      </c>
      <c r="I351" s="28">
        <v>0</v>
      </c>
      <c r="J351" s="28">
        <v>0</v>
      </c>
      <c r="K351" s="28">
        <v>0</v>
      </c>
      <c r="L351" s="25">
        <v>0</v>
      </c>
      <c r="M351" s="25">
        <v>0</v>
      </c>
      <c r="N351" s="28">
        <v>0</v>
      </c>
      <c r="O351" s="28">
        <v>0</v>
      </c>
      <c r="P351" s="28"/>
      <c r="Q351" s="28"/>
    </row>
    <row r="352" spans="2:17" ht="15" customHeight="1" x14ac:dyDescent="0.25">
      <c r="B352" s="22" t="s">
        <v>707</v>
      </c>
      <c r="C352" s="23" t="s">
        <v>708</v>
      </c>
      <c r="D352" s="10"/>
      <c r="E352" s="26" t="s">
        <v>708</v>
      </c>
      <c r="F352" s="28" t="s">
        <v>708</v>
      </c>
      <c r="G352" s="28">
        <v>0</v>
      </c>
      <c r="H352" s="28">
        <v>0</v>
      </c>
      <c r="I352" s="28">
        <v>0</v>
      </c>
      <c r="J352" s="28">
        <v>0</v>
      </c>
      <c r="K352" s="28">
        <v>0</v>
      </c>
      <c r="L352" s="25">
        <v>0</v>
      </c>
      <c r="M352" s="25">
        <v>0</v>
      </c>
      <c r="N352" s="28">
        <v>0</v>
      </c>
      <c r="O352" s="28">
        <v>0</v>
      </c>
      <c r="P352" s="28"/>
      <c r="Q352" s="28"/>
    </row>
    <row r="353" spans="2:17" ht="15" customHeight="1" x14ac:dyDescent="0.25">
      <c r="B353" s="22" t="s">
        <v>709</v>
      </c>
      <c r="C353" s="23" t="s">
        <v>710</v>
      </c>
      <c r="D353" s="10"/>
      <c r="E353" s="26" t="s">
        <v>710</v>
      </c>
      <c r="F353" s="28" t="s">
        <v>710</v>
      </c>
      <c r="G353" s="28">
        <v>0</v>
      </c>
      <c r="H353" s="28">
        <v>0</v>
      </c>
      <c r="I353" s="28">
        <v>0</v>
      </c>
      <c r="J353" s="28">
        <v>0</v>
      </c>
      <c r="K353" s="28">
        <v>0</v>
      </c>
      <c r="L353" s="25">
        <v>0</v>
      </c>
      <c r="M353" s="25">
        <v>0</v>
      </c>
      <c r="N353" s="28">
        <v>0</v>
      </c>
      <c r="O353" s="28">
        <v>0</v>
      </c>
      <c r="P353" s="28"/>
      <c r="Q353" s="28"/>
    </row>
    <row r="354" spans="2:17" ht="15" customHeight="1" x14ac:dyDescent="0.25">
      <c r="B354" s="22" t="s">
        <v>711</v>
      </c>
      <c r="C354" s="23" t="s">
        <v>712</v>
      </c>
      <c r="D354" s="10"/>
      <c r="E354" s="26" t="s">
        <v>712</v>
      </c>
      <c r="F354" s="28" t="s">
        <v>1268</v>
      </c>
      <c r="G354" s="28">
        <v>77.900000000000006</v>
      </c>
      <c r="H354" s="28">
        <v>18.63</v>
      </c>
      <c r="I354" s="28">
        <v>0.95</v>
      </c>
      <c r="J354" s="28">
        <v>1.1379999999999999</v>
      </c>
      <c r="K354" s="28">
        <v>2.92</v>
      </c>
      <c r="L354" s="25">
        <v>0.46410000000000001</v>
      </c>
      <c r="M354" s="25">
        <v>4.5744999999999996</v>
      </c>
      <c r="N354" s="28">
        <v>59.12</v>
      </c>
      <c r="O354" s="28">
        <v>91.46</v>
      </c>
      <c r="P354" s="28">
        <v>1.3176589986468201</v>
      </c>
      <c r="Q354" s="28">
        <v>0.85173846490268967</v>
      </c>
    </row>
    <row r="355" spans="2:17" ht="15" customHeight="1" x14ac:dyDescent="0.25">
      <c r="B355" s="22" t="s">
        <v>713</v>
      </c>
      <c r="C355" s="23" t="s">
        <v>714</v>
      </c>
      <c r="D355" s="10"/>
      <c r="E355" s="26" t="s">
        <v>714</v>
      </c>
      <c r="F355" s="28" t="s">
        <v>1269</v>
      </c>
      <c r="G355" s="28">
        <v>16.18</v>
      </c>
      <c r="H355" s="28">
        <v>17.079999999999998</v>
      </c>
      <c r="I355" s="28">
        <v>0.95</v>
      </c>
      <c r="J355" s="28">
        <v>0</v>
      </c>
      <c r="K355" s="28">
        <v>7.85</v>
      </c>
      <c r="L355" s="25">
        <v>-1.4397</v>
      </c>
      <c r="M355" s="25">
        <v>-0.6381</v>
      </c>
      <c r="N355" s="28">
        <v>11.45</v>
      </c>
      <c r="O355" s="28">
        <v>20.3</v>
      </c>
      <c r="P355" s="28">
        <v>1.4131004366812225</v>
      </c>
      <c r="Q355" s="28">
        <v>0.79704433497536953</v>
      </c>
    </row>
    <row r="356" spans="2:17" ht="15" customHeight="1" x14ac:dyDescent="0.25">
      <c r="B356" s="22" t="s">
        <v>715</v>
      </c>
      <c r="C356" s="23" t="s">
        <v>716</v>
      </c>
      <c r="D356" s="10"/>
      <c r="E356" s="26" t="s">
        <v>716</v>
      </c>
      <c r="F356" s="28" t="s">
        <v>1270</v>
      </c>
      <c r="G356" s="28">
        <v>34.35</v>
      </c>
      <c r="H356" s="28">
        <v>24.72</v>
      </c>
      <c r="I356" s="28">
        <v>2.41</v>
      </c>
      <c r="J356" s="28">
        <v>1.1970000000000001</v>
      </c>
      <c r="K356" s="28">
        <v>6.85</v>
      </c>
      <c r="L356" s="25">
        <v>-0.40289999999999998</v>
      </c>
      <c r="M356" s="25">
        <v>0.63460000000000005</v>
      </c>
      <c r="N356" s="28">
        <v>27.25</v>
      </c>
      <c r="O356" s="28">
        <v>38.75</v>
      </c>
      <c r="P356" s="28">
        <v>1.2605504587155965</v>
      </c>
      <c r="Q356" s="28">
        <v>0.88645161290322583</v>
      </c>
    </row>
    <row r="357" spans="2:17" ht="15" customHeight="1" x14ac:dyDescent="0.25">
      <c r="B357" s="22" t="s">
        <v>717</v>
      </c>
      <c r="C357" s="23" t="s">
        <v>718</v>
      </c>
      <c r="D357" s="10"/>
      <c r="E357" s="26" t="s">
        <v>718</v>
      </c>
      <c r="F357" s="28" t="s">
        <v>1271</v>
      </c>
      <c r="G357" s="28">
        <v>35.869999999999997</v>
      </c>
      <c r="H357" s="28">
        <v>20.95</v>
      </c>
      <c r="I357" s="28">
        <v>1.91</v>
      </c>
      <c r="J357" s="28">
        <v>0.38</v>
      </c>
      <c r="K357" s="28">
        <v>3.46</v>
      </c>
      <c r="L357" s="25">
        <v>0.9929</v>
      </c>
      <c r="M357" s="25">
        <v>1.728</v>
      </c>
      <c r="N357" s="28">
        <v>29.59</v>
      </c>
      <c r="O357" s="28">
        <v>35.299999999999997</v>
      </c>
      <c r="P357" s="28">
        <v>1.2122338627914837</v>
      </c>
      <c r="Q357" s="28">
        <v>1.0161473087818698</v>
      </c>
    </row>
    <row r="358" spans="2:17" ht="15" customHeight="1" x14ac:dyDescent="0.25">
      <c r="B358" s="22" t="s">
        <v>719</v>
      </c>
      <c r="C358" s="23" t="s">
        <v>720</v>
      </c>
      <c r="D358" s="10"/>
      <c r="E358" s="26" t="s">
        <v>720</v>
      </c>
      <c r="F358" s="28" t="s">
        <v>1434</v>
      </c>
      <c r="G358" s="28">
        <v>34.33</v>
      </c>
      <c r="H358" s="28">
        <v>55.55</v>
      </c>
      <c r="I358" s="28">
        <v>1.21</v>
      </c>
      <c r="J358" s="28">
        <v>0.28000000000000003</v>
      </c>
      <c r="K358" s="28">
        <v>2</v>
      </c>
      <c r="L358" s="25">
        <v>-8.7900000000000006E-2</v>
      </c>
      <c r="M358" s="25">
        <v>3.2149999999999999</v>
      </c>
      <c r="N358" s="28">
        <v>23.73</v>
      </c>
      <c r="O358" s="28">
        <v>40.07</v>
      </c>
      <c r="P358" s="28">
        <v>1.44669195111673</v>
      </c>
      <c r="Q358" s="28">
        <v>0.85675068629897688</v>
      </c>
    </row>
    <row r="359" spans="2:17" ht="15" customHeight="1" x14ac:dyDescent="0.25">
      <c r="B359" s="22" t="s">
        <v>721</v>
      </c>
      <c r="C359" s="23" t="s">
        <v>722</v>
      </c>
      <c r="D359" s="10"/>
      <c r="E359" s="26" t="s">
        <v>722</v>
      </c>
      <c r="F359" s="28" t="s">
        <v>1272</v>
      </c>
      <c r="G359" s="28">
        <v>125.94</v>
      </c>
      <c r="H359" s="28">
        <v>29.26</v>
      </c>
      <c r="I359" s="28">
        <v>1.99</v>
      </c>
      <c r="J359" s="28">
        <v>3.88</v>
      </c>
      <c r="K359" s="28">
        <v>2.12</v>
      </c>
      <c r="L359" s="25">
        <v>-6.569</v>
      </c>
      <c r="M359" s="25">
        <v>-9.2850000000000001</v>
      </c>
      <c r="N359" s="28">
        <v>124.11</v>
      </c>
      <c r="O359" s="28">
        <v>142.59</v>
      </c>
      <c r="P359" s="28">
        <v>1.0147449842881315</v>
      </c>
      <c r="Q359" s="28">
        <v>0.88323164317273295</v>
      </c>
    </row>
    <row r="360" spans="2:17" ht="15" customHeight="1" x14ac:dyDescent="0.25">
      <c r="B360" s="22" t="s">
        <v>723</v>
      </c>
      <c r="C360" s="23" t="s">
        <v>724</v>
      </c>
      <c r="D360" s="10"/>
      <c r="E360" s="26" t="s">
        <v>724</v>
      </c>
      <c r="F360" s="28" t="s">
        <v>1435</v>
      </c>
      <c r="G360" s="28">
        <v>17.12</v>
      </c>
      <c r="H360" s="28">
        <v>4.96</v>
      </c>
      <c r="I360" s="28">
        <v>0.68</v>
      </c>
      <c r="J360" s="28">
        <v>0</v>
      </c>
      <c r="K360" s="28">
        <v>1.9</v>
      </c>
      <c r="L360" s="25">
        <v>-2.4561999999999999</v>
      </c>
      <c r="M360" s="25">
        <v>-5.7328999999999999</v>
      </c>
      <c r="N360" s="28">
        <v>16.8</v>
      </c>
      <c r="O360" s="28">
        <v>25.67</v>
      </c>
      <c r="P360" s="28">
        <v>1.019047619047619</v>
      </c>
      <c r="Q360" s="28">
        <v>0.66692637319828596</v>
      </c>
    </row>
    <row r="361" spans="2:17" ht="15" customHeight="1" x14ac:dyDescent="0.25">
      <c r="B361" s="22" t="s">
        <v>725</v>
      </c>
      <c r="C361" s="23" t="s">
        <v>726</v>
      </c>
      <c r="D361" s="10"/>
      <c r="E361" s="26" t="s">
        <v>726</v>
      </c>
      <c r="F361" s="28" t="s">
        <v>1273</v>
      </c>
      <c r="G361" s="28">
        <v>61.06</v>
      </c>
      <c r="H361" s="28">
        <v>12.16</v>
      </c>
      <c r="I361" s="28">
        <v>1.07</v>
      </c>
      <c r="J361" s="28">
        <v>3.714</v>
      </c>
      <c r="K361" s="28">
        <v>1.31</v>
      </c>
      <c r="L361" s="25">
        <v>6.7900000000000002E-2</v>
      </c>
      <c r="M361" s="25">
        <v>3.0358999999999998</v>
      </c>
      <c r="N361" s="28">
        <v>43.29</v>
      </c>
      <c r="O361" s="28">
        <v>66.36</v>
      </c>
      <c r="P361" s="28">
        <v>1.4104874104874106</v>
      </c>
      <c r="Q361" s="28">
        <v>0.92013261000602775</v>
      </c>
    </row>
    <row r="362" spans="2:17" ht="15" customHeight="1" x14ac:dyDescent="0.25">
      <c r="B362" s="22" t="s">
        <v>727</v>
      </c>
      <c r="C362" s="23" t="s">
        <v>728</v>
      </c>
      <c r="D362" s="10"/>
      <c r="E362" s="26" t="s">
        <v>728</v>
      </c>
      <c r="F362" s="28" t="s">
        <v>1436</v>
      </c>
      <c r="G362" s="28">
        <v>17.260000000000002</v>
      </c>
      <c r="H362" s="28">
        <v>0</v>
      </c>
      <c r="I362" s="28">
        <v>3.19</v>
      </c>
      <c r="J362" s="28">
        <v>0.48</v>
      </c>
      <c r="K362" s="28">
        <v>1.77</v>
      </c>
      <c r="L362" s="25">
        <v>0.79559999999999997</v>
      </c>
      <c r="M362" s="25">
        <v>1.5919000000000001</v>
      </c>
      <c r="N362" s="28">
        <v>13.29</v>
      </c>
      <c r="O362" s="28">
        <v>17.18</v>
      </c>
      <c r="P362" s="28">
        <v>1.2987208427389014</v>
      </c>
      <c r="Q362" s="28">
        <v>1.0046565774155995</v>
      </c>
    </row>
    <row r="363" spans="2:17" ht="15" customHeight="1" x14ac:dyDescent="0.25">
      <c r="B363" s="22" t="s">
        <v>729</v>
      </c>
      <c r="C363" s="23" t="s">
        <v>730</v>
      </c>
      <c r="D363" s="10"/>
      <c r="E363" s="26" t="s">
        <v>730</v>
      </c>
      <c r="F363" s="28" t="s">
        <v>1274</v>
      </c>
      <c r="G363" s="28">
        <v>64.23</v>
      </c>
      <c r="H363" s="28">
        <v>20.85</v>
      </c>
      <c r="I363" s="28">
        <v>0.81</v>
      </c>
      <c r="J363" s="28">
        <v>0</v>
      </c>
      <c r="K363" s="28">
        <v>2.79</v>
      </c>
      <c r="L363" s="25">
        <v>2.0409000000000002</v>
      </c>
      <c r="M363" s="25">
        <v>7.7737999999999996</v>
      </c>
      <c r="N363" s="28">
        <v>38.380000000000003</v>
      </c>
      <c r="O363" s="28">
        <v>75.19</v>
      </c>
      <c r="P363" s="28">
        <v>1.6735278791036998</v>
      </c>
      <c r="Q363" s="28">
        <v>0.8542359356297381</v>
      </c>
    </row>
    <row r="364" spans="2:17" ht="15" customHeight="1" x14ac:dyDescent="0.25">
      <c r="B364" s="22" t="s">
        <v>731</v>
      </c>
      <c r="C364" s="23" t="s">
        <v>732</v>
      </c>
      <c r="D364" s="10"/>
      <c r="E364" s="26" t="s">
        <v>732</v>
      </c>
      <c r="F364" s="28" t="s">
        <v>1275</v>
      </c>
      <c r="G364" s="28">
        <v>34.26</v>
      </c>
      <c r="H364" s="28">
        <v>9.16</v>
      </c>
      <c r="I364" s="28">
        <v>1.48</v>
      </c>
      <c r="J364" s="28">
        <v>0.87239999999999995</v>
      </c>
      <c r="K364" s="28">
        <v>2.0099999999999998</v>
      </c>
      <c r="L364" s="25">
        <v>0.50209999999999999</v>
      </c>
      <c r="M364" s="25">
        <v>1.9137999999999999</v>
      </c>
      <c r="N364" s="28">
        <v>26.763999999999999</v>
      </c>
      <c r="O364" s="28">
        <v>37.44</v>
      </c>
      <c r="P364" s="28">
        <v>1.280077716335376</v>
      </c>
      <c r="Q364" s="28">
        <v>0.91506410256410264</v>
      </c>
    </row>
    <row r="365" spans="2:17" ht="15" customHeight="1" x14ac:dyDescent="0.25">
      <c r="B365" s="22" t="s">
        <v>733</v>
      </c>
      <c r="C365" s="23" t="s">
        <v>734</v>
      </c>
      <c r="D365" s="10"/>
      <c r="E365" s="26" t="s">
        <v>734</v>
      </c>
      <c r="F365" s="28" t="s">
        <v>1276</v>
      </c>
      <c r="G365" s="28">
        <v>402.98</v>
      </c>
      <c r="H365" s="28">
        <v>22.57</v>
      </c>
      <c r="I365" s="28">
        <v>1</v>
      </c>
      <c r="J365" s="28">
        <v>17.149999999999999</v>
      </c>
      <c r="K365" s="28">
        <v>1.0900000000000001</v>
      </c>
      <c r="L365" s="25">
        <v>12.009</v>
      </c>
      <c r="M365" s="25">
        <v>38.325000000000003</v>
      </c>
      <c r="N365" s="28">
        <v>327</v>
      </c>
      <c r="O365" s="28">
        <v>275</v>
      </c>
      <c r="P365" s="28">
        <v>1.2323547400611623</v>
      </c>
      <c r="Q365" s="28">
        <v>1.4653818181818181</v>
      </c>
    </row>
    <row r="366" spans="2:17" ht="15" customHeight="1" x14ac:dyDescent="0.25">
      <c r="B366" s="22" t="s">
        <v>735</v>
      </c>
      <c r="C366" s="23" t="s">
        <v>736</v>
      </c>
      <c r="D366" s="10"/>
      <c r="E366" s="26" t="s">
        <v>736</v>
      </c>
      <c r="F366" s="28" t="s">
        <v>1437</v>
      </c>
      <c r="G366" s="28">
        <v>65.38</v>
      </c>
      <c r="H366" s="28">
        <v>19.190000000000001</v>
      </c>
      <c r="I366" s="28">
        <v>1.8</v>
      </c>
      <c r="J366" s="28">
        <v>1.24</v>
      </c>
      <c r="K366" s="28">
        <v>13.58</v>
      </c>
      <c r="L366" s="25">
        <v>0.4415</v>
      </c>
      <c r="M366" s="25">
        <v>-1.9232</v>
      </c>
      <c r="N366" s="28">
        <v>59.68</v>
      </c>
      <c r="O366" s="28">
        <v>66.86</v>
      </c>
      <c r="P366" s="28">
        <v>1.0955093833780161</v>
      </c>
      <c r="Q366" s="28">
        <v>0.97786419383787015</v>
      </c>
    </row>
    <row r="367" spans="2:17" ht="15" customHeight="1" x14ac:dyDescent="0.25">
      <c r="B367" s="22" t="s">
        <v>737</v>
      </c>
      <c r="C367" s="23" t="s">
        <v>738</v>
      </c>
      <c r="D367" s="10"/>
      <c r="E367" s="26" t="s">
        <v>738</v>
      </c>
      <c r="F367" s="28" t="s">
        <v>1277</v>
      </c>
      <c r="G367" s="28">
        <v>22.9</v>
      </c>
      <c r="H367" s="28">
        <v>0</v>
      </c>
      <c r="I367" s="28">
        <v>0.61</v>
      </c>
      <c r="J367" s="28">
        <v>0.2</v>
      </c>
      <c r="K367" s="28">
        <v>0.74</v>
      </c>
      <c r="L367" s="25">
        <v>0.39</v>
      </c>
      <c r="M367" s="25">
        <v>4.4802999999999997</v>
      </c>
      <c r="N367" s="28">
        <v>12.26</v>
      </c>
      <c r="O367" s="28">
        <v>24.42</v>
      </c>
      <c r="P367" s="28">
        <v>1.867862969004894</v>
      </c>
      <c r="Q367" s="28">
        <v>0.9377559377559378</v>
      </c>
    </row>
    <row r="368" spans="2:17" ht="15" customHeight="1" x14ac:dyDescent="0.25">
      <c r="B368" s="22" t="s">
        <v>739</v>
      </c>
      <c r="C368" s="23" t="s">
        <v>740</v>
      </c>
      <c r="D368" s="10"/>
      <c r="E368" s="26" t="s">
        <v>740</v>
      </c>
      <c r="F368" s="28" t="s">
        <v>1278</v>
      </c>
      <c r="G368" s="28">
        <v>46.83</v>
      </c>
      <c r="H368" s="28">
        <v>13.08</v>
      </c>
      <c r="I368" s="28">
        <v>1.37</v>
      </c>
      <c r="J368" s="28">
        <v>1.93</v>
      </c>
      <c r="K368" s="28">
        <v>3.18</v>
      </c>
      <c r="L368" s="25">
        <v>0.88739999999999997</v>
      </c>
      <c r="M368" s="25">
        <v>-3.4599000000000002</v>
      </c>
      <c r="N368" s="28">
        <v>44.11</v>
      </c>
      <c r="O368" s="28">
        <v>49.96</v>
      </c>
      <c r="P368" s="28">
        <v>1.0616640217637725</v>
      </c>
      <c r="Q368" s="28">
        <v>0.93734987990392316</v>
      </c>
    </row>
    <row r="369" spans="2:17" ht="15" customHeight="1" x14ac:dyDescent="0.25">
      <c r="B369" s="22" t="s">
        <v>741</v>
      </c>
      <c r="C369" s="23" t="s">
        <v>742</v>
      </c>
      <c r="D369" s="10"/>
      <c r="E369" s="26" t="s">
        <v>742</v>
      </c>
      <c r="F369" s="28" t="s">
        <v>1279</v>
      </c>
      <c r="G369" s="28">
        <v>67.31</v>
      </c>
      <c r="H369" s="28">
        <v>15.97</v>
      </c>
      <c r="I369" s="28">
        <v>1.63</v>
      </c>
      <c r="J369" s="28">
        <v>1.57</v>
      </c>
      <c r="K369" s="28">
        <v>5.26</v>
      </c>
      <c r="L369" s="25">
        <v>-0.53210000000000002</v>
      </c>
      <c r="M369" s="25">
        <v>3.1541000000000001</v>
      </c>
      <c r="N369" s="28">
        <v>48.98</v>
      </c>
      <c r="O369" s="28">
        <v>71.2</v>
      </c>
      <c r="P369" s="28">
        <v>1.3742343813801552</v>
      </c>
      <c r="Q369" s="28">
        <v>0.94536516853932584</v>
      </c>
    </row>
    <row r="370" spans="2:17" ht="15" customHeight="1" x14ac:dyDescent="0.25">
      <c r="B370" s="22" t="s">
        <v>743</v>
      </c>
      <c r="C370" s="23" t="s">
        <v>744</v>
      </c>
      <c r="D370" s="10"/>
      <c r="E370" s="26" t="s">
        <v>744</v>
      </c>
      <c r="F370" s="28" t="s">
        <v>744</v>
      </c>
      <c r="G370" s="28">
        <v>0</v>
      </c>
      <c r="H370" s="28">
        <v>0</v>
      </c>
      <c r="I370" s="28">
        <v>0</v>
      </c>
      <c r="J370" s="28">
        <v>0</v>
      </c>
      <c r="K370" s="28">
        <v>0</v>
      </c>
      <c r="L370" s="25">
        <v>0</v>
      </c>
      <c r="M370" s="25">
        <v>0</v>
      </c>
      <c r="N370" s="28">
        <v>0</v>
      </c>
      <c r="O370" s="28">
        <v>0</v>
      </c>
      <c r="P370" s="28"/>
      <c r="Q370" s="28"/>
    </row>
    <row r="371" spans="2:17" ht="15" customHeight="1" x14ac:dyDescent="0.25">
      <c r="B371" s="22" t="s">
        <v>745</v>
      </c>
      <c r="C371" s="23" t="s">
        <v>746</v>
      </c>
      <c r="D371" s="10"/>
      <c r="E371" s="26" t="s">
        <v>746</v>
      </c>
      <c r="F371" s="28" t="s">
        <v>1280</v>
      </c>
      <c r="G371" s="28">
        <v>21.76</v>
      </c>
      <c r="H371" s="28">
        <v>50.76</v>
      </c>
      <c r="I371" s="28">
        <v>2.62</v>
      </c>
      <c r="J371" s="28">
        <v>0.78</v>
      </c>
      <c r="K371" s="28">
        <v>1.83</v>
      </c>
      <c r="L371" s="25">
        <v>0.91910000000000003</v>
      </c>
      <c r="M371" s="25">
        <v>1.6714</v>
      </c>
      <c r="N371" s="28">
        <v>17.16</v>
      </c>
      <c r="O371" s="28">
        <v>21.38</v>
      </c>
      <c r="P371" s="28">
        <v>1.268065268065268</v>
      </c>
      <c r="Q371" s="28">
        <v>1.0177736202057999</v>
      </c>
    </row>
    <row r="372" spans="2:17" ht="15" customHeight="1" x14ac:dyDescent="0.25">
      <c r="B372" s="22" t="s">
        <v>747</v>
      </c>
      <c r="C372" s="23" t="s">
        <v>748</v>
      </c>
      <c r="D372" s="10"/>
      <c r="E372" s="26" t="s">
        <v>748</v>
      </c>
      <c r="F372" s="28" t="s">
        <v>1438</v>
      </c>
      <c r="G372" s="28">
        <v>5.5</v>
      </c>
      <c r="H372" s="28">
        <v>686.25</v>
      </c>
      <c r="I372" s="28">
        <v>2.09</v>
      </c>
      <c r="J372" s="28">
        <v>0.08</v>
      </c>
      <c r="K372" s="28">
        <v>1.0900000000000001</v>
      </c>
      <c r="L372" s="25">
        <v>0.3291</v>
      </c>
      <c r="M372" s="25">
        <v>0.85</v>
      </c>
      <c r="N372" s="28">
        <v>4.09</v>
      </c>
      <c r="O372" s="28">
        <v>5.23</v>
      </c>
      <c r="P372" s="28">
        <v>1.3447432762836187</v>
      </c>
      <c r="Q372" s="28">
        <v>1.0516252390057361</v>
      </c>
    </row>
    <row r="373" spans="2:17" ht="15" customHeight="1" x14ac:dyDescent="0.25">
      <c r="B373" s="22" t="s">
        <v>749</v>
      </c>
      <c r="C373" s="23" t="s">
        <v>750</v>
      </c>
      <c r="D373" s="10"/>
      <c r="E373" s="26" t="s">
        <v>750</v>
      </c>
      <c r="F373" s="28" t="s">
        <v>1439</v>
      </c>
      <c r="G373" s="28">
        <v>19.829999999999998</v>
      </c>
      <c r="H373" s="28">
        <v>0</v>
      </c>
      <c r="I373" s="28">
        <v>0.52</v>
      </c>
      <c r="J373" s="28">
        <v>0</v>
      </c>
      <c r="K373" s="28">
        <v>0</v>
      </c>
      <c r="L373" s="25">
        <v>-0.1832</v>
      </c>
      <c r="M373" s="25">
        <v>0.74529999999999996</v>
      </c>
      <c r="N373" s="28">
        <v>17</v>
      </c>
      <c r="O373" s="28">
        <v>19.170000000000002</v>
      </c>
      <c r="P373" s="28">
        <v>1.1664705882352941</v>
      </c>
      <c r="Q373" s="28">
        <v>1.0344287949921753</v>
      </c>
    </row>
    <row r="374" spans="2:17" ht="15" customHeight="1" x14ac:dyDescent="0.25">
      <c r="B374" s="22" t="s">
        <v>751</v>
      </c>
      <c r="C374" s="23" t="s">
        <v>752</v>
      </c>
      <c r="D374" s="10"/>
      <c r="E374" s="26" t="s">
        <v>752</v>
      </c>
      <c r="F374" s="28" t="s">
        <v>1281</v>
      </c>
      <c r="G374" s="28">
        <v>74.45</v>
      </c>
      <c r="H374" s="28">
        <v>17.14</v>
      </c>
      <c r="I374" s="28">
        <v>1.32</v>
      </c>
      <c r="J374" s="28">
        <v>0.72</v>
      </c>
      <c r="K374" s="28">
        <v>2.17</v>
      </c>
      <c r="L374" s="25">
        <v>0.41210000000000002</v>
      </c>
      <c r="M374" s="25">
        <v>7.0057</v>
      </c>
      <c r="N374" s="28">
        <v>57.46</v>
      </c>
      <c r="O374" s="28">
        <v>78.13</v>
      </c>
      <c r="P374" s="28">
        <v>1.2956839540549949</v>
      </c>
      <c r="Q374" s="28">
        <v>0.95289901446307435</v>
      </c>
    </row>
    <row r="375" spans="2:17" ht="15" customHeight="1" x14ac:dyDescent="0.25">
      <c r="B375" s="22" t="s">
        <v>753</v>
      </c>
      <c r="C375" s="23" t="s">
        <v>754</v>
      </c>
      <c r="D375" s="10"/>
      <c r="E375" s="26" t="s">
        <v>754</v>
      </c>
      <c r="F375" s="28" t="s">
        <v>1282</v>
      </c>
      <c r="G375" s="28">
        <v>38.450000000000003</v>
      </c>
      <c r="H375" s="28">
        <v>19.350000000000001</v>
      </c>
      <c r="I375" s="28">
        <v>1.99</v>
      </c>
      <c r="J375" s="28">
        <v>1.02</v>
      </c>
      <c r="K375" s="28">
        <v>5.19</v>
      </c>
      <c r="L375" s="25">
        <v>0.86470000000000002</v>
      </c>
      <c r="M375" s="25">
        <v>0.8125</v>
      </c>
      <c r="N375" s="28">
        <v>34.25</v>
      </c>
      <c r="O375" s="28">
        <v>42.23</v>
      </c>
      <c r="P375" s="28">
        <v>1.1226277372262774</v>
      </c>
      <c r="Q375" s="28">
        <v>0.91049017286289369</v>
      </c>
    </row>
    <row r="376" spans="2:17" ht="15" customHeight="1" x14ac:dyDescent="0.25">
      <c r="B376" s="22" t="s">
        <v>755</v>
      </c>
      <c r="C376" s="23" t="s">
        <v>756</v>
      </c>
      <c r="D376" s="10"/>
      <c r="E376" s="26" t="s">
        <v>756</v>
      </c>
      <c r="F376" s="28" t="s">
        <v>1440</v>
      </c>
      <c r="G376" s="28">
        <v>33.17</v>
      </c>
      <c r="H376" s="28">
        <v>21.42</v>
      </c>
      <c r="I376" s="28">
        <v>2.21</v>
      </c>
      <c r="J376" s="28">
        <v>1.63</v>
      </c>
      <c r="K376" s="28">
        <v>7.07</v>
      </c>
      <c r="L376" s="25">
        <v>0.41320000000000001</v>
      </c>
      <c r="M376" s="25">
        <v>0.30049999999999999</v>
      </c>
      <c r="N376" s="28">
        <v>29.12</v>
      </c>
      <c r="O376" s="28">
        <v>33.06</v>
      </c>
      <c r="P376" s="28">
        <v>1.1390796703296704</v>
      </c>
      <c r="Q376" s="28">
        <v>1.0033272837265579</v>
      </c>
    </row>
    <row r="377" spans="2:17" ht="15" customHeight="1" x14ac:dyDescent="0.25">
      <c r="B377" s="22" t="s">
        <v>757</v>
      </c>
      <c r="C377" s="23" t="s">
        <v>758</v>
      </c>
      <c r="D377" s="10"/>
      <c r="E377" s="26" t="s">
        <v>758</v>
      </c>
      <c r="F377" s="28" t="s">
        <v>1283</v>
      </c>
      <c r="G377" s="28">
        <v>40.15</v>
      </c>
      <c r="H377" s="28">
        <v>17.41</v>
      </c>
      <c r="I377" s="28">
        <v>1.02</v>
      </c>
      <c r="J377" s="28">
        <v>0.65200000000000002</v>
      </c>
      <c r="K377" s="28">
        <v>2.12</v>
      </c>
      <c r="L377" s="25">
        <v>0.71089999999999998</v>
      </c>
      <c r="M377" s="25">
        <v>3.2326999999999999</v>
      </c>
      <c r="N377" s="28">
        <v>28.09</v>
      </c>
      <c r="O377" s="28">
        <v>46.63</v>
      </c>
      <c r="P377" s="28">
        <v>1.4293342826628694</v>
      </c>
      <c r="Q377" s="28">
        <v>0.86103366931160197</v>
      </c>
    </row>
    <row r="378" spans="2:17" ht="15" customHeight="1" x14ac:dyDescent="0.25">
      <c r="B378" s="22" t="s">
        <v>759</v>
      </c>
      <c r="C378" s="23" t="s">
        <v>760</v>
      </c>
      <c r="D378" s="10"/>
      <c r="E378" s="26" t="s">
        <v>760</v>
      </c>
      <c r="F378" s="28" t="s">
        <v>1284</v>
      </c>
      <c r="G378" s="28">
        <v>69.349999999999994</v>
      </c>
      <c r="H378" s="28">
        <v>17.91</v>
      </c>
      <c r="I378" s="28">
        <v>1.47</v>
      </c>
      <c r="J378" s="28">
        <v>0</v>
      </c>
      <c r="K378" s="28">
        <v>4.76</v>
      </c>
      <c r="L378" s="25">
        <v>-2.6635</v>
      </c>
      <c r="M378" s="25">
        <v>2.851</v>
      </c>
      <c r="N378" s="28">
        <v>52.9</v>
      </c>
      <c r="O378" s="28">
        <v>75.83</v>
      </c>
      <c r="P378" s="28">
        <v>1.3109640831758034</v>
      </c>
      <c r="Q378" s="28">
        <v>0.91454569431623367</v>
      </c>
    </row>
    <row r="379" spans="2:17" ht="15" customHeight="1" x14ac:dyDescent="0.25">
      <c r="B379" s="22" t="s">
        <v>761</v>
      </c>
      <c r="C379" s="23" t="s">
        <v>762</v>
      </c>
      <c r="D379" s="10"/>
      <c r="E379" s="26" t="s">
        <v>762</v>
      </c>
      <c r="F379" s="28" t="s">
        <v>1441</v>
      </c>
      <c r="G379" s="28">
        <v>64.180000000000007</v>
      </c>
      <c r="H379" s="28">
        <v>31.43</v>
      </c>
      <c r="I379" s="28">
        <v>1.34</v>
      </c>
      <c r="J379" s="28">
        <v>0.44</v>
      </c>
      <c r="K379" s="28">
        <v>3.73</v>
      </c>
      <c r="L379" s="25">
        <v>-0.20349999999999999</v>
      </c>
      <c r="M379" s="25">
        <v>5.2576000000000001</v>
      </c>
      <c r="N379" s="28">
        <v>30.97</v>
      </c>
      <c r="O379" s="28">
        <v>73.33</v>
      </c>
      <c r="P379" s="28">
        <v>2.0723280594123348</v>
      </c>
      <c r="Q379" s="28">
        <v>0.87522160098186286</v>
      </c>
    </row>
    <row r="380" spans="2:17" ht="15" customHeight="1" x14ac:dyDescent="0.25">
      <c r="B380" s="22" t="s">
        <v>763</v>
      </c>
      <c r="C380" s="23" t="s">
        <v>764</v>
      </c>
      <c r="D380" s="10"/>
      <c r="E380" s="26" t="s">
        <v>764</v>
      </c>
      <c r="F380" s="28" t="s">
        <v>1442</v>
      </c>
      <c r="G380" s="28">
        <v>112.22</v>
      </c>
      <c r="H380" s="28">
        <v>19.71</v>
      </c>
      <c r="I380" s="28">
        <v>1.51</v>
      </c>
      <c r="J380" s="28">
        <v>2.2000000000000002</v>
      </c>
      <c r="K380" s="28">
        <v>5.41</v>
      </c>
      <c r="L380" s="25">
        <v>0.67200000000000004</v>
      </c>
      <c r="M380" s="25">
        <v>4.0490000000000004</v>
      </c>
      <c r="N380" s="28">
        <v>100</v>
      </c>
      <c r="O380" s="28">
        <v>121.35</v>
      </c>
      <c r="P380" s="28">
        <v>1.1222000000000001</v>
      </c>
      <c r="Q380" s="28">
        <v>0.92476308199423163</v>
      </c>
    </row>
    <row r="381" spans="2:17" ht="15" customHeight="1" x14ac:dyDescent="0.25">
      <c r="B381" s="22" t="s">
        <v>765</v>
      </c>
      <c r="C381" s="23" t="s">
        <v>766</v>
      </c>
      <c r="D381" s="10"/>
      <c r="E381" s="26" t="s">
        <v>766</v>
      </c>
      <c r="F381" s="28" t="s">
        <v>1285</v>
      </c>
      <c r="G381" s="28">
        <v>37.380000000000003</v>
      </c>
      <c r="H381" s="28">
        <v>26.55</v>
      </c>
      <c r="I381" s="28">
        <v>0.75</v>
      </c>
      <c r="J381" s="28">
        <v>1.2</v>
      </c>
      <c r="K381" s="28">
        <v>1.41</v>
      </c>
      <c r="L381" s="25">
        <v>2.4011999999999998</v>
      </c>
      <c r="M381" s="25">
        <v>9.5622000000000007</v>
      </c>
      <c r="N381" s="28">
        <v>22.25</v>
      </c>
      <c r="O381" s="28">
        <v>35.44</v>
      </c>
      <c r="P381" s="28">
        <v>1.68</v>
      </c>
      <c r="Q381" s="28">
        <v>1.0547404063205417</v>
      </c>
    </row>
    <row r="382" spans="2:17" ht="15" customHeight="1" x14ac:dyDescent="0.25">
      <c r="B382" s="22" t="s">
        <v>767</v>
      </c>
      <c r="C382" s="23" t="s">
        <v>768</v>
      </c>
      <c r="D382" s="10"/>
      <c r="E382" s="26" t="s">
        <v>768</v>
      </c>
      <c r="F382" s="28" t="s">
        <v>1443</v>
      </c>
      <c r="G382" s="28">
        <v>98.83</v>
      </c>
      <c r="H382" s="28">
        <v>15.89</v>
      </c>
      <c r="I382" s="28">
        <v>1.8</v>
      </c>
      <c r="J382" s="28">
        <v>0.79</v>
      </c>
      <c r="K382" s="28">
        <v>4.1500000000000004</v>
      </c>
      <c r="L382" s="25">
        <v>-2.298</v>
      </c>
      <c r="M382" s="25">
        <v>-0.97570000000000001</v>
      </c>
      <c r="N382" s="28">
        <v>91.91</v>
      </c>
      <c r="O382" s="28">
        <v>104.28</v>
      </c>
      <c r="P382" s="28">
        <v>1.0752910455880755</v>
      </c>
      <c r="Q382" s="28">
        <v>0.94773686229382426</v>
      </c>
    </row>
    <row r="383" spans="2:17" ht="15" customHeight="1" x14ac:dyDescent="0.25">
      <c r="B383" s="22" t="s">
        <v>769</v>
      </c>
      <c r="C383" s="23" t="s">
        <v>770</v>
      </c>
      <c r="D383" s="10"/>
      <c r="E383" s="26" t="s">
        <v>770</v>
      </c>
      <c r="F383" s="28" t="s">
        <v>1286</v>
      </c>
      <c r="G383" s="28">
        <v>16.059999999999999</v>
      </c>
      <c r="H383" s="28">
        <v>17.25</v>
      </c>
      <c r="I383" s="28">
        <v>0.9</v>
      </c>
      <c r="J383" s="28">
        <v>0.25</v>
      </c>
      <c r="K383" s="28">
        <v>3.37</v>
      </c>
      <c r="L383" s="25">
        <v>0.4491</v>
      </c>
      <c r="M383" s="25">
        <v>2.2932999999999999</v>
      </c>
      <c r="N383" s="28">
        <v>10.92</v>
      </c>
      <c r="O383" s="28">
        <v>17.2</v>
      </c>
      <c r="P383" s="28">
        <v>1.4706959706959706</v>
      </c>
      <c r="Q383" s="28">
        <v>0.9337209302325582</v>
      </c>
    </row>
    <row r="384" spans="2:17" ht="15" customHeight="1" x14ac:dyDescent="0.25">
      <c r="B384" s="22" t="s">
        <v>771</v>
      </c>
      <c r="C384" s="23" t="s">
        <v>772</v>
      </c>
      <c r="D384" s="10"/>
      <c r="E384" s="26" t="s">
        <v>772</v>
      </c>
      <c r="F384" s="28" t="s">
        <v>1287</v>
      </c>
      <c r="G384" s="28">
        <v>26.73</v>
      </c>
      <c r="H384" s="28">
        <v>7.7</v>
      </c>
      <c r="I384" s="28">
        <v>0</v>
      </c>
      <c r="J384" s="28">
        <v>0.24340000000000001</v>
      </c>
      <c r="K384" s="28">
        <v>0.96</v>
      </c>
      <c r="L384" s="25">
        <v>1.6738999999999999</v>
      </c>
      <c r="M384" s="25">
        <v>3.9878999999999998</v>
      </c>
      <c r="N384" s="28">
        <v>19.065200000000001</v>
      </c>
      <c r="O384" s="28">
        <v>0</v>
      </c>
      <c r="P384" s="28">
        <v>1.4020309254558045</v>
      </c>
      <c r="Q384" s="28"/>
    </row>
    <row r="385" spans="2:17" ht="15" customHeight="1" x14ac:dyDescent="0.25">
      <c r="B385" s="22" t="s">
        <v>773</v>
      </c>
      <c r="C385" s="23" t="s">
        <v>774</v>
      </c>
      <c r="D385" s="10"/>
      <c r="E385" s="26" t="s">
        <v>774</v>
      </c>
      <c r="F385" s="28" t="s">
        <v>1288</v>
      </c>
      <c r="G385" s="28">
        <v>114.46</v>
      </c>
      <c r="H385" s="28">
        <v>22.12</v>
      </c>
      <c r="I385" s="28">
        <v>2.04</v>
      </c>
      <c r="J385" s="28">
        <v>2.48</v>
      </c>
      <c r="K385" s="28">
        <v>24.34</v>
      </c>
      <c r="L385" s="25">
        <v>4.7220000000000004</v>
      </c>
      <c r="M385" s="25">
        <v>7.2640000000000002</v>
      </c>
      <c r="N385" s="28">
        <v>92.5</v>
      </c>
      <c r="O385" s="28">
        <v>113.05</v>
      </c>
      <c r="P385" s="28">
        <v>1.2374054054054056</v>
      </c>
      <c r="Q385" s="28">
        <v>1.0124723573639982</v>
      </c>
    </row>
    <row r="386" spans="2:17" ht="15" customHeight="1" x14ac:dyDescent="0.25">
      <c r="B386" s="22" t="s">
        <v>775</v>
      </c>
      <c r="C386" s="23" t="s">
        <v>776</v>
      </c>
      <c r="D386" s="10"/>
      <c r="E386" s="26" t="s">
        <v>776</v>
      </c>
      <c r="F386" s="28" t="s">
        <v>1289</v>
      </c>
      <c r="G386" s="28">
        <v>100.73</v>
      </c>
      <c r="H386" s="28">
        <v>24.18</v>
      </c>
      <c r="I386" s="28">
        <v>1.69</v>
      </c>
      <c r="J386" s="28">
        <v>8.1</v>
      </c>
      <c r="K386" s="28">
        <v>3.41</v>
      </c>
      <c r="L386" s="25">
        <v>-0.995</v>
      </c>
      <c r="M386" s="25">
        <v>1.2850999999999999</v>
      </c>
      <c r="N386" s="28">
        <v>81.98</v>
      </c>
      <c r="O386" s="28">
        <v>105.4</v>
      </c>
      <c r="P386" s="28">
        <v>1.2287143205659916</v>
      </c>
      <c r="Q386" s="28">
        <v>0.95569259962049335</v>
      </c>
    </row>
    <row r="387" spans="2:17" ht="15" customHeight="1" x14ac:dyDescent="0.25">
      <c r="B387" s="22" t="s">
        <v>777</v>
      </c>
      <c r="C387" s="23" t="s">
        <v>778</v>
      </c>
      <c r="D387" s="10"/>
      <c r="E387" s="26" t="s">
        <v>778</v>
      </c>
      <c r="F387" s="28" t="s">
        <v>1290</v>
      </c>
      <c r="G387" s="28">
        <v>11.63</v>
      </c>
      <c r="H387" s="28">
        <v>6.09</v>
      </c>
      <c r="I387" s="28">
        <v>0</v>
      </c>
      <c r="J387" s="28">
        <v>0</v>
      </c>
      <c r="K387" s="28">
        <v>1.46</v>
      </c>
      <c r="L387" s="25">
        <v>0.30149999999999999</v>
      </c>
      <c r="M387" s="25">
        <v>0.93740000000000001</v>
      </c>
      <c r="N387" s="28">
        <v>8.6300000000000008</v>
      </c>
      <c r="O387" s="28">
        <v>11.15</v>
      </c>
      <c r="P387" s="28">
        <v>1.3476245654692933</v>
      </c>
      <c r="Q387" s="28">
        <v>1.0430493273542603</v>
      </c>
    </row>
    <row r="388" spans="2:17" ht="15" customHeight="1" x14ac:dyDescent="0.25">
      <c r="B388" s="22" t="s">
        <v>779</v>
      </c>
      <c r="C388" s="23" t="s">
        <v>780</v>
      </c>
      <c r="D388" s="10"/>
      <c r="E388" s="26" t="s">
        <v>780</v>
      </c>
      <c r="F388" s="28" t="s">
        <v>1291</v>
      </c>
      <c r="G388" s="28">
        <v>11.95</v>
      </c>
      <c r="H388" s="28">
        <v>0</v>
      </c>
      <c r="I388" s="28">
        <v>0.41</v>
      </c>
      <c r="J388" s="28">
        <v>0</v>
      </c>
      <c r="K388" s="28">
        <v>1.03</v>
      </c>
      <c r="L388" s="25">
        <v>-0.66410000000000002</v>
      </c>
      <c r="M388" s="25">
        <v>0.10009999999999999</v>
      </c>
      <c r="N388" s="28">
        <v>8.84</v>
      </c>
      <c r="O388" s="28">
        <v>14.46</v>
      </c>
      <c r="P388" s="28">
        <v>1.3518099547511313</v>
      </c>
      <c r="Q388" s="28">
        <v>0.82641770401106496</v>
      </c>
    </row>
    <row r="389" spans="2:17" ht="15" customHeight="1" x14ac:dyDescent="0.25">
      <c r="B389" s="22" t="s">
        <v>781</v>
      </c>
      <c r="C389" s="23" t="s">
        <v>782</v>
      </c>
      <c r="D389" s="10"/>
      <c r="E389" s="26" t="s">
        <v>782</v>
      </c>
      <c r="F389" s="28" t="s">
        <v>1292</v>
      </c>
      <c r="G389" s="28">
        <v>48.69</v>
      </c>
      <c r="H389" s="28">
        <v>38.29</v>
      </c>
      <c r="I389" s="28">
        <v>0</v>
      </c>
      <c r="J389" s="28">
        <v>1.68</v>
      </c>
      <c r="K389" s="28">
        <v>6.34</v>
      </c>
      <c r="L389" s="25">
        <v>0.95409999999999995</v>
      </c>
      <c r="M389" s="25">
        <v>4.6486000000000001</v>
      </c>
      <c r="N389" s="28">
        <v>35.43</v>
      </c>
      <c r="O389" s="28">
        <v>46.45</v>
      </c>
      <c r="P389" s="28">
        <v>1.3742591024555459</v>
      </c>
      <c r="Q389" s="28">
        <v>1.0482238966630786</v>
      </c>
    </row>
    <row r="390" spans="2:17" ht="15" customHeight="1" x14ac:dyDescent="0.25">
      <c r="B390" s="22" t="s">
        <v>783</v>
      </c>
      <c r="C390" s="23" t="s">
        <v>784</v>
      </c>
      <c r="D390" s="10"/>
      <c r="E390" s="26" t="s">
        <v>784</v>
      </c>
      <c r="F390" s="28" t="s">
        <v>1293</v>
      </c>
      <c r="G390" s="28">
        <v>44.54</v>
      </c>
      <c r="H390" s="28">
        <v>13.05</v>
      </c>
      <c r="I390" s="28">
        <v>1.87</v>
      </c>
      <c r="J390" s="28">
        <v>1.0229999999999999</v>
      </c>
      <c r="K390" s="28">
        <v>2.5</v>
      </c>
      <c r="L390" s="25">
        <v>-1.1865000000000001</v>
      </c>
      <c r="M390" s="25">
        <v>1.5208999999999999</v>
      </c>
      <c r="N390" s="28">
        <v>35.67</v>
      </c>
      <c r="O390" s="28">
        <v>48.89</v>
      </c>
      <c r="P390" s="28">
        <v>1.248668348752453</v>
      </c>
      <c r="Q390" s="28">
        <v>0.91102474943751288</v>
      </c>
    </row>
    <row r="391" spans="2:17" ht="15" customHeight="1" x14ac:dyDescent="0.25">
      <c r="B391" s="22" t="s">
        <v>785</v>
      </c>
      <c r="C391" s="23" t="s">
        <v>786</v>
      </c>
      <c r="D391" s="10"/>
      <c r="E391" s="26" t="s">
        <v>786</v>
      </c>
      <c r="F391" s="28" t="s">
        <v>1294</v>
      </c>
      <c r="G391" s="28">
        <v>77.180000000000007</v>
      </c>
      <c r="H391" s="28">
        <v>22.05</v>
      </c>
      <c r="I391" s="28">
        <v>1.08</v>
      </c>
      <c r="J391" s="28">
        <v>0</v>
      </c>
      <c r="K391" s="28">
        <v>4.7</v>
      </c>
      <c r="L391" s="25">
        <v>-0.1709</v>
      </c>
      <c r="M391" s="25">
        <v>6.4122000000000003</v>
      </c>
      <c r="N391" s="28">
        <v>53.92</v>
      </c>
      <c r="O391" s="28">
        <v>83.79</v>
      </c>
      <c r="P391" s="28">
        <v>1.431379821958457</v>
      </c>
      <c r="Q391" s="28">
        <v>0.92111230457095117</v>
      </c>
    </row>
    <row r="392" spans="2:17" ht="15" customHeight="1" x14ac:dyDescent="0.25">
      <c r="B392" s="22" t="s">
        <v>787</v>
      </c>
      <c r="C392" s="23" t="s">
        <v>788</v>
      </c>
      <c r="D392" s="10"/>
      <c r="E392" s="26" t="s">
        <v>788</v>
      </c>
      <c r="F392" s="28" t="s">
        <v>1295</v>
      </c>
      <c r="G392" s="28">
        <v>76.33</v>
      </c>
      <c r="H392" s="28">
        <v>20.04</v>
      </c>
      <c r="I392" s="28">
        <v>2.81</v>
      </c>
      <c r="J392" s="28">
        <v>0.6</v>
      </c>
      <c r="K392" s="28">
        <v>3.56</v>
      </c>
      <c r="L392" s="25">
        <v>-0.52</v>
      </c>
      <c r="M392" s="25">
        <v>2.9464000000000001</v>
      </c>
      <c r="N392" s="28">
        <v>66.52</v>
      </c>
      <c r="O392" s="28">
        <v>76.58</v>
      </c>
      <c r="P392" s="28">
        <v>1.1474744437763078</v>
      </c>
      <c r="Q392" s="28">
        <v>0.99673544006267967</v>
      </c>
    </row>
    <row r="393" spans="2:17" ht="15" customHeight="1" x14ac:dyDescent="0.25">
      <c r="B393" s="22" t="s">
        <v>789</v>
      </c>
      <c r="C393" s="23" t="s">
        <v>790</v>
      </c>
      <c r="D393" s="10"/>
      <c r="E393" s="26" t="s">
        <v>790</v>
      </c>
      <c r="F393" s="28" t="s">
        <v>1444</v>
      </c>
      <c r="G393" s="28">
        <v>22.54</v>
      </c>
      <c r="H393" s="28">
        <v>13.64</v>
      </c>
      <c r="I393" s="28">
        <v>1.27</v>
      </c>
      <c r="J393" s="28">
        <v>0.23</v>
      </c>
      <c r="K393" s="28">
        <v>1.31</v>
      </c>
      <c r="L393" s="25">
        <v>2.9100000000000001E-2</v>
      </c>
      <c r="M393" s="25">
        <v>3.9100999999999999</v>
      </c>
      <c r="N393" s="28">
        <v>14.07</v>
      </c>
      <c r="O393" s="28">
        <v>26.55</v>
      </c>
      <c r="P393" s="28">
        <v>1.6019900497512438</v>
      </c>
      <c r="Q393" s="28">
        <v>0.84896421845574388</v>
      </c>
    </row>
    <row r="394" spans="2:17" ht="15" customHeight="1" x14ac:dyDescent="0.25">
      <c r="B394" s="22" t="s">
        <v>791</v>
      </c>
      <c r="C394" s="23" t="s">
        <v>792</v>
      </c>
      <c r="D394" s="10"/>
      <c r="E394" s="26" t="s">
        <v>792</v>
      </c>
      <c r="F394" s="28" t="s">
        <v>1445</v>
      </c>
      <c r="G394" s="28">
        <v>34.43</v>
      </c>
      <c r="H394" s="28">
        <v>24.38</v>
      </c>
      <c r="I394" s="28">
        <v>1.29</v>
      </c>
      <c r="J394" s="28">
        <v>0</v>
      </c>
      <c r="K394" s="28">
        <v>2.63</v>
      </c>
      <c r="L394" s="25">
        <v>-0.58530000000000004</v>
      </c>
      <c r="M394" s="25">
        <v>1.5895999999999999</v>
      </c>
      <c r="N394" s="28">
        <v>26.26</v>
      </c>
      <c r="O394" s="28">
        <v>39.06</v>
      </c>
      <c r="P394" s="28">
        <v>1.3111195734958112</v>
      </c>
      <c r="Q394" s="28">
        <v>0.8814644137224783</v>
      </c>
    </row>
    <row r="395" spans="2:17" ht="15" customHeight="1" x14ac:dyDescent="0.25">
      <c r="B395" s="22" t="s">
        <v>793</v>
      </c>
      <c r="C395" s="23" t="s">
        <v>794</v>
      </c>
      <c r="D395" s="10"/>
      <c r="E395" s="26" t="s">
        <v>794</v>
      </c>
      <c r="F395" s="28" t="s">
        <v>1296</v>
      </c>
      <c r="G395" s="28">
        <v>62.53</v>
      </c>
      <c r="H395" s="28">
        <v>22.64</v>
      </c>
      <c r="I395" s="28">
        <v>1.37</v>
      </c>
      <c r="J395" s="28">
        <v>0.64</v>
      </c>
      <c r="K395" s="28">
        <v>2.98</v>
      </c>
      <c r="L395" s="25">
        <v>-1.3855999999999999</v>
      </c>
      <c r="M395" s="25">
        <v>4.7343999999999999</v>
      </c>
      <c r="N395" s="28">
        <v>44.99</v>
      </c>
      <c r="O395" s="28">
        <v>74.819999999999993</v>
      </c>
      <c r="P395" s="28">
        <v>1.3898644143142922</v>
      </c>
      <c r="Q395" s="28">
        <v>0.83573910719059075</v>
      </c>
    </row>
    <row r="396" spans="2:17" ht="15" customHeight="1" x14ac:dyDescent="0.25">
      <c r="B396" s="22" t="s">
        <v>795</v>
      </c>
      <c r="C396" s="23" t="s">
        <v>796</v>
      </c>
      <c r="D396" s="10"/>
      <c r="E396" s="26" t="s">
        <v>796</v>
      </c>
      <c r="F396" s="28" t="s">
        <v>1297</v>
      </c>
      <c r="G396" s="28">
        <v>63.66</v>
      </c>
      <c r="H396" s="28">
        <v>18.52</v>
      </c>
      <c r="I396" s="28">
        <v>1.64</v>
      </c>
      <c r="J396" s="28">
        <v>0.90400000000000003</v>
      </c>
      <c r="K396" s="28">
        <v>2.78</v>
      </c>
      <c r="L396" s="25">
        <v>1.3621000000000001</v>
      </c>
      <c r="M396" s="25">
        <v>7.3746999999999998</v>
      </c>
      <c r="N396" s="28">
        <v>49.43</v>
      </c>
      <c r="O396" s="28">
        <v>65.540000000000006</v>
      </c>
      <c r="P396" s="28">
        <v>1.2878818531256322</v>
      </c>
      <c r="Q396" s="28">
        <v>0.9713152273420812</v>
      </c>
    </row>
    <row r="397" spans="2:17" ht="15" customHeight="1" x14ac:dyDescent="0.25">
      <c r="B397" s="22" t="s">
        <v>797</v>
      </c>
      <c r="C397" s="23" t="s">
        <v>798</v>
      </c>
      <c r="D397" s="10"/>
      <c r="E397" s="26" t="s">
        <v>798</v>
      </c>
      <c r="F397" s="28" t="s">
        <v>1446</v>
      </c>
      <c r="G397" s="28">
        <v>28.76</v>
      </c>
      <c r="H397" s="28">
        <v>13.53</v>
      </c>
      <c r="I397" s="28">
        <v>1.1100000000000001</v>
      </c>
      <c r="J397" s="28">
        <v>0.44</v>
      </c>
      <c r="K397" s="28">
        <v>0.81</v>
      </c>
      <c r="L397" s="25">
        <v>0.99739999999999995</v>
      </c>
      <c r="M397" s="25">
        <v>3.5554000000000001</v>
      </c>
      <c r="N397" s="28">
        <v>19.52</v>
      </c>
      <c r="O397" s="28">
        <v>29.57</v>
      </c>
      <c r="P397" s="28">
        <v>1.473360655737705</v>
      </c>
      <c r="Q397" s="28">
        <v>0.97260737233682792</v>
      </c>
    </row>
    <row r="398" spans="2:17" ht="15" customHeight="1" x14ac:dyDescent="0.25">
      <c r="B398" s="22" t="s">
        <v>799</v>
      </c>
      <c r="C398" s="23" t="s">
        <v>800</v>
      </c>
      <c r="D398" s="10"/>
      <c r="E398" s="26" t="s">
        <v>800</v>
      </c>
      <c r="F398" s="28" t="s">
        <v>1447</v>
      </c>
      <c r="G398" s="28">
        <v>10.119999999999999</v>
      </c>
      <c r="H398" s="28">
        <v>2.5299999999999998</v>
      </c>
      <c r="I398" s="28">
        <v>0</v>
      </c>
      <c r="J398" s="28">
        <v>0.23</v>
      </c>
      <c r="K398" s="28">
        <v>0.79</v>
      </c>
      <c r="L398" s="25">
        <v>0.23680000000000001</v>
      </c>
      <c r="M398" s="25">
        <v>1.4157999999999999</v>
      </c>
      <c r="N398" s="28">
        <v>6.65</v>
      </c>
      <c r="O398" s="28">
        <v>8.5</v>
      </c>
      <c r="P398" s="28">
        <v>1.5218045112781955</v>
      </c>
      <c r="Q398" s="28">
        <v>1.1905882352941177</v>
      </c>
    </row>
    <row r="399" spans="2:17" ht="15" customHeight="1" x14ac:dyDescent="0.25">
      <c r="B399" s="22" t="s">
        <v>801</v>
      </c>
      <c r="C399" s="23" t="s">
        <v>802</v>
      </c>
      <c r="D399" s="10"/>
      <c r="E399" s="26" t="s">
        <v>802</v>
      </c>
      <c r="F399" s="28" t="s">
        <v>1298</v>
      </c>
      <c r="G399" s="28">
        <v>39.6</v>
      </c>
      <c r="H399" s="28">
        <v>23.25</v>
      </c>
      <c r="I399" s="28">
        <v>2.61</v>
      </c>
      <c r="J399" s="28">
        <v>0</v>
      </c>
      <c r="K399" s="28">
        <v>2.86</v>
      </c>
      <c r="L399" s="25">
        <v>1.2029000000000001</v>
      </c>
      <c r="M399" s="25">
        <v>4.5468999999999999</v>
      </c>
      <c r="N399" s="28">
        <v>29.52</v>
      </c>
      <c r="O399" s="28">
        <v>38.29</v>
      </c>
      <c r="P399" s="28">
        <v>1.3414634146341464</v>
      </c>
      <c r="Q399" s="28">
        <v>1.0342125881431183</v>
      </c>
    </row>
    <row r="400" spans="2:17" ht="15" customHeight="1" x14ac:dyDescent="0.25">
      <c r="B400" s="22" t="s">
        <v>803</v>
      </c>
      <c r="C400" s="23" t="s">
        <v>804</v>
      </c>
      <c r="D400" s="10"/>
      <c r="E400" s="26" t="s">
        <v>804</v>
      </c>
      <c r="F400" s="28" t="s">
        <v>1299</v>
      </c>
      <c r="G400" s="28">
        <v>56.17</v>
      </c>
      <c r="H400" s="28">
        <v>16.149999999999999</v>
      </c>
      <c r="I400" s="28">
        <v>1.19</v>
      </c>
      <c r="J400" s="28">
        <v>0.81</v>
      </c>
      <c r="K400" s="28">
        <v>2.12</v>
      </c>
      <c r="L400" s="25">
        <v>-1.9794</v>
      </c>
      <c r="M400" s="25">
        <v>-3.3359999999999999</v>
      </c>
      <c r="N400" s="28">
        <v>53.25</v>
      </c>
      <c r="O400" s="28">
        <v>59.61</v>
      </c>
      <c r="P400" s="28">
        <v>1.0548356807511736</v>
      </c>
      <c r="Q400" s="28">
        <v>0.94229156181848694</v>
      </c>
    </row>
    <row r="401" spans="2:17" ht="15" customHeight="1" x14ac:dyDescent="0.25">
      <c r="B401" s="22" t="s">
        <v>805</v>
      </c>
      <c r="C401" s="23" t="s">
        <v>806</v>
      </c>
      <c r="D401" s="10"/>
      <c r="E401" s="26" t="s">
        <v>806</v>
      </c>
      <c r="F401" s="28" t="s">
        <v>1300</v>
      </c>
      <c r="G401" s="28">
        <v>77.31</v>
      </c>
      <c r="H401" s="28">
        <v>39.049999999999997</v>
      </c>
      <c r="I401" s="28">
        <v>1.32</v>
      </c>
      <c r="J401" s="28">
        <v>0.83</v>
      </c>
      <c r="K401" s="28">
        <v>3.74</v>
      </c>
      <c r="L401" s="25">
        <v>3.4447000000000001</v>
      </c>
      <c r="M401" s="25">
        <v>7.6685999999999996</v>
      </c>
      <c r="N401" s="28">
        <v>58.75</v>
      </c>
      <c r="O401" s="28">
        <v>79.930000000000007</v>
      </c>
      <c r="P401" s="28">
        <v>1.3159148936170213</v>
      </c>
      <c r="Q401" s="28">
        <v>0.9672213186538221</v>
      </c>
    </row>
    <row r="402" spans="2:17" ht="15" customHeight="1" x14ac:dyDescent="0.25">
      <c r="B402" s="22" t="s">
        <v>807</v>
      </c>
      <c r="C402" s="23" t="s">
        <v>808</v>
      </c>
      <c r="D402" s="10"/>
      <c r="E402" s="26" t="s">
        <v>808</v>
      </c>
      <c r="F402" s="28" t="s">
        <v>1301</v>
      </c>
      <c r="G402" s="28">
        <v>50.49</v>
      </c>
      <c r="H402" s="28">
        <v>29.64</v>
      </c>
      <c r="I402" s="28">
        <v>0.56999999999999995</v>
      </c>
      <c r="J402" s="28">
        <v>0</v>
      </c>
      <c r="K402" s="28">
        <v>1.67</v>
      </c>
      <c r="L402" s="25">
        <v>1.3903000000000001</v>
      </c>
      <c r="M402" s="25">
        <v>6.1070000000000002</v>
      </c>
      <c r="N402" s="28">
        <v>30.99</v>
      </c>
      <c r="O402" s="28">
        <v>54.64</v>
      </c>
      <c r="P402" s="28">
        <v>1.6292352371732817</v>
      </c>
      <c r="Q402" s="28">
        <v>0.92404831625183015</v>
      </c>
    </row>
    <row r="403" spans="2:17" ht="15" customHeight="1" x14ac:dyDescent="0.25">
      <c r="B403" s="22" t="s">
        <v>809</v>
      </c>
      <c r="C403" s="23" t="s">
        <v>810</v>
      </c>
      <c r="D403" s="10"/>
      <c r="E403" s="26" t="s">
        <v>810</v>
      </c>
      <c r="F403" s="28" t="s">
        <v>810</v>
      </c>
      <c r="G403" s="28">
        <v>0</v>
      </c>
      <c r="H403" s="28">
        <v>0</v>
      </c>
      <c r="I403" s="28">
        <v>0</v>
      </c>
      <c r="J403" s="28">
        <v>0</v>
      </c>
      <c r="K403" s="28">
        <v>0</v>
      </c>
      <c r="L403" s="25">
        <v>0</v>
      </c>
      <c r="M403" s="25">
        <v>0</v>
      </c>
      <c r="N403" s="28">
        <v>0</v>
      </c>
      <c r="O403" s="28">
        <v>0</v>
      </c>
      <c r="P403" s="28"/>
      <c r="Q403" s="28"/>
    </row>
    <row r="404" spans="2:17" ht="15" customHeight="1" x14ac:dyDescent="0.25">
      <c r="B404" s="22" t="s">
        <v>811</v>
      </c>
      <c r="C404" s="23" t="s">
        <v>812</v>
      </c>
      <c r="D404" s="10"/>
      <c r="E404" s="26" t="s">
        <v>812</v>
      </c>
      <c r="F404" s="28" t="s">
        <v>1448</v>
      </c>
      <c r="G404" s="28">
        <v>71.040000000000006</v>
      </c>
      <c r="H404" s="28">
        <v>38.04</v>
      </c>
      <c r="I404" s="28">
        <v>1.34</v>
      </c>
      <c r="J404" s="28">
        <v>0</v>
      </c>
      <c r="K404" s="28">
        <v>4.22</v>
      </c>
      <c r="L404" s="25">
        <v>-0.1176</v>
      </c>
      <c r="M404" s="25">
        <v>1.3895999999999999</v>
      </c>
      <c r="N404" s="28">
        <v>56.57</v>
      </c>
      <c r="O404" s="28">
        <v>81.81</v>
      </c>
      <c r="P404" s="28">
        <v>1.255789287608273</v>
      </c>
      <c r="Q404" s="28">
        <v>0.86835350201686834</v>
      </c>
    </row>
    <row r="405" spans="2:17" ht="15" customHeight="1" x14ac:dyDescent="0.25">
      <c r="B405" s="22" t="s">
        <v>813</v>
      </c>
      <c r="C405" s="23" t="s">
        <v>814</v>
      </c>
      <c r="D405" s="10"/>
      <c r="E405" s="26" t="s">
        <v>814</v>
      </c>
      <c r="F405" s="28" t="s">
        <v>1302</v>
      </c>
      <c r="G405" s="28">
        <v>82.68</v>
      </c>
      <c r="H405" s="28">
        <v>27.81</v>
      </c>
      <c r="I405" s="28">
        <v>10.52</v>
      </c>
      <c r="J405" s="28">
        <v>2.8</v>
      </c>
      <c r="K405" s="28">
        <v>2.73</v>
      </c>
      <c r="L405" s="25">
        <v>-1.4597</v>
      </c>
      <c r="M405" s="25">
        <v>1.8898999999999999</v>
      </c>
      <c r="N405" s="28">
        <v>72.64</v>
      </c>
      <c r="O405" s="28">
        <v>86.5</v>
      </c>
      <c r="P405" s="28">
        <v>1.1382158590308371</v>
      </c>
      <c r="Q405" s="28">
        <v>0.95583815028901742</v>
      </c>
    </row>
    <row r="406" spans="2:17" ht="15" customHeight="1" x14ac:dyDescent="0.25">
      <c r="B406" s="22" t="s">
        <v>815</v>
      </c>
      <c r="C406" s="23" t="s">
        <v>816</v>
      </c>
      <c r="D406" s="10"/>
      <c r="E406" s="26" t="s">
        <v>816</v>
      </c>
      <c r="F406" s="28" t="s">
        <v>816</v>
      </c>
      <c r="G406" s="28">
        <v>0</v>
      </c>
      <c r="H406" s="28">
        <v>0</v>
      </c>
      <c r="I406" s="28">
        <v>0</v>
      </c>
      <c r="J406" s="28">
        <v>0</v>
      </c>
      <c r="K406" s="28">
        <v>0</v>
      </c>
      <c r="L406" s="25">
        <v>0</v>
      </c>
      <c r="M406" s="25">
        <v>0</v>
      </c>
      <c r="N406" s="28">
        <v>0</v>
      </c>
      <c r="O406" s="28">
        <v>0</v>
      </c>
      <c r="P406" s="28"/>
      <c r="Q406" s="28"/>
    </row>
    <row r="407" spans="2:17" ht="15" customHeight="1" x14ac:dyDescent="0.25">
      <c r="B407" s="22" t="s">
        <v>817</v>
      </c>
      <c r="C407" s="23" t="s">
        <v>818</v>
      </c>
      <c r="D407" s="10"/>
      <c r="E407" s="26" t="s">
        <v>818</v>
      </c>
      <c r="F407" s="28" t="s">
        <v>818</v>
      </c>
      <c r="G407" s="28">
        <v>0</v>
      </c>
      <c r="H407" s="28">
        <v>0</v>
      </c>
      <c r="I407" s="28">
        <v>0</v>
      </c>
      <c r="J407" s="28">
        <v>0</v>
      </c>
      <c r="K407" s="28">
        <v>0</v>
      </c>
      <c r="L407" s="25">
        <v>0</v>
      </c>
      <c r="M407" s="25">
        <v>0</v>
      </c>
      <c r="N407" s="28">
        <v>0</v>
      </c>
      <c r="O407" s="28">
        <v>0</v>
      </c>
      <c r="P407" s="28"/>
      <c r="Q407" s="28"/>
    </row>
    <row r="408" spans="2:17" ht="15" customHeight="1" x14ac:dyDescent="0.25">
      <c r="B408" s="22" t="s">
        <v>819</v>
      </c>
      <c r="C408" s="23" t="s">
        <v>820</v>
      </c>
      <c r="D408" s="10"/>
      <c r="E408" s="26" t="s">
        <v>820</v>
      </c>
      <c r="F408" s="28" t="s">
        <v>1303</v>
      </c>
      <c r="G408" s="28">
        <v>40.89</v>
      </c>
      <c r="H408" s="28">
        <v>17.11</v>
      </c>
      <c r="I408" s="28">
        <v>1.17</v>
      </c>
      <c r="J408" s="28">
        <v>0.92</v>
      </c>
      <c r="K408" s="28">
        <v>3.1</v>
      </c>
      <c r="L408" s="25">
        <v>0.21740000000000001</v>
      </c>
      <c r="M408" s="25">
        <v>2.0895999999999999</v>
      </c>
      <c r="N408" s="28">
        <v>30.25</v>
      </c>
      <c r="O408" s="28">
        <v>44</v>
      </c>
      <c r="P408" s="28">
        <v>1.3517355371900828</v>
      </c>
      <c r="Q408" s="28">
        <v>0.92931818181818193</v>
      </c>
    </row>
    <row r="409" spans="2:17" ht="15" customHeight="1" x14ac:dyDescent="0.25">
      <c r="B409" s="22" t="s">
        <v>821</v>
      </c>
      <c r="C409" s="23" t="s">
        <v>822</v>
      </c>
      <c r="D409" s="10"/>
      <c r="E409" s="26" t="s">
        <v>822</v>
      </c>
      <c r="F409" s="28" t="s">
        <v>1304</v>
      </c>
      <c r="G409" s="28">
        <v>42.97</v>
      </c>
      <c r="H409" s="28">
        <v>19.600000000000001</v>
      </c>
      <c r="I409" s="28">
        <v>4.2699999999999996</v>
      </c>
      <c r="J409" s="28">
        <v>1.69</v>
      </c>
      <c r="K409" s="28">
        <v>2.3199999999999998</v>
      </c>
      <c r="L409" s="25">
        <v>0.58379999999999999</v>
      </c>
      <c r="M409" s="25">
        <v>-0.81930000000000003</v>
      </c>
      <c r="N409" s="28">
        <v>36.909999999999997</v>
      </c>
      <c r="O409" s="28">
        <v>48.37</v>
      </c>
      <c r="P409" s="28">
        <v>1.1641831481983203</v>
      </c>
      <c r="Q409" s="28">
        <v>0.88836055406243541</v>
      </c>
    </row>
    <row r="410" spans="2:17" ht="15" customHeight="1" x14ac:dyDescent="0.25">
      <c r="B410" s="22" t="s">
        <v>823</v>
      </c>
      <c r="C410" s="23" t="s">
        <v>824</v>
      </c>
      <c r="D410" s="10"/>
      <c r="E410" s="26" t="s">
        <v>824</v>
      </c>
      <c r="F410" s="28" t="s">
        <v>1305</v>
      </c>
      <c r="G410" s="28">
        <v>95.73</v>
      </c>
      <c r="H410" s="28">
        <v>17.82</v>
      </c>
      <c r="I410" s="28">
        <v>1.87</v>
      </c>
      <c r="J410" s="28">
        <v>2.17</v>
      </c>
      <c r="K410" s="28">
        <v>6.9</v>
      </c>
      <c r="L410" s="25">
        <v>1.8534999999999999</v>
      </c>
      <c r="M410" s="25">
        <v>5.3394000000000004</v>
      </c>
      <c r="N410" s="28">
        <v>83.31</v>
      </c>
      <c r="O410" s="28">
        <v>100.05</v>
      </c>
      <c r="P410" s="28">
        <v>1.1490817428880087</v>
      </c>
      <c r="Q410" s="28">
        <v>0.95682158920539739</v>
      </c>
    </row>
    <row r="411" spans="2:17" ht="15" customHeight="1" x14ac:dyDescent="0.25">
      <c r="B411" s="22" t="s">
        <v>825</v>
      </c>
      <c r="C411" s="23" t="s">
        <v>826</v>
      </c>
      <c r="D411" s="10"/>
      <c r="E411" s="26" t="s">
        <v>826</v>
      </c>
      <c r="F411" s="28" t="s">
        <v>1306</v>
      </c>
      <c r="G411" s="28">
        <v>24.63</v>
      </c>
      <c r="H411" s="28">
        <v>12.31</v>
      </c>
      <c r="I411" s="28">
        <v>1.25</v>
      </c>
      <c r="J411" s="28">
        <v>1</v>
      </c>
      <c r="K411" s="28">
        <v>2.02</v>
      </c>
      <c r="L411" s="25">
        <v>7.0900000000000005E-2</v>
      </c>
      <c r="M411" s="25">
        <v>0.39350000000000002</v>
      </c>
      <c r="N411" s="28">
        <v>21.48</v>
      </c>
      <c r="O411" s="28">
        <v>26.7</v>
      </c>
      <c r="P411" s="28">
        <v>1.1466480446927376</v>
      </c>
      <c r="Q411" s="28">
        <v>0.92247191011235963</v>
      </c>
    </row>
    <row r="412" spans="2:17" ht="15" customHeight="1" x14ac:dyDescent="0.25">
      <c r="B412" s="22" t="s">
        <v>827</v>
      </c>
      <c r="C412" s="23" t="s">
        <v>828</v>
      </c>
      <c r="D412" s="10"/>
      <c r="E412" s="26" t="s">
        <v>828</v>
      </c>
      <c r="F412" s="28" t="s">
        <v>1307</v>
      </c>
      <c r="G412" s="28">
        <v>48.57</v>
      </c>
      <c r="H412" s="28">
        <v>15.9</v>
      </c>
      <c r="I412" s="28">
        <v>1.03</v>
      </c>
      <c r="J412" s="28">
        <v>0</v>
      </c>
      <c r="K412" s="28">
        <v>1.62</v>
      </c>
      <c r="L412" s="25">
        <v>0.96619999999999995</v>
      </c>
      <c r="M412" s="25">
        <v>5.9810999999999996</v>
      </c>
      <c r="N412" s="28">
        <v>33.61</v>
      </c>
      <c r="O412" s="28">
        <v>55.38</v>
      </c>
      <c r="P412" s="28">
        <v>1.445105623326391</v>
      </c>
      <c r="Q412" s="28">
        <v>0.87703141928494044</v>
      </c>
    </row>
    <row r="413" spans="2:17" ht="15" customHeight="1" x14ac:dyDescent="0.25">
      <c r="B413" s="22" t="s">
        <v>829</v>
      </c>
      <c r="C413" s="23" t="s">
        <v>830</v>
      </c>
      <c r="D413" s="10"/>
      <c r="E413" s="26" t="s">
        <v>830</v>
      </c>
      <c r="F413" s="28" t="s">
        <v>1449</v>
      </c>
      <c r="G413" s="28">
        <v>16.809999999999999</v>
      </c>
      <c r="H413" s="28">
        <v>17.61</v>
      </c>
      <c r="I413" s="28">
        <v>0.86</v>
      </c>
      <c r="J413" s="28">
        <v>0</v>
      </c>
      <c r="K413" s="28">
        <v>1.75</v>
      </c>
      <c r="L413" s="25">
        <v>-3.9399999999999998E-2</v>
      </c>
      <c r="M413" s="25">
        <v>1.0192000000000001</v>
      </c>
      <c r="N413" s="28">
        <v>12.95</v>
      </c>
      <c r="O413" s="28">
        <v>20.04</v>
      </c>
      <c r="P413" s="28">
        <v>1.2980694980694982</v>
      </c>
      <c r="Q413" s="28">
        <v>0.83882235528942117</v>
      </c>
    </row>
    <row r="414" spans="2:17" ht="15" customHeight="1" x14ac:dyDescent="0.25">
      <c r="B414" s="22" t="s">
        <v>831</v>
      </c>
      <c r="C414" s="23" t="s">
        <v>832</v>
      </c>
      <c r="D414" s="10"/>
      <c r="E414" s="26" t="s">
        <v>832</v>
      </c>
      <c r="F414" s="28" t="s">
        <v>1308</v>
      </c>
      <c r="G414" s="28">
        <v>67.66</v>
      </c>
      <c r="H414" s="28">
        <v>13.26</v>
      </c>
      <c r="I414" s="28">
        <v>1.57</v>
      </c>
      <c r="J414" s="28">
        <v>0.92</v>
      </c>
      <c r="K414" s="28">
        <v>4.0999999999999996</v>
      </c>
      <c r="L414" s="25">
        <v>0.41499999999999998</v>
      </c>
      <c r="M414" s="25">
        <v>5.4139999999999997</v>
      </c>
      <c r="N414" s="28">
        <v>49.97</v>
      </c>
      <c r="O414" s="28">
        <v>64</v>
      </c>
      <c r="P414" s="28">
        <v>1.3540124074444666</v>
      </c>
      <c r="Q414" s="28">
        <v>1.0571874999999999</v>
      </c>
    </row>
    <row r="415" spans="2:17" ht="15" customHeight="1" x14ac:dyDescent="0.25">
      <c r="B415" s="22" t="s">
        <v>833</v>
      </c>
      <c r="C415" s="23" t="s">
        <v>834</v>
      </c>
      <c r="D415" s="10"/>
      <c r="E415" s="26" t="s">
        <v>834</v>
      </c>
      <c r="F415" s="28" t="s">
        <v>1309</v>
      </c>
      <c r="G415" s="28">
        <v>12.7</v>
      </c>
      <c r="H415" s="28">
        <v>13.26</v>
      </c>
      <c r="I415" s="28">
        <v>1.65</v>
      </c>
      <c r="J415" s="28">
        <v>0.24</v>
      </c>
      <c r="K415" s="28">
        <v>2.36</v>
      </c>
      <c r="L415" s="25">
        <v>0.55910000000000004</v>
      </c>
      <c r="M415" s="25">
        <v>1.5016</v>
      </c>
      <c r="N415" s="28">
        <v>9.0399999999999991</v>
      </c>
      <c r="O415" s="28">
        <v>13.97</v>
      </c>
      <c r="P415" s="28">
        <v>1.404867256637168</v>
      </c>
      <c r="Q415" s="28">
        <v>0.90909090909090917</v>
      </c>
    </row>
    <row r="416" spans="2:17" ht="15" customHeight="1" x14ac:dyDescent="0.25">
      <c r="B416" s="22" t="s">
        <v>835</v>
      </c>
      <c r="C416" s="23" t="s">
        <v>836</v>
      </c>
      <c r="D416" s="10"/>
      <c r="E416" s="26" t="s">
        <v>836</v>
      </c>
      <c r="F416" s="28" t="s">
        <v>1310</v>
      </c>
      <c r="G416" s="28">
        <v>15.5</v>
      </c>
      <c r="H416" s="28">
        <v>0</v>
      </c>
      <c r="I416" s="28">
        <v>5.39</v>
      </c>
      <c r="J416" s="28">
        <v>0</v>
      </c>
      <c r="K416" s="28">
        <v>0</v>
      </c>
      <c r="L416" s="25">
        <v>-0.06</v>
      </c>
      <c r="M416" s="25">
        <v>0.65149999999999997</v>
      </c>
      <c r="N416" s="28">
        <v>11.45</v>
      </c>
      <c r="O416" s="28">
        <v>17.5</v>
      </c>
      <c r="P416" s="28">
        <v>1.3537117903930131</v>
      </c>
      <c r="Q416" s="28">
        <v>0.88571428571428568</v>
      </c>
    </row>
    <row r="417" spans="2:17" ht="15" customHeight="1" x14ac:dyDescent="0.25">
      <c r="B417" s="22" t="s">
        <v>837</v>
      </c>
      <c r="C417" s="23" t="s">
        <v>838</v>
      </c>
      <c r="D417" s="10"/>
      <c r="E417" s="26" t="s">
        <v>838</v>
      </c>
      <c r="F417" s="28" t="s">
        <v>1311</v>
      </c>
      <c r="G417" s="28">
        <v>8.5</v>
      </c>
      <c r="H417" s="28">
        <v>16.88</v>
      </c>
      <c r="I417" s="28">
        <v>0</v>
      </c>
      <c r="J417" s="28">
        <v>0.32</v>
      </c>
      <c r="K417" s="28">
        <v>0.89</v>
      </c>
      <c r="L417" s="25">
        <v>-0.1144</v>
      </c>
      <c r="M417" s="25">
        <v>0.41260000000000002</v>
      </c>
      <c r="N417" s="28">
        <v>5.69</v>
      </c>
      <c r="O417" s="28">
        <v>8.02</v>
      </c>
      <c r="P417" s="28">
        <v>1.4938488576449913</v>
      </c>
      <c r="Q417" s="28">
        <v>1.059850374064838</v>
      </c>
    </row>
    <row r="418" spans="2:17" ht="15" customHeight="1" x14ac:dyDescent="0.25">
      <c r="B418" s="22" t="s">
        <v>839</v>
      </c>
      <c r="C418" s="23" t="s">
        <v>840</v>
      </c>
      <c r="D418" s="10"/>
      <c r="E418" s="26" t="s">
        <v>840</v>
      </c>
      <c r="F418" s="28" t="s">
        <v>1450</v>
      </c>
      <c r="G418" s="28">
        <v>126.92</v>
      </c>
      <c r="H418" s="28">
        <v>58.53</v>
      </c>
      <c r="I418" s="28">
        <v>1.03</v>
      </c>
      <c r="J418" s="28">
        <v>0.68</v>
      </c>
      <c r="K418" s="28">
        <v>2.5299999999999998</v>
      </c>
      <c r="L418" s="25">
        <v>-0.42099999999999999</v>
      </c>
      <c r="M418" s="25">
        <v>8.7810000000000006</v>
      </c>
      <c r="N418" s="28">
        <v>82.48</v>
      </c>
      <c r="O418" s="28">
        <v>144.19999999999999</v>
      </c>
      <c r="P418" s="28">
        <v>1.5387972841901068</v>
      </c>
      <c r="Q418" s="28">
        <v>0.8801664355062413</v>
      </c>
    </row>
    <row r="419" spans="2:17" ht="15" customHeight="1" x14ac:dyDescent="0.25">
      <c r="B419" s="22" t="s">
        <v>841</v>
      </c>
      <c r="C419" s="23" t="s">
        <v>842</v>
      </c>
      <c r="D419" s="10"/>
      <c r="E419" s="26" t="s">
        <v>842</v>
      </c>
      <c r="F419" s="28" t="s">
        <v>1451</v>
      </c>
      <c r="G419" s="28">
        <v>55.41</v>
      </c>
      <c r="H419" s="28">
        <v>31.44</v>
      </c>
      <c r="I419" s="28">
        <v>0.73</v>
      </c>
      <c r="J419" s="28">
        <v>0</v>
      </c>
      <c r="K419" s="28">
        <v>1.93</v>
      </c>
      <c r="L419" s="25">
        <v>0.46089999999999998</v>
      </c>
      <c r="M419" s="25">
        <v>-2.4114</v>
      </c>
      <c r="N419" s="28">
        <v>49.79</v>
      </c>
      <c r="O419" s="28">
        <v>63.58</v>
      </c>
      <c r="P419" s="28">
        <v>1.1128740710986142</v>
      </c>
      <c r="Q419" s="28">
        <v>0.8715004718464926</v>
      </c>
    </row>
    <row r="420" spans="2:17" ht="15" customHeight="1" x14ac:dyDescent="0.25">
      <c r="B420" s="22" t="s">
        <v>843</v>
      </c>
      <c r="C420" s="23" t="s">
        <v>844</v>
      </c>
      <c r="D420" s="10"/>
      <c r="E420" s="26" t="s">
        <v>844</v>
      </c>
      <c r="F420" s="28" t="s">
        <v>1312</v>
      </c>
      <c r="G420" s="28">
        <v>42.89</v>
      </c>
      <c r="H420" s="28">
        <v>25.76</v>
      </c>
      <c r="I420" s="28">
        <v>1.03</v>
      </c>
      <c r="J420" s="28">
        <v>0</v>
      </c>
      <c r="K420" s="28">
        <v>6.72</v>
      </c>
      <c r="L420" s="25">
        <v>2.6263000000000001</v>
      </c>
      <c r="M420" s="25">
        <v>7.3373999999999997</v>
      </c>
      <c r="N420" s="28">
        <v>22.4</v>
      </c>
      <c r="O420" s="28">
        <v>46.96</v>
      </c>
      <c r="P420" s="28">
        <v>1.9147321428571429</v>
      </c>
      <c r="Q420" s="28">
        <v>0.91333049403747879</v>
      </c>
    </row>
    <row r="421" spans="2:17" ht="15" customHeight="1" x14ac:dyDescent="0.25">
      <c r="B421" s="22" t="s">
        <v>845</v>
      </c>
      <c r="C421" s="23" t="s">
        <v>846</v>
      </c>
      <c r="D421" s="10"/>
      <c r="E421" s="26" t="s">
        <v>846</v>
      </c>
      <c r="F421" s="28" t="s">
        <v>1313</v>
      </c>
      <c r="G421" s="28">
        <v>74.25</v>
      </c>
      <c r="H421" s="28">
        <v>22.82</v>
      </c>
      <c r="I421" s="28">
        <v>1.17</v>
      </c>
      <c r="J421" s="28">
        <v>0.54</v>
      </c>
      <c r="K421" s="28">
        <v>1.7</v>
      </c>
      <c r="L421" s="25">
        <v>2.5421</v>
      </c>
      <c r="M421" s="25">
        <v>10.750400000000001</v>
      </c>
      <c r="N421" s="28">
        <v>48.14</v>
      </c>
      <c r="O421" s="28">
        <v>79</v>
      </c>
      <c r="P421" s="28">
        <v>1.5423764021603656</v>
      </c>
      <c r="Q421" s="28">
        <v>0.939873417721519</v>
      </c>
    </row>
    <row r="422" spans="2:17" ht="15" customHeight="1" x14ac:dyDescent="0.25">
      <c r="B422" s="22" t="s">
        <v>847</v>
      </c>
      <c r="C422" s="23" t="s">
        <v>848</v>
      </c>
      <c r="D422" s="10"/>
      <c r="E422" s="26" t="s">
        <v>848</v>
      </c>
      <c r="F422" s="28" t="s">
        <v>1314</v>
      </c>
      <c r="G422" s="28">
        <v>57.19</v>
      </c>
      <c r="H422" s="28">
        <v>15.16</v>
      </c>
      <c r="I422" s="28">
        <v>1.54</v>
      </c>
      <c r="J422" s="28">
        <v>1.36</v>
      </c>
      <c r="K422" s="28">
        <v>5.95</v>
      </c>
      <c r="L422" s="25">
        <v>-5.4226000000000001</v>
      </c>
      <c r="M422" s="25">
        <v>-3.3479999999999999</v>
      </c>
      <c r="N422" s="28">
        <v>50.81</v>
      </c>
      <c r="O422" s="28">
        <v>69.5</v>
      </c>
      <c r="P422" s="28">
        <v>1.1255658334973431</v>
      </c>
      <c r="Q422" s="28">
        <v>0.8228776978417266</v>
      </c>
    </row>
    <row r="423" spans="2:17" ht="15" customHeight="1" x14ac:dyDescent="0.25">
      <c r="B423" s="22" t="s">
        <v>849</v>
      </c>
      <c r="C423" s="23" t="s">
        <v>850</v>
      </c>
      <c r="D423" s="10"/>
      <c r="E423" s="26" t="s">
        <v>850</v>
      </c>
      <c r="F423" s="28" t="s">
        <v>1452</v>
      </c>
      <c r="G423" s="28">
        <v>79.010000000000005</v>
      </c>
      <c r="H423" s="28">
        <v>11.31</v>
      </c>
      <c r="I423" s="28">
        <v>1.98</v>
      </c>
      <c r="J423" s="28">
        <v>5.2</v>
      </c>
      <c r="K423" s="28">
        <v>1.88</v>
      </c>
      <c r="L423" s="25">
        <v>-4.7773000000000003</v>
      </c>
      <c r="M423" s="25">
        <v>-1.4169</v>
      </c>
      <c r="N423" s="28">
        <v>60.16</v>
      </c>
      <c r="O423" s="28">
        <v>92.5</v>
      </c>
      <c r="P423" s="28">
        <v>1.3133311170212765</v>
      </c>
      <c r="Q423" s="28">
        <v>0.85416216216216212</v>
      </c>
    </row>
    <row r="424" spans="2:17" ht="15" customHeight="1" x14ac:dyDescent="0.25">
      <c r="B424" s="22" t="s">
        <v>851</v>
      </c>
      <c r="C424" s="23" t="s">
        <v>852</v>
      </c>
      <c r="D424" s="10"/>
      <c r="E424" s="26" t="s">
        <v>852</v>
      </c>
      <c r="F424" s="28" t="s">
        <v>1453</v>
      </c>
      <c r="G424" s="28">
        <v>42.16</v>
      </c>
      <c r="H424" s="28">
        <v>16.920000000000002</v>
      </c>
      <c r="I424" s="28">
        <v>0.75</v>
      </c>
      <c r="J424" s="28">
        <v>0.04</v>
      </c>
      <c r="K424" s="28">
        <v>0.67</v>
      </c>
      <c r="L424" s="25">
        <v>-0.46850000000000003</v>
      </c>
      <c r="M424" s="25">
        <v>5.1298000000000004</v>
      </c>
      <c r="N424" s="28">
        <v>24.61</v>
      </c>
      <c r="O424" s="28">
        <v>49.25</v>
      </c>
      <c r="P424" s="28">
        <v>1.713124746038196</v>
      </c>
      <c r="Q424" s="28">
        <v>0.85604060913705582</v>
      </c>
    </row>
    <row r="425" spans="2:17" ht="15" customHeight="1" x14ac:dyDescent="0.25">
      <c r="B425" s="22" t="s">
        <v>853</v>
      </c>
      <c r="C425" s="23" t="s">
        <v>854</v>
      </c>
      <c r="D425" s="10"/>
      <c r="E425" s="26" t="s">
        <v>854</v>
      </c>
      <c r="F425" s="28" t="s">
        <v>1315</v>
      </c>
      <c r="G425" s="28">
        <v>25.24</v>
      </c>
      <c r="H425" s="28">
        <v>0</v>
      </c>
      <c r="I425" s="28">
        <v>2.78</v>
      </c>
      <c r="J425" s="28">
        <v>0.65</v>
      </c>
      <c r="K425" s="28">
        <v>1.43</v>
      </c>
      <c r="L425" s="25">
        <v>0.81089999999999995</v>
      </c>
      <c r="M425" s="25">
        <v>1.7287999999999999</v>
      </c>
      <c r="N425" s="28">
        <v>15.32</v>
      </c>
      <c r="O425" s="28">
        <v>28.26</v>
      </c>
      <c r="P425" s="28">
        <v>1.6475195822454309</v>
      </c>
      <c r="Q425" s="28">
        <v>0.89313517338995041</v>
      </c>
    </row>
    <row r="426" spans="2:17" ht="15" customHeight="1" x14ac:dyDescent="0.25">
      <c r="B426" s="22" t="s">
        <v>855</v>
      </c>
      <c r="C426" s="23" t="s">
        <v>856</v>
      </c>
      <c r="D426" s="10"/>
      <c r="E426" s="26" t="s">
        <v>856</v>
      </c>
      <c r="F426" s="28" t="s">
        <v>1316</v>
      </c>
      <c r="G426" s="28">
        <v>19.32</v>
      </c>
      <c r="H426" s="28">
        <v>0</v>
      </c>
      <c r="I426" s="28">
        <v>2.2000000000000002</v>
      </c>
      <c r="J426" s="28">
        <v>0.42</v>
      </c>
      <c r="K426" s="28">
        <v>2.36</v>
      </c>
      <c r="L426" s="25">
        <v>-0.32969999999999999</v>
      </c>
      <c r="M426" s="25">
        <v>-0.20699999999999999</v>
      </c>
      <c r="N426" s="28">
        <v>15.85</v>
      </c>
      <c r="O426" s="28">
        <v>21.1</v>
      </c>
      <c r="P426" s="28">
        <v>1.2189274447949527</v>
      </c>
      <c r="Q426" s="28">
        <v>0.9156398104265403</v>
      </c>
    </row>
    <row r="427" spans="2:17" ht="15" customHeight="1" x14ac:dyDescent="0.25">
      <c r="B427" s="22" t="s">
        <v>857</v>
      </c>
      <c r="C427" s="23" t="s">
        <v>858</v>
      </c>
      <c r="D427" s="10"/>
      <c r="E427" s="26" t="s">
        <v>858</v>
      </c>
      <c r="F427" s="28" t="s">
        <v>1317</v>
      </c>
      <c r="G427" s="28">
        <v>60.02</v>
      </c>
      <c r="H427" s="28">
        <v>21.84</v>
      </c>
      <c r="I427" s="28">
        <v>1.55</v>
      </c>
      <c r="J427" s="28">
        <v>2.3919999999999999</v>
      </c>
      <c r="K427" s="28">
        <v>0.91</v>
      </c>
      <c r="L427" s="25">
        <v>2.9479000000000002</v>
      </c>
      <c r="M427" s="25">
        <v>4.4542999999999999</v>
      </c>
      <c r="N427" s="28">
        <v>49.54</v>
      </c>
      <c r="O427" s="28">
        <v>58.39</v>
      </c>
      <c r="P427" s="28">
        <v>1.2115462252725071</v>
      </c>
      <c r="Q427" s="28">
        <v>1.0279157389964035</v>
      </c>
    </row>
    <row r="428" spans="2:17" ht="15" customHeight="1" x14ac:dyDescent="0.25">
      <c r="B428" s="22" t="s">
        <v>859</v>
      </c>
      <c r="C428" s="23" t="s">
        <v>860</v>
      </c>
      <c r="D428" s="10"/>
      <c r="E428" s="26" t="s">
        <v>860</v>
      </c>
      <c r="F428" s="28" t="s">
        <v>1318</v>
      </c>
      <c r="G428" s="28">
        <v>444.57</v>
      </c>
      <c r="H428" s="28">
        <v>10.18</v>
      </c>
      <c r="I428" s="28">
        <v>0.53</v>
      </c>
      <c r="J428" s="28">
        <v>7.95</v>
      </c>
      <c r="K428" s="28">
        <v>3.31</v>
      </c>
      <c r="L428" s="25">
        <v>-26.751000000000001</v>
      </c>
      <c r="M428" s="25">
        <v>-128.09200000000001</v>
      </c>
      <c r="N428" s="28">
        <v>435</v>
      </c>
      <c r="O428" s="28">
        <v>630.24</v>
      </c>
      <c r="P428" s="28">
        <v>1.022</v>
      </c>
      <c r="Q428" s="28">
        <v>0.705397943640518</v>
      </c>
    </row>
    <row r="429" spans="2:17" ht="15" customHeight="1" x14ac:dyDescent="0.25">
      <c r="B429" s="22" t="s">
        <v>861</v>
      </c>
      <c r="C429" s="23" t="s">
        <v>862</v>
      </c>
      <c r="D429" s="10"/>
      <c r="E429" s="26" t="s">
        <v>862</v>
      </c>
      <c r="F429" s="28" t="s">
        <v>1454</v>
      </c>
      <c r="G429" s="28">
        <v>166.06</v>
      </c>
      <c r="H429" s="28">
        <v>28.12</v>
      </c>
      <c r="I429" s="28">
        <v>1.19</v>
      </c>
      <c r="J429" s="28">
        <v>0</v>
      </c>
      <c r="K429" s="28">
        <v>5.51</v>
      </c>
      <c r="L429" s="25">
        <v>10.815</v>
      </c>
      <c r="M429" s="25">
        <v>16.327000000000002</v>
      </c>
      <c r="N429" s="28">
        <v>116.01</v>
      </c>
      <c r="O429" s="28">
        <v>172.59</v>
      </c>
      <c r="P429" s="28">
        <v>1.431428325144384</v>
      </c>
      <c r="Q429" s="28">
        <v>0.96216466770960085</v>
      </c>
    </row>
    <row r="430" spans="2:17" ht="15" customHeight="1" x14ac:dyDescent="0.25">
      <c r="B430" s="22" t="s">
        <v>863</v>
      </c>
      <c r="C430" s="23" t="s">
        <v>864</v>
      </c>
      <c r="D430" s="10"/>
      <c r="E430" s="26" t="s">
        <v>864</v>
      </c>
      <c r="F430" s="28" t="s">
        <v>864</v>
      </c>
      <c r="G430" s="28">
        <v>0</v>
      </c>
      <c r="H430" s="28">
        <v>0</v>
      </c>
      <c r="I430" s="28">
        <v>0</v>
      </c>
      <c r="J430" s="28">
        <v>0</v>
      </c>
      <c r="K430" s="28">
        <v>0</v>
      </c>
      <c r="L430" s="25">
        <v>0</v>
      </c>
      <c r="M430" s="25">
        <v>0</v>
      </c>
      <c r="N430" s="28">
        <v>0</v>
      </c>
      <c r="O430" s="28">
        <v>0</v>
      </c>
      <c r="P430" s="28"/>
      <c r="Q430" s="28"/>
    </row>
    <row r="431" spans="2:17" ht="15" customHeight="1" x14ac:dyDescent="0.25">
      <c r="B431" s="22" t="s">
        <v>865</v>
      </c>
      <c r="C431" s="23" t="s">
        <v>866</v>
      </c>
      <c r="D431" s="10"/>
      <c r="E431" s="26" t="s">
        <v>866</v>
      </c>
      <c r="F431" s="28" t="s">
        <v>1455</v>
      </c>
      <c r="G431" s="28">
        <v>19.43</v>
      </c>
      <c r="H431" s="28">
        <v>0</v>
      </c>
      <c r="I431" s="28">
        <v>0.92</v>
      </c>
      <c r="J431" s="28">
        <v>0.57999999999999996</v>
      </c>
      <c r="K431" s="28">
        <v>6.83</v>
      </c>
      <c r="L431" s="25">
        <v>1.7029000000000001</v>
      </c>
      <c r="M431" s="25">
        <v>3.4826999999999999</v>
      </c>
      <c r="N431" s="28">
        <v>13.7</v>
      </c>
      <c r="O431" s="28">
        <v>22.25</v>
      </c>
      <c r="P431" s="28">
        <v>1.4182481751824818</v>
      </c>
      <c r="Q431" s="28">
        <v>0.87325842696629219</v>
      </c>
    </row>
    <row r="432" spans="2:17" ht="15" customHeight="1" x14ac:dyDescent="0.25">
      <c r="B432" s="22" t="s">
        <v>867</v>
      </c>
      <c r="C432" s="23" t="s">
        <v>868</v>
      </c>
      <c r="D432" s="10"/>
      <c r="E432" s="26" t="s">
        <v>868</v>
      </c>
      <c r="F432" s="28" t="s">
        <v>1319</v>
      </c>
      <c r="G432" s="28">
        <v>799.78</v>
      </c>
      <c r="H432" s="28">
        <v>24.53</v>
      </c>
      <c r="I432" s="28">
        <v>1.27</v>
      </c>
      <c r="J432" s="28">
        <v>0</v>
      </c>
      <c r="K432" s="28">
        <v>3.64</v>
      </c>
      <c r="L432" s="25">
        <v>38.110999999999997</v>
      </c>
      <c r="M432" s="25">
        <v>83.424000000000007</v>
      </c>
      <c r="N432" s="28">
        <v>556.52</v>
      </c>
      <c r="O432" s="28">
        <v>843.6</v>
      </c>
      <c r="P432" s="28">
        <v>1.4371091784661829</v>
      </c>
      <c r="Q432" s="28">
        <v>0.94805595068752968</v>
      </c>
    </row>
    <row r="433" spans="2:17" ht="15" customHeight="1" x14ac:dyDescent="0.25">
      <c r="B433" s="22" t="s">
        <v>869</v>
      </c>
      <c r="C433" s="23" t="s">
        <v>870</v>
      </c>
      <c r="D433" s="10"/>
      <c r="E433" s="26" t="s">
        <v>870</v>
      </c>
      <c r="F433" s="28" t="s">
        <v>1456</v>
      </c>
      <c r="G433" s="28">
        <v>108.49</v>
      </c>
      <c r="H433" s="28">
        <v>29.9</v>
      </c>
      <c r="I433" s="28">
        <v>1.74</v>
      </c>
      <c r="J433" s="28">
        <v>0.2</v>
      </c>
      <c r="K433" s="28">
        <v>5.5</v>
      </c>
      <c r="L433" s="25">
        <v>2.3540000000000001</v>
      </c>
      <c r="M433" s="25">
        <v>13.817299999999999</v>
      </c>
      <c r="N433" s="28">
        <v>81.28</v>
      </c>
      <c r="O433" s="28">
        <v>114.8</v>
      </c>
      <c r="P433" s="28">
        <v>1.3347687007874016</v>
      </c>
      <c r="Q433" s="28">
        <v>0.94503484320557496</v>
      </c>
    </row>
    <row r="434" spans="2:17" ht="15" customHeight="1" x14ac:dyDescent="0.25">
      <c r="B434" s="22" t="s">
        <v>871</v>
      </c>
      <c r="C434" s="23" t="s">
        <v>871</v>
      </c>
      <c r="D434" s="10"/>
      <c r="E434" s="26" t="s">
        <v>871</v>
      </c>
      <c r="F434" s="28" t="s">
        <v>1457</v>
      </c>
      <c r="G434" s="28">
        <v>48.76</v>
      </c>
      <c r="H434" s="28">
        <v>25.45</v>
      </c>
      <c r="I434" s="28">
        <v>2.4900000000000002</v>
      </c>
      <c r="J434" s="28">
        <v>2.0249999999999999</v>
      </c>
      <c r="K434" s="28">
        <v>2.0699999999999998</v>
      </c>
      <c r="L434" s="25">
        <v>1.8138000000000001</v>
      </c>
      <c r="M434" s="25">
        <v>3.1911</v>
      </c>
      <c r="N434" s="28">
        <v>37.81</v>
      </c>
      <c r="O434" s="28">
        <v>46.58</v>
      </c>
      <c r="P434" s="28">
        <v>1.2896059243586353</v>
      </c>
      <c r="Q434" s="28">
        <v>1.046801202232718</v>
      </c>
    </row>
    <row r="435" spans="2:17" ht="15" customHeight="1" x14ac:dyDescent="0.25">
      <c r="B435" s="22" t="s">
        <v>872</v>
      </c>
      <c r="C435" s="23" t="s">
        <v>873</v>
      </c>
      <c r="D435" s="10"/>
      <c r="E435" s="26" t="s">
        <v>873</v>
      </c>
      <c r="F435" s="28" t="s">
        <v>1320</v>
      </c>
      <c r="G435" s="28">
        <v>9.26</v>
      </c>
      <c r="H435" s="28">
        <v>16.62</v>
      </c>
      <c r="I435" s="28">
        <v>7.37</v>
      </c>
      <c r="J435" s="28">
        <v>0.24</v>
      </c>
      <c r="K435" s="28">
        <v>1.21</v>
      </c>
      <c r="L435" s="25">
        <v>-0.25559999999999999</v>
      </c>
      <c r="M435" s="25">
        <v>0.38159999999999999</v>
      </c>
      <c r="N435" s="28">
        <v>6.64</v>
      </c>
      <c r="O435" s="28">
        <v>8.7899999999999991</v>
      </c>
      <c r="P435" s="28">
        <v>1.3945783132530121</v>
      </c>
      <c r="Q435" s="28">
        <v>1.0534698521046644</v>
      </c>
    </row>
    <row r="436" spans="2:17" ht="15" customHeight="1" x14ac:dyDescent="0.25">
      <c r="B436" s="22" t="s">
        <v>874</v>
      </c>
      <c r="C436" s="23" t="s">
        <v>875</v>
      </c>
      <c r="D436" s="10"/>
      <c r="E436" s="26" t="s">
        <v>875</v>
      </c>
      <c r="F436" s="28" t="s">
        <v>1321</v>
      </c>
      <c r="G436" s="28">
        <v>20.72</v>
      </c>
      <c r="H436" s="28">
        <v>58.46</v>
      </c>
      <c r="I436" s="28">
        <v>1.18</v>
      </c>
      <c r="J436" s="28">
        <v>0</v>
      </c>
      <c r="K436" s="28">
        <v>1.48</v>
      </c>
      <c r="L436" s="25">
        <v>-0.80320000000000003</v>
      </c>
      <c r="M436" s="25">
        <v>1.7652000000000001</v>
      </c>
      <c r="N436" s="28">
        <v>14.01</v>
      </c>
      <c r="O436" s="28">
        <v>22.22</v>
      </c>
      <c r="P436" s="28">
        <v>1.4789436117059243</v>
      </c>
      <c r="Q436" s="28">
        <v>0.93249324932493249</v>
      </c>
    </row>
    <row r="437" spans="2:17" ht="15" customHeight="1" x14ac:dyDescent="0.25">
      <c r="B437" s="22" t="s">
        <v>876</v>
      </c>
      <c r="C437" s="23" t="s">
        <v>877</v>
      </c>
      <c r="D437" s="10"/>
      <c r="E437" s="26" t="s">
        <v>877</v>
      </c>
      <c r="F437" s="28" t="s">
        <v>1458</v>
      </c>
      <c r="G437" s="28">
        <v>18.62</v>
      </c>
      <c r="H437" s="28">
        <v>10.050000000000001</v>
      </c>
      <c r="I437" s="28">
        <v>0.71</v>
      </c>
      <c r="J437" s="28">
        <v>0.24</v>
      </c>
      <c r="K437" s="28">
        <v>1.8</v>
      </c>
      <c r="L437" s="25">
        <v>-0.81940000000000002</v>
      </c>
      <c r="M437" s="25">
        <v>-0.87760000000000005</v>
      </c>
      <c r="N437" s="28">
        <v>16.82</v>
      </c>
      <c r="O437" s="28">
        <v>24.27</v>
      </c>
      <c r="P437" s="28">
        <v>1.1070154577883473</v>
      </c>
      <c r="Q437" s="28">
        <v>0.76720230737536055</v>
      </c>
    </row>
    <row r="438" spans="2:17" ht="15" customHeight="1" x14ac:dyDescent="0.25">
      <c r="B438" s="22" t="s">
        <v>878</v>
      </c>
      <c r="C438" s="23" t="s">
        <v>879</v>
      </c>
      <c r="D438" s="10"/>
      <c r="E438" s="26" t="s">
        <v>879</v>
      </c>
      <c r="F438" s="28" t="s">
        <v>1322</v>
      </c>
      <c r="G438" s="28">
        <v>7.03</v>
      </c>
      <c r="H438" s="28">
        <v>9.58</v>
      </c>
      <c r="I438" s="28">
        <v>1.85</v>
      </c>
      <c r="J438" s="28">
        <v>0.16</v>
      </c>
      <c r="K438" s="28">
        <v>1.06</v>
      </c>
      <c r="L438" s="25">
        <v>7.0900000000000005E-2</v>
      </c>
      <c r="M438" s="25">
        <v>0.39319999999999999</v>
      </c>
      <c r="N438" s="28">
        <v>5.49</v>
      </c>
      <c r="O438" s="28">
        <v>7.41</v>
      </c>
      <c r="P438" s="28">
        <v>1.280510018214936</v>
      </c>
      <c r="Q438" s="28">
        <v>0.94871794871794879</v>
      </c>
    </row>
    <row r="439" spans="2:17" ht="15" customHeight="1" x14ac:dyDescent="0.25">
      <c r="B439" s="22" t="s">
        <v>880</v>
      </c>
      <c r="C439" s="23" t="s">
        <v>881</v>
      </c>
      <c r="D439" s="10"/>
      <c r="E439" s="26" t="s">
        <v>881</v>
      </c>
      <c r="F439" s="28" t="s">
        <v>1323</v>
      </c>
      <c r="G439" s="28">
        <v>38.22</v>
      </c>
      <c r="H439" s="28">
        <v>23.16</v>
      </c>
      <c r="I439" s="28">
        <v>1.32</v>
      </c>
      <c r="J439" s="28">
        <v>0.56000000000000005</v>
      </c>
      <c r="K439" s="28">
        <v>3.71</v>
      </c>
      <c r="L439" s="25">
        <v>-4.1429</v>
      </c>
      <c r="M439" s="25">
        <v>-0.38529999999999998</v>
      </c>
      <c r="N439" s="28">
        <v>34.200000000000003</v>
      </c>
      <c r="O439" s="28">
        <v>45.82</v>
      </c>
      <c r="P439" s="28">
        <v>1.117543859649123</v>
      </c>
      <c r="Q439" s="28">
        <v>0.83413356612832823</v>
      </c>
    </row>
    <row r="440" spans="2:17" ht="15" customHeight="1" x14ac:dyDescent="0.25">
      <c r="B440" s="22" t="s">
        <v>882</v>
      </c>
      <c r="C440" s="23" t="s">
        <v>883</v>
      </c>
      <c r="D440" s="10"/>
      <c r="E440" s="26" t="s">
        <v>883</v>
      </c>
      <c r="F440" s="28" t="s">
        <v>1459</v>
      </c>
      <c r="G440" s="28">
        <v>2.04</v>
      </c>
      <c r="H440" s="28">
        <v>0</v>
      </c>
      <c r="I440" s="28">
        <v>0</v>
      </c>
      <c r="J440" s="28">
        <v>1.06</v>
      </c>
      <c r="K440" s="28">
        <v>0.69</v>
      </c>
      <c r="L440" s="25">
        <v>-0.15</v>
      </c>
      <c r="M440" s="25">
        <v>-0.90990000000000004</v>
      </c>
      <c r="N440" s="28">
        <v>2.0099999999999998</v>
      </c>
      <c r="O440" s="28">
        <v>2.21</v>
      </c>
      <c r="P440" s="28">
        <v>1.0149253731343284</v>
      </c>
      <c r="Q440" s="28">
        <v>0.92307692307692313</v>
      </c>
    </row>
    <row r="441" spans="2:17" ht="15" customHeight="1" x14ac:dyDescent="0.25">
      <c r="B441" s="22" t="s">
        <v>884</v>
      </c>
      <c r="C441" s="23" t="s">
        <v>885</v>
      </c>
      <c r="D441" s="10"/>
      <c r="E441" s="26" t="s">
        <v>885</v>
      </c>
      <c r="F441" s="28" t="s">
        <v>1324</v>
      </c>
      <c r="G441" s="28">
        <v>82.6</v>
      </c>
      <c r="H441" s="28">
        <v>28.24</v>
      </c>
      <c r="I441" s="28">
        <v>2.36</v>
      </c>
      <c r="J441" s="28">
        <v>1.6</v>
      </c>
      <c r="K441" s="28">
        <v>17.62</v>
      </c>
      <c r="L441" s="25">
        <v>3.4131999999999998</v>
      </c>
      <c r="M441" s="25">
        <v>8.9187999999999992</v>
      </c>
      <c r="N441" s="28">
        <v>59.43</v>
      </c>
      <c r="O441" s="28">
        <v>82.46</v>
      </c>
      <c r="P441" s="28">
        <v>1.3898704358068315</v>
      </c>
      <c r="Q441" s="28">
        <v>1.0016977928692701</v>
      </c>
    </row>
    <row r="442" spans="2:17" ht="15" customHeight="1" x14ac:dyDescent="0.25">
      <c r="B442" s="22" t="s">
        <v>886</v>
      </c>
      <c r="C442" s="23" t="s">
        <v>887</v>
      </c>
      <c r="D442" s="10"/>
      <c r="E442" s="26" t="s">
        <v>887</v>
      </c>
      <c r="F442" s="28" t="s">
        <v>1325</v>
      </c>
      <c r="G442" s="28">
        <v>100.4</v>
      </c>
      <c r="H442" s="28">
        <v>23.64</v>
      </c>
      <c r="I442" s="28">
        <v>1.97</v>
      </c>
      <c r="J442" s="28">
        <v>1.35</v>
      </c>
      <c r="K442" s="28">
        <v>4.33</v>
      </c>
      <c r="L442" s="25">
        <v>-0.995</v>
      </c>
      <c r="M442" s="25">
        <v>7.9267000000000003</v>
      </c>
      <c r="N442" s="28">
        <v>69.7</v>
      </c>
      <c r="O442" s="28">
        <v>109.23</v>
      </c>
      <c r="P442" s="28">
        <v>1.4404591104734576</v>
      </c>
      <c r="Q442" s="28">
        <v>0.91916140254508838</v>
      </c>
    </row>
    <row r="443" spans="2:17" ht="15" customHeight="1" x14ac:dyDescent="0.25">
      <c r="B443" s="22" t="s">
        <v>888</v>
      </c>
      <c r="C443" s="23" t="s">
        <v>889</v>
      </c>
      <c r="D443" s="10"/>
      <c r="E443" s="26" t="s">
        <v>889</v>
      </c>
      <c r="F443" s="28" t="s">
        <v>889</v>
      </c>
      <c r="G443" s="28">
        <v>0</v>
      </c>
      <c r="H443" s="28">
        <v>0</v>
      </c>
      <c r="I443" s="28">
        <v>0</v>
      </c>
      <c r="J443" s="28">
        <v>0</v>
      </c>
      <c r="K443" s="28">
        <v>0</v>
      </c>
      <c r="L443" s="25">
        <v>0</v>
      </c>
      <c r="M443" s="25">
        <v>0</v>
      </c>
      <c r="N443" s="28">
        <v>0</v>
      </c>
      <c r="O443" s="28">
        <v>0</v>
      </c>
      <c r="P443" s="28"/>
      <c r="Q443" s="28"/>
    </row>
    <row r="444" spans="2:17" ht="15" customHeight="1" x14ac:dyDescent="0.25">
      <c r="B444" s="22" t="s">
        <v>890</v>
      </c>
      <c r="C444" s="23" t="s">
        <v>891</v>
      </c>
      <c r="D444" s="10"/>
      <c r="E444" s="26" t="s">
        <v>891</v>
      </c>
      <c r="F444" s="28" t="s">
        <v>891</v>
      </c>
      <c r="G444" s="28">
        <v>0</v>
      </c>
      <c r="H444" s="28">
        <v>0</v>
      </c>
      <c r="I444" s="28">
        <v>0</v>
      </c>
      <c r="J444" s="28">
        <v>0</v>
      </c>
      <c r="K444" s="28">
        <v>0</v>
      </c>
      <c r="L444" s="25">
        <v>0</v>
      </c>
      <c r="M444" s="25">
        <v>0</v>
      </c>
      <c r="N444" s="28">
        <v>0</v>
      </c>
      <c r="O444" s="28">
        <v>0</v>
      </c>
      <c r="P444" s="28"/>
      <c r="Q444" s="28"/>
    </row>
    <row r="445" spans="2:17" ht="15" customHeight="1" x14ac:dyDescent="0.25">
      <c r="B445" s="22" t="s">
        <v>892</v>
      </c>
      <c r="C445" s="23" t="s">
        <v>893</v>
      </c>
      <c r="D445" s="10"/>
      <c r="E445" s="26" t="s">
        <v>893</v>
      </c>
      <c r="F445" s="28" t="s">
        <v>1326</v>
      </c>
      <c r="G445" s="28">
        <v>155.09</v>
      </c>
      <c r="H445" s="28">
        <v>20.32</v>
      </c>
      <c r="I445" s="28">
        <v>1.51</v>
      </c>
      <c r="J445" s="28">
        <v>0</v>
      </c>
      <c r="K445" s="28">
        <v>3.04</v>
      </c>
      <c r="L445" s="25">
        <v>12.936999999999999</v>
      </c>
      <c r="M445" s="25">
        <v>20.651</v>
      </c>
      <c r="N445" s="28">
        <v>117.82</v>
      </c>
      <c r="O445" s="28">
        <v>158</v>
      </c>
      <c r="P445" s="28">
        <v>1.316329994907486</v>
      </c>
      <c r="Q445" s="28">
        <v>0.98158227848101265</v>
      </c>
    </row>
    <row r="446" spans="2:17" ht="15" customHeight="1" x14ac:dyDescent="0.25">
      <c r="B446" s="22" t="s">
        <v>894</v>
      </c>
      <c r="C446" s="23" t="s">
        <v>895</v>
      </c>
      <c r="D446" s="10"/>
      <c r="E446" s="26" t="s">
        <v>895</v>
      </c>
      <c r="F446" s="28" t="s">
        <v>1327</v>
      </c>
      <c r="G446" s="28">
        <v>74.209999999999994</v>
      </c>
      <c r="H446" s="28">
        <v>0</v>
      </c>
      <c r="I446" s="28">
        <v>6.14</v>
      </c>
      <c r="J446" s="28">
        <v>0.16</v>
      </c>
      <c r="K446" s="28">
        <v>4.9800000000000004</v>
      </c>
      <c r="L446" s="25">
        <v>5.2637999999999998</v>
      </c>
      <c r="M446" s="25">
        <v>6.7866</v>
      </c>
      <c r="N446" s="28">
        <v>53.09</v>
      </c>
      <c r="O446" s="28">
        <v>76.739999999999995</v>
      </c>
      <c r="P446" s="28">
        <v>1.3978150310792994</v>
      </c>
      <c r="Q446" s="28">
        <v>0.9670315350534272</v>
      </c>
    </row>
    <row r="447" spans="2:17" ht="15" customHeight="1" x14ac:dyDescent="0.25">
      <c r="B447" s="22" t="s">
        <v>896</v>
      </c>
      <c r="C447" s="23" t="s">
        <v>897</v>
      </c>
      <c r="D447" s="10"/>
      <c r="E447" s="26" t="s">
        <v>897</v>
      </c>
      <c r="F447" s="28" t="s">
        <v>1328</v>
      </c>
      <c r="G447" s="28">
        <v>23.23</v>
      </c>
      <c r="H447" s="28">
        <v>14.21</v>
      </c>
      <c r="I447" s="28">
        <v>1.58</v>
      </c>
      <c r="J447" s="28">
        <v>0</v>
      </c>
      <c r="K447" s="28">
        <v>3</v>
      </c>
      <c r="L447" s="25">
        <v>1.4409000000000001</v>
      </c>
      <c r="M447" s="25">
        <v>4.0507</v>
      </c>
      <c r="N447" s="28">
        <v>13.06</v>
      </c>
      <c r="O447" s="28">
        <v>23.73</v>
      </c>
      <c r="P447" s="28">
        <v>1.7787136294027566</v>
      </c>
      <c r="Q447" s="28">
        <v>0.97892962494732416</v>
      </c>
    </row>
    <row r="448" spans="2:17" ht="15" customHeight="1" x14ac:dyDescent="0.25">
      <c r="B448" s="22" t="s">
        <v>898</v>
      </c>
      <c r="C448" s="23" t="s">
        <v>899</v>
      </c>
      <c r="D448" s="10"/>
      <c r="E448" s="26" t="s">
        <v>899</v>
      </c>
      <c r="F448" s="28" t="s">
        <v>1329</v>
      </c>
      <c r="G448" s="28">
        <v>29.02</v>
      </c>
      <c r="H448" s="28">
        <v>108.06</v>
      </c>
      <c r="I448" s="28">
        <v>1.7</v>
      </c>
      <c r="J448" s="28">
        <v>0</v>
      </c>
      <c r="K448" s="28">
        <v>1.57</v>
      </c>
      <c r="L448" s="25">
        <v>-4.1924000000000001</v>
      </c>
      <c r="M448" s="25">
        <v>-3.4457</v>
      </c>
      <c r="N448" s="28">
        <v>28.62</v>
      </c>
      <c r="O448" s="28">
        <v>29.75</v>
      </c>
      <c r="P448" s="28">
        <v>1.0139762403913348</v>
      </c>
      <c r="Q448" s="28">
        <v>0.97546218487394964</v>
      </c>
    </row>
    <row r="449" spans="2:17" ht="15" customHeight="1" x14ac:dyDescent="0.25">
      <c r="B449" s="22" t="s">
        <v>900</v>
      </c>
      <c r="C449" s="23" t="s">
        <v>901</v>
      </c>
      <c r="D449" s="10"/>
      <c r="E449" s="26" t="s">
        <v>901</v>
      </c>
      <c r="F449" s="28" t="s">
        <v>1330</v>
      </c>
      <c r="G449" s="28">
        <v>159.19999999999999</v>
      </c>
      <c r="H449" s="28">
        <v>33.450000000000003</v>
      </c>
      <c r="I449" s="28">
        <v>2.78</v>
      </c>
      <c r="J449" s="28">
        <v>4.3</v>
      </c>
      <c r="K449" s="28">
        <v>8.34</v>
      </c>
      <c r="L449" s="25">
        <v>-1.554</v>
      </c>
      <c r="M449" s="25">
        <v>2.6840000000000002</v>
      </c>
      <c r="N449" s="28">
        <v>135.19999999999999</v>
      </c>
      <c r="O449" s="28">
        <v>175.47</v>
      </c>
      <c r="P449" s="28">
        <v>1.1775147928994083</v>
      </c>
      <c r="Q449" s="28">
        <v>0.90727759731008151</v>
      </c>
    </row>
    <row r="450" spans="2:17" ht="15" customHeight="1" x14ac:dyDescent="0.25">
      <c r="B450" s="22" t="s">
        <v>902</v>
      </c>
      <c r="C450" s="23" t="s">
        <v>903</v>
      </c>
      <c r="D450" s="10"/>
      <c r="E450" s="26" t="s">
        <v>903</v>
      </c>
      <c r="F450" s="28" t="s">
        <v>1331</v>
      </c>
      <c r="G450" s="28">
        <v>36.58</v>
      </c>
      <c r="H450" s="28">
        <v>32.46</v>
      </c>
      <c r="I450" s="28">
        <v>1.25</v>
      </c>
      <c r="J450" s="28">
        <v>0</v>
      </c>
      <c r="K450" s="28">
        <v>2.76</v>
      </c>
      <c r="L450" s="25">
        <v>-2.3014999999999999</v>
      </c>
      <c r="M450" s="25">
        <v>-1.7418</v>
      </c>
      <c r="N450" s="28">
        <v>25.9</v>
      </c>
      <c r="O450" s="28">
        <v>41.25</v>
      </c>
      <c r="P450" s="28">
        <v>1.4123552123552123</v>
      </c>
      <c r="Q450" s="28">
        <v>0.8867878787878789</v>
      </c>
    </row>
    <row r="451" spans="2:17" ht="15" customHeight="1" x14ac:dyDescent="0.25">
      <c r="B451" s="22" t="s">
        <v>904</v>
      </c>
      <c r="C451" s="23" t="s">
        <v>905</v>
      </c>
      <c r="D451" s="10"/>
      <c r="E451" s="26" t="s">
        <v>905</v>
      </c>
      <c r="F451" s="28" t="s">
        <v>1332</v>
      </c>
      <c r="G451" s="28">
        <v>32.17</v>
      </c>
      <c r="H451" s="28">
        <v>18.48</v>
      </c>
      <c r="I451" s="28">
        <v>2.4500000000000002</v>
      </c>
      <c r="J451" s="28">
        <v>0.5</v>
      </c>
      <c r="K451" s="28">
        <v>1.81</v>
      </c>
      <c r="L451" s="25">
        <v>0.37740000000000001</v>
      </c>
      <c r="M451" s="25">
        <v>-0.18360000000000001</v>
      </c>
      <c r="N451" s="28">
        <v>26.41</v>
      </c>
      <c r="O451" s="28">
        <v>41.38</v>
      </c>
      <c r="P451" s="28">
        <v>1.218099204846649</v>
      </c>
      <c r="Q451" s="28">
        <v>0.77742870952150811</v>
      </c>
    </row>
    <row r="452" spans="2:17" ht="15" customHeight="1" x14ac:dyDescent="0.25">
      <c r="B452" s="22" t="s">
        <v>906</v>
      </c>
      <c r="C452" s="23" t="s">
        <v>907</v>
      </c>
      <c r="D452" s="10"/>
      <c r="E452" s="26" t="s">
        <v>907</v>
      </c>
      <c r="F452" s="28" t="s">
        <v>1333</v>
      </c>
      <c r="G452" s="28">
        <v>34.270000000000003</v>
      </c>
      <c r="H452" s="28">
        <v>27.15</v>
      </c>
      <c r="I452" s="28">
        <v>0.81</v>
      </c>
      <c r="J452" s="28">
        <v>0.41</v>
      </c>
      <c r="K452" s="28">
        <v>2.46</v>
      </c>
      <c r="L452" s="25">
        <v>0.27229999999999999</v>
      </c>
      <c r="M452" s="25">
        <v>0.51490000000000002</v>
      </c>
      <c r="N452" s="28">
        <v>28.6</v>
      </c>
      <c r="O452" s="28">
        <v>40.369999999999997</v>
      </c>
      <c r="P452" s="28">
        <v>1.1982517482517483</v>
      </c>
      <c r="Q452" s="28">
        <v>0.84889769630914047</v>
      </c>
    </row>
    <row r="453" spans="2:17" ht="15" customHeight="1" x14ac:dyDescent="0.25">
      <c r="B453" s="22" t="s">
        <v>908</v>
      </c>
      <c r="C453" s="23" t="s">
        <v>909</v>
      </c>
      <c r="D453" s="10"/>
      <c r="E453" s="26" t="s">
        <v>909</v>
      </c>
      <c r="F453" s="28" t="s">
        <v>1334</v>
      </c>
      <c r="G453" s="28">
        <v>21.16</v>
      </c>
      <c r="H453" s="28">
        <v>6.33</v>
      </c>
      <c r="I453" s="28">
        <v>1.45</v>
      </c>
      <c r="J453" s="28">
        <v>0</v>
      </c>
      <c r="K453" s="28">
        <v>1.67</v>
      </c>
      <c r="L453" s="25">
        <v>0.89090000000000003</v>
      </c>
      <c r="M453" s="25">
        <v>3.3016999999999999</v>
      </c>
      <c r="N453" s="28">
        <v>14.35</v>
      </c>
      <c r="O453" s="28">
        <v>22.04</v>
      </c>
      <c r="P453" s="28">
        <v>1.4745644599303136</v>
      </c>
      <c r="Q453" s="28">
        <v>0.96007259528130673</v>
      </c>
    </row>
    <row r="454" spans="2:17" ht="15" customHeight="1" x14ac:dyDescent="0.25">
      <c r="B454" s="22" t="s">
        <v>910</v>
      </c>
      <c r="C454" s="23" t="s">
        <v>911</v>
      </c>
      <c r="D454" s="10"/>
      <c r="E454" s="26" t="s">
        <v>911</v>
      </c>
      <c r="F454" s="28" t="s">
        <v>1460</v>
      </c>
      <c r="G454" s="28">
        <v>263.25</v>
      </c>
      <c r="H454" s="28">
        <v>0</v>
      </c>
      <c r="I454" s="28">
        <v>4.38</v>
      </c>
      <c r="J454" s="28">
        <v>0</v>
      </c>
      <c r="K454" s="28">
        <v>14.37</v>
      </c>
      <c r="L454" s="25">
        <v>-3.5790000000000002</v>
      </c>
      <c r="M454" s="25">
        <v>11.563000000000001</v>
      </c>
      <c r="N454" s="28">
        <v>176.58</v>
      </c>
      <c r="O454" s="28">
        <v>316.27</v>
      </c>
      <c r="P454" s="28">
        <v>1.4908256880733946</v>
      </c>
      <c r="Q454" s="28">
        <v>0.83235842792550674</v>
      </c>
    </row>
    <row r="455" spans="2:17" ht="15" customHeight="1" x14ac:dyDescent="0.25">
      <c r="B455" s="22" t="s">
        <v>912</v>
      </c>
      <c r="C455" s="23" t="s">
        <v>913</v>
      </c>
      <c r="D455" s="10"/>
      <c r="E455" s="26" t="s">
        <v>913</v>
      </c>
      <c r="F455" s="28" t="s">
        <v>1335</v>
      </c>
      <c r="G455" s="28">
        <v>21.78</v>
      </c>
      <c r="H455" s="28">
        <v>0</v>
      </c>
      <c r="I455" s="28">
        <v>0</v>
      </c>
      <c r="J455" s="28">
        <v>0.34</v>
      </c>
      <c r="K455" s="28">
        <v>1.1599999999999999</v>
      </c>
      <c r="L455" s="25">
        <v>-2.74</v>
      </c>
      <c r="M455" s="25">
        <v>-3.1406999999999998</v>
      </c>
      <c r="N455" s="28">
        <v>18.78</v>
      </c>
      <c r="O455" s="28">
        <v>32.520000000000003</v>
      </c>
      <c r="P455" s="28">
        <v>1.159744408945687</v>
      </c>
      <c r="Q455" s="28">
        <v>0.66974169741697409</v>
      </c>
    </row>
    <row r="456" spans="2:17" ht="15" customHeight="1" x14ac:dyDescent="0.25">
      <c r="B456" s="22" t="s">
        <v>914</v>
      </c>
      <c r="C456" s="23" t="s">
        <v>915</v>
      </c>
      <c r="D456" s="10"/>
      <c r="E456" s="26" t="s">
        <v>915</v>
      </c>
      <c r="F456" s="28" t="s">
        <v>1336</v>
      </c>
      <c r="G456" s="28">
        <v>151.84</v>
      </c>
      <c r="H456" s="28">
        <v>38.74</v>
      </c>
      <c r="I456" s="28">
        <v>4.57</v>
      </c>
      <c r="J456" s="28">
        <v>4.4000000000000004</v>
      </c>
      <c r="K456" s="28">
        <v>4.93</v>
      </c>
      <c r="L456" s="25">
        <v>-0.45600000000000002</v>
      </c>
      <c r="M456" s="25">
        <v>6.9390000000000001</v>
      </c>
      <c r="N456" s="28">
        <v>129.04</v>
      </c>
      <c r="O456" s="28">
        <v>148.5</v>
      </c>
      <c r="P456" s="28">
        <v>1.176689398636082</v>
      </c>
      <c r="Q456" s="28">
        <v>1.0224915824915826</v>
      </c>
    </row>
    <row r="457" spans="2:17" ht="15" customHeight="1" x14ac:dyDescent="0.25">
      <c r="B457" s="22" t="s">
        <v>916</v>
      </c>
      <c r="C457" s="23" t="s">
        <v>917</v>
      </c>
      <c r="D457" s="10"/>
      <c r="E457" s="26" t="s">
        <v>917</v>
      </c>
      <c r="F457" s="28" t="s">
        <v>1337</v>
      </c>
      <c r="G457" s="28">
        <v>101.04</v>
      </c>
      <c r="H457" s="28">
        <v>30.14</v>
      </c>
      <c r="I457" s="28">
        <v>0.79</v>
      </c>
      <c r="J457" s="28">
        <v>0</v>
      </c>
      <c r="K457" s="28">
        <v>7.33</v>
      </c>
      <c r="L457" s="25">
        <v>2.1591</v>
      </c>
      <c r="M457" s="25">
        <v>18.933</v>
      </c>
      <c r="N457" s="28">
        <v>58.53</v>
      </c>
      <c r="O457" s="28">
        <v>111.29</v>
      </c>
      <c r="P457" s="28">
        <v>1.7262942080984109</v>
      </c>
      <c r="Q457" s="28">
        <v>0.90789828376314141</v>
      </c>
    </row>
    <row r="458" spans="2:17" ht="15" customHeight="1" x14ac:dyDescent="0.25">
      <c r="B458" s="22" t="s">
        <v>918</v>
      </c>
      <c r="C458" s="23" t="s">
        <v>919</v>
      </c>
      <c r="D458" s="10"/>
      <c r="E458" s="26" t="s">
        <v>919</v>
      </c>
      <c r="F458" s="28" t="s">
        <v>1338</v>
      </c>
      <c r="G458" s="28">
        <v>54.15</v>
      </c>
      <c r="H458" s="28">
        <v>27.05</v>
      </c>
      <c r="I458" s="28">
        <v>1.35</v>
      </c>
      <c r="J458" s="28">
        <v>0</v>
      </c>
      <c r="K458" s="28">
        <v>3.34</v>
      </c>
      <c r="L458" s="25">
        <v>-0.95709999999999995</v>
      </c>
      <c r="M458" s="25">
        <v>3.4891999999999999</v>
      </c>
      <c r="N458" s="28">
        <v>34.83</v>
      </c>
      <c r="O458" s="28">
        <v>60.18</v>
      </c>
      <c r="P458" s="28">
        <v>1.5546942291128338</v>
      </c>
      <c r="Q458" s="28">
        <v>0.89980059820538383</v>
      </c>
    </row>
    <row r="459" spans="2:17" ht="15" customHeight="1" x14ac:dyDescent="0.25">
      <c r="B459" s="22" t="s">
        <v>920</v>
      </c>
      <c r="C459" s="23" t="s">
        <v>921</v>
      </c>
      <c r="D459" s="10"/>
      <c r="E459" s="26" t="s">
        <v>921</v>
      </c>
      <c r="F459" s="28" t="s">
        <v>1461</v>
      </c>
      <c r="G459" s="28">
        <v>40</v>
      </c>
      <c r="H459" s="28">
        <v>15.08</v>
      </c>
      <c r="I459" s="28">
        <v>1.26</v>
      </c>
      <c r="J459" s="28">
        <v>0.63</v>
      </c>
      <c r="K459" s="28">
        <v>2.0499999999999998</v>
      </c>
      <c r="L459" s="25">
        <v>0.51739999999999997</v>
      </c>
      <c r="M459" s="25">
        <v>3.8214999999999999</v>
      </c>
      <c r="N459" s="28">
        <v>30.18</v>
      </c>
      <c r="O459" s="28">
        <v>43.8</v>
      </c>
      <c r="P459" s="28">
        <v>1.3253810470510272</v>
      </c>
      <c r="Q459" s="28">
        <v>0.91324200913242015</v>
      </c>
    </row>
    <row r="460" spans="2:17" ht="15" customHeight="1" x14ac:dyDescent="0.25">
      <c r="B460" s="22" t="s">
        <v>922</v>
      </c>
      <c r="C460" s="23" t="s">
        <v>923</v>
      </c>
      <c r="D460" s="10"/>
      <c r="E460" s="26" t="s">
        <v>923</v>
      </c>
      <c r="F460" s="28" t="s">
        <v>1339</v>
      </c>
      <c r="G460" s="28">
        <v>82.83</v>
      </c>
      <c r="H460" s="28">
        <v>98.72</v>
      </c>
      <c r="I460" s="28">
        <v>1.73</v>
      </c>
      <c r="J460" s="28">
        <v>2.33</v>
      </c>
      <c r="K460" s="28">
        <v>10.38</v>
      </c>
      <c r="L460" s="25">
        <v>1.5797000000000001</v>
      </c>
      <c r="M460" s="25">
        <v>7.3864999999999998</v>
      </c>
      <c r="N460" s="28">
        <v>69.56</v>
      </c>
      <c r="O460" s="28">
        <v>89.74</v>
      </c>
      <c r="P460" s="28">
        <v>1.1907705577918344</v>
      </c>
      <c r="Q460" s="28">
        <v>0.92299977713394254</v>
      </c>
    </row>
    <row r="461" spans="2:17" ht="15" customHeight="1" x14ac:dyDescent="0.25">
      <c r="B461" s="22" t="s">
        <v>924</v>
      </c>
      <c r="C461" s="23" t="s">
        <v>925</v>
      </c>
      <c r="D461" s="10"/>
      <c r="E461" s="26" t="s">
        <v>925</v>
      </c>
      <c r="F461" s="28" t="s">
        <v>1340</v>
      </c>
      <c r="G461" s="28">
        <v>77.400000000000006</v>
      </c>
      <c r="H461" s="28">
        <v>42.64</v>
      </c>
      <c r="I461" s="28">
        <v>1.44</v>
      </c>
      <c r="J461" s="28">
        <v>0.9</v>
      </c>
      <c r="K461" s="28">
        <v>8.39</v>
      </c>
      <c r="L461" s="25">
        <v>0.48</v>
      </c>
      <c r="M461" s="25">
        <v>3.1183000000000001</v>
      </c>
      <c r="N461" s="28">
        <v>61.27</v>
      </c>
      <c r="O461" s="28">
        <v>85.42</v>
      </c>
      <c r="P461" s="28">
        <v>1.2632609760078342</v>
      </c>
      <c r="Q461" s="28">
        <v>0.90611098103488641</v>
      </c>
    </row>
    <row r="462" spans="2:17" ht="15" customHeight="1" x14ac:dyDescent="0.25">
      <c r="B462" s="22" t="s">
        <v>926</v>
      </c>
      <c r="C462" s="23" t="s">
        <v>927</v>
      </c>
      <c r="D462" s="10"/>
      <c r="E462" s="26" t="s">
        <v>927</v>
      </c>
      <c r="F462" s="28" t="s">
        <v>1341</v>
      </c>
      <c r="G462" s="28">
        <v>10.72</v>
      </c>
      <c r="H462" s="28">
        <v>0</v>
      </c>
      <c r="I462" s="28">
        <v>0.49</v>
      </c>
      <c r="J462" s="28">
        <v>0</v>
      </c>
      <c r="K462" s="28">
        <v>0.62</v>
      </c>
      <c r="L462" s="25">
        <v>0.16500000000000001</v>
      </c>
      <c r="M462" s="25">
        <v>1.5566</v>
      </c>
      <c r="N462" s="28">
        <v>7.08</v>
      </c>
      <c r="O462" s="28">
        <v>10.09</v>
      </c>
      <c r="P462" s="28">
        <v>1.5141242937853108</v>
      </c>
      <c r="Q462" s="28">
        <v>1.062438057482656</v>
      </c>
    </row>
    <row r="463" spans="2:17" ht="15" customHeight="1" x14ac:dyDescent="0.25">
      <c r="B463" s="22" t="s">
        <v>928</v>
      </c>
      <c r="C463" s="23" t="s">
        <v>929</v>
      </c>
      <c r="D463" s="10"/>
      <c r="E463" s="26" t="s">
        <v>929</v>
      </c>
      <c r="F463" s="28" t="s">
        <v>1342</v>
      </c>
      <c r="G463" s="28">
        <v>23.07</v>
      </c>
      <c r="H463" s="28">
        <v>8.1300000000000008</v>
      </c>
      <c r="I463" s="28">
        <v>0.65</v>
      </c>
      <c r="J463" s="28">
        <v>0</v>
      </c>
      <c r="K463" s="28">
        <v>0</v>
      </c>
      <c r="L463" s="25">
        <v>1.8675999999999999</v>
      </c>
      <c r="M463" s="25">
        <v>3.3363999999999998</v>
      </c>
      <c r="N463" s="28">
        <v>14.4</v>
      </c>
      <c r="O463" s="28">
        <v>26.17</v>
      </c>
      <c r="P463" s="28">
        <v>1.6020833333333335</v>
      </c>
      <c r="Q463" s="28">
        <v>0.88154375238823068</v>
      </c>
    </row>
    <row r="464" spans="2:17" ht="15" customHeight="1" x14ac:dyDescent="0.25">
      <c r="B464" s="22" t="s">
        <v>930</v>
      </c>
      <c r="C464" s="23" t="s">
        <v>931</v>
      </c>
      <c r="D464" s="10"/>
      <c r="E464" s="26" t="s">
        <v>931</v>
      </c>
      <c r="F464" s="28" t="s">
        <v>931</v>
      </c>
      <c r="G464" s="28">
        <v>0</v>
      </c>
      <c r="H464" s="28">
        <v>0</v>
      </c>
      <c r="I464" s="28">
        <v>0</v>
      </c>
      <c r="J464" s="28">
        <v>0</v>
      </c>
      <c r="K464" s="28">
        <v>0</v>
      </c>
      <c r="L464" s="25">
        <v>0</v>
      </c>
      <c r="M464" s="25">
        <v>0</v>
      </c>
      <c r="N464" s="28">
        <v>0</v>
      </c>
      <c r="O464" s="28">
        <v>0</v>
      </c>
      <c r="P464" s="28"/>
      <c r="Q464" s="28"/>
    </row>
    <row r="465" spans="2:17" ht="15" customHeight="1" x14ac:dyDescent="0.25">
      <c r="B465" s="22" t="s">
        <v>932</v>
      </c>
      <c r="C465" s="23" t="s">
        <v>933</v>
      </c>
      <c r="D465" s="10"/>
      <c r="E465" s="26" t="s">
        <v>933</v>
      </c>
      <c r="F465" s="28" t="s">
        <v>1462</v>
      </c>
      <c r="G465" s="28">
        <v>0</v>
      </c>
      <c r="H465" s="28">
        <v>0</v>
      </c>
      <c r="I465" s="28">
        <v>0</v>
      </c>
      <c r="J465" s="28">
        <v>0</v>
      </c>
      <c r="K465" s="28">
        <v>0</v>
      </c>
      <c r="L465" s="25">
        <v>0</v>
      </c>
      <c r="M465" s="25">
        <v>0</v>
      </c>
      <c r="N465" s="28">
        <v>0</v>
      </c>
      <c r="O465" s="28">
        <v>0</v>
      </c>
      <c r="P465" s="28"/>
      <c r="Q465" s="28"/>
    </row>
    <row r="466" spans="2:17" ht="15" customHeight="1" x14ac:dyDescent="0.25">
      <c r="B466" s="22" t="s">
        <v>934</v>
      </c>
      <c r="C466" s="23" t="s">
        <v>935</v>
      </c>
      <c r="D466" s="10"/>
      <c r="E466" s="26" t="s">
        <v>935</v>
      </c>
      <c r="F466" s="28" t="s">
        <v>1343</v>
      </c>
      <c r="G466" s="28">
        <v>38.950000000000003</v>
      </c>
      <c r="H466" s="28">
        <v>272.45</v>
      </c>
      <c r="I466" s="28">
        <v>1.02</v>
      </c>
      <c r="J466" s="28">
        <v>0</v>
      </c>
      <c r="K466" s="28">
        <v>3.35</v>
      </c>
      <c r="L466" s="25">
        <v>0.84260000000000002</v>
      </c>
      <c r="M466" s="25">
        <v>9.9725999999999999</v>
      </c>
      <c r="N466" s="28">
        <v>17.239999999999998</v>
      </c>
      <c r="O466" s="28">
        <v>36.29</v>
      </c>
      <c r="P466" s="28">
        <v>2.2592807424593966</v>
      </c>
      <c r="Q466" s="28">
        <v>1.0732984293193717</v>
      </c>
    </row>
    <row r="467" spans="2:17" ht="15" customHeight="1" x14ac:dyDescent="0.25">
      <c r="B467" s="22" t="s">
        <v>936</v>
      </c>
      <c r="C467" s="23" t="s">
        <v>937</v>
      </c>
      <c r="D467" s="10"/>
      <c r="E467" s="26" t="s">
        <v>937</v>
      </c>
      <c r="F467" s="28" t="s">
        <v>1463</v>
      </c>
      <c r="G467" s="28">
        <v>7.06</v>
      </c>
      <c r="H467" s="28">
        <v>19.46</v>
      </c>
      <c r="I467" s="28">
        <v>0.87</v>
      </c>
      <c r="J467" s="28">
        <v>0</v>
      </c>
      <c r="K467" s="28">
        <v>3.23</v>
      </c>
      <c r="L467" s="25">
        <v>-0.1147</v>
      </c>
      <c r="M467" s="25">
        <v>-4.4400000000000002E-2</v>
      </c>
      <c r="N467" s="28">
        <v>5.59</v>
      </c>
      <c r="O467" s="28">
        <v>8.3800000000000008</v>
      </c>
      <c r="P467" s="28">
        <v>1.262969588550984</v>
      </c>
      <c r="Q467" s="28">
        <v>0.84248210023866354</v>
      </c>
    </row>
    <row r="468" spans="2:17" ht="15" customHeight="1" x14ac:dyDescent="0.25">
      <c r="B468" s="22" t="s">
        <v>938</v>
      </c>
      <c r="C468" s="23" t="s">
        <v>939</v>
      </c>
      <c r="D468" s="10"/>
      <c r="E468" s="26" t="s">
        <v>939</v>
      </c>
      <c r="F468" s="28" t="s">
        <v>1344</v>
      </c>
      <c r="G468" s="28">
        <v>2.5299999999999998</v>
      </c>
      <c r="H468" s="28">
        <v>0</v>
      </c>
      <c r="I468" s="28">
        <v>0</v>
      </c>
      <c r="J468" s="28">
        <v>0</v>
      </c>
      <c r="K468" s="28">
        <v>3.26</v>
      </c>
      <c r="L468" s="25">
        <v>-0.1221</v>
      </c>
      <c r="M468" s="25">
        <v>-0.27129999999999999</v>
      </c>
      <c r="N468" s="28">
        <v>1.81</v>
      </c>
      <c r="O468" s="28">
        <v>2.78</v>
      </c>
      <c r="P468" s="28">
        <v>1.3977900552486189</v>
      </c>
      <c r="Q468" s="28">
        <v>0.91007194244604317</v>
      </c>
    </row>
    <row r="469" spans="2:17" ht="15" customHeight="1" x14ac:dyDescent="0.25">
      <c r="B469" s="22" t="s">
        <v>940</v>
      </c>
      <c r="C469" s="23" t="s">
        <v>941</v>
      </c>
      <c r="D469" s="10"/>
      <c r="E469" s="26" t="s">
        <v>941</v>
      </c>
      <c r="F469" s="28" t="s">
        <v>941</v>
      </c>
      <c r="G469" s="28">
        <v>0</v>
      </c>
      <c r="H469" s="28">
        <v>0</v>
      </c>
      <c r="I469" s="28">
        <v>0</v>
      </c>
      <c r="J469" s="28">
        <v>0</v>
      </c>
      <c r="K469" s="28">
        <v>0</v>
      </c>
      <c r="L469" s="25">
        <v>0</v>
      </c>
      <c r="M469" s="25">
        <v>0</v>
      </c>
      <c r="N469" s="28">
        <v>0</v>
      </c>
      <c r="O469" s="28">
        <v>0</v>
      </c>
      <c r="P469" s="28"/>
      <c r="Q469" s="28"/>
    </row>
    <row r="470" spans="2:17" ht="15" customHeight="1" x14ac:dyDescent="0.25">
      <c r="B470" s="22" t="s">
        <v>942</v>
      </c>
      <c r="C470" s="23" t="s">
        <v>943</v>
      </c>
      <c r="D470" s="10"/>
      <c r="E470" s="26" t="s">
        <v>943</v>
      </c>
      <c r="F470" s="28" t="s">
        <v>1345</v>
      </c>
      <c r="G470" s="28">
        <v>5.86</v>
      </c>
      <c r="H470" s="28">
        <v>0</v>
      </c>
      <c r="I470" s="28">
        <v>0</v>
      </c>
      <c r="J470" s="28">
        <v>0</v>
      </c>
      <c r="K470" s="28">
        <v>2.4500000000000002</v>
      </c>
      <c r="L470" s="25">
        <v>0.11260000000000001</v>
      </c>
      <c r="M470" s="25">
        <v>0.34770000000000001</v>
      </c>
      <c r="N470" s="28">
        <v>2.2999999999999998</v>
      </c>
      <c r="O470" s="28">
        <v>6.24</v>
      </c>
      <c r="P470" s="28">
        <v>2.5478260869565217</v>
      </c>
      <c r="Q470" s="28">
        <v>0.93910256410256421</v>
      </c>
    </row>
    <row r="471" spans="2:17" ht="15" customHeight="1" x14ac:dyDescent="0.25">
      <c r="B471" s="22" t="s">
        <v>944</v>
      </c>
      <c r="C471" s="23" t="s">
        <v>945</v>
      </c>
      <c r="D471" s="10"/>
      <c r="E471" s="26" t="s">
        <v>945</v>
      </c>
      <c r="F471" s="28" t="s">
        <v>1346</v>
      </c>
      <c r="G471" s="28">
        <v>8.18</v>
      </c>
      <c r="H471" s="28">
        <v>0</v>
      </c>
      <c r="I471" s="28">
        <v>0</v>
      </c>
      <c r="J471" s="28">
        <v>0</v>
      </c>
      <c r="K471" s="28">
        <v>1.0900000000000001</v>
      </c>
      <c r="L471" s="25">
        <v>0.38</v>
      </c>
      <c r="M471" s="25">
        <v>1.6287</v>
      </c>
      <c r="N471" s="28">
        <v>5.16</v>
      </c>
      <c r="O471" s="28">
        <v>9.32</v>
      </c>
      <c r="P471" s="28">
        <v>1.5852713178294573</v>
      </c>
      <c r="Q471" s="28">
        <v>0.87768240343347648</v>
      </c>
    </row>
    <row r="472" spans="2:17" ht="15" customHeight="1" x14ac:dyDescent="0.25">
      <c r="B472" s="22" t="s">
        <v>946</v>
      </c>
      <c r="C472" s="23" t="s">
        <v>947</v>
      </c>
      <c r="D472" s="10"/>
      <c r="E472" s="26" t="s">
        <v>947</v>
      </c>
      <c r="F472" s="28" t="s">
        <v>1347</v>
      </c>
      <c r="G472" s="28">
        <v>12.76</v>
      </c>
      <c r="H472" s="28">
        <v>8.67</v>
      </c>
      <c r="I472" s="28">
        <v>0.82</v>
      </c>
      <c r="J472" s="28">
        <v>0.25</v>
      </c>
      <c r="K472" s="28">
        <v>3.03</v>
      </c>
      <c r="L472" s="25">
        <v>-0.5353</v>
      </c>
      <c r="M472" s="25">
        <v>1.3859999999999999</v>
      </c>
      <c r="N472" s="28">
        <v>8.82</v>
      </c>
      <c r="O472" s="28">
        <v>15.14</v>
      </c>
      <c r="P472" s="28">
        <v>1.4467120181405895</v>
      </c>
      <c r="Q472" s="28">
        <v>0.84280052840158526</v>
      </c>
    </row>
    <row r="473" spans="2:17" ht="15" customHeight="1" x14ac:dyDescent="0.25">
      <c r="B473" s="22" t="s">
        <v>948</v>
      </c>
      <c r="C473" s="23" t="s">
        <v>949</v>
      </c>
      <c r="D473" s="10"/>
      <c r="E473" s="26" t="s">
        <v>949</v>
      </c>
      <c r="F473" s="28" t="s">
        <v>949</v>
      </c>
      <c r="G473" s="28">
        <v>0</v>
      </c>
      <c r="H473" s="28">
        <v>0</v>
      </c>
      <c r="I473" s="28">
        <v>0</v>
      </c>
      <c r="J473" s="28">
        <v>0</v>
      </c>
      <c r="K473" s="28">
        <v>0</v>
      </c>
      <c r="L473" s="25">
        <v>0</v>
      </c>
      <c r="M473" s="25">
        <v>0</v>
      </c>
      <c r="N473" s="28">
        <v>0</v>
      </c>
      <c r="O473" s="28">
        <v>0</v>
      </c>
      <c r="P473" s="28"/>
      <c r="Q473" s="28"/>
    </row>
    <row r="474" spans="2:17" ht="15" customHeight="1" x14ac:dyDescent="0.25">
      <c r="B474" s="22" t="s">
        <v>950</v>
      </c>
      <c r="C474" s="23" t="s">
        <v>951</v>
      </c>
      <c r="D474" s="10"/>
      <c r="E474" s="26" t="s">
        <v>951</v>
      </c>
      <c r="F474" s="28" t="s">
        <v>951</v>
      </c>
      <c r="G474" s="28">
        <v>0</v>
      </c>
      <c r="H474" s="28">
        <v>0</v>
      </c>
      <c r="I474" s="28">
        <v>0</v>
      </c>
      <c r="J474" s="28">
        <v>0</v>
      </c>
      <c r="K474" s="28">
        <v>0</v>
      </c>
      <c r="L474" s="25">
        <v>0</v>
      </c>
      <c r="M474" s="25">
        <v>0</v>
      </c>
      <c r="N474" s="28">
        <v>0</v>
      </c>
      <c r="O474" s="28">
        <v>0</v>
      </c>
      <c r="P474" s="28"/>
      <c r="Q474" s="28"/>
    </row>
    <row r="475" spans="2:17" ht="15" customHeight="1" x14ac:dyDescent="0.25">
      <c r="B475" s="22" t="s">
        <v>952</v>
      </c>
      <c r="C475" s="23" t="s">
        <v>953</v>
      </c>
      <c r="D475" s="10"/>
      <c r="E475" s="26" t="s">
        <v>953</v>
      </c>
      <c r="F475" s="28" t="s">
        <v>1348</v>
      </c>
      <c r="G475" s="28">
        <v>2.8</v>
      </c>
      <c r="H475" s="28">
        <v>0</v>
      </c>
      <c r="I475" s="28">
        <v>0</v>
      </c>
      <c r="J475" s="28">
        <v>0</v>
      </c>
      <c r="K475" s="28">
        <v>0.79</v>
      </c>
      <c r="L475" s="25">
        <v>1.4999999999999999E-2</v>
      </c>
      <c r="M475" s="25">
        <v>0.75</v>
      </c>
      <c r="N475" s="28">
        <v>0.66</v>
      </c>
      <c r="O475" s="28">
        <v>1.42</v>
      </c>
      <c r="P475" s="28">
        <v>4.2424242424242431</v>
      </c>
      <c r="Q475" s="28">
        <v>1.9718309859154932</v>
      </c>
    </row>
    <row r="476" spans="2:17" ht="15" customHeight="1" x14ac:dyDescent="0.25">
      <c r="B476" s="22" t="s">
        <v>954</v>
      </c>
      <c r="C476" s="23" t="s">
        <v>955</v>
      </c>
      <c r="D476" s="10"/>
      <c r="E476" s="26" t="s">
        <v>955</v>
      </c>
      <c r="F476" s="28" t="s">
        <v>1349</v>
      </c>
      <c r="G476" s="28">
        <v>37.049999999999997</v>
      </c>
      <c r="H476" s="28">
        <v>20.8</v>
      </c>
      <c r="I476" s="28">
        <v>2.66</v>
      </c>
      <c r="J476" s="28">
        <v>1.42</v>
      </c>
      <c r="K476" s="28">
        <v>2.67</v>
      </c>
      <c r="L476" s="25">
        <v>1.0585</v>
      </c>
      <c r="M476" s="25">
        <v>3.1915</v>
      </c>
      <c r="N476" s="28">
        <v>30.82</v>
      </c>
      <c r="O476" s="28">
        <v>37.25</v>
      </c>
      <c r="P476" s="28">
        <v>1.2021414665801429</v>
      </c>
      <c r="Q476" s="28">
        <v>0.99463087248322157</v>
      </c>
    </row>
    <row r="477" spans="2:17" ht="15" customHeight="1" x14ac:dyDescent="0.25">
      <c r="B477" s="22" t="s">
        <v>956</v>
      </c>
      <c r="C477" s="23" t="s">
        <v>957</v>
      </c>
      <c r="D477" s="10"/>
      <c r="E477" s="26" t="s">
        <v>957</v>
      </c>
      <c r="F477" s="28" t="s">
        <v>1350</v>
      </c>
      <c r="G477" s="28">
        <v>42.18</v>
      </c>
      <c r="H477" s="28">
        <v>0</v>
      </c>
      <c r="I477" s="28">
        <v>1.1200000000000001</v>
      </c>
      <c r="J477" s="28">
        <v>0</v>
      </c>
      <c r="K477" s="28">
        <v>1.01</v>
      </c>
      <c r="L477" s="25">
        <v>0.63319999999999999</v>
      </c>
      <c r="M477" s="25">
        <v>2.9028999999999998</v>
      </c>
      <c r="N477" s="28">
        <v>32.29</v>
      </c>
      <c r="O477" s="28">
        <v>45.93</v>
      </c>
      <c r="P477" s="28">
        <v>1.3062867760916692</v>
      </c>
      <c r="Q477" s="28">
        <v>0.91835401698236441</v>
      </c>
    </row>
    <row r="478" spans="2:17" ht="15" customHeight="1" x14ac:dyDescent="0.25">
      <c r="B478" s="22" t="s">
        <v>958</v>
      </c>
      <c r="C478" s="23" t="s">
        <v>959</v>
      </c>
      <c r="D478" s="10"/>
      <c r="E478" s="26" t="s">
        <v>959</v>
      </c>
      <c r="F478" s="28" t="s">
        <v>1351</v>
      </c>
      <c r="G478" s="28">
        <v>9.98</v>
      </c>
      <c r="H478" s="28">
        <v>0</v>
      </c>
      <c r="I478" s="28">
        <v>0.32</v>
      </c>
      <c r="J478" s="28">
        <v>0</v>
      </c>
      <c r="K478" s="28">
        <v>0.75</v>
      </c>
      <c r="L478" s="25">
        <v>0.72619999999999996</v>
      </c>
      <c r="M478" s="25">
        <v>0.44059999999999999</v>
      </c>
      <c r="N478" s="28">
        <v>6.78</v>
      </c>
      <c r="O478" s="28">
        <v>20</v>
      </c>
      <c r="P478" s="28">
        <v>1.471976401179941</v>
      </c>
      <c r="Q478" s="28">
        <v>0.499</v>
      </c>
    </row>
    <row r="479" spans="2:17" ht="15" customHeight="1" x14ac:dyDescent="0.25">
      <c r="B479" s="22" t="s">
        <v>960</v>
      </c>
      <c r="C479" s="23" t="s">
        <v>961</v>
      </c>
      <c r="D479" s="10"/>
      <c r="E479" s="26" t="s">
        <v>961</v>
      </c>
      <c r="F479" s="28" t="s">
        <v>1352</v>
      </c>
      <c r="G479" s="28">
        <v>10.52</v>
      </c>
      <c r="H479" s="28">
        <v>0</v>
      </c>
      <c r="I479" s="28">
        <v>1.7</v>
      </c>
      <c r="J479" s="28">
        <v>0.04</v>
      </c>
      <c r="K479" s="28">
        <v>1.1399999999999999</v>
      </c>
      <c r="L479" s="25">
        <v>0.16819999999999999</v>
      </c>
      <c r="M479" s="25">
        <v>0.82269999999999999</v>
      </c>
      <c r="N479" s="28">
        <v>7.44</v>
      </c>
      <c r="O479" s="28">
        <v>10.54</v>
      </c>
      <c r="P479" s="28">
        <v>1.413978494623656</v>
      </c>
      <c r="Q479" s="28">
        <v>0.99810246679316894</v>
      </c>
    </row>
    <row r="480" spans="2:17" ht="15" customHeight="1" x14ac:dyDescent="0.25">
      <c r="B480" s="22" t="s">
        <v>962</v>
      </c>
      <c r="C480" s="23" t="s">
        <v>963</v>
      </c>
      <c r="D480" s="10"/>
      <c r="E480" s="26" t="s">
        <v>963</v>
      </c>
      <c r="F480" s="28" t="s">
        <v>1353</v>
      </c>
      <c r="G480" s="28">
        <v>7.33</v>
      </c>
      <c r="H480" s="28">
        <v>0</v>
      </c>
      <c r="I480" s="28">
        <v>1.99</v>
      </c>
      <c r="J480" s="28">
        <v>0</v>
      </c>
      <c r="K480" s="28">
        <v>1.44</v>
      </c>
      <c r="L480" s="25">
        <v>0.19819999999999999</v>
      </c>
      <c r="M480" s="25">
        <v>1.3802000000000001</v>
      </c>
      <c r="N480" s="28">
        <v>4.79</v>
      </c>
      <c r="O480" s="28">
        <v>7.65</v>
      </c>
      <c r="P480" s="28">
        <v>1.5302713987473904</v>
      </c>
      <c r="Q480" s="28">
        <v>0.95816993464052291</v>
      </c>
    </row>
    <row r="481" spans="2:17" ht="15" customHeight="1" x14ac:dyDescent="0.25">
      <c r="B481" s="22" t="s">
        <v>964</v>
      </c>
      <c r="C481" s="23" t="s">
        <v>965</v>
      </c>
      <c r="D481" s="10"/>
      <c r="E481" s="26" t="s">
        <v>965</v>
      </c>
      <c r="F481" s="28" t="s">
        <v>1354</v>
      </c>
      <c r="G481" s="28">
        <v>28.57</v>
      </c>
      <c r="H481" s="28">
        <v>19.829999999999998</v>
      </c>
      <c r="I481" s="28">
        <v>1.1599999999999999</v>
      </c>
      <c r="J481" s="28">
        <v>0</v>
      </c>
      <c r="K481" s="28">
        <v>3.2</v>
      </c>
      <c r="L481" s="25">
        <v>8.5599999999999996E-2</v>
      </c>
      <c r="M481" s="25">
        <v>2.3839000000000001</v>
      </c>
      <c r="N481" s="28">
        <v>20.21</v>
      </c>
      <c r="O481" s="28">
        <v>29.92</v>
      </c>
      <c r="P481" s="28">
        <v>1.413656605640772</v>
      </c>
      <c r="Q481" s="28">
        <v>0.9548796791443851</v>
      </c>
    </row>
    <row r="482" spans="2:17" ht="15" customHeight="1" x14ac:dyDescent="0.25">
      <c r="B482" s="22" t="s">
        <v>966</v>
      </c>
      <c r="C482" s="23" t="s">
        <v>967</v>
      </c>
      <c r="D482" s="10"/>
      <c r="E482" s="26" t="s">
        <v>967</v>
      </c>
      <c r="F482" s="28" t="s">
        <v>1355</v>
      </c>
      <c r="G482" s="28">
        <v>14.45</v>
      </c>
      <c r="H482" s="28">
        <v>0</v>
      </c>
      <c r="I482" s="28">
        <v>2.35</v>
      </c>
      <c r="J482" s="28">
        <v>0</v>
      </c>
      <c r="K482" s="28">
        <v>3.13</v>
      </c>
      <c r="L482" s="25">
        <v>0.22620000000000001</v>
      </c>
      <c r="M482" s="25">
        <v>2.0043000000000002</v>
      </c>
      <c r="N482" s="28">
        <v>8.4700000000000006</v>
      </c>
      <c r="O482" s="28">
        <v>16.14</v>
      </c>
      <c r="P482" s="28">
        <v>1.7060212514757971</v>
      </c>
      <c r="Q482" s="28">
        <v>0.89529120198265189</v>
      </c>
    </row>
    <row r="483" spans="2:17" ht="15" customHeight="1" x14ac:dyDescent="0.25">
      <c r="B483" s="22" t="s">
        <v>968</v>
      </c>
      <c r="C483" s="23" t="s">
        <v>969</v>
      </c>
      <c r="D483" s="10"/>
      <c r="E483" s="26" t="s">
        <v>969</v>
      </c>
      <c r="F483" s="28" t="s">
        <v>1356</v>
      </c>
      <c r="G483" s="28">
        <v>26.38</v>
      </c>
      <c r="H483" s="28">
        <v>18.440000000000001</v>
      </c>
      <c r="I483" s="28">
        <v>2.6</v>
      </c>
      <c r="J483" s="28">
        <v>0.97499999999999998</v>
      </c>
      <c r="K483" s="28">
        <v>2.11</v>
      </c>
      <c r="L483" s="25">
        <v>0.81499999999999995</v>
      </c>
      <c r="M483" s="25">
        <v>2.165</v>
      </c>
      <c r="N483" s="28">
        <v>21.12</v>
      </c>
      <c r="O483" s="28">
        <v>26.6</v>
      </c>
      <c r="P483" s="28">
        <v>1.2490530303030303</v>
      </c>
      <c r="Q483" s="28">
        <v>0.99172932330827079</v>
      </c>
    </row>
    <row r="484" spans="2:17" ht="15" customHeight="1" x14ac:dyDescent="0.25">
      <c r="B484" s="22" t="s">
        <v>970</v>
      </c>
      <c r="C484" s="23" t="s">
        <v>971</v>
      </c>
      <c r="D484" s="10"/>
      <c r="E484" s="26" t="s">
        <v>971</v>
      </c>
      <c r="F484" s="28" t="s">
        <v>1357</v>
      </c>
      <c r="G484" s="28">
        <v>30.42</v>
      </c>
      <c r="H484" s="28">
        <v>17.48</v>
      </c>
      <c r="I484" s="28">
        <v>1.23</v>
      </c>
      <c r="J484" s="28">
        <v>1.1399999999999999</v>
      </c>
      <c r="K484" s="28">
        <v>2.92</v>
      </c>
      <c r="L484" s="25">
        <v>1.0731999999999999</v>
      </c>
      <c r="M484" s="25">
        <v>3.7949999999999999</v>
      </c>
      <c r="N484" s="28">
        <v>19.260000000000002</v>
      </c>
      <c r="O484" s="28">
        <v>33</v>
      </c>
      <c r="P484" s="28">
        <v>1.5794392523364487</v>
      </c>
      <c r="Q484" s="28">
        <v>0.92181818181818187</v>
      </c>
    </row>
    <row r="485" spans="2:17" ht="15" customHeight="1" x14ac:dyDescent="0.25">
      <c r="B485" s="22" t="s">
        <v>972</v>
      </c>
      <c r="C485" s="23" t="s">
        <v>973</v>
      </c>
      <c r="D485" s="10"/>
      <c r="E485" s="26" t="s">
        <v>973</v>
      </c>
      <c r="F485" s="28" t="s">
        <v>1464</v>
      </c>
      <c r="G485" s="28">
        <v>22.65</v>
      </c>
      <c r="H485" s="28">
        <v>7.96</v>
      </c>
      <c r="I485" s="28">
        <v>4.32</v>
      </c>
      <c r="J485" s="28">
        <v>0.26300000000000001</v>
      </c>
      <c r="K485" s="28">
        <v>1.98</v>
      </c>
      <c r="L485" s="25">
        <v>0.25259999999999999</v>
      </c>
      <c r="M485" s="25">
        <v>1.9870000000000001</v>
      </c>
      <c r="N485" s="28">
        <v>13.45</v>
      </c>
      <c r="O485" s="28">
        <v>24.66</v>
      </c>
      <c r="P485" s="28">
        <v>1.6840148698884758</v>
      </c>
      <c r="Q485" s="28">
        <v>0.91849148418491489</v>
      </c>
    </row>
    <row r="486" spans="2:17" ht="15" customHeight="1" x14ac:dyDescent="0.25">
      <c r="B486" s="22" t="s">
        <v>974</v>
      </c>
      <c r="C486" s="23" t="s">
        <v>975</v>
      </c>
      <c r="D486" s="10"/>
      <c r="E486" s="26" t="s">
        <v>975</v>
      </c>
      <c r="F486" s="28" t="s">
        <v>975</v>
      </c>
      <c r="G486" s="28">
        <v>0</v>
      </c>
      <c r="H486" s="28">
        <v>0</v>
      </c>
      <c r="I486" s="28">
        <v>0</v>
      </c>
      <c r="J486" s="28">
        <v>0</v>
      </c>
      <c r="K486" s="28">
        <v>0</v>
      </c>
      <c r="L486" s="25">
        <v>0</v>
      </c>
      <c r="M486" s="25">
        <v>0</v>
      </c>
      <c r="N486" s="28">
        <v>0</v>
      </c>
      <c r="O486" s="28">
        <v>0</v>
      </c>
      <c r="P486" s="28"/>
      <c r="Q486" s="28"/>
    </row>
    <row r="487" spans="2:17" ht="15" customHeight="1" x14ac:dyDescent="0.25">
      <c r="B487" s="22" t="s">
        <v>976</v>
      </c>
      <c r="C487" s="23" t="s">
        <v>977</v>
      </c>
      <c r="D487" s="10"/>
      <c r="E487" s="26" t="s">
        <v>977</v>
      </c>
      <c r="F487" s="28" t="s">
        <v>977</v>
      </c>
      <c r="G487" s="28">
        <v>0</v>
      </c>
      <c r="H487" s="28">
        <v>0</v>
      </c>
      <c r="I487" s="28">
        <v>0</v>
      </c>
      <c r="J487" s="28">
        <v>0</v>
      </c>
      <c r="K487" s="28">
        <v>0</v>
      </c>
      <c r="L487" s="25">
        <v>0</v>
      </c>
      <c r="M487" s="25">
        <v>0</v>
      </c>
      <c r="N487" s="28">
        <v>0</v>
      </c>
      <c r="O487" s="28">
        <v>0</v>
      </c>
      <c r="P487" s="28"/>
      <c r="Q487" s="28"/>
    </row>
    <row r="488" spans="2:17" ht="15" customHeight="1" x14ac:dyDescent="0.25">
      <c r="B488" s="22" t="s">
        <v>978</v>
      </c>
      <c r="C488" s="23" t="s">
        <v>979</v>
      </c>
      <c r="D488" s="10"/>
      <c r="E488" s="26" t="s">
        <v>979</v>
      </c>
      <c r="F488" s="28" t="s">
        <v>1358</v>
      </c>
      <c r="G488" s="28">
        <v>38.94</v>
      </c>
      <c r="H488" s="28">
        <v>12.21</v>
      </c>
      <c r="I488" s="28">
        <v>10.89</v>
      </c>
      <c r="J488" s="28">
        <v>0.16</v>
      </c>
      <c r="K488" s="28">
        <v>2.13</v>
      </c>
      <c r="L488" s="25">
        <v>-1.6232</v>
      </c>
      <c r="M488" s="25">
        <v>1.4843999999999999</v>
      </c>
      <c r="N488" s="28">
        <v>22.2</v>
      </c>
      <c r="O488" s="28">
        <v>40.18</v>
      </c>
      <c r="P488" s="28">
        <v>1.7540540540540541</v>
      </c>
      <c r="Q488" s="28">
        <v>0.96913887506221996</v>
      </c>
    </row>
    <row r="489" spans="2:17" ht="15" customHeight="1" x14ac:dyDescent="0.25">
      <c r="B489" s="22" t="s">
        <v>980</v>
      </c>
      <c r="C489" s="23" t="s">
        <v>981</v>
      </c>
      <c r="D489" s="10"/>
      <c r="E489" s="26" t="s">
        <v>981</v>
      </c>
      <c r="F489" s="28" t="s">
        <v>1465</v>
      </c>
      <c r="G489" s="28">
        <v>18.91</v>
      </c>
      <c r="H489" s="28">
        <v>9.74</v>
      </c>
      <c r="I489" s="28">
        <v>0.69</v>
      </c>
      <c r="J489" s="28">
        <v>0.52500000000000002</v>
      </c>
      <c r="K489" s="28">
        <v>1.87</v>
      </c>
      <c r="L489" s="25">
        <v>1.1378999999999999</v>
      </c>
      <c r="M489" s="25">
        <v>1.9803999999999999</v>
      </c>
      <c r="N489" s="28">
        <v>12.85</v>
      </c>
      <c r="O489" s="28">
        <v>20.88</v>
      </c>
      <c r="P489" s="28">
        <v>1.4715953307392997</v>
      </c>
      <c r="Q489" s="28">
        <v>0.90565134099616862</v>
      </c>
    </row>
    <row r="490" spans="2:17" ht="15" customHeight="1" x14ac:dyDescent="0.25">
      <c r="B490" s="22" t="s">
        <v>982</v>
      </c>
      <c r="C490" s="23" t="s">
        <v>983</v>
      </c>
      <c r="D490" s="10"/>
      <c r="E490" s="26" t="s">
        <v>983</v>
      </c>
      <c r="F490" s="28" t="s">
        <v>1359</v>
      </c>
      <c r="G490" s="28">
        <v>11.64</v>
      </c>
      <c r="H490" s="28">
        <v>0</v>
      </c>
      <c r="I490" s="28">
        <v>1.31</v>
      </c>
      <c r="J490" s="28">
        <v>0.08</v>
      </c>
      <c r="K490" s="28">
        <v>1.84</v>
      </c>
      <c r="L490" s="25">
        <v>0.54559999999999997</v>
      </c>
      <c r="M490" s="25">
        <v>0.71540000000000004</v>
      </c>
      <c r="N490" s="28">
        <v>9.52</v>
      </c>
      <c r="O490" s="28">
        <v>13.14</v>
      </c>
      <c r="P490" s="28">
        <v>1.2226890756302522</v>
      </c>
      <c r="Q490" s="28">
        <v>0.88584474885844755</v>
      </c>
    </row>
    <row r="491" spans="2:17" ht="15" customHeight="1" x14ac:dyDescent="0.25">
      <c r="B491" s="22" t="s">
        <v>984</v>
      </c>
      <c r="C491" s="23" t="s">
        <v>985</v>
      </c>
      <c r="D491" s="10"/>
      <c r="E491" s="26" t="s">
        <v>985</v>
      </c>
      <c r="F491" s="28" t="s">
        <v>1360</v>
      </c>
      <c r="G491" s="28">
        <v>44.65</v>
      </c>
      <c r="H491" s="28">
        <v>20.07</v>
      </c>
      <c r="I491" s="28">
        <v>1.89</v>
      </c>
      <c r="J491" s="28">
        <v>0</v>
      </c>
      <c r="K491" s="28">
        <v>2.96</v>
      </c>
      <c r="L491" s="25">
        <v>7.1856</v>
      </c>
      <c r="M491" s="25">
        <v>9.4702000000000002</v>
      </c>
      <c r="N491" s="28">
        <v>18.5</v>
      </c>
      <c r="O491" s="28">
        <v>49.1</v>
      </c>
      <c r="P491" s="28">
        <v>2.4135135135135135</v>
      </c>
      <c r="Q491" s="28">
        <v>0.90936863543788193</v>
      </c>
    </row>
    <row r="492" spans="2:17" ht="15" customHeight="1" x14ac:dyDescent="0.25">
      <c r="B492" s="22" t="s">
        <v>986</v>
      </c>
      <c r="C492" s="23" t="s">
        <v>987</v>
      </c>
      <c r="D492" s="10"/>
      <c r="E492" s="26" t="s">
        <v>987</v>
      </c>
      <c r="F492" s="28" t="s">
        <v>1466</v>
      </c>
      <c r="G492" s="28">
        <v>27.4</v>
      </c>
      <c r="H492" s="28">
        <v>9.19</v>
      </c>
      <c r="I492" s="28">
        <v>0.52</v>
      </c>
      <c r="J492" s="28">
        <v>0</v>
      </c>
      <c r="K492" s="28">
        <v>1.42</v>
      </c>
      <c r="L492" s="25">
        <v>-1.0893999999999999</v>
      </c>
      <c r="M492" s="25">
        <v>1.9036999999999999</v>
      </c>
      <c r="N492" s="28">
        <v>18.72</v>
      </c>
      <c r="O492" s="28">
        <v>34.880000000000003</v>
      </c>
      <c r="P492" s="28">
        <v>1.4636752136752136</v>
      </c>
      <c r="Q492" s="28">
        <v>0.78555045871559637</v>
      </c>
    </row>
    <row r="493" spans="2:17" ht="15" customHeight="1" x14ac:dyDescent="0.25">
      <c r="B493" s="22" t="s">
        <v>988</v>
      </c>
      <c r="C493" s="23" t="s">
        <v>989</v>
      </c>
      <c r="D493" s="10"/>
      <c r="E493" s="26" t="s">
        <v>989</v>
      </c>
      <c r="F493" s="28" t="s">
        <v>990</v>
      </c>
      <c r="G493" s="28">
        <v>40.86</v>
      </c>
      <c r="H493" s="28">
        <v>23.89</v>
      </c>
      <c r="I493" s="28">
        <v>0.77</v>
      </c>
      <c r="J493" s="28">
        <v>0.84</v>
      </c>
      <c r="K493" s="28">
        <v>2.08</v>
      </c>
      <c r="L493" s="25">
        <v>-1.1000000000000001</v>
      </c>
      <c r="M493" s="25">
        <v>-6.3779000000000003</v>
      </c>
      <c r="N493" s="28">
        <v>38.200000000000003</v>
      </c>
      <c r="O493" s="28">
        <v>55.67</v>
      </c>
      <c r="P493" s="28">
        <v>1.0696335078534032</v>
      </c>
      <c r="Q493" s="28">
        <v>0.7339680258667145</v>
      </c>
    </row>
    <row r="494" spans="2:17" ht="15" customHeight="1" x14ac:dyDescent="0.25">
      <c r="B494" s="22" t="s">
        <v>991</v>
      </c>
      <c r="C494" s="23" t="s">
        <v>992</v>
      </c>
      <c r="D494" s="10"/>
      <c r="E494" s="26" t="s">
        <v>992</v>
      </c>
      <c r="F494" s="28" t="s">
        <v>1467</v>
      </c>
      <c r="G494" s="28">
        <v>24.88</v>
      </c>
      <c r="H494" s="28">
        <v>18.96</v>
      </c>
      <c r="I494" s="28">
        <v>1.21</v>
      </c>
      <c r="J494" s="28">
        <v>0.8</v>
      </c>
      <c r="K494" s="28">
        <v>9.64</v>
      </c>
      <c r="L494" s="25">
        <v>2.0815000000000001</v>
      </c>
      <c r="M494" s="25">
        <v>5.9866999999999999</v>
      </c>
      <c r="N494" s="28">
        <v>14.35</v>
      </c>
      <c r="O494" s="28">
        <v>25.17</v>
      </c>
      <c r="P494" s="28">
        <v>1.7337979094076656</v>
      </c>
      <c r="Q494" s="28">
        <v>0.98847834723877626</v>
      </c>
    </row>
    <row r="495" spans="2:17" ht="15" customHeight="1" x14ac:dyDescent="0.25">
      <c r="B495" s="22" t="s">
        <v>993</v>
      </c>
      <c r="C495" s="23" t="s">
        <v>994</v>
      </c>
      <c r="D495" s="10"/>
      <c r="E495" s="26" t="s">
        <v>994</v>
      </c>
      <c r="F495" s="28" t="s">
        <v>1468</v>
      </c>
      <c r="G495" s="28">
        <v>26.6</v>
      </c>
      <c r="H495" s="28">
        <v>0</v>
      </c>
      <c r="I495" s="28">
        <v>0</v>
      </c>
      <c r="J495" s="28">
        <v>1.3089999999999999</v>
      </c>
      <c r="K495" s="28">
        <v>0</v>
      </c>
      <c r="L495" s="25">
        <v>-5.1200000000000002E-2</v>
      </c>
      <c r="M495" s="25">
        <v>-2.2599999999999999E-2</v>
      </c>
      <c r="N495" s="28">
        <v>24.81</v>
      </c>
      <c r="O495" s="28">
        <v>0</v>
      </c>
      <c r="P495" s="28">
        <v>1.0721483272873842</v>
      </c>
      <c r="Q495" s="28"/>
    </row>
    <row r="496" spans="2:17" ht="15" customHeight="1" x14ac:dyDescent="0.25">
      <c r="B496" s="22" t="s">
        <v>995</v>
      </c>
      <c r="C496" s="23" t="s">
        <v>996</v>
      </c>
      <c r="D496" s="10"/>
      <c r="E496" s="26" t="s">
        <v>996</v>
      </c>
      <c r="F496" s="28" t="s">
        <v>1361</v>
      </c>
      <c r="G496" s="28">
        <v>19</v>
      </c>
      <c r="H496" s="28">
        <v>0</v>
      </c>
      <c r="I496" s="28">
        <v>45.08</v>
      </c>
      <c r="J496" s="28">
        <v>0.1</v>
      </c>
      <c r="K496" s="28">
        <v>3.76</v>
      </c>
      <c r="L496" s="25">
        <v>0.95350000000000001</v>
      </c>
      <c r="M496" s="25">
        <v>3.7717000000000001</v>
      </c>
      <c r="N496" s="28">
        <v>6.46</v>
      </c>
      <c r="O496" s="28">
        <v>16.670000000000002</v>
      </c>
      <c r="P496" s="28">
        <v>2.9411764705882355</v>
      </c>
      <c r="Q496" s="28">
        <v>1.1397720455908817</v>
      </c>
    </row>
    <row r="497" spans="2:17" ht="15" customHeight="1" x14ac:dyDescent="0.25">
      <c r="B497" s="22" t="s">
        <v>997</v>
      </c>
      <c r="C497" s="23" t="s">
        <v>998</v>
      </c>
      <c r="D497" s="10"/>
      <c r="E497" s="26" t="s">
        <v>998</v>
      </c>
      <c r="F497" s="28" t="s">
        <v>998</v>
      </c>
      <c r="G497" s="28">
        <v>0</v>
      </c>
      <c r="H497" s="28">
        <v>0</v>
      </c>
      <c r="I497" s="28">
        <v>0</v>
      </c>
      <c r="J497" s="28">
        <v>0</v>
      </c>
      <c r="K497" s="28">
        <v>0</v>
      </c>
      <c r="L497" s="25">
        <v>0</v>
      </c>
      <c r="M497" s="25">
        <v>0</v>
      </c>
      <c r="N497" s="28">
        <v>0</v>
      </c>
      <c r="O497" s="28">
        <v>0</v>
      </c>
      <c r="P497" s="28"/>
      <c r="Q497" s="28"/>
    </row>
    <row r="498" spans="2:17" ht="15" customHeight="1" x14ac:dyDescent="0.25">
      <c r="B498" s="22" t="s">
        <v>999</v>
      </c>
      <c r="C498" s="23" t="s">
        <v>1000</v>
      </c>
      <c r="D498" s="10"/>
      <c r="E498" s="26" t="s">
        <v>1000</v>
      </c>
      <c r="F498" s="28" t="s">
        <v>1469</v>
      </c>
      <c r="G498" s="28">
        <v>0</v>
      </c>
      <c r="H498" s="28">
        <v>0</v>
      </c>
      <c r="I498" s="28">
        <v>0</v>
      </c>
      <c r="J498" s="28">
        <v>0</v>
      </c>
      <c r="K498" s="28">
        <v>0</v>
      </c>
      <c r="L498" s="25">
        <v>0</v>
      </c>
      <c r="M498" s="25">
        <v>0</v>
      </c>
      <c r="N498" s="28">
        <v>0</v>
      </c>
      <c r="O498" s="28">
        <v>0</v>
      </c>
      <c r="P498" s="28"/>
      <c r="Q498" s="28"/>
    </row>
    <row r="499" spans="2:17" ht="15" customHeight="1" x14ac:dyDescent="0.25">
      <c r="B499" s="22" t="s">
        <v>1001</v>
      </c>
      <c r="C499" s="23" t="s">
        <v>1002</v>
      </c>
      <c r="D499" s="10"/>
      <c r="E499" s="26" t="s">
        <v>1002</v>
      </c>
      <c r="F499" s="28" t="s">
        <v>1362</v>
      </c>
      <c r="G499" s="28">
        <v>10.47</v>
      </c>
      <c r="H499" s="28">
        <v>0</v>
      </c>
      <c r="I499" s="28">
        <v>4.88</v>
      </c>
      <c r="J499" s="28">
        <v>1.04</v>
      </c>
      <c r="K499" s="28">
        <v>1.65</v>
      </c>
      <c r="L499" s="25">
        <v>1.08</v>
      </c>
      <c r="M499" s="25">
        <v>0.35010000000000002</v>
      </c>
      <c r="N499" s="28">
        <v>8.3000000000000007</v>
      </c>
      <c r="O499" s="28">
        <v>13.25</v>
      </c>
      <c r="P499" s="28">
        <v>1.2614457831325301</v>
      </c>
      <c r="Q499" s="28">
        <v>0.79018867924528302</v>
      </c>
    </row>
    <row r="500" spans="2:17" ht="15" customHeight="1" x14ac:dyDescent="0.25">
      <c r="B500" s="22" t="s">
        <v>1003</v>
      </c>
      <c r="C500" s="23" t="s">
        <v>1004</v>
      </c>
      <c r="D500" s="10"/>
      <c r="E500" s="26" t="s">
        <v>1004</v>
      </c>
      <c r="F500" s="28" t="s">
        <v>1470</v>
      </c>
      <c r="G500" s="28">
        <v>45.32</v>
      </c>
      <c r="H500" s="28">
        <v>22.89</v>
      </c>
      <c r="I500" s="28">
        <v>1.56</v>
      </c>
      <c r="J500" s="28">
        <v>0</v>
      </c>
      <c r="K500" s="28">
        <v>0</v>
      </c>
      <c r="L500" s="25">
        <v>2.2906</v>
      </c>
      <c r="M500" s="25">
        <v>1.8576999999999999</v>
      </c>
      <c r="N500" s="28">
        <v>32.81</v>
      </c>
      <c r="O500" s="28">
        <v>42.61</v>
      </c>
      <c r="P500" s="28">
        <v>1.3812861932337703</v>
      </c>
      <c r="Q500" s="28">
        <v>1.0636000938746775</v>
      </c>
    </row>
    <row r="501" spans="2:17" ht="15" customHeight="1" x14ac:dyDescent="0.25">
      <c r="B501" s="22" t="s">
        <v>1005</v>
      </c>
      <c r="C501" s="23" t="s">
        <v>1006</v>
      </c>
      <c r="D501" s="10"/>
      <c r="E501" s="26" t="s">
        <v>1006</v>
      </c>
      <c r="F501" s="28" t="s">
        <v>1363</v>
      </c>
      <c r="G501" s="28">
        <v>29.52</v>
      </c>
      <c r="H501" s="28">
        <v>48.28</v>
      </c>
      <c r="I501" s="28">
        <v>1.73</v>
      </c>
      <c r="J501" s="28">
        <v>0.82</v>
      </c>
      <c r="K501" s="28">
        <v>5.05</v>
      </c>
      <c r="L501" s="25">
        <v>1.2732000000000001</v>
      </c>
      <c r="M501" s="25">
        <v>2.8792</v>
      </c>
      <c r="N501" s="28">
        <v>24.05</v>
      </c>
      <c r="O501" s="28">
        <v>29.39</v>
      </c>
      <c r="P501" s="28">
        <v>1.2274428274428275</v>
      </c>
      <c r="Q501" s="28">
        <v>1.0044232732221843</v>
      </c>
    </row>
    <row r="502" spans="2:17" ht="15" customHeight="1" x14ac:dyDescent="0.25">
      <c r="B502" s="22" t="s">
        <v>1007</v>
      </c>
      <c r="C502" s="23" t="s">
        <v>1008</v>
      </c>
      <c r="D502" s="10"/>
      <c r="E502" s="26" t="s">
        <v>1008</v>
      </c>
      <c r="F502" s="28" t="s">
        <v>1364</v>
      </c>
      <c r="G502" s="28">
        <v>10.37</v>
      </c>
      <c r="H502" s="28">
        <v>31.47</v>
      </c>
      <c r="I502" s="28">
        <v>0</v>
      </c>
      <c r="J502" s="28">
        <v>0</v>
      </c>
      <c r="K502" s="28">
        <v>1.1200000000000001</v>
      </c>
      <c r="L502" s="25">
        <v>-0.79120000000000001</v>
      </c>
      <c r="M502" s="25">
        <v>-0.32519999999999999</v>
      </c>
      <c r="N502" s="28">
        <v>8.19</v>
      </c>
      <c r="O502" s="28">
        <v>13.67</v>
      </c>
      <c r="P502" s="28">
        <v>1.2661782661782663</v>
      </c>
      <c r="Q502" s="28">
        <v>0.75859546452084858</v>
      </c>
    </row>
    <row r="503" spans="2:17" ht="15" customHeight="1" x14ac:dyDescent="0.25">
      <c r="B503" s="22" t="s">
        <v>1009</v>
      </c>
      <c r="C503" s="23" t="s">
        <v>1010</v>
      </c>
      <c r="D503" s="10"/>
      <c r="E503" s="26" t="s">
        <v>1010</v>
      </c>
      <c r="F503" s="28" t="s">
        <v>1010</v>
      </c>
      <c r="G503" s="28">
        <v>0</v>
      </c>
      <c r="H503" s="28">
        <v>0</v>
      </c>
      <c r="I503" s="28">
        <v>0</v>
      </c>
      <c r="J503" s="28">
        <v>0</v>
      </c>
      <c r="K503" s="28">
        <v>0</v>
      </c>
      <c r="L503" s="25">
        <v>0</v>
      </c>
      <c r="M503" s="25">
        <v>0</v>
      </c>
      <c r="N503" s="28">
        <v>0</v>
      </c>
      <c r="O503" s="28">
        <v>0</v>
      </c>
      <c r="P503" s="28"/>
      <c r="Q503" s="28"/>
    </row>
    <row r="504" spans="2:17" ht="15" customHeight="1" x14ac:dyDescent="0.25">
      <c r="B504" s="22" t="s">
        <v>1011</v>
      </c>
      <c r="C504" s="23" t="s">
        <v>1012</v>
      </c>
      <c r="D504" s="10"/>
      <c r="E504" s="26" t="s">
        <v>1012</v>
      </c>
      <c r="F504" s="28" t="s">
        <v>1365</v>
      </c>
      <c r="G504" s="28">
        <v>63.33</v>
      </c>
      <c r="H504" s="28">
        <v>15.71</v>
      </c>
      <c r="I504" s="28">
        <v>1.58</v>
      </c>
      <c r="J504" s="28">
        <v>0.97</v>
      </c>
      <c r="K504" s="28">
        <v>2.69</v>
      </c>
      <c r="L504" s="25">
        <v>1.3035000000000001</v>
      </c>
      <c r="M504" s="25">
        <v>4.7994000000000003</v>
      </c>
      <c r="N504" s="28">
        <v>50.25</v>
      </c>
      <c r="O504" s="28">
        <v>69.349999999999994</v>
      </c>
      <c r="P504" s="28">
        <v>1.2602985074626865</v>
      </c>
      <c r="Q504" s="28">
        <v>0.91319394376351848</v>
      </c>
    </row>
    <row r="505" spans="2:17" ht="15" customHeight="1" x14ac:dyDescent="0.25">
      <c r="B505" s="22" t="s">
        <v>1013</v>
      </c>
      <c r="C505" s="23" t="s">
        <v>1014</v>
      </c>
      <c r="D505" s="10"/>
      <c r="E505" s="26" t="s">
        <v>1014</v>
      </c>
      <c r="F505" s="28" t="s">
        <v>1366</v>
      </c>
      <c r="G505" s="28">
        <v>31.92</v>
      </c>
      <c r="H505" s="28">
        <v>46.33</v>
      </c>
      <c r="I505" s="28">
        <v>0.98</v>
      </c>
      <c r="J505" s="28">
        <v>29.48</v>
      </c>
      <c r="K505" s="28">
        <v>2.84</v>
      </c>
      <c r="L505" s="25">
        <v>0.92620000000000002</v>
      </c>
      <c r="M505" s="25">
        <v>-3.9922</v>
      </c>
      <c r="N505" s="28">
        <v>26.17</v>
      </c>
      <c r="O505" s="28">
        <v>32.14</v>
      </c>
      <c r="P505" s="28">
        <v>1.219717233473443</v>
      </c>
      <c r="Q505" s="28">
        <v>0.9931549471064095</v>
      </c>
    </row>
    <row r="506" spans="2:17" ht="15" customHeight="1" x14ac:dyDescent="0.25">
      <c r="B506" s="22" t="s">
        <v>1015</v>
      </c>
      <c r="C506" s="23" t="s">
        <v>1016</v>
      </c>
      <c r="D506" s="10"/>
      <c r="E506" s="26" t="s">
        <v>1016</v>
      </c>
      <c r="F506" s="28" t="s">
        <v>1367</v>
      </c>
      <c r="G506" s="28">
        <v>40.619999999999997</v>
      </c>
      <c r="H506" s="28">
        <v>11.42</v>
      </c>
      <c r="I506" s="28">
        <v>0</v>
      </c>
      <c r="J506" s="28">
        <v>1.4</v>
      </c>
      <c r="K506" s="28">
        <v>1.49</v>
      </c>
      <c r="L506" s="25">
        <v>-3.1690999999999998</v>
      </c>
      <c r="M506" s="25">
        <v>-7.7064000000000004</v>
      </c>
      <c r="N506" s="28">
        <v>40.44</v>
      </c>
      <c r="O506" s="28">
        <v>54.5</v>
      </c>
      <c r="P506" s="28">
        <v>1.0044510385756675</v>
      </c>
      <c r="Q506" s="28">
        <v>0.7453211009174312</v>
      </c>
    </row>
    <row r="507" spans="2:17" ht="15" customHeight="1" x14ac:dyDescent="0.25">
      <c r="B507" s="22" t="s">
        <v>1017</v>
      </c>
      <c r="C507" s="23" t="s">
        <v>1018</v>
      </c>
      <c r="D507" s="10"/>
      <c r="E507" s="26" t="s">
        <v>1018</v>
      </c>
      <c r="F507" s="28" t="s">
        <v>1018</v>
      </c>
      <c r="G507" s="28">
        <v>0</v>
      </c>
      <c r="H507" s="28">
        <v>0</v>
      </c>
      <c r="I507" s="28">
        <v>0</v>
      </c>
      <c r="J507" s="28">
        <v>0</v>
      </c>
      <c r="K507" s="28">
        <v>0</v>
      </c>
      <c r="L507" s="25">
        <v>0</v>
      </c>
      <c r="M507" s="25">
        <v>0</v>
      </c>
      <c r="N507" s="28">
        <v>0</v>
      </c>
      <c r="O507" s="28">
        <v>0</v>
      </c>
      <c r="P507" s="28"/>
      <c r="Q507" s="28"/>
    </row>
    <row r="508" spans="2:17" ht="15" customHeight="1" x14ac:dyDescent="0.25">
      <c r="B508" s="23"/>
      <c r="C508" s="23"/>
    </row>
    <row r="509" spans="2:17" ht="15" customHeight="1" x14ac:dyDescent="0.25">
      <c r="B509" s="23"/>
      <c r="C509" s="23"/>
    </row>
    <row r="510" spans="2:17" ht="15" customHeight="1" x14ac:dyDescent="0.25">
      <c r="B510" s="23"/>
      <c r="C510" s="23"/>
    </row>
    <row r="511" spans="2:17" ht="15" customHeight="1" x14ac:dyDescent="0.25">
      <c r="B511" s="23"/>
      <c r="C511" s="23"/>
    </row>
    <row r="512" spans="2:17" ht="15" customHeight="1" x14ac:dyDescent="0.25">
      <c r="B512" s="23"/>
      <c r="C512" s="23"/>
    </row>
    <row r="513" spans="2:3" ht="15" customHeight="1" x14ac:dyDescent="0.25">
      <c r="B513" s="23"/>
      <c r="C513" s="23"/>
    </row>
    <row r="514" spans="2:3" ht="15" customHeight="1" x14ac:dyDescent="0.25">
      <c r="B514" s="23"/>
      <c r="C514" s="23"/>
    </row>
    <row r="515" spans="2:3" ht="15" customHeight="1" x14ac:dyDescent="0.25">
      <c r="B515" s="23"/>
      <c r="C515" s="23"/>
    </row>
    <row r="516" spans="2:3" ht="15" customHeight="1" x14ac:dyDescent="0.25">
      <c r="B516" s="23"/>
      <c r="C516" s="23"/>
    </row>
    <row r="517" spans="2:3" ht="15" customHeight="1" x14ac:dyDescent="0.25">
      <c r="B517" s="23"/>
      <c r="C517" s="23"/>
    </row>
    <row r="518" spans="2:3" ht="15" customHeight="1" x14ac:dyDescent="0.25">
      <c r="B518" s="23"/>
      <c r="C518" s="23"/>
    </row>
    <row r="519" spans="2:3" ht="15" customHeight="1" x14ac:dyDescent="0.25">
      <c r="B519" s="23"/>
      <c r="C519" s="23"/>
    </row>
    <row r="520" spans="2:3" ht="15" customHeight="1" x14ac:dyDescent="0.25">
      <c r="B520" s="23"/>
      <c r="C520" s="23"/>
    </row>
    <row r="521" spans="2:3" ht="15" customHeight="1" x14ac:dyDescent="0.25">
      <c r="B521" s="23"/>
      <c r="C521" s="23"/>
    </row>
    <row r="522" spans="2:3" ht="15" customHeight="1" x14ac:dyDescent="0.25">
      <c r="B522" s="23"/>
      <c r="C522" s="23"/>
    </row>
    <row r="523" spans="2:3" ht="15" customHeight="1" x14ac:dyDescent="0.25">
      <c r="B523" s="23"/>
      <c r="C523" s="23"/>
    </row>
    <row r="524" spans="2:3" ht="15" customHeight="1" x14ac:dyDescent="0.25">
      <c r="B524" s="23"/>
      <c r="C524" s="23"/>
    </row>
    <row r="525" spans="2:3" ht="15" customHeight="1" x14ac:dyDescent="0.25">
      <c r="B525" s="23"/>
      <c r="C525" s="23"/>
    </row>
    <row r="526" spans="2:3" ht="15" customHeight="1" x14ac:dyDescent="0.25">
      <c r="B526" s="23"/>
      <c r="C526" s="23"/>
    </row>
    <row r="527" spans="2:3" ht="15" customHeight="1" x14ac:dyDescent="0.25">
      <c r="B527" s="23"/>
      <c r="C527" s="23"/>
    </row>
    <row r="528" spans="2:3" ht="15" customHeight="1" x14ac:dyDescent="0.25">
      <c r="B528" s="23"/>
      <c r="C528" s="23"/>
    </row>
    <row r="529" spans="2:3" ht="15" customHeight="1" x14ac:dyDescent="0.25">
      <c r="B529" s="23"/>
      <c r="C529" s="23"/>
    </row>
    <row r="530" spans="2:3" ht="15" customHeight="1" x14ac:dyDescent="0.25">
      <c r="B530" s="23"/>
      <c r="C530" s="23"/>
    </row>
    <row r="531" spans="2:3" ht="15" customHeight="1" x14ac:dyDescent="0.25">
      <c r="B531" s="23"/>
      <c r="C531" s="23"/>
    </row>
    <row r="532" spans="2:3" ht="15" customHeight="1" x14ac:dyDescent="0.25">
      <c r="B532" s="23"/>
      <c r="C532" s="23"/>
    </row>
    <row r="533" spans="2:3" ht="15" customHeight="1" x14ac:dyDescent="0.25">
      <c r="B533" s="23"/>
      <c r="C533" s="23"/>
    </row>
    <row r="534" spans="2:3" ht="15" customHeight="1" x14ac:dyDescent="0.25">
      <c r="B534" s="23"/>
      <c r="C534" s="23"/>
    </row>
    <row r="535" spans="2:3" ht="15" customHeight="1" x14ac:dyDescent="0.25">
      <c r="B535" s="23"/>
      <c r="C535" s="23"/>
    </row>
    <row r="536" spans="2:3" ht="15" customHeight="1" x14ac:dyDescent="0.25">
      <c r="B536" s="23"/>
      <c r="C536" s="23"/>
    </row>
    <row r="537" spans="2:3" ht="15" customHeight="1" x14ac:dyDescent="0.25">
      <c r="B537" s="23"/>
      <c r="C537" s="23"/>
    </row>
    <row r="538" spans="2:3" ht="15" customHeight="1" x14ac:dyDescent="0.25">
      <c r="B538" s="23"/>
      <c r="C538" s="23"/>
    </row>
    <row r="539" spans="2:3" ht="15" customHeight="1" x14ac:dyDescent="0.25">
      <c r="B539" s="23"/>
      <c r="C539" s="23"/>
    </row>
    <row r="540" spans="2:3" ht="15" customHeight="1" x14ac:dyDescent="0.25">
      <c r="B540" s="23"/>
      <c r="C540" s="23"/>
    </row>
    <row r="541" spans="2:3" ht="15" customHeight="1" x14ac:dyDescent="0.25">
      <c r="B541" s="23"/>
      <c r="C541" s="23"/>
    </row>
    <row r="542" spans="2:3" ht="15" customHeight="1" x14ac:dyDescent="0.25">
      <c r="B542" s="23"/>
      <c r="C542" s="23"/>
    </row>
    <row r="543" spans="2:3" ht="15" customHeight="1" x14ac:dyDescent="0.25">
      <c r="B543" s="23"/>
      <c r="C543" s="23"/>
    </row>
    <row r="544" spans="2:3" ht="15" customHeight="1" x14ac:dyDescent="0.25">
      <c r="B544" s="23"/>
      <c r="C544" s="23"/>
    </row>
    <row r="545" spans="2:3" ht="15" customHeight="1" x14ac:dyDescent="0.25">
      <c r="B545" s="23"/>
      <c r="C545" s="23"/>
    </row>
    <row r="546" spans="2:3" ht="15" customHeight="1" x14ac:dyDescent="0.25">
      <c r="B546" s="23"/>
      <c r="C546" s="23"/>
    </row>
    <row r="547" spans="2:3" ht="15" customHeight="1" x14ac:dyDescent="0.25">
      <c r="B547" s="23"/>
      <c r="C547" s="23"/>
    </row>
    <row r="548" spans="2:3" ht="15" customHeight="1" x14ac:dyDescent="0.25">
      <c r="B548" s="23"/>
      <c r="C548" s="23"/>
    </row>
    <row r="549" spans="2:3" ht="15" customHeight="1" x14ac:dyDescent="0.25">
      <c r="B549" s="23"/>
      <c r="C549" s="23"/>
    </row>
    <row r="550" spans="2:3" ht="15" customHeight="1" x14ac:dyDescent="0.25">
      <c r="B550" s="23"/>
      <c r="C550" s="23"/>
    </row>
    <row r="551" spans="2:3" ht="15" customHeight="1" x14ac:dyDescent="0.25">
      <c r="B551" s="23"/>
      <c r="C551" s="23"/>
    </row>
    <row r="552" spans="2:3" ht="15" customHeight="1" x14ac:dyDescent="0.25">
      <c r="B552" s="23"/>
      <c r="C552" s="23"/>
    </row>
    <row r="553" spans="2:3" ht="15" customHeight="1" x14ac:dyDescent="0.25">
      <c r="B553" s="23"/>
      <c r="C553" s="23"/>
    </row>
    <row r="554" spans="2:3" ht="15" customHeight="1" x14ac:dyDescent="0.25">
      <c r="B554" s="23"/>
      <c r="C554" s="23"/>
    </row>
    <row r="555" spans="2:3" ht="15" customHeight="1" x14ac:dyDescent="0.25">
      <c r="B555" s="23"/>
      <c r="C555" s="23"/>
    </row>
    <row r="556" spans="2:3" ht="15" customHeight="1" x14ac:dyDescent="0.25">
      <c r="B556" s="23"/>
      <c r="C556" s="23"/>
    </row>
    <row r="557" spans="2:3" ht="15" customHeight="1" x14ac:dyDescent="0.25">
      <c r="B557" s="23"/>
      <c r="C557" s="23"/>
    </row>
    <row r="558" spans="2:3" ht="15" customHeight="1" x14ac:dyDescent="0.25">
      <c r="B558" s="23"/>
      <c r="C558" s="23"/>
    </row>
    <row r="559" spans="2:3" ht="15" customHeight="1" x14ac:dyDescent="0.25">
      <c r="B559" s="23"/>
      <c r="C559" s="23"/>
    </row>
    <row r="560" spans="2:3" ht="15" customHeight="1" x14ac:dyDescent="0.25">
      <c r="B560" s="23"/>
      <c r="C560" s="23"/>
    </row>
    <row r="561" spans="2:3" ht="15" customHeight="1" x14ac:dyDescent="0.25">
      <c r="B561" s="23"/>
      <c r="C561" s="23"/>
    </row>
    <row r="562" spans="2:3" ht="15" customHeight="1" x14ac:dyDescent="0.25">
      <c r="B562" s="23"/>
      <c r="C562" s="23"/>
    </row>
    <row r="563" spans="2:3" ht="15" customHeight="1" x14ac:dyDescent="0.25">
      <c r="B563" s="23"/>
      <c r="C563" s="23"/>
    </row>
    <row r="564" spans="2:3" ht="15" customHeight="1" x14ac:dyDescent="0.25">
      <c r="B564" s="23"/>
      <c r="C564" s="23"/>
    </row>
    <row r="565" spans="2:3" ht="15" customHeight="1" x14ac:dyDescent="0.25">
      <c r="B565" s="23"/>
      <c r="C565" s="23"/>
    </row>
    <row r="566" spans="2:3" ht="15" customHeight="1" x14ac:dyDescent="0.25">
      <c r="B566" s="23"/>
      <c r="C566" s="23"/>
    </row>
    <row r="567" spans="2:3" ht="15" customHeight="1" x14ac:dyDescent="0.25">
      <c r="B567" s="23"/>
      <c r="C567" s="23"/>
    </row>
    <row r="568" spans="2:3" ht="15" customHeight="1" x14ac:dyDescent="0.25">
      <c r="B568" s="23"/>
      <c r="C568" s="23"/>
    </row>
    <row r="569" spans="2:3" ht="15" customHeight="1" x14ac:dyDescent="0.25">
      <c r="B569" s="23"/>
      <c r="C569" s="23"/>
    </row>
    <row r="570" spans="2:3" ht="15" customHeight="1" x14ac:dyDescent="0.25">
      <c r="B570" s="23"/>
      <c r="C570" s="23"/>
    </row>
    <row r="571" spans="2:3" ht="15" customHeight="1" x14ac:dyDescent="0.25">
      <c r="B571" s="23"/>
      <c r="C571" s="23"/>
    </row>
    <row r="572" spans="2:3" ht="15" customHeight="1" x14ac:dyDescent="0.25">
      <c r="B572" s="23"/>
      <c r="C572" s="23"/>
    </row>
    <row r="573" spans="2:3" ht="15" customHeight="1" x14ac:dyDescent="0.25">
      <c r="B573" s="23"/>
      <c r="C573" s="23"/>
    </row>
    <row r="574" spans="2:3" ht="15" customHeight="1" x14ac:dyDescent="0.25">
      <c r="B574" s="23"/>
      <c r="C574" s="23"/>
    </row>
    <row r="575" spans="2:3" ht="15" customHeight="1" x14ac:dyDescent="0.25">
      <c r="B575" s="23"/>
      <c r="C575" s="23"/>
    </row>
    <row r="576" spans="2:3" ht="15" customHeight="1" x14ac:dyDescent="0.25">
      <c r="B576" s="23"/>
      <c r="C576" s="23"/>
    </row>
    <row r="577" spans="2:3" ht="15" customHeight="1" x14ac:dyDescent="0.25">
      <c r="B577" s="23"/>
      <c r="C577" s="23"/>
    </row>
    <row r="578" spans="2:3" ht="15" customHeight="1" x14ac:dyDescent="0.25">
      <c r="B578" s="23"/>
      <c r="C578" s="23"/>
    </row>
    <row r="579" spans="2:3" ht="15" customHeight="1" x14ac:dyDescent="0.25">
      <c r="B579" s="23"/>
      <c r="C579" s="23"/>
    </row>
    <row r="580" spans="2:3" ht="15" customHeight="1" x14ac:dyDescent="0.25">
      <c r="B580" s="23"/>
      <c r="C580" s="23"/>
    </row>
    <row r="581" spans="2:3" ht="15" customHeight="1" x14ac:dyDescent="0.25">
      <c r="B581" s="23"/>
      <c r="C581" s="23"/>
    </row>
    <row r="582" spans="2:3" ht="15" customHeight="1" x14ac:dyDescent="0.25">
      <c r="B582" s="23"/>
      <c r="C582" s="23"/>
    </row>
    <row r="583" spans="2:3" ht="15" customHeight="1" x14ac:dyDescent="0.25">
      <c r="B583" s="23"/>
      <c r="C583" s="23"/>
    </row>
    <row r="584" spans="2:3" ht="15" customHeight="1" x14ac:dyDescent="0.25">
      <c r="B584" s="23"/>
      <c r="C584" s="23"/>
    </row>
    <row r="585" spans="2:3" ht="15" customHeight="1" x14ac:dyDescent="0.25">
      <c r="B585" s="23"/>
      <c r="C585" s="23"/>
    </row>
    <row r="586" spans="2:3" ht="15" customHeight="1" x14ac:dyDescent="0.25">
      <c r="B586" s="23"/>
      <c r="C586" s="23"/>
    </row>
    <row r="587" spans="2:3" ht="15" customHeight="1" x14ac:dyDescent="0.25">
      <c r="B587" s="23"/>
      <c r="C587" s="23"/>
    </row>
    <row r="588" spans="2:3" ht="15" customHeight="1" x14ac:dyDescent="0.25">
      <c r="B588" s="23"/>
      <c r="C588" s="23"/>
    </row>
    <row r="589" spans="2:3" ht="15" customHeight="1" x14ac:dyDescent="0.25">
      <c r="B589" s="23"/>
      <c r="C589" s="23"/>
    </row>
    <row r="590" spans="2:3" ht="15" customHeight="1" x14ac:dyDescent="0.25">
      <c r="B590" s="23"/>
      <c r="C590" s="23"/>
    </row>
    <row r="591" spans="2:3" ht="15" customHeight="1" x14ac:dyDescent="0.25">
      <c r="B591" s="23"/>
      <c r="C591" s="23"/>
    </row>
    <row r="592" spans="2:3" ht="15" customHeight="1" x14ac:dyDescent="0.25">
      <c r="B592" s="23"/>
      <c r="C592" s="23"/>
    </row>
    <row r="593" spans="2:3" ht="15" customHeight="1" x14ac:dyDescent="0.25">
      <c r="B593" s="23"/>
      <c r="C593" s="23"/>
    </row>
    <row r="594" spans="2:3" ht="15" customHeight="1" x14ac:dyDescent="0.25">
      <c r="B594" s="23"/>
      <c r="C594" s="23"/>
    </row>
    <row r="595" spans="2:3" ht="15" customHeight="1" x14ac:dyDescent="0.25">
      <c r="B595" s="23"/>
      <c r="C595" s="23"/>
    </row>
    <row r="596" spans="2:3" ht="15" customHeight="1" x14ac:dyDescent="0.25">
      <c r="B596" s="23"/>
      <c r="C596" s="23"/>
    </row>
    <row r="597" spans="2:3" ht="15" customHeight="1" x14ac:dyDescent="0.25">
      <c r="B597" s="23"/>
      <c r="C597" s="23"/>
    </row>
    <row r="598" spans="2:3" ht="15" customHeight="1" x14ac:dyDescent="0.25">
      <c r="B598" s="23"/>
      <c r="C598" s="23"/>
    </row>
    <row r="599" spans="2:3" ht="15" customHeight="1" x14ac:dyDescent="0.25">
      <c r="B599" s="23"/>
      <c r="C599" s="23"/>
    </row>
    <row r="600" spans="2:3" ht="15" customHeight="1" x14ac:dyDescent="0.25">
      <c r="B600" s="23"/>
      <c r="C600" s="23"/>
    </row>
    <row r="601" spans="2:3" ht="15" customHeight="1" x14ac:dyDescent="0.25">
      <c r="B601" s="23"/>
      <c r="C601" s="23"/>
    </row>
    <row r="602" spans="2:3" ht="15" customHeight="1" x14ac:dyDescent="0.25">
      <c r="B602" s="23"/>
      <c r="C602" s="23"/>
    </row>
    <row r="603" spans="2:3" ht="15" customHeight="1" x14ac:dyDescent="0.25">
      <c r="B603" s="23"/>
      <c r="C603" s="23"/>
    </row>
    <row r="604" spans="2:3" ht="15" customHeight="1" x14ac:dyDescent="0.25">
      <c r="B604" s="23"/>
      <c r="C604" s="23"/>
    </row>
    <row r="605" spans="2:3" ht="15" customHeight="1" x14ac:dyDescent="0.25">
      <c r="B605" s="23"/>
      <c r="C605" s="23"/>
    </row>
    <row r="606" spans="2:3" ht="15" customHeight="1" x14ac:dyDescent="0.25">
      <c r="B606" s="23"/>
      <c r="C606" s="23"/>
    </row>
    <row r="607" spans="2:3" ht="15" customHeight="1" x14ac:dyDescent="0.25">
      <c r="B607" s="23"/>
      <c r="C607" s="23"/>
    </row>
    <row r="608" spans="2:3" ht="15" customHeight="1" x14ac:dyDescent="0.25">
      <c r="B608" s="23"/>
      <c r="C608" s="23"/>
    </row>
    <row r="609" spans="2:3" ht="15" customHeight="1" x14ac:dyDescent="0.25">
      <c r="B609" s="23"/>
      <c r="C609" s="23"/>
    </row>
    <row r="610" spans="2:3" ht="15" customHeight="1" x14ac:dyDescent="0.25">
      <c r="B610" s="23"/>
      <c r="C610" s="23"/>
    </row>
    <row r="611" spans="2:3" ht="15" customHeight="1" x14ac:dyDescent="0.25">
      <c r="B611" s="23"/>
      <c r="C611" s="23"/>
    </row>
    <row r="612" spans="2:3" ht="15" customHeight="1" x14ac:dyDescent="0.25">
      <c r="B612" s="23"/>
      <c r="C612" s="23"/>
    </row>
    <row r="613" spans="2:3" ht="15" customHeight="1" x14ac:dyDescent="0.25">
      <c r="B613" s="23"/>
      <c r="C613" s="23"/>
    </row>
    <row r="614" spans="2:3" ht="15" customHeight="1" x14ac:dyDescent="0.25">
      <c r="B614" s="23"/>
      <c r="C614" s="23"/>
    </row>
    <row r="615" spans="2:3" ht="15" customHeight="1" x14ac:dyDescent="0.25">
      <c r="B615" s="23"/>
      <c r="C615" s="23"/>
    </row>
    <row r="616" spans="2:3" ht="15" customHeight="1" x14ac:dyDescent="0.25">
      <c r="B616" s="23"/>
      <c r="C616" s="23"/>
    </row>
    <row r="617" spans="2:3" ht="15" customHeight="1" x14ac:dyDescent="0.25">
      <c r="B617" s="23"/>
      <c r="C617" s="23"/>
    </row>
    <row r="618" spans="2:3" ht="15" customHeight="1" x14ac:dyDescent="0.25">
      <c r="B618" s="23"/>
      <c r="C618" s="23"/>
    </row>
    <row r="619" spans="2:3" ht="15" customHeight="1" x14ac:dyDescent="0.25">
      <c r="B619" s="23"/>
      <c r="C619" s="23"/>
    </row>
    <row r="620" spans="2:3" ht="15" customHeight="1" x14ac:dyDescent="0.25">
      <c r="B620" s="23"/>
      <c r="C620" s="23"/>
    </row>
    <row r="621" spans="2:3" ht="15" customHeight="1" x14ac:dyDescent="0.25">
      <c r="B621" s="23"/>
      <c r="C621" s="23"/>
    </row>
    <row r="622" spans="2:3" ht="15" customHeight="1" x14ac:dyDescent="0.25">
      <c r="B622" s="23"/>
      <c r="C622" s="23"/>
    </row>
    <row r="623" spans="2:3" ht="15" customHeight="1" x14ac:dyDescent="0.25">
      <c r="B623" s="23"/>
      <c r="C623" s="23"/>
    </row>
    <row r="624" spans="2:3" ht="15" customHeight="1" x14ac:dyDescent="0.25">
      <c r="B624" s="23"/>
      <c r="C624" s="23"/>
    </row>
    <row r="625" spans="2:3" ht="15" customHeight="1" x14ac:dyDescent="0.25">
      <c r="B625" s="23"/>
      <c r="C625" s="23"/>
    </row>
    <row r="626" spans="2:3" ht="15" customHeight="1" x14ac:dyDescent="0.25">
      <c r="B626" s="23"/>
      <c r="C626" s="23"/>
    </row>
    <row r="627" spans="2:3" ht="15" customHeight="1" x14ac:dyDescent="0.25">
      <c r="B627" s="23"/>
      <c r="C627" s="23"/>
    </row>
    <row r="628" spans="2:3" ht="15" customHeight="1" x14ac:dyDescent="0.25">
      <c r="B628" s="23"/>
      <c r="C628" s="23"/>
    </row>
    <row r="629" spans="2:3" ht="15" customHeight="1" x14ac:dyDescent="0.25">
      <c r="B629" s="23"/>
      <c r="C629" s="23"/>
    </row>
    <row r="630" spans="2:3" ht="15" customHeight="1" x14ac:dyDescent="0.25">
      <c r="B630" s="23"/>
      <c r="C630" s="23"/>
    </row>
    <row r="631" spans="2:3" ht="15" customHeight="1" x14ac:dyDescent="0.25">
      <c r="B631" s="23"/>
      <c r="C631" s="23"/>
    </row>
    <row r="632" spans="2:3" ht="15" customHeight="1" x14ac:dyDescent="0.25">
      <c r="B632" s="23"/>
      <c r="C632" s="23"/>
    </row>
    <row r="633" spans="2:3" ht="15" customHeight="1" x14ac:dyDescent="0.25">
      <c r="B633" s="23"/>
      <c r="C633" s="23"/>
    </row>
    <row r="634" spans="2:3" ht="15" customHeight="1" x14ac:dyDescent="0.25">
      <c r="B634" s="23"/>
      <c r="C634" s="23"/>
    </row>
    <row r="635" spans="2:3" ht="15" customHeight="1" x14ac:dyDescent="0.25">
      <c r="B635" s="23"/>
      <c r="C635" s="23"/>
    </row>
    <row r="636" spans="2:3" ht="15" customHeight="1" x14ac:dyDescent="0.25">
      <c r="B636" s="23"/>
      <c r="C636" s="23"/>
    </row>
    <row r="637" spans="2:3" ht="15" customHeight="1" x14ac:dyDescent="0.25">
      <c r="B637" s="23"/>
      <c r="C637" s="23"/>
    </row>
    <row r="638" spans="2:3" ht="15" customHeight="1" x14ac:dyDescent="0.25">
      <c r="B638" s="23"/>
      <c r="C638" s="23"/>
    </row>
    <row r="639" spans="2:3" ht="15" customHeight="1" x14ac:dyDescent="0.25">
      <c r="B639" s="23"/>
      <c r="C639" s="23"/>
    </row>
    <row r="640" spans="2:3" ht="15" customHeight="1" x14ac:dyDescent="0.25">
      <c r="B640" s="23"/>
      <c r="C640" s="23"/>
    </row>
    <row r="641" spans="2:3" ht="15" customHeight="1" x14ac:dyDescent="0.25">
      <c r="B641" s="23"/>
      <c r="C641" s="23"/>
    </row>
    <row r="642" spans="2:3" ht="15" customHeight="1" x14ac:dyDescent="0.25">
      <c r="B642" s="23"/>
      <c r="C642" s="23"/>
    </row>
    <row r="643" spans="2:3" ht="15" customHeight="1" x14ac:dyDescent="0.25">
      <c r="B643" s="23"/>
      <c r="C643" s="23"/>
    </row>
    <row r="644" spans="2:3" ht="15" customHeight="1" x14ac:dyDescent="0.25">
      <c r="B644" s="23"/>
      <c r="C644" s="23"/>
    </row>
    <row r="645" spans="2:3" ht="15" customHeight="1" x14ac:dyDescent="0.25">
      <c r="B645" s="23"/>
      <c r="C645" s="23"/>
    </row>
    <row r="646" spans="2:3" ht="15" customHeight="1" x14ac:dyDescent="0.25">
      <c r="B646" s="23"/>
      <c r="C646" s="23"/>
    </row>
    <row r="647" spans="2:3" ht="15" customHeight="1" x14ac:dyDescent="0.25">
      <c r="B647" s="23"/>
      <c r="C647" s="23"/>
    </row>
    <row r="648" spans="2:3" ht="15" customHeight="1" x14ac:dyDescent="0.25">
      <c r="B648" s="23"/>
      <c r="C648" s="23"/>
    </row>
    <row r="649" spans="2:3" ht="15" customHeight="1" x14ac:dyDescent="0.25">
      <c r="B649" s="23"/>
      <c r="C649" s="23"/>
    </row>
    <row r="650" spans="2:3" ht="15" customHeight="1" x14ac:dyDescent="0.25">
      <c r="B650" s="23"/>
      <c r="C650" s="23"/>
    </row>
    <row r="651" spans="2:3" ht="15" customHeight="1" x14ac:dyDescent="0.25">
      <c r="B651" s="23"/>
      <c r="C651" s="23"/>
    </row>
    <row r="652" spans="2:3" ht="15" customHeight="1" x14ac:dyDescent="0.25">
      <c r="B652" s="23"/>
      <c r="C652" s="23"/>
    </row>
    <row r="653" spans="2:3" ht="15" customHeight="1" x14ac:dyDescent="0.25">
      <c r="B653" s="23"/>
      <c r="C653" s="23"/>
    </row>
    <row r="654" spans="2:3" ht="15" customHeight="1" x14ac:dyDescent="0.25">
      <c r="B654" s="23"/>
      <c r="C654" s="23"/>
    </row>
    <row r="655" spans="2:3" ht="15" customHeight="1" x14ac:dyDescent="0.25">
      <c r="B655" s="23"/>
      <c r="C655" s="23"/>
    </row>
    <row r="656" spans="2:3" ht="15" customHeight="1" x14ac:dyDescent="0.25">
      <c r="B656" s="23"/>
      <c r="C656" s="23"/>
    </row>
    <row r="657" spans="2:3" ht="15" customHeight="1" x14ac:dyDescent="0.25">
      <c r="B657" s="23"/>
      <c r="C657" s="23"/>
    </row>
    <row r="658" spans="2:3" ht="15" customHeight="1" x14ac:dyDescent="0.25">
      <c r="B658" s="23"/>
      <c r="C658" s="23"/>
    </row>
    <row r="659" spans="2:3" ht="15" customHeight="1" x14ac:dyDescent="0.25">
      <c r="B659" s="23"/>
      <c r="C659" s="23"/>
    </row>
    <row r="660" spans="2:3" ht="15" customHeight="1" x14ac:dyDescent="0.25">
      <c r="B660" s="23"/>
      <c r="C660" s="23"/>
    </row>
    <row r="661" spans="2:3" ht="15" customHeight="1" x14ac:dyDescent="0.25">
      <c r="B661" s="23"/>
      <c r="C661" s="23"/>
    </row>
    <row r="662" spans="2:3" ht="15" customHeight="1" x14ac:dyDescent="0.25">
      <c r="B662" s="23"/>
      <c r="C662" s="23"/>
    </row>
    <row r="663" spans="2:3" ht="15" customHeight="1" x14ac:dyDescent="0.25">
      <c r="B663" s="23"/>
      <c r="C663" s="23"/>
    </row>
    <row r="664" spans="2:3" ht="15" customHeight="1" x14ac:dyDescent="0.25">
      <c r="B664" s="23"/>
      <c r="C664" s="23"/>
    </row>
    <row r="665" spans="2:3" ht="15" customHeight="1" x14ac:dyDescent="0.25">
      <c r="B665" s="23"/>
      <c r="C665" s="23"/>
    </row>
    <row r="666" spans="2:3" ht="15" customHeight="1" x14ac:dyDescent="0.25">
      <c r="B666" s="23"/>
      <c r="C666" s="23"/>
    </row>
    <row r="667" spans="2:3" ht="15" customHeight="1" x14ac:dyDescent="0.25">
      <c r="B667" s="23"/>
      <c r="C667" s="23"/>
    </row>
    <row r="668" spans="2:3" ht="15" customHeight="1" x14ac:dyDescent="0.25">
      <c r="B668" s="23"/>
      <c r="C668" s="23"/>
    </row>
    <row r="669" spans="2:3" ht="15" customHeight="1" x14ac:dyDescent="0.25">
      <c r="B669" s="23"/>
      <c r="C669" s="23"/>
    </row>
    <row r="670" spans="2:3" ht="15" customHeight="1" x14ac:dyDescent="0.25">
      <c r="B670" s="23"/>
      <c r="C670" s="23"/>
    </row>
    <row r="671" spans="2:3" ht="15" customHeight="1" x14ac:dyDescent="0.25">
      <c r="B671" s="23"/>
      <c r="C671" s="23"/>
    </row>
    <row r="672" spans="2:3" ht="15" customHeight="1" x14ac:dyDescent="0.25">
      <c r="B672" s="23"/>
      <c r="C672" s="23"/>
    </row>
    <row r="673" spans="2:3" ht="15" customHeight="1" x14ac:dyDescent="0.25">
      <c r="B673" s="23"/>
      <c r="C673" s="23"/>
    </row>
    <row r="674" spans="2:3" ht="15" customHeight="1" x14ac:dyDescent="0.25">
      <c r="B674" s="23"/>
      <c r="C674" s="23"/>
    </row>
    <row r="675" spans="2:3" ht="15" customHeight="1" x14ac:dyDescent="0.25">
      <c r="B675" s="23"/>
      <c r="C675" s="23"/>
    </row>
    <row r="676" spans="2:3" ht="15" customHeight="1" x14ac:dyDescent="0.25">
      <c r="B676" s="23"/>
      <c r="C676" s="23"/>
    </row>
    <row r="677" spans="2:3" ht="15" customHeight="1" x14ac:dyDescent="0.25">
      <c r="B677" s="23"/>
      <c r="C677" s="23"/>
    </row>
    <row r="678" spans="2:3" ht="15" customHeight="1" x14ac:dyDescent="0.25">
      <c r="B678" s="23"/>
      <c r="C678" s="23"/>
    </row>
    <row r="679" spans="2:3" ht="15" customHeight="1" x14ac:dyDescent="0.25">
      <c r="B679" s="23"/>
      <c r="C679" s="23"/>
    </row>
    <row r="680" spans="2:3" ht="15" customHeight="1" x14ac:dyDescent="0.25">
      <c r="B680" s="23"/>
      <c r="C680" s="23"/>
    </row>
    <row r="681" spans="2:3" ht="15" customHeight="1" x14ac:dyDescent="0.25">
      <c r="B681" s="23"/>
      <c r="C681" s="23"/>
    </row>
    <row r="682" spans="2:3" ht="15" customHeight="1" x14ac:dyDescent="0.25">
      <c r="B682" s="23"/>
      <c r="C682" s="23"/>
    </row>
    <row r="683" spans="2:3" ht="15" customHeight="1" x14ac:dyDescent="0.25">
      <c r="B683" s="23"/>
      <c r="C683" s="23"/>
    </row>
    <row r="684" spans="2:3" ht="15" customHeight="1" x14ac:dyDescent="0.25">
      <c r="B684" s="23"/>
      <c r="C684" s="23"/>
    </row>
    <row r="685" spans="2:3" ht="15" customHeight="1" x14ac:dyDescent="0.25">
      <c r="B685" s="23"/>
      <c r="C685" s="23"/>
    </row>
    <row r="686" spans="2:3" ht="15" customHeight="1" x14ac:dyDescent="0.25">
      <c r="B686" s="23"/>
      <c r="C686" s="23"/>
    </row>
    <row r="687" spans="2:3" ht="15" customHeight="1" x14ac:dyDescent="0.25">
      <c r="B687" s="23"/>
      <c r="C687" s="23"/>
    </row>
    <row r="688" spans="2:3" ht="15" customHeight="1" x14ac:dyDescent="0.25">
      <c r="B688" s="23"/>
      <c r="C688" s="23"/>
    </row>
    <row r="689" spans="2:3" ht="15" customHeight="1" x14ac:dyDescent="0.25">
      <c r="B689" s="23"/>
      <c r="C689" s="23"/>
    </row>
    <row r="690" spans="2:3" ht="15" customHeight="1" x14ac:dyDescent="0.25">
      <c r="B690" s="23"/>
      <c r="C690" s="23"/>
    </row>
    <row r="691" spans="2:3" ht="15" customHeight="1" x14ac:dyDescent="0.25">
      <c r="B691" s="23"/>
      <c r="C691" s="23"/>
    </row>
    <row r="692" spans="2:3" ht="15" customHeight="1" x14ac:dyDescent="0.25">
      <c r="B692" s="23"/>
      <c r="C692" s="23"/>
    </row>
    <row r="693" spans="2:3" ht="15" customHeight="1" x14ac:dyDescent="0.25">
      <c r="B693" s="23"/>
      <c r="C693" s="23"/>
    </row>
    <row r="694" spans="2:3" ht="15" customHeight="1" x14ac:dyDescent="0.25">
      <c r="B694" s="23"/>
      <c r="C694" s="23"/>
    </row>
    <row r="695" spans="2:3" ht="15" customHeight="1" x14ac:dyDescent="0.25">
      <c r="B695" s="23"/>
      <c r="C695" s="23"/>
    </row>
    <row r="696" spans="2:3" ht="15" customHeight="1" x14ac:dyDescent="0.25">
      <c r="B696" s="23"/>
      <c r="C696" s="23"/>
    </row>
    <row r="697" spans="2:3" ht="15" customHeight="1" x14ac:dyDescent="0.25">
      <c r="B697" s="23"/>
      <c r="C697" s="23"/>
    </row>
    <row r="698" spans="2:3" ht="15" customHeight="1" x14ac:dyDescent="0.25">
      <c r="B698" s="23"/>
      <c r="C698" s="23"/>
    </row>
    <row r="699" spans="2:3" ht="15" customHeight="1" x14ac:dyDescent="0.25">
      <c r="B699" s="23"/>
      <c r="C699" s="23"/>
    </row>
    <row r="700" spans="2:3" ht="15" customHeight="1" x14ac:dyDescent="0.25">
      <c r="B700" s="23"/>
      <c r="C700" s="23"/>
    </row>
    <row r="701" spans="2:3" ht="15" customHeight="1" x14ac:dyDescent="0.25">
      <c r="B701" s="23"/>
      <c r="C701" s="23"/>
    </row>
    <row r="702" spans="2:3" ht="15" customHeight="1" x14ac:dyDescent="0.25">
      <c r="B702" s="23"/>
      <c r="C702" s="23"/>
    </row>
    <row r="703" spans="2:3" ht="15" customHeight="1" x14ac:dyDescent="0.25">
      <c r="B703" s="23"/>
      <c r="C703" s="23"/>
    </row>
    <row r="704" spans="2:3" ht="15" customHeight="1" x14ac:dyDescent="0.25">
      <c r="B704" s="23"/>
      <c r="C704" s="23"/>
    </row>
    <row r="705" spans="2:3" ht="15" customHeight="1" x14ac:dyDescent="0.25">
      <c r="B705" s="23"/>
      <c r="C705" s="23"/>
    </row>
    <row r="706" spans="2:3" ht="15" customHeight="1" x14ac:dyDescent="0.25">
      <c r="B706" s="23"/>
      <c r="C706" s="23"/>
    </row>
    <row r="707" spans="2:3" ht="15" customHeight="1" x14ac:dyDescent="0.25">
      <c r="B707" s="23"/>
      <c r="C707" s="23"/>
    </row>
    <row r="708" spans="2:3" ht="15" customHeight="1" x14ac:dyDescent="0.25">
      <c r="B708" s="23"/>
      <c r="C708" s="23"/>
    </row>
    <row r="709" spans="2:3" ht="15" customHeight="1" x14ac:dyDescent="0.25">
      <c r="B709" s="23"/>
      <c r="C709" s="23"/>
    </row>
    <row r="710" spans="2:3" ht="15" customHeight="1" x14ac:dyDescent="0.25">
      <c r="B710" s="23"/>
      <c r="C710" s="23"/>
    </row>
    <row r="711" spans="2:3" ht="15" customHeight="1" x14ac:dyDescent="0.25">
      <c r="B711" s="23"/>
      <c r="C711" s="23"/>
    </row>
    <row r="712" spans="2:3" ht="15" customHeight="1" x14ac:dyDescent="0.25">
      <c r="B712" s="23"/>
      <c r="C712" s="23"/>
    </row>
    <row r="713" spans="2:3" ht="15" customHeight="1" x14ac:dyDescent="0.25">
      <c r="B713" s="23"/>
      <c r="C713" s="23"/>
    </row>
    <row r="714" spans="2:3" ht="15" customHeight="1" x14ac:dyDescent="0.25">
      <c r="B714" s="23"/>
      <c r="C714" s="23"/>
    </row>
    <row r="715" spans="2:3" ht="15" customHeight="1" x14ac:dyDescent="0.25">
      <c r="B715" s="23"/>
      <c r="C715" s="23"/>
    </row>
    <row r="716" spans="2:3" ht="15" customHeight="1" x14ac:dyDescent="0.25">
      <c r="B716" s="23"/>
      <c r="C716" s="23"/>
    </row>
    <row r="717" spans="2:3" ht="15" customHeight="1" x14ac:dyDescent="0.25">
      <c r="B717" s="23"/>
      <c r="C717" s="23"/>
    </row>
    <row r="718" spans="2:3" ht="15" customHeight="1" x14ac:dyDescent="0.25">
      <c r="B718" s="23"/>
      <c r="C718" s="23"/>
    </row>
    <row r="719" spans="2:3" ht="15" customHeight="1" x14ac:dyDescent="0.25">
      <c r="B719" s="23"/>
      <c r="C719" s="23"/>
    </row>
    <row r="720" spans="2:3" ht="15" customHeight="1" x14ac:dyDescent="0.25">
      <c r="B720" s="23"/>
      <c r="C720" s="23"/>
    </row>
    <row r="721" spans="2:3" ht="15" customHeight="1" x14ac:dyDescent="0.25">
      <c r="B721" s="23"/>
      <c r="C721" s="23"/>
    </row>
    <row r="722" spans="2:3" ht="15" customHeight="1" x14ac:dyDescent="0.25">
      <c r="B722" s="23"/>
      <c r="C722" s="23"/>
    </row>
    <row r="723" spans="2:3" ht="15" customHeight="1" x14ac:dyDescent="0.25">
      <c r="B723" s="23"/>
      <c r="C723" s="23"/>
    </row>
    <row r="724" spans="2:3" ht="15" customHeight="1" x14ac:dyDescent="0.25">
      <c r="B724" s="23"/>
      <c r="C724" s="23"/>
    </row>
    <row r="725" spans="2:3" ht="15" customHeight="1" x14ac:dyDescent="0.25">
      <c r="B725" s="23"/>
      <c r="C725" s="23"/>
    </row>
    <row r="726" spans="2:3" ht="15" customHeight="1" x14ac:dyDescent="0.25">
      <c r="B726" s="23"/>
      <c r="C726" s="23"/>
    </row>
    <row r="727" spans="2:3" ht="15" customHeight="1" x14ac:dyDescent="0.25">
      <c r="B727" s="23"/>
      <c r="C727" s="23"/>
    </row>
    <row r="728" spans="2:3" ht="15" customHeight="1" x14ac:dyDescent="0.25">
      <c r="B728" s="23"/>
      <c r="C728" s="23"/>
    </row>
    <row r="729" spans="2:3" ht="15" customHeight="1" x14ac:dyDescent="0.25">
      <c r="B729" s="23"/>
      <c r="C729" s="23"/>
    </row>
    <row r="730" spans="2:3" ht="15" customHeight="1" x14ac:dyDescent="0.25">
      <c r="B730" s="23"/>
      <c r="C730" s="23"/>
    </row>
    <row r="731" spans="2:3" ht="15" customHeight="1" x14ac:dyDescent="0.25">
      <c r="B731" s="23"/>
      <c r="C731" s="23"/>
    </row>
    <row r="732" spans="2:3" ht="15" customHeight="1" x14ac:dyDescent="0.25">
      <c r="B732" s="23"/>
      <c r="C732" s="23"/>
    </row>
    <row r="733" spans="2:3" ht="15" customHeight="1" x14ac:dyDescent="0.25">
      <c r="B733" s="23"/>
      <c r="C733" s="23"/>
    </row>
    <row r="734" spans="2:3" ht="15" customHeight="1" x14ac:dyDescent="0.25">
      <c r="B734" s="23"/>
      <c r="C734" s="23"/>
    </row>
    <row r="735" spans="2:3" ht="15" customHeight="1" x14ac:dyDescent="0.25">
      <c r="B735" s="23"/>
      <c r="C735" s="23"/>
    </row>
    <row r="736" spans="2:3" ht="15" customHeight="1" x14ac:dyDescent="0.25">
      <c r="B736" s="23"/>
      <c r="C736" s="23"/>
    </row>
    <row r="737" spans="2:3" ht="15" customHeight="1" x14ac:dyDescent="0.25">
      <c r="B737" s="23"/>
      <c r="C737" s="23"/>
    </row>
    <row r="738" spans="2:3" ht="15" customHeight="1" x14ac:dyDescent="0.25">
      <c r="B738" s="23"/>
      <c r="C738" s="23"/>
    </row>
    <row r="739" spans="2:3" ht="15" customHeight="1" x14ac:dyDescent="0.25">
      <c r="B739" s="23"/>
      <c r="C739" s="23"/>
    </row>
    <row r="740" spans="2:3" ht="15" customHeight="1" x14ac:dyDescent="0.25">
      <c r="B740" s="23"/>
      <c r="C740" s="23"/>
    </row>
    <row r="741" spans="2:3" ht="15" customHeight="1" x14ac:dyDescent="0.25">
      <c r="B741" s="23"/>
      <c r="C741" s="23"/>
    </row>
    <row r="742" spans="2:3" ht="15" customHeight="1" x14ac:dyDescent="0.25">
      <c r="B742" s="23"/>
      <c r="C742" s="23"/>
    </row>
    <row r="743" spans="2:3" ht="15" customHeight="1" x14ac:dyDescent="0.25">
      <c r="B743" s="23"/>
      <c r="C743" s="23"/>
    </row>
    <row r="744" spans="2:3" ht="15" customHeight="1" x14ac:dyDescent="0.25">
      <c r="B744" s="23"/>
      <c r="C744" s="23"/>
    </row>
    <row r="745" spans="2:3" ht="15" customHeight="1" x14ac:dyDescent="0.25">
      <c r="B745" s="23"/>
      <c r="C745" s="23"/>
    </row>
    <row r="746" spans="2:3" ht="15" customHeight="1" x14ac:dyDescent="0.25">
      <c r="B746" s="23"/>
      <c r="C746" s="23"/>
    </row>
    <row r="747" spans="2:3" ht="15" customHeight="1" x14ac:dyDescent="0.25">
      <c r="B747" s="23"/>
      <c r="C747" s="23"/>
    </row>
    <row r="748" spans="2:3" ht="15" customHeight="1" x14ac:dyDescent="0.25">
      <c r="B748" s="23"/>
      <c r="C748" s="23"/>
    </row>
    <row r="749" spans="2:3" ht="15" customHeight="1" x14ac:dyDescent="0.25">
      <c r="B749" s="23"/>
      <c r="C749" s="23"/>
    </row>
    <row r="750" spans="2:3" ht="15" customHeight="1" x14ac:dyDescent="0.25">
      <c r="B750" s="23"/>
      <c r="C750" s="23"/>
    </row>
    <row r="751" spans="2:3" ht="15" customHeight="1" x14ac:dyDescent="0.25">
      <c r="B751" s="23"/>
      <c r="C751" s="23"/>
    </row>
    <row r="752" spans="2:3" ht="15" customHeight="1" x14ac:dyDescent="0.25">
      <c r="B752" s="23"/>
      <c r="C752" s="23"/>
    </row>
    <row r="753" spans="2:3" ht="15" customHeight="1" x14ac:dyDescent="0.25">
      <c r="B753" s="23"/>
      <c r="C753" s="23"/>
    </row>
    <row r="754" spans="2:3" ht="15" customHeight="1" x14ac:dyDescent="0.25">
      <c r="B754" s="23"/>
      <c r="C754" s="23"/>
    </row>
    <row r="755" spans="2:3" ht="15" customHeight="1" x14ac:dyDescent="0.25">
      <c r="B755" s="23"/>
      <c r="C755" s="23"/>
    </row>
    <row r="756" spans="2:3" ht="15" customHeight="1" x14ac:dyDescent="0.25">
      <c r="B756" s="23"/>
      <c r="C756" s="23"/>
    </row>
    <row r="757" spans="2:3" ht="15" customHeight="1" x14ac:dyDescent="0.25">
      <c r="B757" s="23"/>
      <c r="C757" s="23"/>
    </row>
    <row r="758" spans="2:3" ht="15" customHeight="1" x14ac:dyDescent="0.25">
      <c r="B758" s="23"/>
      <c r="C758" s="23"/>
    </row>
    <row r="759" spans="2:3" ht="15" customHeight="1" x14ac:dyDescent="0.25">
      <c r="B759" s="23"/>
      <c r="C759" s="23"/>
    </row>
    <row r="760" spans="2:3" ht="15" customHeight="1" x14ac:dyDescent="0.25">
      <c r="B760" s="23"/>
      <c r="C760" s="23"/>
    </row>
    <row r="761" spans="2:3" ht="15" customHeight="1" x14ac:dyDescent="0.25">
      <c r="B761" s="23"/>
      <c r="C761" s="23"/>
    </row>
    <row r="762" spans="2:3" ht="15" customHeight="1" x14ac:dyDescent="0.25">
      <c r="B762" s="23"/>
      <c r="C762" s="23"/>
    </row>
    <row r="763" spans="2:3" ht="15" customHeight="1" x14ac:dyDescent="0.25">
      <c r="B763" s="23"/>
      <c r="C763" s="23"/>
    </row>
    <row r="764" spans="2:3" ht="15" customHeight="1" x14ac:dyDescent="0.25">
      <c r="B764" s="23"/>
      <c r="C764" s="23"/>
    </row>
    <row r="765" spans="2:3" ht="15" customHeight="1" x14ac:dyDescent="0.25">
      <c r="B765" s="23"/>
      <c r="C765" s="23"/>
    </row>
    <row r="766" spans="2:3" ht="15" customHeight="1" x14ac:dyDescent="0.25">
      <c r="B766" s="23"/>
      <c r="C766" s="23"/>
    </row>
    <row r="767" spans="2:3" ht="15" customHeight="1" x14ac:dyDescent="0.25">
      <c r="B767" s="23"/>
      <c r="C767" s="23"/>
    </row>
    <row r="768" spans="2:3" ht="15" customHeight="1" x14ac:dyDescent="0.25">
      <c r="B768" s="23"/>
      <c r="C768" s="23"/>
    </row>
    <row r="769" spans="2:3" ht="15" customHeight="1" x14ac:dyDescent="0.25">
      <c r="B769" s="23"/>
      <c r="C769" s="23"/>
    </row>
    <row r="770" spans="2:3" ht="15" customHeight="1" x14ac:dyDescent="0.25">
      <c r="B770" s="23"/>
      <c r="C770" s="23"/>
    </row>
    <row r="771" spans="2:3" ht="15" customHeight="1" x14ac:dyDescent="0.25">
      <c r="B771" s="23"/>
      <c r="C771" s="23"/>
    </row>
    <row r="772" spans="2:3" ht="15" customHeight="1" x14ac:dyDescent="0.25">
      <c r="B772" s="23"/>
      <c r="C772" s="23"/>
    </row>
    <row r="773" spans="2:3" ht="15" customHeight="1" x14ac:dyDescent="0.25">
      <c r="B773" s="23"/>
      <c r="C773" s="23"/>
    </row>
    <row r="774" spans="2:3" ht="15" customHeight="1" x14ac:dyDescent="0.25">
      <c r="B774" s="23"/>
      <c r="C774" s="23"/>
    </row>
    <row r="775" spans="2:3" ht="15" customHeight="1" x14ac:dyDescent="0.25">
      <c r="B775" s="23"/>
      <c r="C775" s="23"/>
    </row>
    <row r="776" spans="2:3" ht="15" customHeight="1" x14ac:dyDescent="0.25">
      <c r="B776" s="23"/>
      <c r="C776" s="23"/>
    </row>
    <row r="777" spans="2:3" ht="15" customHeight="1" x14ac:dyDescent="0.25">
      <c r="B777" s="23"/>
      <c r="C777" s="23"/>
    </row>
    <row r="778" spans="2:3" ht="15" customHeight="1" x14ac:dyDescent="0.25">
      <c r="B778" s="23"/>
      <c r="C778" s="23"/>
    </row>
    <row r="779" spans="2:3" ht="15" customHeight="1" x14ac:dyDescent="0.25">
      <c r="B779" s="23"/>
      <c r="C779" s="23"/>
    </row>
    <row r="780" spans="2:3" ht="15" customHeight="1" x14ac:dyDescent="0.25">
      <c r="B780" s="23"/>
      <c r="C780" s="23"/>
    </row>
    <row r="781" spans="2:3" ht="15" customHeight="1" x14ac:dyDescent="0.25">
      <c r="B781" s="23"/>
      <c r="C781" s="23"/>
    </row>
    <row r="782" spans="2:3" ht="15" customHeight="1" x14ac:dyDescent="0.25">
      <c r="B782" s="23"/>
      <c r="C782" s="23"/>
    </row>
    <row r="783" spans="2:3" ht="15" customHeight="1" x14ac:dyDescent="0.25">
      <c r="B783" s="23"/>
      <c r="C783" s="23"/>
    </row>
    <row r="784" spans="2:3" ht="15" customHeight="1" x14ac:dyDescent="0.25">
      <c r="B784" s="23"/>
      <c r="C784" s="23"/>
    </row>
    <row r="785" spans="2:3" ht="15" customHeight="1" x14ac:dyDescent="0.25">
      <c r="B785" s="23"/>
      <c r="C785" s="23"/>
    </row>
    <row r="786" spans="2:3" ht="15" customHeight="1" x14ac:dyDescent="0.25">
      <c r="B786" s="23"/>
      <c r="C786" s="23"/>
    </row>
    <row r="787" spans="2:3" ht="15" customHeight="1" x14ac:dyDescent="0.25">
      <c r="B787" s="23"/>
      <c r="C787" s="23"/>
    </row>
    <row r="788" spans="2:3" ht="15" customHeight="1" x14ac:dyDescent="0.25">
      <c r="B788" s="23"/>
      <c r="C788" s="23"/>
    </row>
    <row r="789" spans="2:3" ht="15" customHeight="1" x14ac:dyDescent="0.25">
      <c r="B789" s="23"/>
      <c r="C789" s="23"/>
    </row>
    <row r="790" spans="2:3" ht="15" customHeight="1" x14ac:dyDescent="0.25">
      <c r="B790" s="23"/>
      <c r="C790" s="23"/>
    </row>
    <row r="791" spans="2:3" ht="15" customHeight="1" x14ac:dyDescent="0.25">
      <c r="B791" s="23"/>
      <c r="C791" s="23"/>
    </row>
    <row r="792" spans="2:3" ht="15" customHeight="1" x14ac:dyDescent="0.25">
      <c r="B792" s="23"/>
      <c r="C792" s="23"/>
    </row>
    <row r="793" spans="2:3" ht="15" customHeight="1" x14ac:dyDescent="0.25">
      <c r="B793" s="23"/>
      <c r="C793" s="23"/>
    </row>
    <row r="794" spans="2:3" ht="15" customHeight="1" x14ac:dyDescent="0.25">
      <c r="B794" s="23"/>
      <c r="C794" s="23"/>
    </row>
    <row r="795" spans="2:3" ht="15" customHeight="1" x14ac:dyDescent="0.25">
      <c r="B795" s="23"/>
      <c r="C795" s="23"/>
    </row>
    <row r="796" spans="2:3" ht="15" customHeight="1" x14ac:dyDescent="0.25">
      <c r="B796" s="23"/>
      <c r="C796" s="23"/>
    </row>
    <row r="797" spans="2:3" ht="15" customHeight="1" x14ac:dyDescent="0.25">
      <c r="B797" s="23"/>
      <c r="C797" s="23"/>
    </row>
    <row r="798" spans="2:3" ht="15" customHeight="1" x14ac:dyDescent="0.25">
      <c r="B798" s="23"/>
      <c r="C798" s="23"/>
    </row>
    <row r="799" spans="2:3" ht="15" customHeight="1" x14ac:dyDescent="0.25">
      <c r="B799" s="23"/>
      <c r="C799" s="23"/>
    </row>
    <row r="800" spans="2:3" ht="15" customHeight="1" x14ac:dyDescent="0.25">
      <c r="B800" s="23"/>
      <c r="C800" s="23"/>
    </row>
    <row r="801" spans="2:3" ht="15" customHeight="1" x14ac:dyDescent="0.25">
      <c r="B801" s="23"/>
      <c r="C801" s="23"/>
    </row>
    <row r="802" spans="2:3" ht="15" customHeight="1" x14ac:dyDescent="0.25">
      <c r="B802" s="23"/>
      <c r="C802" s="23"/>
    </row>
    <row r="803" spans="2:3" ht="15" customHeight="1" x14ac:dyDescent="0.25">
      <c r="B803" s="23"/>
      <c r="C803" s="23"/>
    </row>
    <row r="804" spans="2:3" ht="15" customHeight="1" x14ac:dyDescent="0.25">
      <c r="B804" s="23"/>
      <c r="C804" s="23"/>
    </row>
    <row r="805" spans="2:3" ht="15" customHeight="1" x14ac:dyDescent="0.25">
      <c r="B805" s="23"/>
      <c r="C805" s="23"/>
    </row>
    <row r="806" spans="2:3" ht="15" customHeight="1" x14ac:dyDescent="0.25">
      <c r="B806" s="23"/>
      <c r="C806" s="23"/>
    </row>
    <row r="807" spans="2:3" ht="15" customHeight="1" x14ac:dyDescent="0.25">
      <c r="B807" s="23"/>
      <c r="C807" s="23"/>
    </row>
    <row r="808" spans="2:3" ht="15" customHeight="1" x14ac:dyDescent="0.25">
      <c r="B808" s="23"/>
      <c r="C808" s="23"/>
    </row>
    <row r="809" spans="2:3" ht="15" customHeight="1" x14ac:dyDescent="0.25">
      <c r="B809" s="23"/>
      <c r="C809" s="23"/>
    </row>
    <row r="810" spans="2:3" ht="15" customHeight="1" x14ac:dyDescent="0.25">
      <c r="B810" s="23"/>
      <c r="C810" s="23"/>
    </row>
    <row r="811" spans="2:3" ht="15" customHeight="1" x14ac:dyDescent="0.25">
      <c r="B811" s="23"/>
      <c r="C811" s="23"/>
    </row>
    <row r="812" spans="2:3" ht="15" customHeight="1" x14ac:dyDescent="0.25">
      <c r="B812" s="23"/>
      <c r="C812" s="23"/>
    </row>
    <row r="813" spans="2:3" ht="15" customHeight="1" x14ac:dyDescent="0.25">
      <c r="B813" s="23"/>
      <c r="C813" s="23"/>
    </row>
    <row r="814" spans="2:3" ht="15" customHeight="1" x14ac:dyDescent="0.25">
      <c r="B814" s="23"/>
      <c r="C814" s="23"/>
    </row>
    <row r="815" spans="2:3" ht="15" customHeight="1" x14ac:dyDescent="0.25">
      <c r="B815" s="23"/>
      <c r="C815" s="23"/>
    </row>
    <row r="816" spans="2:3" ht="15" customHeight="1" x14ac:dyDescent="0.25">
      <c r="B816" s="23"/>
      <c r="C816" s="23"/>
    </row>
    <row r="817" spans="2:3" ht="15" customHeight="1" x14ac:dyDescent="0.25">
      <c r="B817" s="23"/>
      <c r="C817" s="23"/>
    </row>
    <row r="818" spans="2:3" ht="15" customHeight="1" x14ac:dyDescent="0.25">
      <c r="B818" s="23"/>
      <c r="C818" s="23"/>
    </row>
    <row r="819" spans="2:3" ht="15" customHeight="1" x14ac:dyDescent="0.25">
      <c r="B819" s="23"/>
      <c r="C819" s="23"/>
    </row>
    <row r="820" spans="2:3" ht="15" customHeight="1" x14ac:dyDescent="0.25">
      <c r="B820" s="23"/>
      <c r="C820" s="23"/>
    </row>
    <row r="821" spans="2:3" ht="15" customHeight="1" x14ac:dyDescent="0.25">
      <c r="B821" s="23"/>
      <c r="C821" s="23"/>
    </row>
    <row r="822" spans="2:3" ht="15" customHeight="1" x14ac:dyDescent="0.25">
      <c r="B822" s="23"/>
      <c r="C822" s="23"/>
    </row>
    <row r="823" spans="2:3" ht="15" customHeight="1" x14ac:dyDescent="0.25">
      <c r="B823" s="23"/>
      <c r="C823" s="23"/>
    </row>
    <row r="824" spans="2:3" ht="15" customHeight="1" x14ac:dyDescent="0.25">
      <c r="B824" s="23"/>
      <c r="C824" s="23"/>
    </row>
    <row r="825" spans="2:3" ht="15" customHeight="1" x14ac:dyDescent="0.25">
      <c r="B825" s="23"/>
      <c r="C825" s="23"/>
    </row>
    <row r="826" spans="2:3" ht="15" customHeight="1" x14ac:dyDescent="0.25">
      <c r="B826" s="23"/>
      <c r="C826" s="23"/>
    </row>
    <row r="827" spans="2:3" ht="15" customHeight="1" x14ac:dyDescent="0.25">
      <c r="B827" s="23"/>
      <c r="C827" s="23"/>
    </row>
    <row r="828" spans="2:3" ht="15" customHeight="1" x14ac:dyDescent="0.25">
      <c r="B828" s="23"/>
      <c r="C828" s="23"/>
    </row>
    <row r="829" spans="2:3" ht="15" customHeight="1" x14ac:dyDescent="0.25">
      <c r="B829" s="23"/>
      <c r="C829" s="23"/>
    </row>
    <row r="830" spans="2:3" ht="15" customHeight="1" x14ac:dyDescent="0.25">
      <c r="B830" s="23"/>
      <c r="C830" s="23"/>
    </row>
    <row r="831" spans="2:3" ht="15" customHeight="1" x14ac:dyDescent="0.25">
      <c r="B831" s="23"/>
      <c r="C831" s="23"/>
    </row>
    <row r="832" spans="2:3" ht="15" customHeight="1" x14ac:dyDescent="0.25">
      <c r="B832" s="23"/>
      <c r="C832" s="23"/>
    </row>
    <row r="833" spans="2:3" ht="15" customHeight="1" x14ac:dyDescent="0.25">
      <c r="B833" s="23"/>
      <c r="C833" s="23"/>
    </row>
    <row r="834" spans="2:3" ht="15" customHeight="1" x14ac:dyDescent="0.25">
      <c r="B834" s="23"/>
      <c r="C834" s="23"/>
    </row>
    <row r="835" spans="2:3" ht="15" customHeight="1" x14ac:dyDescent="0.25">
      <c r="B835" s="23"/>
      <c r="C835" s="23"/>
    </row>
    <row r="836" spans="2:3" ht="15" customHeight="1" x14ac:dyDescent="0.25">
      <c r="B836" s="23"/>
      <c r="C836" s="23"/>
    </row>
    <row r="837" spans="2:3" ht="15" customHeight="1" x14ac:dyDescent="0.25">
      <c r="B837" s="23"/>
      <c r="C837" s="23"/>
    </row>
    <row r="838" spans="2:3" ht="15" customHeight="1" x14ac:dyDescent="0.25">
      <c r="B838" s="23"/>
      <c r="C838" s="23"/>
    </row>
    <row r="839" spans="2:3" ht="15" customHeight="1" x14ac:dyDescent="0.25">
      <c r="B839" s="23"/>
      <c r="C839" s="23"/>
    </row>
    <row r="840" spans="2:3" ht="15" customHeight="1" x14ac:dyDescent="0.25">
      <c r="B840" s="23"/>
      <c r="C840" s="23"/>
    </row>
    <row r="841" spans="2:3" ht="15" customHeight="1" x14ac:dyDescent="0.25">
      <c r="B841" s="23"/>
      <c r="C841" s="23"/>
    </row>
    <row r="842" spans="2:3" ht="15" customHeight="1" x14ac:dyDescent="0.25">
      <c r="B842" s="23"/>
      <c r="C842" s="23"/>
    </row>
    <row r="843" spans="2:3" ht="15" customHeight="1" x14ac:dyDescent="0.25">
      <c r="B843" s="23"/>
      <c r="C843" s="23"/>
    </row>
    <row r="844" spans="2:3" ht="15" customHeight="1" x14ac:dyDescent="0.25">
      <c r="B844" s="23"/>
      <c r="C844" s="23"/>
    </row>
    <row r="845" spans="2:3" ht="15" customHeight="1" x14ac:dyDescent="0.25">
      <c r="B845" s="23"/>
      <c r="C845" s="23"/>
    </row>
    <row r="846" spans="2:3" ht="15" customHeight="1" x14ac:dyDescent="0.25">
      <c r="B846" s="23"/>
      <c r="C846" s="23"/>
    </row>
    <row r="847" spans="2:3" ht="15" customHeight="1" x14ac:dyDescent="0.25">
      <c r="B847" s="23"/>
      <c r="C847" s="23"/>
    </row>
    <row r="848" spans="2:3" ht="15" customHeight="1" x14ac:dyDescent="0.25">
      <c r="B848" s="23"/>
      <c r="C848" s="23"/>
    </row>
    <row r="849" spans="2:3" ht="15" customHeight="1" x14ac:dyDescent="0.25">
      <c r="B849" s="23"/>
      <c r="C849" s="23"/>
    </row>
    <row r="850" spans="2:3" ht="15" customHeight="1" x14ac:dyDescent="0.25">
      <c r="B850" s="23"/>
      <c r="C850" s="23"/>
    </row>
    <row r="851" spans="2:3" ht="15" customHeight="1" x14ac:dyDescent="0.25">
      <c r="B851" s="23"/>
      <c r="C851" s="23"/>
    </row>
    <row r="852" spans="2:3" ht="15" customHeight="1" x14ac:dyDescent="0.25">
      <c r="B852" s="23"/>
      <c r="C852" s="23"/>
    </row>
    <row r="853" spans="2:3" ht="15" customHeight="1" x14ac:dyDescent="0.25">
      <c r="B853" s="23"/>
      <c r="C853" s="23"/>
    </row>
    <row r="854" spans="2:3" ht="15" customHeight="1" x14ac:dyDescent="0.25">
      <c r="B854" s="23"/>
      <c r="C854" s="23"/>
    </row>
    <row r="855" spans="2:3" ht="15" customHeight="1" x14ac:dyDescent="0.25">
      <c r="B855" s="23"/>
      <c r="C855" s="23"/>
    </row>
    <row r="856" spans="2:3" ht="15" customHeight="1" x14ac:dyDescent="0.25">
      <c r="B856" s="23"/>
      <c r="C856" s="23"/>
    </row>
    <row r="857" spans="2:3" ht="15" customHeight="1" x14ac:dyDescent="0.25">
      <c r="B857" s="23"/>
      <c r="C857" s="23"/>
    </row>
    <row r="858" spans="2:3" ht="15" customHeight="1" x14ac:dyDescent="0.25">
      <c r="B858" s="23"/>
      <c r="C858" s="23"/>
    </row>
    <row r="859" spans="2:3" ht="15" customHeight="1" x14ac:dyDescent="0.25">
      <c r="B859" s="23"/>
      <c r="C859" s="23"/>
    </row>
    <row r="860" spans="2:3" ht="15" customHeight="1" x14ac:dyDescent="0.25">
      <c r="B860" s="23"/>
      <c r="C860" s="23"/>
    </row>
    <row r="861" spans="2:3" ht="15" customHeight="1" x14ac:dyDescent="0.25">
      <c r="B861" s="23"/>
      <c r="C861" s="23"/>
    </row>
    <row r="862" spans="2:3" ht="15" customHeight="1" x14ac:dyDescent="0.25">
      <c r="B862" s="23"/>
      <c r="C862" s="23"/>
    </row>
    <row r="863" spans="2:3" ht="15" customHeight="1" x14ac:dyDescent="0.25">
      <c r="B863" s="23"/>
      <c r="C863" s="23"/>
    </row>
    <row r="864" spans="2:3" ht="15" customHeight="1" x14ac:dyDescent="0.25">
      <c r="B864" s="23"/>
      <c r="C864" s="23"/>
    </row>
    <row r="865" spans="2:3" ht="15" customHeight="1" x14ac:dyDescent="0.25">
      <c r="B865" s="23"/>
      <c r="C865" s="23"/>
    </row>
    <row r="866" spans="2:3" ht="15" customHeight="1" x14ac:dyDescent="0.25">
      <c r="B866" s="23"/>
      <c r="C866" s="23"/>
    </row>
    <row r="867" spans="2:3" ht="15" customHeight="1" x14ac:dyDescent="0.25">
      <c r="B867" s="23"/>
      <c r="C867" s="23"/>
    </row>
    <row r="868" spans="2:3" ht="15" customHeight="1" x14ac:dyDescent="0.25">
      <c r="B868" s="23"/>
      <c r="C868" s="23"/>
    </row>
    <row r="869" spans="2:3" ht="15" customHeight="1" x14ac:dyDescent="0.25">
      <c r="B869" s="23"/>
      <c r="C869" s="23"/>
    </row>
    <row r="870" spans="2:3" ht="15" customHeight="1" x14ac:dyDescent="0.25">
      <c r="B870" s="23"/>
      <c r="C870" s="23"/>
    </row>
    <row r="871" spans="2:3" ht="15" customHeight="1" x14ac:dyDescent="0.25">
      <c r="B871" s="23"/>
      <c r="C871" s="23"/>
    </row>
    <row r="872" spans="2:3" ht="15" customHeight="1" x14ac:dyDescent="0.25">
      <c r="B872" s="23"/>
      <c r="C872" s="23"/>
    </row>
    <row r="873" spans="2:3" ht="15" customHeight="1" x14ac:dyDescent="0.25">
      <c r="B873" s="23"/>
      <c r="C873" s="23"/>
    </row>
    <row r="874" spans="2:3" ht="15" customHeight="1" x14ac:dyDescent="0.25">
      <c r="B874" s="23"/>
      <c r="C874" s="23"/>
    </row>
    <row r="875" spans="2:3" ht="15" customHeight="1" x14ac:dyDescent="0.25">
      <c r="B875" s="23"/>
      <c r="C875" s="23"/>
    </row>
    <row r="876" spans="2:3" ht="15" customHeight="1" x14ac:dyDescent="0.25">
      <c r="B876" s="23"/>
      <c r="C876" s="23"/>
    </row>
    <row r="877" spans="2:3" ht="15" customHeight="1" x14ac:dyDescent="0.25">
      <c r="B877" s="23"/>
      <c r="C877" s="23"/>
    </row>
    <row r="878" spans="2:3" ht="15" customHeight="1" x14ac:dyDescent="0.25">
      <c r="B878" s="23"/>
      <c r="C878" s="23"/>
    </row>
    <row r="879" spans="2:3" ht="15" customHeight="1" x14ac:dyDescent="0.25">
      <c r="B879" s="23"/>
      <c r="C879" s="23"/>
    </row>
    <row r="880" spans="2:3" ht="15" customHeight="1" x14ac:dyDescent="0.25">
      <c r="B880" s="23"/>
      <c r="C880" s="23"/>
    </row>
    <row r="881" spans="2:3" ht="15" customHeight="1" x14ac:dyDescent="0.25">
      <c r="B881" s="23"/>
      <c r="C881" s="23"/>
    </row>
    <row r="882" spans="2:3" ht="15" customHeight="1" x14ac:dyDescent="0.25">
      <c r="B882" s="23"/>
      <c r="C882" s="23"/>
    </row>
    <row r="883" spans="2:3" ht="15" customHeight="1" x14ac:dyDescent="0.25">
      <c r="B883" s="23"/>
      <c r="C883" s="23"/>
    </row>
    <row r="884" spans="2:3" ht="15" customHeight="1" x14ac:dyDescent="0.25">
      <c r="B884" s="23"/>
      <c r="C884" s="23"/>
    </row>
    <row r="885" spans="2:3" ht="15" customHeight="1" x14ac:dyDescent="0.25">
      <c r="B885" s="23"/>
      <c r="C885" s="23"/>
    </row>
    <row r="886" spans="2:3" ht="15" customHeight="1" x14ac:dyDescent="0.25">
      <c r="B886" s="23"/>
      <c r="C886" s="23"/>
    </row>
    <row r="887" spans="2:3" ht="15" customHeight="1" x14ac:dyDescent="0.25">
      <c r="B887" s="23"/>
      <c r="C887" s="23"/>
    </row>
    <row r="888" spans="2:3" ht="15" customHeight="1" x14ac:dyDescent="0.25">
      <c r="B888" s="23"/>
      <c r="C888" s="23"/>
    </row>
    <row r="889" spans="2:3" ht="15" customHeight="1" x14ac:dyDescent="0.25">
      <c r="B889" s="23"/>
      <c r="C889" s="23"/>
    </row>
    <row r="890" spans="2:3" ht="15" customHeight="1" x14ac:dyDescent="0.25">
      <c r="B890" s="23"/>
      <c r="C890" s="23"/>
    </row>
    <row r="891" spans="2:3" ht="15" customHeight="1" x14ac:dyDescent="0.25">
      <c r="B891" s="23"/>
      <c r="C891" s="23"/>
    </row>
    <row r="892" spans="2:3" ht="15" customHeight="1" x14ac:dyDescent="0.25">
      <c r="B892" s="23"/>
      <c r="C892" s="23"/>
    </row>
    <row r="893" spans="2:3" ht="15" customHeight="1" x14ac:dyDescent="0.25">
      <c r="B893" s="23"/>
      <c r="C893" s="23"/>
    </row>
    <row r="894" spans="2:3" ht="15" customHeight="1" x14ac:dyDescent="0.25">
      <c r="B894" s="23"/>
      <c r="C894" s="23"/>
    </row>
    <row r="895" spans="2:3" ht="15" customHeight="1" x14ac:dyDescent="0.25">
      <c r="B895" s="23"/>
      <c r="C895" s="23"/>
    </row>
    <row r="896" spans="2:3" ht="15" customHeight="1" x14ac:dyDescent="0.25">
      <c r="B896" s="23"/>
      <c r="C896" s="23"/>
    </row>
    <row r="897" spans="2:3" ht="15" customHeight="1" x14ac:dyDescent="0.25">
      <c r="B897" s="23"/>
      <c r="C897" s="23"/>
    </row>
    <row r="898" spans="2:3" ht="15" customHeight="1" x14ac:dyDescent="0.25">
      <c r="B898" s="23"/>
      <c r="C898" s="23"/>
    </row>
    <row r="899" spans="2:3" ht="15" customHeight="1" x14ac:dyDescent="0.25">
      <c r="B899" s="23"/>
      <c r="C899" s="23"/>
    </row>
    <row r="900" spans="2:3" ht="15" customHeight="1" x14ac:dyDescent="0.25">
      <c r="B900" s="23"/>
      <c r="C900" s="23"/>
    </row>
    <row r="901" spans="2:3" ht="15" customHeight="1" x14ac:dyDescent="0.25">
      <c r="B901" s="23"/>
      <c r="C901" s="23"/>
    </row>
    <row r="902" spans="2:3" ht="15" customHeight="1" x14ac:dyDescent="0.25">
      <c r="B902" s="23"/>
      <c r="C902" s="23"/>
    </row>
    <row r="903" spans="2:3" ht="15" customHeight="1" x14ac:dyDescent="0.25">
      <c r="B903" s="23"/>
      <c r="C903" s="23"/>
    </row>
    <row r="904" spans="2:3" ht="15" customHeight="1" x14ac:dyDescent="0.25">
      <c r="B904" s="23"/>
      <c r="C904" s="23"/>
    </row>
    <row r="905" spans="2:3" ht="15" customHeight="1" x14ac:dyDescent="0.25">
      <c r="B905" s="23"/>
      <c r="C905" s="23"/>
    </row>
    <row r="906" spans="2:3" ht="15" customHeight="1" x14ac:dyDescent="0.25">
      <c r="B906" s="23"/>
      <c r="C906" s="23"/>
    </row>
    <row r="907" spans="2:3" ht="15" customHeight="1" x14ac:dyDescent="0.25">
      <c r="B907" s="23"/>
      <c r="C907" s="23"/>
    </row>
    <row r="908" spans="2:3" ht="15" customHeight="1" x14ac:dyDescent="0.25">
      <c r="B908" s="23"/>
      <c r="C908" s="23"/>
    </row>
    <row r="909" spans="2:3" ht="15" customHeight="1" x14ac:dyDescent="0.25">
      <c r="B909" s="23"/>
      <c r="C909" s="23"/>
    </row>
    <row r="910" spans="2:3" ht="15" customHeight="1" x14ac:dyDescent="0.25">
      <c r="B910" s="23"/>
      <c r="C910" s="23"/>
    </row>
    <row r="911" spans="2:3" ht="15" customHeight="1" x14ac:dyDescent="0.25">
      <c r="B911" s="23"/>
      <c r="C911" s="23"/>
    </row>
    <row r="912" spans="2:3" ht="15" customHeight="1" x14ac:dyDescent="0.25">
      <c r="B912" s="23"/>
      <c r="C912" s="23"/>
    </row>
    <row r="913" spans="2:3" ht="15" customHeight="1" x14ac:dyDescent="0.25">
      <c r="B913" s="23"/>
      <c r="C913" s="23"/>
    </row>
    <row r="914" spans="2:3" ht="15" customHeight="1" x14ac:dyDescent="0.25">
      <c r="B914" s="23"/>
      <c r="C914" s="23"/>
    </row>
    <row r="915" spans="2:3" ht="15" customHeight="1" x14ac:dyDescent="0.25">
      <c r="B915" s="23"/>
      <c r="C915" s="23"/>
    </row>
    <row r="916" spans="2:3" ht="15" customHeight="1" x14ac:dyDescent="0.25">
      <c r="B916" s="23"/>
      <c r="C916" s="23"/>
    </row>
    <row r="917" spans="2:3" ht="15" customHeight="1" x14ac:dyDescent="0.25">
      <c r="B917" s="23"/>
      <c r="C917" s="23"/>
    </row>
    <row r="918" spans="2:3" ht="15" customHeight="1" x14ac:dyDescent="0.25">
      <c r="B918" s="23"/>
      <c r="C918" s="23"/>
    </row>
    <row r="919" spans="2:3" ht="15" customHeight="1" x14ac:dyDescent="0.25">
      <c r="B919" s="23"/>
      <c r="C919" s="23"/>
    </row>
    <row r="920" spans="2:3" ht="15" customHeight="1" x14ac:dyDescent="0.25">
      <c r="B920" s="23"/>
      <c r="C920" s="23"/>
    </row>
    <row r="921" spans="2:3" ht="15" customHeight="1" x14ac:dyDescent="0.25">
      <c r="B921" s="23"/>
      <c r="C921" s="23"/>
    </row>
    <row r="922" spans="2:3" ht="15" customHeight="1" x14ac:dyDescent="0.25">
      <c r="B922" s="23"/>
      <c r="C922" s="23"/>
    </row>
    <row r="923" spans="2:3" ht="15" customHeight="1" x14ac:dyDescent="0.25">
      <c r="B923" s="23"/>
      <c r="C923" s="23"/>
    </row>
    <row r="924" spans="2:3" ht="15" customHeight="1" x14ac:dyDescent="0.25">
      <c r="B924" s="23"/>
      <c r="C924" s="23"/>
    </row>
    <row r="925" spans="2:3" ht="15" customHeight="1" x14ac:dyDescent="0.25">
      <c r="B925" s="23"/>
      <c r="C925" s="23"/>
    </row>
    <row r="926" spans="2:3" ht="15" customHeight="1" x14ac:dyDescent="0.25">
      <c r="B926" s="23"/>
      <c r="C926" s="23"/>
    </row>
    <row r="927" spans="2:3" ht="15" customHeight="1" x14ac:dyDescent="0.25">
      <c r="B927" s="23"/>
      <c r="C927" s="23"/>
    </row>
    <row r="928" spans="2:3" ht="15" customHeight="1" x14ac:dyDescent="0.25">
      <c r="B928" s="23"/>
      <c r="C928" s="23"/>
    </row>
    <row r="929" spans="2:3" ht="15" customHeight="1" x14ac:dyDescent="0.25">
      <c r="B929" s="23"/>
      <c r="C929" s="23"/>
    </row>
    <row r="930" spans="2:3" ht="15" customHeight="1" x14ac:dyDescent="0.25">
      <c r="B930" s="23"/>
      <c r="C930" s="23"/>
    </row>
    <row r="931" spans="2:3" ht="15" customHeight="1" x14ac:dyDescent="0.25">
      <c r="B931" s="23"/>
      <c r="C931" s="23"/>
    </row>
    <row r="932" spans="2:3" ht="15" customHeight="1" x14ac:dyDescent="0.25">
      <c r="B932" s="23"/>
      <c r="C932" s="23"/>
    </row>
    <row r="933" spans="2:3" ht="15" customHeight="1" x14ac:dyDescent="0.25">
      <c r="B933" s="23"/>
      <c r="C933" s="23"/>
    </row>
    <row r="934" spans="2:3" ht="15" customHeight="1" x14ac:dyDescent="0.25">
      <c r="B934" s="23"/>
      <c r="C934" s="23"/>
    </row>
    <row r="935" spans="2:3" ht="15" customHeight="1" x14ac:dyDescent="0.25">
      <c r="B935" s="23"/>
      <c r="C935" s="23"/>
    </row>
    <row r="936" spans="2:3" ht="15" customHeight="1" x14ac:dyDescent="0.25">
      <c r="B936" s="23"/>
      <c r="C936" s="23"/>
    </row>
    <row r="937" spans="2:3" ht="15" customHeight="1" x14ac:dyDescent="0.25">
      <c r="B937" s="23"/>
      <c r="C937" s="23"/>
    </row>
    <row r="938" spans="2:3" ht="15" customHeight="1" x14ac:dyDescent="0.25">
      <c r="B938" s="23"/>
      <c r="C938" s="23"/>
    </row>
    <row r="939" spans="2:3" ht="15" customHeight="1" x14ac:dyDescent="0.25">
      <c r="B939" s="23"/>
      <c r="C939" s="23"/>
    </row>
    <row r="940" spans="2:3" ht="15" customHeight="1" x14ac:dyDescent="0.25">
      <c r="B940" s="23"/>
      <c r="C940" s="23"/>
    </row>
    <row r="941" spans="2:3" ht="15" customHeight="1" x14ac:dyDescent="0.25">
      <c r="B941" s="23"/>
      <c r="C941" s="23"/>
    </row>
    <row r="942" spans="2:3" ht="15" customHeight="1" x14ac:dyDescent="0.25">
      <c r="B942" s="23"/>
      <c r="C942" s="23"/>
    </row>
    <row r="943" spans="2:3" ht="15" customHeight="1" x14ac:dyDescent="0.25">
      <c r="B943" s="23"/>
      <c r="C943" s="23"/>
    </row>
    <row r="944" spans="2:3" ht="15" customHeight="1" x14ac:dyDescent="0.25">
      <c r="B944" s="23"/>
      <c r="C944" s="23"/>
    </row>
    <row r="945" spans="2:3" ht="15" customHeight="1" x14ac:dyDescent="0.25">
      <c r="B945" s="23"/>
      <c r="C945" s="23"/>
    </row>
    <row r="946" spans="2:3" ht="15" customHeight="1" x14ac:dyDescent="0.25">
      <c r="B946" s="23"/>
      <c r="C946" s="23"/>
    </row>
    <row r="947" spans="2:3" ht="15" customHeight="1" x14ac:dyDescent="0.25">
      <c r="B947" s="23"/>
      <c r="C947" s="23"/>
    </row>
    <row r="948" spans="2:3" ht="15" customHeight="1" x14ac:dyDescent="0.25">
      <c r="B948" s="23"/>
      <c r="C948" s="23"/>
    </row>
    <row r="949" spans="2:3" ht="15" customHeight="1" x14ac:dyDescent="0.25">
      <c r="B949" s="23"/>
      <c r="C949" s="23"/>
    </row>
    <row r="950" spans="2:3" ht="15" customHeight="1" x14ac:dyDescent="0.25">
      <c r="B950" s="23"/>
      <c r="C950" s="23"/>
    </row>
    <row r="951" spans="2:3" ht="15" customHeight="1" x14ac:dyDescent="0.25">
      <c r="B951" s="23"/>
      <c r="C951" s="23"/>
    </row>
    <row r="952" spans="2:3" ht="15" customHeight="1" x14ac:dyDescent="0.25">
      <c r="B952" s="23"/>
      <c r="C952" s="23"/>
    </row>
    <row r="953" spans="2:3" ht="15" customHeight="1" x14ac:dyDescent="0.25">
      <c r="B953" s="23"/>
      <c r="C953" s="23"/>
    </row>
    <row r="954" spans="2:3" ht="15" customHeight="1" x14ac:dyDescent="0.25">
      <c r="B954" s="23"/>
      <c r="C954" s="23"/>
    </row>
    <row r="955" spans="2:3" ht="15" customHeight="1" x14ac:dyDescent="0.25">
      <c r="B955" s="23"/>
      <c r="C955" s="23"/>
    </row>
    <row r="956" spans="2:3" ht="15" customHeight="1" x14ac:dyDescent="0.25">
      <c r="B956" s="23"/>
      <c r="C956" s="23"/>
    </row>
    <row r="957" spans="2:3" ht="15" customHeight="1" x14ac:dyDescent="0.25">
      <c r="B957" s="23"/>
      <c r="C957" s="23"/>
    </row>
    <row r="958" spans="2:3" ht="15" customHeight="1" x14ac:dyDescent="0.25">
      <c r="B958" s="23"/>
      <c r="C958" s="23"/>
    </row>
    <row r="959" spans="2:3" ht="15" customHeight="1" x14ac:dyDescent="0.25">
      <c r="B959" s="23"/>
      <c r="C959" s="23"/>
    </row>
    <row r="960" spans="2:3" ht="15" customHeight="1" x14ac:dyDescent="0.25">
      <c r="B960" s="23"/>
      <c r="C960" s="23"/>
    </row>
    <row r="961" spans="2:3" ht="15" customHeight="1" x14ac:dyDescent="0.25">
      <c r="B961" s="23"/>
      <c r="C961" s="23"/>
    </row>
    <row r="962" spans="2:3" ht="15" customHeight="1" x14ac:dyDescent="0.25">
      <c r="B962" s="23"/>
      <c r="C962" s="23"/>
    </row>
    <row r="963" spans="2:3" ht="15" customHeight="1" x14ac:dyDescent="0.25">
      <c r="B963" s="23"/>
      <c r="C963" s="23"/>
    </row>
    <row r="964" spans="2:3" ht="15" customHeight="1" x14ac:dyDescent="0.25">
      <c r="B964" s="23"/>
      <c r="C964" s="23"/>
    </row>
    <row r="965" spans="2:3" ht="15" customHeight="1" x14ac:dyDescent="0.25">
      <c r="B965" s="23"/>
      <c r="C965" s="23"/>
    </row>
    <row r="966" spans="2:3" ht="15" customHeight="1" x14ac:dyDescent="0.25">
      <c r="B966" s="23"/>
      <c r="C966" s="23"/>
    </row>
    <row r="967" spans="2:3" ht="15" customHeight="1" x14ac:dyDescent="0.25">
      <c r="B967" s="23"/>
      <c r="C967" s="23"/>
    </row>
    <row r="968" spans="2:3" ht="15" customHeight="1" x14ac:dyDescent="0.25">
      <c r="B968" s="23"/>
      <c r="C968" s="23"/>
    </row>
    <row r="969" spans="2:3" ht="15" customHeight="1" x14ac:dyDescent="0.25">
      <c r="B969" s="23"/>
      <c r="C969" s="23"/>
    </row>
    <row r="970" spans="2:3" ht="15" customHeight="1" x14ac:dyDescent="0.25">
      <c r="B970" s="23"/>
      <c r="C970" s="23"/>
    </row>
    <row r="971" spans="2:3" ht="15" customHeight="1" x14ac:dyDescent="0.25">
      <c r="B971" s="23"/>
      <c r="C971" s="23"/>
    </row>
    <row r="972" spans="2:3" ht="15" customHeight="1" x14ac:dyDescent="0.25">
      <c r="B972" s="23"/>
      <c r="C972" s="23"/>
    </row>
    <row r="973" spans="2:3" ht="15" customHeight="1" x14ac:dyDescent="0.25">
      <c r="B973" s="23"/>
      <c r="C973" s="23"/>
    </row>
    <row r="974" spans="2:3" ht="15" customHeight="1" x14ac:dyDescent="0.25">
      <c r="B974" s="23"/>
      <c r="C974" s="23"/>
    </row>
    <row r="975" spans="2:3" ht="15" customHeight="1" x14ac:dyDescent="0.25">
      <c r="B975" s="23"/>
      <c r="C975" s="23"/>
    </row>
    <row r="976" spans="2:3" ht="15" customHeight="1" x14ac:dyDescent="0.25">
      <c r="B976" s="23"/>
      <c r="C976" s="23"/>
    </row>
    <row r="977" spans="2:3" ht="15" customHeight="1" x14ac:dyDescent="0.25">
      <c r="B977" s="23"/>
      <c r="C977" s="23"/>
    </row>
    <row r="978" spans="2:3" ht="15" customHeight="1" x14ac:dyDescent="0.25">
      <c r="B978" s="23"/>
      <c r="C978" s="23"/>
    </row>
    <row r="979" spans="2:3" ht="15" customHeight="1" x14ac:dyDescent="0.25">
      <c r="B979" s="23"/>
      <c r="C979" s="23"/>
    </row>
    <row r="980" spans="2:3" ht="15" customHeight="1" x14ac:dyDescent="0.25">
      <c r="B980" s="23"/>
      <c r="C980" s="23"/>
    </row>
    <row r="981" spans="2:3" ht="15" customHeight="1" x14ac:dyDescent="0.25">
      <c r="B981" s="23"/>
      <c r="C981" s="23"/>
    </row>
    <row r="982" spans="2:3" ht="15" customHeight="1" x14ac:dyDescent="0.25">
      <c r="B982" s="23"/>
      <c r="C982" s="23"/>
    </row>
    <row r="983" spans="2:3" ht="15" customHeight="1" x14ac:dyDescent="0.25">
      <c r="B983" s="23"/>
      <c r="C983" s="23"/>
    </row>
    <row r="984" spans="2:3" ht="15" customHeight="1" x14ac:dyDescent="0.25">
      <c r="B984" s="23"/>
      <c r="C984" s="23"/>
    </row>
    <row r="985" spans="2:3" ht="15" customHeight="1" x14ac:dyDescent="0.25">
      <c r="B985" s="23"/>
      <c r="C985" s="23"/>
    </row>
    <row r="986" spans="2:3" ht="15" customHeight="1" x14ac:dyDescent="0.25">
      <c r="B986" s="23"/>
      <c r="C986" s="23"/>
    </row>
    <row r="987" spans="2:3" ht="15" customHeight="1" x14ac:dyDescent="0.25">
      <c r="B987" s="23"/>
      <c r="C987" s="23"/>
    </row>
    <row r="988" spans="2:3" ht="15" customHeight="1" x14ac:dyDescent="0.25">
      <c r="B988" s="23"/>
      <c r="C988" s="23"/>
    </row>
    <row r="989" spans="2:3" ht="15" customHeight="1" x14ac:dyDescent="0.25">
      <c r="B989" s="23"/>
      <c r="C989" s="23"/>
    </row>
    <row r="990" spans="2:3" ht="15" customHeight="1" x14ac:dyDescent="0.25">
      <c r="B990" s="23"/>
      <c r="C990" s="23"/>
    </row>
    <row r="991" spans="2:3" ht="15" customHeight="1" x14ac:dyDescent="0.25">
      <c r="B991" s="23"/>
      <c r="C991" s="23"/>
    </row>
    <row r="992" spans="2:3" ht="15" customHeight="1" x14ac:dyDescent="0.25">
      <c r="B992" s="23"/>
      <c r="C992" s="23"/>
    </row>
    <row r="993" spans="2:3" ht="15" customHeight="1" x14ac:dyDescent="0.25">
      <c r="B993" s="23"/>
      <c r="C993" s="23"/>
    </row>
    <row r="994" spans="2:3" ht="15" customHeight="1" x14ac:dyDescent="0.25">
      <c r="B994" s="23"/>
      <c r="C994" s="23"/>
    </row>
    <row r="995" spans="2:3" ht="15" customHeight="1" x14ac:dyDescent="0.25">
      <c r="B995" s="23"/>
      <c r="C995" s="23"/>
    </row>
    <row r="996" spans="2:3" ht="15" customHeight="1" x14ac:dyDescent="0.25">
      <c r="B996" s="23"/>
      <c r="C996" s="23"/>
    </row>
    <row r="997" spans="2:3" ht="15" customHeight="1" x14ac:dyDescent="0.25">
      <c r="B997" s="23"/>
      <c r="C997" s="23"/>
    </row>
    <row r="998" spans="2:3" ht="15" customHeight="1" x14ac:dyDescent="0.25">
      <c r="B998" s="23"/>
      <c r="C998" s="23"/>
    </row>
    <row r="999" spans="2:3" ht="15" customHeight="1" x14ac:dyDescent="0.25">
      <c r="B999" s="23"/>
      <c r="C999" s="23"/>
    </row>
    <row r="1000" spans="2:3" ht="15" customHeight="1" x14ac:dyDescent="0.25">
      <c r="B1000" s="23"/>
      <c r="C1000" s="23"/>
    </row>
    <row r="1001" spans="2:3" ht="15" customHeight="1" x14ac:dyDescent="0.25">
      <c r="B1001" s="23"/>
      <c r="C1001" s="23"/>
    </row>
    <row r="1002" spans="2:3" ht="15" customHeight="1" x14ac:dyDescent="0.25">
      <c r="B1002" s="23"/>
      <c r="C1002" s="23"/>
    </row>
    <row r="1003" spans="2:3" ht="15" customHeight="1" x14ac:dyDescent="0.25">
      <c r="B1003" s="23"/>
      <c r="C1003" s="23"/>
    </row>
    <row r="1004" spans="2:3" ht="15" customHeight="1" x14ac:dyDescent="0.25">
      <c r="B1004" s="23"/>
      <c r="C1004" s="23"/>
    </row>
    <row r="1005" spans="2:3" ht="15" customHeight="1" x14ac:dyDescent="0.25">
      <c r="B1005" s="23"/>
      <c r="C1005" s="23"/>
    </row>
    <row r="1006" spans="2:3" ht="15" customHeight="1" x14ac:dyDescent="0.25">
      <c r="B1006" s="23"/>
      <c r="C1006" s="23"/>
    </row>
    <row r="1007" spans="2:3" ht="15" customHeight="1" x14ac:dyDescent="0.25">
      <c r="B1007" s="23"/>
      <c r="C1007" s="23"/>
    </row>
    <row r="1008" spans="2:3" ht="15" customHeight="1" x14ac:dyDescent="0.25">
      <c r="B1008" s="23"/>
      <c r="C1008" s="23"/>
    </row>
    <row r="1009" spans="2:3" ht="15" customHeight="1" x14ac:dyDescent="0.25">
      <c r="B1009" s="23"/>
      <c r="C1009" s="23"/>
    </row>
    <row r="1010" spans="2:3" ht="15" customHeight="1" x14ac:dyDescent="0.25">
      <c r="B1010" s="23"/>
      <c r="C1010" s="23"/>
    </row>
    <row r="1011" spans="2:3" ht="15" customHeight="1" x14ac:dyDescent="0.25">
      <c r="B1011" s="23"/>
      <c r="C1011" s="23"/>
    </row>
    <row r="1012" spans="2:3" ht="15" customHeight="1" x14ac:dyDescent="0.25">
      <c r="B1012" s="23"/>
      <c r="C1012" s="23"/>
    </row>
    <row r="1013" spans="2:3" ht="15" customHeight="1" x14ac:dyDescent="0.25">
      <c r="B1013" s="23"/>
      <c r="C1013" s="23"/>
    </row>
    <row r="1014" spans="2:3" ht="15" customHeight="1" x14ac:dyDescent="0.25">
      <c r="B1014" s="23"/>
      <c r="C1014" s="23"/>
    </row>
    <row r="1015" spans="2:3" ht="15" customHeight="1" x14ac:dyDescent="0.25">
      <c r="B1015" s="23"/>
      <c r="C1015" s="23"/>
    </row>
    <row r="1016" spans="2:3" ht="15" customHeight="1" x14ac:dyDescent="0.25">
      <c r="B1016" s="23"/>
      <c r="C1016" s="23"/>
    </row>
    <row r="1017" spans="2:3" ht="15" customHeight="1" x14ac:dyDescent="0.25">
      <c r="B1017" s="23"/>
      <c r="C1017" s="23"/>
    </row>
    <row r="1018" spans="2:3" ht="15" customHeight="1" x14ac:dyDescent="0.25">
      <c r="B1018" s="23"/>
      <c r="C1018" s="23"/>
    </row>
    <row r="1019" spans="2:3" ht="15" customHeight="1" x14ac:dyDescent="0.25">
      <c r="B1019" s="23"/>
      <c r="C1019" s="23"/>
    </row>
    <row r="1020" spans="2:3" ht="15" customHeight="1" x14ac:dyDescent="0.25">
      <c r="B1020" s="23"/>
      <c r="C1020" s="23"/>
    </row>
    <row r="1021" spans="2:3" ht="15" customHeight="1" x14ac:dyDescent="0.25">
      <c r="B1021" s="23"/>
      <c r="C1021" s="23"/>
    </row>
    <row r="1022" spans="2:3" ht="15" customHeight="1" x14ac:dyDescent="0.25">
      <c r="B1022" s="23"/>
      <c r="C1022" s="23"/>
    </row>
    <row r="1023" spans="2:3" ht="15" customHeight="1" x14ac:dyDescent="0.25">
      <c r="B1023" s="23"/>
      <c r="C1023" s="23"/>
    </row>
    <row r="1024" spans="2:3" ht="15" customHeight="1" x14ac:dyDescent="0.25">
      <c r="B1024" s="23"/>
      <c r="C1024" s="23"/>
    </row>
    <row r="1025" spans="2:3" ht="15" customHeight="1" x14ac:dyDescent="0.25">
      <c r="B1025" s="23"/>
      <c r="C1025" s="23"/>
    </row>
    <row r="1026" spans="2:3" ht="15" customHeight="1" x14ac:dyDescent="0.25">
      <c r="B1026" s="23"/>
      <c r="C1026" s="23"/>
    </row>
    <row r="1027" spans="2:3" ht="15" customHeight="1" x14ac:dyDescent="0.25">
      <c r="B1027" s="23"/>
      <c r="C1027" s="23"/>
    </row>
    <row r="1028" spans="2:3" ht="15" customHeight="1" x14ac:dyDescent="0.25">
      <c r="B1028" s="23"/>
      <c r="C1028" s="23"/>
    </row>
    <row r="1029" spans="2:3" ht="15" customHeight="1" x14ac:dyDescent="0.25">
      <c r="B1029" s="23"/>
      <c r="C1029" s="23"/>
    </row>
    <row r="1030" spans="2:3" ht="15" customHeight="1" x14ac:dyDescent="0.25">
      <c r="B1030" s="23"/>
      <c r="C1030" s="23"/>
    </row>
    <row r="1031" spans="2:3" ht="15" customHeight="1" x14ac:dyDescent="0.25">
      <c r="B1031" s="23"/>
      <c r="C1031" s="23"/>
    </row>
    <row r="1032" spans="2:3" ht="15" customHeight="1" x14ac:dyDescent="0.25">
      <c r="B1032" s="23"/>
      <c r="C1032" s="23"/>
    </row>
    <row r="1033" spans="2:3" ht="15" customHeight="1" x14ac:dyDescent="0.25">
      <c r="B1033" s="23"/>
      <c r="C1033" s="23"/>
    </row>
    <row r="1034" spans="2:3" ht="15" customHeight="1" x14ac:dyDescent="0.25">
      <c r="B1034" s="23"/>
      <c r="C1034" s="23"/>
    </row>
    <row r="1035" spans="2:3" ht="15" customHeight="1" x14ac:dyDescent="0.25">
      <c r="B1035" s="23"/>
      <c r="C1035" s="23"/>
    </row>
    <row r="1036" spans="2:3" ht="15" customHeight="1" x14ac:dyDescent="0.25">
      <c r="B1036" s="23"/>
      <c r="C1036" s="23"/>
    </row>
    <row r="1037" spans="2:3" ht="15" customHeight="1" x14ac:dyDescent="0.25">
      <c r="B1037" s="23"/>
      <c r="C1037" s="23"/>
    </row>
    <row r="1038" spans="2:3" ht="15" customHeight="1" x14ac:dyDescent="0.25">
      <c r="B1038" s="23"/>
      <c r="C1038" s="23"/>
    </row>
    <row r="1039" spans="2:3" ht="15" customHeight="1" x14ac:dyDescent="0.25">
      <c r="B1039" s="23"/>
      <c r="C1039" s="23"/>
    </row>
    <row r="1040" spans="2:3" ht="15" customHeight="1" x14ac:dyDescent="0.25">
      <c r="B1040" s="23"/>
      <c r="C1040" s="23"/>
    </row>
    <row r="1041" spans="2:3" ht="15" customHeight="1" x14ac:dyDescent="0.25">
      <c r="B1041" s="23"/>
      <c r="C1041" s="23"/>
    </row>
    <row r="1042" spans="2:3" ht="15" customHeight="1" x14ac:dyDescent="0.25">
      <c r="B1042" s="23"/>
      <c r="C1042" s="23"/>
    </row>
    <row r="1043" spans="2:3" ht="15" customHeight="1" x14ac:dyDescent="0.25">
      <c r="B1043" s="23"/>
      <c r="C1043" s="23"/>
    </row>
    <row r="1044" spans="2:3" ht="15" customHeight="1" x14ac:dyDescent="0.25">
      <c r="B1044" s="23"/>
      <c r="C1044" s="23"/>
    </row>
    <row r="1045" spans="2:3" ht="15" customHeight="1" x14ac:dyDescent="0.25">
      <c r="B1045" s="23"/>
      <c r="C1045" s="23"/>
    </row>
    <row r="1046" spans="2:3" ht="15" customHeight="1" x14ac:dyDescent="0.25">
      <c r="B1046" s="23"/>
      <c r="C1046" s="23"/>
    </row>
    <row r="1047" spans="2:3" ht="15" customHeight="1" x14ac:dyDescent="0.25">
      <c r="B1047" s="23"/>
      <c r="C1047" s="23"/>
    </row>
    <row r="1048" spans="2:3" ht="15" customHeight="1" x14ac:dyDescent="0.25">
      <c r="B1048" s="23"/>
      <c r="C1048" s="23"/>
    </row>
    <row r="1049" spans="2:3" ht="15" customHeight="1" x14ac:dyDescent="0.25">
      <c r="B1049" s="23"/>
      <c r="C1049" s="23"/>
    </row>
    <row r="1050" spans="2:3" ht="15" customHeight="1" x14ac:dyDescent="0.25">
      <c r="B1050" s="23"/>
      <c r="C1050" s="23"/>
    </row>
    <row r="1051" spans="2:3" ht="15" customHeight="1" x14ac:dyDescent="0.25">
      <c r="B1051" s="23"/>
      <c r="C1051" s="23"/>
    </row>
    <row r="1052" spans="2:3" ht="15" customHeight="1" x14ac:dyDescent="0.25">
      <c r="B1052" s="23"/>
      <c r="C1052" s="23"/>
    </row>
    <row r="1053" spans="2:3" ht="15" customHeight="1" x14ac:dyDescent="0.25">
      <c r="B1053" s="23"/>
      <c r="C1053" s="23"/>
    </row>
    <row r="1054" spans="2:3" ht="15" customHeight="1" x14ac:dyDescent="0.25">
      <c r="B1054" s="23"/>
      <c r="C1054" s="23"/>
    </row>
    <row r="1055" spans="2:3" ht="15" customHeight="1" x14ac:dyDescent="0.25">
      <c r="B1055" s="23"/>
      <c r="C1055" s="23"/>
    </row>
    <row r="1056" spans="2:3" ht="15" customHeight="1" x14ac:dyDescent="0.25">
      <c r="B1056" s="23"/>
      <c r="C1056" s="23"/>
    </row>
    <row r="1057" spans="2:3" ht="15" customHeight="1" x14ac:dyDescent="0.25">
      <c r="B1057" s="23"/>
      <c r="C1057" s="23"/>
    </row>
    <row r="1058" spans="2:3" ht="15" customHeight="1" x14ac:dyDescent="0.25">
      <c r="B1058" s="23"/>
      <c r="C1058" s="23"/>
    </row>
    <row r="1059" spans="2:3" ht="15" customHeight="1" x14ac:dyDescent="0.25">
      <c r="B1059" s="23"/>
      <c r="C1059" s="23"/>
    </row>
    <row r="1060" spans="2:3" ht="15" customHeight="1" x14ac:dyDescent="0.25">
      <c r="B1060" s="23"/>
      <c r="C1060" s="23"/>
    </row>
    <row r="1061" spans="2:3" ht="15" customHeight="1" x14ac:dyDescent="0.25">
      <c r="B1061" s="23"/>
      <c r="C1061" s="23"/>
    </row>
    <row r="1062" spans="2:3" ht="15" customHeight="1" x14ac:dyDescent="0.25">
      <c r="B1062" s="23"/>
      <c r="C1062" s="23"/>
    </row>
    <row r="1063" spans="2:3" ht="15" customHeight="1" x14ac:dyDescent="0.25">
      <c r="B1063" s="23"/>
      <c r="C1063" s="23"/>
    </row>
    <row r="1064" spans="2:3" ht="15" customHeight="1" x14ac:dyDescent="0.25">
      <c r="B1064" s="23"/>
      <c r="C1064" s="23"/>
    </row>
    <row r="1065" spans="2:3" ht="15" customHeight="1" x14ac:dyDescent="0.25">
      <c r="B1065" s="23"/>
      <c r="C1065" s="23"/>
    </row>
    <row r="1066" spans="2:3" ht="15" customHeight="1" x14ac:dyDescent="0.25">
      <c r="B1066" s="23"/>
      <c r="C1066" s="23"/>
    </row>
    <row r="1067" spans="2:3" ht="15" customHeight="1" x14ac:dyDescent="0.25">
      <c r="B1067" s="23"/>
      <c r="C1067" s="23"/>
    </row>
    <row r="1068" spans="2:3" ht="15" customHeight="1" x14ac:dyDescent="0.25">
      <c r="B1068" s="23"/>
      <c r="C1068" s="23"/>
    </row>
    <row r="1069" spans="2:3" ht="15" customHeight="1" x14ac:dyDescent="0.25">
      <c r="B1069" s="23"/>
      <c r="C1069" s="23"/>
    </row>
    <row r="1070" spans="2:3" ht="15" customHeight="1" x14ac:dyDescent="0.25">
      <c r="B1070" s="23"/>
      <c r="C1070" s="23"/>
    </row>
    <row r="1071" spans="2:3" ht="15" customHeight="1" x14ac:dyDescent="0.25">
      <c r="B1071" s="23"/>
      <c r="C1071" s="23"/>
    </row>
    <row r="1072" spans="2:3" ht="15" customHeight="1" x14ac:dyDescent="0.25">
      <c r="B1072" s="23"/>
      <c r="C1072" s="23"/>
    </row>
    <row r="1073" spans="2:3" ht="15" customHeight="1" x14ac:dyDescent="0.25">
      <c r="B1073" s="23"/>
      <c r="C1073" s="23"/>
    </row>
    <row r="1074" spans="2:3" ht="15" customHeight="1" x14ac:dyDescent="0.25">
      <c r="B1074" s="23"/>
      <c r="C1074" s="23"/>
    </row>
    <row r="1075" spans="2:3" ht="15" customHeight="1" x14ac:dyDescent="0.25">
      <c r="B1075" s="23"/>
      <c r="C1075" s="23"/>
    </row>
    <row r="1076" spans="2:3" ht="15" customHeight="1" x14ac:dyDescent="0.25">
      <c r="B1076" s="23"/>
      <c r="C1076" s="23"/>
    </row>
    <row r="1077" spans="2:3" ht="15" customHeight="1" x14ac:dyDescent="0.25">
      <c r="B1077" s="23"/>
      <c r="C1077" s="23"/>
    </row>
    <row r="1078" spans="2:3" ht="15" customHeight="1" x14ac:dyDescent="0.25">
      <c r="B1078" s="23"/>
      <c r="C1078" s="23"/>
    </row>
    <row r="1079" spans="2:3" ht="15" customHeight="1" x14ac:dyDescent="0.25">
      <c r="B1079" s="23"/>
      <c r="C1079" s="23"/>
    </row>
    <row r="1080" spans="2:3" ht="15" customHeight="1" x14ac:dyDescent="0.25">
      <c r="B1080" s="23"/>
      <c r="C1080" s="23"/>
    </row>
    <row r="1081" spans="2:3" ht="15" customHeight="1" x14ac:dyDescent="0.25">
      <c r="B1081" s="23"/>
      <c r="C1081" s="23"/>
    </row>
    <row r="1082" spans="2:3" ht="15" customHeight="1" x14ac:dyDescent="0.25">
      <c r="B1082" s="23"/>
      <c r="C1082" s="23"/>
    </row>
    <row r="1083" spans="2:3" ht="15" customHeight="1" x14ac:dyDescent="0.25">
      <c r="B1083" s="23"/>
      <c r="C1083" s="23"/>
    </row>
    <row r="1084" spans="2:3" ht="15" customHeight="1" x14ac:dyDescent="0.25">
      <c r="B1084" s="23"/>
      <c r="C1084" s="23"/>
    </row>
    <row r="1085" spans="2:3" ht="15" customHeight="1" x14ac:dyDescent="0.25">
      <c r="B1085" s="23"/>
      <c r="C1085" s="23"/>
    </row>
    <row r="1086" spans="2:3" ht="15" customHeight="1" x14ac:dyDescent="0.25">
      <c r="B1086" s="23"/>
      <c r="C1086" s="23"/>
    </row>
    <row r="1087" spans="2:3" ht="15" customHeight="1" x14ac:dyDescent="0.25">
      <c r="B1087" s="23"/>
      <c r="C1087" s="23"/>
    </row>
    <row r="1088" spans="2:3" ht="15" customHeight="1" x14ac:dyDescent="0.25">
      <c r="B1088" s="23"/>
      <c r="C1088" s="23"/>
    </row>
    <row r="1089" spans="2:3" ht="15" customHeight="1" x14ac:dyDescent="0.25">
      <c r="B1089" s="23"/>
      <c r="C1089" s="23"/>
    </row>
    <row r="1090" spans="2:3" ht="15" customHeight="1" x14ac:dyDescent="0.25">
      <c r="B1090" s="23"/>
      <c r="C1090" s="23"/>
    </row>
    <row r="1091" spans="2:3" ht="15" customHeight="1" x14ac:dyDescent="0.25">
      <c r="B1091" s="23"/>
      <c r="C1091" s="23"/>
    </row>
    <row r="1092" spans="2:3" ht="15" customHeight="1" x14ac:dyDescent="0.25">
      <c r="B1092" s="23"/>
      <c r="C1092" s="23"/>
    </row>
    <row r="1093" spans="2:3" ht="15" customHeight="1" x14ac:dyDescent="0.25">
      <c r="B1093" s="23"/>
      <c r="C1093" s="23"/>
    </row>
    <row r="1094" spans="2:3" ht="15" customHeight="1" x14ac:dyDescent="0.25">
      <c r="B1094" s="23"/>
      <c r="C1094" s="23"/>
    </row>
    <row r="1095" spans="2:3" ht="15" customHeight="1" x14ac:dyDescent="0.25">
      <c r="B1095" s="23"/>
      <c r="C1095" s="23"/>
    </row>
    <row r="1096" spans="2:3" ht="15" customHeight="1" x14ac:dyDescent="0.25">
      <c r="B1096" s="23"/>
      <c r="C1096" s="23"/>
    </row>
    <row r="1097" spans="2:3" ht="15" customHeight="1" x14ac:dyDescent="0.25">
      <c r="B1097" s="23"/>
      <c r="C1097" s="23"/>
    </row>
    <row r="1098" spans="2:3" ht="15" customHeight="1" x14ac:dyDescent="0.25">
      <c r="B1098" s="23"/>
      <c r="C1098" s="23"/>
    </row>
    <row r="1099" spans="2:3" ht="15" customHeight="1" x14ac:dyDescent="0.25">
      <c r="B1099" s="23"/>
      <c r="C1099" s="23"/>
    </row>
    <row r="1100" spans="2:3" ht="15" customHeight="1" x14ac:dyDescent="0.25">
      <c r="B1100" s="23"/>
      <c r="C1100" s="23"/>
    </row>
    <row r="1101" spans="2:3" ht="15" customHeight="1" x14ac:dyDescent="0.25">
      <c r="B1101" s="23"/>
      <c r="C1101" s="23"/>
    </row>
    <row r="1102" spans="2:3" ht="15" customHeight="1" x14ac:dyDescent="0.25">
      <c r="B1102" s="23"/>
      <c r="C1102" s="23"/>
    </row>
    <row r="1103" spans="2:3" ht="15" customHeight="1" x14ac:dyDescent="0.25">
      <c r="B1103" s="23"/>
      <c r="C1103" s="23"/>
    </row>
    <row r="1104" spans="2:3" ht="15" customHeight="1" x14ac:dyDescent="0.25">
      <c r="B1104" s="23"/>
      <c r="C1104" s="23"/>
    </row>
    <row r="1105" spans="2:3" ht="15" customHeight="1" x14ac:dyDescent="0.25">
      <c r="B1105" s="23"/>
      <c r="C1105" s="23"/>
    </row>
    <row r="1106" spans="2:3" ht="15" customHeight="1" x14ac:dyDescent="0.25">
      <c r="B1106" s="23"/>
      <c r="C1106" s="23"/>
    </row>
    <row r="1107" spans="2:3" ht="15" customHeight="1" x14ac:dyDescent="0.25">
      <c r="B1107" s="23"/>
      <c r="C1107" s="23"/>
    </row>
    <row r="1108" spans="2:3" ht="15" customHeight="1" x14ac:dyDescent="0.25">
      <c r="B1108" s="23"/>
      <c r="C1108" s="23"/>
    </row>
    <row r="1109" spans="2:3" ht="15" customHeight="1" x14ac:dyDescent="0.25">
      <c r="B1109" s="23"/>
      <c r="C1109" s="23"/>
    </row>
    <row r="1110" spans="2:3" ht="15" customHeight="1" x14ac:dyDescent="0.25">
      <c r="B1110" s="23"/>
      <c r="C1110" s="23"/>
    </row>
    <row r="1111" spans="2:3" ht="15" customHeight="1" x14ac:dyDescent="0.25">
      <c r="B1111" s="23"/>
      <c r="C1111" s="23"/>
    </row>
    <row r="1112" spans="2:3" ht="15" customHeight="1" x14ac:dyDescent="0.25">
      <c r="B1112" s="23"/>
      <c r="C1112" s="23"/>
    </row>
    <row r="1113" spans="2:3" ht="15" customHeight="1" x14ac:dyDescent="0.25">
      <c r="B1113" s="23"/>
      <c r="C1113" s="23"/>
    </row>
    <row r="1114" spans="2:3" ht="15" customHeight="1" x14ac:dyDescent="0.25">
      <c r="B1114" s="23"/>
      <c r="C1114" s="23"/>
    </row>
    <row r="1115" spans="2:3" ht="15" customHeight="1" x14ac:dyDescent="0.25">
      <c r="B1115" s="23"/>
      <c r="C1115" s="23"/>
    </row>
    <row r="1116" spans="2:3" ht="15" customHeight="1" x14ac:dyDescent="0.25">
      <c r="B1116" s="23"/>
      <c r="C1116" s="23"/>
    </row>
    <row r="1117" spans="2:3" ht="15" customHeight="1" x14ac:dyDescent="0.25">
      <c r="B1117" s="23"/>
      <c r="C1117" s="23"/>
    </row>
    <row r="1118" spans="2:3" ht="15" customHeight="1" x14ac:dyDescent="0.25">
      <c r="B1118" s="23"/>
      <c r="C1118" s="23"/>
    </row>
    <row r="1119" spans="2:3" ht="15" customHeight="1" x14ac:dyDescent="0.25">
      <c r="B1119" s="23"/>
      <c r="C1119" s="23"/>
    </row>
    <row r="1120" spans="2:3" ht="15" customHeight="1" x14ac:dyDescent="0.25">
      <c r="B1120" s="23"/>
      <c r="C1120" s="23"/>
    </row>
    <row r="1121" spans="2:3" ht="15" customHeight="1" x14ac:dyDescent="0.25">
      <c r="B1121" s="23"/>
      <c r="C1121" s="23"/>
    </row>
    <row r="1122" spans="2:3" ht="15" customHeight="1" x14ac:dyDescent="0.25">
      <c r="B1122" s="23"/>
      <c r="C1122" s="23"/>
    </row>
    <row r="1123" spans="2:3" ht="15" customHeight="1" x14ac:dyDescent="0.25">
      <c r="B1123" s="23"/>
      <c r="C1123" s="23"/>
    </row>
    <row r="1124" spans="2:3" ht="15" customHeight="1" x14ac:dyDescent="0.25">
      <c r="B1124" s="23"/>
      <c r="C1124" s="23"/>
    </row>
    <row r="1125" spans="2:3" ht="15" customHeight="1" x14ac:dyDescent="0.25">
      <c r="B1125" s="23"/>
      <c r="C1125" s="23"/>
    </row>
    <row r="1126" spans="2:3" ht="15" customHeight="1" x14ac:dyDescent="0.25">
      <c r="B1126" s="23"/>
      <c r="C1126" s="23"/>
    </row>
    <row r="1127" spans="2:3" ht="15" customHeight="1" x14ac:dyDescent="0.25">
      <c r="B1127" s="23"/>
      <c r="C1127" s="23"/>
    </row>
    <row r="1128" spans="2:3" ht="15" customHeight="1" x14ac:dyDescent="0.25">
      <c r="B1128" s="23"/>
      <c r="C1128" s="23"/>
    </row>
    <row r="1129" spans="2:3" ht="15" customHeight="1" x14ac:dyDescent="0.25">
      <c r="B1129" s="23"/>
      <c r="C1129" s="23"/>
    </row>
    <row r="1130" spans="2:3" ht="15" customHeight="1" x14ac:dyDescent="0.25">
      <c r="B1130" s="23"/>
      <c r="C1130" s="23"/>
    </row>
    <row r="1131" spans="2:3" ht="15" customHeight="1" x14ac:dyDescent="0.25">
      <c r="B1131" s="23"/>
      <c r="C1131" s="23"/>
    </row>
    <row r="1132" spans="2:3" ht="15" customHeight="1" x14ac:dyDescent="0.25">
      <c r="B1132" s="23"/>
      <c r="C1132" s="23"/>
    </row>
    <row r="1133" spans="2:3" ht="15" customHeight="1" x14ac:dyDescent="0.25">
      <c r="B1133" s="23"/>
      <c r="C1133" s="23"/>
    </row>
    <row r="1134" spans="2:3" ht="15" customHeight="1" x14ac:dyDescent="0.25">
      <c r="B1134" s="23"/>
      <c r="C1134" s="23"/>
    </row>
    <row r="1135" spans="2:3" ht="15" customHeight="1" x14ac:dyDescent="0.25">
      <c r="B1135" s="23"/>
      <c r="C1135" s="23"/>
    </row>
    <row r="1136" spans="2:3" ht="15" customHeight="1" x14ac:dyDescent="0.25">
      <c r="B1136" s="23"/>
      <c r="C1136" s="23"/>
    </row>
    <row r="1137" spans="2:3" ht="15" customHeight="1" x14ac:dyDescent="0.25">
      <c r="B1137" s="23"/>
      <c r="C1137" s="23"/>
    </row>
    <row r="1138" spans="2:3" ht="15" customHeight="1" x14ac:dyDescent="0.25">
      <c r="B1138" s="23"/>
      <c r="C1138" s="23"/>
    </row>
    <row r="1139" spans="2:3" ht="15" customHeight="1" x14ac:dyDescent="0.25">
      <c r="B1139" s="23"/>
      <c r="C1139" s="23"/>
    </row>
    <row r="1140" spans="2:3" ht="15" customHeight="1" x14ac:dyDescent="0.25">
      <c r="B1140" s="23"/>
      <c r="C1140" s="23"/>
    </row>
    <row r="1141" spans="2:3" ht="15" customHeight="1" x14ac:dyDescent="0.25">
      <c r="B1141" s="23"/>
      <c r="C1141" s="23"/>
    </row>
    <row r="1142" spans="2:3" ht="15" customHeight="1" x14ac:dyDescent="0.25">
      <c r="B1142" s="23"/>
      <c r="C1142" s="23"/>
    </row>
    <row r="1143" spans="2:3" ht="15" customHeight="1" x14ac:dyDescent="0.25">
      <c r="B1143" s="23"/>
      <c r="C1143" s="23"/>
    </row>
    <row r="1144" spans="2:3" ht="15" customHeight="1" x14ac:dyDescent="0.25">
      <c r="B1144" s="23"/>
      <c r="C1144" s="23"/>
    </row>
    <row r="1145" spans="2:3" ht="15" customHeight="1" x14ac:dyDescent="0.25">
      <c r="B1145" s="23"/>
      <c r="C1145" s="23"/>
    </row>
    <row r="1146" spans="2:3" ht="15" customHeight="1" x14ac:dyDescent="0.25">
      <c r="B1146" s="23"/>
      <c r="C1146" s="23"/>
    </row>
    <row r="1147" spans="2:3" ht="15" customHeight="1" x14ac:dyDescent="0.25">
      <c r="B1147" s="23"/>
      <c r="C1147" s="23"/>
    </row>
    <row r="1148" spans="2:3" ht="15" customHeight="1" x14ac:dyDescent="0.25">
      <c r="B1148" s="23"/>
      <c r="C1148" s="23"/>
    </row>
    <row r="1149" spans="2:3" ht="15" customHeight="1" x14ac:dyDescent="0.25">
      <c r="B1149" s="23"/>
      <c r="C1149" s="23"/>
    </row>
    <row r="1150" spans="2:3" ht="15" customHeight="1" x14ac:dyDescent="0.25">
      <c r="B1150" s="23"/>
      <c r="C1150" s="23"/>
    </row>
    <row r="1151" spans="2:3" ht="15" customHeight="1" x14ac:dyDescent="0.25">
      <c r="B1151" s="23"/>
      <c r="C1151" s="23"/>
    </row>
    <row r="1152" spans="2:3" ht="15" customHeight="1" x14ac:dyDescent="0.25">
      <c r="B1152" s="23"/>
      <c r="C1152" s="23"/>
    </row>
    <row r="1153" spans="2:3" ht="15" customHeight="1" x14ac:dyDescent="0.25">
      <c r="B1153" s="23"/>
      <c r="C1153" s="23"/>
    </row>
    <row r="1154" spans="2:3" ht="15" customHeight="1" x14ac:dyDescent="0.25">
      <c r="B1154" s="23"/>
      <c r="C1154" s="23"/>
    </row>
    <row r="1155" spans="2:3" ht="15" customHeight="1" x14ac:dyDescent="0.25">
      <c r="B1155" s="23"/>
      <c r="C1155" s="23"/>
    </row>
    <row r="1156" spans="2:3" ht="15" customHeight="1" x14ac:dyDescent="0.25">
      <c r="B1156" s="23"/>
      <c r="C1156" s="23"/>
    </row>
    <row r="1157" spans="2:3" ht="15" customHeight="1" x14ac:dyDescent="0.25">
      <c r="B1157" s="23"/>
      <c r="C1157" s="23"/>
    </row>
    <row r="1158" spans="2:3" ht="15" customHeight="1" x14ac:dyDescent="0.25">
      <c r="B1158" s="23"/>
      <c r="C1158" s="23"/>
    </row>
    <row r="1159" spans="2:3" ht="15" customHeight="1" x14ac:dyDescent="0.25">
      <c r="B1159" s="23"/>
      <c r="C1159" s="23"/>
    </row>
    <row r="1160" spans="2:3" ht="15" customHeight="1" x14ac:dyDescent="0.25">
      <c r="B1160" s="23"/>
      <c r="C1160" s="23"/>
    </row>
    <row r="1161" spans="2:3" ht="15" customHeight="1" x14ac:dyDescent="0.25">
      <c r="B1161" s="23"/>
      <c r="C1161" s="23"/>
    </row>
    <row r="1162" spans="2:3" ht="15" customHeight="1" x14ac:dyDescent="0.25">
      <c r="B1162" s="23"/>
      <c r="C1162" s="23"/>
    </row>
    <row r="1163" spans="2:3" ht="15" customHeight="1" x14ac:dyDescent="0.25">
      <c r="B1163" s="23"/>
      <c r="C1163" s="23"/>
    </row>
    <row r="1164" spans="2:3" ht="15" customHeight="1" x14ac:dyDescent="0.25">
      <c r="B1164" s="23"/>
      <c r="C1164" s="23"/>
    </row>
    <row r="1165" spans="2:3" ht="15" customHeight="1" x14ac:dyDescent="0.25">
      <c r="B1165" s="23"/>
      <c r="C1165" s="23"/>
    </row>
    <row r="1166" spans="2:3" ht="15" customHeight="1" x14ac:dyDescent="0.25">
      <c r="B1166" s="23"/>
      <c r="C1166" s="23"/>
    </row>
    <row r="1167" spans="2:3" ht="15" customHeight="1" x14ac:dyDescent="0.25">
      <c r="B1167" s="23"/>
      <c r="C1167" s="23"/>
    </row>
    <row r="1168" spans="2:3" ht="15" customHeight="1" x14ac:dyDescent="0.25">
      <c r="B1168" s="23"/>
      <c r="C1168" s="23"/>
    </row>
    <row r="1169" spans="2:3" ht="15" customHeight="1" x14ac:dyDescent="0.25">
      <c r="B1169" s="23"/>
      <c r="C1169" s="23"/>
    </row>
    <row r="1170" spans="2:3" ht="15" customHeight="1" x14ac:dyDescent="0.25">
      <c r="B1170" s="23"/>
      <c r="C1170" s="23"/>
    </row>
    <row r="1171" spans="2:3" ht="15" customHeight="1" x14ac:dyDescent="0.25">
      <c r="B1171" s="23"/>
      <c r="C1171" s="23"/>
    </row>
    <row r="1172" spans="2:3" ht="15" customHeight="1" x14ac:dyDescent="0.25">
      <c r="B1172" s="23"/>
      <c r="C1172" s="23"/>
    </row>
    <row r="1173" spans="2:3" ht="15" customHeight="1" x14ac:dyDescent="0.25">
      <c r="B1173" s="23"/>
      <c r="C1173" s="23"/>
    </row>
    <row r="1174" spans="2:3" ht="15" customHeight="1" x14ac:dyDescent="0.25">
      <c r="B1174" s="23"/>
      <c r="C1174" s="23"/>
    </row>
    <row r="1175" spans="2:3" ht="15" customHeight="1" x14ac:dyDescent="0.25">
      <c r="B1175" s="23"/>
      <c r="C1175" s="23"/>
    </row>
    <row r="1176" spans="2:3" ht="15" customHeight="1" x14ac:dyDescent="0.25">
      <c r="B1176" s="23"/>
      <c r="C1176" s="23"/>
    </row>
    <row r="1177" spans="2:3" ht="15" customHeight="1" x14ac:dyDescent="0.25">
      <c r="B1177" s="23"/>
      <c r="C1177" s="23"/>
    </row>
    <row r="1178" spans="2:3" ht="15" customHeight="1" x14ac:dyDescent="0.25">
      <c r="B1178" s="23"/>
      <c r="C1178" s="23"/>
    </row>
    <row r="1179" spans="2:3" ht="15" customHeight="1" x14ac:dyDescent="0.25">
      <c r="B1179" s="23"/>
      <c r="C1179" s="23"/>
    </row>
    <row r="1180" spans="2:3" ht="15" customHeight="1" x14ac:dyDescent="0.25">
      <c r="B1180" s="23"/>
      <c r="C1180" s="23"/>
    </row>
    <row r="1181" spans="2:3" ht="15" customHeight="1" x14ac:dyDescent="0.25">
      <c r="B1181" s="23"/>
      <c r="C1181" s="23"/>
    </row>
    <row r="1182" spans="2:3" ht="15" customHeight="1" x14ac:dyDescent="0.25">
      <c r="B1182" s="23"/>
      <c r="C1182" s="23"/>
    </row>
    <row r="1183" spans="2:3" ht="15" customHeight="1" x14ac:dyDescent="0.25">
      <c r="B1183" s="23"/>
      <c r="C1183" s="23"/>
    </row>
    <row r="1184" spans="2:3" ht="15" customHeight="1" x14ac:dyDescent="0.25">
      <c r="B1184" s="23"/>
      <c r="C1184" s="23"/>
    </row>
    <row r="1185" spans="2:3" ht="15" customHeight="1" x14ac:dyDescent="0.25">
      <c r="B1185" s="23"/>
      <c r="C1185" s="23"/>
    </row>
    <row r="1186" spans="2:3" ht="15" customHeight="1" x14ac:dyDescent="0.25">
      <c r="B1186" s="23"/>
      <c r="C1186" s="23"/>
    </row>
    <row r="1187" spans="2:3" ht="15" customHeight="1" x14ac:dyDescent="0.25">
      <c r="B1187" s="23"/>
      <c r="C1187" s="23"/>
    </row>
    <row r="1188" spans="2:3" ht="15" customHeight="1" x14ac:dyDescent="0.25">
      <c r="B1188" s="23"/>
      <c r="C1188" s="23"/>
    </row>
    <row r="1189" spans="2:3" ht="15" customHeight="1" x14ac:dyDescent="0.25">
      <c r="B1189" s="23"/>
      <c r="C1189" s="23"/>
    </row>
    <row r="1190" spans="2:3" ht="15" customHeight="1" x14ac:dyDescent="0.25">
      <c r="B1190" s="23"/>
      <c r="C1190" s="23"/>
    </row>
    <row r="1191" spans="2:3" ht="15" customHeight="1" x14ac:dyDescent="0.25">
      <c r="B1191" s="23"/>
      <c r="C1191" s="23"/>
    </row>
    <row r="1192" spans="2:3" ht="15" customHeight="1" x14ac:dyDescent="0.25">
      <c r="B1192" s="23"/>
      <c r="C1192" s="23"/>
    </row>
    <row r="1193" spans="2:3" ht="15" customHeight="1" x14ac:dyDescent="0.25">
      <c r="B1193" s="23"/>
      <c r="C1193" s="23"/>
    </row>
    <row r="1194" spans="2:3" ht="15" customHeight="1" x14ac:dyDescent="0.25">
      <c r="B1194" s="23"/>
      <c r="C1194" s="23"/>
    </row>
    <row r="1195" spans="2:3" ht="15" customHeight="1" x14ac:dyDescent="0.25">
      <c r="B1195" s="23"/>
      <c r="C1195" s="23"/>
    </row>
    <row r="1196" spans="2:3" ht="15" customHeight="1" x14ac:dyDescent="0.25">
      <c r="B1196" s="23"/>
      <c r="C1196" s="23"/>
    </row>
    <row r="1197" spans="2:3" ht="15" customHeight="1" x14ac:dyDescent="0.25">
      <c r="B1197" s="23"/>
      <c r="C1197" s="23"/>
    </row>
    <row r="1198" spans="2:3" ht="15" customHeight="1" x14ac:dyDescent="0.25">
      <c r="B1198" s="23"/>
      <c r="C1198" s="23"/>
    </row>
    <row r="1199" spans="2:3" ht="15" customHeight="1" x14ac:dyDescent="0.25">
      <c r="B1199" s="23"/>
      <c r="C1199" s="23"/>
    </row>
    <row r="1200" spans="2:3" ht="15" customHeight="1" x14ac:dyDescent="0.25">
      <c r="B1200" s="23"/>
      <c r="C1200" s="23"/>
    </row>
    <row r="1201" spans="2:3" ht="15" customHeight="1" x14ac:dyDescent="0.25">
      <c r="B1201" s="23"/>
      <c r="C1201" s="23"/>
    </row>
    <row r="1202" spans="2:3" ht="15" customHeight="1" x14ac:dyDescent="0.25">
      <c r="B1202" s="23"/>
      <c r="C1202" s="23"/>
    </row>
    <row r="1203" spans="2:3" ht="15" customHeight="1" x14ac:dyDescent="0.25">
      <c r="B1203" s="23"/>
      <c r="C1203" s="23"/>
    </row>
    <row r="1204" spans="2:3" ht="15" customHeight="1" x14ac:dyDescent="0.25">
      <c r="B1204" s="23"/>
      <c r="C1204" s="23"/>
    </row>
    <row r="1205" spans="2:3" ht="15" customHeight="1" x14ac:dyDescent="0.25">
      <c r="B1205" s="23"/>
      <c r="C1205" s="23"/>
    </row>
    <row r="1206" spans="2:3" ht="15" customHeight="1" x14ac:dyDescent="0.25">
      <c r="B1206" s="23"/>
      <c r="C1206" s="23"/>
    </row>
    <row r="1207" spans="2:3" ht="15" customHeight="1" x14ac:dyDescent="0.25">
      <c r="B1207" s="23"/>
      <c r="C1207" s="23"/>
    </row>
    <row r="1208" spans="2:3" ht="15" customHeight="1" x14ac:dyDescent="0.25">
      <c r="B1208" s="23"/>
      <c r="C1208" s="23"/>
    </row>
    <row r="1209" spans="2:3" ht="15" customHeight="1" x14ac:dyDescent="0.25">
      <c r="B1209" s="23"/>
      <c r="C1209" s="23"/>
    </row>
    <row r="1210" spans="2:3" ht="15" customHeight="1" x14ac:dyDescent="0.25">
      <c r="B1210" s="23"/>
      <c r="C1210" s="23"/>
    </row>
    <row r="1211" spans="2:3" ht="15" customHeight="1" x14ac:dyDescent="0.25">
      <c r="B1211" s="23"/>
      <c r="C1211" s="23"/>
    </row>
    <row r="1212" spans="2:3" ht="15" customHeight="1" x14ac:dyDescent="0.25">
      <c r="B1212" s="23"/>
      <c r="C1212" s="23"/>
    </row>
    <row r="1213" spans="2:3" ht="15" customHeight="1" x14ac:dyDescent="0.25">
      <c r="B1213" s="23"/>
      <c r="C1213" s="23"/>
    </row>
    <row r="1214" spans="2:3" ht="15" customHeight="1" x14ac:dyDescent="0.25">
      <c r="B1214" s="23"/>
      <c r="C1214" s="23"/>
    </row>
    <row r="1215" spans="2:3" ht="15" customHeight="1" x14ac:dyDescent="0.25">
      <c r="B1215" s="23"/>
      <c r="C1215" s="23"/>
    </row>
    <row r="1216" spans="2:3" ht="15" customHeight="1" x14ac:dyDescent="0.25">
      <c r="B1216" s="23"/>
      <c r="C1216" s="23"/>
    </row>
    <row r="1217" spans="2:3" ht="15" customHeight="1" x14ac:dyDescent="0.25">
      <c r="B1217" s="23"/>
      <c r="C1217" s="23"/>
    </row>
    <row r="1218" spans="2:3" ht="15" customHeight="1" x14ac:dyDescent="0.25">
      <c r="B1218" s="23"/>
      <c r="C1218" s="23"/>
    </row>
    <row r="1219" spans="2:3" ht="15" customHeight="1" x14ac:dyDescent="0.25">
      <c r="B1219" s="23"/>
      <c r="C1219" s="23"/>
    </row>
    <row r="1220" spans="2:3" ht="15" customHeight="1" x14ac:dyDescent="0.25">
      <c r="B1220" s="23"/>
      <c r="C1220" s="23"/>
    </row>
    <row r="1221" spans="2:3" ht="15" customHeight="1" x14ac:dyDescent="0.25">
      <c r="B1221" s="23"/>
      <c r="C1221" s="23"/>
    </row>
    <row r="1222" spans="2:3" ht="15" customHeight="1" x14ac:dyDescent="0.25">
      <c r="B1222" s="23"/>
      <c r="C1222" s="23"/>
    </row>
    <row r="1223" spans="2:3" ht="15" customHeight="1" x14ac:dyDescent="0.25">
      <c r="B1223" s="23"/>
      <c r="C1223" s="23"/>
    </row>
    <row r="1224" spans="2:3" ht="15" customHeight="1" x14ac:dyDescent="0.25">
      <c r="B1224" s="23"/>
      <c r="C1224" s="23"/>
    </row>
    <row r="1225" spans="2:3" ht="15" customHeight="1" x14ac:dyDescent="0.25">
      <c r="B1225" s="23"/>
      <c r="C1225" s="23"/>
    </row>
    <row r="1226" spans="2:3" ht="15" customHeight="1" x14ac:dyDescent="0.25">
      <c r="B1226" s="23"/>
      <c r="C1226" s="23"/>
    </row>
    <row r="1227" spans="2:3" ht="15" customHeight="1" x14ac:dyDescent="0.25">
      <c r="B1227" s="23"/>
      <c r="C1227" s="23"/>
    </row>
    <row r="1228" spans="2:3" ht="15" customHeight="1" x14ac:dyDescent="0.25">
      <c r="B1228" s="23"/>
      <c r="C1228" s="23"/>
    </row>
    <row r="1229" spans="2:3" ht="15" customHeight="1" x14ac:dyDescent="0.25">
      <c r="B1229" s="23"/>
      <c r="C1229" s="23"/>
    </row>
    <row r="1230" spans="2:3" ht="15" customHeight="1" x14ac:dyDescent="0.25">
      <c r="B1230" s="23"/>
      <c r="C1230" s="23"/>
    </row>
    <row r="1231" spans="2:3" ht="15" customHeight="1" x14ac:dyDescent="0.25">
      <c r="B1231" s="23"/>
      <c r="C1231" s="23"/>
    </row>
    <row r="1232" spans="2:3" ht="15" customHeight="1" x14ac:dyDescent="0.25">
      <c r="B1232" s="23"/>
      <c r="C1232" s="23"/>
    </row>
    <row r="1233" spans="2:3" ht="15" customHeight="1" x14ac:dyDescent="0.25">
      <c r="B1233" s="23"/>
      <c r="C1233" s="23"/>
    </row>
    <row r="1234" spans="2:3" ht="15" customHeight="1" x14ac:dyDescent="0.25">
      <c r="B1234" s="23"/>
      <c r="C1234" s="23"/>
    </row>
    <row r="1235" spans="2:3" ht="15" customHeight="1" x14ac:dyDescent="0.25">
      <c r="B1235" s="23"/>
      <c r="C1235" s="23"/>
    </row>
    <row r="1236" spans="2:3" ht="15" customHeight="1" x14ac:dyDescent="0.25">
      <c r="B1236" s="23"/>
      <c r="C1236" s="23"/>
    </row>
    <row r="1237" spans="2:3" ht="15" customHeight="1" x14ac:dyDescent="0.25">
      <c r="B1237" s="23"/>
      <c r="C1237" s="23"/>
    </row>
    <row r="1238" spans="2:3" ht="15" customHeight="1" x14ac:dyDescent="0.25">
      <c r="B1238" s="23"/>
      <c r="C1238" s="23"/>
    </row>
    <row r="1239" spans="2:3" ht="15" customHeight="1" x14ac:dyDescent="0.25">
      <c r="B1239" s="23"/>
      <c r="C1239" s="23"/>
    </row>
    <row r="1240" spans="2:3" ht="15" customHeight="1" x14ac:dyDescent="0.25">
      <c r="B1240" s="23"/>
      <c r="C1240" s="23"/>
    </row>
    <row r="1241" spans="2:3" ht="15" customHeight="1" x14ac:dyDescent="0.25">
      <c r="B1241" s="23"/>
      <c r="C1241" s="23"/>
    </row>
    <row r="1242" spans="2:3" ht="15" customHeight="1" x14ac:dyDescent="0.25">
      <c r="B1242" s="23"/>
      <c r="C1242" s="23"/>
    </row>
    <row r="1243" spans="2:3" ht="15" customHeight="1" x14ac:dyDescent="0.25">
      <c r="B1243" s="23"/>
      <c r="C1243" s="23"/>
    </row>
    <row r="1244" spans="2:3" ht="15" customHeight="1" x14ac:dyDescent="0.25">
      <c r="B1244" s="23"/>
      <c r="C1244" s="23"/>
    </row>
    <row r="1245" spans="2:3" ht="15" customHeight="1" x14ac:dyDescent="0.25">
      <c r="B1245" s="23"/>
      <c r="C1245" s="23"/>
    </row>
    <row r="1246" spans="2:3" ht="15" customHeight="1" x14ac:dyDescent="0.25">
      <c r="B1246" s="23"/>
      <c r="C1246" s="23"/>
    </row>
    <row r="1247" spans="2:3" ht="15" customHeight="1" x14ac:dyDescent="0.25">
      <c r="B1247" s="23"/>
      <c r="C1247" s="23"/>
    </row>
    <row r="1248" spans="2:3" ht="15" customHeight="1" x14ac:dyDescent="0.25">
      <c r="B1248" s="23"/>
      <c r="C1248" s="23"/>
    </row>
    <row r="1249" spans="2:3" ht="15" customHeight="1" x14ac:dyDescent="0.25">
      <c r="B1249" s="23"/>
      <c r="C1249" s="23"/>
    </row>
    <row r="1250" spans="2:3" ht="15" customHeight="1" x14ac:dyDescent="0.25">
      <c r="B1250" s="23"/>
      <c r="C1250" s="23"/>
    </row>
    <row r="1251" spans="2:3" ht="15" customHeight="1" x14ac:dyDescent="0.25">
      <c r="B1251" s="23"/>
      <c r="C1251" s="23"/>
    </row>
    <row r="1252" spans="2:3" ht="15" customHeight="1" x14ac:dyDescent="0.25">
      <c r="B1252" s="23"/>
      <c r="C1252" s="23"/>
    </row>
    <row r="1253" spans="2:3" ht="15" customHeight="1" x14ac:dyDescent="0.25">
      <c r="B1253" s="23"/>
      <c r="C1253" s="23"/>
    </row>
    <row r="1254" spans="2:3" ht="15" customHeight="1" x14ac:dyDescent="0.25">
      <c r="B1254" s="23"/>
      <c r="C1254" s="23"/>
    </row>
    <row r="1255" spans="2:3" ht="15" customHeight="1" x14ac:dyDescent="0.25">
      <c r="B1255" s="23"/>
      <c r="C1255" s="23"/>
    </row>
    <row r="1256" spans="2:3" ht="15" customHeight="1" x14ac:dyDescent="0.25">
      <c r="B1256" s="23"/>
      <c r="C1256" s="23"/>
    </row>
    <row r="1257" spans="2:3" ht="15" customHeight="1" x14ac:dyDescent="0.25">
      <c r="B1257" s="23"/>
      <c r="C1257" s="23"/>
    </row>
    <row r="1258" spans="2:3" ht="15" customHeight="1" x14ac:dyDescent="0.25">
      <c r="B1258" s="23"/>
      <c r="C1258" s="23"/>
    </row>
    <row r="1259" spans="2:3" ht="15" customHeight="1" x14ac:dyDescent="0.25">
      <c r="B1259" s="23"/>
      <c r="C1259" s="23"/>
    </row>
    <row r="1260" spans="2:3" ht="15" customHeight="1" x14ac:dyDescent="0.25">
      <c r="B1260" s="23"/>
      <c r="C1260" s="23"/>
    </row>
    <row r="1261" spans="2:3" ht="15" customHeight="1" x14ac:dyDescent="0.25">
      <c r="B1261" s="23"/>
      <c r="C1261" s="23"/>
    </row>
    <row r="1262" spans="2:3" ht="15" customHeight="1" x14ac:dyDescent="0.25">
      <c r="B1262" s="23"/>
      <c r="C1262" s="23"/>
    </row>
    <row r="1263" spans="2:3" ht="15" customHeight="1" x14ac:dyDescent="0.25">
      <c r="B1263" s="23"/>
      <c r="C1263" s="23"/>
    </row>
    <row r="1264" spans="2:3" ht="15" customHeight="1" x14ac:dyDescent="0.25">
      <c r="B1264" s="23"/>
      <c r="C1264" s="23"/>
    </row>
    <row r="1265" spans="2:3" ht="15" customHeight="1" x14ac:dyDescent="0.25">
      <c r="B1265" s="23"/>
      <c r="C1265" s="23"/>
    </row>
    <row r="1266" spans="2:3" ht="15" customHeight="1" x14ac:dyDescent="0.25">
      <c r="B1266" s="23"/>
      <c r="C1266" s="23"/>
    </row>
    <row r="1267" spans="2:3" ht="15" customHeight="1" x14ac:dyDescent="0.25">
      <c r="B1267" s="23"/>
      <c r="C1267" s="23"/>
    </row>
    <row r="1268" spans="2:3" ht="15" customHeight="1" x14ac:dyDescent="0.25">
      <c r="B1268" s="23"/>
      <c r="C1268" s="23"/>
    </row>
    <row r="1269" spans="2:3" ht="15" customHeight="1" x14ac:dyDescent="0.25">
      <c r="B1269" s="23"/>
      <c r="C1269" s="23"/>
    </row>
    <row r="1270" spans="2:3" ht="15" customHeight="1" x14ac:dyDescent="0.25">
      <c r="B1270" s="23"/>
      <c r="C1270" s="23"/>
    </row>
    <row r="1271" spans="2:3" ht="15" customHeight="1" x14ac:dyDescent="0.25">
      <c r="B1271" s="23"/>
      <c r="C1271" s="23"/>
    </row>
    <row r="1272" spans="2:3" ht="15" customHeight="1" x14ac:dyDescent="0.25">
      <c r="B1272" s="23"/>
      <c r="C1272" s="23"/>
    </row>
    <row r="1273" spans="2:3" ht="15" customHeight="1" x14ac:dyDescent="0.25">
      <c r="B1273" s="23"/>
      <c r="C1273" s="23"/>
    </row>
    <row r="1274" spans="2:3" ht="15" customHeight="1" x14ac:dyDescent="0.25">
      <c r="B1274" s="23"/>
      <c r="C1274" s="23"/>
    </row>
    <row r="1275" spans="2:3" ht="15" customHeight="1" x14ac:dyDescent="0.25">
      <c r="B1275" s="23"/>
      <c r="C1275" s="23"/>
    </row>
    <row r="1276" spans="2:3" ht="15" customHeight="1" x14ac:dyDescent="0.25">
      <c r="B1276" s="23"/>
      <c r="C1276" s="23"/>
    </row>
    <row r="1277" spans="2:3" ht="15" customHeight="1" x14ac:dyDescent="0.25">
      <c r="B1277" s="23"/>
      <c r="C1277" s="23"/>
    </row>
    <row r="1278" spans="2:3" ht="15" customHeight="1" x14ac:dyDescent="0.25">
      <c r="B1278" s="23"/>
      <c r="C1278" s="23"/>
    </row>
    <row r="1279" spans="2:3" ht="15" customHeight="1" x14ac:dyDescent="0.25">
      <c r="B1279" s="23"/>
      <c r="C1279" s="23"/>
    </row>
    <row r="1280" spans="2:3" ht="15" customHeight="1" x14ac:dyDescent="0.25">
      <c r="B1280" s="23"/>
      <c r="C1280" s="23"/>
    </row>
    <row r="1281" spans="2:3" ht="15" customHeight="1" x14ac:dyDescent="0.25">
      <c r="B1281" s="23"/>
      <c r="C1281" s="23"/>
    </row>
    <row r="1282" spans="2:3" ht="15" customHeight="1" x14ac:dyDescent="0.25">
      <c r="B1282" s="23"/>
      <c r="C1282" s="23"/>
    </row>
    <row r="1283" spans="2:3" ht="15" customHeight="1" x14ac:dyDescent="0.25">
      <c r="B1283" s="23"/>
      <c r="C1283" s="23"/>
    </row>
    <row r="1284" spans="2:3" ht="15" customHeight="1" x14ac:dyDescent="0.25">
      <c r="B1284" s="23"/>
      <c r="C1284" s="23"/>
    </row>
    <row r="1285" spans="2:3" ht="15" customHeight="1" x14ac:dyDescent="0.25">
      <c r="B1285" s="23"/>
      <c r="C1285" s="23"/>
    </row>
    <row r="1286" spans="2:3" ht="15" customHeight="1" x14ac:dyDescent="0.25">
      <c r="B1286" s="23"/>
      <c r="C1286" s="23"/>
    </row>
    <row r="1287" spans="2:3" ht="15" customHeight="1" x14ac:dyDescent="0.25">
      <c r="B1287" s="23"/>
      <c r="C1287" s="23"/>
    </row>
    <row r="1288" spans="2:3" ht="15" customHeight="1" x14ac:dyDescent="0.25">
      <c r="B1288" s="23"/>
      <c r="C1288" s="23"/>
    </row>
    <row r="1289" spans="2:3" ht="15" customHeight="1" x14ac:dyDescent="0.25">
      <c r="B1289" s="23"/>
      <c r="C1289" s="23"/>
    </row>
    <row r="1290" spans="2:3" ht="15" customHeight="1" x14ac:dyDescent="0.25">
      <c r="B1290" s="23"/>
      <c r="C1290" s="23"/>
    </row>
    <row r="1291" spans="2:3" ht="15" customHeight="1" x14ac:dyDescent="0.25">
      <c r="B1291" s="23"/>
      <c r="C1291" s="23"/>
    </row>
    <row r="1292" spans="2:3" ht="15" customHeight="1" x14ac:dyDescent="0.25">
      <c r="B1292" s="23"/>
      <c r="C1292" s="23"/>
    </row>
    <row r="1293" spans="2:3" ht="15" customHeight="1" x14ac:dyDescent="0.25">
      <c r="B1293" s="23"/>
      <c r="C1293" s="23"/>
    </row>
    <row r="1294" spans="2:3" ht="15" customHeight="1" x14ac:dyDescent="0.25">
      <c r="B1294" s="23"/>
      <c r="C1294" s="23"/>
    </row>
    <row r="1295" spans="2:3" ht="15" customHeight="1" x14ac:dyDescent="0.25">
      <c r="B1295" s="23"/>
      <c r="C1295" s="23"/>
    </row>
    <row r="1296" spans="2:3" ht="15" customHeight="1" x14ac:dyDescent="0.25">
      <c r="B1296" s="23"/>
      <c r="C1296" s="23"/>
    </row>
    <row r="1297" spans="2:3" ht="15" customHeight="1" x14ac:dyDescent="0.25">
      <c r="B1297" s="23"/>
      <c r="C1297" s="23"/>
    </row>
    <row r="1298" spans="2:3" ht="15" customHeight="1" x14ac:dyDescent="0.25">
      <c r="B1298" s="23"/>
      <c r="C1298" s="23"/>
    </row>
    <row r="1299" spans="2:3" ht="15" customHeight="1" x14ac:dyDescent="0.25">
      <c r="B1299" s="23"/>
      <c r="C1299" s="23"/>
    </row>
    <row r="1300" spans="2:3" ht="15" customHeight="1" x14ac:dyDescent="0.25">
      <c r="B1300" s="23"/>
      <c r="C1300" s="23"/>
    </row>
    <row r="1301" spans="2:3" ht="15" customHeight="1" x14ac:dyDescent="0.25">
      <c r="B1301" s="23"/>
      <c r="C1301" s="23"/>
    </row>
    <row r="1302" spans="2:3" ht="15" customHeight="1" x14ac:dyDescent="0.25">
      <c r="B1302" s="23"/>
      <c r="C1302" s="23"/>
    </row>
    <row r="1303" spans="2:3" ht="15" customHeight="1" x14ac:dyDescent="0.25">
      <c r="B1303" s="23"/>
      <c r="C1303" s="23"/>
    </row>
    <row r="1304" spans="2:3" ht="15" customHeight="1" x14ac:dyDescent="0.25">
      <c r="B1304" s="23"/>
      <c r="C1304" s="23"/>
    </row>
    <row r="1305" spans="2:3" ht="15" customHeight="1" x14ac:dyDescent="0.25">
      <c r="B1305" s="23"/>
      <c r="C1305" s="23"/>
    </row>
    <row r="1306" spans="2:3" ht="15" customHeight="1" x14ac:dyDescent="0.25">
      <c r="B1306" s="23"/>
      <c r="C1306" s="23"/>
    </row>
    <row r="1307" spans="2:3" ht="15" customHeight="1" x14ac:dyDescent="0.25">
      <c r="B1307" s="23"/>
      <c r="C1307" s="23"/>
    </row>
    <row r="1308" spans="2:3" ht="15" customHeight="1" x14ac:dyDescent="0.25">
      <c r="B1308" s="23"/>
      <c r="C1308" s="23"/>
    </row>
    <row r="1309" spans="2:3" ht="15" customHeight="1" x14ac:dyDescent="0.25">
      <c r="B1309" s="23"/>
      <c r="C1309" s="23"/>
    </row>
    <row r="1310" spans="2:3" ht="15" customHeight="1" x14ac:dyDescent="0.25">
      <c r="B1310" s="23"/>
      <c r="C1310" s="23"/>
    </row>
    <row r="1311" spans="2:3" ht="15" customHeight="1" x14ac:dyDescent="0.25">
      <c r="B1311" s="23"/>
      <c r="C1311" s="23"/>
    </row>
    <row r="1312" spans="2:3" ht="15" customHeight="1" x14ac:dyDescent="0.25">
      <c r="B1312" s="23"/>
      <c r="C1312" s="23"/>
    </row>
    <row r="1313" spans="2:3" ht="15" customHeight="1" x14ac:dyDescent="0.25">
      <c r="B1313" s="23"/>
      <c r="C1313" s="23"/>
    </row>
    <row r="1314" spans="2:3" ht="15" customHeight="1" x14ac:dyDescent="0.25">
      <c r="B1314" s="23"/>
      <c r="C1314" s="23"/>
    </row>
    <row r="1315" spans="2:3" ht="15" customHeight="1" x14ac:dyDescent="0.25">
      <c r="B1315" s="23"/>
      <c r="C1315" s="23"/>
    </row>
    <row r="1316" spans="2:3" ht="15" customHeight="1" x14ac:dyDescent="0.25">
      <c r="B1316" s="23"/>
      <c r="C1316" s="23"/>
    </row>
    <row r="1317" spans="2:3" ht="15" customHeight="1" x14ac:dyDescent="0.25">
      <c r="B1317" s="23"/>
      <c r="C1317" s="23"/>
    </row>
    <row r="1318" spans="2:3" ht="15" customHeight="1" x14ac:dyDescent="0.25">
      <c r="B1318" s="23"/>
      <c r="C1318" s="23"/>
    </row>
    <row r="1319" spans="2:3" ht="15" customHeight="1" x14ac:dyDescent="0.25">
      <c r="B1319" s="23"/>
      <c r="C1319" s="23"/>
    </row>
    <row r="1320" spans="2:3" ht="15" customHeight="1" x14ac:dyDescent="0.25">
      <c r="B1320" s="23"/>
      <c r="C1320" s="23"/>
    </row>
    <row r="1321" spans="2:3" ht="15" customHeight="1" x14ac:dyDescent="0.25">
      <c r="B1321" s="23"/>
      <c r="C1321" s="23"/>
    </row>
    <row r="1322" spans="2:3" ht="15" customHeight="1" x14ac:dyDescent="0.25">
      <c r="B1322" s="23"/>
      <c r="C1322" s="23"/>
    </row>
    <row r="1323" spans="2:3" ht="15" customHeight="1" x14ac:dyDescent="0.25">
      <c r="B1323" s="23"/>
      <c r="C1323" s="23"/>
    </row>
    <row r="1324" spans="2:3" ht="15" customHeight="1" x14ac:dyDescent="0.25">
      <c r="B1324" s="23"/>
      <c r="C1324" s="23"/>
    </row>
    <row r="1325" spans="2:3" ht="15" customHeight="1" x14ac:dyDescent="0.25">
      <c r="B1325" s="23"/>
      <c r="C1325" s="23"/>
    </row>
    <row r="1326" spans="2:3" ht="15" customHeight="1" x14ac:dyDescent="0.25">
      <c r="B1326" s="23"/>
      <c r="C1326" s="23"/>
    </row>
    <row r="1327" spans="2:3" ht="15" customHeight="1" x14ac:dyDescent="0.25">
      <c r="B1327" s="23"/>
      <c r="C1327" s="23"/>
    </row>
    <row r="1328" spans="2:3" ht="15" customHeight="1" x14ac:dyDescent="0.25">
      <c r="B1328" s="23"/>
      <c r="C1328" s="23"/>
    </row>
    <row r="1329" spans="2:3" ht="15" customHeight="1" x14ac:dyDescent="0.25">
      <c r="B1329" s="23"/>
      <c r="C1329" s="23"/>
    </row>
    <row r="1330" spans="2:3" ht="15" customHeight="1" x14ac:dyDescent="0.25">
      <c r="B1330" s="23"/>
      <c r="C1330" s="23"/>
    </row>
    <row r="1331" spans="2:3" ht="15" customHeight="1" x14ac:dyDescent="0.25">
      <c r="B1331" s="23"/>
      <c r="C1331" s="23"/>
    </row>
    <row r="1332" spans="2:3" ht="15" customHeight="1" x14ac:dyDescent="0.25">
      <c r="B1332" s="23"/>
      <c r="C1332" s="23"/>
    </row>
    <row r="1333" spans="2:3" ht="15" customHeight="1" x14ac:dyDescent="0.25">
      <c r="B1333" s="23"/>
      <c r="C1333" s="23"/>
    </row>
    <row r="1334" spans="2:3" ht="15" customHeight="1" x14ac:dyDescent="0.25">
      <c r="B1334" s="23"/>
      <c r="C1334" s="23"/>
    </row>
    <row r="1335" spans="2:3" ht="15" customHeight="1" x14ac:dyDescent="0.25">
      <c r="B1335" s="23"/>
      <c r="C1335" s="23"/>
    </row>
    <row r="1336" spans="2:3" ht="15" customHeight="1" x14ac:dyDescent="0.25">
      <c r="B1336" s="23"/>
      <c r="C1336" s="23"/>
    </row>
    <row r="1337" spans="2:3" ht="15" customHeight="1" x14ac:dyDescent="0.25">
      <c r="B1337" s="23"/>
      <c r="C1337" s="23"/>
    </row>
    <row r="1338" spans="2:3" ht="15" customHeight="1" x14ac:dyDescent="0.25">
      <c r="B1338" s="23"/>
      <c r="C1338" s="23"/>
    </row>
    <row r="1339" spans="2:3" ht="15" customHeight="1" x14ac:dyDescent="0.25">
      <c r="B1339" s="23"/>
      <c r="C1339" s="23"/>
    </row>
    <row r="1340" spans="2:3" ht="15" customHeight="1" x14ac:dyDescent="0.25">
      <c r="B1340" s="23"/>
      <c r="C1340" s="23"/>
    </row>
    <row r="1341" spans="2:3" ht="15" customHeight="1" x14ac:dyDescent="0.25">
      <c r="B1341" s="23"/>
      <c r="C1341" s="23"/>
    </row>
    <row r="1342" spans="2:3" ht="15" customHeight="1" x14ac:dyDescent="0.25">
      <c r="B1342" s="23"/>
      <c r="C1342" s="23"/>
    </row>
    <row r="1343" spans="2:3" ht="15" customHeight="1" x14ac:dyDescent="0.25">
      <c r="B1343" s="23"/>
      <c r="C1343" s="23"/>
    </row>
    <row r="1344" spans="2:3" ht="15" customHeight="1" x14ac:dyDescent="0.25">
      <c r="B1344" s="23"/>
      <c r="C1344" s="23"/>
    </row>
    <row r="1345" spans="2:3" ht="15" customHeight="1" x14ac:dyDescent="0.25">
      <c r="B1345" s="23"/>
      <c r="C1345" s="23"/>
    </row>
    <row r="1346" spans="2:3" ht="15" customHeight="1" x14ac:dyDescent="0.25">
      <c r="B1346" s="23"/>
      <c r="C1346" s="23"/>
    </row>
    <row r="1347" spans="2:3" ht="15" customHeight="1" x14ac:dyDescent="0.25">
      <c r="B1347" s="23"/>
      <c r="C1347" s="23"/>
    </row>
    <row r="1348" spans="2:3" ht="15" customHeight="1" x14ac:dyDescent="0.25">
      <c r="B1348" s="23"/>
      <c r="C1348" s="23"/>
    </row>
    <row r="1349" spans="2:3" ht="15" customHeight="1" x14ac:dyDescent="0.25">
      <c r="B1349" s="23"/>
      <c r="C1349" s="23"/>
    </row>
    <row r="1350" spans="2:3" ht="15" customHeight="1" x14ac:dyDescent="0.25">
      <c r="B1350" s="23"/>
      <c r="C1350" s="23"/>
    </row>
    <row r="1351" spans="2:3" ht="15" customHeight="1" x14ac:dyDescent="0.25">
      <c r="B1351" s="23"/>
      <c r="C1351" s="23"/>
    </row>
    <row r="1352" spans="2:3" ht="15" customHeight="1" x14ac:dyDescent="0.25">
      <c r="B1352" s="23"/>
      <c r="C1352" s="23"/>
    </row>
    <row r="1353" spans="2:3" ht="15" customHeight="1" x14ac:dyDescent="0.25">
      <c r="B1353" s="23"/>
      <c r="C1353" s="23"/>
    </row>
    <row r="1354" spans="2:3" ht="15" customHeight="1" x14ac:dyDescent="0.25">
      <c r="B1354" s="23"/>
      <c r="C1354" s="23"/>
    </row>
    <row r="1355" spans="2:3" ht="15" customHeight="1" x14ac:dyDescent="0.25">
      <c r="B1355" s="23"/>
      <c r="C1355" s="23"/>
    </row>
    <row r="1356" spans="2:3" ht="15" customHeight="1" x14ac:dyDescent="0.25">
      <c r="B1356" s="23"/>
      <c r="C1356" s="23"/>
    </row>
    <row r="1357" spans="2:3" ht="15" customHeight="1" x14ac:dyDescent="0.25">
      <c r="B1357" s="23"/>
      <c r="C1357" s="23"/>
    </row>
    <row r="1358" spans="2:3" ht="15" customHeight="1" x14ac:dyDescent="0.25">
      <c r="B1358" s="23"/>
      <c r="C1358" s="23"/>
    </row>
    <row r="1359" spans="2:3" ht="15" customHeight="1" x14ac:dyDescent="0.25">
      <c r="B1359" s="23"/>
      <c r="C1359" s="23"/>
    </row>
    <row r="1360" spans="2:3" ht="15" customHeight="1" x14ac:dyDescent="0.25">
      <c r="B1360" s="23"/>
      <c r="C1360" s="23"/>
    </row>
    <row r="1361" spans="2:3" ht="15" customHeight="1" x14ac:dyDescent="0.25">
      <c r="B1361" s="23"/>
      <c r="C1361" s="23"/>
    </row>
    <row r="1362" spans="2:3" ht="15" customHeight="1" x14ac:dyDescent="0.25">
      <c r="B1362" s="23"/>
      <c r="C1362" s="23"/>
    </row>
    <row r="1363" spans="2:3" ht="15" customHeight="1" x14ac:dyDescent="0.25">
      <c r="B1363" s="23"/>
      <c r="C1363" s="23"/>
    </row>
    <row r="1364" spans="2:3" ht="15" customHeight="1" x14ac:dyDescent="0.25">
      <c r="B1364" s="23"/>
      <c r="C1364" s="23"/>
    </row>
    <row r="1365" spans="2:3" ht="15" customHeight="1" x14ac:dyDescent="0.25">
      <c r="B1365" s="23"/>
      <c r="C1365" s="23"/>
    </row>
    <row r="1366" spans="2:3" ht="15" customHeight="1" x14ac:dyDescent="0.25">
      <c r="B1366" s="23"/>
      <c r="C1366" s="23"/>
    </row>
    <row r="1367" spans="2:3" ht="15" customHeight="1" x14ac:dyDescent="0.25">
      <c r="B1367" s="23"/>
      <c r="C1367" s="23"/>
    </row>
    <row r="1368" spans="2:3" ht="15" customHeight="1" x14ac:dyDescent="0.25">
      <c r="B1368" s="23"/>
      <c r="C1368" s="23"/>
    </row>
    <row r="1369" spans="2:3" ht="15" customHeight="1" x14ac:dyDescent="0.25">
      <c r="B1369" s="23"/>
      <c r="C1369" s="23"/>
    </row>
    <row r="1370" spans="2:3" ht="15" customHeight="1" x14ac:dyDescent="0.25">
      <c r="B1370" s="23"/>
      <c r="C1370" s="23"/>
    </row>
    <row r="1371" spans="2:3" ht="15" customHeight="1" x14ac:dyDescent="0.25">
      <c r="B1371" s="23"/>
      <c r="C1371" s="23"/>
    </row>
    <row r="1372" spans="2:3" ht="15" customHeight="1" x14ac:dyDescent="0.25">
      <c r="B1372" s="23"/>
      <c r="C1372" s="23"/>
    </row>
    <row r="1373" spans="2:3" ht="15" customHeight="1" x14ac:dyDescent="0.25">
      <c r="B1373" s="23"/>
      <c r="C1373" s="23"/>
    </row>
    <row r="1374" spans="2:3" ht="15" customHeight="1" x14ac:dyDescent="0.25">
      <c r="B1374" s="23"/>
      <c r="C1374" s="23"/>
    </row>
    <row r="1375" spans="2:3" ht="15" customHeight="1" x14ac:dyDescent="0.25">
      <c r="B1375" s="23"/>
      <c r="C1375" s="23"/>
    </row>
    <row r="1376" spans="2:3" ht="15" customHeight="1" x14ac:dyDescent="0.25">
      <c r="B1376" s="23"/>
      <c r="C1376" s="23"/>
    </row>
    <row r="1377" spans="2:3" ht="15" customHeight="1" x14ac:dyDescent="0.25">
      <c r="B1377" s="23"/>
      <c r="C1377" s="23"/>
    </row>
    <row r="1378" spans="2:3" ht="15" customHeight="1" x14ac:dyDescent="0.25">
      <c r="B1378" s="23"/>
      <c r="C1378" s="23"/>
    </row>
    <row r="1379" spans="2:3" ht="15" customHeight="1" x14ac:dyDescent="0.25">
      <c r="B1379" s="23"/>
      <c r="C1379" s="23"/>
    </row>
    <row r="1380" spans="2:3" ht="15" customHeight="1" x14ac:dyDescent="0.25">
      <c r="B1380" s="23"/>
      <c r="C1380" s="23"/>
    </row>
    <row r="1381" spans="2:3" ht="15" customHeight="1" x14ac:dyDescent="0.25">
      <c r="B1381" s="23"/>
      <c r="C1381" s="23"/>
    </row>
    <row r="1382" spans="2:3" ht="15" customHeight="1" x14ac:dyDescent="0.25">
      <c r="B1382" s="23"/>
      <c r="C1382" s="23"/>
    </row>
    <row r="1383" spans="2:3" ht="15" customHeight="1" x14ac:dyDescent="0.25">
      <c r="B1383" s="23"/>
      <c r="C1383" s="23"/>
    </row>
    <row r="1384" spans="2:3" ht="15" customHeight="1" x14ac:dyDescent="0.25">
      <c r="B1384" s="23"/>
      <c r="C1384" s="23"/>
    </row>
    <row r="1385" spans="2:3" ht="15" customHeight="1" x14ac:dyDescent="0.25">
      <c r="B1385" s="23"/>
      <c r="C1385" s="23"/>
    </row>
    <row r="1386" spans="2:3" ht="15" customHeight="1" x14ac:dyDescent="0.25">
      <c r="B1386" s="23"/>
      <c r="C1386" s="23"/>
    </row>
    <row r="1387" spans="2:3" ht="15" customHeight="1" x14ac:dyDescent="0.25">
      <c r="B1387" s="23"/>
      <c r="C1387" s="23"/>
    </row>
    <row r="1388" spans="2:3" ht="15" customHeight="1" x14ac:dyDescent="0.25">
      <c r="B1388" s="23"/>
      <c r="C1388" s="23"/>
    </row>
    <row r="1389" spans="2:3" ht="15" customHeight="1" x14ac:dyDescent="0.25">
      <c r="B1389" s="23"/>
      <c r="C1389" s="23"/>
    </row>
    <row r="1390" spans="2:3" ht="15" customHeight="1" x14ac:dyDescent="0.25">
      <c r="B1390" s="23"/>
      <c r="C1390" s="23"/>
    </row>
    <row r="1391" spans="2:3" ht="15" customHeight="1" x14ac:dyDescent="0.25">
      <c r="B1391" s="23"/>
      <c r="C1391" s="23"/>
    </row>
    <row r="1392" spans="2:3" ht="15" customHeight="1" x14ac:dyDescent="0.25">
      <c r="B1392" s="23"/>
      <c r="C1392" s="23"/>
    </row>
    <row r="1393" spans="2:3" ht="15" customHeight="1" x14ac:dyDescent="0.25">
      <c r="B1393" s="23"/>
      <c r="C1393" s="23"/>
    </row>
    <row r="1394" spans="2:3" ht="15" customHeight="1" x14ac:dyDescent="0.25">
      <c r="B1394" s="23"/>
      <c r="C1394" s="23"/>
    </row>
    <row r="1395" spans="2:3" ht="15" customHeight="1" x14ac:dyDescent="0.25">
      <c r="B1395" s="23"/>
      <c r="C1395" s="23"/>
    </row>
    <row r="1396" spans="2:3" ht="15" customHeight="1" x14ac:dyDescent="0.25">
      <c r="B1396" s="23"/>
      <c r="C1396" s="23"/>
    </row>
    <row r="1397" spans="2:3" ht="15" customHeight="1" x14ac:dyDescent="0.25">
      <c r="B1397" s="23"/>
      <c r="C1397" s="23"/>
    </row>
    <row r="1398" spans="2:3" ht="15" customHeight="1" x14ac:dyDescent="0.25">
      <c r="B1398" s="23"/>
      <c r="C1398" s="23"/>
    </row>
    <row r="1399" spans="2:3" ht="15" customHeight="1" x14ac:dyDescent="0.25">
      <c r="B1399" s="23"/>
      <c r="C1399" s="23"/>
    </row>
    <row r="1400" spans="2:3" ht="15" customHeight="1" x14ac:dyDescent="0.25">
      <c r="B1400" s="23"/>
      <c r="C1400" s="23"/>
    </row>
    <row r="1401" spans="2:3" ht="15" customHeight="1" x14ac:dyDescent="0.25">
      <c r="B1401" s="23"/>
      <c r="C1401" s="23"/>
    </row>
    <row r="1402" spans="2:3" ht="15" customHeight="1" x14ac:dyDescent="0.25">
      <c r="B1402" s="23"/>
      <c r="C1402" s="23"/>
    </row>
    <row r="1403" spans="2:3" ht="15" customHeight="1" x14ac:dyDescent="0.25">
      <c r="B1403" s="23"/>
      <c r="C1403" s="23"/>
    </row>
    <row r="1404" spans="2:3" ht="15" customHeight="1" x14ac:dyDescent="0.25">
      <c r="B1404" s="23"/>
      <c r="C1404" s="23"/>
    </row>
    <row r="1405" spans="2:3" ht="15" customHeight="1" x14ac:dyDescent="0.25">
      <c r="B1405" s="23"/>
      <c r="C1405" s="23"/>
    </row>
    <row r="1406" spans="2:3" ht="15" customHeight="1" x14ac:dyDescent="0.25">
      <c r="B1406" s="23"/>
      <c r="C1406" s="23"/>
    </row>
    <row r="1407" spans="2:3" ht="15" customHeight="1" x14ac:dyDescent="0.25">
      <c r="B1407" s="23"/>
      <c r="C1407" s="23"/>
    </row>
    <row r="1408" spans="2:3" ht="15" customHeight="1" x14ac:dyDescent="0.25">
      <c r="B1408" s="23"/>
      <c r="C1408" s="23"/>
    </row>
    <row r="1409" spans="2:3" ht="15" customHeight="1" x14ac:dyDescent="0.25">
      <c r="B1409" s="23"/>
      <c r="C1409" s="23"/>
    </row>
    <row r="1410" spans="2:3" ht="15" customHeight="1" x14ac:dyDescent="0.25">
      <c r="B1410" s="23"/>
      <c r="C1410" s="23"/>
    </row>
    <row r="1411" spans="2:3" ht="15" customHeight="1" x14ac:dyDescent="0.25">
      <c r="B1411" s="23"/>
      <c r="C1411" s="23"/>
    </row>
    <row r="1412" spans="2:3" ht="15" customHeight="1" x14ac:dyDescent="0.25">
      <c r="B1412" s="23"/>
      <c r="C1412" s="23"/>
    </row>
    <row r="1413" spans="2:3" ht="15" customHeight="1" x14ac:dyDescent="0.25">
      <c r="B1413" s="23"/>
      <c r="C1413" s="23"/>
    </row>
    <row r="1414" spans="2:3" ht="15" customHeight="1" x14ac:dyDescent="0.25">
      <c r="B1414" s="23"/>
      <c r="C1414" s="23"/>
    </row>
    <row r="1415" spans="2:3" ht="15" customHeight="1" x14ac:dyDescent="0.25">
      <c r="B1415" s="23"/>
      <c r="C1415" s="23"/>
    </row>
    <row r="1416" spans="2:3" ht="15" customHeight="1" x14ac:dyDescent="0.25">
      <c r="B1416" s="23"/>
      <c r="C1416" s="23"/>
    </row>
    <row r="1417" spans="2:3" ht="15" customHeight="1" x14ac:dyDescent="0.25">
      <c r="B1417" s="23"/>
      <c r="C1417" s="23"/>
    </row>
    <row r="1418" spans="2:3" ht="15" customHeight="1" x14ac:dyDescent="0.25">
      <c r="B1418" s="23"/>
      <c r="C1418" s="23"/>
    </row>
    <row r="1419" spans="2:3" ht="15" customHeight="1" x14ac:dyDescent="0.25">
      <c r="B1419" s="23"/>
      <c r="C1419" s="23"/>
    </row>
    <row r="1420" spans="2:3" ht="15" customHeight="1" x14ac:dyDescent="0.25">
      <c r="B1420" s="23"/>
      <c r="C1420" s="23"/>
    </row>
    <row r="1421" spans="2:3" ht="15" customHeight="1" x14ac:dyDescent="0.25">
      <c r="B1421" s="23"/>
      <c r="C1421" s="23"/>
    </row>
    <row r="1422" spans="2:3" ht="15" customHeight="1" x14ac:dyDescent="0.25">
      <c r="B1422" s="23"/>
      <c r="C1422" s="23"/>
    </row>
    <row r="1423" spans="2:3" ht="15" customHeight="1" x14ac:dyDescent="0.25">
      <c r="B1423" s="23"/>
      <c r="C1423" s="23"/>
    </row>
    <row r="1424" spans="2:3" ht="15" customHeight="1" x14ac:dyDescent="0.25">
      <c r="B1424" s="23"/>
      <c r="C1424" s="23"/>
    </row>
    <row r="1425" spans="2:3" ht="15" customHeight="1" x14ac:dyDescent="0.25">
      <c r="B1425" s="23"/>
      <c r="C1425" s="23"/>
    </row>
    <row r="1426" spans="2:3" ht="15" customHeight="1" x14ac:dyDescent="0.25">
      <c r="B1426" s="23"/>
      <c r="C1426" s="23"/>
    </row>
    <row r="1427" spans="2:3" ht="15" customHeight="1" x14ac:dyDescent="0.25">
      <c r="B1427" s="23"/>
      <c r="C1427" s="23"/>
    </row>
    <row r="1428" spans="2:3" ht="15" customHeight="1" x14ac:dyDescent="0.25">
      <c r="B1428" s="23"/>
      <c r="C1428" s="23"/>
    </row>
    <row r="1429" spans="2:3" ht="15" customHeight="1" x14ac:dyDescent="0.25">
      <c r="B1429" s="23"/>
      <c r="C1429" s="23"/>
    </row>
    <row r="1430" spans="2:3" ht="15" customHeight="1" x14ac:dyDescent="0.25">
      <c r="B1430" s="23"/>
      <c r="C1430" s="23"/>
    </row>
    <row r="1431" spans="2:3" ht="15" customHeight="1" x14ac:dyDescent="0.25">
      <c r="B1431" s="23"/>
      <c r="C1431" s="23"/>
    </row>
    <row r="1432" spans="2:3" ht="15" customHeight="1" x14ac:dyDescent="0.25">
      <c r="B1432" s="23"/>
      <c r="C1432" s="23"/>
    </row>
    <row r="1433" spans="2:3" ht="15" customHeight="1" x14ac:dyDescent="0.25">
      <c r="B1433" s="23"/>
      <c r="C1433" s="23"/>
    </row>
    <row r="1434" spans="2:3" ht="15" customHeight="1" x14ac:dyDescent="0.25">
      <c r="B1434" s="23"/>
      <c r="C1434" s="23"/>
    </row>
    <row r="1435" spans="2:3" ht="15" customHeight="1" x14ac:dyDescent="0.25">
      <c r="B1435" s="23"/>
      <c r="C1435" s="23"/>
    </row>
    <row r="1436" spans="2:3" ht="15" customHeight="1" x14ac:dyDescent="0.25">
      <c r="B1436" s="23"/>
      <c r="C1436" s="23"/>
    </row>
    <row r="1437" spans="2:3" ht="15" customHeight="1" x14ac:dyDescent="0.25">
      <c r="B1437" s="23"/>
      <c r="C1437" s="23"/>
    </row>
    <row r="1438" spans="2:3" ht="15" customHeight="1" x14ac:dyDescent="0.25">
      <c r="B1438" s="23"/>
      <c r="C1438" s="23"/>
    </row>
    <row r="1439" spans="2:3" ht="15" customHeight="1" x14ac:dyDescent="0.25">
      <c r="B1439" s="23"/>
      <c r="C1439" s="23"/>
    </row>
    <row r="1440" spans="2:3" ht="15" customHeight="1" x14ac:dyDescent="0.25">
      <c r="B1440" s="23"/>
      <c r="C1440" s="23"/>
    </row>
    <row r="1441" spans="2:3" ht="15" customHeight="1" x14ac:dyDescent="0.25">
      <c r="B1441" s="23"/>
      <c r="C1441" s="23"/>
    </row>
    <row r="1442" spans="2:3" ht="15" customHeight="1" x14ac:dyDescent="0.25">
      <c r="B1442" s="23"/>
      <c r="C1442" s="23"/>
    </row>
    <row r="1443" spans="2:3" ht="15" customHeight="1" x14ac:dyDescent="0.25">
      <c r="B1443" s="23"/>
      <c r="C1443" s="23"/>
    </row>
    <row r="1444" spans="2:3" ht="15" customHeight="1" x14ac:dyDescent="0.25">
      <c r="B1444" s="23"/>
      <c r="C1444" s="23"/>
    </row>
    <row r="1445" spans="2:3" ht="15" customHeight="1" x14ac:dyDescent="0.25">
      <c r="B1445" s="23"/>
      <c r="C1445" s="23"/>
    </row>
    <row r="1446" spans="2:3" ht="15" customHeight="1" x14ac:dyDescent="0.25">
      <c r="B1446" s="23"/>
      <c r="C1446" s="23"/>
    </row>
    <row r="1447" spans="2:3" ht="15" customHeight="1" x14ac:dyDescent="0.25">
      <c r="B1447" s="23"/>
      <c r="C1447" s="23"/>
    </row>
    <row r="1448" spans="2:3" ht="15" customHeight="1" x14ac:dyDescent="0.25">
      <c r="B1448" s="23"/>
      <c r="C1448" s="23"/>
    </row>
    <row r="1449" spans="2:3" ht="15" customHeight="1" x14ac:dyDescent="0.25">
      <c r="B1449" s="23"/>
      <c r="C1449" s="23"/>
    </row>
    <row r="1450" spans="2:3" ht="15" customHeight="1" x14ac:dyDescent="0.25">
      <c r="B1450" s="23"/>
      <c r="C1450" s="23"/>
    </row>
    <row r="1451" spans="2:3" ht="15" customHeight="1" x14ac:dyDescent="0.25">
      <c r="B1451" s="23"/>
      <c r="C1451" s="23"/>
    </row>
    <row r="1452" spans="2:3" ht="15" customHeight="1" x14ac:dyDescent="0.25">
      <c r="B1452" s="23"/>
      <c r="C1452" s="23"/>
    </row>
    <row r="1453" spans="2:3" ht="15" customHeight="1" x14ac:dyDescent="0.25">
      <c r="B1453" s="23"/>
      <c r="C1453" s="23"/>
    </row>
    <row r="1454" spans="2:3" ht="15" customHeight="1" x14ac:dyDescent="0.25">
      <c r="B1454" s="23"/>
      <c r="C1454" s="23"/>
    </row>
    <row r="1455" spans="2:3" ht="15" customHeight="1" x14ac:dyDescent="0.25">
      <c r="B1455" s="23"/>
      <c r="C1455" s="23"/>
    </row>
    <row r="1456" spans="2:3" ht="15" customHeight="1" x14ac:dyDescent="0.25">
      <c r="B1456" s="23"/>
      <c r="C1456" s="23"/>
    </row>
    <row r="1457" spans="2:3" ht="15" customHeight="1" x14ac:dyDescent="0.25">
      <c r="B1457" s="23"/>
      <c r="C1457" s="23"/>
    </row>
    <row r="1458" spans="2:3" ht="15" customHeight="1" x14ac:dyDescent="0.25">
      <c r="B1458" s="23"/>
      <c r="C1458" s="23"/>
    </row>
    <row r="1459" spans="2:3" ht="15" customHeight="1" x14ac:dyDescent="0.25">
      <c r="B1459" s="23"/>
      <c r="C1459" s="23"/>
    </row>
    <row r="1460" spans="2:3" ht="15" customHeight="1" x14ac:dyDescent="0.25">
      <c r="B1460" s="23"/>
      <c r="C1460" s="23"/>
    </row>
    <row r="1461" spans="2:3" ht="15" customHeight="1" x14ac:dyDescent="0.25">
      <c r="B1461" s="23"/>
      <c r="C1461" s="23"/>
    </row>
    <row r="1462" spans="2:3" ht="15" customHeight="1" x14ac:dyDescent="0.25">
      <c r="B1462" s="23"/>
      <c r="C1462" s="23"/>
    </row>
    <row r="1463" spans="2:3" ht="15" customHeight="1" x14ac:dyDescent="0.25">
      <c r="B1463" s="23"/>
      <c r="C1463" s="23"/>
    </row>
    <row r="1464" spans="2:3" ht="15" customHeight="1" x14ac:dyDescent="0.25">
      <c r="B1464" s="23"/>
      <c r="C1464" s="23"/>
    </row>
    <row r="1465" spans="2:3" ht="15" customHeight="1" x14ac:dyDescent="0.25">
      <c r="B1465" s="23"/>
      <c r="C1465" s="23"/>
    </row>
    <row r="1466" spans="2:3" ht="15" customHeight="1" x14ac:dyDescent="0.25">
      <c r="B1466" s="23"/>
      <c r="C1466" s="23"/>
    </row>
    <row r="1467" spans="2:3" ht="15" customHeight="1" x14ac:dyDescent="0.25">
      <c r="B1467" s="23"/>
      <c r="C1467" s="23"/>
    </row>
    <row r="1468" spans="2:3" ht="15" customHeight="1" x14ac:dyDescent="0.25">
      <c r="B1468" s="23"/>
      <c r="C1468" s="23"/>
    </row>
    <row r="1469" spans="2:3" ht="15" customHeight="1" x14ac:dyDescent="0.25">
      <c r="B1469" s="23"/>
      <c r="C1469" s="23"/>
    </row>
    <row r="1470" spans="2:3" ht="15" customHeight="1" x14ac:dyDescent="0.25">
      <c r="B1470" s="23"/>
      <c r="C1470" s="23"/>
    </row>
    <row r="1471" spans="2:3" ht="15" customHeight="1" x14ac:dyDescent="0.25">
      <c r="B1471" s="23"/>
      <c r="C1471" s="23"/>
    </row>
    <row r="1472" spans="2:3" ht="15" customHeight="1" x14ac:dyDescent="0.25">
      <c r="B1472" s="23"/>
      <c r="C1472" s="23"/>
    </row>
    <row r="1473" spans="2:3" ht="15" customHeight="1" x14ac:dyDescent="0.25">
      <c r="B1473" s="23"/>
      <c r="C1473" s="23"/>
    </row>
    <row r="1474" spans="2:3" ht="15" customHeight="1" x14ac:dyDescent="0.25">
      <c r="B1474" s="23"/>
      <c r="C1474" s="23"/>
    </row>
    <row r="1475" spans="2:3" ht="15" customHeight="1" x14ac:dyDescent="0.25">
      <c r="B1475" s="23"/>
      <c r="C1475" s="23"/>
    </row>
    <row r="1476" spans="2:3" ht="15" customHeight="1" x14ac:dyDescent="0.25">
      <c r="B1476" s="23"/>
      <c r="C1476" s="23"/>
    </row>
    <row r="1477" spans="2:3" ht="15" customHeight="1" x14ac:dyDescent="0.25">
      <c r="B1477" s="23"/>
      <c r="C1477" s="23"/>
    </row>
    <row r="1478" spans="2:3" ht="15" customHeight="1" x14ac:dyDescent="0.25">
      <c r="B1478" s="23"/>
      <c r="C1478" s="23"/>
    </row>
    <row r="1479" spans="2:3" ht="15" customHeight="1" x14ac:dyDescent="0.25">
      <c r="B1479" s="23"/>
      <c r="C1479" s="23"/>
    </row>
    <row r="1480" spans="2:3" ht="15" customHeight="1" x14ac:dyDescent="0.25">
      <c r="B1480" s="23"/>
      <c r="C1480" s="23"/>
    </row>
    <row r="1481" spans="2:3" ht="15" customHeight="1" x14ac:dyDescent="0.25">
      <c r="B1481" s="23"/>
      <c r="C1481" s="23"/>
    </row>
    <row r="1482" spans="2:3" ht="15" customHeight="1" x14ac:dyDescent="0.25">
      <c r="B1482" s="23"/>
      <c r="C1482" s="23"/>
    </row>
    <row r="1483" spans="2:3" ht="15" customHeight="1" x14ac:dyDescent="0.25">
      <c r="B1483" s="23"/>
      <c r="C1483" s="23"/>
    </row>
    <row r="1484" spans="2:3" ht="15" customHeight="1" x14ac:dyDescent="0.25">
      <c r="B1484" s="23"/>
      <c r="C1484" s="23"/>
    </row>
    <row r="1485" spans="2:3" ht="15" customHeight="1" x14ac:dyDescent="0.25">
      <c r="B1485" s="23"/>
      <c r="C1485" s="23"/>
    </row>
    <row r="1486" spans="2:3" ht="15" customHeight="1" x14ac:dyDescent="0.25">
      <c r="B1486" s="23"/>
      <c r="C1486" s="23"/>
    </row>
    <row r="1487" spans="2:3" ht="15" customHeight="1" x14ac:dyDescent="0.25">
      <c r="B1487" s="23"/>
      <c r="C1487" s="23"/>
    </row>
    <row r="1488" spans="2:3" ht="15" customHeight="1" x14ac:dyDescent="0.25">
      <c r="B1488" s="23"/>
      <c r="C1488" s="23"/>
    </row>
    <row r="1489" spans="2:3" ht="15" customHeight="1" x14ac:dyDescent="0.25">
      <c r="B1489" s="23"/>
      <c r="C1489" s="23"/>
    </row>
    <row r="1490" spans="2:3" ht="15" customHeight="1" x14ac:dyDescent="0.25">
      <c r="B1490" s="23"/>
      <c r="C1490" s="23"/>
    </row>
    <row r="1491" spans="2:3" ht="15" customHeight="1" x14ac:dyDescent="0.25">
      <c r="B1491" s="23"/>
      <c r="C1491" s="23"/>
    </row>
    <row r="1492" spans="2:3" ht="15" customHeight="1" x14ac:dyDescent="0.25">
      <c r="B1492" s="23"/>
      <c r="C1492" s="23"/>
    </row>
    <row r="1493" spans="2:3" ht="15" customHeight="1" x14ac:dyDescent="0.25">
      <c r="B1493" s="23"/>
      <c r="C1493" s="23"/>
    </row>
    <row r="1494" spans="2:3" ht="15" customHeight="1" x14ac:dyDescent="0.25">
      <c r="B1494" s="23"/>
      <c r="C1494" s="23"/>
    </row>
    <row r="1495" spans="2:3" ht="15" customHeight="1" x14ac:dyDescent="0.25">
      <c r="B1495" s="23"/>
      <c r="C1495" s="23"/>
    </row>
    <row r="1496" spans="2:3" ht="15" customHeight="1" x14ac:dyDescent="0.25">
      <c r="B1496" s="23"/>
      <c r="C1496" s="23"/>
    </row>
    <row r="1497" spans="2:3" ht="15" customHeight="1" x14ac:dyDescent="0.25">
      <c r="B1497" s="23"/>
      <c r="C1497" s="23"/>
    </row>
    <row r="1498" spans="2:3" ht="15" customHeight="1" x14ac:dyDescent="0.25">
      <c r="B1498" s="23"/>
      <c r="C1498" s="23"/>
    </row>
    <row r="1499" spans="2:3" ht="15" customHeight="1" x14ac:dyDescent="0.25">
      <c r="B1499" s="23"/>
      <c r="C1499" s="23"/>
    </row>
    <row r="1500" spans="2:3" ht="15" customHeight="1" x14ac:dyDescent="0.25">
      <c r="B1500" s="23"/>
      <c r="C1500" s="23"/>
    </row>
    <row r="1501" spans="2:3" ht="15" customHeight="1" x14ac:dyDescent="0.25">
      <c r="B1501" s="23"/>
      <c r="C1501" s="23"/>
    </row>
    <row r="1502" spans="2:3" ht="15" customHeight="1" x14ac:dyDescent="0.25">
      <c r="B1502" s="23"/>
      <c r="C1502" s="23"/>
    </row>
    <row r="1503" spans="2:3" ht="15" customHeight="1" x14ac:dyDescent="0.25">
      <c r="B1503" s="23"/>
      <c r="C1503" s="23"/>
    </row>
    <row r="1504" spans="2:3" ht="15" customHeight="1" x14ac:dyDescent="0.25">
      <c r="B1504" s="23"/>
      <c r="C1504" s="23"/>
    </row>
    <row r="1505" spans="2:3" ht="15" customHeight="1" x14ac:dyDescent="0.25">
      <c r="B1505" s="23"/>
      <c r="C1505" s="23"/>
    </row>
    <row r="1506" spans="2:3" ht="15" customHeight="1" x14ac:dyDescent="0.25">
      <c r="B1506" s="23"/>
      <c r="C1506" s="23"/>
    </row>
    <row r="1507" spans="2:3" ht="15" customHeight="1" x14ac:dyDescent="0.25">
      <c r="B1507" s="23"/>
      <c r="C1507" s="23"/>
    </row>
    <row r="1508" spans="2:3" ht="15" customHeight="1" x14ac:dyDescent="0.25">
      <c r="B1508" s="23"/>
      <c r="C1508" s="23"/>
    </row>
    <row r="1509" spans="2:3" ht="15" customHeight="1" x14ac:dyDescent="0.25">
      <c r="B1509" s="23"/>
      <c r="C1509" s="23"/>
    </row>
    <row r="1510" spans="2:3" ht="15" customHeight="1" x14ac:dyDescent="0.25">
      <c r="B1510" s="23"/>
      <c r="C1510" s="23"/>
    </row>
    <row r="1511" spans="2:3" ht="15" customHeight="1" x14ac:dyDescent="0.25">
      <c r="B1511" s="23"/>
      <c r="C1511" s="23"/>
    </row>
    <row r="1512" spans="2:3" ht="15" customHeight="1" x14ac:dyDescent="0.25">
      <c r="B1512" s="23"/>
      <c r="C1512" s="23"/>
    </row>
    <row r="1513" spans="2:3" ht="15" customHeight="1" x14ac:dyDescent="0.25">
      <c r="B1513" s="23"/>
      <c r="C1513" s="23"/>
    </row>
    <row r="1514" spans="2:3" ht="15" customHeight="1" x14ac:dyDescent="0.25">
      <c r="B1514" s="23"/>
      <c r="C1514" s="23"/>
    </row>
    <row r="1515" spans="2:3" ht="15" customHeight="1" x14ac:dyDescent="0.25">
      <c r="B1515" s="23"/>
      <c r="C1515" s="23"/>
    </row>
    <row r="1516" spans="2:3" ht="15" customHeight="1" x14ac:dyDescent="0.25">
      <c r="B1516" s="23"/>
      <c r="C1516" s="23"/>
    </row>
    <row r="1517" spans="2:3" ht="15" customHeight="1" x14ac:dyDescent="0.25">
      <c r="B1517" s="23"/>
      <c r="C1517" s="23"/>
    </row>
    <row r="1518" spans="2:3" ht="15" customHeight="1" x14ac:dyDescent="0.25">
      <c r="B1518" s="23"/>
      <c r="C1518" s="23"/>
    </row>
    <row r="1519" spans="2:3" ht="15" customHeight="1" x14ac:dyDescent="0.25">
      <c r="B1519" s="23"/>
      <c r="C1519" s="23"/>
    </row>
    <row r="1520" spans="2:3" ht="15" customHeight="1" x14ac:dyDescent="0.25">
      <c r="B1520" s="23"/>
      <c r="C1520" s="23"/>
    </row>
    <row r="1521" spans="2:3" ht="15" customHeight="1" x14ac:dyDescent="0.25">
      <c r="B1521" s="23"/>
      <c r="C1521" s="23"/>
    </row>
    <row r="1522" spans="2:3" ht="15" customHeight="1" x14ac:dyDescent="0.25">
      <c r="B1522" s="23"/>
      <c r="C1522" s="23"/>
    </row>
    <row r="1523" spans="2:3" ht="15" customHeight="1" x14ac:dyDescent="0.25">
      <c r="B1523" s="23"/>
      <c r="C1523" s="23"/>
    </row>
    <row r="1524" spans="2:3" ht="15" customHeight="1" x14ac:dyDescent="0.25">
      <c r="B1524" s="23"/>
      <c r="C1524" s="23"/>
    </row>
    <row r="1525" spans="2:3" ht="15" customHeight="1" x14ac:dyDescent="0.25">
      <c r="B1525" s="23"/>
      <c r="C1525" s="23"/>
    </row>
    <row r="1526" spans="2:3" ht="15" customHeight="1" x14ac:dyDescent="0.25">
      <c r="B1526" s="23"/>
      <c r="C1526" s="23"/>
    </row>
    <row r="1527" spans="2:3" ht="15" customHeight="1" x14ac:dyDescent="0.25">
      <c r="B1527" s="23"/>
      <c r="C1527" s="23"/>
    </row>
    <row r="1528" spans="2:3" ht="15" customHeight="1" x14ac:dyDescent="0.25">
      <c r="B1528" s="23"/>
      <c r="C1528" s="23"/>
    </row>
    <row r="1529" spans="2:3" ht="15" customHeight="1" x14ac:dyDescent="0.25">
      <c r="B1529" s="23"/>
      <c r="C1529" s="23"/>
    </row>
    <row r="1530" spans="2:3" ht="15" customHeight="1" x14ac:dyDescent="0.25">
      <c r="B1530" s="23"/>
      <c r="C1530" s="23"/>
    </row>
    <row r="1531" spans="2:3" ht="15" customHeight="1" x14ac:dyDescent="0.25">
      <c r="B1531" s="23"/>
      <c r="C1531" s="23"/>
    </row>
    <row r="1532" spans="2:3" ht="15" customHeight="1" x14ac:dyDescent="0.25">
      <c r="B1532" s="23"/>
      <c r="C1532" s="23"/>
    </row>
    <row r="1533" spans="2:3" ht="15" customHeight="1" x14ac:dyDescent="0.25">
      <c r="B1533" s="23"/>
      <c r="C1533" s="23"/>
    </row>
    <row r="1534" spans="2:3" ht="15" customHeight="1" x14ac:dyDescent="0.25">
      <c r="B1534" s="23"/>
      <c r="C1534" s="23"/>
    </row>
    <row r="1535" spans="2:3" ht="15" customHeight="1" x14ac:dyDescent="0.25">
      <c r="B1535" s="23"/>
      <c r="C1535" s="23"/>
    </row>
    <row r="1536" spans="2:3" ht="15" customHeight="1" x14ac:dyDescent="0.25">
      <c r="B1536" s="23"/>
      <c r="C1536" s="23"/>
    </row>
    <row r="1537" spans="2:3" ht="15" customHeight="1" x14ac:dyDescent="0.25">
      <c r="B1537" s="23"/>
      <c r="C1537" s="23"/>
    </row>
    <row r="1538" spans="2:3" ht="15" customHeight="1" x14ac:dyDescent="0.25">
      <c r="B1538" s="23"/>
      <c r="C1538" s="23"/>
    </row>
    <row r="1539" spans="2:3" ht="15" customHeight="1" x14ac:dyDescent="0.25">
      <c r="B1539" s="23"/>
      <c r="C1539" s="23"/>
    </row>
    <row r="1540" spans="2:3" ht="15" customHeight="1" x14ac:dyDescent="0.25">
      <c r="B1540" s="23"/>
      <c r="C1540" s="23"/>
    </row>
    <row r="1541" spans="2:3" ht="15" customHeight="1" x14ac:dyDescent="0.25">
      <c r="B1541" s="23"/>
      <c r="C1541" s="23"/>
    </row>
    <row r="1542" spans="2:3" ht="15" customHeight="1" x14ac:dyDescent="0.25">
      <c r="B1542" s="23"/>
      <c r="C1542" s="23"/>
    </row>
    <row r="1543" spans="2:3" ht="15" customHeight="1" x14ac:dyDescent="0.25">
      <c r="B1543" s="23"/>
      <c r="C1543" s="23"/>
    </row>
    <row r="1544" spans="2:3" ht="15" customHeight="1" x14ac:dyDescent="0.25">
      <c r="B1544" s="23"/>
      <c r="C1544" s="23"/>
    </row>
    <row r="1545" spans="2:3" ht="15" customHeight="1" x14ac:dyDescent="0.25">
      <c r="B1545" s="23"/>
      <c r="C1545" s="23"/>
    </row>
    <row r="1546" spans="2:3" ht="15" customHeight="1" x14ac:dyDescent="0.25">
      <c r="B1546" s="23"/>
      <c r="C1546" s="23"/>
    </row>
    <row r="1547" spans="2:3" ht="15" customHeight="1" x14ac:dyDescent="0.25">
      <c r="B1547" s="23"/>
      <c r="C1547" s="23"/>
    </row>
    <row r="1548" spans="2:3" ht="15" customHeight="1" x14ac:dyDescent="0.25">
      <c r="B1548" s="23"/>
      <c r="C1548" s="23"/>
    </row>
    <row r="1549" spans="2:3" ht="15" customHeight="1" x14ac:dyDescent="0.25">
      <c r="B1549" s="23"/>
      <c r="C1549" s="23"/>
    </row>
    <row r="1550" spans="2:3" ht="15" customHeight="1" x14ac:dyDescent="0.25">
      <c r="B1550" s="23"/>
      <c r="C1550" s="23"/>
    </row>
    <row r="1551" spans="2:3" ht="15" customHeight="1" x14ac:dyDescent="0.25">
      <c r="B1551" s="23"/>
      <c r="C1551" s="23"/>
    </row>
    <row r="1552" spans="2:3" ht="15" customHeight="1" x14ac:dyDescent="0.25">
      <c r="B1552" s="23"/>
      <c r="C1552" s="23"/>
    </row>
    <row r="1553" spans="2:3" ht="15" customHeight="1" x14ac:dyDescent="0.25">
      <c r="B1553" s="23"/>
      <c r="C1553" s="23"/>
    </row>
    <row r="1554" spans="2:3" ht="15" customHeight="1" x14ac:dyDescent="0.25">
      <c r="B1554" s="23"/>
      <c r="C1554" s="23"/>
    </row>
    <row r="1555" spans="2:3" ht="15" customHeight="1" x14ac:dyDescent="0.25">
      <c r="B1555" s="23"/>
      <c r="C1555" s="23"/>
    </row>
    <row r="1556" spans="2:3" ht="15" customHeight="1" x14ac:dyDescent="0.25">
      <c r="B1556" s="23"/>
      <c r="C1556" s="23"/>
    </row>
    <row r="1557" spans="2:3" ht="15" customHeight="1" x14ac:dyDescent="0.25">
      <c r="B1557" s="23"/>
      <c r="C1557" s="23"/>
    </row>
    <row r="1558" spans="2:3" ht="15" customHeight="1" x14ac:dyDescent="0.25">
      <c r="B1558" s="23"/>
      <c r="C1558" s="23"/>
    </row>
    <row r="1559" spans="2:3" ht="15" customHeight="1" x14ac:dyDescent="0.25">
      <c r="B1559" s="23"/>
      <c r="C1559" s="23"/>
    </row>
    <row r="1560" spans="2:3" ht="15" customHeight="1" x14ac:dyDescent="0.25">
      <c r="B1560" s="23"/>
      <c r="C1560" s="23"/>
    </row>
    <row r="1561" spans="2:3" ht="15" customHeight="1" x14ac:dyDescent="0.25">
      <c r="B1561" s="23"/>
      <c r="C1561" s="23"/>
    </row>
    <row r="1562" spans="2:3" ht="15" customHeight="1" x14ac:dyDescent="0.25">
      <c r="B1562" s="23"/>
      <c r="C1562" s="23"/>
    </row>
    <row r="1563" spans="2:3" ht="15" customHeight="1" x14ac:dyDescent="0.25">
      <c r="B1563" s="23"/>
      <c r="C1563" s="23"/>
    </row>
    <row r="1564" spans="2:3" ht="15" customHeight="1" x14ac:dyDescent="0.25">
      <c r="B1564" s="23"/>
      <c r="C1564" s="23"/>
    </row>
    <row r="1565" spans="2:3" ht="15" customHeight="1" x14ac:dyDescent="0.25">
      <c r="B1565" s="23"/>
      <c r="C1565" s="23"/>
    </row>
    <row r="1566" spans="2:3" ht="15" customHeight="1" x14ac:dyDescent="0.25">
      <c r="B1566" s="23"/>
      <c r="C1566" s="23"/>
    </row>
    <row r="1567" spans="2:3" ht="15" customHeight="1" x14ac:dyDescent="0.25">
      <c r="B1567" s="23"/>
      <c r="C1567" s="23"/>
    </row>
    <row r="1568" spans="2:3" ht="15" customHeight="1" x14ac:dyDescent="0.25">
      <c r="B1568" s="23"/>
      <c r="C1568" s="23"/>
    </row>
    <row r="1569" spans="2:3" ht="15" customHeight="1" x14ac:dyDescent="0.25">
      <c r="B1569" s="23"/>
      <c r="C1569" s="23"/>
    </row>
    <row r="1570" spans="2:3" ht="15" customHeight="1" x14ac:dyDescent="0.25">
      <c r="B1570" s="23"/>
      <c r="C1570" s="23"/>
    </row>
    <row r="1571" spans="2:3" ht="15" customHeight="1" x14ac:dyDescent="0.25">
      <c r="B1571" s="23"/>
      <c r="C1571" s="23"/>
    </row>
    <row r="1572" spans="2:3" ht="15" customHeight="1" x14ac:dyDescent="0.25">
      <c r="B1572" s="23"/>
      <c r="C1572" s="23"/>
    </row>
    <row r="1573" spans="2:3" ht="15" customHeight="1" x14ac:dyDescent="0.25">
      <c r="B1573" s="23"/>
      <c r="C1573" s="23"/>
    </row>
    <row r="1574" spans="2:3" ht="15" customHeight="1" x14ac:dyDescent="0.25">
      <c r="B1574" s="23"/>
      <c r="C1574" s="23"/>
    </row>
    <row r="1575" spans="2:3" ht="15" customHeight="1" x14ac:dyDescent="0.25">
      <c r="B1575" s="23"/>
      <c r="C1575" s="23"/>
    </row>
    <row r="1576" spans="2:3" ht="15" customHeight="1" x14ac:dyDescent="0.25">
      <c r="B1576" s="23"/>
      <c r="C1576" s="23"/>
    </row>
    <row r="1577" spans="2:3" ht="15" customHeight="1" x14ac:dyDescent="0.25">
      <c r="B1577" s="23"/>
      <c r="C1577" s="23"/>
    </row>
    <row r="1578" spans="2:3" ht="15" customHeight="1" x14ac:dyDescent="0.25">
      <c r="B1578" s="23"/>
      <c r="C1578" s="23"/>
    </row>
    <row r="1579" spans="2:3" ht="15" customHeight="1" x14ac:dyDescent="0.25">
      <c r="B1579" s="23"/>
      <c r="C1579" s="23"/>
    </row>
    <row r="1580" spans="2:3" ht="15" customHeight="1" x14ac:dyDescent="0.25">
      <c r="B1580" s="23"/>
      <c r="C1580" s="23"/>
    </row>
    <row r="1581" spans="2:3" ht="15" customHeight="1" x14ac:dyDescent="0.25">
      <c r="B1581" s="23"/>
      <c r="C1581" s="23"/>
    </row>
    <row r="1582" spans="2:3" ht="15" customHeight="1" x14ac:dyDescent="0.25">
      <c r="B1582" s="23"/>
      <c r="C1582" s="23"/>
    </row>
    <row r="1583" spans="2:3" ht="15" customHeight="1" x14ac:dyDescent="0.25">
      <c r="B1583" s="23"/>
      <c r="C1583" s="23"/>
    </row>
    <row r="1584" spans="2:3" ht="15" customHeight="1" x14ac:dyDescent="0.25">
      <c r="B1584" s="23"/>
      <c r="C1584" s="23"/>
    </row>
    <row r="1585" spans="2:3" ht="15" customHeight="1" x14ac:dyDescent="0.25">
      <c r="B1585" s="23"/>
      <c r="C1585" s="23"/>
    </row>
    <row r="1586" spans="2:3" ht="15" customHeight="1" x14ac:dyDescent="0.25">
      <c r="B1586" s="23"/>
      <c r="C1586" s="23"/>
    </row>
    <row r="1587" spans="2:3" ht="15" customHeight="1" x14ac:dyDescent="0.25">
      <c r="B1587" s="23"/>
      <c r="C1587" s="23"/>
    </row>
    <row r="1588" spans="2:3" ht="15" customHeight="1" x14ac:dyDescent="0.25">
      <c r="B1588" s="23"/>
      <c r="C1588" s="23"/>
    </row>
    <row r="1589" spans="2:3" ht="15" customHeight="1" x14ac:dyDescent="0.25">
      <c r="B1589" s="23"/>
      <c r="C1589" s="23"/>
    </row>
    <row r="1590" spans="2:3" ht="15" customHeight="1" x14ac:dyDescent="0.25">
      <c r="B1590" s="23"/>
      <c r="C1590" s="23"/>
    </row>
    <row r="1591" spans="2:3" ht="15" customHeight="1" x14ac:dyDescent="0.25">
      <c r="B1591" s="23"/>
      <c r="C1591" s="23"/>
    </row>
    <row r="1592" spans="2:3" ht="15" customHeight="1" x14ac:dyDescent="0.25">
      <c r="B1592" s="23"/>
      <c r="C1592" s="23"/>
    </row>
    <row r="1593" spans="2:3" ht="15" customHeight="1" x14ac:dyDescent="0.25">
      <c r="B1593" s="23"/>
      <c r="C1593" s="23"/>
    </row>
    <row r="1594" spans="2:3" ht="15" customHeight="1" x14ac:dyDescent="0.25">
      <c r="B1594" s="23"/>
      <c r="C1594" s="23"/>
    </row>
    <row r="1595" spans="2:3" ht="15" customHeight="1" x14ac:dyDescent="0.25">
      <c r="B1595" s="23"/>
      <c r="C1595" s="23"/>
    </row>
    <row r="1596" spans="2:3" ht="15" customHeight="1" x14ac:dyDescent="0.25">
      <c r="B1596" s="23"/>
      <c r="C1596" s="23"/>
    </row>
    <row r="1597" spans="2:3" ht="15" customHeight="1" x14ac:dyDescent="0.25">
      <c r="B1597" s="23"/>
      <c r="C1597" s="23"/>
    </row>
    <row r="1598" spans="2:3" ht="15" customHeight="1" x14ac:dyDescent="0.25">
      <c r="B1598" s="23"/>
      <c r="C1598" s="23"/>
    </row>
    <row r="1599" spans="2:3" ht="15" customHeight="1" x14ac:dyDescent="0.25">
      <c r="B1599" s="23"/>
      <c r="C1599" s="23"/>
    </row>
    <row r="1600" spans="2:3" ht="15" customHeight="1" x14ac:dyDescent="0.25">
      <c r="B1600" s="23"/>
      <c r="C1600" s="23"/>
    </row>
    <row r="1601" spans="2:3" ht="15" customHeight="1" x14ac:dyDescent="0.25">
      <c r="B1601" s="23"/>
      <c r="C1601" s="23"/>
    </row>
    <row r="1602" spans="2:3" ht="15" customHeight="1" x14ac:dyDescent="0.25">
      <c r="B1602" s="23"/>
      <c r="C1602" s="23"/>
    </row>
    <row r="1603" spans="2:3" ht="15" customHeight="1" x14ac:dyDescent="0.25">
      <c r="B1603" s="23"/>
      <c r="C1603" s="23"/>
    </row>
    <row r="1604" spans="2:3" ht="15" customHeight="1" x14ac:dyDescent="0.25">
      <c r="B1604" s="23"/>
      <c r="C1604" s="23"/>
    </row>
    <row r="1605" spans="2:3" ht="15" customHeight="1" x14ac:dyDescent="0.25">
      <c r="B1605" s="23"/>
      <c r="C1605" s="23"/>
    </row>
    <row r="1606" spans="2:3" ht="15" customHeight="1" x14ac:dyDescent="0.25">
      <c r="B1606" s="23"/>
      <c r="C1606" s="23"/>
    </row>
    <row r="1607" spans="2:3" ht="15" customHeight="1" x14ac:dyDescent="0.25">
      <c r="B1607" s="23"/>
      <c r="C1607" s="23"/>
    </row>
    <row r="1608" spans="2:3" ht="15" customHeight="1" x14ac:dyDescent="0.25">
      <c r="B1608" s="23"/>
      <c r="C1608" s="23"/>
    </row>
    <row r="1609" spans="2:3" ht="15" customHeight="1" x14ac:dyDescent="0.25">
      <c r="B1609" s="23"/>
      <c r="C1609" s="23"/>
    </row>
    <row r="1610" spans="2:3" ht="15" customHeight="1" x14ac:dyDescent="0.25">
      <c r="B1610" s="23"/>
      <c r="C1610" s="23"/>
    </row>
    <row r="1611" spans="2:3" ht="15" customHeight="1" x14ac:dyDescent="0.25">
      <c r="B1611" s="23"/>
      <c r="C1611" s="23"/>
    </row>
    <row r="1612" spans="2:3" ht="15" customHeight="1" x14ac:dyDescent="0.25">
      <c r="B1612" s="23"/>
      <c r="C1612" s="23"/>
    </row>
    <row r="1613" spans="2:3" ht="15" customHeight="1" x14ac:dyDescent="0.25">
      <c r="B1613" s="23"/>
      <c r="C1613" s="23"/>
    </row>
    <row r="1614" spans="2:3" ht="15" customHeight="1" x14ac:dyDescent="0.25">
      <c r="B1614" s="23"/>
      <c r="C1614" s="23"/>
    </row>
    <row r="1615" spans="2:3" ht="15" customHeight="1" x14ac:dyDescent="0.25">
      <c r="B1615" s="23"/>
      <c r="C1615" s="23"/>
    </row>
    <row r="1616" spans="2:3" ht="15" customHeight="1" x14ac:dyDescent="0.25">
      <c r="B1616" s="23"/>
      <c r="C1616" s="23"/>
    </row>
    <row r="1617" spans="2:3" ht="15" customHeight="1" x14ac:dyDescent="0.25">
      <c r="B1617" s="23"/>
      <c r="C1617" s="23"/>
    </row>
    <row r="1618" spans="2:3" ht="15" customHeight="1" x14ac:dyDescent="0.25">
      <c r="B1618" s="23"/>
      <c r="C1618" s="23"/>
    </row>
    <row r="1619" spans="2:3" ht="15" customHeight="1" x14ac:dyDescent="0.25">
      <c r="B1619" s="23"/>
      <c r="C1619" s="23"/>
    </row>
    <row r="1620" spans="2:3" ht="15" customHeight="1" x14ac:dyDescent="0.25">
      <c r="B1620" s="23"/>
      <c r="C1620" s="23"/>
    </row>
    <row r="1621" spans="2:3" ht="15" customHeight="1" x14ac:dyDescent="0.25">
      <c r="B1621" s="23"/>
      <c r="C1621" s="23"/>
    </row>
    <row r="1622" spans="2:3" ht="15" customHeight="1" x14ac:dyDescent="0.25">
      <c r="B1622" s="23"/>
      <c r="C1622" s="23"/>
    </row>
    <row r="1623" spans="2:3" ht="15" customHeight="1" x14ac:dyDescent="0.25">
      <c r="B1623" s="23"/>
      <c r="C1623" s="23"/>
    </row>
    <row r="1624" spans="2:3" ht="15" customHeight="1" x14ac:dyDescent="0.25">
      <c r="B1624" s="23"/>
      <c r="C1624" s="23"/>
    </row>
    <row r="1625" spans="2:3" ht="15" customHeight="1" x14ac:dyDescent="0.25">
      <c r="B1625" s="23"/>
      <c r="C1625" s="23"/>
    </row>
    <row r="1626" spans="2:3" ht="15" customHeight="1" x14ac:dyDescent="0.25">
      <c r="B1626" s="23"/>
      <c r="C1626" s="23"/>
    </row>
    <row r="1627" spans="2:3" ht="15" customHeight="1" x14ac:dyDescent="0.25">
      <c r="B1627" s="23"/>
      <c r="C1627" s="23"/>
    </row>
    <row r="1628" spans="2:3" ht="15" customHeight="1" x14ac:dyDescent="0.25">
      <c r="B1628" s="23"/>
      <c r="C1628" s="23"/>
    </row>
    <row r="1629" spans="2:3" ht="15" customHeight="1" x14ac:dyDescent="0.25">
      <c r="B1629" s="23"/>
      <c r="C1629" s="23"/>
    </row>
    <row r="1630" spans="2:3" ht="15" customHeight="1" x14ac:dyDescent="0.25">
      <c r="B1630" s="23"/>
      <c r="C1630" s="23"/>
    </row>
    <row r="1631" spans="2:3" ht="15" customHeight="1" x14ac:dyDescent="0.25">
      <c r="B1631" s="23"/>
      <c r="C1631" s="23"/>
    </row>
    <row r="1632" spans="2:3" ht="15" customHeight="1" x14ac:dyDescent="0.25">
      <c r="B1632" s="23"/>
      <c r="C1632" s="23"/>
    </row>
    <row r="1633" spans="2:3" ht="15" customHeight="1" x14ac:dyDescent="0.25">
      <c r="B1633" s="23"/>
      <c r="C1633" s="23"/>
    </row>
    <row r="1634" spans="2:3" ht="15" customHeight="1" x14ac:dyDescent="0.25">
      <c r="B1634" s="23"/>
      <c r="C1634" s="23"/>
    </row>
    <row r="1635" spans="2:3" ht="15" customHeight="1" x14ac:dyDescent="0.25">
      <c r="B1635" s="23"/>
      <c r="C1635" s="23"/>
    </row>
    <row r="1636" spans="2:3" ht="15" customHeight="1" x14ac:dyDescent="0.25">
      <c r="B1636" s="23"/>
      <c r="C1636" s="23"/>
    </row>
    <row r="1637" spans="2:3" ht="15" customHeight="1" x14ac:dyDescent="0.25">
      <c r="B1637" s="23"/>
      <c r="C1637" s="23"/>
    </row>
    <row r="1638" spans="2:3" ht="15" customHeight="1" x14ac:dyDescent="0.25">
      <c r="B1638" s="23"/>
      <c r="C1638" s="23"/>
    </row>
    <row r="1639" spans="2:3" ht="15" customHeight="1" x14ac:dyDescent="0.25">
      <c r="B1639" s="23"/>
      <c r="C1639" s="23"/>
    </row>
    <row r="1640" spans="2:3" ht="15" customHeight="1" x14ac:dyDescent="0.25">
      <c r="B1640" s="23"/>
      <c r="C1640" s="23"/>
    </row>
    <row r="1641" spans="2:3" ht="15" customHeight="1" x14ac:dyDescent="0.25">
      <c r="B1641" s="23"/>
      <c r="C1641" s="23"/>
    </row>
    <row r="1642" spans="2:3" ht="15" customHeight="1" x14ac:dyDescent="0.25">
      <c r="B1642" s="23"/>
      <c r="C1642" s="23"/>
    </row>
    <row r="1643" spans="2:3" ht="15" customHeight="1" x14ac:dyDescent="0.25">
      <c r="B1643" s="23"/>
      <c r="C1643" s="23"/>
    </row>
    <row r="1644" spans="2:3" ht="15" customHeight="1" x14ac:dyDescent="0.25">
      <c r="B1644" s="23"/>
      <c r="C1644" s="23"/>
    </row>
    <row r="1645" spans="2:3" ht="15" customHeight="1" x14ac:dyDescent="0.25">
      <c r="B1645" s="23"/>
      <c r="C1645" s="23"/>
    </row>
    <row r="1646" spans="2:3" ht="15" customHeight="1" x14ac:dyDescent="0.25">
      <c r="B1646" s="23"/>
      <c r="C1646" s="23"/>
    </row>
    <row r="1647" spans="2:3" ht="15" customHeight="1" x14ac:dyDescent="0.25">
      <c r="B1647" s="23"/>
      <c r="C1647" s="23"/>
    </row>
    <row r="1648" spans="2:3" ht="15" customHeight="1" x14ac:dyDescent="0.25">
      <c r="B1648" s="23"/>
      <c r="C1648" s="23"/>
    </row>
    <row r="1649" spans="2:3" ht="15" customHeight="1" x14ac:dyDescent="0.25">
      <c r="B1649" s="23"/>
      <c r="C1649" s="23"/>
    </row>
    <row r="1650" spans="2:3" ht="15" customHeight="1" x14ac:dyDescent="0.25">
      <c r="B1650" s="23"/>
      <c r="C1650" s="23"/>
    </row>
    <row r="1651" spans="2:3" ht="15" customHeight="1" x14ac:dyDescent="0.25">
      <c r="B1651" s="23"/>
      <c r="C1651" s="23"/>
    </row>
    <row r="1652" spans="2:3" ht="15" customHeight="1" x14ac:dyDescent="0.25">
      <c r="B1652" s="23"/>
      <c r="C1652" s="23"/>
    </row>
    <row r="1653" spans="2:3" ht="15" customHeight="1" x14ac:dyDescent="0.25">
      <c r="B1653" s="23"/>
      <c r="C1653" s="23"/>
    </row>
    <row r="1654" spans="2:3" ht="15" customHeight="1" x14ac:dyDescent="0.25">
      <c r="B1654" s="23"/>
      <c r="C1654" s="23"/>
    </row>
    <row r="1655" spans="2:3" ht="15" customHeight="1" x14ac:dyDescent="0.25">
      <c r="B1655" s="23"/>
      <c r="C1655" s="23"/>
    </row>
    <row r="1656" spans="2:3" ht="15" customHeight="1" x14ac:dyDescent="0.25">
      <c r="B1656" s="23"/>
      <c r="C1656" s="23"/>
    </row>
    <row r="1657" spans="2:3" ht="15" customHeight="1" x14ac:dyDescent="0.25">
      <c r="B1657" s="23"/>
      <c r="C1657" s="23"/>
    </row>
    <row r="1658" spans="2:3" ht="15" customHeight="1" x14ac:dyDescent="0.25">
      <c r="B1658" s="23"/>
      <c r="C1658" s="23"/>
    </row>
    <row r="1659" spans="2:3" ht="15" customHeight="1" x14ac:dyDescent="0.25">
      <c r="B1659" s="23"/>
      <c r="C1659" s="23"/>
    </row>
    <row r="1660" spans="2:3" ht="15" customHeight="1" x14ac:dyDescent="0.25">
      <c r="B1660" s="23"/>
      <c r="C1660" s="23"/>
    </row>
    <row r="1661" spans="2:3" ht="15" customHeight="1" x14ac:dyDescent="0.25">
      <c r="B1661" s="23"/>
      <c r="C1661" s="23"/>
    </row>
    <row r="1662" spans="2:3" ht="15" customHeight="1" x14ac:dyDescent="0.25">
      <c r="B1662" s="23"/>
      <c r="C1662" s="23"/>
    </row>
    <row r="1663" spans="2:3" ht="15" customHeight="1" x14ac:dyDescent="0.25">
      <c r="B1663" s="23"/>
      <c r="C1663" s="23"/>
    </row>
    <row r="1664" spans="2:3" ht="15" customHeight="1" x14ac:dyDescent="0.25">
      <c r="B1664" s="23"/>
      <c r="C1664" s="23"/>
    </row>
    <row r="1665" spans="2:3" ht="15" customHeight="1" x14ac:dyDescent="0.25">
      <c r="B1665" s="23"/>
      <c r="C1665" s="23"/>
    </row>
    <row r="1666" spans="2:3" ht="15" customHeight="1" x14ac:dyDescent="0.25">
      <c r="B1666" s="23"/>
      <c r="C1666" s="23"/>
    </row>
    <row r="1667" spans="2:3" ht="15" customHeight="1" x14ac:dyDescent="0.25">
      <c r="B1667" s="23"/>
      <c r="C1667" s="23"/>
    </row>
    <row r="1668" spans="2:3" ht="15" customHeight="1" x14ac:dyDescent="0.25">
      <c r="B1668" s="23"/>
      <c r="C1668" s="23"/>
    </row>
    <row r="1669" spans="2:3" ht="15" customHeight="1" x14ac:dyDescent="0.25">
      <c r="B1669" s="23"/>
      <c r="C1669" s="23"/>
    </row>
    <row r="1670" spans="2:3" ht="15" customHeight="1" x14ac:dyDescent="0.25">
      <c r="B1670" s="23"/>
      <c r="C1670" s="23"/>
    </row>
    <row r="1671" spans="2:3" ht="15" customHeight="1" x14ac:dyDescent="0.25">
      <c r="B1671" s="23"/>
      <c r="C1671" s="23"/>
    </row>
    <row r="1672" spans="2:3" ht="15" customHeight="1" x14ac:dyDescent="0.25">
      <c r="B1672" s="23"/>
      <c r="C1672" s="23"/>
    </row>
    <row r="1673" spans="2:3" ht="15" customHeight="1" x14ac:dyDescent="0.25">
      <c r="B1673" s="23"/>
      <c r="C1673" s="23"/>
    </row>
    <row r="1674" spans="2:3" ht="15" customHeight="1" x14ac:dyDescent="0.25">
      <c r="B1674" s="23"/>
      <c r="C1674" s="23"/>
    </row>
    <row r="1675" spans="2:3" ht="15" customHeight="1" x14ac:dyDescent="0.25">
      <c r="B1675" s="23"/>
      <c r="C1675" s="23"/>
    </row>
    <row r="1676" spans="2:3" ht="15" customHeight="1" x14ac:dyDescent="0.25">
      <c r="B1676" s="23"/>
      <c r="C1676" s="23"/>
    </row>
    <row r="1677" spans="2:3" ht="15" customHeight="1" x14ac:dyDescent="0.25">
      <c r="B1677" s="23"/>
      <c r="C1677" s="23"/>
    </row>
    <row r="1678" spans="2:3" ht="15" customHeight="1" x14ac:dyDescent="0.25">
      <c r="B1678" s="23"/>
      <c r="C1678" s="23"/>
    </row>
    <row r="1679" spans="2:3" ht="15" customHeight="1" x14ac:dyDescent="0.25">
      <c r="B1679" s="23"/>
      <c r="C1679" s="23"/>
    </row>
    <row r="1680" spans="2:3" ht="15" customHeight="1" x14ac:dyDescent="0.25">
      <c r="B1680" s="23"/>
      <c r="C1680" s="23"/>
    </row>
    <row r="1681" spans="2:3" ht="15" customHeight="1" x14ac:dyDescent="0.25">
      <c r="B1681" s="23"/>
      <c r="C1681" s="23"/>
    </row>
    <row r="1682" spans="2:3" ht="15" customHeight="1" x14ac:dyDescent="0.25">
      <c r="B1682" s="23"/>
      <c r="C1682" s="23"/>
    </row>
    <row r="1683" spans="2:3" ht="15" customHeight="1" x14ac:dyDescent="0.25">
      <c r="B1683" s="23"/>
      <c r="C1683" s="23"/>
    </row>
    <row r="1684" spans="2:3" ht="15" customHeight="1" x14ac:dyDescent="0.25">
      <c r="B1684" s="23"/>
      <c r="C1684" s="23"/>
    </row>
    <row r="1685" spans="2:3" ht="15" customHeight="1" x14ac:dyDescent="0.25">
      <c r="B1685" s="23"/>
      <c r="C1685" s="23"/>
    </row>
    <row r="1686" spans="2:3" ht="15" customHeight="1" x14ac:dyDescent="0.25">
      <c r="B1686" s="23"/>
      <c r="C1686" s="23"/>
    </row>
    <row r="1687" spans="2:3" ht="15" customHeight="1" x14ac:dyDescent="0.25">
      <c r="B1687" s="23"/>
      <c r="C1687" s="23"/>
    </row>
    <row r="1688" spans="2:3" ht="15" customHeight="1" x14ac:dyDescent="0.25">
      <c r="B1688" s="23"/>
      <c r="C1688" s="23"/>
    </row>
    <row r="1689" spans="2:3" ht="15" customHeight="1" x14ac:dyDescent="0.25">
      <c r="B1689" s="23"/>
      <c r="C1689" s="23"/>
    </row>
    <row r="1690" spans="2:3" ht="15" customHeight="1" x14ac:dyDescent="0.25">
      <c r="B1690" s="23"/>
      <c r="C1690" s="23"/>
    </row>
    <row r="1691" spans="2:3" ht="15" customHeight="1" x14ac:dyDescent="0.25">
      <c r="B1691" s="23"/>
      <c r="C1691" s="23"/>
    </row>
    <row r="1692" spans="2:3" ht="15" customHeight="1" x14ac:dyDescent="0.25">
      <c r="B1692" s="23"/>
      <c r="C1692" s="23"/>
    </row>
    <row r="1693" spans="2:3" ht="15" customHeight="1" x14ac:dyDescent="0.25">
      <c r="B1693" s="23"/>
      <c r="C1693" s="23"/>
    </row>
    <row r="1694" spans="2:3" ht="15" customHeight="1" x14ac:dyDescent="0.25">
      <c r="B1694" s="23"/>
      <c r="C1694" s="23"/>
    </row>
    <row r="1695" spans="2:3" ht="15" customHeight="1" x14ac:dyDescent="0.25">
      <c r="B1695" s="23"/>
      <c r="C1695" s="23"/>
    </row>
    <row r="1696" spans="2:3" ht="15" customHeight="1" x14ac:dyDescent="0.25">
      <c r="B1696" s="23"/>
      <c r="C1696" s="23"/>
    </row>
    <row r="1697" spans="2:3" ht="15" customHeight="1" x14ac:dyDescent="0.25">
      <c r="B1697" s="23"/>
      <c r="C1697" s="23"/>
    </row>
    <row r="1698" spans="2:3" ht="15" customHeight="1" x14ac:dyDescent="0.25">
      <c r="B1698" s="23"/>
      <c r="C1698" s="23"/>
    </row>
    <row r="1699" spans="2:3" ht="15" customHeight="1" x14ac:dyDescent="0.25">
      <c r="B1699" s="23"/>
      <c r="C1699" s="23"/>
    </row>
    <row r="1700" spans="2:3" ht="15" customHeight="1" x14ac:dyDescent="0.25">
      <c r="B1700" s="23"/>
      <c r="C1700" s="23"/>
    </row>
    <row r="1701" spans="2:3" ht="15" customHeight="1" x14ac:dyDescent="0.25">
      <c r="B1701" s="23"/>
      <c r="C1701" s="23"/>
    </row>
    <row r="1702" spans="2:3" ht="15" customHeight="1" x14ac:dyDescent="0.25">
      <c r="B1702" s="23"/>
      <c r="C1702" s="23"/>
    </row>
    <row r="1703" spans="2:3" ht="15" customHeight="1" x14ac:dyDescent="0.25">
      <c r="B1703" s="23"/>
      <c r="C1703" s="23"/>
    </row>
    <row r="1704" spans="2:3" ht="15" customHeight="1" x14ac:dyDescent="0.25">
      <c r="B1704" s="23"/>
      <c r="C1704" s="23"/>
    </row>
    <row r="1705" spans="2:3" ht="15" customHeight="1" x14ac:dyDescent="0.25">
      <c r="B1705" s="23"/>
      <c r="C1705" s="23"/>
    </row>
    <row r="1706" spans="2:3" ht="15" customHeight="1" x14ac:dyDescent="0.25">
      <c r="B1706" s="23"/>
      <c r="C1706" s="23"/>
    </row>
    <row r="1707" spans="2:3" ht="15" customHeight="1" x14ac:dyDescent="0.25">
      <c r="B1707" s="23"/>
      <c r="C1707" s="23"/>
    </row>
    <row r="1708" spans="2:3" ht="15" customHeight="1" x14ac:dyDescent="0.25">
      <c r="B1708" s="23"/>
      <c r="C1708" s="23"/>
    </row>
    <row r="1709" spans="2:3" ht="15" customHeight="1" x14ac:dyDescent="0.25">
      <c r="B1709" s="23"/>
      <c r="C1709" s="23"/>
    </row>
    <row r="1710" spans="2:3" ht="15" customHeight="1" x14ac:dyDescent="0.25">
      <c r="B1710" s="23"/>
      <c r="C1710" s="23"/>
    </row>
    <row r="1711" spans="2:3" ht="15" customHeight="1" x14ac:dyDescent="0.25">
      <c r="B1711" s="23"/>
      <c r="C1711" s="23"/>
    </row>
    <row r="1712" spans="2:3" ht="15" customHeight="1" x14ac:dyDescent="0.25">
      <c r="B1712" s="23"/>
      <c r="C1712" s="23"/>
    </row>
    <row r="1713" spans="2:3" ht="15" customHeight="1" x14ac:dyDescent="0.25">
      <c r="B1713" s="23"/>
      <c r="C1713" s="23"/>
    </row>
    <row r="1714" spans="2:3" ht="15" customHeight="1" x14ac:dyDescent="0.25">
      <c r="B1714" s="23"/>
      <c r="C1714" s="23"/>
    </row>
    <row r="1715" spans="2:3" ht="15" customHeight="1" x14ac:dyDescent="0.25">
      <c r="B1715" s="23"/>
      <c r="C1715" s="23"/>
    </row>
    <row r="1716" spans="2:3" ht="15" customHeight="1" x14ac:dyDescent="0.25">
      <c r="B1716" s="23"/>
      <c r="C1716" s="23"/>
    </row>
    <row r="1717" spans="2:3" ht="15" customHeight="1" x14ac:dyDescent="0.25">
      <c r="B1717" s="23"/>
      <c r="C1717" s="23"/>
    </row>
    <row r="1718" spans="2:3" ht="15" customHeight="1" x14ac:dyDescent="0.25">
      <c r="B1718" s="23"/>
      <c r="C1718" s="23"/>
    </row>
    <row r="1719" spans="2:3" ht="15" customHeight="1" x14ac:dyDescent="0.25">
      <c r="B1719" s="23"/>
      <c r="C1719" s="23"/>
    </row>
    <row r="1720" spans="2:3" ht="15" customHeight="1" x14ac:dyDescent="0.25">
      <c r="B1720" s="23"/>
      <c r="C1720" s="23"/>
    </row>
    <row r="1721" spans="2:3" ht="15" customHeight="1" x14ac:dyDescent="0.25">
      <c r="B1721" s="23"/>
      <c r="C1721" s="23"/>
    </row>
    <row r="1722" spans="2:3" ht="15" customHeight="1" x14ac:dyDescent="0.25">
      <c r="B1722" s="23"/>
      <c r="C1722" s="23"/>
    </row>
    <row r="1723" spans="2:3" ht="15" customHeight="1" x14ac:dyDescent="0.25">
      <c r="B1723" s="23"/>
      <c r="C1723" s="23"/>
    </row>
    <row r="1724" spans="2:3" ht="15" customHeight="1" x14ac:dyDescent="0.25">
      <c r="B1724" s="23"/>
      <c r="C1724" s="23"/>
    </row>
    <row r="1725" spans="2:3" ht="15" customHeight="1" x14ac:dyDescent="0.25">
      <c r="B1725" s="23"/>
      <c r="C1725" s="23"/>
    </row>
    <row r="1726" spans="2:3" ht="15" customHeight="1" x14ac:dyDescent="0.25">
      <c r="B1726" s="23"/>
      <c r="C1726" s="23"/>
    </row>
    <row r="1727" spans="2:3" ht="15" customHeight="1" x14ac:dyDescent="0.25">
      <c r="B1727" s="23"/>
      <c r="C1727" s="23"/>
    </row>
    <row r="1728" spans="2:3" ht="15" customHeight="1" x14ac:dyDescent="0.25">
      <c r="B1728" s="23"/>
      <c r="C1728" s="23"/>
    </row>
    <row r="1729" spans="2:3" ht="15" customHeight="1" x14ac:dyDescent="0.25">
      <c r="B1729" s="23"/>
      <c r="C1729" s="23"/>
    </row>
    <row r="1730" spans="2:3" ht="15" customHeight="1" x14ac:dyDescent="0.25">
      <c r="B1730" s="23"/>
      <c r="C1730" s="23"/>
    </row>
    <row r="1731" spans="2:3" ht="15" customHeight="1" x14ac:dyDescent="0.25">
      <c r="B1731" s="23"/>
      <c r="C1731" s="23"/>
    </row>
    <row r="1732" spans="2:3" ht="15" customHeight="1" x14ac:dyDescent="0.25">
      <c r="B1732" s="23"/>
      <c r="C1732" s="23"/>
    </row>
    <row r="1733" spans="2:3" ht="15" customHeight="1" x14ac:dyDescent="0.25">
      <c r="B1733" s="23"/>
      <c r="C1733" s="23"/>
    </row>
    <row r="1734" spans="2:3" ht="15" customHeight="1" x14ac:dyDescent="0.25">
      <c r="B1734" s="23"/>
      <c r="C1734" s="23"/>
    </row>
    <row r="1735" spans="2:3" ht="15" customHeight="1" x14ac:dyDescent="0.25">
      <c r="B1735" s="23"/>
      <c r="C1735" s="23"/>
    </row>
    <row r="1736" spans="2:3" ht="15" customHeight="1" x14ac:dyDescent="0.25">
      <c r="B1736" s="23"/>
      <c r="C1736" s="23"/>
    </row>
    <row r="1737" spans="2:3" ht="15" customHeight="1" x14ac:dyDescent="0.25">
      <c r="B1737" s="23"/>
      <c r="C1737" s="23"/>
    </row>
    <row r="1738" spans="2:3" ht="15" customHeight="1" x14ac:dyDescent="0.25">
      <c r="B1738" s="23"/>
      <c r="C1738" s="23"/>
    </row>
    <row r="1739" spans="2:3" ht="15" customHeight="1" x14ac:dyDescent="0.25">
      <c r="B1739" s="23"/>
      <c r="C1739" s="23"/>
    </row>
    <row r="1740" spans="2:3" ht="15" customHeight="1" x14ac:dyDescent="0.25">
      <c r="B1740" s="23"/>
      <c r="C1740" s="23"/>
    </row>
    <row r="1741" spans="2:3" ht="15" customHeight="1" x14ac:dyDescent="0.25">
      <c r="B1741" s="23"/>
      <c r="C1741" s="23"/>
    </row>
    <row r="1742" spans="2:3" ht="15" customHeight="1" x14ac:dyDescent="0.25">
      <c r="B1742" s="23"/>
      <c r="C1742" s="23"/>
    </row>
    <row r="1743" spans="2:3" ht="15" customHeight="1" x14ac:dyDescent="0.25">
      <c r="B1743" s="23"/>
      <c r="C1743" s="23"/>
    </row>
    <row r="1744" spans="2:3" ht="15" customHeight="1" x14ac:dyDescent="0.25">
      <c r="B1744" s="23"/>
      <c r="C1744" s="23"/>
    </row>
    <row r="1745" spans="2:3" ht="15" customHeight="1" x14ac:dyDescent="0.25">
      <c r="B1745" s="23"/>
      <c r="C1745" s="23"/>
    </row>
    <row r="1746" spans="2:3" ht="15" customHeight="1" x14ac:dyDescent="0.25">
      <c r="B1746" s="23"/>
      <c r="C1746" s="23"/>
    </row>
    <row r="1747" spans="2:3" ht="15" customHeight="1" x14ac:dyDescent="0.25">
      <c r="B1747" s="23"/>
      <c r="C1747" s="23"/>
    </row>
    <row r="1748" spans="2:3" ht="15" customHeight="1" x14ac:dyDescent="0.25">
      <c r="B1748" s="23"/>
      <c r="C1748" s="23"/>
    </row>
    <row r="1749" spans="2:3" ht="15" customHeight="1" x14ac:dyDescent="0.25">
      <c r="B1749" s="23"/>
      <c r="C1749" s="23"/>
    </row>
    <row r="1750" spans="2:3" ht="15" customHeight="1" x14ac:dyDescent="0.25">
      <c r="B1750" s="23"/>
      <c r="C1750" s="23"/>
    </row>
    <row r="1751" spans="2:3" ht="15" customHeight="1" x14ac:dyDescent="0.25">
      <c r="B1751" s="23"/>
      <c r="C1751" s="23"/>
    </row>
    <row r="1752" spans="2:3" ht="15" customHeight="1" x14ac:dyDescent="0.25">
      <c r="B1752" s="23"/>
      <c r="C1752" s="23"/>
    </row>
    <row r="1753" spans="2:3" ht="15" customHeight="1" x14ac:dyDescent="0.25">
      <c r="B1753" s="23"/>
      <c r="C1753" s="23"/>
    </row>
    <row r="1754" spans="2:3" ht="15" customHeight="1" x14ac:dyDescent="0.25">
      <c r="B1754" s="23"/>
      <c r="C1754" s="23"/>
    </row>
    <row r="1755" spans="2:3" ht="15" customHeight="1" x14ac:dyDescent="0.25">
      <c r="B1755" s="23"/>
      <c r="C1755" s="23"/>
    </row>
    <row r="1756" spans="2:3" ht="15" customHeight="1" x14ac:dyDescent="0.25">
      <c r="B1756" s="23"/>
      <c r="C1756" s="23"/>
    </row>
    <row r="1757" spans="2:3" ht="15" customHeight="1" x14ac:dyDescent="0.25">
      <c r="B1757" s="23"/>
      <c r="C1757" s="23"/>
    </row>
    <row r="1758" spans="2:3" ht="15" customHeight="1" x14ac:dyDescent="0.25">
      <c r="B1758" s="23"/>
      <c r="C1758" s="23"/>
    </row>
    <row r="1759" spans="2:3" ht="15" customHeight="1" x14ac:dyDescent="0.25">
      <c r="B1759" s="23"/>
      <c r="C1759" s="23"/>
    </row>
    <row r="1760" spans="2:3" ht="15" customHeight="1" x14ac:dyDescent="0.25">
      <c r="B1760" s="23"/>
      <c r="C1760" s="23"/>
    </row>
    <row r="1761" spans="2:3" ht="15" customHeight="1" x14ac:dyDescent="0.25">
      <c r="B1761" s="23"/>
      <c r="C1761" s="23"/>
    </row>
    <row r="1762" spans="2:3" ht="15" customHeight="1" x14ac:dyDescent="0.25">
      <c r="B1762" s="23"/>
      <c r="C1762" s="23"/>
    </row>
    <row r="1763" spans="2:3" ht="15" customHeight="1" x14ac:dyDescent="0.25">
      <c r="B1763" s="23"/>
      <c r="C1763" s="23"/>
    </row>
    <row r="1764" spans="2:3" ht="15" customHeight="1" x14ac:dyDescent="0.25">
      <c r="B1764" s="23"/>
      <c r="C1764" s="23"/>
    </row>
    <row r="1765" spans="2:3" ht="15" customHeight="1" x14ac:dyDescent="0.25">
      <c r="B1765" s="23"/>
      <c r="C1765" s="23"/>
    </row>
    <row r="1766" spans="2:3" ht="15" customHeight="1" x14ac:dyDescent="0.25">
      <c r="B1766" s="23"/>
      <c r="C1766" s="23"/>
    </row>
    <row r="1767" spans="2:3" ht="15" customHeight="1" x14ac:dyDescent="0.25">
      <c r="B1767" s="23"/>
      <c r="C1767" s="23"/>
    </row>
    <row r="1768" spans="2:3" ht="15" customHeight="1" x14ac:dyDescent="0.25">
      <c r="B1768" s="23"/>
      <c r="C1768" s="23"/>
    </row>
    <row r="1769" spans="2:3" ht="15" customHeight="1" x14ac:dyDescent="0.25">
      <c r="B1769" s="23"/>
      <c r="C1769" s="23"/>
    </row>
    <row r="1770" spans="2:3" ht="15" customHeight="1" x14ac:dyDescent="0.25">
      <c r="B1770" s="23"/>
      <c r="C1770" s="23"/>
    </row>
    <row r="1771" spans="2:3" ht="15" customHeight="1" x14ac:dyDescent="0.25">
      <c r="B1771" s="23"/>
      <c r="C1771" s="23"/>
    </row>
    <row r="1772" spans="2:3" ht="15" customHeight="1" x14ac:dyDescent="0.25">
      <c r="B1772" s="23"/>
      <c r="C1772" s="23"/>
    </row>
    <row r="1773" spans="2:3" ht="15" customHeight="1" x14ac:dyDescent="0.25">
      <c r="B1773" s="23"/>
      <c r="C1773" s="23"/>
    </row>
    <row r="1774" spans="2:3" ht="15" customHeight="1" x14ac:dyDescent="0.25">
      <c r="B1774" s="23"/>
      <c r="C1774" s="23"/>
    </row>
    <row r="1775" spans="2:3" ht="15" customHeight="1" x14ac:dyDescent="0.25">
      <c r="B1775" s="23"/>
      <c r="C1775" s="23"/>
    </row>
    <row r="1776" spans="2:3" ht="15" customHeight="1" x14ac:dyDescent="0.25">
      <c r="B1776" s="23"/>
      <c r="C1776" s="23"/>
    </row>
    <row r="1777" spans="2:3" ht="15" customHeight="1" x14ac:dyDescent="0.25">
      <c r="B1777" s="23"/>
      <c r="C1777" s="23"/>
    </row>
    <row r="1778" spans="2:3" ht="15" customHeight="1" x14ac:dyDescent="0.25">
      <c r="B1778" s="23"/>
      <c r="C1778" s="23"/>
    </row>
    <row r="1779" spans="2:3" ht="15" customHeight="1" x14ac:dyDescent="0.25">
      <c r="B1779" s="23"/>
      <c r="C1779" s="23"/>
    </row>
    <row r="1780" spans="2:3" ht="15" customHeight="1" x14ac:dyDescent="0.25">
      <c r="B1780" s="23"/>
      <c r="C1780" s="23"/>
    </row>
    <row r="1781" spans="2:3" ht="15" customHeight="1" x14ac:dyDescent="0.25">
      <c r="B1781" s="23"/>
      <c r="C1781" s="23"/>
    </row>
    <row r="1782" spans="2:3" ht="15" customHeight="1" x14ac:dyDescent="0.25">
      <c r="B1782" s="23"/>
      <c r="C1782" s="23"/>
    </row>
    <row r="1783" spans="2:3" ht="15" customHeight="1" x14ac:dyDescent="0.25">
      <c r="B1783" s="23"/>
      <c r="C1783" s="23"/>
    </row>
    <row r="1784" spans="2:3" ht="15" customHeight="1" x14ac:dyDescent="0.25">
      <c r="B1784" s="23"/>
      <c r="C1784" s="23"/>
    </row>
    <row r="1785" spans="2:3" ht="15" customHeight="1" x14ac:dyDescent="0.25">
      <c r="B1785" s="23"/>
      <c r="C1785" s="23"/>
    </row>
    <row r="1786" spans="2:3" ht="15" customHeight="1" x14ac:dyDescent="0.25">
      <c r="B1786" s="23"/>
      <c r="C1786" s="23"/>
    </row>
    <row r="1787" spans="2:3" ht="15" customHeight="1" x14ac:dyDescent="0.25">
      <c r="B1787" s="23"/>
      <c r="C1787" s="23"/>
    </row>
    <row r="1788" spans="2:3" ht="15" customHeight="1" x14ac:dyDescent="0.25">
      <c r="B1788" s="23"/>
      <c r="C1788" s="23"/>
    </row>
    <row r="1789" spans="2:3" ht="15" customHeight="1" x14ac:dyDescent="0.25">
      <c r="B1789" s="23"/>
      <c r="C1789" s="23"/>
    </row>
    <row r="1790" spans="2:3" ht="15" customHeight="1" x14ac:dyDescent="0.25">
      <c r="B1790" s="23"/>
      <c r="C1790" s="23"/>
    </row>
    <row r="1791" spans="2:3" ht="15" customHeight="1" x14ac:dyDescent="0.25">
      <c r="B1791" s="23"/>
      <c r="C1791" s="23"/>
    </row>
  </sheetData>
  <pageMargins left="0.7" right="0.7" top="0.75" bottom="0.75" header="0.3" footer="0.3"/>
  <pageSetup orientation="portrait" horizontalDpi="75" verticalDpi="75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LOWS</vt:lpstr>
      <vt:lpstr>SCREENER</vt:lpstr>
      <vt:lpstr>HIST_DATA</vt:lpstr>
      <vt:lpstr>SCREENER!INPUTS</vt:lpstr>
      <vt:lpstr>INPUTS</vt:lpstr>
      <vt:lpstr>SCREENER!POSITION</vt:lpstr>
      <vt:lpstr>POSITION</vt:lpstr>
    </vt:vector>
  </TitlesOfParts>
  <Company>Ivey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2009-06-20T23:41:00Z</dcterms:created>
  <dcterms:modified xsi:type="dcterms:W3CDTF">2013-02-28T04:15:34Z</dcterms:modified>
</cp:coreProperties>
</file>