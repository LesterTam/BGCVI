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375" windowWidth="14715" windowHeight="7935"/>
  </bookViews>
  <sheets>
    <sheet name="CONTROL" sheetId="1" r:id="rId1"/>
    <sheet name="DATA" sheetId="3" r:id="rId2"/>
    <sheet name="TREND_CHART" sheetId="2" r:id="rId3"/>
    <sheet name="MOMENTS" sheetId="5" r:id="rId4"/>
    <sheet name="GUIDELINES" sheetId="4" r:id="rId5"/>
  </sheets>
  <externalReferences>
    <externalReference r:id="rId6"/>
  </externalReferences>
  <definedNames>
    <definedName name="_xlnm._FilterDatabase" localSheetId="4" hidden="1">GUIDELINES!$A$1:$C$133</definedName>
    <definedName name="HIST_DATA">DATA!$A$2:$AB$368</definedName>
    <definedName name="INDEX">CONTROL!$F$13</definedName>
    <definedName name="INPUTS">CONTROL!$F$2:$F$8</definedName>
    <definedName name="NO_PERIODS">CONTROL!$F$12</definedName>
    <definedName name="PARAMETERS">CONTROL!$C$2:$C$3</definedName>
    <definedName name="POSITION">CONTROL!$B$10</definedName>
    <definedName name="X_AXIS">INDEX(HIST_DATA,0,1)</definedName>
    <definedName name="Y_AXIS">INDEX(HIST_DATA,0,INDEX+1)</definedName>
  </definedNames>
  <calcPr calcId="145621"/>
</workbook>
</file>

<file path=xl/calcChain.xml><?xml version="1.0" encoding="utf-8"?>
<calcChain xmlns="http://schemas.openxmlformats.org/spreadsheetml/2006/main">
  <c r="H17" i="1" l="1"/>
  <c r="G17" i="1"/>
  <c r="I17" i="1" s="1"/>
  <c r="C3" i="1"/>
  <c r="C2" i="1" s="1"/>
  <c r="E14" i="1" l="1"/>
  <c r="E16" i="1" l="1"/>
  <c r="G20" i="1"/>
  <c r="I20" i="1" s="1"/>
  <c r="F20" i="1"/>
  <c r="H20" i="1" s="1"/>
  <c r="E15" i="1"/>
  <c r="E21" i="1"/>
  <c r="F15" i="1" l="1"/>
  <c r="F16" i="1"/>
  <c r="E19" i="1"/>
  <c r="E18" i="1"/>
  <c r="F21" i="1"/>
  <c r="F22" i="1" s="1"/>
  <c r="H21" i="1"/>
  <c r="H22" i="1" s="1"/>
  <c r="G16" i="1"/>
  <c r="G15" i="1"/>
  <c r="H18" i="1" l="1"/>
  <c r="H19" i="1" s="1"/>
  <c r="G21" i="1"/>
  <c r="G22" i="1" s="1"/>
  <c r="I22" i="1" s="1"/>
  <c r="G18" i="1"/>
  <c r="G19" i="1" s="1"/>
  <c r="H15" i="1"/>
  <c r="H16" i="1" s="1"/>
  <c r="F18" i="1"/>
  <c r="F19" i="1" s="1"/>
  <c r="I21" i="1"/>
  <c r="I19" i="1" l="1"/>
  <c r="I18" i="1"/>
</calcChain>
</file>

<file path=xl/sharedStrings.xml><?xml version="1.0" encoding="utf-8"?>
<sst xmlns="http://schemas.openxmlformats.org/spreadsheetml/2006/main" count="663" uniqueCount="416">
  <si>
    <t>Actuals</t>
  </si>
  <si>
    <t>Down</t>
  </si>
  <si>
    <t>Up</t>
  </si>
  <si>
    <t>Hor Line from St Date</t>
  </si>
  <si>
    <t>Ref Day</t>
  </si>
  <si>
    <t>No Periods</t>
  </si>
  <si>
    <t>START DATE</t>
  </si>
  <si>
    <t>END DATE</t>
  </si>
  <si>
    <t>Index</t>
  </si>
  <si>
    <t>FROM</t>
  </si>
  <si>
    <t>TO</t>
  </si>
  <si>
    <t>USD</t>
  </si>
  <si>
    <t xml:space="preserve">ARS </t>
  </si>
  <si>
    <t xml:space="preserve">AUD </t>
  </si>
  <si>
    <t xml:space="preserve">BRL </t>
  </si>
  <si>
    <t xml:space="preserve">CLP </t>
  </si>
  <si>
    <t xml:space="preserve">CNY </t>
  </si>
  <si>
    <t xml:space="preserve">COP </t>
  </si>
  <si>
    <t xml:space="preserve">CZK </t>
  </si>
  <si>
    <t xml:space="preserve">DOP </t>
  </si>
  <si>
    <t xml:space="preserve">HKD </t>
  </si>
  <si>
    <t xml:space="preserve">HUF </t>
  </si>
  <si>
    <t xml:space="preserve">INR </t>
  </si>
  <si>
    <t xml:space="preserve">IDR </t>
  </si>
  <si>
    <t xml:space="preserve">ILS </t>
  </si>
  <si>
    <t xml:space="preserve">MYR </t>
  </si>
  <si>
    <t xml:space="preserve">MXN </t>
  </si>
  <si>
    <t xml:space="preserve">NZD </t>
  </si>
  <si>
    <t xml:space="preserve">PKR </t>
  </si>
  <si>
    <t xml:space="preserve">PEN </t>
  </si>
  <si>
    <t xml:space="preserve">PHP </t>
  </si>
  <si>
    <t xml:space="preserve">PLN </t>
  </si>
  <si>
    <t xml:space="preserve">RUB </t>
  </si>
  <si>
    <t xml:space="preserve">SAR </t>
  </si>
  <si>
    <t xml:space="preserve">ZAR </t>
  </si>
  <si>
    <t xml:space="preserve">KRW </t>
  </si>
  <si>
    <t xml:space="preserve">EUR </t>
  </si>
  <si>
    <t xml:space="preserve">TRY </t>
  </si>
  <si>
    <t xml:space="preserve">VEF </t>
  </si>
  <si>
    <t>Country</t>
  </si>
  <si>
    <t>Argentina</t>
  </si>
  <si>
    <t>Australia</t>
  </si>
  <si>
    <t>Brazil</t>
  </si>
  <si>
    <t>Chile</t>
  </si>
  <si>
    <t>China</t>
  </si>
  <si>
    <t>Colombia</t>
  </si>
  <si>
    <t>Czech Republic</t>
  </si>
  <si>
    <t>Dominican Republic</t>
  </si>
  <si>
    <t>Hong Kong</t>
  </si>
  <si>
    <t>Hungary</t>
  </si>
  <si>
    <t>India</t>
  </si>
  <si>
    <t>Indonesia</t>
  </si>
  <si>
    <t>Israel</t>
  </si>
  <si>
    <t>Malaysia</t>
  </si>
  <si>
    <t>Mexico</t>
  </si>
  <si>
    <t>New Zealand</t>
  </si>
  <si>
    <t>Pakistan</t>
  </si>
  <si>
    <t>Peru</t>
  </si>
  <si>
    <t>Philippines</t>
  </si>
  <si>
    <t>Poland</t>
  </si>
  <si>
    <t>Russia</t>
  </si>
  <si>
    <t>Saudi Arabia</t>
  </si>
  <si>
    <t>South Africa</t>
  </si>
  <si>
    <t>South Korea</t>
  </si>
  <si>
    <t>Spain</t>
  </si>
  <si>
    <t>Turkey</t>
  </si>
  <si>
    <t>Venezuela</t>
  </si>
  <si>
    <t>Currency Name</t>
  </si>
  <si>
    <t>Currency Code</t>
  </si>
  <si>
    <t>Albania</t>
  </si>
  <si>
    <t xml:space="preserve"> Leke </t>
  </si>
  <si>
    <t xml:space="preserve">ALL </t>
  </si>
  <si>
    <t>America (United States of America)</t>
  </si>
  <si>
    <t xml:space="preserve"> Dollars </t>
  </si>
  <si>
    <t xml:space="preserve">USD </t>
  </si>
  <si>
    <t>Afghanistan</t>
  </si>
  <si>
    <t xml:space="preserve"> Afghanis </t>
  </si>
  <si>
    <t xml:space="preserve">AFN </t>
  </si>
  <si>
    <t xml:space="preserve"> Pesos </t>
  </si>
  <si>
    <t>Aruba</t>
  </si>
  <si>
    <t xml:space="preserve"> Guilders (also called Florins) </t>
  </si>
  <si>
    <t xml:space="preserve">AWG </t>
  </si>
  <si>
    <t>Azerbaijan</t>
  </si>
  <si>
    <t xml:space="preserve"> New Manats </t>
  </si>
  <si>
    <t xml:space="preserve">AZN </t>
  </si>
  <si>
    <t>Bahamas</t>
  </si>
  <si>
    <t xml:space="preserve">BSD </t>
  </si>
  <si>
    <t>Barbados</t>
  </si>
  <si>
    <t xml:space="preserve">BBD </t>
  </si>
  <si>
    <t>Belarus</t>
  </si>
  <si>
    <t xml:space="preserve"> Rubles </t>
  </si>
  <si>
    <t xml:space="preserve">BYR </t>
  </si>
  <si>
    <t>Belgium</t>
  </si>
  <si>
    <t xml:space="preserve"> Euro </t>
  </si>
  <si>
    <t>Belize</t>
  </si>
  <si>
    <t xml:space="preserve">BZD </t>
  </si>
  <si>
    <t>Bermuda</t>
  </si>
  <si>
    <t xml:space="preserve">BMD </t>
  </si>
  <si>
    <t>Bolivia</t>
  </si>
  <si>
    <t xml:space="preserve"> Bolivianos </t>
  </si>
  <si>
    <t xml:space="preserve">BOB </t>
  </si>
  <si>
    <t>Bosnia and Herzegovina</t>
  </si>
  <si>
    <t xml:space="preserve"> Convertible Marka </t>
  </si>
  <si>
    <t xml:space="preserve">BAM </t>
  </si>
  <si>
    <t>Botswana</t>
  </si>
  <si>
    <t xml:space="preserve"> Pulas </t>
  </si>
  <si>
    <t xml:space="preserve">BWP </t>
  </si>
  <si>
    <t>Bulgaria</t>
  </si>
  <si>
    <t xml:space="preserve"> Leva </t>
  </si>
  <si>
    <t xml:space="preserve">BGN </t>
  </si>
  <si>
    <t xml:space="preserve"> Reais </t>
  </si>
  <si>
    <t>Britain (United Kingdom)</t>
  </si>
  <si>
    <t xml:space="preserve"> Pounds </t>
  </si>
  <si>
    <t xml:space="preserve">GBP </t>
  </si>
  <si>
    <t>Brunei Darussalam</t>
  </si>
  <si>
    <t xml:space="preserve">BND </t>
  </si>
  <si>
    <t>Cambodia</t>
  </si>
  <si>
    <t xml:space="preserve"> Riels </t>
  </si>
  <si>
    <t xml:space="preserve">KHR </t>
  </si>
  <si>
    <t>Canada</t>
  </si>
  <si>
    <t xml:space="preserve">CAD </t>
  </si>
  <si>
    <t>Cayman Islands</t>
  </si>
  <si>
    <t xml:space="preserve">KYD </t>
  </si>
  <si>
    <t xml:space="preserve"> Yuan Renminbi </t>
  </si>
  <si>
    <t>Costa Rica</t>
  </si>
  <si>
    <t xml:space="preserve"> Colón </t>
  </si>
  <si>
    <t xml:space="preserve">CRC </t>
  </si>
  <si>
    <t>Croatia</t>
  </si>
  <si>
    <t xml:space="preserve"> Kuna </t>
  </si>
  <si>
    <t xml:space="preserve">HRK </t>
  </si>
  <si>
    <t>Cuba</t>
  </si>
  <si>
    <t xml:space="preserve">CUP </t>
  </si>
  <si>
    <t>Cyprus</t>
  </si>
  <si>
    <t xml:space="preserve"> Koruny </t>
  </si>
  <si>
    <t>Denmark</t>
  </si>
  <si>
    <t xml:space="preserve"> Kroner </t>
  </si>
  <si>
    <t xml:space="preserve">DKK </t>
  </si>
  <si>
    <t>East Caribbean</t>
  </si>
  <si>
    <t xml:space="preserve">XCD </t>
  </si>
  <si>
    <t>Egypt</t>
  </si>
  <si>
    <t xml:space="preserve">EGP </t>
  </si>
  <si>
    <t>El Salvador</t>
  </si>
  <si>
    <t xml:space="preserve"> Colones </t>
  </si>
  <si>
    <t xml:space="preserve">SVC </t>
  </si>
  <si>
    <t>England (United Kingdom)</t>
  </si>
  <si>
    <t>Estonia</t>
  </si>
  <si>
    <t xml:space="preserve"> Krooni </t>
  </si>
  <si>
    <t xml:space="preserve">EEK </t>
  </si>
  <si>
    <t xml:space="preserve">Euro </t>
  </si>
  <si>
    <t>Falkland Islands</t>
  </si>
  <si>
    <t xml:space="preserve">FKP </t>
  </si>
  <si>
    <t>Fiji</t>
  </si>
  <si>
    <t xml:space="preserve">FJD </t>
  </si>
  <si>
    <t>France</t>
  </si>
  <si>
    <t>Ghana</t>
  </si>
  <si>
    <t xml:space="preserve"> Cedis </t>
  </si>
  <si>
    <t xml:space="preserve">GHC </t>
  </si>
  <si>
    <t>Gibraltar</t>
  </si>
  <si>
    <t xml:space="preserve">GIP </t>
  </si>
  <si>
    <t>Greece</t>
  </si>
  <si>
    <t>Guatemala</t>
  </si>
  <si>
    <t xml:space="preserve"> Quetzales </t>
  </si>
  <si>
    <t xml:space="preserve">GTQ </t>
  </si>
  <si>
    <t>Guernsey</t>
  </si>
  <si>
    <t xml:space="preserve">GGP </t>
  </si>
  <si>
    <t>Guyana</t>
  </si>
  <si>
    <t xml:space="preserve">GYD </t>
  </si>
  <si>
    <t>Holland (Netherlands)</t>
  </si>
  <si>
    <t>Honduras</t>
  </si>
  <si>
    <t xml:space="preserve"> Lempiras </t>
  </si>
  <si>
    <t xml:space="preserve">HNL </t>
  </si>
  <si>
    <t xml:space="preserve"> Forint </t>
  </si>
  <si>
    <t>Iceland</t>
  </si>
  <si>
    <t xml:space="preserve"> Kronur </t>
  </si>
  <si>
    <t xml:space="preserve">ISK </t>
  </si>
  <si>
    <t xml:space="preserve"> Rupees (Rs or Rs. are commonly used instead of the symbol) </t>
  </si>
  <si>
    <t xml:space="preserve"> Rupiahs </t>
  </si>
  <si>
    <t>Iran</t>
  </si>
  <si>
    <t xml:space="preserve"> Rials </t>
  </si>
  <si>
    <t xml:space="preserve">IRR </t>
  </si>
  <si>
    <t>Ireland</t>
  </si>
  <si>
    <t>Isle of Man</t>
  </si>
  <si>
    <t xml:space="preserve">IMP </t>
  </si>
  <si>
    <t xml:space="preserve"> New Shekels </t>
  </si>
  <si>
    <t>Italy</t>
  </si>
  <si>
    <t>Jamaica</t>
  </si>
  <si>
    <t xml:space="preserve">JMD </t>
  </si>
  <si>
    <t>Japan</t>
  </si>
  <si>
    <t xml:space="preserve"> Yen </t>
  </si>
  <si>
    <t xml:space="preserve">JPY </t>
  </si>
  <si>
    <t>Jersey</t>
  </si>
  <si>
    <t xml:space="preserve">JEP </t>
  </si>
  <si>
    <t>Kazakhstan</t>
  </si>
  <si>
    <t xml:space="preserve"> Tenge </t>
  </si>
  <si>
    <t xml:space="preserve">KZT </t>
  </si>
  <si>
    <t>Korea (North)</t>
  </si>
  <si>
    <t xml:space="preserve"> Won </t>
  </si>
  <si>
    <t xml:space="preserve">KPW </t>
  </si>
  <si>
    <t>Korea (South)</t>
  </si>
  <si>
    <t>Kyrgyzstan</t>
  </si>
  <si>
    <t xml:space="preserve"> Soms </t>
  </si>
  <si>
    <t xml:space="preserve">KGS </t>
  </si>
  <si>
    <t>Laos</t>
  </si>
  <si>
    <t xml:space="preserve"> Kips </t>
  </si>
  <si>
    <t xml:space="preserve">LAK </t>
  </si>
  <si>
    <t>Latvia</t>
  </si>
  <si>
    <t xml:space="preserve"> Lati </t>
  </si>
  <si>
    <t xml:space="preserve">LVL </t>
  </si>
  <si>
    <t>Lebanon</t>
  </si>
  <si>
    <t xml:space="preserve">LBP </t>
  </si>
  <si>
    <t>Liberia</t>
  </si>
  <si>
    <t xml:space="preserve">LRD </t>
  </si>
  <si>
    <t>Liechtenstein</t>
  </si>
  <si>
    <t xml:space="preserve"> Switzerland Francs </t>
  </si>
  <si>
    <t xml:space="preserve">CHF </t>
  </si>
  <si>
    <t>Lithuania</t>
  </si>
  <si>
    <t xml:space="preserve"> Litai </t>
  </si>
  <si>
    <t xml:space="preserve">LTL </t>
  </si>
  <si>
    <t>Luxembourg</t>
  </si>
  <si>
    <t>Macedonia</t>
  </si>
  <si>
    <t xml:space="preserve"> Denars </t>
  </si>
  <si>
    <t xml:space="preserve">MKD </t>
  </si>
  <si>
    <t xml:space="preserve"> Ringgits </t>
  </si>
  <si>
    <t>Malta</t>
  </si>
  <si>
    <t>Mauritius</t>
  </si>
  <si>
    <t xml:space="preserve"> Rupees </t>
  </si>
  <si>
    <t xml:space="preserve">MUR </t>
  </si>
  <si>
    <t>Mongolia</t>
  </si>
  <si>
    <t xml:space="preserve"> Tugriks </t>
  </si>
  <si>
    <t xml:space="preserve">MNT </t>
  </si>
  <si>
    <t>Mozambique</t>
  </si>
  <si>
    <t xml:space="preserve"> Meticais </t>
  </si>
  <si>
    <t xml:space="preserve">MZN </t>
  </si>
  <si>
    <t>Namibia</t>
  </si>
  <si>
    <t xml:space="preserve">NAD </t>
  </si>
  <si>
    <t>Nepal</t>
  </si>
  <si>
    <t xml:space="preserve">NPR </t>
  </si>
  <si>
    <t>Netherlands Antilles</t>
  </si>
  <si>
    <t xml:space="preserve">ANG </t>
  </si>
  <si>
    <t>Netherlands</t>
  </si>
  <si>
    <t>Nicaragua</t>
  </si>
  <si>
    <t xml:space="preserve"> Cordobas </t>
  </si>
  <si>
    <t xml:space="preserve">NIO </t>
  </si>
  <si>
    <t>Nigeria</t>
  </si>
  <si>
    <t xml:space="preserve"> Nairas </t>
  </si>
  <si>
    <t xml:space="preserve">NGN </t>
  </si>
  <si>
    <t>North Korea</t>
  </si>
  <si>
    <t>Norway</t>
  </si>
  <si>
    <t xml:space="preserve"> Krone </t>
  </si>
  <si>
    <t xml:space="preserve">NOK </t>
  </si>
  <si>
    <t>Oman</t>
  </si>
  <si>
    <t xml:space="preserve">OMR </t>
  </si>
  <si>
    <t>Panama</t>
  </si>
  <si>
    <t xml:space="preserve"> Balboa </t>
  </si>
  <si>
    <t xml:space="preserve">PAB </t>
  </si>
  <si>
    <t>Paraguay</t>
  </si>
  <si>
    <t xml:space="preserve"> Guarani </t>
  </si>
  <si>
    <t xml:space="preserve">PYG </t>
  </si>
  <si>
    <t xml:space="preserve"> Nuevos Soles </t>
  </si>
  <si>
    <t xml:space="preserve"> Zlotych </t>
  </si>
  <si>
    <t>Qatar</t>
  </si>
  <si>
    <t xml:space="preserve">QAR </t>
  </si>
  <si>
    <t>Romania</t>
  </si>
  <si>
    <t xml:space="preserve"> New Lei </t>
  </si>
  <si>
    <t xml:space="preserve">RON </t>
  </si>
  <si>
    <t>Saint Helena</t>
  </si>
  <si>
    <t xml:space="preserve">SHP </t>
  </si>
  <si>
    <t xml:space="preserve"> Riyals </t>
  </si>
  <si>
    <t>Serbia</t>
  </si>
  <si>
    <t xml:space="preserve"> Dinars </t>
  </si>
  <si>
    <t xml:space="preserve">RSD </t>
  </si>
  <si>
    <t>Seychelles</t>
  </si>
  <si>
    <t xml:space="preserve">SCR </t>
  </si>
  <si>
    <t>Singapore</t>
  </si>
  <si>
    <t xml:space="preserve">SGD </t>
  </si>
  <si>
    <t>Slovenia</t>
  </si>
  <si>
    <t>Solomon Islands</t>
  </si>
  <si>
    <t xml:space="preserve">SBD </t>
  </si>
  <si>
    <t>Somalia</t>
  </si>
  <si>
    <t xml:space="preserve"> Shillings </t>
  </si>
  <si>
    <t xml:space="preserve">SOS </t>
  </si>
  <si>
    <t xml:space="preserve"> Rand </t>
  </si>
  <si>
    <t>Sri Lanka</t>
  </si>
  <si>
    <t xml:space="preserve">LKR </t>
  </si>
  <si>
    <t>Sweden</t>
  </si>
  <si>
    <t xml:space="preserve"> Kronor </t>
  </si>
  <si>
    <t xml:space="preserve">SEK </t>
  </si>
  <si>
    <t>Switzerland</t>
  </si>
  <si>
    <t xml:space="preserve"> Francs </t>
  </si>
  <si>
    <t>Suriname</t>
  </si>
  <si>
    <t xml:space="preserve">SRD </t>
  </si>
  <si>
    <t>Syria</t>
  </si>
  <si>
    <t xml:space="preserve">SYP </t>
  </si>
  <si>
    <t>Taiwan</t>
  </si>
  <si>
    <t xml:space="preserve"> New Dollars </t>
  </si>
  <si>
    <t xml:space="preserve">TWD </t>
  </si>
  <si>
    <t>Thailand</t>
  </si>
  <si>
    <t xml:space="preserve"> Baht </t>
  </si>
  <si>
    <t xml:space="preserve">THB </t>
  </si>
  <si>
    <t>Trinidad and Tobago</t>
  </si>
  <si>
    <t xml:space="preserve">TTD </t>
  </si>
  <si>
    <t xml:space="preserve"> Lira </t>
  </si>
  <si>
    <t xml:space="preserve"> Liras </t>
  </si>
  <si>
    <t xml:space="preserve">TRL </t>
  </si>
  <si>
    <t>Tuvalu</t>
  </si>
  <si>
    <t xml:space="preserve">TVD </t>
  </si>
  <si>
    <t>Ukraine</t>
  </si>
  <si>
    <t xml:space="preserve"> Hryvnia </t>
  </si>
  <si>
    <t xml:space="preserve">UAH </t>
  </si>
  <si>
    <t>United Kingdom</t>
  </si>
  <si>
    <t>United States of America</t>
  </si>
  <si>
    <t>Uruguay</t>
  </si>
  <si>
    <t xml:space="preserve">UYU </t>
  </si>
  <si>
    <t>Uzbekistan</t>
  </si>
  <si>
    <t xml:space="preserve"> Sums </t>
  </si>
  <si>
    <t xml:space="preserve">UZS </t>
  </si>
  <si>
    <t>Vatican City</t>
  </si>
  <si>
    <t xml:space="preserve"> Bolivares Fuertes </t>
  </si>
  <si>
    <t>Vietnam</t>
  </si>
  <si>
    <t xml:space="preserve"> Dong </t>
  </si>
  <si>
    <t xml:space="preserve">VND </t>
  </si>
  <si>
    <t>Yemen</t>
  </si>
  <si>
    <t xml:space="preserve">YER </t>
  </si>
  <si>
    <t>Zimbabwe</t>
  </si>
  <si>
    <t xml:space="preserve"> Zimbabwe Dollars </t>
  </si>
  <si>
    <t xml:space="preserve">ZWD </t>
  </si>
  <si>
    <t>DATES</t>
  </si>
  <si>
    <t xml:space="preserve">USD to ARS </t>
  </si>
  <si>
    <t xml:space="preserve">USD to AUD </t>
  </si>
  <si>
    <t xml:space="preserve">USD to BRL </t>
  </si>
  <si>
    <t xml:space="preserve">USD to CLP </t>
  </si>
  <si>
    <t xml:space="preserve">USD to CNY </t>
  </si>
  <si>
    <t xml:space="preserve">USD to COP </t>
  </si>
  <si>
    <t xml:space="preserve">USD to CZK </t>
  </si>
  <si>
    <t xml:space="preserve">USD to DOP </t>
  </si>
  <si>
    <t xml:space="preserve">USD to HKD </t>
  </si>
  <si>
    <t xml:space="preserve">USD to HUF </t>
  </si>
  <si>
    <t xml:space="preserve">USD to INR </t>
  </si>
  <si>
    <t xml:space="preserve">USD to IDR </t>
  </si>
  <si>
    <t xml:space="preserve">USD to ILS </t>
  </si>
  <si>
    <t xml:space="preserve">USD to MYR </t>
  </si>
  <si>
    <t xml:space="preserve">USD to MXN </t>
  </si>
  <si>
    <t xml:space="preserve">USD to NZD </t>
  </si>
  <si>
    <t xml:space="preserve">USD to PKR </t>
  </si>
  <si>
    <t xml:space="preserve">USD to PEN </t>
  </si>
  <si>
    <t xml:space="preserve">USD to PHP </t>
  </si>
  <si>
    <t xml:space="preserve">USD to PLN </t>
  </si>
  <si>
    <t xml:space="preserve">USD to RUB </t>
  </si>
  <si>
    <t xml:space="preserve">USD to SAR </t>
  </si>
  <si>
    <t xml:space="preserve">USD to ZAR </t>
  </si>
  <si>
    <t xml:space="preserve">USD to KRW </t>
  </si>
  <si>
    <t xml:space="preserve">USD to EUR </t>
  </si>
  <si>
    <t xml:space="preserve">USD to TRY </t>
  </si>
  <si>
    <t xml:space="preserve">USD to VEF </t>
  </si>
  <si>
    <t>25TH PERCENTILE</t>
  </si>
  <si>
    <t>MINIMUM</t>
  </si>
  <si>
    <t>MEAN</t>
  </si>
  <si>
    <t>50TH PERCENTILE</t>
  </si>
  <si>
    <t>MAXIMUM</t>
  </si>
  <si>
    <t>75TH PERCENTILE</t>
  </si>
  <si>
    <t>SKEWNESS</t>
  </si>
  <si>
    <t>BOWLEY SKEW</t>
  </si>
  <si>
    <t>PEARSON SKEW</t>
  </si>
  <si>
    <t>KURTOSIS</t>
  </si>
  <si>
    <t>MOORE KURTOSIS</t>
  </si>
  <si>
    <t>CROW/SIDDIQUI KURTOSIS</t>
  </si>
  <si>
    <t>PEAKEDNESS</t>
  </si>
  <si>
    <t>TAILS</t>
  </si>
  <si>
    <t>L = PEAK * TAIL</t>
  </si>
  <si>
    <t>PPC^2</t>
  </si>
  <si>
    <t>JB P - VALUE</t>
  </si>
  <si>
    <t>STANDARD DEVIATION</t>
  </si>
  <si>
    <t>INTERQUARTILE RANGE</t>
  </si>
  <si>
    <t>AVERAGE</t>
  </si>
  <si>
    <t>MEDIAN</t>
  </si>
  <si>
    <t>OBSERVATIONS</t>
  </si>
  <si>
    <t>MIN</t>
  </si>
  <si>
    <t>MAX</t>
  </si>
  <si>
    <t>AVERAGE DEVIATION</t>
  </si>
  <si>
    <t>VARIANCE</t>
  </si>
  <si>
    <t>SAMPLE STANDARD DEVIATION</t>
  </si>
  <si>
    <t>STANDARD DEVIATION POPULATION</t>
  </si>
  <si>
    <t>STANDARD ERROR</t>
  </si>
  <si>
    <t>UPPER CONFIDENCE INTERVAL</t>
  </si>
  <si>
    <t>LOWER CONFIDENCE INTERVAL</t>
  </si>
  <si>
    <t>SKEW</t>
  </si>
  <si>
    <t>KURT</t>
  </si>
  <si>
    <t>CASH RATE</t>
  </si>
  <si>
    <t>TARGET</t>
  </si>
  <si>
    <t>CONFIDENCE</t>
  </si>
  <si>
    <t>LOG SCALE</t>
  </si>
  <si>
    <t>PERIODS</t>
  </si>
  <si>
    <t>COUNT BASIS</t>
  </si>
  <si>
    <t>NO DRAWDOWNS</t>
  </si>
  <si>
    <t>NORMAL VAR</t>
  </si>
  <si>
    <t>MODIFIED VAR</t>
  </si>
  <si>
    <t>CONDITIONAL VAR</t>
  </si>
  <si>
    <t>MAXIMUM DRAWDOWN</t>
  </si>
  <si>
    <t>AVERAGE DRAWDOWN</t>
  </si>
  <si>
    <t>SQUARE ROOT SQUARED DRAWDOWNS</t>
  </si>
  <si>
    <t>LPM(1)</t>
  </si>
  <si>
    <t>HPM(1)</t>
  </si>
  <si>
    <t>LPM(2)</t>
  </si>
  <si>
    <t>LPM(3)</t>
  </si>
  <si>
    <t>SHARPE</t>
  </si>
  <si>
    <t>CALMAR</t>
  </si>
  <si>
    <t>STERLING</t>
  </si>
  <si>
    <t>BURKE</t>
  </si>
  <si>
    <t>EXCESS RETURN ON VAR</t>
  </si>
  <si>
    <t>CONDITIONAL SHARPE RATIO</t>
  </si>
  <si>
    <t>MODIFIED SHARPE RATIO</t>
  </si>
  <si>
    <t>GAIN LOSS</t>
  </si>
  <si>
    <t>SORTINO</t>
  </si>
  <si>
    <t>KAPPA</t>
  </si>
  <si>
    <t>OMEGA</t>
  </si>
  <si>
    <t>UPSIDE POTENTIAL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</si>
</sst>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[$-409]d\-mmm\-yy;@"/>
    <numFmt numFmtId="166" formatCode="0\ &quot;pips&quot;"/>
  </numFmts>
  <fonts count="9" x14ac:knownFonts="1">
    <font>
      <sz val="10"/>
      <name val="Verdana"/>
    </font>
    <font>
      <sz val="10"/>
      <name val="Verdana"/>
      <family val="2"/>
    </font>
    <font>
      <sz val="8"/>
      <name val="Verdana"/>
      <family val="2"/>
    </font>
    <font>
      <b/>
      <sz val="10"/>
      <name val="Courier New"/>
      <family val="3"/>
    </font>
    <font>
      <sz val="10"/>
      <name val="Courier New"/>
      <family val="3"/>
    </font>
    <font>
      <b/>
      <sz val="10"/>
      <color rgb="FF0070C0"/>
      <name val="Courier New"/>
      <family val="3"/>
    </font>
    <font>
      <sz val="10"/>
      <color rgb="FF0070C0"/>
      <name val="Courier New"/>
      <family val="3"/>
    </font>
    <font>
      <sz val="10"/>
      <color rgb="FFFF0000"/>
      <name val="Courier New"/>
      <family val="3"/>
    </font>
    <font>
      <b/>
      <sz val="1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4" fillId="0" borderId="0" xfId="0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165" fontId="4" fillId="0" borderId="5" xfId="0" applyNumberFormat="1" applyFont="1" applyFill="1" applyBorder="1" applyAlignment="1">
      <alignment horizontal="center"/>
    </xf>
    <xf numFmtId="165" fontId="4" fillId="0" borderId="7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64" fontId="4" fillId="2" borderId="4" xfId="1" applyNumberFormat="1" applyFont="1" applyFill="1" applyBorder="1" applyAlignment="1">
      <alignment horizontal="centerContinuous"/>
    </xf>
    <xf numFmtId="0" fontId="3" fillId="2" borderId="10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Continuous"/>
    </xf>
    <xf numFmtId="0" fontId="4" fillId="2" borderId="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5" fontId="7" fillId="0" borderId="4" xfId="0" applyNumberFormat="1" applyFont="1" applyFill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Fill="1" applyBorder="1" applyAlignment="1">
      <alignment horizontal="left"/>
    </xf>
    <xf numFmtId="0" fontId="3" fillId="3" borderId="13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43" fontId="4" fillId="0" borderId="11" xfId="1" applyNumberFormat="1" applyFont="1" applyFill="1" applyBorder="1" applyAlignment="1">
      <alignment horizontal="center"/>
    </xf>
    <xf numFmtId="43" fontId="4" fillId="0" borderId="12" xfId="1" applyNumberFormat="1" applyFont="1" applyFill="1" applyBorder="1" applyAlignment="1">
      <alignment horizontal="center"/>
    </xf>
    <xf numFmtId="43" fontId="4" fillId="0" borderId="1" xfId="1" applyNumberFormat="1" applyFont="1" applyFill="1" applyBorder="1" applyAlignment="1">
      <alignment horizontal="center"/>
    </xf>
    <xf numFmtId="43" fontId="4" fillId="0" borderId="8" xfId="1" applyNumberFormat="1" applyFont="1" applyFill="1" applyBorder="1" applyAlignment="1">
      <alignment horizontal="center"/>
    </xf>
    <xf numFmtId="43" fontId="4" fillId="0" borderId="6" xfId="1" applyNumberFormat="1" applyFont="1" applyFill="1" applyBorder="1" applyAlignment="1">
      <alignment horizontal="center"/>
    </xf>
    <xf numFmtId="43" fontId="4" fillId="0" borderId="9" xfId="1" applyNumberFormat="1" applyFont="1" applyFill="1" applyBorder="1" applyAlignment="1">
      <alignment horizontal="center"/>
    </xf>
    <xf numFmtId="0" fontId="4" fillId="0" borderId="0" xfId="0" applyFont="1" applyAlignment="1">
      <alignment horizontal="left"/>
    </xf>
    <xf numFmtId="4" fontId="8" fillId="4" borderId="1" xfId="0" applyNumberFormat="1" applyFon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65" fontId="8" fillId="5" borderId="1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/>
    </xf>
    <xf numFmtId="166" fontId="5" fillId="3" borderId="3" xfId="2" applyNumberFormat="1" applyFont="1" applyFill="1" applyBorder="1" applyAlignment="1">
      <alignment horizontal="center"/>
    </xf>
    <xf numFmtId="166" fontId="5" fillId="3" borderId="10" xfId="2" applyNumberFormat="1" applyFont="1" applyFill="1" applyBorder="1" applyAlignment="1">
      <alignment horizontal="center"/>
    </xf>
    <xf numFmtId="166" fontId="4" fillId="3" borderId="3" xfId="2" applyNumberFormat="1" applyFont="1" applyFill="1" applyBorder="1" applyAlignment="1">
      <alignment horizontal="center"/>
    </xf>
    <xf numFmtId="166" fontId="4" fillId="3" borderId="10" xfId="2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4" fontId="8" fillId="5" borderId="1" xfId="0" applyNumberFormat="1" applyFont="1" applyFill="1" applyBorder="1" applyAlignment="1">
      <alignment horizontal="center" vertical="center" wrapText="1"/>
    </xf>
    <xf numFmtId="4" fontId="8" fillId="5" borderId="15" xfId="0" applyNumberFormat="1" applyFont="1" applyFill="1" applyBorder="1" applyAlignment="1">
      <alignment horizontal="center" vertical="center" wrapText="1"/>
    </xf>
    <xf numFmtId="4" fontId="0" fillId="0" borderId="15" xfId="0" applyNumberFormat="1" applyBorder="1" applyAlignment="1">
      <alignment horizontal="center" vertical="center"/>
    </xf>
    <xf numFmtId="10" fontId="6" fillId="0" borderId="4" xfId="2" applyNumberFormat="1" applyFont="1" applyFill="1" applyBorder="1" applyAlignment="1">
      <alignment horizontal="center"/>
    </xf>
    <xf numFmtId="10" fontId="6" fillId="0" borderId="6" xfId="2" applyNumberFormat="1" applyFont="1" applyFill="1" applyBorder="1" applyAlignment="1">
      <alignment horizontal="center"/>
    </xf>
    <xf numFmtId="0" fontId="6" fillId="0" borderId="6" xfId="1" applyNumberFormat="1" applyFont="1" applyFill="1" applyBorder="1" applyAlignment="1">
      <alignment horizontal="center"/>
    </xf>
    <xf numFmtId="0" fontId="7" fillId="0" borderId="6" xfId="2" applyNumberFormat="1" applyFont="1" applyFill="1" applyBorder="1" applyAlignment="1">
      <alignment horizontal="center"/>
    </xf>
    <xf numFmtId="43" fontId="6" fillId="0" borderId="6" xfId="1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43" fontId="6" fillId="0" borderId="9" xfId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CONTROL!$E$14</c:f>
          <c:strCache>
            <c:ptCount val="1"/>
            <c:pt idx="0">
              <c:v>USD to KRW </c:v>
            </c:pt>
          </c:strCache>
        </c:strRef>
      </c:tx>
      <c:layout/>
      <c:overlay val="1"/>
      <c:txPr>
        <a:bodyPr/>
        <a:lstStyle/>
        <a:p>
          <a:pPr>
            <a:defRPr b="1">
              <a:solidFill>
                <a:srgbClr val="0070C0"/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26837984147686"/>
          <c:y val="8.8082386266756144E-2"/>
          <c:w val="0.82893715888814479"/>
          <c:h val="0.7318645956638626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[0]!X_AXIS</c:f>
              <c:numCache>
                <c:formatCode>[$-409]d\-mmm\-yy;@</c:formatCode>
                <c:ptCount val="367"/>
                <c:pt idx="0">
                  <c:v>40966</c:v>
                </c:pt>
                <c:pt idx="1">
                  <c:v>40967</c:v>
                </c:pt>
                <c:pt idx="2">
                  <c:v>40968</c:v>
                </c:pt>
                <c:pt idx="3">
                  <c:v>40969</c:v>
                </c:pt>
                <c:pt idx="4">
                  <c:v>40970</c:v>
                </c:pt>
                <c:pt idx="5">
                  <c:v>40971</c:v>
                </c:pt>
                <c:pt idx="6">
                  <c:v>40972</c:v>
                </c:pt>
                <c:pt idx="7">
                  <c:v>40973</c:v>
                </c:pt>
                <c:pt idx="8">
                  <c:v>40974</c:v>
                </c:pt>
                <c:pt idx="9">
                  <c:v>40975</c:v>
                </c:pt>
                <c:pt idx="10">
                  <c:v>40976</c:v>
                </c:pt>
                <c:pt idx="11">
                  <c:v>40977</c:v>
                </c:pt>
                <c:pt idx="12">
                  <c:v>40978</c:v>
                </c:pt>
                <c:pt idx="13">
                  <c:v>40979</c:v>
                </c:pt>
                <c:pt idx="14">
                  <c:v>40980</c:v>
                </c:pt>
                <c:pt idx="15">
                  <c:v>40981</c:v>
                </c:pt>
                <c:pt idx="16">
                  <c:v>40982</c:v>
                </c:pt>
                <c:pt idx="17">
                  <c:v>40983</c:v>
                </c:pt>
                <c:pt idx="18">
                  <c:v>40984</c:v>
                </c:pt>
                <c:pt idx="19">
                  <c:v>40985</c:v>
                </c:pt>
                <c:pt idx="20">
                  <c:v>40986</c:v>
                </c:pt>
                <c:pt idx="21">
                  <c:v>40987</c:v>
                </c:pt>
                <c:pt idx="22">
                  <c:v>40988</c:v>
                </c:pt>
                <c:pt idx="23">
                  <c:v>40989</c:v>
                </c:pt>
                <c:pt idx="24">
                  <c:v>40990</c:v>
                </c:pt>
                <c:pt idx="25">
                  <c:v>40991</c:v>
                </c:pt>
                <c:pt idx="26">
                  <c:v>40992</c:v>
                </c:pt>
                <c:pt idx="27">
                  <c:v>40993</c:v>
                </c:pt>
                <c:pt idx="28">
                  <c:v>40994</c:v>
                </c:pt>
                <c:pt idx="29">
                  <c:v>40995</c:v>
                </c:pt>
                <c:pt idx="30">
                  <c:v>40996</c:v>
                </c:pt>
                <c:pt idx="31">
                  <c:v>40997</c:v>
                </c:pt>
                <c:pt idx="32">
                  <c:v>40998</c:v>
                </c:pt>
                <c:pt idx="33">
                  <c:v>40999</c:v>
                </c:pt>
                <c:pt idx="34">
                  <c:v>41000</c:v>
                </c:pt>
                <c:pt idx="35">
                  <c:v>41001</c:v>
                </c:pt>
                <c:pt idx="36">
                  <c:v>41002</c:v>
                </c:pt>
                <c:pt idx="37">
                  <c:v>41003</c:v>
                </c:pt>
                <c:pt idx="38">
                  <c:v>41004</c:v>
                </c:pt>
                <c:pt idx="39">
                  <c:v>41005</c:v>
                </c:pt>
                <c:pt idx="40">
                  <c:v>41006</c:v>
                </c:pt>
                <c:pt idx="41">
                  <c:v>41007</c:v>
                </c:pt>
                <c:pt idx="42">
                  <c:v>41008</c:v>
                </c:pt>
                <c:pt idx="43">
                  <c:v>41009</c:v>
                </c:pt>
                <c:pt idx="44">
                  <c:v>41010</c:v>
                </c:pt>
                <c:pt idx="45">
                  <c:v>41011</c:v>
                </c:pt>
                <c:pt idx="46">
                  <c:v>41012</c:v>
                </c:pt>
                <c:pt idx="47">
                  <c:v>41013</c:v>
                </c:pt>
                <c:pt idx="48">
                  <c:v>41014</c:v>
                </c:pt>
                <c:pt idx="49">
                  <c:v>41015</c:v>
                </c:pt>
                <c:pt idx="50">
                  <c:v>41016</c:v>
                </c:pt>
                <c:pt idx="51">
                  <c:v>41017</c:v>
                </c:pt>
                <c:pt idx="52">
                  <c:v>41018</c:v>
                </c:pt>
                <c:pt idx="53">
                  <c:v>41019</c:v>
                </c:pt>
                <c:pt idx="54">
                  <c:v>41020</c:v>
                </c:pt>
                <c:pt idx="55">
                  <c:v>41021</c:v>
                </c:pt>
                <c:pt idx="56">
                  <c:v>41022</c:v>
                </c:pt>
                <c:pt idx="57">
                  <c:v>41023</c:v>
                </c:pt>
                <c:pt idx="58">
                  <c:v>41024</c:v>
                </c:pt>
                <c:pt idx="59">
                  <c:v>41025</c:v>
                </c:pt>
                <c:pt idx="60">
                  <c:v>41026</c:v>
                </c:pt>
                <c:pt idx="61">
                  <c:v>41027</c:v>
                </c:pt>
                <c:pt idx="62">
                  <c:v>41028</c:v>
                </c:pt>
                <c:pt idx="63">
                  <c:v>41029</c:v>
                </c:pt>
                <c:pt idx="64">
                  <c:v>41030</c:v>
                </c:pt>
                <c:pt idx="65">
                  <c:v>41031</c:v>
                </c:pt>
                <c:pt idx="66">
                  <c:v>41032</c:v>
                </c:pt>
                <c:pt idx="67">
                  <c:v>41033</c:v>
                </c:pt>
                <c:pt idx="68">
                  <c:v>41034</c:v>
                </c:pt>
                <c:pt idx="69">
                  <c:v>41035</c:v>
                </c:pt>
                <c:pt idx="70">
                  <c:v>41036</c:v>
                </c:pt>
                <c:pt idx="71">
                  <c:v>41037</c:v>
                </c:pt>
                <c:pt idx="72">
                  <c:v>41038</c:v>
                </c:pt>
                <c:pt idx="73">
                  <c:v>41039</c:v>
                </c:pt>
                <c:pt idx="74">
                  <c:v>41040</c:v>
                </c:pt>
                <c:pt idx="75">
                  <c:v>41041</c:v>
                </c:pt>
                <c:pt idx="76">
                  <c:v>41042</c:v>
                </c:pt>
                <c:pt idx="77">
                  <c:v>41043</c:v>
                </c:pt>
                <c:pt idx="78">
                  <c:v>41044</c:v>
                </c:pt>
                <c:pt idx="79">
                  <c:v>41045</c:v>
                </c:pt>
                <c:pt idx="80">
                  <c:v>41046</c:v>
                </c:pt>
                <c:pt idx="81">
                  <c:v>41047</c:v>
                </c:pt>
                <c:pt idx="82">
                  <c:v>41048</c:v>
                </c:pt>
                <c:pt idx="83">
                  <c:v>41049</c:v>
                </c:pt>
                <c:pt idx="84">
                  <c:v>41050</c:v>
                </c:pt>
                <c:pt idx="85">
                  <c:v>41051</c:v>
                </c:pt>
                <c:pt idx="86">
                  <c:v>41052</c:v>
                </c:pt>
                <c:pt idx="87">
                  <c:v>41053</c:v>
                </c:pt>
                <c:pt idx="88">
                  <c:v>41054</c:v>
                </c:pt>
                <c:pt idx="89">
                  <c:v>41055</c:v>
                </c:pt>
                <c:pt idx="90">
                  <c:v>41056</c:v>
                </c:pt>
                <c:pt idx="91">
                  <c:v>41057</c:v>
                </c:pt>
                <c:pt idx="92">
                  <c:v>41058</c:v>
                </c:pt>
                <c:pt idx="93">
                  <c:v>41059</c:v>
                </c:pt>
                <c:pt idx="94">
                  <c:v>41060</c:v>
                </c:pt>
                <c:pt idx="95">
                  <c:v>41061</c:v>
                </c:pt>
                <c:pt idx="96">
                  <c:v>41062</c:v>
                </c:pt>
                <c:pt idx="97">
                  <c:v>41063</c:v>
                </c:pt>
                <c:pt idx="98">
                  <c:v>41064</c:v>
                </c:pt>
                <c:pt idx="99">
                  <c:v>41065</c:v>
                </c:pt>
                <c:pt idx="100">
                  <c:v>41066</c:v>
                </c:pt>
                <c:pt idx="101">
                  <c:v>41067</c:v>
                </c:pt>
                <c:pt idx="102">
                  <c:v>41068</c:v>
                </c:pt>
                <c:pt idx="103">
                  <c:v>41069</c:v>
                </c:pt>
                <c:pt idx="104">
                  <c:v>41070</c:v>
                </c:pt>
                <c:pt idx="105">
                  <c:v>41071</c:v>
                </c:pt>
                <c:pt idx="106">
                  <c:v>41072</c:v>
                </c:pt>
                <c:pt idx="107">
                  <c:v>41073</c:v>
                </c:pt>
                <c:pt idx="108">
                  <c:v>41074</c:v>
                </c:pt>
                <c:pt idx="109">
                  <c:v>41075</c:v>
                </c:pt>
                <c:pt idx="110">
                  <c:v>41076</c:v>
                </c:pt>
                <c:pt idx="111">
                  <c:v>41077</c:v>
                </c:pt>
                <c:pt idx="112">
                  <c:v>41078</c:v>
                </c:pt>
                <c:pt idx="113">
                  <c:v>41079</c:v>
                </c:pt>
                <c:pt idx="114">
                  <c:v>41080</c:v>
                </c:pt>
                <c:pt idx="115">
                  <c:v>41081</c:v>
                </c:pt>
                <c:pt idx="116">
                  <c:v>41082</c:v>
                </c:pt>
                <c:pt idx="117">
                  <c:v>41083</c:v>
                </c:pt>
                <c:pt idx="118">
                  <c:v>41084</c:v>
                </c:pt>
                <c:pt idx="119">
                  <c:v>41085</c:v>
                </c:pt>
                <c:pt idx="120">
                  <c:v>41086</c:v>
                </c:pt>
                <c:pt idx="121">
                  <c:v>41087</c:v>
                </c:pt>
                <c:pt idx="122">
                  <c:v>41088</c:v>
                </c:pt>
                <c:pt idx="123">
                  <c:v>41089</c:v>
                </c:pt>
                <c:pt idx="124">
                  <c:v>41090</c:v>
                </c:pt>
                <c:pt idx="125">
                  <c:v>41091</c:v>
                </c:pt>
                <c:pt idx="126">
                  <c:v>41092</c:v>
                </c:pt>
                <c:pt idx="127">
                  <c:v>41093</c:v>
                </c:pt>
                <c:pt idx="128">
                  <c:v>41094</c:v>
                </c:pt>
                <c:pt idx="129">
                  <c:v>41095</c:v>
                </c:pt>
                <c:pt idx="130">
                  <c:v>41096</c:v>
                </c:pt>
                <c:pt idx="131">
                  <c:v>41097</c:v>
                </c:pt>
                <c:pt idx="132">
                  <c:v>41098</c:v>
                </c:pt>
                <c:pt idx="133">
                  <c:v>41099</c:v>
                </c:pt>
                <c:pt idx="134">
                  <c:v>41100</c:v>
                </c:pt>
                <c:pt idx="135">
                  <c:v>41101</c:v>
                </c:pt>
                <c:pt idx="136">
                  <c:v>41102</c:v>
                </c:pt>
                <c:pt idx="137">
                  <c:v>41103</c:v>
                </c:pt>
                <c:pt idx="138">
                  <c:v>41104</c:v>
                </c:pt>
                <c:pt idx="139">
                  <c:v>41105</c:v>
                </c:pt>
                <c:pt idx="140">
                  <c:v>41106</c:v>
                </c:pt>
                <c:pt idx="141">
                  <c:v>41107</c:v>
                </c:pt>
                <c:pt idx="142">
                  <c:v>41108</c:v>
                </c:pt>
                <c:pt idx="143">
                  <c:v>41109</c:v>
                </c:pt>
                <c:pt idx="144">
                  <c:v>41110</c:v>
                </c:pt>
                <c:pt idx="145">
                  <c:v>41111</c:v>
                </c:pt>
                <c:pt idx="146">
                  <c:v>41112</c:v>
                </c:pt>
                <c:pt idx="147">
                  <c:v>41113</c:v>
                </c:pt>
                <c:pt idx="148">
                  <c:v>41114</c:v>
                </c:pt>
                <c:pt idx="149">
                  <c:v>41115</c:v>
                </c:pt>
                <c:pt idx="150">
                  <c:v>41116</c:v>
                </c:pt>
                <c:pt idx="151">
                  <c:v>41117</c:v>
                </c:pt>
                <c:pt idx="152">
                  <c:v>41118</c:v>
                </c:pt>
                <c:pt idx="153">
                  <c:v>41119</c:v>
                </c:pt>
                <c:pt idx="154">
                  <c:v>41120</c:v>
                </c:pt>
                <c:pt idx="155">
                  <c:v>41121</c:v>
                </c:pt>
                <c:pt idx="156">
                  <c:v>41122</c:v>
                </c:pt>
                <c:pt idx="157">
                  <c:v>41123</c:v>
                </c:pt>
                <c:pt idx="158">
                  <c:v>41124</c:v>
                </c:pt>
                <c:pt idx="159">
                  <c:v>41125</c:v>
                </c:pt>
                <c:pt idx="160">
                  <c:v>41126</c:v>
                </c:pt>
                <c:pt idx="161">
                  <c:v>41127</c:v>
                </c:pt>
                <c:pt idx="162">
                  <c:v>41128</c:v>
                </c:pt>
                <c:pt idx="163">
                  <c:v>41129</c:v>
                </c:pt>
                <c:pt idx="164">
                  <c:v>41130</c:v>
                </c:pt>
                <c:pt idx="165">
                  <c:v>41131</c:v>
                </c:pt>
                <c:pt idx="166">
                  <c:v>41132</c:v>
                </c:pt>
                <c:pt idx="167">
                  <c:v>41133</c:v>
                </c:pt>
                <c:pt idx="168">
                  <c:v>41134</c:v>
                </c:pt>
                <c:pt idx="169">
                  <c:v>41135</c:v>
                </c:pt>
                <c:pt idx="170">
                  <c:v>41136</c:v>
                </c:pt>
                <c:pt idx="171">
                  <c:v>41137</c:v>
                </c:pt>
                <c:pt idx="172">
                  <c:v>41138</c:v>
                </c:pt>
                <c:pt idx="173">
                  <c:v>41139</c:v>
                </c:pt>
                <c:pt idx="174">
                  <c:v>41140</c:v>
                </c:pt>
                <c:pt idx="175">
                  <c:v>41141</c:v>
                </c:pt>
                <c:pt idx="176">
                  <c:v>41142</c:v>
                </c:pt>
                <c:pt idx="177">
                  <c:v>41143</c:v>
                </c:pt>
                <c:pt idx="178">
                  <c:v>41144</c:v>
                </c:pt>
                <c:pt idx="179">
                  <c:v>41145</c:v>
                </c:pt>
                <c:pt idx="180">
                  <c:v>41146</c:v>
                </c:pt>
                <c:pt idx="181">
                  <c:v>41147</c:v>
                </c:pt>
                <c:pt idx="182">
                  <c:v>41148</c:v>
                </c:pt>
                <c:pt idx="183">
                  <c:v>41149</c:v>
                </c:pt>
                <c:pt idx="184">
                  <c:v>41150</c:v>
                </c:pt>
                <c:pt idx="185">
                  <c:v>41151</c:v>
                </c:pt>
                <c:pt idx="186">
                  <c:v>41152</c:v>
                </c:pt>
                <c:pt idx="187">
                  <c:v>41153</c:v>
                </c:pt>
                <c:pt idx="188">
                  <c:v>41154</c:v>
                </c:pt>
                <c:pt idx="189">
                  <c:v>41155</c:v>
                </c:pt>
                <c:pt idx="190">
                  <c:v>41156</c:v>
                </c:pt>
                <c:pt idx="191">
                  <c:v>41157</c:v>
                </c:pt>
                <c:pt idx="192">
                  <c:v>41158</c:v>
                </c:pt>
                <c:pt idx="193">
                  <c:v>41159</c:v>
                </c:pt>
                <c:pt idx="194">
                  <c:v>41160</c:v>
                </c:pt>
                <c:pt idx="195">
                  <c:v>41161</c:v>
                </c:pt>
                <c:pt idx="196">
                  <c:v>41162</c:v>
                </c:pt>
                <c:pt idx="197">
                  <c:v>41163</c:v>
                </c:pt>
                <c:pt idx="198">
                  <c:v>41164</c:v>
                </c:pt>
                <c:pt idx="199">
                  <c:v>41165</c:v>
                </c:pt>
                <c:pt idx="200">
                  <c:v>41166</c:v>
                </c:pt>
                <c:pt idx="201">
                  <c:v>41167</c:v>
                </c:pt>
                <c:pt idx="202">
                  <c:v>41168</c:v>
                </c:pt>
                <c:pt idx="203">
                  <c:v>41169</c:v>
                </c:pt>
                <c:pt idx="204">
                  <c:v>41170</c:v>
                </c:pt>
                <c:pt idx="205">
                  <c:v>41171</c:v>
                </c:pt>
                <c:pt idx="206">
                  <c:v>41172</c:v>
                </c:pt>
                <c:pt idx="207">
                  <c:v>41173</c:v>
                </c:pt>
                <c:pt idx="208">
                  <c:v>41174</c:v>
                </c:pt>
                <c:pt idx="209">
                  <c:v>41175</c:v>
                </c:pt>
                <c:pt idx="210">
                  <c:v>41176</c:v>
                </c:pt>
                <c:pt idx="211">
                  <c:v>41177</c:v>
                </c:pt>
                <c:pt idx="212">
                  <c:v>41178</c:v>
                </c:pt>
                <c:pt idx="213">
                  <c:v>41179</c:v>
                </c:pt>
                <c:pt idx="214">
                  <c:v>41180</c:v>
                </c:pt>
                <c:pt idx="215">
                  <c:v>41181</c:v>
                </c:pt>
                <c:pt idx="216">
                  <c:v>41182</c:v>
                </c:pt>
                <c:pt idx="217">
                  <c:v>41183</c:v>
                </c:pt>
                <c:pt idx="218">
                  <c:v>41184</c:v>
                </c:pt>
                <c:pt idx="219">
                  <c:v>41185</c:v>
                </c:pt>
                <c:pt idx="220">
                  <c:v>41186</c:v>
                </c:pt>
                <c:pt idx="221">
                  <c:v>41187</c:v>
                </c:pt>
                <c:pt idx="222">
                  <c:v>41188</c:v>
                </c:pt>
                <c:pt idx="223">
                  <c:v>41189</c:v>
                </c:pt>
                <c:pt idx="224">
                  <c:v>41190</c:v>
                </c:pt>
                <c:pt idx="225">
                  <c:v>41191</c:v>
                </c:pt>
                <c:pt idx="226">
                  <c:v>41192</c:v>
                </c:pt>
                <c:pt idx="227">
                  <c:v>41193</c:v>
                </c:pt>
                <c:pt idx="228">
                  <c:v>41194</c:v>
                </c:pt>
                <c:pt idx="229">
                  <c:v>41195</c:v>
                </c:pt>
                <c:pt idx="230">
                  <c:v>41196</c:v>
                </c:pt>
                <c:pt idx="231">
                  <c:v>41197</c:v>
                </c:pt>
                <c:pt idx="232">
                  <c:v>41198</c:v>
                </c:pt>
                <c:pt idx="233">
                  <c:v>41199</c:v>
                </c:pt>
                <c:pt idx="234">
                  <c:v>41200</c:v>
                </c:pt>
                <c:pt idx="235">
                  <c:v>41201</c:v>
                </c:pt>
                <c:pt idx="236">
                  <c:v>41202</c:v>
                </c:pt>
                <c:pt idx="237">
                  <c:v>41203</c:v>
                </c:pt>
                <c:pt idx="238">
                  <c:v>41204</c:v>
                </c:pt>
                <c:pt idx="239">
                  <c:v>41205</c:v>
                </c:pt>
                <c:pt idx="240">
                  <c:v>41206</c:v>
                </c:pt>
                <c:pt idx="241">
                  <c:v>41207</c:v>
                </c:pt>
                <c:pt idx="242">
                  <c:v>41208</c:v>
                </c:pt>
                <c:pt idx="243">
                  <c:v>41209</c:v>
                </c:pt>
                <c:pt idx="244">
                  <c:v>41210</c:v>
                </c:pt>
                <c:pt idx="245">
                  <c:v>41211</c:v>
                </c:pt>
                <c:pt idx="246">
                  <c:v>41212</c:v>
                </c:pt>
                <c:pt idx="247">
                  <c:v>41213</c:v>
                </c:pt>
                <c:pt idx="248">
                  <c:v>41214</c:v>
                </c:pt>
                <c:pt idx="249">
                  <c:v>41215</c:v>
                </c:pt>
                <c:pt idx="250">
                  <c:v>41216</c:v>
                </c:pt>
                <c:pt idx="251">
                  <c:v>41217</c:v>
                </c:pt>
                <c:pt idx="252">
                  <c:v>41218</c:v>
                </c:pt>
                <c:pt idx="253">
                  <c:v>41219</c:v>
                </c:pt>
                <c:pt idx="254">
                  <c:v>41220</c:v>
                </c:pt>
                <c:pt idx="255">
                  <c:v>41221</c:v>
                </c:pt>
                <c:pt idx="256">
                  <c:v>41222</c:v>
                </c:pt>
                <c:pt idx="257">
                  <c:v>41223</c:v>
                </c:pt>
                <c:pt idx="258">
                  <c:v>41224</c:v>
                </c:pt>
                <c:pt idx="259">
                  <c:v>41225</c:v>
                </c:pt>
                <c:pt idx="260">
                  <c:v>41226</c:v>
                </c:pt>
                <c:pt idx="261">
                  <c:v>41227</c:v>
                </c:pt>
                <c:pt idx="262">
                  <c:v>41228</c:v>
                </c:pt>
                <c:pt idx="263">
                  <c:v>41229</c:v>
                </c:pt>
                <c:pt idx="264">
                  <c:v>41230</c:v>
                </c:pt>
                <c:pt idx="265">
                  <c:v>41231</c:v>
                </c:pt>
                <c:pt idx="266">
                  <c:v>41232</c:v>
                </c:pt>
                <c:pt idx="267">
                  <c:v>41233</c:v>
                </c:pt>
                <c:pt idx="268">
                  <c:v>41234</c:v>
                </c:pt>
                <c:pt idx="269">
                  <c:v>41235</c:v>
                </c:pt>
                <c:pt idx="270">
                  <c:v>41236</c:v>
                </c:pt>
                <c:pt idx="271">
                  <c:v>41237</c:v>
                </c:pt>
                <c:pt idx="272">
                  <c:v>41238</c:v>
                </c:pt>
                <c:pt idx="273">
                  <c:v>41239</c:v>
                </c:pt>
                <c:pt idx="274">
                  <c:v>41240</c:v>
                </c:pt>
                <c:pt idx="275">
                  <c:v>41241</c:v>
                </c:pt>
                <c:pt idx="276">
                  <c:v>41242</c:v>
                </c:pt>
                <c:pt idx="277">
                  <c:v>41243</c:v>
                </c:pt>
                <c:pt idx="278">
                  <c:v>41244</c:v>
                </c:pt>
                <c:pt idx="279">
                  <c:v>41245</c:v>
                </c:pt>
                <c:pt idx="280">
                  <c:v>41246</c:v>
                </c:pt>
                <c:pt idx="281">
                  <c:v>41247</c:v>
                </c:pt>
                <c:pt idx="282">
                  <c:v>41248</c:v>
                </c:pt>
                <c:pt idx="283">
                  <c:v>41249</c:v>
                </c:pt>
                <c:pt idx="284">
                  <c:v>41250</c:v>
                </c:pt>
                <c:pt idx="285">
                  <c:v>41251</c:v>
                </c:pt>
                <c:pt idx="286">
                  <c:v>41252</c:v>
                </c:pt>
                <c:pt idx="287">
                  <c:v>41253</c:v>
                </c:pt>
                <c:pt idx="288">
                  <c:v>41254</c:v>
                </c:pt>
                <c:pt idx="289">
                  <c:v>41255</c:v>
                </c:pt>
                <c:pt idx="290">
                  <c:v>41256</c:v>
                </c:pt>
                <c:pt idx="291">
                  <c:v>41257</c:v>
                </c:pt>
                <c:pt idx="292">
                  <c:v>41258</c:v>
                </c:pt>
                <c:pt idx="293">
                  <c:v>41259</c:v>
                </c:pt>
                <c:pt idx="294">
                  <c:v>41260</c:v>
                </c:pt>
                <c:pt idx="295">
                  <c:v>41261</c:v>
                </c:pt>
                <c:pt idx="296">
                  <c:v>41262</c:v>
                </c:pt>
                <c:pt idx="297">
                  <c:v>41263</c:v>
                </c:pt>
                <c:pt idx="298">
                  <c:v>41264</c:v>
                </c:pt>
                <c:pt idx="299">
                  <c:v>41265</c:v>
                </c:pt>
                <c:pt idx="300">
                  <c:v>41266</c:v>
                </c:pt>
                <c:pt idx="301">
                  <c:v>41267</c:v>
                </c:pt>
                <c:pt idx="302">
                  <c:v>41268</c:v>
                </c:pt>
                <c:pt idx="303">
                  <c:v>41269</c:v>
                </c:pt>
                <c:pt idx="304">
                  <c:v>41270</c:v>
                </c:pt>
                <c:pt idx="305">
                  <c:v>41271</c:v>
                </c:pt>
                <c:pt idx="306">
                  <c:v>41272</c:v>
                </c:pt>
                <c:pt idx="307">
                  <c:v>41273</c:v>
                </c:pt>
                <c:pt idx="308">
                  <c:v>41274</c:v>
                </c:pt>
                <c:pt idx="309">
                  <c:v>41275</c:v>
                </c:pt>
                <c:pt idx="310">
                  <c:v>41276</c:v>
                </c:pt>
                <c:pt idx="311">
                  <c:v>41277</c:v>
                </c:pt>
                <c:pt idx="312">
                  <c:v>41278</c:v>
                </c:pt>
                <c:pt idx="313">
                  <c:v>41279</c:v>
                </c:pt>
                <c:pt idx="314">
                  <c:v>41280</c:v>
                </c:pt>
                <c:pt idx="315">
                  <c:v>41281</c:v>
                </c:pt>
                <c:pt idx="316">
                  <c:v>41282</c:v>
                </c:pt>
                <c:pt idx="317">
                  <c:v>41283</c:v>
                </c:pt>
                <c:pt idx="318">
                  <c:v>41284</c:v>
                </c:pt>
                <c:pt idx="319">
                  <c:v>41285</c:v>
                </c:pt>
                <c:pt idx="320">
                  <c:v>41286</c:v>
                </c:pt>
                <c:pt idx="321">
                  <c:v>41287</c:v>
                </c:pt>
                <c:pt idx="322">
                  <c:v>41288</c:v>
                </c:pt>
                <c:pt idx="323">
                  <c:v>41289</c:v>
                </c:pt>
                <c:pt idx="324">
                  <c:v>41290</c:v>
                </c:pt>
                <c:pt idx="325">
                  <c:v>41291</c:v>
                </c:pt>
                <c:pt idx="326">
                  <c:v>41292</c:v>
                </c:pt>
                <c:pt idx="327">
                  <c:v>41293</c:v>
                </c:pt>
                <c:pt idx="328">
                  <c:v>41294</c:v>
                </c:pt>
                <c:pt idx="329">
                  <c:v>41295</c:v>
                </c:pt>
                <c:pt idx="330">
                  <c:v>41296</c:v>
                </c:pt>
                <c:pt idx="331">
                  <c:v>41297</c:v>
                </c:pt>
                <c:pt idx="332">
                  <c:v>41298</c:v>
                </c:pt>
                <c:pt idx="333">
                  <c:v>41299</c:v>
                </c:pt>
                <c:pt idx="334">
                  <c:v>41300</c:v>
                </c:pt>
                <c:pt idx="335">
                  <c:v>41301</c:v>
                </c:pt>
                <c:pt idx="336">
                  <c:v>41302</c:v>
                </c:pt>
                <c:pt idx="337">
                  <c:v>41303</c:v>
                </c:pt>
                <c:pt idx="338">
                  <c:v>41304</c:v>
                </c:pt>
                <c:pt idx="339">
                  <c:v>41305</c:v>
                </c:pt>
                <c:pt idx="340">
                  <c:v>41306</c:v>
                </c:pt>
                <c:pt idx="341">
                  <c:v>41307</c:v>
                </c:pt>
                <c:pt idx="342">
                  <c:v>41308</c:v>
                </c:pt>
                <c:pt idx="343">
                  <c:v>41309</c:v>
                </c:pt>
                <c:pt idx="344">
                  <c:v>41310</c:v>
                </c:pt>
                <c:pt idx="345">
                  <c:v>41311</c:v>
                </c:pt>
                <c:pt idx="346">
                  <c:v>41312</c:v>
                </c:pt>
                <c:pt idx="347">
                  <c:v>41313</c:v>
                </c:pt>
                <c:pt idx="348">
                  <c:v>41314</c:v>
                </c:pt>
                <c:pt idx="349">
                  <c:v>41315</c:v>
                </c:pt>
                <c:pt idx="350">
                  <c:v>41316</c:v>
                </c:pt>
                <c:pt idx="351">
                  <c:v>41317</c:v>
                </c:pt>
                <c:pt idx="352">
                  <c:v>41318</c:v>
                </c:pt>
                <c:pt idx="353">
                  <c:v>41319</c:v>
                </c:pt>
                <c:pt idx="354">
                  <c:v>41320</c:v>
                </c:pt>
                <c:pt idx="355">
                  <c:v>41321</c:v>
                </c:pt>
                <c:pt idx="356">
                  <c:v>41322</c:v>
                </c:pt>
                <c:pt idx="357">
                  <c:v>41323</c:v>
                </c:pt>
                <c:pt idx="358">
                  <c:v>41324</c:v>
                </c:pt>
                <c:pt idx="359">
                  <c:v>41325</c:v>
                </c:pt>
                <c:pt idx="360">
                  <c:v>41326</c:v>
                </c:pt>
                <c:pt idx="361">
                  <c:v>41327</c:v>
                </c:pt>
                <c:pt idx="362">
                  <c:v>41328</c:v>
                </c:pt>
                <c:pt idx="363">
                  <c:v>41329</c:v>
                </c:pt>
                <c:pt idx="364">
                  <c:v>41330</c:v>
                </c:pt>
                <c:pt idx="365">
                  <c:v>41331</c:v>
                </c:pt>
                <c:pt idx="366">
                  <c:v>41332</c:v>
                </c:pt>
              </c:numCache>
            </c:numRef>
          </c:xVal>
          <c:yVal>
            <c:numRef>
              <c:f>[0]!Y_AXIS</c:f>
              <c:numCache>
                <c:formatCode>#,##0.00</c:formatCode>
                <c:ptCount val="367"/>
                <c:pt idx="0">
                  <c:v>1125.75</c:v>
                </c:pt>
                <c:pt idx="1">
                  <c:v>1128.1600000000001</c:v>
                </c:pt>
                <c:pt idx="2">
                  <c:v>1127.27</c:v>
                </c:pt>
                <c:pt idx="3">
                  <c:v>1119.57</c:v>
                </c:pt>
                <c:pt idx="4">
                  <c:v>1118.94</c:v>
                </c:pt>
                <c:pt idx="5">
                  <c:v>1116.45</c:v>
                </c:pt>
                <c:pt idx="6">
                  <c:v>1116.45</c:v>
                </c:pt>
                <c:pt idx="7">
                  <c:v>1130.97</c:v>
                </c:pt>
                <c:pt idx="8">
                  <c:v>1126.8900000000001</c:v>
                </c:pt>
                <c:pt idx="9">
                  <c:v>1124.0999999999999</c:v>
                </c:pt>
                <c:pt idx="10">
                  <c:v>1124.99</c:v>
                </c:pt>
                <c:pt idx="11">
                  <c:v>1119.32</c:v>
                </c:pt>
                <c:pt idx="12">
                  <c:v>1118.07</c:v>
                </c:pt>
                <c:pt idx="13">
                  <c:v>1118.07</c:v>
                </c:pt>
                <c:pt idx="14">
                  <c:v>1118.07</c:v>
                </c:pt>
                <c:pt idx="15">
                  <c:v>1122.96</c:v>
                </c:pt>
                <c:pt idx="16">
                  <c:v>1124.48</c:v>
                </c:pt>
                <c:pt idx="17">
                  <c:v>1128.29</c:v>
                </c:pt>
                <c:pt idx="18">
                  <c:v>1128.54</c:v>
                </c:pt>
                <c:pt idx="19">
                  <c:v>1126.51</c:v>
                </c:pt>
                <c:pt idx="20">
                  <c:v>1127.01</c:v>
                </c:pt>
                <c:pt idx="21">
                  <c:v>1127.01</c:v>
                </c:pt>
                <c:pt idx="22">
                  <c:v>1124.8599999999999</c:v>
                </c:pt>
                <c:pt idx="23">
                  <c:v>1126.6300000000001</c:v>
                </c:pt>
                <c:pt idx="24">
                  <c:v>1129.69</c:v>
                </c:pt>
                <c:pt idx="25">
                  <c:v>1132.6300000000001</c:v>
                </c:pt>
                <c:pt idx="26">
                  <c:v>1135.8499999999999</c:v>
                </c:pt>
                <c:pt idx="27">
                  <c:v>1143.51</c:v>
                </c:pt>
                <c:pt idx="28">
                  <c:v>1154.47</c:v>
                </c:pt>
                <c:pt idx="29">
                  <c:v>1144.56</c:v>
                </c:pt>
                <c:pt idx="30">
                  <c:v>1136.23</c:v>
                </c:pt>
                <c:pt idx="31">
                  <c:v>1137.6600000000001</c:v>
                </c:pt>
                <c:pt idx="32">
                  <c:v>1139.3399999999999</c:v>
                </c:pt>
                <c:pt idx="33">
                  <c:v>1135.07</c:v>
                </c:pt>
                <c:pt idx="34">
                  <c:v>1133.02</c:v>
                </c:pt>
                <c:pt idx="35">
                  <c:v>1132.8900000000001</c:v>
                </c:pt>
                <c:pt idx="36">
                  <c:v>1129.69</c:v>
                </c:pt>
                <c:pt idx="37">
                  <c:v>1124.99</c:v>
                </c:pt>
                <c:pt idx="38">
                  <c:v>1130.58</c:v>
                </c:pt>
                <c:pt idx="39">
                  <c:v>1131.22</c:v>
                </c:pt>
                <c:pt idx="40">
                  <c:v>1130.58</c:v>
                </c:pt>
                <c:pt idx="41">
                  <c:v>1128.8</c:v>
                </c:pt>
                <c:pt idx="42">
                  <c:v>1132.0999999999999</c:v>
                </c:pt>
                <c:pt idx="43">
                  <c:v>1129.69</c:v>
                </c:pt>
                <c:pt idx="44">
                  <c:v>1135.46</c:v>
                </c:pt>
                <c:pt idx="45">
                  <c:v>1144.82</c:v>
                </c:pt>
                <c:pt idx="46">
                  <c:v>1141.42</c:v>
                </c:pt>
                <c:pt idx="47">
                  <c:v>1135.33</c:v>
                </c:pt>
                <c:pt idx="48">
                  <c:v>1141.29</c:v>
                </c:pt>
                <c:pt idx="49">
                  <c:v>1162.52</c:v>
                </c:pt>
                <c:pt idx="50">
                  <c:v>1149.03</c:v>
                </c:pt>
                <c:pt idx="51">
                  <c:v>1138.04</c:v>
                </c:pt>
                <c:pt idx="52">
                  <c:v>1139.08</c:v>
                </c:pt>
                <c:pt idx="53">
                  <c:v>1140.6400000000001</c:v>
                </c:pt>
                <c:pt idx="54">
                  <c:v>1140.51</c:v>
                </c:pt>
                <c:pt idx="55">
                  <c:v>1140.1199999999999</c:v>
                </c:pt>
                <c:pt idx="56">
                  <c:v>1140.1199999999999</c:v>
                </c:pt>
                <c:pt idx="57">
                  <c:v>1142.99</c:v>
                </c:pt>
                <c:pt idx="58">
                  <c:v>1141.29</c:v>
                </c:pt>
                <c:pt idx="59">
                  <c:v>1140.51</c:v>
                </c:pt>
                <c:pt idx="60">
                  <c:v>1136.8800000000001</c:v>
                </c:pt>
                <c:pt idx="61">
                  <c:v>1133.92</c:v>
                </c:pt>
                <c:pt idx="62">
                  <c:v>1134.04</c:v>
                </c:pt>
                <c:pt idx="63">
                  <c:v>1133.79</c:v>
                </c:pt>
                <c:pt idx="64">
                  <c:v>1131.8599999999999</c:v>
                </c:pt>
                <c:pt idx="65">
                  <c:v>1130.8399999999999</c:v>
                </c:pt>
                <c:pt idx="66">
                  <c:v>1131.0899999999999</c:v>
                </c:pt>
                <c:pt idx="67">
                  <c:v>1131.48</c:v>
                </c:pt>
                <c:pt idx="68">
                  <c:v>1133.79</c:v>
                </c:pt>
                <c:pt idx="69">
                  <c:v>1147.97</c:v>
                </c:pt>
                <c:pt idx="70">
                  <c:v>1156.74</c:v>
                </c:pt>
                <c:pt idx="71">
                  <c:v>1148.6300000000001</c:v>
                </c:pt>
                <c:pt idx="72">
                  <c:v>1138.69</c:v>
                </c:pt>
                <c:pt idx="73">
                  <c:v>1142.8599999999999</c:v>
                </c:pt>
                <c:pt idx="74">
                  <c:v>1143.9000000000001</c:v>
                </c:pt>
                <c:pt idx="75">
                  <c:v>1147.8399999999999</c:v>
                </c:pt>
                <c:pt idx="76">
                  <c:v>1150.3499999999999</c:v>
                </c:pt>
                <c:pt idx="77">
                  <c:v>1150.48</c:v>
                </c:pt>
                <c:pt idx="78">
                  <c:v>1153</c:v>
                </c:pt>
                <c:pt idx="79">
                  <c:v>1155.4000000000001</c:v>
                </c:pt>
                <c:pt idx="80">
                  <c:v>1165.77</c:v>
                </c:pt>
                <c:pt idx="81">
                  <c:v>1166.32</c:v>
                </c:pt>
                <c:pt idx="82">
                  <c:v>1171.0999999999999</c:v>
                </c:pt>
                <c:pt idx="83">
                  <c:v>1170.1400000000001</c:v>
                </c:pt>
                <c:pt idx="84">
                  <c:v>1169.8599999999999</c:v>
                </c:pt>
                <c:pt idx="85">
                  <c:v>1169.5899999999999</c:v>
                </c:pt>
                <c:pt idx="86">
                  <c:v>1166.45</c:v>
                </c:pt>
                <c:pt idx="87">
                  <c:v>1175.3599999999999</c:v>
                </c:pt>
                <c:pt idx="88">
                  <c:v>1179.6600000000001</c:v>
                </c:pt>
                <c:pt idx="89">
                  <c:v>1184.69</c:v>
                </c:pt>
                <c:pt idx="90">
                  <c:v>1186.6600000000001</c:v>
                </c:pt>
                <c:pt idx="91">
                  <c:v>1202.5</c:v>
                </c:pt>
                <c:pt idx="92">
                  <c:v>1205.55</c:v>
                </c:pt>
                <c:pt idx="93">
                  <c:v>1180.6400000000001</c:v>
                </c:pt>
                <c:pt idx="94">
                  <c:v>1180.08</c:v>
                </c:pt>
                <c:pt idx="95">
                  <c:v>1181.47</c:v>
                </c:pt>
                <c:pt idx="96">
                  <c:v>1182.45</c:v>
                </c:pt>
                <c:pt idx="97">
                  <c:v>1183.99</c:v>
                </c:pt>
                <c:pt idx="98">
                  <c:v>1187.51</c:v>
                </c:pt>
                <c:pt idx="99">
                  <c:v>1183.57</c:v>
                </c:pt>
                <c:pt idx="100">
                  <c:v>1180.3599999999999</c:v>
                </c:pt>
                <c:pt idx="101">
                  <c:v>1176.19</c:v>
                </c:pt>
                <c:pt idx="102">
                  <c:v>1170.55</c:v>
                </c:pt>
                <c:pt idx="103">
                  <c:v>1174.1199999999999</c:v>
                </c:pt>
                <c:pt idx="104">
                  <c:v>1184.97</c:v>
                </c:pt>
                <c:pt idx="105">
                  <c:v>1193.17</c:v>
                </c:pt>
                <c:pt idx="106">
                  <c:v>1175.0899999999999</c:v>
                </c:pt>
                <c:pt idx="107">
                  <c:v>1171.23</c:v>
                </c:pt>
                <c:pt idx="108">
                  <c:v>1168.22</c:v>
                </c:pt>
                <c:pt idx="109">
                  <c:v>1167.27</c:v>
                </c:pt>
                <c:pt idx="110">
                  <c:v>1165.3699999999999</c:v>
                </c:pt>
                <c:pt idx="111">
                  <c:v>1175.3599999999999</c:v>
                </c:pt>
                <c:pt idx="112">
                  <c:v>1184.1300000000001</c:v>
                </c:pt>
                <c:pt idx="113">
                  <c:v>1166.32</c:v>
                </c:pt>
                <c:pt idx="114">
                  <c:v>1156.8699999999999</c:v>
                </c:pt>
                <c:pt idx="115">
                  <c:v>1153.67</c:v>
                </c:pt>
                <c:pt idx="116">
                  <c:v>1153.8</c:v>
                </c:pt>
                <c:pt idx="117">
                  <c:v>1158.75</c:v>
                </c:pt>
                <c:pt idx="118">
                  <c:v>1170.55</c:v>
                </c:pt>
                <c:pt idx="119">
                  <c:v>1159.96</c:v>
                </c:pt>
                <c:pt idx="120">
                  <c:v>1164.01</c:v>
                </c:pt>
                <c:pt idx="121">
                  <c:v>1160.3599999999999</c:v>
                </c:pt>
                <c:pt idx="122">
                  <c:v>1158.08</c:v>
                </c:pt>
                <c:pt idx="123">
                  <c:v>1157.01</c:v>
                </c:pt>
                <c:pt idx="124">
                  <c:v>1159.1500000000001</c:v>
                </c:pt>
                <c:pt idx="125">
                  <c:v>1149.03</c:v>
                </c:pt>
                <c:pt idx="126">
                  <c:v>1161.31</c:v>
                </c:pt>
                <c:pt idx="127">
                  <c:v>1152.07</c:v>
                </c:pt>
                <c:pt idx="128">
                  <c:v>1139.21</c:v>
                </c:pt>
                <c:pt idx="129">
                  <c:v>1137.53</c:v>
                </c:pt>
                <c:pt idx="130">
                  <c:v>1136.6199999999999</c:v>
                </c:pt>
                <c:pt idx="131">
                  <c:v>1139.99</c:v>
                </c:pt>
                <c:pt idx="132">
                  <c:v>1153.93</c:v>
                </c:pt>
                <c:pt idx="133">
                  <c:v>1173.1600000000001</c:v>
                </c:pt>
                <c:pt idx="134">
                  <c:v>1156.47</c:v>
                </c:pt>
                <c:pt idx="135">
                  <c:v>1143.3800000000001</c:v>
                </c:pt>
                <c:pt idx="136">
                  <c:v>1142.99</c:v>
                </c:pt>
                <c:pt idx="137">
                  <c:v>1151.94</c:v>
                </c:pt>
                <c:pt idx="138">
                  <c:v>1151.94</c:v>
                </c:pt>
                <c:pt idx="139">
                  <c:v>1159.42</c:v>
                </c:pt>
                <c:pt idx="140">
                  <c:v>1168.3599999999999</c:v>
                </c:pt>
                <c:pt idx="141">
                  <c:v>1156.2</c:v>
                </c:pt>
                <c:pt idx="142">
                  <c:v>1145.48</c:v>
                </c:pt>
                <c:pt idx="143">
                  <c:v>1143.3800000000001</c:v>
                </c:pt>
                <c:pt idx="144">
                  <c:v>1140.25</c:v>
                </c:pt>
                <c:pt idx="145">
                  <c:v>1142.47</c:v>
                </c:pt>
                <c:pt idx="146">
                  <c:v>1149.82</c:v>
                </c:pt>
                <c:pt idx="147">
                  <c:v>1144.3</c:v>
                </c:pt>
                <c:pt idx="148">
                  <c:v>1149.43</c:v>
                </c:pt>
                <c:pt idx="149">
                  <c:v>1149.82</c:v>
                </c:pt>
                <c:pt idx="150">
                  <c:v>1151.54</c:v>
                </c:pt>
                <c:pt idx="151">
                  <c:v>1148.3699999999999</c:v>
                </c:pt>
                <c:pt idx="152">
                  <c:v>1141.29</c:v>
                </c:pt>
                <c:pt idx="153">
                  <c:v>1139.8599999999999</c:v>
                </c:pt>
                <c:pt idx="154">
                  <c:v>1152.3399999999999</c:v>
                </c:pt>
                <c:pt idx="155">
                  <c:v>1148.3699999999999</c:v>
                </c:pt>
                <c:pt idx="156">
                  <c:v>1133.4000000000001</c:v>
                </c:pt>
                <c:pt idx="157">
                  <c:v>1128.92</c:v>
                </c:pt>
                <c:pt idx="158">
                  <c:v>1132.1199999999999</c:v>
                </c:pt>
                <c:pt idx="159">
                  <c:v>1135.8499999999999</c:v>
                </c:pt>
                <c:pt idx="160">
                  <c:v>1139.8599999999999</c:v>
                </c:pt>
                <c:pt idx="161">
                  <c:v>1149.56</c:v>
                </c:pt>
                <c:pt idx="162">
                  <c:v>1136.75</c:v>
                </c:pt>
                <c:pt idx="163">
                  <c:v>1129.69</c:v>
                </c:pt>
                <c:pt idx="164">
                  <c:v>1130.45</c:v>
                </c:pt>
                <c:pt idx="165">
                  <c:v>1128.54</c:v>
                </c:pt>
                <c:pt idx="166">
                  <c:v>1132.5</c:v>
                </c:pt>
                <c:pt idx="167">
                  <c:v>1132.4000000000001</c:v>
                </c:pt>
                <c:pt idx="168">
                  <c:v>1130.8</c:v>
                </c:pt>
                <c:pt idx="169">
                  <c:v>1130.4000000000001</c:v>
                </c:pt>
                <c:pt idx="170">
                  <c:v>1130.0999999999999</c:v>
                </c:pt>
                <c:pt idx="171">
                  <c:v>1132.8</c:v>
                </c:pt>
                <c:pt idx="172">
                  <c:v>1134.9000000000001</c:v>
                </c:pt>
                <c:pt idx="173">
                  <c:v>1134.5</c:v>
                </c:pt>
                <c:pt idx="174">
                  <c:v>1136.9000000000001</c:v>
                </c:pt>
                <c:pt idx="175">
                  <c:v>1137</c:v>
                </c:pt>
                <c:pt idx="176">
                  <c:v>1136.9000000000001</c:v>
                </c:pt>
                <c:pt idx="177">
                  <c:v>1132.2</c:v>
                </c:pt>
                <c:pt idx="178">
                  <c:v>1129.5</c:v>
                </c:pt>
                <c:pt idx="179">
                  <c:v>1133</c:v>
                </c:pt>
                <c:pt idx="180">
                  <c:v>1135.8499999999999</c:v>
                </c:pt>
                <c:pt idx="181">
                  <c:v>1144.95</c:v>
                </c:pt>
                <c:pt idx="182">
                  <c:v>1159.42</c:v>
                </c:pt>
                <c:pt idx="183">
                  <c:v>1145.08</c:v>
                </c:pt>
                <c:pt idx="184">
                  <c:v>1137.1400000000001</c:v>
                </c:pt>
                <c:pt idx="185">
                  <c:v>1135.8499999999999</c:v>
                </c:pt>
                <c:pt idx="186">
                  <c:v>1135.8499999999999</c:v>
                </c:pt>
                <c:pt idx="187">
                  <c:v>1135.33</c:v>
                </c:pt>
                <c:pt idx="188">
                  <c:v>1137.6600000000001</c:v>
                </c:pt>
                <c:pt idx="189">
                  <c:v>1134.56</c:v>
                </c:pt>
                <c:pt idx="190">
                  <c:v>1133.6600000000001</c:v>
                </c:pt>
                <c:pt idx="191">
                  <c:v>1134.04</c:v>
                </c:pt>
                <c:pt idx="192">
                  <c:v>1137.01</c:v>
                </c:pt>
                <c:pt idx="193">
                  <c:v>1135.8499999999999</c:v>
                </c:pt>
                <c:pt idx="194">
                  <c:v>1132.5</c:v>
                </c:pt>
                <c:pt idx="195">
                  <c:v>1135.5899999999999</c:v>
                </c:pt>
                <c:pt idx="196">
                  <c:v>1142.5999999999999</c:v>
                </c:pt>
                <c:pt idx="197">
                  <c:v>1135.8499999999999</c:v>
                </c:pt>
                <c:pt idx="198">
                  <c:v>1129.82</c:v>
                </c:pt>
                <c:pt idx="199">
                  <c:v>1128.1600000000001</c:v>
                </c:pt>
                <c:pt idx="200">
                  <c:v>1129.56</c:v>
                </c:pt>
                <c:pt idx="201">
                  <c:v>1120.57</c:v>
                </c:pt>
                <c:pt idx="202">
                  <c:v>1122.5899999999999</c:v>
                </c:pt>
                <c:pt idx="203">
                  <c:v>1118.19</c:v>
                </c:pt>
                <c:pt idx="204">
                  <c:v>1117.57</c:v>
                </c:pt>
                <c:pt idx="205">
                  <c:v>1119.19</c:v>
                </c:pt>
                <c:pt idx="206">
                  <c:v>1117.82</c:v>
                </c:pt>
                <c:pt idx="207">
                  <c:v>1121.33</c:v>
                </c:pt>
                <c:pt idx="208">
                  <c:v>1120.45</c:v>
                </c:pt>
                <c:pt idx="209">
                  <c:v>1128.1600000000001</c:v>
                </c:pt>
                <c:pt idx="210">
                  <c:v>1120.57</c:v>
                </c:pt>
                <c:pt idx="211">
                  <c:v>1121.7</c:v>
                </c:pt>
                <c:pt idx="212">
                  <c:v>1120.07</c:v>
                </c:pt>
                <c:pt idx="213">
                  <c:v>1121.08</c:v>
                </c:pt>
                <c:pt idx="214">
                  <c:v>1118.69</c:v>
                </c:pt>
                <c:pt idx="215">
                  <c:v>1114.7</c:v>
                </c:pt>
                <c:pt idx="216">
                  <c:v>1125.49</c:v>
                </c:pt>
                <c:pt idx="217">
                  <c:v>1142.2</c:v>
                </c:pt>
                <c:pt idx="218">
                  <c:v>1125.75</c:v>
                </c:pt>
                <c:pt idx="219">
                  <c:v>1114.08</c:v>
                </c:pt>
                <c:pt idx="220">
                  <c:v>1114.58</c:v>
                </c:pt>
                <c:pt idx="221">
                  <c:v>1114.08</c:v>
                </c:pt>
                <c:pt idx="222">
                  <c:v>1111.48</c:v>
                </c:pt>
                <c:pt idx="223">
                  <c:v>1111.1099999999999</c:v>
                </c:pt>
                <c:pt idx="224">
                  <c:v>1119.57</c:v>
                </c:pt>
                <c:pt idx="225">
                  <c:v>1119.32</c:v>
                </c:pt>
                <c:pt idx="226">
                  <c:v>1112.3499999999999</c:v>
                </c:pt>
                <c:pt idx="227">
                  <c:v>1115.2</c:v>
                </c:pt>
                <c:pt idx="228">
                  <c:v>1115.08</c:v>
                </c:pt>
                <c:pt idx="229">
                  <c:v>1112.47</c:v>
                </c:pt>
                <c:pt idx="230">
                  <c:v>1121.7</c:v>
                </c:pt>
                <c:pt idx="231">
                  <c:v>1113.0899999999999</c:v>
                </c:pt>
                <c:pt idx="232">
                  <c:v>1112.97</c:v>
                </c:pt>
                <c:pt idx="233">
                  <c:v>1108.52</c:v>
                </c:pt>
                <c:pt idx="234">
                  <c:v>1106.32</c:v>
                </c:pt>
                <c:pt idx="235">
                  <c:v>1105.83</c:v>
                </c:pt>
                <c:pt idx="236">
                  <c:v>1106.44</c:v>
                </c:pt>
                <c:pt idx="237">
                  <c:v>1118.69</c:v>
                </c:pt>
                <c:pt idx="238">
                  <c:v>1115.7</c:v>
                </c:pt>
                <c:pt idx="239">
                  <c:v>1105.58</c:v>
                </c:pt>
                <c:pt idx="240">
                  <c:v>1104.48</c:v>
                </c:pt>
                <c:pt idx="241">
                  <c:v>1104.8499999999999</c:v>
                </c:pt>
                <c:pt idx="242">
                  <c:v>1100.96</c:v>
                </c:pt>
                <c:pt idx="243">
                  <c:v>1099.51</c:v>
                </c:pt>
                <c:pt idx="244">
                  <c:v>1105.0899999999999</c:v>
                </c:pt>
                <c:pt idx="245">
                  <c:v>1114.33</c:v>
                </c:pt>
                <c:pt idx="246">
                  <c:v>1105.58</c:v>
                </c:pt>
                <c:pt idx="247">
                  <c:v>1094.21</c:v>
                </c:pt>
                <c:pt idx="248">
                  <c:v>1091.7</c:v>
                </c:pt>
                <c:pt idx="249">
                  <c:v>1092.18</c:v>
                </c:pt>
                <c:pt idx="250">
                  <c:v>1092.54</c:v>
                </c:pt>
                <c:pt idx="251">
                  <c:v>1099.99</c:v>
                </c:pt>
                <c:pt idx="252">
                  <c:v>1106.07</c:v>
                </c:pt>
                <c:pt idx="253">
                  <c:v>1093.25</c:v>
                </c:pt>
                <c:pt idx="254">
                  <c:v>1092.06</c:v>
                </c:pt>
                <c:pt idx="255">
                  <c:v>1087.9000000000001</c:v>
                </c:pt>
                <c:pt idx="256">
                  <c:v>1090.3900000000001</c:v>
                </c:pt>
                <c:pt idx="257">
                  <c:v>1089.68</c:v>
                </c:pt>
                <c:pt idx="258">
                  <c:v>1095.53</c:v>
                </c:pt>
                <c:pt idx="259">
                  <c:v>1105.58</c:v>
                </c:pt>
                <c:pt idx="260">
                  <c:v>1095.4100000000001</c:v>
                </c:pt>
                <c:pt idx="261">
                  <c:v>1091.3499999999999</c:v>
                </c:pt>
                <c:pt idx="262">
                  <c:v>1087.67</c:v>
                </c:pt>
                <c:pt idx="263">
                  <c:v>1088.6099999999999</c:v>
                </c:pt>
                <c:pt idx="264">
                  <c:v>1092.18</c:v>
                </c:pt>
                <c:pt idx="265">
                  <c:v>1095.17</c:v>
                </c:pt>
                <c:pt idx="266">
                  <c:v>1093.49</c:v>
                </c:pt>
                <c:pt idx="267">
                  <c:v>1089.56</c:v>
                </c:pt>
                <c:pt idx="268">
                  <c:v>1084.3599999999999</c:v>
                </c:pt>
                <c:pt idx="269">
                  <c:v>1084.01</c:v>
                </c:pt>
                <c:pt idx="270">
                  <c:v>1086.25</c:v>
                </c:pt>
                <c:pt idx="271">
                  <c:v>1087.19</c:v>
                </c:pt>
                <c:pt idx="272">
                  <c:v>1094.33</c:v>
                </c:pt>
                <c:pt idx="273">
                  <c:v>1103.51</c:v>
                </c:pt>
                <c:pt idx="274">
                  <c:v>1093.6099999999999</c:v>
                </c:pt>
                <c:pt idx="275">
                  <c:v>1086.3699999999999</c:v>
                </c:pt>
                <c:pt idx="276">
                  <c:v>1087.67</c:v>
                </c:pt>
                <c:pt idx="277">
                  <c:v>1085.19</c:v>
                </c:pt>
                <c:pt idx="278">
                  <c:v>1084.01</c:v>
                </c:pt>
                <c:pt idx="279">
                  <c:v>1091.1099999999999</c:v>
                </c:pt>
                <c:pt idx="280">
                  <c:v>1102.78</c:v>
                </c:pt>
                <c:pt idx="281">
                  <c:v>1090.27</c:v>
                </c:pt>
                <c:pt idx="282">
                  <c:v>1084.95</c:v>
                </c:pt>
                <c:pt idx="283">
                  <c:v>1083.42</c:v>
                </c:pt>
                <c:pt idx="284">
                  <c:v>1084.3599999999999</c:v>
                </c:pt>
                <c:pt idx="285">
                  <c:v>1083.54</c:v>
                </c:pt>
                <c:pt idx="286">
                  <c:v>1092.18</c:v>
                </c:pt>
                <c:pt idx="287">
                  <c:v>1084.48</c:v>
                </c:pt>
                <c:pt idx="288">
                  <c:v>1081.55</c:v>
                </c:pt>
                <c:pt idx="289">
                  <c:v>1077.5899999999999</c:v>
                </c:pt>
                <c:pt idx="290">
                  <c:v>1075.6199999999999</c:v>
                </c:pt>
                <c:pt idx="291">
                  <c:v>1074.46</c:v>
                </c:pt>
                <c:pt idx="292">
                  <c:v>1075.8499999999999</c:v>
                </c:pt>
                <c:pt idx="293">
                  <c:v>1082.02</c:v>
                </c:pt>
                <c:pt idx="294">
                  <c:v>1091.46</c:v>
                </c:pt>
                <c:pt idx="295">
                  <c:v>1080.5</c:v>
                </c:pt>
                <c:pt idx="296">
                  <c:v>1073.8800000000001</c:v>
                </c:pt>
                <c:pt idx="297">
                  <c:v>1073.8800000000001</c:v>
                </c:pt>
                <c:pt idx="298">
                  <c:v>1075.27</c:v>
                </c:pt>
                <c:pt idx="299">
                  <c:v>1076.54</c:v>
                </c:pt>
                <c:pt idx="300">
                  <c:v>1077.01</c:v>
                </c:pt>
                <c:pt idx="301">
                  <c:v>1077.1199999999999</c:v>
                </c:pt>
                <c:pt idx="302">
                  <c:v>1075.96</c:v>
                </c:pt>
                <c:pt idx="303">
                  <c:v>1074.92</c:v>
                </c:pt>
                <c:pt idx="304">
                  <c:v>1074.58</c:v>
                </c:pt>
                <c:pt idx="305">
                  <c:v>1073.42</c:v>
                </c:pt>
                <c:pt idx="306">
                  <c:v>1070.32</c:v>
                </c:pt>
                <c:pt idx="307">
                  <c:v>1068.72</c:v>
                </c:pt>
                <c:pt idx="308">
                  <c:v>1067.5999999999999</c:v>
                </c:pt>
                <c:pt idx="309">
                  <c:v>1068.95</c:v>
                </c:pt>
                <c:pt idx="310">
                  <c:v>1065.8699999999999</c:v>
                </c:pt>
                <c:pt idx="311">
                  <c:v>1065.08</c:v>
                </c:pt>
                <c:pt idx="312">
                  <c:v>1064.17</c:v>
                </c:pt>
                <c:pt idx="313">
                  <c:v>1064.6199999999999</c:v>
                </c:pt>
                <c:pt idx="314">
                  <c:v>1069.98</c:v>
                </c:pt>
                <c:pt idx="315">
                  <c:v>1078.75</c:v>
                </c:pt>
                <c:pt idx="316">
                  <c:v>1070.32</c:v>
                </c:pt>
                <c:pt idx="317">
                  <c:v>1064.51</c:v>
                </c:pt>
                <c:pt idx="318">
                  <c:v>1062.7</c:v>
                </c:pt>
                <c:pt idx="319">
                  <c:v>1060.9000000000001</c:v>
                </c:pt>
                <c:pt idx="320">
                  <c:v>1057.08</c:v>
                </c:pt>
                <c:pt idx="321">
                  <c:v>1062.25</c:v>
                </c:pt>
                <c:pt idx="322">
                  <c:v>1069.18</c:v>
                </c:pt>
                <c:pt idx="323">
                  <c:v>1060.9000000000001</c:v>
                </c:pt>
                <c:pt idx="324">
                  <c:v>1057.8699999999999</c:v>
                </c:pt>
                <c:pt idx="325">
                  <c:v>1059.8800000000001</c:v>
                </c:pt>
                <c:pt idx="326">
                  <c:v>1059.21</c:v>
                </c:pt>
                <c:pt idx="327">
                  <c:v>1058.76</c:v>
                </c:pt>
                <c:pt idx="328">
                  <c:v>1068.3800000000001</c:v>
                </c:pt>
                <c:pt idx="329">
                  <c:v>1083.78</c:v>
                </c:pt>
                <c:pt idx="330">
                  <c:v>1072.27</c:v>
                </c:pt>
                <c:pt idx="331">
                  <c:v>1064.74</c:v>
                </c:pt>
                <c:pt idx="332">
                  <c:v>1067.1199999999999</c:v>
                </c:pt>
                <c:pt idx="333">
                  <c:v>1069.18</c:v>
                </c:pt>
                <c:pt idx="334">
                  <c:v>1075.04</c:v>
                </c:pt>
                <c:pt idx="335">
                  <c:v>1080.8499999999999</c:v>
                </c:pt>
                <c:pt idx="336">
                  <c:v>1077.24</c:v>
                </c:pt>
                <c:pt idx="337">
                  <c:v>1086.72</c:v>
                </c:pt>
                <c:pt idx="338">
                  <c:v>1086.96</c:v>
                </c:pt>
                <c:pt idx="339">
                  <c:v>1086.25</c:v>
                </c:pt>
                <c:pt idx="340">
                  <c:v>1089.21</c:v>
                </c:pt>
                <c:pt idx="341">
                  <c:v>1095.29</c:v>
                </c:pt>
                <c:pt idx="342">
                  <c:v>1096.1300000000001</c:v>
                </c:pt>
                <c:pt idx="343">
                  <c:v>1113.5899999999999</c:v>
                </c:pt>
                <c:pt idx="344">
                  <c:v>1096.01</c:v>
                </c:pt>
                <c:pt idx="345">
                  <c:v>1088.1400000000001</c:v>
                </c:pt>
                <c:pt idx="346">
                  <c:v>1089.92</c:v>
                </c:pt>
                <c:pt idx="347">
                  <c:v>1090.6300000000001</c:v>
                </c:pt>
                <c:pt idx="348">
                  <c:v>1096.01</c:v>
                </c:pt>
                <c:pt idx="349">
                  <c:v>1106.56</c:v>
                </c:pt>
                <c:pt idx="350">
                  <c:v>1123.22</c:v>
                </c:pt>
                <c:pt idx="351">
                  <c:v>1102.05</c:v>
                </c:pt>
                <c:pt idx="352">
                  <c:v>1094.57</c:v>
                </c:pt>
                <c:pt idx="353">
                  <c:v>1087.55</c:v>
                </c:pt>
                <c:pt idx="354">
                  <c:v>1086.1300000000001</c:v>
                </c:pt>
                <c:pt idx="355">
                  <c:v>1080.3800000000001</c:v>
                </c:pt>
                <c:pt idx="356">
                  <c:v>1082.25</c:v>
                </c:pt>
                <c:pt idx="357">
                  <c:v>1097.45</c:v>
                </c:pt>
                <c:pt idx="358">
                  <c:v>1086.3699999999999</c:v>
                </c:pt>
                <c:pt idx="359">
                  <c:v>1082.1300000000001</c:v>
                </c:pt>
                <c:pt idx="360">
                  <c:v>1080.26</c:v>
                </c:pt>
                <c:pt idx="361">
                  <c:v>1086.8399999999999</c:v>
                </c:pt>
                <c:pt idx="362">
                  <c:v>1086.96</c:v>
                </c:pt>
                <c:pt idx="363">
                  <c:v>1094.21</c:v>
                </c:pt>
                <c:pt idx="364">
                  <c:v>1104.24</c:v>
                </c:pt>
                <c:pt idx="365">
                  <c:v>1094.0899999999999</c:v>
                </c:pt>
                <c:pt idx="366">
                  <c:v>1090.1600000000001</c:v>
                </c:pt>
              </c:numCache>
            </c:numRef>
          </c:yVal>
          <c:smooth val="0"/>
        </c:ser>
        <c:ser>
          <c:idx val="1"/>
          <c:order val="1"/>
          <c:tx>
            <c:v>First Day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8"/>
            <c:spPr>
              <a:solidFill>
                <a:srgbClr val="00B0F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xVal>
            <c:numRef>
              <c:f>CONTROL!$E$15</c:f>
              <c:numCache>
                <c:formatCode>[$-409]d\-mmm\-yy;@</c:formatCode>
                <c:ptCount val="1"/>
                <c:pt idx="0">
                  <c:v>40994</c:v>
                </c:pt>
              </c:numCache>
            </c:numRef>
          </c:xVal>
          <c:yVal>
            <c:numRef>
              <c:f>CONTROL!$F$15</c:f>
              <c:numCache>
                <c:formatCode>_(* #,##0.00_);_(* \(#,##0.00\);_(* "-"??_);_(@_)</c:formatCode>
                <c:ptCount val="1"/>
                <c:pt idx="0">
                  <c:v>1154.47</c:v>
                </c:pt>
              </c:numCache>
            </c:numRef>
          </c:yVal>
          <c:smooth val="0"/>
        </c:ser>
        <c:ser>
          <c:idx val="2"/>
          <c:order val="2"/>
          <c:tx>
            <c:v>90 Days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square"/>
            <c:size val="8"/>
            <c:spPr>
              <a:solidFill>
                <a:srgbClr val="00B0F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xVal>
            <c:numRef>
              <c:f>CONTROL!$E$16</c:f>
              <c:numCache>
                <c:formatCode>[$-409]d\-mmm\-yy;@</c:formatCode>
                <c:ptCount val="1"/>
                <c:pt idx="0">
                  <c:v>41119</c:v>
                </c:pt>
              </c:numCache>
            </c:numRef>
          </c:xVal>
          <c:yVal>
            <c:numRef>
              <c:f>CONTROL!$F$16</c:f>
              <c:numCache>
                <c:formatCode>_(* #,##0.00_);_(* \(#,##0.00\);_(* "-"??_);_(@_)</c:formatCode>
                <c:ptCount val="1"/>
                <c:pt idx="0">
                  <c:v>1139.8599999999999</c:v>
                </c:pt>
              </c:numCache>
            </c:numRef>
          </c:yVal>
          <c:smooth val="0"/>
        </c:ser>
        <c:ser>
          <c:idx val="3"/>
          <c:order val="3"/>
          <c:tx>
            <c:v>Down 2nd %</c:v>
          </c:tx>
          <c:spPr>
            <a:ln w="3175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CONTROL!$E$18:$E$19</c:f>
              <c:numCache>
                <c:formatCode>[$-409]d\-mmm\-yy;@</c:formatCode>
                <c:ptCount val="2"/>
                <c:pt idx="0">
                  <c:v>41205</c:v>
                </c:pt>
                <c:pt idx="1">
                  <c:v>41331</c:v>
                </c:pt>
              </c:numCache>
            </c:numRef>
          </c:xVal>
          <c:yVal>
            <c:numRef>
              <c:f>CONTROL!$G$18:$G$19</c:f>
              <c:numCache>
                <c:formatCode>_(* #,##0.00_);_(* \(#,##0.00\);_(* "-"??_);_(@_)</c:formatCode>
                <c:ptCount val="2"/>
                <c:pt idx="0">
                  <c:v>1154.47</c:v>
                </c:pt>
                <c:pt idx="1">
                  <c:v>1096.7465</c:v>
                </c:pt>
              </c:numCache>
            </c:numRef>
          </c:yVal>
          <c:smooth val="0"/>
        </c:ser>
        <c:ser>
          <c:idx val="4"/>
          <c:order val="4"/>
          <c:tx>
            <c:v>Down 1st %</c:v>
          </c:tx>
          <c:spPr>
            <a:ln w="127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CONTROL!$E$18:$E$19</c:f>
              <c:numCache>
                <c:formatCode>[$-409]d\-mmm\-yy;@</c:formatCode>
                <c:ptCount val="2"/>
                <c:pt idx="0">
                  <c:v>41205</c:v>
                </c:pt>
                <c:pt idx="1">
                  <c:v>41331</c:v>
                </c:pt>
              </c:numCache>
            </c:numRef>
          </c:xVal>
          <c:yVal>
            <c:numRef>
              <c:f>CONTROL!$F$18:$F$19</c:f>
              <c:numCache>
                <c:formatCode>_(* #,##0.00_);_(* \(#,##0.00\);_(* "-"??_);_(@_)</c:formatCode>
                <c:ptCount val="2"/>
                <c:pt idx="0">
                  <c:v>1154.47</c:v>
                </c:pt>
                <c:pt idx="1">
                  <c:v>1125.60825</c:v>
                </c:pt>
              </c:numCache>
            </c:numRef>
          </c:yVal>
          <c:smooth val="0"/>
        </c:ser>
        <c:ser>
          <c:idx val="5"/>
          <c:order val="5"/>
          <c:tx>
            <c:v>Up 1st %</c:v>
          </c:tx>
          <c:spPr>
            <a:ln w="127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CONTROL!$E$21:$E$22</c:f>
              <c:numCache>
                <c:formatCode>[$-409]d\-mmm\-yy;@</c:formatCode>
                <c:ptCount val="2"/>
                <c:pt idx="0">
                  <c:v>41205</c:v>
                </c:pt>
                <c:pt idx="1">
                  <c:v>41331</c:v>
                </c:pt>
              </c:numCache>
            </c:numRef>
          </c:xVal>
          <c:yVal>
            <c:numRef>
              <c:f>CONTROL!$F$21:$F$22</c:f>
              <c:numCache>
                <c:formatCode>_(* #,##0.00_);_(* \(#,##0.00\);_(* "-"??_);_(@_)</c:formatCode>
                <c:ptCount val="2"/>
                <c:pt idx="0">
                  <c:v>1154.47</c:v>
                </c:pt>
                <c:pt idx="1">
                  <c:v>1183.3317499999998</c:v>
                </c:pt>
              </c:numCache>
            </c:numRef>
          </c:yVal>
          <c:smooth val="0"/>
        </c:ser>
        <c:ser>
          <c:idx val="6"/>
          <c:order val="6"/>
          <c:tx>
            <c:v>Up 2nd %</c:v>
          </c:tx>
          <c:spPr>
            <a:ln w="127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CONTROL!$E$21:$E$22</c:f>
              <c:numCache>
                <c:formatCode>[$-409]d\-mmm\-yy;@</c:formatCode>
                <c:ptCount val="2"/>
                <c:pt idx="0">
                  <c:v>41205</c:v>
                </c:pt>
                <c:pt idx="1">
                  <c:v>41331</c:v>
                </c:pt>
              </c:numCache>
            </c:numRef>
          </c:xVal>
          <c:yVal>
            <c:numRef>
              <c:f>CONTROL!$G$21:$G$22</c:f>
              <c:numCache>
                <c:formatCode>_(* #,##0.00_);_(* \(#,##0.00\);_(* "-"??_);_(@_)</c:formatCode>
                <c:ptCount val="2"/>
                <c:pt idx="0">
                  <c:v>1154.47</c:v>
                </c:pt>
                <c:pt idx="1">
                  <c:v>1212.1935000000001</c:v>
                </c:pt>
              </c:numCache>
            </c:numRef>
          </c:yVal>
          <c:smooth val="0"/>
        </c:ser>
        <c:ser>
          <c:idx val="7"/>
          <c:order val="7"/>
          <c:tx>
            <c:v>Hor Line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CONTROL!$G$15:$G$16</c:f>
              <c:numCache>
                <c:formatCode>[$-409]d\-mmm\-yy;@</c:formatCode>
                <c:ptCount val="2"/>
                <c:pt idx="0">
                  <c:v>41205</c:v>
                </c:pt>
                <c:pt idx="1">
                  <c:v>41331</c:v>
                </c:pt>
              </c:numCache>
            </c:numRef>
          </c:xVal>
          <c:yVal>
            <c:numRef>
              <c:f>CONTROL!$H$15:$H$16</c:f>
              <c:numCache>
                <c:formatCode>_(* #,##0.00_);_(* \(#,##0.00\);_(* "-"??_);_(@_)</c:formatCode>
                <c:ptCount val="2"/>
                <c:pt idx="0">
                  <c:v>1154.47</c:v>
                </c:pt>
                <c:pt idx="1">
                  <c:v>1154.47</c:v>
                </c:pt>
              </c:numCache>
            </c:numRef>
          </c:yVal>
          <c:smooth val="0"/>
        </c:ser>
        <c:ser>
          <c:idx val="8"/>
          <c:order val="8"/>
          <c:tx>
            <c:v>Down 1st % Label</c:v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CONTROL!$H$17</c:f>
                  <c:strCache>
                    <c:ptCount val="1"/>
                    <c:pt idx="0">
                      <c:v>Down: 250 pips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CONTROL!$H$18</c:f>
              <c:numCache>
                <c:formatCode>[$-409]d\-mmm\-yy;@</c:formatCode>
                <c:ptCount val="1"/>
                <c:pt idx="0">
                  <c:v>41268</c:v>
                </c:pt>
              </c:numCache>
            </c:numRef>
          </c:xVal>
          <c:yVal>
            <c:numRef>
              <c:f>CONTROL!$I$18</c:f>
              <c:numCache>
                <c:formatCode>_(* #,##0.00_);_(* \(#,##0.00\);_(* "-"??_);_(@_)</c:formatCode>
                <c:ptCount val="1"/>
                <c:pt idx="0">
                  <c:v>1140.039125</c:v>
                </c:pt>
              </c:numCache>
            </c:numRef>
          </c:yVal>
          <c:smooth val="0"/>
        </c:ser>
        <c:ser>
          <c:idx val="9"/>
          <c:order val="9"/>
          <c:tx>
            <c:v>Down 2nd % label</c:v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CONTROL!$I$17</c:f>
                  <c:strCache>
                    <c:ptCount val="1"/>
                    <c:pt idx="0">
                      <c:v>Down: 500 pips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CONTROL!$H$19</c:f>
              <c:numCache>
                <c:formatCode>[$-409]d\-mmm\-yy;@</c:formatCode>
                <c:ptCount val="1"/>
                <c:pt idx="0">
                  <c:v>41268</c:v>
                </c:pt>
              </c:numCache>
            </c:numRef>
          </c:xVal>
          <c:yVal>
            <c:numRef>
              <c:f>CONTROL!$I$19</c:f>
              <c:numCache>
                <c:formatCode>_(* #,##0.00_);_(* \(#,##0.00\);_(* "-"??_);_(@_)</c:formatCode>
                <c:ptCount val="1"/>
                <c:pt idx="0">
                  <c:v>1125.60825</c:v>
                </c:pt>
              </c:numCache>
            </c:numRef>
          </c:yVal>
          <c:smooth val="0"/>
        </c:ser>
        <c:ser>
          <c:idx val="10"/>
          <c:order val="10"/>
          <c:tx>
            <c:v>Up 1st % label</c:v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CONTROL!$H$20</c:f>
                  <c:strCache>
                    <c:ptCount val="1"/>
                    <c:pt idx="0">
                      <c:v>Up: 250 pips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CONTROL!$H$21</c:f>
              <c:numCache>
                <c:formatCode>[$-409]d\-mmm\-yy;@</c:formatCode>
                <c:ptCount val="1"/>
                <c:pt idx="0">
                  <c:v>41268</c:v>
                </c:pt>
              </c:numCache>
            </c:numRef>
          </c:xVal>
          <c:yVal>
            <c:numRef>
              <c:f>CONTROL!$I$21</c:f>
              <c:numCache>
                <c:formatCode>_(* #,##0.00_);_(* \(#,##0.00\);_(* "-"??_);_(@_)</c:formatCode>
                <c:ptCount val="1"/>
                <c:pt idx="0">
                  <c:v>1168.9008749999998</c:v>
                </c:pt>
              </c:numCache>
            </c:numRef>
          </c:yVal>
          <c:smooth val="0"/>
        </c:ser>
        <c:ser>
          <c:idx val="11"/>
          <c:order val="11"/>
          <c:tx>
            <c:v>Up 2nd % Label</c:v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CONTROL!$I$20</c:f>
                  <c:strCache>
                    <c:ptCount val="1"/>
                    <c:pt idx="0">
                      <c:v>Up: 500 pips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CONTROL!$H$22</c:f>
              <c:numCache>
                <c:formatCode>[$-409]d\-mmm\-yy;@</c:formatCode>
                <c:ptCount val="1"/>
                <c:pt idx="0">
                  <c:v>41268</c:v>
                </c:pt>
              </c:numCache>
            </c:numRef>
          </c:xVal>
          <c:yVal>
            <c:numRef>
              <c:f>CONTROL!$I$22</c:f>
              <c:numCache>
                <c:formatCode>_(* #,##0.00_);_(* \(#,##0.00\);_(* "-"??_);_(@_)</c:formatCode>
                <c:ptCount val="1"/>
                <c:pt idx="0">
                  <c:v>1183.3317500000001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94048"/>
        <c:axId val="138795200"/>
      </c:scatterChart>
      <c:valAx>
        <c:axId val="138794048"/>
        <c:scaling>
          <c:orientation val="minMax"/>
          <c:max val="41332"/>
          <c:min val="40966"/>
        </c:scaling>
        <c:delete val="0"/>
        <c:axPos val="b"/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38795200"/>
        <c:crosses val="autoZero"/>
        <c:crossBetween val="midCat"/>
      </c:valAx>
      <c:valAx>
        <c:axId val="138795200"/>
        <c:scaling>
          <c:orientation val="minMax"/>
          <c:max val="1326.105"/>
          <c:min val="951.37199999999996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1387940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>
    <tabColor rgb="FFFFFF00"/>
  </sheetPr>
  <sheetViews>
    <sheetView zoomScale="80" workbookViewId="0"/>
  </sheetViews>
  <pageMargins left="0.7" right="0.7" top="0.75" bottom="0.75" header="0.3" footer="0.3"/>
  <drawing r:id="rId1"/>
  <legacy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4</xdr:row>
      <xdr:rowOff>19050</xdr:rowOff>
    </xdr:from>
    <xdr:to>
      <xdr:col>2</xdr:col>
      <xdr:colOff>933450</xdr:colOff>
      <xdr:row>7</xdr:row>
      <xdr:rowOff>133349</xdr:rowOff>
    </xdr:to>
    <xdr:sp macro="[0]!PRINT_MODEL" textlink="">
      <xdr:nvSpPr>
        <xdr:cNvPr id="4" name="AutoShape 2"/>
        <xdr:cNvSpPr>
          <a:spLocks noChangeArrowheads="1"/>
        </xdr:cNvSpPr>
      </xdr:nvSpPr>
      <xdr:spPr bwMode="auto">
        <a:xfrm>
          <a:off x="504825" y="723900"/>
          <a:ext cx="1895475" cy="628649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9656" cy="631031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0.01309</cdr:x>
      <cdr:y>0.00719</cdr:y>
    </cdr:from>
    <cdr:to>
      <cdr:x>0.18586</cdr:x>
      <cdr:y>0.07194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113393" y="45357"/>
          <a:ext cx="1496743" cy="40822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d%20Folders/Desktop/XLS/2.%20GITHUB/BGCVI/ADD-IN/BGCVI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ORKDAY2_FUN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I43"/>
  <sheetViews>
    <sheetView showGridLines="0" tabSelected="1" workbookViewId="0">
      <selection activeCell="F13" sqref="F13"/>
    </sheetView>
  </sheetViews>
  <sheetFormatPr defaultColWidth="9" defaultRowHeight="13.5" x14ac:dyDescent="0.25"/>
  <cols>
    <col min="1" max="1" width="3.625" style="2" customWidth="1"/>
    <col min="2" max="3" width="15.625" style="1" customWidth="1"/>
    <col min="4" max="4" width="3.625" style="1" customWidth="1"/>
    <col min="5" max="9" width="15.625" style="1" customWidth="1"/>
    <col min="10" max="10" width="3.625" style="1" customWidth="1"/>
    <col min="11" max="16384" width="9" style="1"/>
  </cols>
  <sheetData>
    <row r="1" spans="2:8" ht="14.25" thickBot="1" x14ac:dyDescent="0.3"/>
    <row r="2" spans="2:8" x14ac:dyDescent="0.25">
      <c r="B2" s="3" t="s">
        <v>6</v>
      </c>
      <c r="C2" s="17">
        <f ca="1">DATE(YEAR(C3)-1,MONTH(C3)-0,DAY(C3)-0)</f>
        <v>40966</v>
      </c>
      <c r="E2" s="14" t="s">
        <v>387</v>
      </c>
      <c r="F2" s="44">
        <v>0.01</v>
      </c>
    </row>
    <row r="3" spans="2:8" x14ac:dyDescent="0.25">
      <c r="B3" s="3" t="s">
        <v>7</v>
      </c>
      <c r="C3" s="17">
        <f ca="1">TODAY()</f>
        <v>41332</v>
      </c>
      <c r="E3" s="23" t="s">
        <v>388</v>
      </c>
      <c r="F3" s="45">
        <v>2.5000000000000001E-3</v>
      </c>
    </row>
    <row r="4" spans="2:8" x14ac:dyDescent="0.25">
      <c r="E4" s="23" t="s">
        <v>393</v>
      </c>
      <c r="F4" s="46">
        <v>1</v>
      </c>
    </row>
    <row r="5" spans="2:8" x14ac:dyDescent="0.25">
      <c r="E5" s="23" t="s">
        <v>389</v>
      </c>
      <c r="F5" s="45">
        <v>0.05</v>
      </c>
    </row>
    <row r="6" spans="2:8" x14ac:dyDescent="0.25">
      <c r="B6" s="18"/>
      <c r="C6" s="18"/>
      <c r="E6" s="23" t="s">
        <v>390</v>
      </c>
      <c r="F6" s="47">
        <v>0</v>
      </c>
    </row>
    <row r="7" spans="2:8" x14ac:dyDescent="0.25">
      <c r="E7" s="23" t="s">
        <v>391</v>
      </c>
      <c r="F7" s="48">
        <v>1</v>
      </c>
    </row>
    <row r="8" spans="2:8" ht="14.25" thickBot="1" x14ac:dyDescent="0.3">
      <c r="E8" s="49" t="s">
        <v>392</v>
      </c>
      <c r="F8" s="50">
        <v>1</v>
      </c>
    </row>
    <row r="9" spans="2:8" x14ac:dyDescent="0.25">
      <c r="H9" s="20"/>
    </row>
    <row r="10" spans="2:8" ht="14.25" thickBot="1" x14ac:dyDescent="0.3">
      <c r="B10" s="13" t="s">
        <v>9</v>
      </c>
      <c r="C10" s="13" t="s">
        <v>10</v>
      </c>
      <c r="H10" s="20"/>
    </row>
    <row r="11" spans="2:8" x14ac:dyDescent="0.25">
      <c r="B11" s="19" t="s">
        <v>11</v>
      </c>
      <c r="C11" s="19" t="s">
        <v>12</v>
      </c>
      <c r="E11" s="14" t="s">
        <v>4</v>
      </c>
      <c r="F11" s="15">
        <v>41119</v>
      </c>
    </row>
    <row r="12" spans="2:8" x14ac:dyDescent="0.25">
      <c r="B12" s="19" t="s">
        <v>11</v>
      </c>
      <c r="C12" s="19" t="s">
        <v>13</v>
      </c>
      <c r="E12" s="23" t="s">
        <v>5</v>
      </c>
      <c r="F12" s="34">
        <v>90</v>
      </c>
    </row>
    <row r="13" spans="2:8" ht="14.25" thickBot="1" x14ac:dyDescent="0.3">
      <c r="B13" s="19" t="s">
        <v>11</v>
      </c>
      <c r="C13" s="19" t="s">
        <v>14</v>
      </c>
      <c r="E13" s="21" t="s">
        <v>8</v>
      </c>
      <c r="F13" s="22">
        <v>24</v>
      </c>
    </row>
    <row r="14" spans="2:8" x14ac:dyDescent="0.25">
      <c r="B14" s="19" t="s">
        <v>11</v>
      </c>
      <c r="C14" s="19" t="s">
        <v>15</v>
      </c>
      <c r="E14" s="8" t="str">
        <f ca="1">OFFSET(HIST_DATA,-1,INDEX,1,1)</f>
        <v xml:space="preserve">USD to KRW </v>
      </c>
      <c r="F14" s="10" t="s">
        <v>0</v>
      </c>
      <c r="G14" s="11" t="s">
        <v>3</v>
      </c>
      <c r="H14" s="9"/>
    </row>
    <row r="15" spans="2:8" x14ac:dyDescent="0.25">
      <c r="B15" s="19" t="s">
        <v>11</v>
      </c>
      <c r="C15" s="19" t="s">
        <v>16</v>
      </c>
      <c r="E15" s="6">
        <f>[1]!WORKDAY2_FUNC(E16,-F12)</f>
        <v>40994</v>
      </c>
      <c r="F15" s="24">
        <f>INDEX(Y_AXIS,MATCH(E15,X_AXIS,0))</f>
        <v>1154.47</v>
      </c>
      <c r="G15" s="6">
        <f>E21</f>
        <v>41205</v>
      </c>
      <c r="H15" s="28">
        <f>F15</f>
        <v>1154.47</v>
      </c>
    </row>
    <row r="16" spans="2:8" ht="14.25" thickBot="1" x14ac:dyDescent="0.3">
      <c r="B16" s="19" t="s">
        <v>11</v>
      </c>
      <c r="C16" s="19" t="s">
        <v>17</v>
      </c>
      <c r="E16" s="7">
        <f>F11</f>
        <v>41119</v>
      </c>
      <c r="F16" s="25">
        <f>INDEX(Y_AXIS,MATCH(E16,X_AXIS,0))</f>
        <v>1139.8599999999999</v>
      </c>
      <c r="G16" s="7">
        <f>E22</f>
        <v>41331</v>
      </c>
      <c r="H16" s="29">
        <f>H15</f>
        <v>1154.47</v>
      </c>
    </row>
    <row r="17" spans="2:9" x14ac:dyDescent="0.25">
      <c r="B17" s="19" t="s">
        <v>11</v>
      </c>
      <c r="C17" s="19" t="s">
        <v>18</v>
      </c>
      <c r="E17" s="4" t="s">
        <v>1</v>
      </c>
      <c r="F17" s="35">
        <v>250</v>
      </c>
      <c r="G17" s="36">
        <f>F17*2</f>
        <v>500</v>
      </c>
      <c r="H17" s="12" t="str">
        <f>$E$17 &amp; ": " &amp;F17&amp;" pips"</f>
        <v>Down: 250 pips</v>
      </c>
      <c r="I17" s="5" t="str">
        <f>E17 &amp; ": " &amp;G17&amp;" pips"</f>
        <v>Down: 500 pips</v>
      </c>
    </row>
    <row r="18" spans="2:9" x14ac:dyDescent="0.25">
      <c r="B18" s="19" t="s">
        <v>11</v>
      </c>
      <c r="C18" s="19" t="s">
        <v>19</v>
      </c>
      <c r="E18" s="6">
        <f>E21</f>
        <v>41205</v>
      </c>
      <c r="F18" s="26">
        <f>F15</f>
        <v>1154.47</v>
      </c>
      <c r="G18" s="24">
        <f>F15</f>
        <v>1154.47</v>
      </c>
      <c r="H18" s="6">
        <f>AVERAGE(E18:E19)</f>
        <v>41268</v>
      </c>
      <c r="I18" s="28">
        <f>AVERAGE(F18:F19)</f>
        <v>1140.039125</v>
      </c>
    </row>
    <row r="19" spans="2:9" ht="14.25" thickBot="1" x14ac:dyDescent="0.3">
      <c r="B19" s="19" t="s">
        <v>11</v>
      </c>
      <c r="C19" s="19" t="s">
        <v>20</v>
      </c>
      <c r="E19" s="7">
        <f>E22</f>
        <v>41331</v>
      </c>
      <c r="F19" s="27">
        <f>(1-F17/10000)*F18</f>
        <v>1125.60825</v>
      </c>
      <c r="G19" s="25">
        <f>(1-G17/10000)*G18</f>
        <v>1096.7465</v>
      </c>
      <c r="H19" s="7">
        <f>H18</f>
        <v>41268</v>
      </c>
      <c r="I19" s="29">
        <f>AVERAGE(G18:G19)</f>
        <v>1125.60825</v>
      </c>
    </row>
    <row r="20" spans="2:9" x14ac:dyDescent="0.25">
      <c r="B20" s="19" t="s">
        <v>11</v>
      </c>
      <c r="C20" s="19" t="s">
        <v>21</v>
      </c>
      <c r="E20" s="4" t="s">
        <v>2</v>
      </c>
      <c r="F20" s="37">
        <f>F17</f>
        <v>250</v>
      </c>
      <c r="G20" s="38">
        <f>G17</f>
        <v>500</v>
      </c>
      <c r="H20" s="12" t="str">
        <f>$E$20 &amp; ": " &amp;F20&amp;" pips"</f>
        <v>Up: 250 pips</v>
      </c>
      <c r="I20" s="5" t="str">
        <f>E20 &amp; ": " &amp;G20&amp;" pips"</f>
        <v>Up: 500 pips</v>
      </c>
    </row>
    <row r="21" spans="2:9" x14ac:dyDescent="0.25">
      <c r="B21" s="19" t="s">
        <v>11</v>
      </c>
      <c r="C21" s="19" t="s">
        <v>22</v>
      </c>
      <c r="E21" s="6">
        <f>[1]!WORKDAY2_FUNC(E22,-F12)</f>
        <v>41205</v>
      </c>
      <c r="F21" s="26">
        <f>F15</f>
        <v>1154.47</v>
      </c>
      <c r="G21" s="24">
        <f>F15</f>
        <v>1154.47</v>
      </c>
      <c r="H21" s="6">
        <f>AVERAGE(E21:E22)</f>
        <v>41268</v>
      </c>
      <c r="I21" s="28">
        <f>AVERAGE(F21:F22)</f>
        <v>1168.9008749999998</v>
      </c>
    </row>
    <row r="22" spans="2:9" ht="14.25" thickBot="1" x14ac:dyDescent="0.3">
      <c r="B22" s="19" t="s">
        <v>11</v>
      </c>
      <c r="C22" s="19" t="s">
        <v>23</v>
      </c>
      <c r="E22" s="16">
        <v>41331</v>
      </c>
      <c r="F22" s="27">
        <f>(1+F20/10000)*F21</f>
        <v>1183.3317499999998</v>
      </c>
      <c r="G22" s="25">
        <f>(1+G20/10000)*G21</f>
        <v>1212.1935000000001</v>
      </c>
      <c r="H22" s="7">
        <f>H21</f>
        <v>41268</v>
      </c>
      <c r="I22" s="29">
        <f>AVERAGE(G21:G22)</f>
        <v>1183.3317500000001</v>
      </c>
    </row>
    <row r="23" spans="2:9" x14ac:dyDescent="0.25">
      <c r="B23" s="19" t="s">
        <v>11</v>
      </c>
      <c r="C23" s="19" t="s">
        <v>24</v>
      </c>
    </row>
    <row r="24" spans="2:9" x14ac:dyDescent="0.25">
      <c r="B24" s="19" t="s">
        <v>11</v>
      </c>
      <c r="C24" s="19" t="s">
        <v>25</v>
      </c>
    </row>
    <row r="25" spans="2:9" x14ac:dyDescent="0.25">
      <c r="B25" s="19" t="s">
        <v>11</v>
      </c>
      <c r="C25" s="19" t="s">
        <v>26</v>
      </c>
    </row>
    <row r="26" spans="2:9" x14ac:dyDescent="0.25">
      <c r="B26" s="19" t="s">
        <v>11</v>
      </c>
      <c r="C26" s="19" t="s">
        <v>27</v>
      </c>
    </row>
    <row r="27" spans="2:9" x14ac:dyDescent="0.25">
      <c r="B27" s="19" t="s">
        <v>11</v>
      </c>
      <c r="C27" s="19" t="s">
        <v>28</v>
      </c>
    </row>
    <row r="28" spans="2:9" x14ac:dyDescent="0.25">
      <c r="B28" s="19" t="s">
        <v>11</v>
      </c>
      <c r="C28" s="19" t="s">
        <v>29</v>
      </c>
    </row>
    <row r="29" spans="2:9" x14ac:dyDescent="0.25">
      <c r="B29" s="19" t="s">
        <v>11</v>
      </c>
      <c r="C29" s="19" t="s">
        <v>30</v>
      </c>
    </row>
    <row r="30" spans="2:9" x14ac:dyDescent="0.25">
      <c r="B30" s="19" t="s">
        <v>11</v>
      </c>
      <c r="C30" s="19" t="s">
        <v>31</v>
      </c>
    </row>
    <row r="31" spans="2:9" x14ac:dyDescent="0.25">
      <c r="B31" s="19" t="s">
        <v>11</v>
      </c>
      <c r="C31" s="19" t="s">
        <v>32</v>
      </c>
    </row>
    <row r="32" spans="2:9" x14ac:dyDescent="0.25">
      <c r="B32" s="19" t="s">
        <v>11</v>
      </c>
      <c r="C32" s="19" t="s">
        <v>33</v>
      </c>
    </row>
    <row r="33" spans="2:3" x14ac:dyDescent="0.25">
      <c r="B33" s="19" t="s">
        <v>11</v>
      </c>
      <c r="C33" s="19" t="s">
        <v>34</v>
      </c>
    </row>
    <row r="34" spans="2:3" x14ac:dyDescent="0.25">
      <c r="B34" s="19" t="s">
        <v>11</v>
      </c>
      <c r="C34" s="19" t="s">
        <v>35</v>
      </c>
    </row>
    <row r="35" spans="2:3" x14ac:dyDescent="0.25">
      <c r="B35" s="19" t="s">
        <v>11</v>
      </c>
      <c r="C35" s="19" t="s">
        <v>36</v>
      </c>
    </row>
    <row r="36" spans="2:3" x14ac:dyDescent="0.25">
      <c r="B36" s="19" t="s">
        <v>11</v>
      </c>
      <c r="C36" s="19" t="s">
        <v>37</v>
      </c>
    </row>
    <row r="37" spans="2:3" x14ac:dyDescent="0.25">
      <c r="B37" s="19" t="s">
        <v>11</v>
      </c>
      <c r="C37" s="19" t="s">
        <v>38</v>
      </c>
    </row>
    <row r="38" spans="2:3" x14ac:dyDescent="0.25">
      <c r="B38" s="19"/>
      <c r="C38" s="19"/>
    </row>
    <row r="39" spans="2:3" x14ac:dyDescent="0.25">
      <c r="B39" s="19"/>
      <c r="C39" s="19"/>
    </row>
    <row r="40" spans="2:3" x14ac:dyDescent="0.25">
      <c r="B40" s="19"/>
      <c r="C40" s="19"/>
    </row>
    <row r="41" spans="2:3" x14ac:dyDescent="0.25">
      <c r="B41" s="19"/>
      <c r="C41" s="19"/>
    </row>
    <row r="42" spans="2:3" x14ac:dyDescent="0.25">
      <c r="B42" s="19"/>
      <c r="C42" s="19"/>
    </row>
    <row r="43" spans="2:3" x14ac:dyDescent="0.25">
      <c r="B43" s="19"/>
      <c r="C43" s="19"/>
    </row>
  </sheetData>
  <phoneticPr fontId="2" type="noConversion"/>
  <dataValidations count="3">
    <dataValidation type="list" allowBlank="1" showInputMessage="1" showErrorMessage="1" sqref="F6">
      <formula1>"0,1"</formula1>
    </dataValidation>
    <dataValidation type="list" allowBlank="1" sqref="E22">
      <formula1>X_AXIS</formula1>
    </dataValidation>
    <dataValidation type="list" allowBlank="1" showInputMessage="1" showErrorMessage="1" sqref="F11">
      <formula1>X_AXIS</formula1>
    </dataValidation>
  </dataValidations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AB3655"/>
  <sheetViews>
    <sheetView workbookViewId="0">
      <pane xSplit="1" ySplit="1" topLeftCell="B2" activePane="bottomRight" state="frozenSplit"/>
      <selection pane="topRight" activeCell="G1" sqref="G1"/>
      <selection pane="bottomLeft" activeCell="A17" sqref="A17"/>
      <selection pane="bottomRight"/>
    </sheetView>
  </sheetViews>
  <sheetFormatPr defaultRowHeight="12.75" x14ac:dyDescent="0.2"/>
  <cols>
    <col min="1" max="32" width="15.625" customWidth="1"/>
  </cols>
  <sheetData>
    <row r="1" spans="1:28" ht="15" customHeight="1" x14ac:dyDescent="0.2">
      <c r="A1" s="33" t="s">
        <v>326</v>
      </c>
      <c r="B1" s="31" t="s">
        <v>327</v>
      </c>
      <c r="C1" s="31" t="s">
        <v>328</v>
      </c>
      <c r="D1" s="31" t="s">
        <v>329</v>
      </c>
      <c r="E1" s="31" t="s">
        <v>330</v>
      </c>
      <c r="F1" s="31" t="s">
        <v>331</v>
      </c>
      <c r="G1" s="31" t="s">
        <v>332</v>
      </c>
      <c r="H1" s="31" t="s">
        <v>333</v>
      </c>
      <c r="I1" s="31" t="s">
        <v>334</v>
      </c>
      <c r="J1" s="31" t="s">
        <v>335</v>
      </c>
      <c r="K1" s="31" t="s">
        <v>336</v>
      </c>
      <c r="L1" s="31" t="s">
        <v>337</v>
      </c>
      <c r="M1" s="31" t="s">
        <v>338</v>
      </c>
      <c r="N1" s="31" t="s">
        <v>339</v>
      </c>
      <c r="O1" s="31" t="s">
        <v>340</v>
      </c>
      <c r="P1" s="31" t="s">
        <v>341</v>
      </c>
      <c r="Q1" s="31" t="s">
        <v>342</v>
      </c>
      <c r="R1" s="31" t="s">
        <v>343</v>
      </c>
      <c r="S1" s="31" t="s">
        <v>344</v>
      </c>
      <c r="T1" s="31" t="s">
        <v>345</v>
      </c>
      <c r="U1" s="31" t="s">
        <v>346</v>
      </c>
      <c r="V1" s="31" t="s">
        <v>347</v>
      </c>
      <c r="W1" s="31" t="s">
        <v>348</v>
      </c>
      <c r="X1" s="31" t="s">
        <v>349</v>
      </c>
      <c r="Y1" s="31" t="s">
        <v>350</v>
      </c>
      <c r="Z1" s="31" t="s">
        <v>351</v>
      </c>
      <c r="AA1" s="31" t="s">
        <v>352</v>
      </c>
      <c r="AB1" s="31" t="s">
        <v>353</v>
      </c>
    </row>
    <row r="2" spans="1:28" ht="15" customHeight="1" x14ac:dyDescent="0.2">
      <c r="A2" s="33">
        <v>40966</v>
      </c>
      <c r="B2" s="32">
        <v>4.3585000000000003</v>
      </c>
      <c r="C2" s="32">
        <v>0.9355</v>
      </c>
      <c r="D2" s="32">
        <v>1.7125999999999999</v>
      </c>
      <c r="E2" s="32">
        <v>481.7</v>
      </c>
      <c r="F2" s="32">
        <v>6.3224</v>
      </c>
      <c r="G2" s="32">
        <v>1809</v>
      </c>
      <c r="H2" s="32">
        <v>18.616299999999999</v>
      </c>
      <c r="I2" s="32">
        <v>39.457000000000001</v>
      </c>
      <c r="J2" s="32">
        <v>7.7558999999999996</v>
      </c>
      <c r="K2" s="32">
        <v>216.77799999999999</v>
      </c>
      <c r="L2" s="32">
        <v>49.85</v>
      </c>
      <c r="M2" s="32">
        <v>9074.41</v>
      </c>
      <c r="N2" s="32">
        <v>3.7736999999999998</v>
      </c>
      <c r="O2" s="32">
        <v>3.0154999999999998</v>
      </c>
      <c r="P2" s="32">
        <v>12.921900000000001</v>
      </c>
      <c r="Q2" s="32">
        <v>1.1969000000000001</v>
      </c>
      <c r="R2" s="32">
        <v>91.825000000000003</v>
      </c>
      <c r="S2" s="32">
        <v>2.7328999999999999</v>
      </c>
      <c r="T2" s="32">
        <v>42.92</v>
      </c>
      <c r="U2" s="32">
        <v>3.0968</v>
      </c>
      <c r="V2" s="32">
        <v>29.172999999999998</v>
      </c>
      <c r="W2" s="32">
        <v>3.7515999999999998</v>
      </c>
      <c r="X2" s="32">
        <v>7.6470000000000002</v>
      </c>
      <c r="Y2" s="32">
        <v>1125.75</v>
      </c>
      <c r="Z2" s="32">
        <v>0.74360000000000004</v>
      </c>
      <c r="AA2" s="32">
        <v>1.7693000000000001</v>
      </c>
      <c r="AB2" s="32">
        <v>4.2996999999999996</v>
      </c>
    </row>
    <row r="3" spans="1:28" ht="15" customHeight="1" x14ac:dyDescent="0.2">
      <c r="A3" s="33">
        <v>40967</v>
      </c>
      <c r="B3" s="32">
        <v>4.3566000000000003</v>
      </c>
      <c r="C3" s="32">
        <v>0.93469999999999998</v>
      </c>
      <c r="D3" s="32">
        <v>1.7121999999999999</v>
      </c>
      <c r="E3" s="32">
        <v>483.2</v>
      </c>
      <c r="F3" s="32">
        <v>6.3072999999999997</v>
      </c>
      <c r="G3" s="32">
        <v>1800.14</v>
      </c>
      <c r="H3" s="32">
        <v>18.6524</v>
      </c>
      <c r="I3" s="32">
        <v>39.350900000000003</v>
      </c>
      <c r="J3" s="32">
        <v>7.7553999999999998</v>
      </c>
      <c r="K3" s="32">
        <v>217.28299999999999</v>
      </c>
      <c r="L3" s="32">
        <v>49.586500000000001</v>
      </c>
      <c r="M3" s="32">
        <v>9124.09</v>
      </c>
      <c r="N3" s="32">
        <v>3.7951999999999999</v>
      </c>
      <c r="O3" s="32">
        <v>3.0221</v>
      </c>
      <c r="P3" s="32">
        <v>12.919499999999999</v>
      </c>
      <c r="Q3" s="32">
        <v>1.1963999999999999</v>
      </c>
      <c r="R3" s="32">
        <v>91.694900000000004</v>
      </c>
      <c r="S3" s="32">
        <v>2.7229000000000001</v>
      </c>
      <c r="T3" s="32">
        <v>43.017400000000002</v>
      </c>
      <c r="U3" s="32">
        <v>3.109</v>
      </c>
      <c r="V3" s="32">
        <v>29.113499999999998</v>
      </c>
      <c r="W3" s="32">
        <v>3.7509000000000001</v>
      </c>
      <c r="X3" s="32">
        <v>7.6002000000000001</v>
      </c>
      <c r="Y3" s="32">
        <v>1128.1600000000001</v>
      </c>
      <c r="Z3" s="32">
        <v>0.74480000000000002</v>
      </c>
      <c r="AA3" s="32">
        <v>1.7681</v>
      </c>
      <c r="AB3" s="32">
        <v>4.3017000000000003</v>
      </c>
    </row>
    <row r="4" spans="1:28" ht="15" customHeight="1" x14ac:dyDescent="0.2">
      <c r="A4" s="33">
        <v>40968</v>
      </c>
      <c r="B4" s="32">
        <v>4.3563999999999998</v>
      </c>
      <c r="C4" s="32">
        <v>0.92920000000000003</v>
      </c>
      <c r="D4" s="32">
        <v>1.7067000000000001</v>
      </c>
      <c r="E4" s="32">
        <v>478.1</v>
      </c>
      <c r="F4" s="32">
        <v>6.3045</v>
      </c>
      <c r="G4" s="32">
        <v>1779.78</v>
      </c>
      <c r="H4" s="32">
        <v>18.590599999999998</v>
      </c>
      <c r="I4" s="32">
        <v>39.136499999999998</v>
      </c>
      <c r="J4" s="32">
        <v>7.7552000000000003</v>
      </c>
      <c r="K4" s="32">
        <v>216.608</v>
      </c>
      <c r="L4" s="32">
        <v>49.470599999999997</v>
      </c>
      <c r="M4" s="32">
        <v>9124.09</v>
      </c>
      <c r="N4" s="32">
        <v>3.7938000000000001</v>
      </c>
      <c r="O4" s="32">
        <v>3.0148999999999999</v>
      </c>
      <c r="P4" s="32">
        <v>12.8728</v>
      </c>
      <c r="Q4" s="32">
        <v>1.1922999999999999</v>
      </c>
      <c r="R4" s="32">
        <v>91.236900000000006</v>
      </c>
      <c r="S4" s="32">
        <v>2.6907000000000001</v>
      </c>
      <c r="T4" s="32">
        <v>42.967399999999998</v>
      </c>
      <c r="U4" s="32">
        <v>3.0935000000000001</v>
      </c>
      <c r="V4" s="32">
        <v>29.022400000000001</v>
      </c>
      <c r="W4" s="32">
        <v>3.7507999999999999</v>
      </c>
      <c r="X4" s="32">
        <v>7.5461</v>
      </c>
      <c r="Y4" s="32">
        <v>1127.27</v>
      </c>
      <c r="Z4" s="32">
        <v>0.74460000000000004</v>
      </c>
      <c r="AA4" s="32">
        <v>1.7611000000000001</v>
      </c>
      <c r="AB4" s="32">
        <v>4.3013000000000003</v>
      </c>
    </row>
    <row r="5" spans="1:28" ht="15" customHeight="1" x14ac:dyDescent="0.2">
      <c r="A5" s="33">
        <v>40969</v>
      </c>
      <c r="B5" s="32">
        <v>4.3581000000000003</v>
      </c>
      <c r="C5" s="32">
        <v>0.92589999999999995</v>
      </c>
      <c r="D5" s="32">
        <v>1.7064999999999999</v>
      </c>
      <c r="E5" s="32">
        <v>476.3</v>
      </c>
      <c r="F5" s="32">
        <v>6.3003</v>
      </c>
      <c r="G5" s="32">
        <v>1778.4</v>
      </c>
      <c r="H5" s="32">
        <v>18.556100000000001</v>
      </c>
      <c r="I5" s="32">
        <v>39.232900000000001</v>
      </c>
      <c r="J5" s="32">
        <v>7.7553999999999998</v>
      </c>
      <c r="K5" s="32">
        <v>215.49700000000001</v>
      </c>
      <c r="L5" s="32">
        <v>49.317100000000003</v>
      </c>
      <c r="M5" s="32">
        <v>9090.91</v>
      </c>
      <c r="N5" s="32">
        <v>3.7810000000000001</v>
      </c>
      <c r="O5" s="32">
        <v>3.0005000000000002</v>
      </c>
      <c r="P5" s="32">
        <v>12.824299999999999</v>
      </c>
      <c r="Q5" s="32">
        <v>1.1883999999999999</v>
      </c>
      <c r="R5" s="32">
        <v>91.396600000000007</v>
      </c>
      <c r="S5" s="32">
        <v>2.6957</v>
      </c>
      <c r="T5" s="32">
        <v>42.87</v>
      </c>
      <c r="U5" s="32">
        <v>3.0735000000000001</v>
      </c>
      <c r="V5" s="32">
        <v>29.082599999999999</v>
      </c>
      <c r="W5" s="32">
        <v>3.7507999999999999</v>
      </c>
      <c r="X5" s="32">
        <v>7.4718</v>
      </c>
      <c r="Y5" s="32">
        <v>1119.57</v>
      </c>
      <c r="Z5" s="32">
        <v>0.74429999999999996</v>
      </c>
      <c r="AA5" s="32">
        <v>1.7493000000000001</v>
      </c>
      <c r="AB5" s="32">
        <v>4.3006000000000002</v>
      </c>
    </row>
    <row r="6" spans="1:28" ht="15" customHeight="1" x14ac:dyDescent="0.2">
      <c r="A6" s="33">
        <v>40970</v>
      </c>
      <c r="B6" s="32">
        <v>4.3564999999999996</v>
      </c>
      <c r="C6" s="32">
        <v>0.92910000000000004</v>
      </c>
      <c r="D6" s="32">
        <v>1.7186999999999999</v>
      </c>
      <c r="E6" s="32">
        <v>483</v>
      </c>
      <c r="F6" s="32">
        <v>6.3041</v>
      </c>
      <c r="G6" s="32">
        <v>1771.61</v>
      </c>
      <c r="H6" s="32">
        <v>18.6692</v>
      </c>
      <c r="I6" s="32">
        <v>39.136699999999998</v>
      </c>
      <c r="J6" s="32">
        <v>7.7558999999999996</v>
      </c>
      <c r="K6" s="32">
        <v>216.43</v>
      </c>
      <c r="L6" s="32">
        <v>49.454500000000003</v>
      </c>
      <c r="M6" s="32">
        <v>9107.4699999999993</v>
      </c>
      <c r="N6" s="32">
        <v>3.7879</v>
      </c>
      <c r="O6" s="32">
        <v>3.004</v>
      </c>
      <c r="P6" s="32">
        <v>12.8277</v>
      </c>
      <c r="Q6" s="32">
        <v>1.1960999999999999</v>
      </c>
      <c r="R6" s="32">
        <v>91.180499999999995</v>
      </c>
      <c r="S6" s="32">
        <v>2.6825999999999999</v>
      </c>
      <c r="T6" s="32">
        <v>42.883800000000001</v>
      </c>
      <c r="U6" s="32">
        <v>3.0918999999999999</v>
      </c>
      <c r="V6" s="32">
        <v>29.247199999999999</v>
      </c>
      <c r="W6" s="32">
        <v>3.7507999999999999</v>
      </c>
      <c r="X6" s="32">
        <v>7.4832000000000001</v>
      </c>
      <c r="Y6" s="32">
        <v>1118.94</v>
      </c>
      <c r="Z6" s="32">
        <v>0.75039999999999996</v>
      </c>
      <c r="AA6" s="32">
        <v>1.7524999999999999</v>
      </c>
      <c r="AB6" s="32">
        <v>4.3022</v>
      </c>
    </row>
    <row r="7" spans="1:28" ht="15" customHeight="1" x14ac:dyDescent="0.2">
      <c r="A7" s="33">
        <v>40971</v>
      </c>
      <c r="B7" s="32">
        <v>4.3476999999999997</v>
      </c>
      <c r="C7" s="32">
        <v>0.92810000000000004</v>
      </c>
      <c r="D7" s="32">
        <v>1.7217</v>
      </c>
      <c r="E7" s="32">
        <v>485.25</v>
      </c>
      <c r="F7" s="32">
        <v>6.3029999999999999</v>
      </c>
      <c r="G7" s="32">
        <v>1776.46</v>
      </c>
      <c r="H7" s="32">
        <v>18.679400000000001</v>
      </c>
      <c r="I7" s="32">
        <v>39.168199999999999</v>
      </c>
      <c r="J7" s="32">
        <v>7.7575000000000003</v>
      </c>
      <c r="K7" s="32">
        <v>217.733</v>
      </c>
      <c r="L7" s="32">
        <v>49.6828</v>
      </c>
      <c r="M7" s="32">
        <v>9132.42</v>
      </c>
      <c r="N7" s="32">
        <v>3.7978999999999998</v>
      </c>
      <c r="O7" s="32">
        <v>3.0030000000000001</v>
      </c>
      <c r="P7" s="32">
        <v>12.7624</v>
      </c>
      <c r="Q7" s="32">
        <v>1.1979</v>
      </c>
      <c r="R7" s="32">
        <v>91.260099999999994</v>
      </c>
      <c r="S7" s="32">
        <v>2.6838000000000002</v>
      </c>
      <c r="T7" s="32">
        <v>42.821599999999997</v>
      </c>
      <c r="U7" s="32">
        <v>3.0994000000000002</v>
      </c>
      <c r="V7" s="32">
        <v>29.281600000000001</v>
      </c>
      <c r="W7" s="32">
        <v>3.7507999999999999</v>
      </c>
      <c r="X7" s="32">
        <v>7.4874999999999998</v>
      </c>
      <c r="Y7" s="32">
        <v>1116.45</v>
      </c>
      <c r="Z7" s="32">
        <v>0.75409999999999999</v>
      </c>
      <c r="AA7" s="32">
        <v>1.7616000000000001</v>
      </c>
      <c r="AB7" s="32">
        <v>4.3018999999999998</v>
      </c>
    </row>
    <row r="8" spans="1:28" ht="15" customHeight="1" x14ac:dyDescent="0.2">
      <c r="A8" s="33">
        <v>40972</v>
      </c>
      <c r="B8" s="32">
        <v>4.3606999999999996</v>
      </c>
      <c r="C8" s="32">
        <v>0.93210000000000004</v>
      </c>
      <c r="D8" s="32">
        <v>1.7326999999999999</v>
      </c>
      <c r="E8" s="32">
        <v>485.25</v>
      </c>
      <c r="F8" s="32">
        <v>6.3232999999999997</v>
      </c>
      <c r="G8" s="32">
        <v>1791.36</v>
      </c>
      <c r="H8" s="32">
        <v>18.769300000000001</v>
      </c>
      <c r="I8" s="32">
        <v>39.332500000000003</v>
      </c>
      <c r="J8" s="32">
        <v>7.7602000000000002</v>
      </c>
      <c r="K8" s="32">
        <v>221.542</v>
      </c>
      <c r="L8" s="32">
        <v>50.225000000000001</v>
      </c>
      <c r="M8" s="32">
        <v>9107.4699999999993</v>
      </c>
      <c r="N8" s="32">
        <v>3.8136999999999999</v>
      </c>
      <c r="O8" s="32">
        <v>3.0217000000000001</v>
      </c>
      <c r="P8" s="32">
        <v>12.780200000000001</v>
      </c>
      <c r="Q8" s="32">
        <v>1.2067000000000001</v>
      </c>
      <c r="R8" s="32">
        <v>91.645099999999999</v>
      </c>
      <c r="S8" s="32">
        <v>2.7038000000000002</v>
      </c>
      <c r="T8" s="32">
        <v>42.849299999999999</v>
      </c>
      <c r="U8" s="32">
        <v>3.1315</v>
      </c>
      <c r="V8" s="32">
        <v>29.645299999999999</v>
      </c>
      <c r="W8" s="32">
        <v>3.7515000000000001</v>
      </c>
      <c r="X8" s="32">
        <v>7.5712999999999999</v>
      </c>
      <c r="Y8" s="32">
        <v>1116.45</v>
      </c>
      <c r="Z8" s="32">
        <v>0.75800000000000001</v>
      </c>
      <c r="AA8" s="32">
        <v>1.7694000000000001</v>
      </c>
      <c r="AB8" s="32">
        <v>4.2996999999999996</v>
      </c>
    </row>
    <row r="9" spans="1:28" ht="15" customHeight="1" x14ac:dyDescent="0.2">
      <c r="A9" s="33">
        <v>40973</v>
      </c>
      <c r="B9" s="32">
        <v>4.367</v>
      </c>
      <c r="C9" s="32">
        <v>0.93210000000000004</v>
      </c>
      <c r="D9" s="32">
        <v>1.7350000000000001</v>
      </c>
      <c r="E9" s="32">
        <v>485.25</v>
      </c>
      <c r="F9" s="32">
        <v>6.3232999999999997</v>
      </c>
      <c r="G9" s="32">
        <v>1812.1</v>
      </c>
      <c r="H9" s="32">
        <v>18.7775</v>
      </c>
      <c r="I9" s="32">
        <v>39.680999999999997</v>
      </c>
      <c r="J9" s="32">
        <v>7.7603</v>
      </c>
      <c r="K9" s="32">
        <v>219.45500000000001</v>
      </c>
      <c r="L9" s="32">
        <v>50.225000000000001</v>
      </c>
      <c r="M9" s="32">
        <v>9107.4699999999993</v>
      </c>
      <c r="N9" s="32">
        <v>3.8068</v>
      </c>
      <c r="O9" s="32">
        <v>3.0274999999999999</v>
      </c>
      <c r="P9" s="32">
        <v>12.781700000000001</v>
      </c>
      <c r="Q9" s="32">
        <v>1.2065999999999999</v>
      </c>
      <c r="R9" s="32">
        <v>92.491399999999999</v>
      </c>
      <c r="S9" s="32">
        <v>2.7435</v>
      </c>
      <c r="T9" s="32">
        <v>42.861800000000002</v>
      </c>
      <c r="U9" s="32">
        <v>3.1316000000000002</v>
      </c>
      <c r="V9" s="32">
        <v>29.648800000000001</v>
      </c>
      <c r="W9" s="32">
        <v>3.7515000000000001</v>
      </c>
      <c r="X9" s="32">
        <v>7.5682</v>
      </c>
      <c r="Y9" s="32">
        <v>1130.97</v>
      </c>
      <c r="Z9" s="32">
        <v>0.75800000000000001</v>
      </c>
      <c r="AA9" s="32">
        <v>1.7694000000000001</v>
      </c>
      <c r="AB9" s="32">
        <v>4.2996999999999996</v>
      </c>
    </row>
    <row r="10" spans="1:28" ht="15" customHeight="1" x14ac:dyDescent="0.2">
      <c r="A10" s="33">
        <v>40974</v>
      </c>
      <c r="B10" s="32">
        <v>4.3372000000000002</v>
      </c>
      <c r="C10" s="32">
        <v>0.93479999999999996</v>
      </c>
      <c r="D10" s="32">
        <v>1.736</v>
      </c>
      <c r="E10" s="32">
        <v>486.5</v>
      </c>
      <c r="F10" s="32">
        <v>6.3122999999999996</v>
      </c>
      <c r="G10" s="32">
        <v>1800.04</v>
      </c>
      <c r="H10" s="32">
        <v>18.775200000000002</v>
      </c>
      <c r="I10" s="32">
        <v>39.481699999999996</v>
      </c>
      <c r="J10" s="32">
        <v>7.7619999999999996</v>
      </c>
      <c r="K10" s="32">
        <v>220.52799999999999</v>
      </c>
      <c r="L10" s="32">
        <v>50.076700000000002</v>
      </c>
      <c r="M10" s="32">
        <v>9140.77</v>
      </c>
      <c r="N10" s="32">
        <v>3.8048000000000002</v>
      </c>
      <c r="O10" s="32">
        <v>3.0150999999999999</v>
      </c>
      <c r="P10" s="32">
        <v>12.808199999999999</v>
      </c>
      <c r="Q10" s="32">
        <v>1.2118</v>
      </c>
      <c r="R10" s="32">
        <v>91.996200000000002</v>
      </c>
      <c r="S10" s="32">
        <v>2.7208000000000001</v>
      </c>
      <c r="T10" s="32">
        <v>42.882800000000003</v>
      </c>
      <c r="U10" s="32">
        <v>3.125</v>
      </c>
      <c r="V10" s="32">
        <v>29.3459</v>
      </c>
      <c r="W10" s="32">
        <v>3.7507999999999999</v>
      </c>
      <c r="X10" s="32">
        <v>7.5503</v>
      </c>
      <c r="Y10" s="32">
        <v>1126.8900000000001</v>
      </c>
      <c r="Z10" s="32">
        <v>0.75739999999999996</v>
      </c>
      <c r="AA10" s="32">
        <v>1.7715000000000001</v>
      </c>
      <c r="AB10" s="32">
        <v>4.3022</v>
      </c>
    </row>
    <row r="11" spans="1:28" ht="15" customHeight="1" x14ac:dyDescent="0.2">
      <c r="A11" s="33">
        <v>40975</v>
      </c>
      <c r="B11" s="32">
        <v>4.3369</v>
      </c>
      <c r="C11" s="32">
        <v>0.94289999999999996</v>
      </c>
      <c r="D11" s="32">
        <v>1.7488999999999999</v>
      </c>
      <c r="E11" s="32">
        <v>492.9</v>
      </c>
      <c r="F11" s="32">
        <v>6.3186</v>
      </c>
      <c r="G11" s="32">
        <v>1781.54</v>
      </c>
      <c r="H11" s="32">
        <v>18.9072</v>
      </c>
      <c r="I11" s="32">
        <v>39.190600000000003</v>
      </c>
      <c r="J11" s="32">
        <v>7.7630999999999997</v>
      </c>
      <c r="K11" s="32">
        <v>223.19300000000001</v>
      </c>
      <c r="L11" s="32">
        <v>50.427300000000002</v>
      </c>
      <c r="M11" s="32">
        <v>9174.31</v>
      </c>
      <c r="N11" s="32">
        <v>3.8081999999999998</v>
      </c>
      <c r="O11" s="32">
        <v>3.0249000000000001</v>
      </c>
      <c r="P11" s="32">
        <v>12.9099</v>
      </c>
      <c r="Q11" s="32">
        <v>1.2266999999999999</v>
      </c>
      <c r="R11" s="32">
        <v>91.272499999999994</v>
      </c>
      <c r="S11" s="32">
        <v>2.6865000000000001</v>
      </c>
      <c r="T11" s="32">
        <v>43.0533</v>
      </c>
      <c r="U11" s="32">
        <v>3.1543999999999999</v>
      </c>
      <c r="V11" s="32">
        <v>29.5184</v>
      </c>
      <c r="W11" s="32">
        <v>3.7507999999999999</v>
      </c>
      <c r="X11" s="32">
        <v>7.6109999999999998</v>
      </c>
      <c r="Y11" s="32">
        <v>1124.0999999999999</v>
      </c>
      <c r="Z11" s="32">
        <v>0.75929999999999997</v>
      </c>
      <c r="AA11" s="32">
        <v>1.7831999999999999</v>
      </c>
      <c r="AB11" s="32">
        <v>4.3015999999999996</v>
      </c>
    </row>
    <row r="12" spans="1:28" ht="15" customHeight="1" x14ac:dyDescent="0.2">
      <c r="A12" s="33">
        <v>40976</v>
      </c>
      <c r="B12" s="32">
        <v>4.3372000000000002</v>
      </c>
      <c r="C12" s="32">
        <v>0.94720000000000004</v>
      </c>
      <c r="D12" s="32">
        <v>1.7653000000000001</v>
      </c>
      <c r="E12" s="32">
        <v>492.9</v>
      </c>
      <c r="F12" s="32">
        <v>6.3231999999999999</v>
      </c>
      <c r="G12" s="32">
        <v>1784.99</v>
      </c>
      <c r="H12" s="32">
        <v>18.951000000000001</v>
      </c>
      <c r="I12" s="32">
        <v>39.194200000000002</v>
      </c>
      <c r="J12" s="32">
        <v>7.7634999999999996</v>
      </c>
      <c r="K12" s="32">
        <v>225.09800000000001</v>
      </c>
      <c r="L12" s="32">
        <v>50.680300000000003</v>
      </c>
      <c r="M12" s="32">
        <v>9182.74</v>
      </c>
      <c r="N12" s="32">
        <v>3.8138999999999998</v>
      </c>
      <c r="O12" s="32">
        <v>3.0268000000000002</v>
      </c>
      <c r="P12" s="32">
        <v>12.9765</v>
      </c>
      <c r="Q12" s="32">
        <v>1.2249000000000001</v>
      </c>
      <c r="R12" s="32">
        <v>91.213999999999999</v>
      </c>
      <c r="S12" s="32">
        <v>2.6827999999999999</v>
      </c>
      <c r="T12" s="32">
        <v>43.042999999999999</v>
      </c>
      <c r="U12" s="32">
        <v>3.1722999999999999</v>
      </c>
      <c r="V12" s="32">
        <v>29.6861</v>
      </c>
      <c r="W12" s="32">
        <v>3.7507999999999999</v>
      </c>
      <c r="X12" s="32">
        <v>7.6459000000000001</v>
      </c>
      <c r="Y12" s="32">
        <v>1124.99</v>
      </c>
      <c r="Z12" s="32">
        <v>0.76139999999999997</v>
      </c>
      <c r="AA12" s="32">
        <v>1.7886</v>
      </c>
      <c r="AB12" s="32">
        <v>4.3041</v>
      </c>
    </row>
    <row r="13" spans="1:28" ht="15" customHeight="1" x14ac:dyDescent="0.2">
      <c r="A13" s="33">
        <v>40977</v>
      </c>
      <c r="B13" s="32">
        <v>4.3395000000000001</v>
      </c>
      <c r="C13" s="32">
        <v>0.94240000000000002</v>
      </c>
      <c r="D13" s="32">
        <v>1.7696000000000001</v>
      </c>
      <c r="E13" s="32">
        <v>484.15</v>
      </c>
      <c r="F13" s="32">
        <v>6.3212999999999999</v>
      </c>
      <c r="G13" s="32">
        <v>1773.1</v>
      </c>
      <c r="H13" s="32">
        <v>18.807300000000001</v>
      </c>
      <c r="I13" s="32">
        <v>39.161000000000001</v>
      </c>
      <c r="J13" s="32">
        <v>7.7603</v>
      </c>
      <c r="K13" s="32">
        <v>223.059</v>
      </c>
      <c r="L13" s="32">
        <v>50.307299999999998</v>
      </c>
      <c r="M13" s="32">
        <v>9149.1299999999992</v>
      </c>
      <c r="N13" s="32">
        <v>3.7932000000000001</v>
      </c>
      <c r="O13" s="32">
        <v>3.0175000000000001</v>
      </c>
      <c r="P13" s="32">
        <v>12.8256</v>
      </c>
      <c r="Q13" s="32">
        <v>1.2178</v>
      </c>
      <c r="R13" s="32">
        <v>91.184100000000001</v>
      </c>
      <c r="S13" s="32">
        <v>2.6814</v>
      </c>
      <c r="T13" s="32">
        <v>42.755499999999998</v>
      </c>
      <c r="U13" s="32">
        <v>3.1307</v>
      </c>
      <c r="V13" s="32">
        <v>29.500800000000002</v>
      </c>
      <c r="W13" s="32">
        <v>3.7507999999999999</v>
      </c>
      <c r="X13" s="32">
        <v>7.5633999999999997</v>
      </c>
      <c r="Y13" s="32">
        <v>1119.32</v>
      </c>
      <c r="Z13" s="32">
        <v>0.75749999999999995</v>
      </c>
      <c r="AA13" s="32">
        <v>1.7787999999999999</v>
      </c>
      <c r="AB13" s="32">
        <v>4.3021000000000003</v>
      </c>
    </row>
    <row r="14" spans="1:28" ht="15" customHeight="1" x14ac:dyDescent="0.2">
      <c r="A14" s="33">
        <v>40978</v>
      </c>
      <c r="B14" s="32">
        <v>4.3407</v>
      </c>
      <c r="C14" s="32">
        <v>0.9415</v>
      </c>
      <c r="D14" s="32">
        <v>1.7714000000000001</v>
      </c>
      <c r="E14" s="32">
        <v>484.6</v>
      </c>
      <c r="F14" s="32">
        <v>6.3179999999999996</v>
      </c>
      <c r="G14" s="32">
        <v>1769.74</v>
      </c>
      <c r="H14" s="32">
        <v>18.749300000000002</v>
      </c>
      <c r="I14" s="32">
        <v>39.151000000000003</v>
      </c>
      <c r="J14" s="32">
        <v>7.7575000000000003</v>
      </c>
      <c r="K14" s="32">
        <v>221.941</v>
      </c>
      <c r="L14" s="32">
        <v>50.069200000000002</v>
      </c>
      <c r="M14" s="32">
        <v>9157.51</v>
      </c>
      <c r="N14" s="32">
        <v>3.7852999999999999</v>
      </c>
      <c r="O14" s="32">
        <v>3.0110999999999999</v>
      </c>
      <c r="P14" s="32">
        <v>12.687099999999999</v>
      </c>
      <c r="Q14" s="32">
        <v>1.214</v>
      </c>
      <c r="R14" s="32">
        <v>91.080100000000002</v>
      </c>
      <c r="S14" s="32">
        <v>2.6774</v>
      </c>
      <c r="T14" s="32">
        <v>42.656199999999998</v>
      </c>
      <c r="U14" s="32">
        <v>3.1078000000000001</v>
      </c>
      <c r="V14" s="32">
        <v>29.401499999999999</v>
      </c>
      <c r="W14" s="32">
        <v>3.7507000000000001</v>
      </c>
      <c r="X14" s="32">
        <v>7.5170000000000003</v>
      </c>
      <c r="Y14" s="32">
        <v>1118.07</v>
      </c>
      <c r="Z14" s="32">
        <v>0.75719999999999998</v>
      </c>
      <c r="AA14" s="32">
        <v>1.7827999999999999</v>
      </c>
      <c r="AB14" s="32">
        <v>4.3019999999999996</v>
      </c>
    </row>
    <row r="15" spans="1:28" ht="15" customHeight="1" x14ac:dyDescent="0.2">
      <c r="A15" s="33">
        <v>40979</v>
      </c>
      <c r="B15" s="32">
        <v>4.3425000000000002</v>
      </c>
      <c r="C15" s="32">
        <v>0.94589999999999996</v>
      </c>
      <c r="D15" s="32">
        <v>1.7924</v>
      </c>
      <c r="E15" s="32">
        <v>484.6</v>
      </c>
      <c r="F15" s="32">
        <v>6.3365</v>
      </c>
      <c r="G15" s="32">
        <v>1763</v>
      </c>
      <c r="H15" s="32">
        <v>18.771999999999998</v>
      </c>
      <c r="I15" s="32">
        <v>39.1</v>
      </c>
      <c r="J15" s="32">
        <v>7.7592999999999996</v>
      </c>
      <c r="K15" s="32">
        <v>223.00399999999999</v>
      </c>
      <c r="L15" s="32">
        <v>50.335000000000001</v>
      </c>
      <c r="M15" s="32">
        <v>9157.51</v>
      </c>
      <c r="N15" s="32">
        <v>3.7978999999999998</v>
      </c>
      <c r="O15" s="32">
        <v>3.0127999999999999</v>
      </c>
      <c r="P15" s="32">
        <v>12.663500000000001</v>
      </c>
      <c r="Q15" s="32">
        <v>1.218</v>
      </c>
      <c r="R15" s="32">
        <v>90.85</v>
      </c>
      <c r="S15" s="32">
        <v>2.6680000000000001</v>
      </c>
      <c r="T15" s="32">
        <v>42.65</v>
      </c>
      <c r="U15" s="32">
        <v>3.1181999999999999</v>
      </c>
      <c r="V15" s="32">
        <v>29.5611</v>
      </c>
      <c r="W15" s="32">
        <v>3.7515000000000001</v>
      </c>
      <c r="X15" s="32">
        <v>7.6182999999999996</v>
      </c>
      <c r="Y15" s="32">
        <v>1118.07</v>
      </c>
      <c r="Z15" s="32">
        <v>0.76229999999999998</v>
      </c>
      <c r="AA15" s="32">
        <v>1.7889999999999999</v>
      </c>
      <c r="AB15" s="32">
        <v>4.2996999999999996</v>
      </c>
    </row>
    <row r="16" spans="1:28" ht="15" customHeight="1" x14ac:dyDescent="0.2">
      <c r="A16" s="33">
        <v>40980</v>
      </c>
      <c r="B16" s="32">
        <v>4.3425000000000002</v>
      </c>
      <c r="C16" s="32">
        <v>0.94610000000000005</v>
      </c>
      <c r="D16" s="32">
        <v>1.7924</v>
      </c>
      <c r="E16" s="32">
        <v>484.6</v>
      </c>
      <c r="F16" s="32">
        <v>6.3365</v>
      </c>
      <c r="G16" s="32">
        <v>1763</v>
      </c>
      <c r="H16" s="32">
        <v>18.77</v>
      </c>
      <c r="I16" s="32">
        <v>39.1</v>
      </c>
      <c r="J16" s="32">
        <v>7.7591999999999999</v>
      </c>
      <c r="K16" s="32">
        <v>223.01</v>
      </c>
      <c r="L16" s="32">
        <v>50.335000000000001</v>
      </c>
      <c r="M16" s="32">
        <v>9149.1299999999992</v>
      </c>
      <c r="N16" s="32">
        <v>3.7997999999999998</v>
      </c>
      <c r="O16" s="32">
        <v>3.0127999999999999</v>
      </c>
      <c r="P16" s="32">
        <v>12.6632</v>
      </c>
      <c r="Q16" s="32">
        <v>1.2181999999999999</v>
      </c>
      <c r="R16" s="32">
        <v>90.85</v>
      </c>
      <c r="S16" s="32">
        <v>2.6680000000000001</v>
      </c>
      <c r="T16" s="32">
        <v>42.65</v>
      </c>
      <c r="U16" s="32">
        <v>3.1179000000000001</v>
      </c>
      <c r="V16" s="32">
        <v>29.455200000000001</v>
      </c>
      <c r="W16" s="32">
        <v>3.7515000000000001</v>
      </c>
      <c r="X16" s="32">
        <v>7.6192000000000002</v>
      </c>
      <c r="Y16" s="32">
        <v>1118.07</v>
      </c>
      <c r="Z16" s="32">
        <v>0.76229999999999998</v>
      </c>
      <c r="AA16" s="32">
        <v>1.7889999999999999</v>
      </c>
      <c r="AB16" s="32">
        <v>4.2996999999999996</v>
      </c>
    </row>
    <row r="17" spans="1:28" ht="15" customHeight="1" x14ac:dyDescent="0.2">
      <c r="A17" s="33">
        <v>40981</v>
      </c>
      <c r="B17" s="32">
        <v>4.3475999999999999</v>
      </c>
      <c r="C17" s="32">
        <v>0.95040000000000002</v>
      </c>
      <c r="D17" s="32">
        <v>1.8011999999999999</v>
      </c>
      <c r="E17" s="32">
        <v>486.2</v>
      </c>
      <c r="F17" s="32">
        <v>6.3308999999999997</v>
      </c>
      <c r="G17" s="32">
        <v>1767.47</v>
      </c>
      <c r="H17" s="32">
        <v>18.7837</v>
      </c>
      <c r="I17" s="32">
        <v>39.145699999999998</v>
      </c>
      <c r="J17" s="32">
        <v>7.7583000000000002</v>
      </c>
      <c r="K17" s="32">
        <v>223.43700000000001</v>
      </c>
      <c r="L17" s="32">
        <v>50.175800000000002</v>
      </c>
      <c r="M17" s="32">
        <v>9182.74</v>
      </c>
      <c r="N17" s="32">
        <v>3.7934999999999999</v>
      </c>
      <c r="O17" s="32">
        <v>3.0255000000000001</v>
      </c>
      <c r="P17" s="32">
        <v>12.6904</v>
      </c>
      <c r="Q17" s="32">
        <v>1.2235</v>
      </c>
      <c r="R17" s="32">
        <v>90.943799999999996</v>
      </c>
      <c r="S17" s="32">
        <v>2.6751</v>
      </c>
      <c r="T17" s="32">
        <v>42.710999999999999</v>
      </c>
      <c r="U17" s="32">
        <v>3.1307999999999998</v>
      </c>
      <c r="V17" s="32">
        <v>29.5777</v>
      </c>
      <c r="W17" s="32">
        <v>3.7507999999999999</v>
      </c>
      <c r="X17" s="32">
        <v>7.5808</v>
      </c>
      <c r="Y17" s="32">
        <v>1122.96</v>
      </c>
      <c r="Z17" s="32">
        <v>0.76239999999999997</v>
      </c>
      <c r="AA17" s="32">
        <v>1.7935000000000001</v>
      </c>
      <c r="AB17" s="32">
        <v>4.3018999999999998</v>
      </c>
    </row>
    <row r="18" spans="1:28" ht="15" customHeight="1" x14ac:dyDescent="0.2">
      <c r="A18" s="33">
        <v>40982</v>
      </c>
      <c r="B18" s="32">
        <v>4.3502999999999998</v>
      </c>
      <c r="C18" s="32">
        <v>0.94969999999999999</v>
      </c>
      <c r="D18" s="32">
        <v>1.8029999999999999</v>
      </c>
      <c r="E18" s="32">
        <v>487.2</v>
      </c>
      <c r="F18" s="32">
        <v>6.3365</v>
      </c>
      <c r="G18" s="32">
        <v>1768.06</v>
      </c>
      <c r="H18" s="32">
        <v>18.723500000000001</v>
      </c>
      <c r="I18" s="32">
        <v>39.113700000000001</v>
      </c>
      <c r="J18" s="32">
        <v>7.7596999999999996</v>
      </c>
      <c r="K18" s="32">
        <v>223.47900000000001</v>
      </c>
      <c r="L18" s="32">
        <v>50.642400000000002</v>
      </c>
      <c r="M18" s="32">
        <v>9191.18</v>
      </c>
      <c r="N18" s="32">
        <v>3.7778</v>
      </c>
      <c r="O18" s="32">
        <v>3.0310000000000001</v>
      </c>
      <c r="P18" s="32">
        <v>12.6485</v>
      </c>
      <c r="Q18" s="32">
        <v>1.2177</v>
      </c>
      <c r="R18" s="32">
        <v>90.850899999999996</v>
      </c>
      <c r="S18" s="32">
        <v>2.6717</v>
      </c>
      <c r="T18" s="32">
        <v>42.780700000000003</v>
      </c>
      <c r="U18" s="32">
        <v>3.1358999999999999</v>
      </c>
      <c r="V18" s="32">
        <v>29.555900000000001</v>
      </c>
      <c r="W18" s="32">
        <v>3.7509000000000001</v>
      </c>
      <c r="X18" s="32">
        <v>7.5545</v>
      </c>
      <c r="Y18" s="32">
        <v>1124.48</v>
      </c>
      <c r="Z18" s="32">
        <v>0.76160000000000005</v>
      </c>
      <c r="AA18" s="32">
        <v>1.7934000000000001</v>
      </c>
      <c r="AB18" s="32">
        <v>4.3026</v>
      </c>
    </row>
    <row r="19" spans="1:28" ht="15" customHeight="1" x14ac:dyDescent="0.2">
      <c r="A19" s="33">
        <v>40983</v>
      </c>
      <c r="B19" s="32">
        <v>4.3529</v>
      </c>
      <c r="C19" s="32">
        <v>0.95279999999999998</v>
      </c>
      <c r="D19" s="32">
        <v>1.8042</v>
      </c>
      <c r="E19" s="32">
        <v>486.2</v>
      </c>
      <c r="F19" s="32">
        <v>6.3479999999999999</v>
      </c>
      <c r="G19" s="32">
        <v>1762.97</v>
      </c>
      <c r="H19" s="32">
        <v>18.852499999999999</v>
      </c>
      <c r="I19" s="32">
        <v>39.084299999999999</v>
      </c>
      <c r="J19" s="32">
        <v>7.7614999999999998</v>
      </c>
      <c r="K19" s="32">
        <v>223.74799999999999</v>
      </c>
      <c r="L19" s="32">
        <v>51.123800000000003</v>
      </c>
      <c r="M19" s="32">
        <v>9199.6299999999992</v>
      </c>
      <c r="N19" s="32">
        <v>3.7850000000000001</v>
      </c>
      <c r="O19" s="32">
        <v>3.0482999999999998</v>
      </c>
      <c r="P19" s="32">
        <v>12.620699999999999</v>
      </c>
      <c r="Q19" s="32">
        <v>1.2263999999999999</v>
      </c>
      <c r="R19" s="32">
        <v>90.864599999999996</v>
      </c>
      <c r="S19" s="32">
        <v>2.6797</v>
      </c>
      <c r="T19" s="32">
        <v>42.945300000000003</v>
      </c>
      <c r="U19" s="32">
        <v>3.1697000000000002</v>
      </c>
      <c r="V19" s="32">
        <v>29.505700000000001</v>
      </c>
      <c r="W19" s="32">
        <v>3.7507999999999999</v>
      </c>
      <c r="X19" s="32">
        <v>7.6031000000000004</v>
      </c>
      <c r="Y19" s="32">
        <v>1128.29</v>
      </c>
      <c r="Z19" s="32">
        <v>0.76600000000000001</v>
      </c>
      <c r="AA19" s="32">
        <v>1.7969999999999999</v>
      </c>
      <c r="AB19" s="32">
        <v>4.3022999999999998</v>
      </c>
    </row>
    <row r="20" spans="1:28" ht="15" customHeight="1" x14ac:dyDescent="0.2">
      <c r="A20" s="33">
        <v>40984</v>
      </c>
      <c r="B20" s="32">
        <v>4.3562000000000003</v>
      </c>
      <c r="C20" s="32">
        <v>0.9536</v>
      </c>
      <c r="D20" s="32">
        <v>1.8058000000000001</v>
      </c>
      <c r="E20" s="32">
        <v>483.4</v>
      </c>
      <c r="F20" s="32">
        <v>6.3428000000000004</v>
      </c>
      <c r="G20" s="32">
        <v>1767.82</v>
      </c>
      <c r="H20" s="32">
        <v>18.8611</v>
      </c>
      <c r="I20" s="32">
        <v>39.151800000000001</v>
      </c>
      <c r="J20" s="32">
        <v>7.7621000000000002</v>
      </c>
      <c r="K20" s="32">
        <v>223.989</v>
      </c>
      <c r="L20" s="32">
        <v>51.386200000000002</v>
      </c>
      <c r="M20" s="32">
        <v>9208.1</v>
      </c>
      <c r="N20" s="32">
        <v>3.7884000000000002</v>
      </c>
      <c r="O20" s="32">
        <v>3.0608</v>
      </c>
      <c r="P20" s="32">
        <v>12.7</v>
      </c>
      <c r="Q20" s="32">
        <v>1.2292000000000001</v>
      </c>
      <c r="R20" s="32">
        <v>90.932900000000004</v>
      </c>
      <c r="S20" s="32">
        <v>2.6764999999999999</v>
      </c>
      <c r="T20" s="32">
        <v>43.125599999999999</v>
      </c>
      <c r="U20" s="32">
        <v>3.1762000000000001</v>
      </c>
      <c r="V20" s="32">
        <v>29.5169</v>
      </c>
      <c r="W20" s="32">
        <v>3.7507999999999999</v>
      </c>
      <c r="X20" s="32">
        <v>7.67</v>
      </c>
      <c r="Y20" s="32">
        <v>1128.54</v>
      </c>
      <c r="Z20" s="32">
        <v>0.76619999999999999</v>
      </c>
      <c r="AA20" s="32">
        <v>1.8050999999999999</v>
      </c>
      <c r="AB20" s="32">
        <v>4.3019999999999996</v>
      </c>
    </row>
    <row r="21" spans="1:28" ht="15" customHeight="1" x14ac:dyDescent="0.2">
      <c r="A21" s="33">
        <v>40985</v>
      </c>
      <c r="B21" s="32">
        <v>4.3570000000000002</v>
      </c>
      <c r="C21" s="32">
        <v>0.94810000000000005</v>
      </c>
      <c r="D21" s="32">
        <v>1.8028</v>
      </c>
      <c r="E21" s="32">
        <v>483.5</v>
      </c>
      <c r="F21" s="32">
        <v>6.3334999999999999</v>
      </c>
      <c r="G21" s="32">
        <v>1764.61</v>
      </c>
      <c r="H21" s="32">
        <v>18.7241</v>
      </c>
      <c r="I21" s="32">
        <v>39.18</v>
      </c>
      <c r="J21" s="32">
        <v>7.7628000000000004</v>
      </c>
      <c r="K21" s="32">
        <v>222.03800000000001</v>
      </c>
      <c r="L21" s="32">
        <v>51.392299999999999</v>
      </c>
      <c r="M21" s="32">
        <v>9165.9</v>
      </c>
      <c r="N21" s="32">
        <v>3.7688999999999999</v>
      </c>
      <c r="O21" s="32">
        <v>3.0589</v>
      </c>
      <c r="P21" s="32">
        <v>12.6746</v>
      </c>
      <c r="Q21" s="32">
        <v>1.2176</v>
      </c>
      <c r="R21" s="32">
        <v>90.957800000000006</v>
      </c>
      <c r="S21" s="32">
        <v>2.6785000000000001</v>
      </c>
      <c r="T21" s="32">
        <v>43.112299999999998</v>
      </c>
      <c r="U21" s="32">
        <v>3.1474000000000002</v>
      </c>
      <c r="V21" s="32">
        <v>29.3626</v>
      </c>
      <c r="W21" s="32">
        <v>3.7509000000000001</v>
      </c>
      <c r="X21" s="32">
        <v>7.6176000000000004</v>
      </c>
      <c r="Y21" s="32">
        <v>1126.51</v>
      </c>
      <c r="Z21" s="32">
        <v>0.76290000000000002</v>
      </c>
      <c r="AA21" s="32">
        <v>1.7979000000000001</v>
      </c>
      <c r="AB21" s="32">
        <v>4.3021000000000003</v>
      </c>
    </row>
    <row r="22" spans="1:28" ht="15" customHeight="1" x14ac:dyDescent="0.2">
      <c r="A22" s="33">
        <v>40986</v>
      </c>
      <c r="B22" s="32">
        <v>4.3525</v>
      </c>
      <c r="C22" s="32">
        <v>0.94479999999999997</v>
      </c>
      <c r="D22" s="32">
        <v>1.8038000000000001</v>
      </c>
      <c r="E22" s="32">
        <v>483.5</v>
      </c>
      <c r="F22" s="32">
        <v>6.3490000000000002</v>
      </c>
      <c r="G22" s="32">
        <v>1768.68</v>
      </c>
      <c r="H22" s="32">
        <v>18.6236</v>
      </c>
      <c r="I22" s="32">
        <v>39.1755</v>
      </c>
      <c r="J22" s="32">
        <v>7.7645999999999997</v>
      </c>
      <c r="K22" s="32">
        <v>220.3</v>
      </c>
      <c r="L22" s="32">
        <v>51.7</v>
      </c>
      <c r="M22" s="32">
        <v>9140.77</v>
      </c>
      <c r="N22" s="32">
        <v>3.7604000000000002</v>
      </c>
      <c r="O22" s="32">
        <v>3.0602999999999998</v>
      </c>
      <c r="P22" s="32">
        <v>12.690799999999999</v>
      </c>
      <c r="Q22" s="32">
        <v>1.2137</v>
      </c>
      <c r="R22" s="32">
        <v>90.884699999999995</v>
      </c>
      <c r="S22" s="32">
        <v>2.6859999999999999</v>
      </c>
      <c r="T22" s="32">
        <v>43.091200000000001</v>
      </c>
      <c r="U22" s="32">
        <v>3.1292</v>
      </c>
      <c r="V22" s="32">
        <v>29.299099999999999</v>
      </c>
      <c r="W22" s="32">
        <v>3.7517</v>
      </c>
      <c r="X22" s="32">
        <v>7.6083999999999996</v>
      </c>
      <c r="Y22" s="32">
        <v>1127.01</v>
      </c>
      <c r="Z22" s="32">
        <v>0.75929999999999997</v>
      </c>
      <c r="AA22" s="32">
        <v>1.7968999999999999</v>
      </c>
      <c r="AB22" s="32">
        <v>4.3</v>
      </c>
    </row>
    <row r="23" spans="1:28" ht="15" customHeight="1" x14ac:dyDescent="0.2">
      <c r="A23" s="33">
        <v>40987</v>
      </c>
      <c r="B23" s="32">
        <v>4.3525</v>
      </c>
      <c r="C23" s="32">
        <v>0.94479999999999997</v>
      </c>
      <c r="D23" s="32">
        <v>1.8010999999999999</v>
      </c>
      <c r="E23" s="32">
        <v>483.5</v>
      </c>
      <c r="F23" s="32">
        <v>6.3490000000000002</v>
      </c>
      <c r="G23" s="32">
        <v>1784.8</v>
      </c>
      <c r="H23" s="32">
        <v>18.624600000000001</v>
      </c>
      <c r="I23" s="32">
        <v>39.334000000000003</v>
      </c>
      <c r="J23" s="32">
        <v>7.7645999999999997</v>
      </c>
      <c r="K23" s="32">
        <v>220.31299999999999</v>
      </c>
      <c r="L23" s="32">
        <v>51.7</v>
      </c>
      <c r="M23" s="32">
        <v>9140.77</v>
      </c>
      <c r="N23" s="32">
        <v>3.7616000000000001</v>
      </c>
      <c r="O23" s="32">
        <v>3.0602</v>
      </c>
      <c r="P23" s="32">
        <v>12.691000000000001</v>
      </c>
      <c r="Q23" s="32">
        <v>1.2139</v>
      </c>
      <c r="R23" s="32">
        <v>91.251999999999995</v>
      </c>
      <c r="S23" s="32">
        <v>2.7132999999999998</v>
      </c>
      <c r="T23" s="32">
        <v>43.106999999999999</v>
      </c>
      <c r="U23" s="32">
        <v>3.1280000000000001</v>
      </c>
      <c r="V23" s="32">
        <v>29.236999999999998</v>
      </c>
      <c r="W23" s="32">
        <v>3.7517</v>
      </c>
      <c r="X23" s="32">
        <v>7.6097999999999999</v>
      </c>
      <c r="Y23" s="32">
        <v>1127.01</v>
      </c>
      <c r="Z23" s="32">
        <v>0.75929999999999997</v>
      </c>
      <c r="AA23" s="32">
        <v>1.7968999999999999</v>
      </c>
      <c r="AB23" s="32">
        <v>4.2996999999999996</v>
      </c>
    </row>
    <row r="24" spans="1:28" ht="15" customHeight="1" x14ac:dyDescent="0.2">
      <c r="A24" s="33">
        <v>40988</v>
      </c>
      <c r="B24" s="32">
        <v>4.3581000000000003</v>
      </c>
      <c r="C24" s="32">
        <v>0.94369999999999998</v>
      </c>
      <c r="D24" s="32">
        <v>1.8053999999999999</v>
      </c>
      <c r="E24" s="32">
        <v>483.9</v>
      </c>
      <c r="F24" s="32">
        <v>6.3289999999999997</v>
      </c>
      <c r="G24" s="32">
        <v>1778.38</v>
      </c>
      <c r="H24" s="32">
        <v>18.603899999999999</v>
      </c>
      <c r="I24" s="32">
        <v>39.282600000000002</v>
      </c>
      <c r="J24" s="32">
        <v>7.7628000000000004</v>
      </c>
      <c r="K24" s="32">
        <v>219.87100000000001</v>
      </c>
      <c r="L24" s="32">
        <v>51.334699999999998</v>
      </c>
      <c r="M24" s="32">
        <v>9165.9</v>
      </c>
      <c r="N24" s="32">
        <v>3.7578</v>
      </c>
      <c r="O24" s="32">
        <v>3.0579999999999998</v>
      </c>
      <c r="P24" s="32">
        <v>12.6662</v>
      </c>
      <c r="Q24" s="32">
        <v>1.2112000000000001</v>
      </c>
      <c r="R24" s="32">
        <v>91.136300000000006</v>
      </c>
      <c r="S24" s="32">
        <v>2.7019000000000002</v>
      </c>
      <c r="T24" s="32">
        <v>43.115000000000002</v>
      </c>
      <c r="U24" s="32">
        <v>3.125</v>
      </c>
      <c r="V24" s="32">
        <v>29.218800000000002</v>
      </c>
      <c r="W24" s="32">
        <v>3.7509999999999999</v>
      </c>
      <c r="X24" s="32">
        <v>7.5685000000000002</v>
      </c>
      <c r="Y24" s="32">
        <v>1124.8599999999999</v>
      </c>
      <c r="Z24" s="32">
        <v>0.75849999999999995</v>
      </c>
      <c r="AA24" s="32">
        <v>1.8012999999999999</v>
      </c>
      <c r="AB24" s="32">
        <v>4.3018999999999998</v>
      </c>
    </row>
    <row r="25" spans="1:28" ht="15" customHeight="1" x14ac:dyDescent="0.2">
      <c r="A25" s="33">
        <v>40989</v>
      </c>
      <c r="B25" s="32">
        <v>4.3659999999999997</v>
      </c>
      <c r="C25" s="32">
        <v>0.94930000000000003</v>
      </c>
      <c r="D25" s="32">
        <v>1.8239000000000001</v>
      </c>
      <c r="E25" s="32">
        <v>484.9</v>
      </c>
      <c r="F25" s="32">
        <v>6.3301999999999996</v>
      </c>
      <c r="G25" s="32">
        <v>1764.55</v>
      </c>
      <c r="H25" s="32">
        <v>18.515000000000001</v>
      </c>
      <c r="I25" s="32">
        <v>39.1432</v>
      </c>
      <c r="J25" s="32">
        <v>7.7634999999999996</v>
      </c>
      <c r="K25" s="32">
        <v>219.124</v>
      </c>
      <c r="L25" s="32">
        <v>51.52</v>
      </c>
      <c r="M25" s="32">
        <v>9191.18</v>
      </c>
      <c r="N25" s="32">
        <v>3.7507000000000001</v>
      </c>
      <c r="O25" s="32">
        <v>3.0737000000000001</v>
      </c>
      <c r="P25" s="32">
        <v>12.6806</v>
      </c>
      <c r="Q25" s="32">
        <v>1.2185999999999999</v>
      </c>
      <c r="R25" s="32">
        <v>90.953299999999999</v>
      </c>
      <c r="S25" s="32">
        <v>2.6760999999999999</v>
      </c>
      <c r="T25" s="32">
        <v>43.087499999999999</v>
      </c>
      <c r="U25" s="32">
        <v>3.1173000000000002</v>
      </c>
      <c r="V25" s="32">
        <v>29.2056</v>
      </c>
      <c r="W25" s="32">
        <v>3.7509000000000001</v>
      </c>
      <c r="X25" s="32">
        <v>7.59</v>
      </c>
      <c r="Y25" s="32">
        <v>1126.6300000000001</v>
      </c>
      <c r="Z25" s="32">
        <v>0.75619999999999998</v>
      </c>
      <c r="AA25" s="32">
        <v>1.8148</v>
      </c>
      <c r="AB25" s="32">
        <v>4.3068999999999997</v>
      </c>
    </row>
    <row r="26" spans="1:28" ht="15" customHeight="1" x14ac:dyDescent="0.2">
      <c r="A26" s="33">
        <v>40990</v>
      </c>
      <c r="B26" s="32">
        <v>4.3677000000000001</v>
      </c>
      <c r="C26" s="32">
        <v>0.9546</v>
      </c>
      <c r="D26" s="32">
        <v>1.8204</v>
      </c>
      <c r="E26" s="32">
        <v>486.4</v>
      </c>
      <c r="F26" s="32">
        <v>6.3353999999999999</v>
      </c>
      <c r="G26" s="32">
        <v>1762.47</v>
      </c>
      <c r="H26" s="32">
        <v>18.542000000000002</v>
      </c>
      <c r="I26" s="32">
        <v>39.1419</v>
      </c>
      <c r="J26" s="32">
        <v>7.7641999999999998</v>
      </c>
      <c r="K26" s="32">
        <v>219.69200000000001</v>
      </c>
      <c r="L26" s="32">
        <v>51.701300000000003</v>
      </c>
      <c r="M26" s="32">
        <v>9191.18</v>
      </c>
      <c r="N26" s="32">
        <v>3.7461000000000002</v>
      </c>
      <c r="O26" s="32">
        <v>3.0807000000000002</v>
      </c>
      <c r="P26" s="32">
        <v>12.6709</v>
      </c>
      <c r="Q26" s="32">
        <v>1.2238</v>
      </c>
      <c r="R26" s="32">
        <v>90.914699999999996</v>
      </c>
      <c r="S26" s="32">
        <v>2.6768000000000001</v>
      </c>
      <c r="T26" s="32">
        <v>43.145099999999999</v>
      </c>
      <c r="U26" s="32">
        <v>3.1253000000000002</v>
      </c>
      <c r="V26" s="32">
        <v>29.2514</v>
      </c>
      <c r="W26" s="32">
        <v>3.7509000000000001</v>
      </c>
      <c r="X26" s="32">
        <v>7.6272000000000002</v>
      </c>
      <c r="Y26" s="32">
        <v>1129.69</v>
      </c>
      <c r="Z26" s="32">
        <v>0.75529999999999997</v>
      </c>
      <c r="AA26" s="32">
        <v>1.8192999999999999</v>
      </c>
      <c r="AB26" s="32">
        <v>4.3022999999999998</v>
      </c>
    </row>
    <row r="27" spans="1:28" ht="15" customHeight="1" x14ac:dyDescent="0.2">
      <c r="A27" s="33">
        <v>40991</v>
      </c>
      <c r="B27" s="32">
        <v>4.3684000000000003</v>
      </c>
      <c r="C27" s="32">
        <v>0.96160000000000001</v>
      </c>
      <c r="D27" s="32">
        <v>1.8242</v>
      </c>
      <c r="E27" s="32">
        <v>489.3</v>
      </c>
      <c r="F27" s="32">
        <v>6.3308999999999997</v>
      </c>
      <c r="G27" s="32">
        <v>1760.49</v>
      </c>
      <c r="H27" s="32">
        <v>18.734300000000001</v>
      </c>
      <c r="I27" s="32">
        <v>39.117699999999999</v>
      </c>
      <c r="J27" s="32">
        <v>7.7648000000000001</v>
      </c>
      <c r="K27" s="32">
        <v>222.04900000000001</v>
      </c>
      <c r="L27" s="32">
        <v>52.165599999999998</v>
      </c>
      <c r="M27" s="32">
        <v>9199.6299999999992</v>
      </c>
      <c r="N27" s="32">
        <v>3.7528000000000001</v>
      </c>
      <c r="O27" s="32">
        <v>3.0832000000000002</v>
      </c>
      <c r="P27" s="32">
        <v>12.783799999999999</v>
      </c>
      <c r="Q27" s="32">
        <v>1.2353000000000001</v>
      </c>
      <c r="R27" s="32">
        <v>90.994500000000002</v>
      </c>
      <c r="S27" s="32">
        <v>2.6821999999999999</v>
      </c>
      <c r="T27" s="32">
        <v>43.175899999999999</v>
      </c>
      <c r="U27" s="32">
        <v>3.1536</v>
      </c>
      <c r="V27" s="32">
        <v>29.367699999999999</v>
      </c>
      <c r="W27" s="32">
        <v>3.7509000000000001</v>
      </c>
      <c r="X27" s="32">
        <v>7.6980000000000004</v>
      </c>
      <c r="Y27" s="32">
        <v>1132.6300000000001</v>
      </c>
      <c r="Z27" s="32">
        <v>0.75770000000000004</v>
      </c>
      <c r="AA27" s="32">
        <v>1.8131999999999999</v>
      </c>
      <c r="AB27" s="32">
        <v>4.3026999999999997</v>
      </c>
    </row>
    <row r="28" spans="1:28" ht="15" customHeight="1" x14ac:dyDescent="0.2">
      <c r="A28" s="33">
        <v>40992</v>
      </c>
      <c r="B28" s="32">
        <v>4.3693</v>
      </c>
      <c r="C28" s="32">
        <v>0.96030000000000004</v>
      </c>
      <c r="D28" s="32">
        <v>1.8205</v>
      </c>
      <c r="E28" s="32">
        <v>490.1</v>
      </c>
      <c r="F28" s="32">
        <v>6.3239999999999998</v>
      </c>
      <c r="G28" s="32">
        <v>1764.13</v>
      </c>
      <c r="H28" s="32">
        <v>18.685700000000001</v>
      </c>
      <c r="I28" s="32">
        <v>39.127499999999998</v>
      </c>
      <c r="J28" s="32">
        <v>7.7667999999999999</v>
      </c>
      <c r="K28" s="32">
        <v>222.09200000000001</v>
      </c>
      <c r="L28" s="32">
        <v>52.394399999999997</v>
      </c>
      <c r="M28" s="32">
        <v>9199.6299999999992</v>
      </c>
      <c r="N28" s="32">
        <v>3.7442000000000002</v>
      </c>
      <c r="O28" s="32">
        <v>3.0821000000000001</v>
      </c>
      <c r="P28" s="32">
        <v>12.8177</v>
      </c>
      <c r="Q28" s="32">
        <v>1.2297</v>
      </c>
      <c r="R28" s="32">
        <v>91.226699999999994</v>
      </c>
      <c r="S28" s="32">
        <v>2.6738</v>
      </c>
      <c r="T28" s="32">
        <v>43.113199999999999</v>
      </c>
      <c r="U28" s="32">
        <v>3.1480000000000001</v>
      </c>
      <c r="V28" s="32">
        <v>29.383600000000001</v>
      </c>
      <c r="W28" s="32">
        <v>3.7509000000000001</v>
      </c>
      <c r="X28" s="32">
        <v>7.7122999999999999</v>
      </c>
      <c r="Y28" s="32">
        <v>1135.8499999999999</v>
      </c>
      <c r="Z28" s="32">
        <v>0.75580000000000003</v>
      </c>
      <c r="AA28" s="32">
        <v>1.8052999999999999</v>
      </c>
      <c r="AB28" s="32">
        <v>4.3071000000000002</v>
      </c>
    </row>
    <row r="29" spans="1:28" ht="15" customHeight="1" x14ac:dyDescent="0.2">
      <c r="A29" s="33">
        <v>40993</v>
      </c>
      <c r="B29" s="32">
        <v>4.3879000000000001</v>
      </c>
      <c r="C29" s="32">
        <v>0.95569999999999999</v>
      </c>
      <c r="D29" s="32">
        <v>1.8220000000000001</v>
      </c>
      <c r="E29" s="32">
        <v>490.1</v>
      </c>
      <c r="F29" s="32">
        <v>6.3414999999999999</v>
      </c>
      <c r="G29" s="32">
        <v>1774.22</v>
      </c>
      <c r="H29" s="32">
        <v>18.5685</v>
      </c>
      <c r="I29" s="32">
        <v>39.260100000000001</v>
      </c>
      <c r="J29" s="32">
        <v>7.7701000000000002</v>
      </c>
      <c r="K29" s="32">
        <v>221.36199999999999</v>
      </c>
      <c r="L29" s="32">
        <v>52.625</v>
      </c>
      <c r="M29" s="32">
        <v>9233.61</v>
      </c>
      <c r="N29" s="32">
        <v>3.7397</v>
      </c>
      <c r="O29" s="32">
        <v>3.0983000000000001</v>
      </c>
      <c r="P29" s="32">
        <v>12.7682</v>
      </c>
      <c r="Q29" s="32">
        <v>1.2229000000000001</v>
      </c>
      <c r="R29" s="32">
        <v>91.855400000000003</v>
      </c>
      <c r="S29" s="32">
        <v>2.6901999999999999</v>
      </c>
      <c r="T29" s="32">
        <v>43.095300000000002</v>
      </c>
      <c r="U29" s="32">
        <v>3.1566000000000001</v>
      </c>
      <c r="V29" s="32">
        <v>29.647300000000001</v>
      </c>
      <c r="W29" s="32">
        <v>3.7515999999999998</v>
      </c>
      <c r="X29" s="32">
        <v>7.7313999999999998</v>
      </c>
      <c r="Y29" s="32">
        <v>1143.51</v>
      </c>
      <c r="Z29" s="32">
        <v>0.75390000000000001</v>
      </c>
      <c r="AA29" s="32">
        <v>1.802</v>
      </c>
      <c r="AB29" s="32">
        <v>4.3</v>
      </c>
    </row>
    <row r="30" spans="1:28" ht="15" customHeight="1" x14ac:dyDescent="0.2">
      <c r="A30" s="33">
        <v>40994</v>
      </c>
      <c r="B30" s="32">
        <v>4.4116</v>
      </c>
      <c r="C30" s="32">
        <v>0.95579999999999998</v>
      </c>
      <c r="D30" s="32">
        <v>1.8273999999999999</v>
      </c>
      <c r="E30" s="32">
        <v>490.1</v>
      </c>
      <c r="F30" s="32">
        <v>6.3414999999999999</v>
      </c>
      <c r="G30" s="32">
        <v>1794.38</v>
      </c>
      <c r="H30" s="32">
        <v>18.571300000000001</v>
      </c>
      <c r="I30" s="32">
        <v>39.507399999999997</v>
      </c>
      <c r="J30" s="32">
        <v>7.7698999999999998</v>
      </c>
      <c r="K30" s="32">
        <v>221.32</v>
      </c>
      <c r="L30" s="32">
        <v>52.625</v>
      </c>
      <c r="M30" s="32">
        <v>9302.33</v>
      </c>
      <c r="N30" s="32">
        <v>3.7387999999999999</v>
      </c>
      <c r="O30" s="32">
        <v>3.1276000000000002</v>
      </c>
      <c r="P30" s="32">
        <v>12.770899999999999</v>
      </c>
      <c r="Q30" s="32">
        <v>1.2231000000000001</v>
      </c>
      <c r="R30" s="32">
        <v>91.797399999999996</v>
      </c>
      <c r="S30" s="32">
        <v>2.7212999999999998</v>
      </c>
      <c r="T30" s="32">
        <v>43.365000000000002</v>
      </c>
      <c r="U30" s="32">
        <v>3.1928000000000001</v>
      </c>
      <c r="V30" s="32">
        <v>30.025700000000001</v>
      </c>
      <c r="W30" s="32">
        <v>3.7515999999999998</v>
      </c>
      <c r="X30" s="32">
        <v>7.7327000000000004</v>
      </c>
      <c r="Y30" s="32">
        <v>1154.47</v>
      </c>
      <c r="Z30" s="32">
        <v>0.75390000000000001</v>
      </c>
      <c r="AA30" s="32">
        <v>1.802</v>
      </c>
      <c r="AB30" s="32">
        <v>4.2996999999999996</v>
      </c>
    </row>
    <row r="31" spans="1:28" ht="15" customHeight="1" x14ac:dyDescent="0.2">
      <c r="A31" s="33">
        <v>40995</v>
      </c>
      <c r="B31" s="32">
        <v>4.3856000000000002</v>
      </c>
      <c r="C31" s="32">
        <v>0.95389999999999997</v>
      </c>
      <c r="D31" s="32">
        <v>1.8157000000000001</v>
      </c>
      <c r="E31" s="32">
        <v>487.5</v>
      </c>
      <c r="F31" s="32">
        <v>6.3258000000000001</v>
      </c>
      <c r="G31" s="32">
        <v>1787.26</v>
      </c>
      <c r="H31" s="32">
        <v>18.552099999999999</v>
      </c>
      <c r="I31" s="32">
        <v>39.367699999999999</v>
      </c>
      <c r="J31" s="32">
        <v>7.7683</v>
      </c>
      <c r="K31" s="32">
        <v>220.488</v>
      </c>
      <c r="L31" s="32">
        <v>52.5242</v>
      </c>
      <c r="M31" s="32">
        <v>9242.14</v>
      </c>
      <c r="N31" s="32">
        <v>3.7332000000000001</v>
      </c>
      <c r="O31" s="32">
        <v>3.0973000000000002</v>
      </c>
      <c r="P31" s="32">
        <v>12.7264</v>
      </c>
      <c r="Q31" s="32">
        <v>1.2216</v>
      </c>
      <c r="R31" s="32">
        <v>91.790099999999995</v>
      </c>
      <c r="S31" s="32">
        <v>2.7109999999999999</v>
      </c>
      <c r="T31" s="32">
        <v>43.3596</v>
      </c>
      <c r="U31" s="32">
        <v>3.1198999999999999</v>
      </c>
      <c r="V31" s="32">
        <v>29.182500000000001</v>
      </c>
      <c r="W31" s="32">
        <v>3.7509000000000001</v>
      </c>
      <c r="X31" s="32">
        <v>7.6626000000000003</v>
      </c>
      <c r="Y31" s="32">
        <v>1144.56</v>
      </c>
      <c r="Z31" s="32">
        <v>0.75280000000000002</v>
      </c>
      <c r="AA31" s="32">
        <v>1.7954000000000001</v>
      </c>
      <c r="AB31" s="32">
        <v>4.3021000000000003</v>
      </c>
    </row>
    <row r="32" spans="1:28" ht="15" customHeight="1" x14ac:dyDescent="0.2">
      <c r="A32" s="33">
        <v>40996</v>
      </c>
      <c r="B32" s="32">
        <v>4.3719999999999999</v>
      </c>
      <c r="C32" s="32">
        <v>0.95150000000000001</v>
      </c>
      <c r="D32" s="32">
        <v>1.8192999999999999</v>
      </c>
      <c r="E32" s="32">
        <v>487.5</v>
      </c>
      <c r="F32" s="32">
        <v>6.3240999999999996</v>
      </c>
      <c r="G32" s="32">
        <v>1766.88</v>
      </c>
      <c r="H32" s="32">
        <v>18.445399999999999</v>
      </c>
      <c r="I32" s="32">
        <v>39.1616</v>
      </c>
      <c r="J32" s="32">
        <v>7.766</v>
      </c>
      <c r="K32" s="32">
        <v>218.45099999999999</v>
      </c>
      <c r="L32" s="32">
        <v>52.313099999999999</v>
      </c>
      <c r="M32" s="32">
        <v>9191.18</v>
      </c>
      <c r="N32" s="32">
        <v>3.7204000000000002</v>
      </c>
      <c r="O32" s="32">
        <v>3.0655000000000001</v>
      </c>
      <c r="P32" s="32">
        <v>12.6676</v>
      </c>
      <c r="Q32" s="32">
        <v>1.2159</v>
      </c>
      <c r="R32" s="32">
        <v>91.910799999999995</v>
      </c>
      <c r="S32" s="32">
        <v>2.677</v>
      </c>
      <c r="T32" s="32">
        <v>43.038400000000003</v>
      </c>
      <c r="U32" s="32">
        <v>3.1006999999999998</v>
      </c>
      <c r="V32" s="32">
        <v>28.992699999999999</v>
      </c>
      <c r="W32" s="32">
        <v>3.7509000000000001</v>
      </c>
      <c r="X32" s="32">
        <v>7.5890000000000004</v>
      </c>
      <c r="Y32" s="32">
        <v>1136.23</v>
      </c>
      <c r="Z32" s="32">
        <v>0.74929999999999997</v>
      </c>
      <c r="AA32" s="32">
        <v>1.7867999999999999</v>
      </c>
      <c r="AB32" s="32">
        <v>4.3019999999999996</v>
      </c>
    </row>
    <row r="33" spans="1:28" ht="15" customHeight="1" x14ac:dyDescent="0.2">
      <c r="A33" s="33">
        <v>40997</v>
      </c>
      <c r="B33" s="32">
        <v>4.3773999999999997</v>
      </c>
      <c r="C33" s="32">
        <v>0.96050000000000002</v>
      </c>
      <c r="D33" s="32">
        <v>1.8245</v>
      </c>
      <c r="E33" s="32">
        <v>490.5</v>
      </c>
      <c r="F33" s="32">
        <v>6.3278999999999996</v>
      </c>
      <c r="G33" s="32">
        <v>1769.79</v>
      </c>
      <c r="H33" s="32">
        <v>18.478000000000002</v>
      </c>
      <c r="I33" s="32">
        <v>39.134900000000002</v>
      </c>
      <c r="J33" s="32">
        <v>7.7641999999999998</v>
      </c>
      <c r="K33" s="32">
        <v>219.422</v>
      </c>
      <c r="L33" s="32">
        <v>52.193100000000001</v>
      </c>
      <c r="M33" s="32">
        <v>9191.18</v>
      </c>
      <c r="N33" s="32">
        <v>3.7299000000000002</v>
      </c>
      <c r="O33" s="32">
        <v>3.0668000000000002</v>
      </c>
      <c r="P33" s="32">
        <v>12.742800000000001</v>
      </c>
      <c r="Q33" s="32">
        <v>1.222</v>
      </c>
      <c r="R33" s="32">
        <v>90.840999999999994</v>
      </c>
      <c r="S33" s="32">
        <v>2.6758000000000002</v>
      </c>
      <c r="T33" s="32">
        <v>43.060099999999998</v>
      </c>
      <c r="U33" s="32">
        <v>3.1181000000000001</v>
      </c>
      <c r="V33" s="32">
        <v>29.230499999999999</v>
      </c>
      <c r="W33" s="32">
        <v>3.7507999999999999</v>
      </c>
      <c r="X33" s="32">
        <v>7.6432000000000002</v>
      </c>
      <c r="Y33" s="32">
        <v>1137.6600000000001</v>
      </c>
      <c r="Z33" s="32">
        <v>0.75049999999999994</v>
      </c>
      <c r="AA33" s="32">
        <v>1.7862</v>
      </c>
      <c r="AB33" s="32">
        <v>4.3022</v>
      </c>
    </row>
    <row r="34" spans="1:28" ht="15" customHeight="1" x14ac:dyDescent="0.2">
      <c r="A34" s="33">
        <v>40998</v>
      </c>
      <c r="B34" s="32">
        <v>4.3768000000000002</v>
      </c>
      <c r="C34" s="32">
        <v>0.96519999999999995</v>
      </c>
      <c r="D34" s="32">
        <v>1.8298000000000001</v>
      </c>
      <c r="E34" s="32">
        <v>489.5</v>
      </c>
      <c r="F34" s="32">
        <v>6.3289</v>
      </c>
      <c r="G34" s="32">
        <v>1777.97</v>
      </c>
      <c r="H34" s="32">
        <v>18.6021</v>
      </c>
      <c r="I34" s="32">
        <v>39.146900000000002</v>
      </c>
      <c r="J34" s="32">
        <v>7.7647000000000004</v>
      </c>
      <c r="K34" s="32">
        <v>221.27099999999999</v>
      </c>
      <c r="L34" s="32">
        <v>52.289499999999997</v>
      </c>
      <c r="M34" s="32">
        <v>9182.74</v>
      </c>
      <c r="N34" s="32">
        <v>3.7319</v>
      </c>
      <c r="O34" s="32">
        <v>3.0697999999999999</v>
      </c>
      <c r="P34" s="32">
        <v>12.8012</v>
      </c>
      <c r="Q34" s="32">
        <v>1.2256</v>
      </c>
      <c r="R34" s="32">
        <v>90.899100000000004</v>
      </c>
      <c r="S34" s="32">
        <v>2.6737000000000002</v>
      </c>
      <c r="T34" s="32">
        <v>43.1083</v>
      </c>
      <c r="U34" s="32">
        <v>3.1322000000000001</v>
      </c>
      <c r="V34" s="32">
        <v>29.416899999999998</v>
      </c>
      <c r="W34" s="32">
        <v>3.7507999999999999</v>
      </c>
      <c r="X34" s="32">
        <v>7.7129000000000003</v>
      </c>
      <c r="Y34" s="32">
        <v>1139.3399999999999</v>
      </c>
      <c r="Z34" s="32">
        <v>0.75180000000000002</v>
      </c>
      <c r="AA34" s="32">
        <v>1.7841</v>
      </c>
      <c r="AB34" s="32">
        <v>4.3022999999999998</v>
      </c>
    </row>
    <row r="35" spans="1:28" ht="15" customHeight="1" x14ac:dyDescent="0.2">
      <c r="A35" s="33">
        <v>40999</v>
      </c>
      <c r="B35" s="32">
        <v>4.3777999999999997</v>
      </c>
      <c r="C35" s="32">
        <v>0.96289999999999998</v>
      </c>
      <c r="D35" s="32">
        <v>1.8253999999999999</v>
      </c>
      <c r="E35" s="32">
        <v>486.5</v>
      </c>
      <c r="F35" s="32">
        <v>6.3247</v>
      </c>
      <c r="G35" s="32">
        <v>1781.6</v>
      </c>
      <c r="H35" s="32">
        <v>18.585000000000001</v>
      </c>
      <c r="I35" s="32">
        <v>39.162599999999998</v>
      </c>
      <c r="J35" s="32">
        <v>7.7645999999999997</v>
      </c>
      <c r="K35" s="32">
        <v>221.58199999999999</v>
      </c>
      <c r="L35" s="32">
        <v>52.080300000000001</v>
      </c>
      <c r="M35" s="32">
        <v>9182.74</v>
      </c>
      <c r="N35" s="32">
        <v>3.7227999999999999</v>
      </c>
      <c r="O35" s="32">
        <v>3.0676000000000001</v>
      </c>
      <c r="P35" s="32">
        <v>12.7986</v>
      </c>
      <c r="Q35" s="32">
        <v>1.2201</v>
      </c>
      <c r="R35" s="32">
        <v>90.958500000000001</v>
      </c>
      <c r="S35" s="32">
        <v>2.6732</v>
      </c>
      <c r="T35" s="32">
        <v>43.057899999999997</v>
      </c>
      <c r="U35" s="32">
        <v>3.117</v>
      </c>
      <c r="V35" s="32">
        <v>29.405799999999999</v>
      </c>
      <c r="W35" s="32">
        <v>3.7507999999999999</v>
      </c>
      <c r="X35" s="32">
        <v>7.6929999999999996</v>
      </c>
      <c r="Y35" s="32">
        <v>1135.07</v>
      </c>
      <c r="Z35" s="32">
        <v>0.74970000000000003</v>
      </c>
      <c r="AA35" s="32">
        <v>1.784</v>
      </c>
      <c r="AB35" s="32">
        <v>4.3021000000000003</v>
      </c>
    </row>
    <row r="36" spans="1:28" ht="15" customHeight="1" x14ac:dyDescent="0.2">
      <c r="A36" s="33">
        <v>41000</v>
      </c>
      <c r="B36" s="32">
        <v>4.3825000000000003</v>
      </c>
      <c r="C36" s="32">
        <v>0.96679999999999999</v>
      </c>
      <c r="D36" s="32">
        <v>1.8292999999999999</v>
      </c>
      <c r="E36" s="32">
        <v>486.5</v>
      </c>
      <c r="F36" s="32">
        <v>6.3425000000000002</v>
      </c>
      <c r="G36" s="32">
        <v>1808.15</v>
      </c>
      <c r="H36" s="32">
        <v>18.596900000000002</v>
      </c>
      <c r="I36" s="32">
        <v>39.219099999999997</v>
      </c>
      <c r="J36" s="32">
        <v>7.7675000000000001</v>
      </c>
      <c r="K36" s="32">
        <v>221.00299999999999</v>
      </c>
      <c r="L36" s="32">
        <v>52.185000000000002</v>
      </c>
      <c r="M36" s="32">
        <v>9165.9</v>
      </c>
      <c r="N36" s="32">
        <v>3.7181000000000002</v>
      </c>
      <c r="O36" s="32">
        <v>3.0651000000000002</v>
      </c>
      <c r="P36" s="32">
        <v>12.8264</v>
      </c>
      <c r="Q36" s="32">
        <v>1.2226999999999999</v>
      </c>
      <c r="R36" s="32">
        <v>91.2346</v>
      </c>
      <c r="S36" s="32">
        <v>2.6920000000000002</v>
      </c>
      <c r="T36" s="32">
        <v>43.035600000000002</v>
      </c>
      <c r="U36" s="32">
        <v>3.1114999999999999</v>
      </c>
      <c r="V36" s="32">
        <v>29.339600000000001</v>
      </c>
      <c r="W36" s="32">
        <v>3.7515000000000001</v>
      </c>
      <c r="X36" s="32">
        <v>7.7233999999999998</v>
      </c>
      <c r="Y36" s="32">
        <v>1133.02</v>
      </c>
      <c r="Z36" s="32">
        <v>0.74980000000000002</v>
      </c>
      <c r="AA36" s="32">
        <v>1.7845</v>
      </c>
      <c r="AB36" s="32">
        <v>4.2996999999999996</v>
      </c>
    </row>
    <row r="37" spans="1:28" ht="15" customHeight="1" x14ac:dyDescent="0.2">
      <c r="A37" s="33">
        <v>41001</v>
      </c>
      <c r="B37" s="32">
        <v>4.3817000000000004</v>
      </c>
      <c r="C37" s="32">
        <v>0.96589999999999998</v>
      </c>
      <c r="D37" s="32">
        <v>1.829</v>
      </c>
      <c r="E37" s="32">
        <v>486.5</v>
      </c>
      <c r="F37" s="32">
        <v>6.3425000000000002</v>
      </c>
      <c r="G37" s="32">
        <v>1828.5</v>
      </c>
      <c r="H37" s="32">
        <v>18.598800000000001</v>
      </c>
      <c r="I37" s="32">
        <v>39.418999999999997</v>
      </c>
      <c r="J37" s="32">
        <v>7.7672999999999996</v>
      </c>
      <c r="K37" s="32">
        <v>221.006</v>
      </c>
      <c r="L37" s="32">
        <v>52.185000000000002</v>
      </c>
      <c r="M37" s="32">
        <v>9165.9</v>
      </c>
      <c r="N37" s="32">
        <v>3.7166999999999999</v>
      </c>
      <c r="O37" s="32">
        <v>3.0644999999999998</v>
      </c>
      <c r="P37" s="32">
        <v>12.824</v>
      </c>
      <c r="Q37" s="32">
        <v>1.2225999999999999</v>
      </c>
      <c r="R37" s="32">
        <v>91.787999999999997</v>
      </c>
      <c r="S37" s="32">
        <v>2.7265000000000001</v>
      </c>
      <c r="T37" s="32">
        <v>43.021999999999998</v>
      </c>
      <c r="U37" s="32">
        <v>3.1126999999999998</v>
      </c>
      <c r="V37" s="32">
        <v>29.324000000000002</v>
      </c>
      <c r="W37" s="32">
        <v>3.7515000000000001</v>
      </c>
      <c r="X37" s="32">
        <v>7.7209000000000003</v>
      </c>
      <c r="Y37" s="32">
        <v>1132.8900000000001</v>
      </c>
      <c r="Z37" s="32">
        <v>0.74970000000000003</v>
      </c>
      <c r="AA37" s="32">
        <v>1.7845</v>
      </c>
      <c r="AB37" s="32">
        <v>4.2996999999999996</v>
      </c>
    </row>
    <row r="38" spans="1:28" ht="15" customHeight="1" x14ac:dyDescent="0.2">
      <c r="A38" s="33">
        <v>41002</v>
      </c>
      <c r="B38" s="32">
        <v>4.3800999999999997</v>
      </c>
      <c r="C38" s="32">
        <v>0.96060000000000001</v>
      </c>
      <c r="D38" s="32">
        <v>1.8293999999999999</v>
      </c>
      <c r="E38" s="32">
        <v>482.7</v>
      </c>
      <c r="F38" s="32">
        <v>6.3239999999999998</v>
      </c>
      <c r="G38" s="32">
        <v>1813.73</v>
      </c>
      <c r="H38" s="32">
        <v>18.5885</v>
      </c>
      <c r="I38" s="32">
        <v>39.317799999999998</v>
      </c>
      <c r="J38" s="32">
        <v>7.7652999999999999</v>
      </c>
      <c r="K38" s="32">
        <v>220.852</v>
      </c>
      <c r="L38" s="32">
        <v>51.769199999999998</v>
      </c>
      <c r="M38" s="32">
        <v>9174.31</v>
      </c>
      <c r="N38" s="32">
        <v>3.7248999999999999</v>
      </c>
      <c r="O38" s="32">
        <v>3.0596000000000001</v>
      </c>
      <c r="P38" s="32">
        <v>12.7752</v>
      </c>
      <c r="Q38" s="32">
        <v>1.2174</v>
      </c>
      <c r="R38" s="32">
        <v>91.504599999999996</v>
      </c>
      <c r="S38" s="32">
        <v>2.7080000000000002</v>
      </c>
      <c r="T38" s="32">
        <v>42.894199999999998</v>
      </c>
      <c r="U38" s="32">
        <v>3.1063000000000001</v>
      </c>
      <c r="V38" s="32">
        <v>29.3584</v>
      </c>
      <c r="W38" s="32">
        <v>3.7507000000000001</v>
      </c>
      <c r="X38" s="32">
        <v>7.6506999999999996</v>
      </c>
      <c r="Y38" s="32">
        <v>1129.69</v>
      </c>
      <c r="Z38" s="32">
        <v>0.74980000000000002</v>
      </c>
      <c r="AA38" s="32">
        <v>1.7813000000000001</v>
      </c>
      <c r="AB38" s="32">
        <v>4.3022</v>
      </c>
    </row>
    <row r="39" spans="1:28" ht="15" customHeight="1" x14ac:dyDescent="0.2">
      <c r="A39" s="33">
        <v>41003</v>
      </c>
      <c r="B39" s="32">
        <v>4.3794000000000004</v>
      </c>
      <c r="C39" s="32">
        <v>0.96279999999999999</v>
      </c>
      <c r="D39" s="32">
        <v>1.8328</v>
      </c>
      <c r="E39" s="32">
        <v>483</v>
      </c>
      <c r="F39" s="32">
        <v>6.3155999999999999</v>
      </c>
      <c r="G39" s="32">
        <v>1777.29</v>
      </c>
      <c r="H39" s="32">
        <v>18.536000000000001</v>
      </c>
      <c r="I39" s="32">
        <v>39.201700000000002</v>
      </c>
      <c r="J39" s="32">
        <v>7.7652000000000001</v>
      </c>
      <c r="K39" s="32">
        <v>220.964</v>
      </c>
      <c r="L39" s="32">
        <v>51.558</v>
      </c>
      <c r="M39" s="32">
        <v>9191.18</v>
      </c>
      <c r="N39" s="32">
        <v>3.7334000000000001</v>
      </c>
      <c r="O39" s="32">
        <v>3.0508999999999999</v>
      </c>
      <c r="P39" s="32">
        <v>12.745699999999999</v>
      </c>
      <c r="Q39" s="32">
        <v>1.2152000000000001</v>
      </c>
      <c r="R39" s="32">
        <v>91.008499999999998</v>
      </c>
      <c r="S39" s="32">
        <v>2.6953</v>
      </c>
      <c r="T39" s="32">
        <v>42.7789</v>
      </c>
      <c r="U39" s="32">
        <v>3.1061000000000001</v>
      </c>
      <c r="V39" s="32">
        <v>29.287199999999999</v>
      </c>
      <c r="W39" s="32">
        <v>3.7507000000000001</v>
      </c>
      <c r="X39" s="32">
        <v>7.6801000000000004</v>
      </c>
      <c r="Y39" s="32">
        <v>1124.99</v>
      </c>
      <c r="Z39" s="32">
        <v>0.75070000000000003</v>
      </c>
      <c r="AA39" s="32">
        <v>1.7787999999999999</v>
      </c>
      <c r="AB39" s="32">
        <v>4.3019999999999996</v>
      </c>
    </row>
    <row r="40" spans="1:28" ht="15" customHeight="1" x14ac:dyDescent="0.2">
      <c r="A40" s="33">
        <v>41004</v>
      </c>
      <c r="B40" s="32">
        <v>4.3860999999999999</v>
      </c>
      <c r="C40" s="32">
        <v>0.97319999999999995</v>
      </c>
      <c r="D40" s="32">
        <v>1.833</v>
      </c>
      <c r="E40" s="32">
        <v>485.3</v>
      </c>
      <c r="F40" s="32">
        <v>6.3208000000000002</v>
      </c>
      <c r="G40" s="32">
        <v>1773.56</v>
      </c>
      <c r="H40" s="32">
        <v>18.702000000000002</v>
      </c>
      <c r="I40" s="32">
        <v>39.186599999999999</v>
      </c>
      <c r="J40" s="32">
        <v>7.7656000000000001</v>
      </c>
      <c r="K40" s="32">
        <v>223.98699999999999</v>
      </c>
      <c r="L40" s="32">
        <v>51.938699999999997</v>
      </c>
      <c r="M40" s="32">
        <v>9174.31</v>
      </c>
      <c r="N40" s="32">
        <v>3.7435999999999998</v>
      </c>
      <c r="O40" s="32">
        <v>3.0621999999999998</v>
      </c>
      <c r="P40" s="32">
        <v>12.8139</v>
      </c>
      <c r="Q40" s="32">
        <v>1.2262999999999999</v>
      </c>
      <c r="R40" s="32">
        <v>90.675799999999995</v>
      </c>
      <c r="S40" s="32">
        <v>2.7126000000000001</v>
      </c>
      <c r="T40" s="32">
        <v>42.839599999999997</v>
      </c>
      <c r="U40" s="32">
        <v>3.1480999999999999</v>
      </c>
      <c r="V40" s="32">
        <v>29.42</v>
      </c>
      <c r="W40" s="32">
        <v>3.7507000000000001</v>
      </c>
      <c r="X40" s="32">
        <v>7.7873000000000001</v>
      </c>
      <c r="Y40" s="32">
        <v>1130.58</v>
      </c>
      <c r="Z40" s="32">
        <v>0.7591</v>
      </c>
      <c r="AA40" s="32">
        <v>1.7896000000000001</v>
      </c>
      <c r="AB40" s="32">
        <v>4.3048999999999999</v>
      </c>
    </row>
    <row r="41" spans="1:28" ht="15" customHeight="1" x14ac:dyDescent="0.2">
      <c r="A41" s="33">
        <v>41005</v>
      </c>
      <c r="B41" s="32">
        <v>4.3898000000000001</v>
      </c>
      <c r="C41" s="32">
        <v>0.97199999999999998</v>
      </c>
      <c r="D41" s="32">
        <v>1.8302</v>
      </c>
      <c r="E41" s="32">
        <v>486.1</v>
      </c>
      <c r="F41" s="32">
        <v>6.3231000000000002</v>
      </c>
      <c r="G41" s="32">
        <v>1781.14</v>
      </c>
      <c r="H41" s="32">
        <v>18.828299999999999</v>
      </c>
      <c r="I41" s="32">
        <v>39.177</v>
      </c>
      <c r="J41" s="32">
        <v>7.7652999999999999</v>
      </c>
      <c r="K41" s="32">
        <v>225.89</v>
      </c>
      <c r="L41" s="32">
        <v>52.062100000000001</v>
      </c>
      <c r="M41" s="32">
        <v>9165.9</v>
      </c>
      <c r="N41" s="32">
        <v>3.7465000000000002</v>
      </c>
      <c r="O41" s="32">
        <v>3.0682999999999998</v>
      </c>
      <c r="P41" s="32">
        <v>12.8277</v>
      </c>
      <c r="Q41" s="32">
        <v>1.2259</v>
      </c>
      <c r="R41" s="32">
        <v>90.522599999999997</v>
      </c>
      <c r="S41" s="32">
        <v>2.6778</v>
      </c>
      <c r="T41" s="32">
        <v>42.859499999999997</v>
      </c>
      <c r="U41" s="32">
        <v>3.1730999999999998</v>
      </c>
      <c r="V41" s="32">
        <v>29.483000000000001</v>
      </c>
      <c r="W41" s="32">
        <v>3.7507000000000001</v>
      </c>
      <c r="X41" s="32">
        <v>7.8329000000000004</v>
      </c>
      <c r="Y41" s="32">
        <v>1131.22</v>
      </c>
      <c r="Z41" s="32">
        <v>0.7631</v>
      </c>
      <c r="AA41" s="32">
        <v>1.7946</v>
      </c>
      <c r="AB41" s="32">
        <v>4.3018000000000001</v>
      </c>
    </row>
    <row r="42" spans="1:28" ht="15" customHeight="1" x14ac:dyDescent="0.2">
      <c r="A42" s="33">
        <v>41006</v>
      </c>
      <c r="B42" s="32">
        <v>4.3852000000000002</v>
      </c>
      <c r="C42" s="32">
        <v>0.97009999999999996</v>
      </c>
      <c r="D42" s="32">
        <v>1.8255999999999999</v>
      </c>
      <c r="E42" s="32">
        <v>485</v>
      </c>
      <c r="F42" s="32">
        <v>6.3289</v>
      </c>
      <c r="G42" s="32">
        <v>1777</v>
      </c>
      <c r="H42" s="32">
        <v>18.8706</v>
      </c>
      <c r="I42" s="32">
        <v>39.200000000000003</v>
      </c>
      <c r="J42" s="32">
        <v>7.7657999999999996</v>
      </c>
      <c r="K42" s="32">
        <v>226.43199999999999</v>
      </c>
      <c r="L42" s="32">
        <v>52.122799999999998</v>
      </c>
      <c r="M42" s="32">
        <v>9157.51</v>
      </c>
      <c r="N42" s="32">
        <v>3.7469000000000001</v>
      </c>
      <c r="O42" s="32">
        <v>3.0676000000000001</v>
      </c>
      <c r="P42" s="32">
        <v>12.933199999999999</v>
      </c>
      <c r="Q42" s="32">
        <v>1.2233000000000001</v>
      </c>
      <c r="R42" s="32">
        <v>90.3</v>
      </c>
      <c r="S42" s="32">
        <v>2.6579999999999999</v>
      </c>
      <c r="T42" s="32">
        <v>42.835999999999999</v>
      </c>
      <c r="U42" s="32">
        <v>3.1817000000000002</v>
      </c>
      <c r="V42" s="32">
        <v>29.508800000000001</v>
      </c>
      <c r="W42" s="32">
        <v>3.7507000000000001</v>
      </c>
      <c r="X42" s="32">
        <v>7.86</v>
      </c>
      <c r="Y42" s="32">
        <v>1130.58</v>
      </c>
      <c r="Z42" s="32">
        <v>0.76480000000000004</v>
      </c>
      <c r="AA42" s="32">
        <v>1.794</v>
      </c>
      <c r="AB42" s="32">
        <v>4.3018999999999998</v>
      </c>
    </row>
    <row r="43" spans="1:28" ht="15" customHeight="1" x14ac:dyDescent="0.2">
      <c r="A43" s="33">
        <v>41007</v>
      </c>
      <c r="B43" s="32">
        <v>4.3780000000000001</v>
      </c>
      <c r="C43" s="32">
        <v>0.97099999999999997</v>
      </c>
      <c r="D43" s="32">
        <v>1.8272999999999999</v>
      </c>
      <c r="E43" s="32">
        <v>485</v>
      </c>
      <c r="F43" s="32">
        <v>6.335</v>
      </c>
      <c r="G43" s="32">
        <v>1777</v>
      </c>
      <c r="H43" s="32">
        <v>18.904900000000001</v>
      </c>
      <c r="I43" s="32">
        <v>39.200000000000003</v>
      </c>
      <c r="J43" s="32">
        <v>7.7662000000000004</v>
      </c>
      <c r="K43" s="32">
        <v>226.791</v>
      </c>
      <c r="L43" s="32">
        <v>52.494999999999997</v>
      </c>
      <c r="M43" s="32">
        <v>9208.1</v>
      </c>
      <c r="N43" s="32">
        <v>3.7513000000000001</v>
      </c>
      <c r="O43" s="32">
        <v>3.0626000000000002</v>
      </c>
      <c r="P43" s="32">
        <v>13.0075</v>
      </c>
      <c r="Q43" s="32">
        <v>1.2209000000000001</v>
      </c>
      <c r="R43" s="32">
        <v>90.3</v>
      </c>
      <c r="S43" s="32">
        <v>2.6579999999999999</v>
      </c>
      <c r="T43" s="32">
        <v>42.8</v>
      </c>
      <c r="U43" s="32">
        <v>3.1821000000000002</v>
      </c>
      <c r="V43" s="32">
        <v>29.667000000000002</v>
      </c>
      <c r="W43" s="32">
        <v>3.7513999999999998</v>
      </c>
      <c r="X43" s="32">
        <v>7.9353999999999996</v>
      </c>
      <c r="Y43" s="32">
        <v>1128.8</v>
      </c>
      <c r="Z43" s="32">
        <v>0.76390000000000002</v>
      </c>
      <c r="AA43" s="32">
        <v>1.7974000000000001</v>
      </c>
      <c r="AB43" s="32">
        <v>4.3075000000000001</v>
      </c>
    </row>
    <row r="44" spans="1:28" ht="15" customHeight="1" x14ac:dyDescent="0.2">
      <c r="A44" s="33">
        <v>41008</v>
      </c>
      <c r="B44" s="32">
        <v>4.3826999999999998</v>
      </c>
      <c r="C44" s="32">
        <v>0.97099999999999997</v>
      </c>
      <c r="D44" s="32">
        <v>1.8245</v>
      </c>
      <c r="E44" s="32">
        <v>485</v>
      </c>
      <c r="F44" s="32">
        <v>6.335</v>
      </c>
      <c r="G44" s="32">
        <v>1775</v>
      </c>
      <c r="H44" s="32">
        <v>18.8582</v>
      </c>
      <c r="I44" s="32">
        <v>39.15</v>
      </c>
      <c r="J44" s="32">
        <v>7.7662000000000004</v>
      </c>
      <c r="K44" s="32">
        <v>226.93</v>
      </c>
      <c r="L44" s="32">
        <v>52.494999999999997</v>
      </c>
      <c r="M44" s="32">
        <v>9115</v>
      </c>
      <c r="N44" s="32">
        <v>3.7490000000000001</v>
      </c>
      <c r="O44" s="32">
        <v>3.0665</v>
      </c>
      <c r="P44" s="32">
        <v>13.0084</v>
      </c>
      <c r="Q44" s="32">
        <v>1.2211000000000001</v>
      </c>
      <c r="R44" s="32">
        <v>90.7</v>
      </c>
      <c r="S44" s="32">
        <v>2.661</v>
      </c>
      <c r="T44" s="32">
        <v>42.8</v>
      </c>
      <c r="U44" s="32">
        <v>3.181</v>
      </c>
      <c r="V44" s="32">
        <v>29.603000000000002</v>
      </c>
      <c r="W44" s="32">
        <v>3.7513999999999998</v>
      </c>
      <c r="X44" s="32">
        <v>7.9344000000000001</v>
      </c>
      <c r="Y44" s="32">
        <v>1132.0999999999999</v>
      </c>
      <c r="Z44" s="32">
        <v>0.76390000000000002</v>
      </c>
      <c r="AA44" s="32">
        <v>1.7971999999999999</v>
      </c>
      <c r="AB44" s="32">
        <v>4.2961999999999998</v>
      </c>
    </row>
    <row r="45" spans="1:28" ht="15" customHeight="1" x14ac:dyDescent="0.2">
      <c r="A45" s="33">
        <v>41009</v>
      </c>
      <c r="B45" s="32">
        <v>4.3814000000000002</v>
      </c>
      <c r="C45" s="32">
        <v>0.97140000000000004</v>
      </c>
      <c r="D45" s="32">
        <v>1.8265</v>
      </c>
      <c r="E45" s="32">
        <v>485.9</v>
      </c>
      <c r="F45" s="32">
        <v>6.3285999999999998</v>
      </c>
      <c r="G45" s="32">
        <v>1793.48</v>
      </c>
      <c r="H45" s="32">
        <v>18.905899999999999</v>
      </c>
      <c r="I45" s="32">
        <v>39.347299999999997</v>
      </c>
      <c r="J45" s="32">
        <v>7.7664</v>
      </c>
      <c r="K45" s="32">
        <v>226.51300000000001</v>
      </c>
      <c r="L45" s="32">
        <v>52.260800000000003</v>
      </c>
      <c r="M45" s="32">
        <v>9165.9</v>
      </c>
      <c r="N45" s="32">
        <v>3.7523</v>
      </c>
      <c r="O45" s="32">
        <v>3.0649999999999999</v>
      </c>
      <c r="P45" s="32">
        <v>13.016500000000001</v>
      </c>
      <c r="Q45" s="32">
        <v>1.2209000000000001</v>
      </c>
      <c r="R45" s="32">
        <v>91.034300000000002</v>
      </c>
      <c r="S45" s="32">
        <v>2.6937000000000002</v>
      </c>
      <c r="T45" s="32">
        <v>42.776499999999999</v>
      </c>
      <c r="U45" s="32">
        <v>3.1901000000000002</v>
      </c>
      <c r="V45" s="32">
        <v>29.661300000000001</v>
      </c>
      <c r="W45" s="32">
        <v>3.7507000000000001</v>
      </c>
      <c r="X45" s="32">
        <v>7.8989000000000003</v>
      </c>
      <c r="Y45" s="32">
        <v>1129.69</v>
      </c>
      <c r="Z45" s="32">
        <v>0.76459999999999995</v>
      </c>
      <c r="AA45" s="32">
        <v>1.7985</v>
      </c>
      <c r="AB45" s="32">
        <v>4.3032000000000004</v>
      </c>
    </row>
    <row r="46" spans="1:28" ht="15" customHeight="1" x14ac:dyDescent="0.2">
      <c r="A46" s="33">
        <v>41010</v>
      </c>
      <c r="B46" s="32">
        <v>4.3804999999999996</v>
      </c>
      <c r="C46" s="32">
        <v>0.97170000000000001</v>
      </c>
      <c r="D46" s="32">
        <v>1.8260000000000001</v>
      </c>
      <c r="E46" s="32">
        <v>489.7</v>
      </c>
      <c r="F46" s="32">
        <v>6.3269000000000002</v>
      </c>
      <c r="G46" s="32">
        <v>1781.15</v>
      </c>
      <c r="H46" s="32">
        <v>18.917899999999999</v>
      </c>
      <c r="I46" s="32">
        <v>39.221299999999999</v>
      </c>
      <c r="J46" s="32">
        <v>7.7655000000000003</v>
      </c>
      <c r="K46" s="32">
        <v>226.636</v>
      </c>
      <c r="L46" s="32">
        <v>52.266399999999997</v>
      </c>
      <c r="M46" s="32">
        <v>9182.74</v>
      </c>
      <c r="N46" s="32">
        <v>3.7521</v>
      </c>
      <c r="O46" s="32">
        <v>3.0680000000000001</v>
      </c>
      <c r="P46" s="32">
        <v>13.055999999999999</v>
      </c>
      <c r="Q46" s="32">
        <v>1.2224999999999999</v>
      </c>
      <c r="R46" s="32">
        <v>90.535700000000006</v>
      </c>
      <c r="S46" s="32">
        <v>2.6642999999999999</v>
      </c>
      <c r="T46" s="32">
        <v>42.937899999999999</v>
      </c>
      <c r="U46" s="32">
        <v>3.1951000000000001</v>
      </c>
      <c r="V46" s="32">
        <v>29.691500000000001</v>
      </c>
      <c r="W46" s="32">
        <v>3.7507000000000001</v>
      </c>
      <c r="X46" s="32">
        <v>7.9386000000000001</v>
      </c>
      <c r="Y46" s="32">
        <v>1135.46</v>
      </c>
      <c r="Z46" s="32">
        <v>0.76339999999999997</v>
      </c>
      <c r="AA46" s="32">
        <v>1.8045</v>
      </c>
      <c r="AB46" s="32">
        <v>4.3051000000000004</v>
      </c>
    </row>
    <row r="47" spans="1:28" ht="15" customHeight="1" x14ac:dyDescent="0.2">
      <c r="A47" s="33">
        <v>41011</v>
      </c>
      <c r="B47" s="32">
        <v>4.3849999999999998</v>
      </c>
      <c r="C47" s="32">
        <v>0.97219999999999995</v>
      </c>
      <c r="D47" s="32">
        <v>1.8346</v>
      </c>
      <c r="E47" s="32">
        <v>488</v>
      </c>
      <c r="F47" s="32">
        <v>6.3277000000000001</v>
      </c>
      <c r="G47" s="32">
        <v>1787.63</v>
      </c>
      <c r="H47" s="32">
        <v>18.964200000000002</v>
      </c>
      <c r="I47" s="32">
        <v>39.171799999999998</v>
      </c>
      <c r="J47" s="32">
        <v>7.7648999999999999</v>
      </c>
      <c r="K47" s="32">
        <v>227.91300000000001</v>
      </c>
      <c r="L47" s="32">
        <v>52.363399999999999</v>
      </c>
      <c r="M47" s="32">
        <v>9199.6299999999992</v>
      </c>
      <c r="N47" s="32">
        <v>3.7582</v>
      </c>
      <c r="O47" s="32">
        <v>3.0689000000000002</v>
      </c>
      <c r="P47" s="32">
        <v>13.1532</v>
      </c>
      <c r="Q47" s="32">
        <v>1.2236</v>
      </c>
      <c r="R47" s="32">
        <v>90.862399999999994</v>
      </c>
      <c r="S47" s="32">
        <v>2.6671</v>
      </c>
      <c r="T47" s="32">
        <v>42.882100000000001</v>
      </c>
      <c r="U47" s="32">
        <v>3.2042000000000002</v>
      </c>
      <c r="V47" s="32">
        <v>29.7681</v>
      </c>
      <c r="W47" s="32">
        <v>3.7507000000000001</v>
      </c>
      <c r="X47" s="32">
        <v>7.9968000000000004</v>
      </c>
      <c r="Y47" s="32">
        <v>1144.82</v>
      </c>
      <c r="Z47" s="32">
        <v>0.7631</v>
      </c>
      <c r="AA47" s="32">
        <v>1.8105</v>
      </c>
      <c r="AB47" s="32">
        <v>4.3018999999999998</v>
      </c>
    </row>
    <row r="48" spans="1:28" ht="15" customHeight="1" x14ac:dyDescent="0.2">
      <c r="A48" s="33">
        <v>41012</v>
      </c>
      <c r="B48" s="32">
        <v>4.3930999999999996</v>
      </c>
      <c r="C48" s="32">
        <v>0.96289999999999998</v>
      </c>
      <c r="D48" s="32">
        <v>1.8341000000000001</v>
      </c>
      <c r="E48" s="32">
        <v>483.3</v>
      </c>
      <c r="F48" s="32">
        <v>6.3239999999999998</v>
      </c>
      <c r="G48" s="32">
        <v>1793.7</v>
      </c>
      <c r="H48" s="32">
        <v>18.889099999999999</v>
      </c>
      <c r="I48" s="32">
        <v>39.148499999999999</v>
      </c>
      <c r="J48" s="32">
        <v>7.7643000000000004</v>
      </c>
      <c r="K48" s="32">
        <v>226.34100000000001</v>
      </c>
      <c r="L48" s="32">
        <v>52.254199999999997</v>
      </c>
      <c r="M48" s="32">
        <v>9191.18</v>
      </c>
      <c r="N48" s="32">
        <v>3.7574000000000001</v>
      </c>
      <c r="O48" s="32">
        <v>3.073</v>
      </c>
      <c r="P48" s="32">
        <v>13.118399999999999</v>
      </c>
      <c r="Q48" s="32">
        <v>1.2162999999999999</v>
      </c>
      <c r="R48" s="32">
        <v>90.9649</v>
      </c>
      <c r="S48" s="32">
        <v>2.6726000000000001</v>
      </c>
      <c r="T48" s="32">
        <v>42.800600000000003</v>
      </c>
      <c r="U48" s="32">
        <v>3.1816</v>
      </c>
      <c r="V48" s="32">
        <v>29.561499999999999</v>
      </c>
      <c r="W48" s="32">
        <v>3.7507000000000001</v>
      </c>
      <c r="X48" s="32">
        <v>7.9519000000000002</v>
      </c>
      <c r="Y48" s="32">
        <v>1141.42</v>
      </c>
      <c r="Z48" s="32">
        <v>0.76070000000000004</v>
      </c>
      <c r="AA48" s="32">
        <v>1.8017000000000001</v>
      </c>
      <c r="AB48" s="32">
        <v>4.3018999999999998</v>
      </c>
    </row>
    <row r="49" spans="1:28" ht="15" customHeight="1" x14ac:dyDescent="0.2">
      <c r="A49" s="33">
        <v>41013</v>
      </c>
      <c r="B49" s="32">
        <v>4.3967999999999998</v>
      </c>
      <c r="C49" s="32">
        <v>0.96189999999999998</v>
      </c>
      <c r="D49" s="32">
        <v>1.8329</v>
      </c>
      <c r="E49" s="32">
        <v>485.5</v>
      </c>
      <c r="F49" s="32">
        <v>6.3151000000000002</v>
      </c>
      <c r="G49" s="32">
        <v>1790.3</v>
      </c>
      <c r="H49" s="32">
        <v>18.8536</v>
      </c>
      <c r="I49" s="32">
        <v>39.229799999999997</v>
      </c>
      <c r="J49" s="32">
        <v>7.7617000000000003</v>
      </c>
      <c r="K49" s="32">
        <v>226.084</v>
      </c>
      <c r="L49" s="32">
        <v>52.2361</v>
      </c>
      <c r="M49" s="32">
        <v>9208.1</v>
      </c>
      <c r="N49" s="32">
        <v>3.7515000000000001</v>
      </c>
      <c r="O49" s="32">
        <v>3.0609000000000002</v>
      </c>
      <c r="P49" s="32">
        <v>13.0982</v>
      </c>
      <c r="Q49" s="32">
        <v>1.2081999999999999</v>
      </c>
      <c r="R49" s="32">
        <v>91.003799999999998</v>
      </c>
      <c r="S49" s="32">
        <v>2.6718999999999999</v>
      </c>
      <c r="T49" s="32">
        <v>42.750500000000002</v>
      </c>
      <c r="U49" s="32">
        <v>3.1817000000000002</v>
      </c>
      <c r="V49" s="32">
        <v>29.514299999999999</v>
      </c>
      <c r="W49" s="32">
        <v>3.7507999999999999</v>
      </c>
      <c r="X49" s="32">
        <v>7.9165999999999999</v>
      </c>
      <c r="Y49" s="32">
        <v>1135.33</v>
      </c>
      <c r="Z49" s="32">
        <v>0.76090000000000002</v>
      </c>
      <c r="AA49" s="32">
        <v>1.7951999999999999</v>
      </c>
      <c r="AB49" s="32">
        <v>4.3018999999999998</v>
      </c>
    </row>
    <row r="50" spans="1:28" ht="15" customHeight="1" x14ac:dyDescent="0.2">
      <c r="A50" s="33">
        <v>41014</v>
      </c>
      <c r="B50" s="32">
        <v>4.4150999999999998</v>
      </c>
      <c r="C50" s="32">
        <v>0.96440000000000003</v>
      </c>
      <c r="D50" s="32">
        <v>1.8446</v>
      </c>
      <c r="E50" s="32">
        <v>485.5</v>
      </c>
      <c r="F50" s="32">
        <v>6.3319999999999999</v>
      </c>
      <c r="G50" s="32">
        <v>1787.7</v>
      </c>
      <c r="H50" s="32">
        <v>18.934799999999999</v>
      </c>
      <c r="I50" s="32">
        <v>39.323500000000003</v>
      </c>
      <c r="J50" s="32">
        <v>7.7609000000000004</v>
      </c>
      <c r="K50" s="32">
        <v>227.923</v>
      </c>
      <c r="L50" s="32">
        <v>52.755000000000003</v>
      </c>
      <c r="M50" s="32">
        <v>9216.59</v>
      </c>
      <c r="N50" s="32">
        <v>3.7622</v>
      </c>
      <c r="O50" s="32">
        <v>3.0750999999999999</v>
      </c>
      <c r="P50" s="32">
        <v>13.199299999999999</v>
      </c>
      <c r="Q50" s="32">
        <v>1.216</v>
      </c>
      <c r="R50" s="32">
        <v>91.166200000000003</v>
      </c>
      <c r="S50" s="32">
        <v>2.6802000000000001</v>
      </c>
      <c r="T50" s="32">
        <v>42.926299999999998</v>
      </c>
      <c r="U50" s="32">
        <v>3.2120000000000002</v>
      </c>
      <c r="V50" s="32">
        <v>29.7973</v>
      </c>
      <c r="W50" s="32">
        <v>3.7515000000000001</v>
      </c>
      <c r="X50" s="32">
        <v>7.9983000000000004</v>
      </c>
      <c r="Y50" s="32">
        <v>1141.29</v>
      </c>
      <c r="Z50" s="32">
        <v>0.76490000000000002</v>
      </c>
      <c r="AA50" s="32">
        <v>1.7985</v>
      </c>
      <c r="AB50" s="32">
        <v>4.2996999999999996</v>
      </c>
    </row>
    <row r="51" spans="1:28" ht="15" customHeight="1" x14ac:dyDescent="0.2">
      <c r="A51" s="33">
        <v>41015</v>
      </c>
      <c r="B51" s="32">
        <v>4.4823000000000004</v>
      </c>
      <c r="C51" s="32">
        <v>0.96430000000000005</v>
      </c>
      <c r="D51" s="32">
        <v>1.8452</v>
      </c>
      <c r="E51" s="32">
        <v>485.5</v>
      </c>
      <c r="F51" s="32">
        <v>6.3319999999999999</v>
      </c>
      <c r="G51" s="32">
        <v>1827.25</v>
      </c>
      <c r="H51" s="32">
        <v>18.876000000000001</v>
      </c>
      <c r="I51" s="32">
        <v>39.845100000000002</v>
      </c>
      <c r="J51" s="32">
        <v>7.7609000000000004</v>
      </c>
      <c r="K51" s="32">
        <v>227.92</v>
      </c>
      <c r="L51" s="32">
        <v>52.755000000000003</v>
      </c>
      <c r="M51" s="32">
        <v>9372.07</v>
      </c>
      <c r="N51" s="32">
        <v>3.7631999999999999</v>
      </c>
      <c r="O51" s="32">
        <v>3.1339999999999999</v>
      </c>
      <c r="P51" s="32">
        <v>13.198499999999999</v>
      </c>
      <c r="Q51" s="32">
        <v>1.2158</v>
      </c>
      <c r="R51" s="32">
        <v>92.502099999999999</v>
      </c>
      <c r="S51" s="32">
        <v>2.7393999999999998</v>
      </c>
      <c r="T51" s="32">
        <v>43.245199999999997</v>
      </c>
      <c r="U51" s="32">
        <v>3.2461000000000002</v>
      </c>
      <c r="V51" s="32">
        <v>30.425799999999999</v>
      </c>
      <c r="W51" s="32">
        <v>3.7515000000000001</v>
      </c>
      <c r="X51" s="32">
        <v>7.9984999999999999</v>
      </c>
      <c r="Y51" s="32">
        <v>1162.52</v>
      </c>
      <c r="Z51" s="32">
        <v>0.76500000000000001</v>
      </c>
      <c r="AA51" s="32">
        <v>1.7985</v>
      </c>
      <c r="AB51" s="32">
        <v>4.2996999999999996</v>
      </c>
    </row>
    <row r="52" spans="1:28" ht="15" customHeight="1" x14ac:dyDescent="0.2">
      <c r="A52" s="33">
        <v>41016</v>
      </c>
      <c r="B52" s="32">
        <v>4.4344999999999999</v>
      </c>
      <c r="C52" s="32">
        <v>0.9667</v>
      </c>
      <c r="D52" s="32">
        <v>1.8421000000000001</v>
      </c>
      <c r="E52" s="32">
        <v>489.5</v>
      </c>
      <c r="F52" s="32">
        <v>6.3246000000000002</v>
      </c>
      <c r="G52" s="32">
        <v>1808.91</v>
      </c>
      <c r="H52" s="32">
        <v>18.997</v>
      </c>
      <c r="I52" s="32">
        <v>39.6008</v>
      </c>
      <c r="J52" s="32">
        <v>7.7590000000000003</v>
      </c>
      <c r="K52" s="32">
        <v>228.547</v>
      </c>
      <c r="L52" s="32">
        <v>52.484699999999997</v>
      </c>
      <c r="M52" s="32">
        <v>9293.68</v>
      </c>
      <c r="N52" s="32">
        <v>3.7627000000000002</v>
      </c>
      <c r="O52" s="32">
        <v>3.0994999999999999</v>
      </c>
      <c r="P52" s="32">
        <v>13.222099999999999</v>
      </c>
      <c r="Q52" s="32">
        <v>1.2195</v>
      </c>
      <c r="R52" s="32">
        <v>91.915000000000006</v>
      </c>
      <c r="S52" s="32">
        <v>2.7111000000000001</v>
      </c>
      <c r="T52" s="32">
        <v>43.269300000000001</v>
      </c>
      <c r="U52" s="32">
        <v>3.2124000000000001</v>
      </c>
      <c r="V52" s="32">
        <v>29.740400000000001</v>
      </c>
      <c r="W52" s="32">
        <v>3.7507999999999999</v>
      </c>
      <c r="X52" s="32">
        <v>7.9759000000000002</v>
      </c>
      <c r="Y52" s="32">
        <v>1149.03</v>
      </c>
      <c r="Z52" s="32">
        <v>0.76619999999999999</v>
      </c>
      <c r="AA52" s="32">
        <v>1.7997000000000001</v>
      </c>
      <c r="AB52" s="32">
        <v>4.3021000000000003</v>
      </c>
    </row>
    <row r="53" spans="1:28" ht="15" customHeight="1" x14ac:dyDescent="0.2">
      <c r="A53" s="33">
        <v>41017</v>
      </c>
      <c r="B53" s="32">
        <v>4.3974000000000002</v>
      </c>
      <c r="C53" s="32">
        <v>0.96499999999999997</v>
      </c>
      <c r="D53" s="32">
        <v>1.8496999999999999</v>
      </c>
      <c r="E53" s="32">
        <v>485.9</v>
      </c>
      <c r="F53" s="32">
        <v>6.3189000000000002</v>
      </c>
      <c r="G53" s="32">
        <v>1777.54</v>
      </c>
      <c r="H53" s="32">
        <v>18.8811</v>
      </c>
      <c r="I53" s="32">
        <v>39.132399999999997</v>
      </c>
      <c r="J53" s="32">
        <v>7.76</v>
      </c>
      <c r="K53" s="32">
        <v>226.68199999999999</v>
      </c>
      <c r="L53" s="32">
        <v>52.280500000000004</v>
      </c>
      <c r="M53" s="32">
        <v>9199.6299999999992</v>
      </c>
      <c r="N53" s="32">
        <v>3.7578</v>
      </c>
      <c r="O53" s="32">
        <v>3.0695999999999999</v>
      </c>
      <c r="P53" s="32">
        <v>13.173</v>
      </c>
      <c r="Q53" s="32">
        <v>1.2208000000000001</v>
      </c>
      <c r="R53" s="32">
        <v>91.072199999999995</v>
      </c>
      <c r="S53" s="32">
        <v>2.6634000000000002</v>
      </c>
      <c r="T53" s="32">
        <v>42.802900000000001</v>
      </c>
      <c r="U53" s="32">
        <v>3.1901000000000002</v>
      </c>
      <c r="V53" s="32">
        <v>29.575800000000001</v>
      </c>
      <c r="W53" s="32">
        <v>3.7507000000000001</v>
      </c>
      <c r="X53" s="32">
        <v>7.8856000000000002</v>
      </c>
      <c r="Y53" s="32">
        <v>1138.04</v>
      </c>
      <c r="Z53" s="32">
        <v>0.76170000000000004</v>
      </c>
      <c r="AA53" s="32">
        <v>1.7932999999999999</v>
      </c>
      <c r="AB53" s="32">
        <v>4.3021000000000003</v>
      </c>
    </row>
    <row r="54" spans="1:28" ht="15" customHeight="1" x14ac:dyDescent="0.2">
      <c r="A54" s="33">
        <v>41018</v>
      </c>
      <c r="B54" s="32">
        <v>4.3973000000000004</v>
      </c>
      <c r="C54" s="32">
        <v>0.96350000000000002</v>
      </c>
      <c r="D54" s="32">
        <v>1.8657999999999999</v>
      </c>
      <c r="E54" s="32">
        <v>489.35</v>
      </c>
      <c r="F54" s="32">
        <v>6.3196000000000003</v>
      </c>
      <c r="G54" s="32">
        <v>1783.99</v>
      </c>
      <c r="H54" s="32">
        <v>18.9101</v>
      </c>
      <c r="I54" s="32">
        <v>39.152900000000002</v>
      </c>
      <c r="J54" s="32">
        <v>7.7610000000000001</v>
      </c>
      <c r="K54" s="32">
        <v>226.52199999999999</v>
      </c>
      <c r="L54" s="32">
        <v>52.3459</v>
      </c>
      <c r="M54" s="32">
        <v>9225.09</v>
      </c>
      <c r="N54" s="32">
        <v>3.7627999999999999</v>
      </c>
      <c r="O54" s="32">
        <v>3.0670999999999999</v>
      </c>
      <c r="P54" s="32">
        <v>13.124499999999999</v>
      </c>
      <c r="Q54" s="32">
        <v>1.2206999999999999</v>
      </c>
      <c r="R54" s="32">
        <v>91.108400000000003</v>
      </c>
      <c r="S54" s="32">
        <v>2.6781000000000001</v>
      </c>
      <c r="T54" s="32">
        <v>42.756</v>
      </c>
      <c r="U54" s="32">
        <v>3.1876000000000002</v>
      </c>
      <c r="V54" s="32">
        <v>29.527000000000001</v>
      </c>
      <c r="W54" s="32">
        <v>3.7507999999999999</v>
      </c>
      <c r="X54" s="32">
        <v>7.8238000000000003</v>
      </c>
      <c r="Y54" s="32">
        <v>1139.08</v>
      </c>
      <c r="Z54" s="32">
        <v>0.76280000000000003</v>
      </c>
      <c r="AA54" s="32">
        <v>1.7901</v>
      </c>
      <c r="AB54" s="32">
        <v>4.3018999999999998</v>
      </c>
    </row>
    <row r="55" spans="1:28" ht="15" customHeight="1" x14ac:dyDescent="0.2">
      <c r="A55" s="33">
        <v>41019</v>
      </c>
      <c r="B55" s="32">
        <v>4.4013999999999998</v>
      </c>
      <c r="C55" s="32">
        <v>0.96609999999999996</v>
      </c>
      <c r="D55" s="32">
        <v>1.8842000000000001</v>
      </c>
      <c r="E55" s="32">
        <v>488.7</v>
      </c>
      <c r="F55" s="32">
        <v>6.3212000000000002</v>
      </c>
      <c r="G55" s="32">
        <v>1780.74</v>
      </c>
      <c r="H55" s="32">
        <v>18.926500000000001</v>
      </c>
      <c r="I55" s="32">
        <v>39.207799999999999</v>
      </c>
      <c r="J55" s="32">
        <v>7.7615999999999996</v>
      </c>
      <c r="K55" s="32">
        <v>226.64500000000001</v>
      </c>
      <c r="L55" s="32">
        <v>52.705100000000002</v>
      </c>
      <c r="M55" s="32">
        <v>9199.6299999999992</v>
      </c>
      <c r="N55" s="32">
        <v>3.7652999999999999</v>
      </c>
      <c r="O55" s="32">
        <v>3.0693000000000001</v>
      </c>
      <c r="P55" s="32">
        <v>13.210100000000001</v>
      </c>
      <c r="Q55" s="32">
        <v>1.2255</v>
      </c>
      <c r="R55" s="32">
        <v>91.153999999999996</v>
      </c>
      <c r="S55" s="32">
        <v>2.6749000000000001</v>
      </c>
      <c r="T55" s="32">
        <v>42.750700000000002</v>
      </c>
      <c r="U55" s="32">
        <v>3.1922999999999999</v>
      </c>
      <c r="V55" s="32">
        <v>29.543099999999999</v>
      </c>
      <c r="W55" s="32">
        <v>3.7507000000000001</v>
      </c>
      <c r="X55" s="32">
        <v>7.8479999999999999</v>
      </c>
      <c r="Y55" s="32">
        <v>1140.6400000000001</v>
      </c>
      <c r="Z55" s="32">
        <v>0.7621</v>
      </c>
      <c r="AA55" s="32">
        <v>1.7904</v>
      </c>
      <c r="AB55" s="32">
        <v>4.3021000000000003</v>
      </c>
    </row>
    <row r="56" spans="1:28" ht="15" customHeight="1" x14ac:dyDescent="0.2">
      <c r="A56" s="33">
        <v>41020</v>
      </c>
      <c r="B56" s="32">
        <v>4.4024999999999999</v>
      </c>
      <c r="C56" s="32">
        <v>0.96660000000000001</v>
      </c>
      <c r="D56" s="32">
        <v>1.8807</v>
      </c>
      <c r="E56" s="32">
        <v>487.1</v>
      </c>
      <c r="F56" s="32">
        <v>6.3209</v>
      </c>
      <c r="G56" s="32">
        <v>1778.74</v>
      </c>
      <c r="H56" s="32">
        <v>18.894500000000001</v>
      </c>
      <c r="I56" s="32">
        <v>39.142600000000002</v>
      </c>
      <c r="J56" s="32">
        <v>7.7618</v>
      </c>
      <c r="K56" s="32">
        <v>225.559</v>
      </c>
      <c r="L56" s="32">
        <v>52.876100000000001</v>
      </c>
      <c r="M56" s="32">
        <v>9199.6299999999992</v>
      </c>
      <c r="N56" s="32">
        <v>3.7614999999999998</v>
      </c>
      <c r="O56" s="32">
        <v>3.0684999999999998</v>
      </c>
      <c r="P56" s="32">
        <v>13.170500000000001</v>
      </c>
      <c r="Q56" s="32">
        <v>1.2274</v>
      </c>
      <c r="R56" s="32">
        <v>91.021000000000001</v>
      </c>
      <c r="S56" s="32">
        <v>2.6608999999999998</v>
      </c>
      <c r="T56" s="32">
        <v>42.721299999999999</v>
      </c>
      <c r="U56" s="32">
        <v>3.1812999999999998</v>
      </c>
      <c r="V56" s="32">
        <v>29.511299999999999</v>
      </c>
      <c r="W56" s="32">
        <v>3.7507000000000001</v>
      </c>
      <c r="X56" s="32">
        <v>7.8379000000000003</v>
      </c>
      <c r="Y56" s="32">
        <v>1140.51</v>
      </c>
      <c r="Z56" s="32">
        <v>0.75919999999999999</v>
      </c>
      <c r="AA56" s="32">
        <v>1.7927</v>
      </c>
      <c r="AB56" s="32">
        <v>4.3019999999999996</v>
      </c>
    </row>
    <row r="57" spans="1:28" ht="15" customHeight="1" x14ac:dyDescent="0.2">
      <c r="A57" s="33">
        <v>41021</v>
      </c>
      <c r="B57" s="32">
        <v>4.4077999999999999</v>
      </c>
      <c r="C57" s="32">
        <v>0.96389999999999998</v>
      </c>
      <c r="D57" s="32">
        <v>1.8747</v>
      </c>
      <c r="E57" s="32">
        <v>487.1</v>
      </c>
      <c r="F57" s="32">
        <v>6.3372999999999999</v>
      </c>
      <c r="G57" s="32">
        <v>1771.5</v>
      </c>
      <c r="H57" s="32">
        <v>18.900099999999998</v>
      </c>
      <c r="I57" s="32">
        <v>39.1</v>
      </c>
      <c r="J57" s="32">
        <v>7.7621000000000002</v>
      </c>
      <c r="K57" s="32">
        <v>225.12899999999999</v>
      </c>
      <c r="L57" s="32">
        <v>53.33</v>
      </c>
      <c r="M57" s="32">
        <v>9208.1</v>
      </c>
      <c r="N57" s="32">
        <v>3.7622</v>
      </c>
      <c r="O57" s="32">
        <v>3.0644</v>
      </c>
      <c r="P57" s="32">
        <v>13.1219</v>
      </c>
      <c r="Q57" s="32">
        <v>1.2222999999999999</v>
      </c>
      <c r="R57" s="32">
        <v>90.9</v>
      </c>
      <c r="S57" s="32">
        <v>2.6520000000000001</v>
      </c>
      <c r="T57" s="32">
        <v>42.674999999999997</v>
      </c>
      <c r="U57" s="32">
        <v>3.1703000000000001</v>
      </c>
      <c r="V57" s="32">
        <v>29.479600000000001</v>
      </c>
      <c r="W57" s="32">
        <v>3.7513999999999998</v>
      </c>
      <c r="X57" s="32">
        <v>7.8620999999999999</v>
      </c>
      <c r="Y57" s="32">
        <v>1140.1199999999999</v>
      </c>
      <c r="Z57" s="32">
        <v>0.75690000000000002</v>
      </c>
      <c r="AA57" s="32">
        <v>1.7941</v>
      </c>
      <c r="AB57" s="32">
        <v>4.2996999999999996</v>
      </c>
    </row>
    <row r="58" spans="1:28" ht="15" customHeight="1" x14ac:dyDescent="0.2">
      <c r="A58" s="33">
        <v>41022</v>
      </c>
      <c r="B58" s="32">
        <v>4.4074</v>
      </c>
      <c r="C58" s="32">
        <v>0.96360000000000001</v>
      </c>
      <c r="D58" s="32">
        <v>1.8755999999999999</v>
      </c>
      <c r="E58" s="32">
        <v>487.1</v>
      </c>
      <c r="F58" s="32">
        <v>6.3372999999999999</v>
      </c>
      <c r="G58" s="32">
        <v>1790.52</v>
      </c>
      <c r="H58" s="32">
        <v>18.9053</v>
      </c>
      <c r="I58" s="32">
        <v>39.241799999999998</v>
      </c>
      <c r="J58" s="32">
        <v>7.7621000000000002</v>
      </c>
      <c r="K58" s="32">
        <v>225.11</v>
      </c>
      <c r="L58" s="32">
        <v>53.33</v>
      </c>
      <c r="M58" s="32">
        <v>9199.6299999999992</v>
      </c>
      <c r="N58" s="32">
        <v>3.7665999999999999</v>
      </c>
      <c r="O58" s="32">
        <v>3.0642</v>
      </c>
      <c r="P58" s="32">
        <v>13.1218</v>
      </c>
      <c r="Q58" s="32">
        <v>1.2224999999999999</v>
      </c>
      <c r="R58" s="32">
        <v>91.306600000000003</v>
      </c>
      <c r="S58" s="32">
        <v>2.6808000000000001</v>
      </c>
      <c r="T58" s="32">
        <v>42.655700000000003</v>
      </c>
      <c r="U58" s="32">
        <v>3.1698</v>
      </c>
      <c r="V58" s="32">
        <v>29.453199999999999</v>
      </c>
      <c r="W58" s="32">
        <v>3.7513999999999998</v>
      </c>
      <c r="X58" s="32">
        <v>7.8627000000000002</v>
      </c>
      <c r="Y58" s="32">
        <v>1140.1199999999999</v>
      </c>
      <c r="Z58" s="32">
        <v>0.75739999999999996</v>
      </c>
      <c r="AA58" s="32">
        <v>1.7941</v>
      </c>
      <c r="AB58" s="32">
        <v>4.2996999999999996</v>
      </c>
    </row>
    <row r="59" spans="1:28" ht="15" customHeight="1" x14ac:dyDescent="0.2">
      <c r="A59" s="33">
        <v>41023</v>
      </c>
      <c r="B59" s="32">
        <v>4.4181999999999997</v>
      </c>
      <c r="C59" s="32">
        <v>0.96889999999999998</v>
      </c>
      <c r="D59" s="32">
        <v>1.8765000000000001</v>
      </c>
      <c r="E59" s="32">
        <v>490</v>
      </c>
      <c r="F59" s="32">
        <v>6.3221999999999996</v>
      </c>
      <c r="G59" s="32">
        <v>1773</v>
      </c>
      <c r="H59" s="32">
        <v>18.970700000000001</v>
      </c>
      <c r="I59" s="32">
        <v>39.369999999999997</v>
      </c>
      <c r="J59" s="32">
        <v>7.7613000000000003</v>
      </c>
      <c r="K59" s="32">
        <v>225.69900000000001</v>
      </c>
      <c r="L59" s="32">
        <v>53.230200000000004</v>
      </c>
      <c r="M59" s="32">
        <v>9208.1</v>
      </c>
      <c r="N59" s="32">
        <v>3.7669000000000001</v>
      </c>
      <c r="O59" s="32">
        <v>3.0718999999999999</v>
      </c>
      <c r="P59" s="32">
        <v>13.1623</v>
      </c>
      <c r="Q59" s="32">
        <v>1.2290000000000001</v>
      </c>
      <c r="R59" s="32">
        <v>91.05</v>
      </c>
      <c r="S59" s="32">
        <v>2.6560000000000001</v>
      </c>
      <c r="T59" s="32">
        <v>42.637999999999998</v>
      </c>
      <c r="U59" s="32">
        <v>3.1814</v>
      </c>
      <c r="V59" s="32">
        <v>29.535799999999998</v>
      </c>
      <c r="W59" s="32">
        <v>3.7507000000000001</v>
      </c>
      <c r="X59" s="32">
        <v>7.8491</v>
      </c>
      <c r="Y59" s="32">
        <v>1142.99</v>
      </c>
      <c r="Z59" s="32">
        <v>0.75980000000000003</v>
      </c>
      <c r="AA59" s="32">
        <v>1.7975000000000001</v>
      </c>
      <c r="AB59" s="32">
        <v>4.2961999999999998</v>
      </c>
    </row>
    <row r="60" spans="1:28" ht="15" customHeight="1" x14ac:dyDescent="0.2">
      <c r="A60" s="33">
        <v>41024</v>
      </c>
      <c r="B60" s="32">
        <v>4.4095000000000004</v>
      </c>
      <c r="C60" s="32">
        <v>0.9718</v>
      </c>
      <c r="D60" s="32">
        <v>1.8819999999999999</v>
      </c>
      <c r="E60" s="32">
        <v>489</v>
      </c>
      <c r="F60" s="32">
        <v>6.3220999999999998</v>
      </c>
      <c r="G60" s="32">
        <v>1776.06</v>
      </c>
      <c r="H60" s="32">
        <v>18.989699999999999</v>
      </c>
      <c r="I60" s="32">
        <v>39.157299999999999</v>
      </c>
      <c r="J60" s="32">
        <v>7.7606000000000002</v>
      </c>
      <c r="K60" s="32">
        <v>225.82499999999999</v>
      </c>
      <c r="L60" s="32">
        <v>53.495800000000003</v>
      </c>
      <c r="M60" s="32">
        <v>9199.6299999999992</v>
      </c>
      <c r="N60" s="32">
        <v>3.7616000000000001</v>
      </c>
      <c r="O60" s="32">
        <v>3.0691999999999999</v>
      </c>
      <c r="P60" s="32">
        <v>13.1799</v>
      </c>
      <c r="Q60" s="32">
        <v>1.2307999999999999</v>
      </c>
      <c r="R60" s="32">
        <v>91.156899999999993</v>
      </c>
      <c r="S60" s="32">
        <v>2.6642000000000001</v>
      </c>
      <c r="T60" s="32">
        <v>42.829599999999999</v>
      </c>
      <c r="U60" s="32">
        <v>3.1947000000000001</v>
      </c>
      <c r="V60" s="32">
        <v>29.4481</v>
      </c>
      <c r="W60" s="32">
        <v>3.7507000000000001</v>
      </c>
      <c r="X60" s="32">
        <v>7.8383000000000003</v>
      </c>
      <c r="Y60" s="32">
        <v>1141.29</v>
      </c>
      <c r="Z60" s="32">
        <v>0.75929999999999997</v>
      </c>
      <c r="AA60" s="32">
        <v>1.7897000000000001</v>
      </c>
      <c r="AB60" s="32">
        <v>4.3018000000000001</v>
      </c>
    </row>
    <row r="61" spans="1:28" ht="15" customHeight="1" x14ac:dyDescent="0.2">
      <c r="A61" s="33">
        <v>41025</v>
      </c>
      <c r="B61" s="32">
        <v>4.4099000000000004</v>
      </c>
      <c r="C61" s="32">
        <v>0.96819999999999995</v>
      </c>
      <c r="D61" s="32">
        <v>1.8847</v>
      </c>
      <c r="E61" s="32">
        <v>488</v>
      </c>
      <c r="F61" s="32">
        <v>6.3196000000000003</v>
      </c>
      <c r="G61" s="32">
        <v>1771</v>
      </c>
      <c r="H61" s="32">
        <v>18.902899999999999</v>
      </c>
      <c r="I61" s="32">
        <v>39.15</v>
      </c>
      <c r="J61" s="32">
        <v>7.7598000000000003</v>
      </c>
      <c r="K61" s="32">
        <v>222.68600000000001</v>
      </c>
      <c r="L61" s="32">
        <v>53.373699999999999</v>
      </c>
      <c r="M61" s="32">
        <v>9208.1</v>
      </c>
      <c r="N61" s="32">
        <v>3.7599</v>
      </c>
      <c r="O61" s="32">
        <v>3.0674999999999999</v>
      </c>
      <c r="P61" s="32">
        <v>13.162599999999999</v>
      </c>
      <c r="Q61" s="32">
        <v>1.2302999999999999</v>
      </c>
      <c r="R61" s="32">
        <v>90.95</v>
      </c>
      <c r="S61" s="32">
        <v>2.6520000000000001</v>
      </c>
      <c r="T61" s="32">
        <v>42.814</v>
      </c>
      <c r="U61" s="32">
        <v>3.1808000000000001</v>
      </c>
      <c r="V61" s="32">
        <v>29.3871</v>
      </c>
      <c r="W61" s="32">
        <v>3.7507000000000001</v>
      </c>
      <c r="X61" s="32">
        <v>7.7779999999999996</v>
      </c>
      <c r="Y61" s="32">
        <v>1140.51</v>
      </c>
      <c r="Z61" s="32">
        <v>0.75739999999999996</v>
      </c>
      <c r="AA61" s="32">
        <v>1.7824</v>
      </c>
      <c r="AB61" s="32">
        <v>4.2996999999999996</v>
      </c>
    </row>
    <row r="62" spans="1:28" ht="15" customHeight="1" x14ac:dyDescent="0.2">
      <c r="A62" s="33">
        <v>41026</v>
      </c>
      <c r="B62" s="32">
        <v>4.4124999999999996</v>
      </c>
      <c r="C62" s="32">
        <v>0.96409999999999996</v>
      </c>
      <c r="D62" s="32">
        <v>1.8848</v>
      </c>
      <c r="E62" s="32">
        <v>485.9</v>
      </c>
      <c r="F62" s="32">
        <v>6.3151999999999999</v>
      </c>
      <c r="G62" s="32">
        <v>1767.88</v>
      </c>
      <c r="H62" s="32">
        <v>18.744599999999998</v>
      </c>
      <c r="I62" s="32">
        <v>39.128500000000003</v>
      </c>
      <c r="J62" s="32">
        <v>7.7595000000000001</v>
      </c>
      <c r="K62" s="32">
        <v>217.84899999999999</v>
      </c>
      <c r="L62" s="32">
        <v>53.268500000000003</v>
      </c>
      <c r="M62" s="32">
        <v>9216.59</v>
      </c>
      <c r="N62" s="32">
        <v>3.7591999999999999</v>
      </c>
      <c r="O62" s="32">
        <v>3.0548000000000002</v>
      </c>
      <c r="P62" s="32">
        <v>13.172499999999999</v>
      </c>
      <c r="Q62" s="32">
        <v>1.2262999999999999</v>
      </c>
      <c r="R62" s="32">
        <v>90.91</v>
      </c>
      <c r="S62" s="32">
        <v>2.6539000000000001</v>
      </c>
      <c r="T62" s="32">
        <v>42.637500000000003</v>
      </c>
      <c r="U62" s="32">
        <v>3.1602999999999999</v>
      </c>
      <c r="V62" s="32">
        <v>29.330200000000001</v>
      </c>
      <c r="W62" s="32">
        <v>3.7505999999999999</v>
      </c>
      <c r="X62" s="32">
        <v>7.7633000000000001</v>
      </c>
      <c r="Y62" s="32">
        <v>1136.8800000000001</v>
      </c>
      <c r="Z62" s="32">
        <v>0.75600000000000001</v>
      </c>
      <c r="AA62" s="32">
        <v>1.7673000000000001</v>
      </c>
      <c r="AB62" s="32">
        <v>4.3022</v>
      </c>
    </row>
    <row r="63" spans="1:28" ht="15" customHeight="1" x14ac:dyDescent="0.2">
      <c r="A63" s="33">
        <v>41027</v>
      </c>
      <c r="B63" s="32">
        <v>4.4161999999999999</v>
      </c>
      <c r="C63" s="32">
        <v>0.96079999999999999</v>
      </c>
      <c r="D63" s="32">
        <v>1.8877999999999999</v>
      </c>
      <c r="E63" s="32">
        <v>484.5</v>
      </c>
      <c r="F63" s="32">
        <v>6.3164999999999996</v>
      </c>
      <c r="G63" s="32">
        <v>1765</v>
      </c>
      <c r="H63" s="32">
        <v>18.8337</v>
      </c>
      <c r="I63" s="32">
        <v>39.1</v>
      </c>
      <c r="J63" s="32">
        <v>7.7595999999999998</v>
      </c>
      <c r="K63" s="32">
        <v>218.114</v>
      </c>
      <c r="L63" s="32">
        <v>53.251399999999997</v>
      </c>
      <c r="M63" s="32">
        <v>9225.09</v>
      </c>
      <c r="N63" s="32">
        <v>3.7583000000000002</v>
      </c>
      <c r="O63" s="32">
        <v>3.0489000000000002</v>
      </c>
      <c r="P63" s="32">
        <v>13.1477</v>
      </c>
      <c r="Q63" s="32">
        <v>1.2254</v>
      </c>
      <c r="R63" s="32">
        <v>90.91</v>
      </c>
      <c r="S63" s="32">
        <v>2.6459999999999999</v>
      </c>
      <c r="T63" s="32">
        <v>42.526600000000002</v>
      </c>
      <c r="U63" s="32">
        <v>3.1661999999999999</v>
      </c>
      <c r="V63" s="32">
        <v>29.3506</v>
      </c>
      <c r="W63" s="32">
        <v>3.7507000000000001</v>
      </c>
      <c r="X63" s="32">
        <v>7.7850999999999999</v>
      </c>
      <c r="Y63" s="32">
        <v>1133.92</v>
      </c>
      <c r="Z63" s="32">
        <v>0.75660000000000005</v>
      </c>
      <c r="AA63" s="32">
        <v>1.7648999999999999</v>
      </c>
      <c r="AB63" s="32">
        <v>4.2996999999999996</v>
      </c>
    </row>
    <row r="64" spans="1:28" ht="15" customHeight="1" x14ac:dyDescent="0.2">
      <c r="A64" s="33">
        <v>41028</v>
      </c>
      <c r="B64" s="32">
        <v>4.4219999999999997</v>
      </c>
      <c r="C64" s="32">
        <v>0.95550000000000002</v>
      </c>
      <c r="D64" s="32">
        <v>1.8882000000000001</v>
      </c>
      <c r="E64" s="32">
        <v>484.5</v>
      </c>
      <c r="F64" s="32">
        <v>6.3334999999999999</v>
      </c>
      <c r="G64" s="32">
        <v>1761</v>
      </c>
      <c r="H64" s="32">
        <v>18.770600000000002</v>
      </c>
      <c r="I64" s="32">
        <v>39.15</v>
      </c>
      <c r="J64" s="32">
        <v>7.7610000000000001</v>
      </c>
      <c r="K64" s="32">
        <v>216.66499999999999</v>
      </c>
      <c r="L64" s="32">
        <v>53.58</v>
      </c>
      <c r="M64" s="32">
        <v>9199.6299999999992</v>
      </c>
      <c r="N64" s="32">
        <v>3.7521</v>
      </c>
      <c r="O64" s="32">
        <v>3.0493000000000001</v>
      </c>
      <c r="P64" s="32">
        <v>12.988</v>
      </c>
      <c r="Q64" s="32">
        <v>1.2168000000000001</v>
      </c>
      <c r="R64" s="32">
        <v>90.91</v>
      </c>
      <c r="S64" s="32">
        <v>2.637</v>
      </c>
      <c r="T64" s="32">
        <v>42.35</v>
      </c>
      <c r="U64" s="32">
        <v>3.1515</v>
      </c>
      <c r="V64" s="32">
        <v>29.375800000000002</v>
      </c>
      <c r="W64" s="32">
        <v>3.7515000000000001</v>
      </c>
      <c r="X64" s="32">
        <v>7.7911000000000001</v>
      </c>
      <c r="Y64" s="32">
        <v>1134.04</v>
      </c>
      <c r="Z64" s="32">
        <v>0.75470000000000004</v>
      </c>
      <c r="AA64" s="32">
        <v>1.7627999999999999</v>
      </c>
      <c r="AB64" s="32">
        <v>4.2996999999999996</v>
      </c>
    </row>
    <row r="65" spans="1:28" ht="15" customHeight="1" x14ac:dyDescent="0.2">
      <c r="A65" s="33">
        <v>41029</v>
      </c>
      <c r="B65" s="32">
        <v>4.4210000000000003</v>
      </c>
      <c r="C65" s="32">
        <v>0.95569999999999999</v>
      </c>
      <c r="D65" s="32">
        <v>1.8882000000000001</v>
      </c>
      <c r="E65" s="32">
        <v>484.5</v>
      </c>
      <c r="F65" s="32">
        <v>6.3334999999999999</v>
      </c>
      <c r="G65" s="32">
        <v>1781.5</v>
      </c>
      <c r="H65" s="32">
        <v>18.791899999999998</v>
      </c>
      <c r="I65" s="32">
        <v>39.2744</v>
      </c>
      <c r="J65" s="32">
        <v>7.7610000000000001</v>
      </c>
      <c r="K65" s="32">
        <v>216.714</v>
      </c>
      <c r="L65" s="32">
        <v>53.58</v>
      </c>
      <c r="M65" s="32">
        <v>9208.1</v>
      </c>
      <c r="N65" s="32">
        <v>3.7523</v>
      </c>
      <c r="O65" s="32">
        <v>3.0486</v>
      </c>
      <c r="P65" s="32">
        <v>12.988799999999999</v>
      </c>
      <c r="Q65" s="32">
        <v>1.2168000000000001</v>
      </c>
      <c r="R65" s="32">
        <v>91.553600000000003</v>
      </c>
      <c r="S65" s="32">
        <v>2.6722999999999999</v>
      </c>
      <c r="T65" s="32">
        <v>42.338900000000002</v>
      </c>
      <c r="U65" s="32">
        <v>3.1497999999999999</v>
      </c>
      <c r="V65" s="32">
        <v>29.337199999999999</v>
      </c>
      <c r="W65" s="32">
        <v>3.7515000000000001</v>
      </c>
      <c r="X65" s="32">
        <v>7.7923999999999998</v>
      </c>
      <c r="Y65" s="32">
        <v>1133.79</v>
      </c>
      <c r="Z65" s="32">
        <v>0.75490000000000002</v>
      </c>
      <c r="AA65" s="32">
        <v>1.7627999999999999</v>
      </c>
      <c r="AB65" s="32">
        <v>4.2996999999999996</v>
      </c>
    </row>
    <row r="66" spans="1:28" ht="15" customHeight="1" x14ac:dyDescent="0.2">
      <c r="A66" s="33">
        <v>41030</v>
      </c>
      <c r="B66" s="32">
        <v>4.4179000000000004</v>
      </c>
      <c r="C66" s="32">
        <v>0.95820000000000005</v>
      </c>
      <c r="D66" s="32">
        <v>1.8927</v>
      </c>
      <c r="E66" s="32">
        <v>486</v>
      </c>
      <c r="F66" s="32">
        <v>6.3144</v>
      </c>
      <c r="G66" s="32">
        <v>1785.96</v>
      </c>
      <c r="H66" s="32">
        <v>18.802299999999999</v>
      </c>
      <c r="I66" s="32">
        <v>39.299199999999999</v>
      </c>
      <c r="J66" s="32">
        <v>7.7587999999999999</v>
      </c>
      <c r="K66" s="32">
        <v>216.68</v>
      </c>
      <c r="L66" s="32">
        <v>53.267899999999997</v>
      </c>
      <c r="M66" s="32">
        <v>9267.84</v>
      </c>
      <c r="N66" s="32">
        <v>3.7599</v>
      </c>
      <c r="O66" s="32">
        <v>3.0369999999999999</v>
      </c>
      <c r="P66" s="32">
        <v>12.9895</v>
      </c>
      <c r="Q66" s="32">
        <v>1.2191000000000001</v>
      </c>
      <c r="R66" s="32">
        <v>91.653400000000005</v>
      </c>
      <c r="S66" s="32">
        <v>2.6779000000000002</v>
      </c>
      <c r="T66" s="32">
        <v>42.3</v>
      </c>
      <c r="U66" s="32">
        <v>3.153</v>
      </c>
      <c r="V66" s="32">
        <v>29.3643</v>
      </c>
      <c r="W66" s="32">
        <v>3.7507000000000001</v>
      </c>
      <c r="X66" s="32">
        <v>7.7595999999999998</v>
      </c>
      <c r="Y66" s="32">
        <v>1131.8599999999999</v>
      </c>
      <c r="Z66" s="32">
        <v>0.75560000000000005</v>
      </c>
      <c r="AA66" s="32">
        <v>1.7594000000000001</v>
      </c>
      <c r="AB66" s="32">
        <v>4.3022</v>
      </c>
    </row>
    <row r="67" spans="1:28" ht="15" customHeight="1" x14ac:dyDescent="0.2">
      <c r="A67" s="33">
        <v>41031</v>
      </c>
      <c r="B67" s="32">
        <v>4.4138999999999999</v>
      </c>
      <c r="C67" s="32">
        <v>0.96560000000000001</v>
      </c>
      <c r="D67" s="32">
        <v>1.9091</v>
      </c>
      <c r="E67" s="32">
        <v>486.05</v>
      </c>
      <c r="F67" s="32">
        <v>6.3098000000000001</v>
      </c>
      <c r="G67" s="32">
        <v>1765.77</v>
      </c>
      <c r="H67" s="32">
        <v>18.8367</v>
      </c>
      <c r="I67" s="32">
        <v>39.1</v>
      </c>
      <c r="J67" s="32">
        <v>7.7583000000000002</v>
      </c>
      <c r="K67" s="32">
        <v>216.03</v>
      </c>
      <c r="L67" s="32">
        <v>53.248800000000003</v>
      </c>
      <c r="M67" s="32">
        <v>9199.6299999999992</v>
      </c>
      <c r="N67" s="32">
        <v>3.7734000000000001</v>
      </c>
      <c r="O67" s="32">
        <v>3.0276000000000001</v>
      </c>
      <c r="P67" s="32">
        <v>13.0015</v>
      </c>
      <c r="Q67" s="32">
        <v>1.2264999999999999</v>
      </c>
      <c r="R67" s="32">
        <v>91.210499999999996</v>
      </c>
      <c r="S67" s="32">
        <v>2.6419999999999999</v>
      </c>
      <c r="T67" s="32">
        <v>42.243699999999997</v>
      </c>
      <c r="U67" s="32">
        <v>3.1488999999999998</v>
      </c>
      <c r="V67" s="32">
        <v>29.386900000000001</v>
      </c>
      <c r="W67" s="32">
        <v>3.7507000000000001</v>
      </c>
      <c r="X67" s="32">
        <v>7.7644000000000002</v>
      </c>
      <c r="Y67" s="32">
        <v>1130.8399999999999</v>
      </c>
      <c r="Z67" s="32">
        <v>0.75509999999999999</v>
      </c>
      <c r="AA67" s="32">
        <v>1.7578</v>
      </c>
      <c r="AB67" s="32">
        <v>4.3015999999999996</v>
      </c>
    </row>
    <row r="68" spans="1:28" ht="15" customHeight="1" x14ac:dyDescent="0.2">
      <c r="A68" s="33">
        <v>41032</v>
      </c>
      <c r="B68" s="32">
        <v>4.4204999999999997</v>
      </c>
      <c r="C68" s="32">
        <v>0.96830000000000005</v>
      </c>
      <c r="D68" s="32">
        <v>1.9135</v>
      </c>
      <c r="E68" s="32">
        <v>485.5</v>
      </c>
      <c r="F68" s="32">
        <v>6.3086000000000002</v>
      </c>
      <c r="G68" s="32">
        <v>1777.68</v>
      </c>
      <c r="H68" s="32">
        <v>18.894100000000002</v>
      </c>
      <c r="I68" s="32">
        <v>39.242199999999997</v>
      </c>
      <c r="J68" s="32">
        <v>7.7582000000000004</v>
      </c>
      <c r="K68" s="32">
        <v>215.494</v>
      </c>
      <c r="L68" s="32">
        <v>53.450800000000001</v>
      </c>
      <c r="M68" s="32">
        <v>9233.61</v>
      </c>
      <c r="N68" s="32">
        <v>3.7856000000000001</v>
      </c>
      <c r="O68" s="32">
        <v>3.0314000000000001</v>
      </c>
      <c r="P68" s="32">
        <v>12.9429</v>
      </c>
      <c r="Q68" s="32">
        <v>1.2306999999999999</v>
      </c>
      <c r="R68" s="32">
        <v>91.529700000000005</v>
      </c>
      <c r="S68" s="32">
        <v>2.6608999999999998</v>
      </c>
      <c r="T68" s="32">
        <v>42.238500000000002</v>
      </c>
      <c r="U68" s="32">
        <v>3.1566999999999998</v>
      </c>
      <c r="V68" s="32">
        <v>29.400300000000001</v>
      </c>
      <c r="W68" s="32">
        <v>3.7507999999999999</v>
      </c>
      <c r="X68" s="32">
        <v>7.7420999999999998</v>
      </c>
      <c r="Y68" s="32">
        <v>1131.0899999999999</v>
      </c>
      <c r="Z68" s="32">
        <v>0.75839999999999996</v>
      </c>
      <c r="AA68" s="32">
        <v>1.7595000000000001</v>
      </c>
      <c r="AB68" s="32">
        <v>4.3045</v>
      </c>
    </row>
    <row r="69" spans="1:28" ht="15" customHeight="1" x14ac:dyDescent="0.2">
      <c r="A69" s="33">
        <v>41033</v>
      </c>
      <c r="B69" s="32">
        <v>4.4231999999999996</v>
      </c>
      <c r="C69" s="32">
        <v>0.97209999999999996</v>
      </c>
      <c r="D69" s="32">
        <v>1.9241999999999999</v>
      </c>
      <c r="E69" s="32">
        <v>483.3</v>
      </c>
      <c r="F69" s="32">
        <v>6.3093000000000004</v>
      </c>
      <c r="G69" s="32">
        <v>1764.38</v>
      </c>
      <c r="H69" s="32">
        <v>19.009499999999999</v>
      </c>
      <c r="I69" s="32">
        <v>39.175199999999997</v>
      </c>
      <c r="J69" s="32">
        <v>7.7591999999999999</v>
      </c>
      <c r="K69" s="32">
        <v>215.75800000000001</v>
      </c>
      <c r="L69" s="32">
        <v>53.931600000000003</v>
      </c>
      <c r="M69" s="32">
        <v>9233.61</v>
      </c>
      <c r="N69" s="32">
        <v>3.7816999999999998</v>
      </c>
      <c r="O69" s="32">
        <v>3.0348000000000002</v>
      </c>
      <c r="P69" s="32">
        <v>12.9694</v>
      </c>
      <c r="Q69" s="32">
        <v>1.2442</v>
      </c>
      <c r="R69" s="32">
        <v>91.165499999999994</v>
      </c>
      <c r="S69" s="32">
        <v>2.6446000000000001</v>
      </c>
      <c r="T69" s="32">
        <v>42.327800000000003</v>
      </c>
      <c r="U69" s="32">
        <v>3.1724999999999999</v>
      </c>
      <c r="V69" s="32">
        <v>29.451000000000001</v>
      </c>
      <c r="W69" s="32">
        <v>3.7507999999999999</v>
      </c>
      <c r="X69" s="32">
        <v>7.7384000000000004</v>
      </c>
      <c r="Y69" s="32">
        <v>1131.48</v>
      </c>
      <c r="Z69" s="32">
        <v>0.76070000000000004</v>
      </c>
      <c r="AA69" s="32">
        <v>1.7618</v>
      </c>
      <c r="AB69" s="32">
        <v>4.3018999999999998</v>
      </c>
    </row>
    <row r="70" spans="1:28" ht="15" customHeight="1" x14ac:dyDescent="0.2">
      <c r="A70" s="33">
        <v>41034</v>
      </c>
      <c r="B70" s="32">
        <v>4.4276999999999997</v>
      </c>
      <c r="C70" s="32">
        <v>0.97709999999999997</v>
      </c>
      <c r="D70" s="32">
        <v>1.9148000000000001</v>
      </c>
      <c r="E70" s="32">
        <v>483.5</v>
      </c>
      <c r="F70" s="32">
        <v>6.3113999999999999</v>
      </c>
      <c r="G70" s="32">
        <v>1762.12</v>
      </c>
      <c r="H70" s="32">
        <v>19.098099999999999</v>
      </c>
      <c r="I70" s="32">
        <v>39.164499999999997</v>
      </c>
      <c r="J70" s="32">
        <v>7.7609000000000004</v>
      </c>
      <c r="K70" s="32">
        <v>217.249</v>
      </c>
      <c r="L70" s="32">
        <v>54.225299999999997</v>
      </c>
      <c r="M70" s="32">
        <v>9250.69</v>
      </c>
      <c r="N70" s="32">
        <v>3.7875999999999999</v>
      </c>
      <c r="O70" s="32">
        <v>3.044</v>
      </c>
      <c r="P70" s="32">
        <v>13.0534</v>
      </c>
      <c r="Q70" s="32">
        <v>1.2527999999999999</v>
      </c>
      <c r="R70" s="32">
        <v>91.063900000000004</v>
      </c>
      <c r="S70" s="32">
        <v>2.6452</v>
      </c>
      <c r="T70" s="32">
        <v>42.3611</v>
      </c>
      <c r="U70" s="32">
        <v>3.19</v>
      </c>
      <c r="V70" s="32">
        <v>29.5791</v>
      </c>
      <c r="W70" s="32">
        <v>3.7507999999999999</v>
      </c>
      <c r="X70" s="32">
        <v>7.7645999999999997</v>
      </c>
      <c r="Y70" s="32">
        <v>1133.79</v>
      </c>
      <c r="Z70" s="32">
        <v>0.76149999999999995</v>
      </c>
      <c r="AA70" s="32">
        <v>1.7608999999999999</v>
      </c>
      <c r="AB70" s="32">
        <v>4.3018000000000001</v>
      </c>
    </row>
    <row r="71" spans="1:28" ht="15" customHeight="1" x14ac:dyDescent="0.2">
      <c r="A71" s="33">
        <v>41035</v>
      </c>
      <c r="B71" s="32">
        <v>4.47</v>
      </c>
      <c r="C71" s="32">
        <v>0.98240000000000005</v>
      </c>
      <c r="D71" s="32">
        <v>1.9317</v>
      </c>
      <c r="E71" s="32">
        <v>483.5</v>
      </c>
      <c r="F71" s="32">
        <v>6.3303000000000003</v>
      </c>
      <c r="G71" s="32">
        <v>1782.52</v>
      </c>
      <c r="H71" s="32">
        <v>19.269600000000001</v>
      </c>
      <c r="I71" s="32">
        <v>39.412999999999997</v>
      </c>
      <c r="J71" s="32">
        <v>7.7622999999999998</v>
      </c>
      <c r="K71" s="32">
        <v>219.98</v>
      </c>
      <c r="L71" s="32">
        <v>54.384999999999998</v>
      </c>
      <c r="M71" s="32">
        <v>9310.99</v>
      </c>
      <c r="N71" s="32">
        <v>3.7940999999999998</v>
      </c>
      <c r="O71" s="32">
        <v>3.0870000000000002</v>
      </c>
      <c r="P71" s="32">
        <v>13.185</v>
      </c>
      <c r="Q71" s="32">
        <v>1.2575000000000001</v>
      </c>
      <c r="R71" s="32">
        <v>91.765900000000002</v>
      </c>
      <c r="S71" s="32">
        <v>2.6816</v>
      </c>
      <c r="T71" s="32">
        <v>43.014400000000002</v>
      </c>
      <c r="U71" s="32">
        <v>3.2355</v>
      </c>
      <c r="V71" s="32">
        <v>30.335599999999999</v>
      </c>
      <c r="W71" s="32">
        <v>3.7515000000000001</v>
      </c>
      <c r="X71" s="32">
        <v>7.88</v>
      </c>
      <c r="Y71" s="32">
        <v>1147.97</v>
      </c>
      <c r="Z71" s="32">
        <v>0.76459999999999995</v>
      </c>
      <c r="AA71" s="32">
        <v>1.7605</v>
      </c>
      <c r="AB71" s="32">
        <v>4.2996999999999996</v>
      </c>
    </row>
    <row r="72" spans="1:28" ht="15" customHeight="1" x14ac:dyDescent="0.2">
      <c r="A72" s="33">
        <v>41036</v>
      </c>
      <c r="B72" s="32">
        <v>4.5015000000000001</v>
      </c>
      <c r="C72" s="32">
        <v>0.98260000000000003</v>
      </c>
      <c r="D72" s="32">
        <v>1.9345000000000001</v>
      </c>
      <c r="E72" s="32">
        <v>483.5</v>
      </c>
      <c r="F72" s="32">
        <v>6.3303000000000003</v>
      </c>
      <c r="G72" s="32">
        <v>1799.48</v>
      </c>
      <c r="H72" s="32">
        <v>19.273800000000001</v>
      </c>
      <c r="I72" s="32">
        <v>39.605699999999999</v>
      </c>
      <c r="J72" s="32">
        <v>7.7624000000000004</v>
      </c>
      <c r="K72" s="32">
        <v>219.20599999999999</v>
      </c>
      <c r="L72" s="32">
        <v>54.384999999999998</v>
      </c>
      <c r="M72" s="32">
        <v>9398.5</v>
      </c>
      <c r="N72" s="32">
        <v>3.7961999999999998</v>
      </c>
      <c r="O72" s="32">
        <v>3.1151</v>
      </c>
      <c r="P72" s="32">
        <v>13.1853</v>
      </c>
      <c r="Q72" s="32">
        <v>1.2579</v>
      </c>
      <c r="R72" s="32">
        <v>92.331400000000002</v>
      </c>
      <c r="S72" s="32">
        <v>2.7109000000000001</v>
      </c>
      <c r="T72" s="32">
        <v>42.8187</v>
      </c>
      <c r="U72" s="32">
        <v>3.2469000000000001</v>
      </c>
      <c r="V72" s="32">
        <v>30.430900000000001</v>
      </c>
      <c r="W72" s="32">
        <v>3.7515000000000001</v>
      </c>
      <c r="X72" s="32">
        <v>7.8813000000000004</v>
      </c>
      <c r="Y72" s="32">
        <v>1156.74</v>
      </c>
      <c r="Z72" s="32">
        <v>0.76500000000000001</v>
      </c>
      <c r="AA72" s="32">
        <v>1.7605</v>
      </c>
      <c r="AB72" s="32">
        <v>4.2996999999999996</v>
      </c>
    </row>
    <row r="73" spans="1:28" ht="15" customHeight="1" x14ac:dyDescent="0.2">
      <c r="A73" s="33">
        <v>41037</v>
      </c>
      <c r="B73" s="32">
        <v>4.4703999999999997</v>
      </c>
      <c r="C73" s="32">
        <v>0.98350000000000004</v>
      </c>
      <c r="D73" s="32">
        <v>1.9297</v>
      </c>
      <c r="E73" s="32">
        <v>485.5</v>
      </c>
      <c r="F73" s="32">
        <v>6.3213999999999997</v>
      </c>
      <c r="G73" s="32">
        <v>1787.84</v>
      </c>
      <c r="H73" s="32">
        <v>19.3216</v>
      </c>
      <c r="I73" s="32">
        <v>39.465899999999998</v>
      </c>
      <c r="J73" s="32">
        <v>7.7626999999999997</v>
      </c>
      <c r="K73" s="32">
        <v>220.51300000000001</v>
      </c>
      <c r="L73" s="32">
        <v>53.790799999999997</v>
      </c>
      <c r="M73" s="32">
        <v>9337.07</v>
      </c>
      <c r="N73" s="32">
        <v>3.8077999999999999</v>
      </c>
      <c r="O73" s="32">
        <v>3.0870000000000002</v>
      </c>
      <c r="P73" s="32">
        <v>13.227600000000001</v>
      </c>
      <c r="Q73" s="32">
        <v>1.2597</v>
      </c>
      <c r="R73" s="32">
        <v>91.880799999999994</v>
      </c>
      <c r="S73" s="32">
        <v>2.6888999999999998</v>
      </c>
      <c r="T73" s="32">
        <v>42.462699999999998</v>
      </c>
      <c r="U73" s="32">
        <v>3.2250000000000001</v>
      </c>
      <c r="V73" s="32">
        <v>29.962499999999999</v>
      </c>
      <c r="W73" s="32">
        <v>3.7507999999999999</v>
      </c>
      <c r="X73" s="32">
        <v>7.8521999999999998</v>
      </c>
      <c r="Y73" s="32">
        <v>1148.6300000000001</v>
      </c>
      <c r="Z73" s="32">
        <v>0.76819999999999999</v>
      </c>
      <c r="AA73" s="32">
        <v>1.766</v>
      </c>
      <c r="AB73" s="32">
        <v>4.3018000000000001</v>
      </c>
    </row>
    <row r="74" spans="1:28" ht="15" customHeight="1" x14ac:dyDescent="0.2">
      <c r="A74" s="33">
        <v>41038</v>
      </c>
      <c r="B74" s="32">
        <v>4.4379</v>
      </c>
      <c r="C74" s="32">
        <v>0.9849</v>
      </c>
      <c r="D74" s="32">
        <v>1.9287000000000001</v>
      </c>
      <c r="E74" s="32">
        <v>486.5</v>
      </c>
      <c r="F74" s="32">
        <v>6.3163</v>
      </c>
      <c r="G74" s="32">
        <v>1774.61</v>
      </c>
      <c r="H74" s="32">
        <v>19.313600000000001</v>
      </c>
      <c r="I74" s="32">
        <v>39.301600000000001</v>
      </c>
      <c r="J74" s="32">
        <v>7.7622</v>
      </c>
      <c r="K74" s="32">
        <v>220.58799999999999</v>
      </c>
      <c r="L74" s="32">
        <v>53.657699999999998</v>
      </c>
      <c r="M74" s="32">
        <v>9233.61</v>
      </c>
      <c r="N74" s="32">
        <v>3.8062</v>
      </c>
      <c r="O74" s="32">
        <v>3.0577000000000001</v>
      </c>
      <c r="P74" s="32">
        <v>13.248100000000001</v>
      </c>
      <c r="Q74" s="32">
        <v>1.2642</v>
      </c>
      <c r="R74" s="32">
        <v>91.407399999999996</v>
      </c>
      <c r="S74" s="32">
        <v>2.6644999999999999</v>
      </c>
      <c r="T74" s="32">
        <v>42.456499999999998</v>
      </c>
      <c r="U74" s="32">
        <v>3.2206000000000001</v>
      </c>
      <c r="V74" s="32">
        <v>30.073799999999999</v>
      </c>
      <c r="W74" s="32">
        <v>3.7507999999999999</v>
      </c>
      <c r="X74" s="32">
        <v>7.8601000000000001</v>
      </c>
      <c r="Y74" s="32">
        <v>1138.69</v>
      </c>
      <c r="Z74" s="32">
        <v>0.76780000000000004</v>
      </c>
      <c r="AA74" s="32">
        <v>1.7686999999999999</v>
      </c>
      <c r="AB74" s="32">
        <v>4.2996999999999996</v>
      </c>
    </row>
    <row r="75" spans="1:28" ht="15" customHeight="1" x14ac:dyDescent="0.2">
      <c r="A75" s="33">
        <v>41039</v>
      </c>
      <c r="B75" s="32">
        <v>4.4391999999999996</v>
      </c>
      <c r="C75" s="32">
        <v>0.99309999999999998</v>
      </c>
      <c r="D75" s="32">
        <v>1.9489000000000001</v>
      </c>
      <c r="E75" s="32">
        <v>489.5</v>
      </c>
      <c r="F75" s="32">
        <v>6.3151000000000002</v>
      </c>
      <c r="G75" s="32">
        <v>1786.43</v>
      </c>
      <c r="H75" s="32">
        <v>19.4877</v>
      </c>
      <c r="I75" s="32">
        <v>39.446199999999997</v>
      </c>
      <c r="J75" s="32">
        <v>7.7626999999999997</v>
      </c>
      <c r="K75" s="32">
        <v>222.922</v>
      </c>
      <c r="L75" s="32">
        <v>54.244500000000002</v>
      </c>
      <c r="M75" s="32">
        <v>9259.26</v>
      </c>
      <c r="N75" s="32">
        <v>3.8193999999999999</v>
      </c>
      <c r="O75" s="32">
        <v>3.07</v>
      </c>
      <c r="P75" s="32">
        <v>13.4381</v>
      </c>
      <c r="Q75" s="32">
        <v>1.2737000000000001</v>
      </c>
      <c r="R75" s="32">
        <v>91.746499999999997</v>
      </c>
      <c r="S75" s="32">
        <v>2.6833</v>
      </c>
      <c r="T75" s="32">
        <v>42.586799999999997</v>
      </c>
      <c r="U75" s="32">
        <v>3.2545000000000002</v>
      </c>
      <c r="V75" s="32">
        <v>30.284199999999998</v>
      </c>
      <c r="W75" s="32">
        <v>3.7507999999999999</v>
      </c>
      <c r="X75" s="32">
        <v>7.9661999999999997</v>
      </c>
      <c r="Y75" s="32">
        <v>1142.8599999999999</v>
      </c>
      <c r="Z75" s="32">
        <v>0.77110000000000001</v>
      </c>
      <c r="AA75" s="32">
        <v>1.7868999999999999</v>
      </c>
      <c r="AB75" s="32">
        <v>4.3019999999999996</v>
      </c>
    </row>
    <row r="76" spans="1:28" ht="15" customHeight="1" x14ac:dyDescent="0.2">
      <c r="A76" s="33">
        <v>41040</v>
      </c>
      <c r="B76" s="32">
        <v>4.4408000000000003</v>
      </c>
      <c r="C76" s="32">
        <v>0.99060000000000004</v>
      </c>
      <c r="D76" s="32">
        <v>1.9656</v>
      </c>
      <c r="E76" s="32">
        <v>487.8</v>
      </c>
      <c r="F76" s="32">
        <v>6.3159999999999998</v>
      </c>
      <c r="G76" s="32">
        <v>1776.82</v>
      </c>
      <c r="H76" s="32">
        <v>19.521699999999999</v>
      </c>
      <c r="I76" s="32">
        <v>39.261499999999998</v>
      </c>
      <c r="J76" s="32">
        <v>7.7633000000000001</v>
      </c>
      <c r="K76" s="32">
        <v>223.727</v>
      </c>
      <c r="L76" s="32">
        <v>53.984999999999999</v>
      </c>
      <c r="M76" s="32">
        <v>9250.69</v>
      </c>
      <c r="N76" s="32">
        <v>3.8210999999999999</v>
      </c>
      <c r="O76" s="32">
        <v>3.0712000000000002</v>
      </c>
      <c r="P76" s="32">
        <v>13.485099999999999</v>
      </c>
      <c r="Q76" s="32">
        <v>1.2719</v>
      </c>
      <c r="R76" s="32">
        <v>91.146199999999993</v>
      </c>
      <c r="S76" s="32">
        <v>2.6522999999999999</v>
      </c>
      <c r="T76" s="32">
        <v>42.552300000000002</v>
      </c>
      <c r="U76" s="32">
        <v>3.2728999999999999</v>
      </c>
      <c r="V76" s="32">
        <v>30.246600000000001</v>
      </c>
      <c r="W76" s="32">
        <v>3.7507999999999999</v>
      </c>
      <c r="X76" s="32">
        <v>8.0091999999999999</v>
      </c>
      <c r="Y76" s="32">
        <v>1143.9000000000001</v>
      </c>
      <c r="Z76" s="32">
        <v>0.77229999999999999</v>
      </c>
      <c r="AA76" s="32">
        <v>1.7891999999999999</v>
      </c>
      <c r="AB76" s="32">
        <v>4.3023999999999996</v>
      </c>
    </row>
    <row r="77" spans="1:28" ht="15" customHeight="1" x14ac:dyDescent="0.2">
      <c r="A77" s="33">
        <v>41041</v>
      </c>
      <c r="B77" s="32">
        <v>4.4420000000000002</v>
      </c>
      <c r="C77" s="32">
        <v>0.99519999999999997</v>
      </c>
      <c r="D77" s="32">
        <v>1.9557</v>
      </c>
      <c r="E77" s="32">
        <v>487.15</v>
      </c>
      <c r="F77" s="32">
        <v>6.3182</v>
      </c>
      <c r="G77" s="32">
        <v>1770.24</v>
      </c>
      <c r="H77" s="32">
        <v>19.543900000000001</v>
      </c>
      <c r="I77" s="32">
        <v>39.235100000000003</v>
      </c>
      <c r="J77" s="32">
        <v>7.7647000000000004</v>
      </c>
      <c r="K77" s="32">
        <v>224.08099999999999</v>
      </c>
      <c r="L77" s="32">
        <v>54.014099999999999</v>
      </c>
      <c r="M77" s="32">
        <v>9250.69</v>
      </c>
      <c r="N77" s="32">
        <v>3.82</v>
      </c>
      <c r="O77" s="32">
        <v>3.0745</v>
      </c>
      <c r="P77" s="32">
        <v>13.5441</v>
      </c>
      <c r="Q77" s="32">
        <v>1.2751999999999999</v>
      </c>
      <c r="R77" s="32">
        <v>91.208799999999997</v>
      </c>
      <c r="S77" s="32">
        <v>2.6598999999999999</v>
      </c>
      <c r="T77" s="32">
        <v>42.579700000000003</v>
      </c>
      <c r="U77" s="32">
        <v>3.2822</v>
      </c>
      <c r="V77" s="32">
        <v>30.182600000000001</v>
      </c>
      <c r="W77" s="32">
        <v>3.7507999999999999</v>
      </c>
      <c r="X77" s="32">
        <v>8.0810999999999993</v>
      </c>
      <c r="Y77" s="32">
        <v>1147.8399999999999</v>
      </c>
      <c r="Z77" s="32">
        <v>0.77339999999999998</v>
      </c>
      <c r="AA77" s="32">
        <v>1.7884</v>
      </c>
      <c r="AB77" s="32">
        <v>4.3018999999999998</v>
      </c>
    </row>
    <row r="78" spans="1:28" ht="15" customHeight="1" x14ac:dyDescent="0.2">
      <c r="A78" s="33">
        <v>41042</v>
      </c>
      <c r="B78" s="32">
        <v>4.4424999999999999</v>
      </c>
      <c r="C78" s="32">
        <v>0.99850000000000005</v>
      </c>
      <c r="D78" s="32">
        <v>1.9678</v>
      </c>
      <c r="E78" s="32">
        <v>487.15</v>
      </c>
      <c r="F78" s="32">
        <v>6.3380000000000001</v>
      </c>
      <c r="G78" s="32">
        <v>1775.8</v>
      </c>
      <c r="H78" s="32">
        <v>19.582899999999999</v>
      </c>
      <c r="I78" s="32">
        <v>39.2943</v>
      </c>
      <c r="J78" s="32">
        <v>7.7670000000000003</v>
      </c>
      <c r="K78" s="32">
        <v>224.53299999999999</v>
      </c>
      <c r="L78" s="32">
        <v>54.454999999999998</v>
      </c>
      <c r="M78" s="32">
        <v>9233.61</v>
      </c>
      <c r="N78" s="32">
        <v>3.8210999999999999</v>
      </c>
      <c r="O78" s="32">
        <v>3.0752000000000002</v>
      </c>
      <c r="P78" s="32">
        <v>13.5944</v>
      </c>
      <c r="Q78" s="32">
        <v>1.2785</v>
      </c>
      <c r="R78" s="32">
        <v>91.383399999999995</v>
      </c>
      <c r="S78" s="32">
        <v>2.6743000000000001</v>
      </c>
      <c r="T78" s="32">
        <v>42.584099999999999</v>
      </c>
      <c r="U78" s="32">
        <v>3.2982</v>
      </c>
      <c r="V78" s="32">
        <v>30.166799999999999</v>
      </c>
      <c r="W78" s="32">
        <v>3.7515000000000001</v>
      </c>
      <c r="X78" s="32">
        <v>8.1458999999999993</v>
      </c>
      <c r="Y78" s="32">
        <v>1150.3499999999999</v>
      </c>
      <c r="Z78" s="32">
        <v>0.77439999999999998</v>
      </c>
      <c r="AA78" s="32">
        <v>1.7869999999999999</v>
      </c>
      <c r="AB78" s="32">
        <v>4.2996999999999996</v>
      </c>
    </row>
    <row r="79" spans="1:28" ht="15" customHeight="1" x14ac:dyDescent="0.2">
      <c r="A79" s="33">
        <v>41043</v>
      </c>
      <c r="B79" s="32">
        <v>4.4424999999999999</v>
      </c>
      <c r="C79" s="32">
        <v>0.99780000000000002</v>
      </c>
      <c r="D79" s="32">
        <v>1.9691000000000001</v>
      </c>
      <c r="E79" s="32">
        <v>487.15</v>
      </c>
      <c r="F79" s="32">
        <v>6.3380000000000001</v>
      </c>
      <c r="G79" s="32">
        <v>1803.75</v>
      </c>
      <c r="H79" s="32">
        <v>19.583200000000001</v>
      </c>
      <c r="I79" s="32">
        <v>39.544899999999998</v>
      </c>
      <c r="J79" s="32">
        <v>7.7670000000000003</v>
      </c>
      <c r="K79" s="32">
        <v>224.55600000000001</v>
      </c>
      <c r="L79" s="32">
        <v>54.454999999999998</v>
      </c>
      <c r="M79" s="32">
        <v>9233.61</v>
      </c>
      <c r="N79" s="32">
        <v>3.8218999999999999</v>
      </c>
      <c r="O79" s="32">
        <v>3.0752000000000002</v>
      </c>
      <c r="P79" s="32">
        <v>13.5916</v>
      </c>
      <c r="Q79" s="32">
        <v>1.278</v>
      </c>
      <c r="R79" s="32">
        <v>92.247</v>
      </c>
      <c r="S79" s="32">
        <v>2.7193000000000001</v>
      </c>
      <c r="T79" s="32">
        <v>42.5959</v>
      </c>
      <c r="U79" s="32">
        <v>3.3161999999999998</v>
      </c>
      <c r="V79" s="32">
        <v>30.5672</v>
      </c>
      <c r="W79" s="32">
        <v>3.7515000000000001</v>
      </c>
      <c r="X79" s="32">
        <v>8.1455000000000002</v>
      </c>
      <c r="Y79" s="32">
        <v>1150.48</v>
      </c>
      <c r="Z79" s="32">
        <v>0.77439999999999998</v>
      </c>
      <c r="AA79" s="32">
        <v>1.7869999999999999</v>
      </c>
      <c r="AB79" s="32">
        <v>4.2996999999999996</v>
      </c>
    </row>
    <row r="80" spans="1:28" ht="15" customHeight="1" x14ac:dyDescent="0.2">
      <c r="A80" s="33">
        <v>41044</v>
      </c>
      <c r="B80" s="32">
        <v>4.4436999999999998</v>
      </c>
      <c r="C80" s="32">
        <v>1.0005999999999999</v>
      </c>
      <c r="D80" s="32">
        <v>1.9764999999999999</v>
      </c>
      <c r="E80" s="32">
        <v>493.5</v>
      </c>
      <c r="F80" s="32">
        <v>6.3315000000000001</v>
      </c>
      <c r="G80" s="32">
        <v>1793.85</v>
      </c>
      <c r="H80" s="32">
        <v>19.706</v>
      </c>
      <c r="I80" s="32">
        <v>39.433700000000002</v>
      </c>
      <c r="J80" s="32">
        <v>7.7656999999999998</v>
      </c>
      <c r="K80" s="32">
        <v>226.506</v>
      </c>
      <c r="L80" s="32">
        <v>54.370399999999997</v>
      </c>
      <c r="M80" s="32">
        <v>9267.84</v>
      </c>
      <c r="N80" s="32">
        <v>3.8321000000000001</v>
      </c>
      <c r="O80" s="32">
        <v>3.0798999999999999</v>
      </c>
      <c r="P80" s="32">
        <v>13.6267</v>
      </c>
      <c r="Q80" s="32">
        <v>1.2831999999999999</v>
      </c>
      <c r="R80" s="32">
        <v>91.848500000000001</v>
      </c>
      <c r="S80" s="32">
        <v>2.7002000000000002</v>
      </c>
      <c r="T80" s="32">
        <v>42.808</v>
      </c>
      <c r="U80" s="32">
        <v>3.3346</v>
      </c>
      <c r="V80" s="32">
        <v>30.353999999999999</v>
      </c>
      <c r="W80" s="32">
        <v>3.7507999999999999</v>
      </c>
      <c r="X80" s="32">
        <v>8.1683000000000003</v>
      </c>
      <c r="Y80" s="32">
        <v>1153</v>
      </c>
      <c r="Z80" s="32">
        <v>0.77710000000000001</v>
      </c>
      <c r="AA80" s="32">
        <v>1.8009999999999999</v>
      </c>
      <c r="AB80" s="32">
        <v>4.3021000000000003</v>
      </c>
    </row>
    <row r="81" spans="1:28" ht="15" customHeight="1" x14ac:dyDescent="0.2">
      <c r="A81" s="33">
        <v>41045</v>
      </c>
      <c r="B81" s="32">
        <v>4.4433999999999996</v>
      </c>
      <c r="C81" s="32">
        <v>1.0024999999999999</v>
      </c>
      <c r="D81" s="32">
        <v>1.9968999999999999</v>
      </c>
      <c r="E81" s="32">
        <v>500.5</v>
      </c>
      <c r="F81" s="32">
        <v>6.3266</v>
      </c>
      <c r="G81" s="32">
        <v>1780.63</v>
      </c>
      <c r="H81" s="32">
        <v>19.921800000000001</v>
      </c>
      <c r="I81" s="32">
        <v>39.267400000000002</v>
      </c>
      <c r="J81" s="32">
        <v>7.7666000000000004</v>
      </c>
      <c r="K81" s="32">
        <v>228.91900000000001</v>
      </c>
      <c r="L81" s="32">
        <v>54.375300000000003</v>
      </c>
      <c r="M81" s="32">
        <v>9293.68</v>
      </c>
      <c r="N81" s="32">
        <v>3.8344999999999998</v>
      </c>
      <c r="O81" s="32">
        <v>3.0844999999999998</v>
      </c>
      <c r="P81" s="32">
        <v>13.729699999999999</v>
      </c>
      <c r="Q81" s="32">
        <v>1.2905</v>
      </c>
      <c r="R81" s="32">
        <v>91.187299999999993</v>
      </c>
      <c r="S81" s="32">
        <v>2.6726000000000001</v>
      </c>
      <c r="T81" s="32">
        <v>42.890500000000003</v>
      </c>
      <c r="U81" s="32">
        <v>3.3858000000000001</v>
      </c>
      <c r="V81" s="32">
        <v>30.488600000000002</v>
      </c>
      <c r="W81" s="32">
        <v>3.7507999999999999</v>
      </c>
      <c r="X81" s="32">
        <v>8.2250999999999994</v>
      </c>
      <c r="Y81" s="32">
        <v>1155.4000000000001</v>
      </c>
      <c r="Z81" s="32">
        <v>0.78059999999999996</v>
      </c>
      <c r="AA81" s="32">
        <v>1.8130999999999999</v>
      </c>
      <c r="AB81" s="32">
        <v>4.3015999999999996</v>
      </c>
    </row>
    <row r="82" spans="1:28" ht="15" customHeight="1" x14ac:dyDescent="0.2">
      <c r="A82" s="33">
        <v>41046</v>
      </c>
      <c r="B82" s="32">
        <v>4.4473000000000003</v>
      </c>
      <c r="C82" s="32">
        <v>1.0077</v>
      </c>
      <c r="D82" s="32">
        <v>2.0028000000000001</v>
      </c>
      <c r="E82" s="32">
        <v>501.8</v>
      </c>
      <c r="F82" s="32">
        <v>6.3338000000000001</v>
      </c>
      <c r="G82" s="32">
        <v>1791.47</v>
      </c>
      <c r="H82" s="32">
        <v>20.124400000000001</v>
      </c>
      <c r="I82" s="32">
        <v>39.308</v>
      </c>
      <c r="J82" s="32">
        <v>7.7689000000000004</v>
      </c>
      <c r="K82" s="32">
        <v>232.15100000000001</v>
      </c>
      <c r="L82" s="32">
        <v>54.774999999999999</v>
      </c>
      <c r="M82" s="32">
        <v>9302.33</v>
      </c>
      <c r="N82" s="32">
        <v>3.8369</v>
      </c>
      <c r="O82" s="32">
        <v>3.1133999999999999</v>
      </c>
      <c r="P82" s="32">
        <v>13.8492</v>
      </c>
      <c r="Q82" s="32">
        <v>1.3050999999999999</v>
      </c>
      <c r="R82" s="32">
        <v>91.109099999999998</v>
      </c>
      <c r="S82" s="32">
        <v>2.6764999999999999</v>
      </c>
      <c r="T82" s="32">
        <v>43.034100000000002</v>
      </c>
      <c r="U82" s="32">
        <v>3.4302000000000001</v>
      </c>
      <c r="V82" s="32">
        <v>30.881</v>
      </c>
      <c r="W82" s="32">
        <v>3.7507999999999999</v>
      </c>
      <c r="X82" s="32">
        <v>8.3330000000000002</v>
      </c>
      <c r="Y82" s="32">
        <v>1165.77</v>
      </c>
      <c r="Z82" s="32">
        <v>0.78590000000000004</v>
      </c>
      <c r="AA82" s="32">
        <v>1.8250999999999999</v>
      </c>
      <c r="AB82" s="32">
        <v>4.3018999999999998</v>
      </c>
    </row>
    <row r="83" spans="1:28" ht="15" customHeight="1" x14ac:dyDescent="0.2">
      <c r="A83" s="33">
        <v>41047</v>
      </c>
      <c r="B83" s="32">
        <v>4.4523000000000001</v>
      </c>
      <c r="C83" s="32">
        <v>1.0072000000000001</v>
      </c>
      <c r="D83" s="32">
        <v>2.0017</v>
      </c>
      <c r="E83" s="32">
        <v>505.4</v>
      </c>
      <c r="F83" s="32">
        <v>6.3326000000000002</v>
      </c>
      <c r="G83" s="32">
        <v>1811.15</v>
      </c>
      <c r="H83" s="32">
        <v>20.043199999999999</v>
      </c>
      <c r="I83" s="32">
        <v>39.362000000000002</v>
      </c>
      <c r="J83" s="32">
        <v>7.7687999999999997</v>
      </c>
      <c r="K83" s="32">
        <v>233.63900000000001</v>
      </c>
      <c r="L83" s="32">
        <v>54.901699999999998</v>
      </c>
      <c r="M83" s="32">
        <v>9276.44</v>
      </c>
      <c r="N83" s="32">
        <v>3.8329</v>
      </c>
      <c r="O83" s="32">
        <v>3.1154999999999999</v>
      </c>
      <c r="P83" s="32">
        <v>13.779400000000001</v>
      </c>
      <c r="Q83" s="32">
        <v>1.3065</v>
      </c>
      <c r="R83" s="32">
        <v>91.404899999999998</v>
      </c>
      <c r="S83" s="32">
        <v>2.6901999999999999</v>
      </c>
      <c r="T83" s="32">
        <v>43.045499999999997</v>
      </c>
      <c r="U83" s="32">
        <v>3.4238</v>
      </c>
      <c r="V83" s="32">
        <v>31.052299999999999</v>
      </c>
      <c r="W83" s="32">
        <v>3.7507999999999999</v>
      </c>
      <c r="X83" s="32">
        <v>8.3177000000000003</v>
      </c>
      <c r="Y83" s="32">
        <v>1166.32</v>
      </c>
      <c r="Z83" s="32">
        <v>0.7863</v>
      </c>
      <c r="AA83" s="32">
        <v>1.8242</v>
      </c>
      <c r="AB83" s="32">
        <v>4.3013000000000003</v>
      </c>
    </row>
    <row r="84" spans="1:28" ht="15" customHeight="1" x14ac:dyDescent="0.2">
      <c r="A84" s="33">
        <v>41048</v>
      </c>
      <c r="B84" s="32">
        <v>4.4550999999999998</v>
      </c>
      <c r="C84" s="32">
        <v>1.0154000000000001</v>
      </c>
      <c r="D84" s="32">
        <v>2.0142000000000002</v>
      </c>
      <c r="E84" s="32">
        <v>505</v>
      </c>
      <c r="F84" s="32">
        <v>6.335</v>
      </c>
      <c r="G84" s="32">
        <v>1827.83</v>
      </c>
      <c r="H84" s="32">
        <v>20.017099999999999</v>
      </c>
      <c r="I84" s="32">
        <v>39.484299999999998</v>
      </c>
      <c r="J84" s="32">
        <v>7.7680999999999996</v>
      </c>
      <c r="K84" s="32">
        <v>235.084</v>
      </c>
      <c r="L84" s="32">
        <v>55.127400000000002</v>
      </c>
      <c r="M84" s="32">
        <v>9302.33</v>
      </c>
      <c r="N84" s="32">
        <v>3.8346</v>
      </c>
      <c r="O84" s="32">
        <v>3.1347</v>
      </c>
      <c r="P84" s="32">
        <v>13.838699999999999</v>
      </c>
      <c r="Q84" s="32">
        <v>1.3191999999999999</v>
      </c>
      <c r="R84" s="32">
        <v>91.773300000000006</v>
      </c>
      <c r="S84" s="32">
        <v>2.7118000000000002</v>
      </c>
      <c r="T84" s="32">
        <v>43.210500000000003</v>
      </c>
      <c r="U84" s="32">
        <v>3.4321999999999999</v>
      </c>
      <c r="V84" s="32">
        <v>31.231000000000002</v>
      </c>
      <c r="W84" s="32">
        <v>3.7507999999999999</v>
      </c>
      <c r="X84" s="32">
        <v>8.3666</v>
      </c>
      <c r="Y84" s="32">
        <v>1171.0999999999999</v>
      </c>
      <c r="Z84" s="32">
        <v>0.7873</v>
      </c>
      <c r="AA84" s="32">
        <v>1.8347</v>
      </c>
      <c r="AB84" s="32">
        <v>4.3018000000000001</v>
      </c>
    </row>
    <row r="85" spans="1:28" ht="15" customHeight="1" x14ac:dyDescent="0.2">
      <c r="A85" s="33">
        <v>41049</v>
      </c>
      <c r="B85" s="32">
        <v>4.4621000000000004</v>
      </c>
      <c r="C85" s="32">
        <v>1.0164</v>
      </c>
      <c r="D85" s="32">
        <v>2.0259</v>
      </c>
      <c r="E85" s="32">
        <v>505</v>
      </c>
      <c r="F85" s="32">
        <v>6.3535000000000004</v>
      </c>
      <c r="G85" s="32">
        <v>1824.28</v>
      </c>
      <c r="H85" s="32">
        <v>19.801500000000001</v>
      </c>
      <c r="I85" s="32">
        <v>39.277799999999999</v>
      </c>
      <c r="J85" s="32">
        <v>7.7686999999999999</v>
      </c>
      <c r="K85" s="32">
        <v>233.666</v>
      </c>
      <c r="L85" s="32">
        <v>55.625</v>
      </c>
      <c r="M85" s="32">
        <v>9267.84</v>
      </c>
      <c r="N85" s="32">
        <v>3.8351999999999999</v>
      </c>
      <c r="O85" s="32">
        <v>3.1362000000000001</v>
      </c>
      <c r="P85" s="32">
        <v>13.829700000000001</v>
      </c>
      <c r="Q85" s="32">
        <v>1.3227</v>
      </c>
      <c r="R85" s="32">
        <v>91.265199999999993</v>
      </c>
      <c r="S85" s="32">
        <v>2.6852999999999998</v>
      </c>
      <c r="T85" s="32">
        <v>43.231400000000001</v>
      </c>
      <c r="U85" s="32">
        <v>3.4066999999999998</v>
      </c>
      <c r="V85" s="32">
        <v>31.267600000000002</v>
      </c>
      <c r="W85" s="32">
        <v>3.7515000000000001</v>
      </c>
      <c r="X85" s="32">
        <v>8.3907000000000007</v>
      </c>
      <c r="Y85" s="32">
        <v>1170.1400000000001</v>
      </c>
      <c r="Z85" s="32">
        <v>0.7833</v>
      </c>
      <c r="AA85" s="32">
        <v>1.8376999999999999</v>
      </c>
      <c r="AB85" s="32">
        <v>4.2996999999999996</v>
      </c>
    </row>
    <row r="86" spans="1:28" ht="15" customHeight="1" x14ac:dyDescent="0.2">
      <c r="A86" s="33">
        <v>41050</v>
      </c>
      <c r="B86" s="32">
        <v>4.4615</v>
      </c>
      <c r="C86" s="32">
        <v>1.0166999999999999</v>
      </c>
      <c r="D86" s="32">
        <v>2.0259</v>
      </c>
      <c r="E86" s="32">
        <v>505</v>
      </c>
      <c r="F86" s="32">
        <v>6.3535000000000004</v>
      </c>
      <c r="G86" s="32">
        <v>1832.1</v>
      </c>
      <c r="H86" s="32">
        <v>19.808599999999998</v>
      </c>
      <c r="I86" s="32">
        <v>39.319000000000003</v>
      </c>
      <c r="J86" s="32">
        <v>7.7686000000000002</v>
      </c>
      <c r="K86" s="32">
        <v>233.69200000000001</v>
      </c>
      <c r="L86" s="32">
        <v>55.625</v>
      </c>
      <c r="M86" s="32">
        <v>9259.26</v>
      </c>
      <c r="N86" s="32">
        <v>3.8340999999999998</v>
      </c>
      <c r="O86" s="32">
        <v>3.1358000000000001</v>
      </c>
      <c r="P86" s="32">
        <v>13.829700000000001</v>
      </c>
      <c r="Q86" s="32">
        <v>1.3228</v>
      </c>
      <c r="R86" s="32">
        <v>91.436000000000007</v>
      </c>
      <c r="S86" s="32">
        <v>2.7124000000000001</v>
      </c>
      <c r="T86" s="32">
        <v>43.231999999999999</v>
      </c>
      <c r="U86" s="32">
        <v>3.4022000000000001</v>
      </c>
      <c r="V86" s="32">
        <v>31.225000000000001</v>
      </c>
      <c r="W86" s="32">
        <v>3.7515000000000001</v>
      </c>
      <c r="X86" s="32">
        <v>8.3888999999999996</v>
      </c>
      <c r="Y86" s="32">
        <v>1169.8599999999999</v>
      </c>
      <c r="Z86" s="32">
        <v>0.78349999999999997</v>
      </c>
      <c r="AA86" s="32">
        <v>1.8386</v>
      </c>
      <c r="AB86" s="32">
        <v>4.2996999999999996</v>
      </c>
    </row>
    <row r="87" spans="1:28" ht="15" customHeight="1" x14ac:dyDescent="0.2">
      <c r="A87" s="33">
        <v>41051</v>
      </c>
      <c r="B87" s="32">
        <v>4.4656000000000002</v>
      </c>
      <c r="C87" s="32">
        <v>1.0148999999999999</v>
      </c>
      <c r="D87" s="32">
        <v>2.0318999999999998</v>
      </c>
      <c r="E87" s="32">
        <v>506.85</v>
      </c>
      <c r="F87" s="32">
        <v>6.3323</v>
      </c>
      <c r="G87" s="32">
        <v>1835.58</v>
      </c>
      <c r="H87" s="32">
        <v>19.7637</v>
      </c>
      <c r="I87" s="32">
        <v>39.326000000000001</v>
      </c>
      <c r="J87" s="32">
        <v>7.7655000000000003</v>
      </c>
      <c r="K87" s="32">
        <v>232.96899999999999</v>
      </c>
      <c r="L87" s="32">
        <v>55.281500000000001</v>
      </c>
      <c r="M87" s="32">
        <v>9293.68</v>
      </c>
      <c r="N87" s="32">
        <v>3.8296999999999999</v>
      </c>
      <c r="O87" s="32">
        <v>3.1362999999999999</v>
      </c>
      <c r="P87" s="32">
        <v>13.791700000000001</v>
      </c>
      <c r="Q87" s="32">
        <v>1.3173999999999999</v>
      </c>
      <c r="R87" s="32">
        <v>91.544300000000007</v>
      </c>
      <c r="S87" s="32">
        <v>2.702</v>
      </c>
      <c r="T87" s="32">
        <v>43.254800000000003</v>
      </c>
      <c r="U87" s="32">
        <v>3.395</v>
      </c>
      <c r="V87" s="32">
        <v>31.230499999999999</v>
      </c>
      <c r="W87" s="32">
        <v>3.7507999999999999</v>
      </c>
      <c r="X87" s="32">
        <v>8.3005999999999993</v>
      </c>
      <c r="Y87" s="32">
        <v>1169.5899999999999</v>
      </c>
      <c r="Z87" s="32">
        <v>0.78259999999999996</v>
      </c>
      <c r="AA87" s="32">
        <v>1.8312999999999999</v>
      </c>
      <c r="AB87" s="32">
        <v>4.3017000000000003</v>
      </c>
    </row>
    <row r="88" spans="1:28" ht="15" customHeight="1" x14ac:dyDescent="0.2">
      <c r="A88" s="33">
        <v>41052</v>
      </c>
      <c r="B88" s="32">
        <v>4.4676999999999998</v>
      </c>
      <c r="C88" s="32">
        <v>1.0114000000000001</v>
      </c>
      <c r="D88" s="32">
        <v>2.0486</v>
      </c>
      <c r="E88" s="32">
        <v>508</v>
      </c>
      <c r="F88" s="32">
        <v>6.3254999999999999</v>
      </c>
      <c r="G88" s="32">
        <v>1847.5</v>
      </c>
      <c r="H88" s="32">
        <v>19.729500000000002</v>
      </c>
      <c r="I88" s="32">
        <v>39.342500000000001</v>
      </c>
      <c r="J88" s="32">
        <v>7.7647000000000004</v>
      </c>
      <c r="K88" s="32">
        <v>232.76400000000001</v>
      </c>
      <c r="L88" s="32">
        <v>55.573700000000002</v>
      </c>
      <c r="M88" s="32">
        <v>9310.99</v>
      </c>
      <c r="N88" s="32">
        <v>3.8328000000000002</v>
      </c>
      <c r="O88" s="32">
        <v>3.1242000000000001</v>
      </c>
      <c r="P88" s="32">
        <v>13.7295</v>
      </c>
      <c r="Q88" s="32">
        <v>1.3109</v>
      </c>
      <c r="R88" s="32">
        <v>91.589799999999997</v>
      </c>
      <c r="S88" s="32">
        <v>2.706</v>
      </c>
      <c r="T88" s="32">
        <v>43.254899999999999</v>
      </c>
      <c r="U88" s="32">
        <v>3.3910999999999998</v>
      </c>
      <c r="V88" s="32">
        <v>31.161200000000001</v>
      </c>
      <c r="W88" s="32">
        <v>3.7507000000000001</v>
      </c>
      <c r="X88" s="32">
        <v>8.2569999999999997</v>
      </c>
      <c r="Y88" s="32">
        <v>1166.45</v>
      </c>
      <c r="Z88" s="32">
        <v>0.78320000000000001</v>
      </c>
      <c r="AA88" s="32">
        <v>1.8282</v>
      </c>
      <c r="AB88" s="32">
        <v>4.3021000000000003</v>
      </c>
    </row>
    <row r="89" spans="1:28" ht="15" customHeight="1" x14ac:dyDescent="0.2">
      <c r="A89" s="33">
        <v>41053</v>
      </c>
      <c r="B89" s="32">
        <v>4.4706000000000001</v>
      </c>
      <c r="C89" s="32">
        <v>1.0251999999999999</v>
      </c>
      <c r="D89" s="32">
        <v>2.0821000000000001</v>
      </c>
      <c r="E89" s="32">
        <v>512.29999999999995</v>
      </c>
      <c r="F89" s="32">
        <v>6.3331</v>
      </c>
      <c r="G89" s="32">
        <v>1865.96</v>
      </c>
      <c r="H89" s="32">
        <v>20.1205</v>
      </c>
      <c r="I89" s="32">
        <v>39.571899999999999</v>
      </c>
      <c r="J89" s="32">
        <v>7.7656000000000001</v>
      </c>
      <c r="K89" s="32">
        <v>239.05199999999999</v>
      </c>
      <c r="L89" s="32">
        <v>56.453600000000002</v>
      </c>
      <c r="M89" s="32">
        <v>9319.66</v>
      </c>
      <c r="N89" s="32">
        <v>3.859</v>
      </c>
      <c r="O89" s="32">
        <v>3.1435</v>
      </c>
      <c r="P89" s="32">
        <v>13.9701</v>
      </c>
      <c r="Q89" s="32">
        <v>1.3326</v>
      </c>
      <c r="R89" s="32">
        <v>92.831599999999995</v>
      </c>
      <c r="S89" s="32">
        <v>2.7265000000000001</v>
      </c>
      <c r="T89" s="32">
        <v>43.519199999999998</v>
      </c>
      <c r="U89" s="32">
        <v>3.4569000000000001</v>
      </c>
      <c r="V89" s="32">
        <v>31.511900000000001</v>
      </c>
      <c r="W89" s="32">
        <v>3.7505999999999999</v>
      </c>
      <c r="X89" s="32">
        <v>8.3849999999999998</v>
      </c>
      <c r="Y89" s="32">
        <v>1175.3599999999999</v>
      </c>
      <c r="Z89" s="32">
        <v>0.7913</v>
      </c>
      <c r="AA89" s="32">
        <v>1.8481000000000001</v>
      </c>
      <c r="AB89" s="32">
        <v>4.3022</v>
      </c>
    </row>
    <row r="90" spans="1:28" ht="15" customHeight="1" x14ac:dyDescent="0.2">
      <c r="A90" s="33">
        <v>41054</v>
      </c>
      <c r="B90" s="32">
        <v>4.4722</v>
      </c>
      <c r="C90" s="32">
        <v>1.0249999999999999</v>
      </c>
      <c r="D90" s="32">
        <v>2.0363000000000002</v>
      </c>
      <c r="E90" s="32">
        <v>509.9</v>
      </c>
      <c r="F90" s="32">
        <v>6.3380999999999998</v>
      </c>
      <c r="G90" s="32">
        <v>1852.14</v>
      </c>
      <c r="H90" s="32">
        <v>20.266999999999999</v>
      </c>
      <c r="I90" s="32">
        <v>39.644399999999997</v>
      </c>
      <c r="J90" s="32">
        <v>7.7641999999999998</v>
      </c>
      <c r="K90" s="32">
        <v>239.33699999999999</v>
      </c>
      <c r="L90" s="32">
        <v>56.429099999999998</v>
      </c>
      <c r="M90" s="32">
        <v>9319.66</v>
      </c>
      <c r="N90" s="32">
        <v>3.8573</v>
      </c>
      <c r="O90" s="32">
        <v>3.1509</v>
      </c>
      <c r="P90" s="32">
        <v>14.0006</v>
      </c>
      <c r="Q90" s="32">
        <v>1.33</v>
      </c>
      <c r="R90" s="32">
        <v>92.430899999999994</v>
      </c>
      <c r="S90" s="32">
        <v>2.7376999999999998</v>
      </c>
      <c r="T90" s="32">
        <v>43.6905</v>
      </c>
      <c r="U90" s="32">
        <v>3.4719000000000002</v>
      </c>
      <c r="V90" s="32">
        <v>31.721599999999999</v>
      </c>
      <c r="W90" s="32">
        <v>3.7505999999999999</v>
      </c>
      <c r="X90" s="32">
        <v>8.3785000000000007</v>
      </c>
      <c r="Y90" s="32">
        <v>1179.6600000000001</v>
      </c>
      <c r="Z90" s="32">
        <v>0.79569999999999996</v>
      </c>
      <c r="AA90" s="32">
        <v>1.8496999999999999</v>
      </c>
      <c r="AB90" s="32">
        <v>4.3019999999999996</v>
      </c>
    </row>
    <row r="91" spans="1:28" ht="15" customHeight="1" x14ac:dyDescent="0.2">
      <c r="A91" s="33">
        <v>41055</v>
      </c>
      <c r="B91" s="32">
        <v>4.4702999999999999</v>
      </c>
      <c r="C91" s="32">
        <v>1.0238</v>
      </c>
      <c r="D91" s="32">
        <v>2.0213999999999999</v>
      </c>
      <c r="E91" s="32">
        <v>511.5</v>
      </c>
      <c r="F91" s="32">
        <v>6.3446999999999996</v>
      </c>
      <c r="G91" s="32">
        <v>1872.69</v>
      </c>
      <c r="H91" s="32">
        <v>20.276</v>
      </c>
      <c r="I91" s="32">
        <v>39.4435</v>
      </c>
      <c r="J91" s="32">
        <v>7.7630999999999997</v>
      </c>
      <c r="K91" s="32">
        <v>239.64099999999999</v>
      </c>
      <c r="L91" s="32">
        <v>56.029200000000003</v>
      </c>
      <c r="M91" s="32">
        <v>9363.2999999999993</v>
      </c>
      <c r="N91" s="32">
        <v>3.859</v>
      </c>
      <c r="O91" s="32">
        <v>3.1577999999999999</v>
      </c>
      <c r="P91" s="32">
        <v>14.021100000000001</v>
      </c>
      <c r="Q91" s="32">
        <v>1.3246</v>
      </c>
      <c r="R91" s="32">
        <v>93.103700000000003</v>
      </c>
      <c r="S91" s="32">
        <v>2.7431999999999999</v>
      </c>
      <c r="T91" s="32">
        <v>43.868400000000001</v>
      </c>
      <c r="U91" s="32">
        <v>3.4788000000000001</v>
      </c>
      <c r="V91" s="32">
        <v>31.908200000000001</v>
      </c>
      <c r="W91" s="32">
        <v>3.7507000000000001</v>
      </c>
      <c r="X91" s="32">
        <v>8.3702000000000005</v>
      </c>
      <c r="Y91" s="32">
        <v>1184.69</v>
      </c>
      <c r="Z91" s="32">
        <v>0.79749999999999999</v>
      </c>
      <c r="AA91" s="32">
        <v>1.8464</v>
      </c>
      <c r="AB91" s="32">
        <v>4.3044000000000002</v>
      </c>
    </row>
    <row r="92" spans="1:28" ht="15" customHeight="1" x14ac:dyDescent="0.2">
      <c r="A92" s="33">
        <v>41056</v>
      </c>
      <c r="B92" s="32">
        <v>4.5494000000000003</v>
      </c>
      <c r="C92" s="32">
        <v>1.0251999999999999</v>
      </c>
      <c r="D92" s="32">
        <v>1.9922</v>
      </c>
      <c r="E92" s="32">
        <v>511.5</v>
      </c>
      <c r="F92" s="32">
        <v>6.3624999999999998</v>
      </c>
      <c r="G92" s="32">
        <v>1888.43</v>
      </c>
      <c r="H92" s="32">
        <v>20.3096</v>
      </c>
      <c r="I92" s="32">
        <v>39.690399999999997</v>
      </c>
      <c r="J92" s="32">
        <v>7.7649999999999997</v>
      </c>
      <c r="K92" s="32">
        <v>239.911</v>
      </c>
      <c r="L92" s="32">
        <v>56.24</v>
      </c>
      <c r="M92" s="32">
        <v>9310.99</v>
      </c>
      <c r="N92" s="32">
        <v>3.8618000000000001</v>
      </c>
      <c r="O92" s="32">
        <v>3.1564000000000001</v>
      </c>
      <c r="P92" s="32">
        <v>14.0479</v>
      </c>
      <c r="Q92" s="32">
        <v>1.3271999999999999</v>
      </c>
      <c r="R92" s="32">
        <v>93.444999999999993</v>
      </c>
      <c r="S92" s="32">
        <v>2.7736000000000001</v>
      </c>
      <c r="T92" s="32">
        <v>43.886699999999998</v>
      </c>
      <c r="U92" s="32">
        <v>3.4860000000000002</v>
      </c>
      <c r="V92" s="32">
        <v>32.066499999999998</v>
      </c>
      <c r="W92" s="32">
        <v>3.7513999999999998</v>
      </c>
      <c r="X92" s="32">
        <v>8.4548000000000005</v>
      </c>
      <c r="Y92" s="32">
        <v>1186.6600000000001</v>
      </c>
      <c r="Z92" s="32">
        <v>0.79910000000000003</v>
      </c>
      <c r="AA92" s="32">
        <v>1.8509</v>
      </c>
      <c r="AB92" s="32">
        <v>4.2996999999999996</v>
      </c>
    </row>
    <row r="93" spans="1:28" ht="15" customHeight="1" x14ac:dyDescent="0.2">
      <c r="A93" s="33">
        <v>41057</v>
      </c>
      <c r="B93" s="32">
        <v>4.5029000000000003</v>
      </c>
      <c r="C93" s="32">
        <v>1.0248999999999999</v>
      </c>
      <c r="D93" s="32">
        <v>1.9923</v>
      </c>
      <c r="E93" s="32">
        <v>511.5</v>
      </c>
      <c r="F93" s="32">
        <v>6.3624999999999998</v>
      </c>
      <c r="G93" s="32">
        <v>1889.44</v>
      </c>
      <c r="H93" s="32">
        <v>20.283200000000001</v>
      </c>
      <c r="I93" s="32">
        <v>39.696199999999997</v>
      </c>
      <c r="J93" s="32">
        <v>7.7648999999999999</v>
      </c>
      <c r="K93" s="32">
        <v>239.822</v>
      </c>
      <c r="L93" s="32">
        <v>56.24</v>
      </c>
      <c r="M93" s="32">
        <v>9310.99</v>
      </c>
      <c r="N93" s="32">
        <v>3.8614000000000002</v>
      </c>
      <c r="O93" s="32">
        <v>3.1983999999999999</v>
      </c>
      <c r="P93" s="32">
        <v>14.044600000000001</v>
      </c>
      <c r="Q93" s="32">
        <v>1.3268</v>
      </c>
      <c r="R93" s="32">
        <v>93.465500000000006</v>
      </c>
      <c r="S93" s="32">
        <v>2.7749999999999999</v>
      </c>
      <c r="T93" s="32">
        <v>43.885199999999998</v>
      </c>
      <c r="U93" s="32">
        <v>3.5064000000000002</v>
      </c>
      <c r="V93" s="32">
        <v>32.092300000000002</v>
      </c>
      <c r="W93" s="32">
        <v>3.7513999999999998</v>
      </c>
      <c r="X93" s="32">
        <v>8.4532000000000007</v>
      </c>
      <c r="Y93" s="32">
        <v>1202.5</v>
      </c>
      <c r="Z93" s="32">
        <v>0.79830000000000001</v>
      </c>
      <c r="AA93" s="32">
        <v>1.8509</v>
      </c>
      <c r="AB93" s="32">
        <v>4.2996999999999996</v>
      </c>
    </row>
    <row r="94" spans="1:28" ht="15" customHeight="1" x14ac:dyDescent="0.2">
      <c r="A94" s="33">
        <v>41058</v>
      </c>
      <c r="B94" s="32">
        <v>4.5035999999999996</v>
      </c>
      <c r="C94" s="32">
        <v>1.0153000000000001</v>
      </c>
      <c r="D94" s="32">
        <v>1.9864999999999999</v>
      </c>
      <c r="E94" s="32">
        <v>513.5</v>
      </c>
      <c r="F94" s="32">
        <v>6.3414999999999999</v>
      </c>
      <c r="G94" s="32">
        <v>1879.77</v>
      </c>
      <c r="H94" s="32">
        <v>20.192399999999999</v>
      </c>
      <c r="I94" s="32">
        <v>39.5794</v>
      </c>
      <c r="J94" s="32">
        <v>7.7625999999999999</v>
      </c>
      <c r="K94" s="32">
        <v>238.08199999999999</v>
      </c>
      <c r="L94" s="32">
        <v>55.752400000000002</v>
      </c>
      <c r="M94" s="32">
        <v>9433.9599999999991</v>
      </c>
      <c r="N94" s="32">
        <v>3.8610000000000002</v>
      </c>
      <c r="O94" s="32">
        <v>3.2014999999999998</v>
      </c>
      <c r="P94" s="32">
        <v>13.957100000000001</v>
      </c>
      <c r="Q94" s="32">
        <v>1.3136000000000001</v>
      </c>
      <c r="R94" s="32">
        <v>93.360900000000001</v>
      </c>
      <c r="S94" s="32">
        <v>2.7656000000000001</v>
      </c>
      <c r="T94" s="32">
        <v>44.137599999999999</v>
      </c>
      <c r="U94" s="32">
        <v>3.4615999999999998</v>
      </c>
      <c r="V94" s="32">
        <v>32.031999999999996</v>
      </c>
      <c r="W94" s="32">
        <v>3.7507000000000001</v>
      </c>
      <c r="X94" s="32">
        <v>8.3406000000000002</v>
      </c>
      <c r="Y94" s="32">
        <v>1205.55</v>
      </c>
      <c r="Z94" s="32">
        <v>0.79569999999999996</v>
      </c>
      <c r="AA94" s="32">
        <v>1.8383</v>
      </c>
      <c r="AB94" s="32">
        <v>4.2996999999999996</v>
      </c>
    </row>
    <row r="95" spans="1:28" ht="15" customHeight="1" x14ac:dyDescent="0.2">
      <c r="A95" s="33">
        <v>41059</v>
      </c>
      <c r="B95" s="32">
        <v>4.4977</v>
      </c>
      <c r="C95" s="32">
        <v>1.0158</v>
      </c>
      <c r="D95" s="32">
        <v>1.9883</v>
      </c>
      <c r="E95" s="32">
        <v>512</v>
      </c>
      <c r="F95" s="32">
        <v>6.3391000000000002</v>
      </c>
      <c r="G95" s="32">
        <v>1859.13</v>
      </c>
      <c r="H95" s="32">
        <v>20.2959</v>
      </c>
      <c r="I95" s="32">
        <v>39.488900000000001</v>
      </c>
      <c r="J95" s="32">
        <v>7.7633000000000001</v>
      </c>
      <c r="K95" s="32">
        <v>238.483</v>
      </c>
      <c r="L95" s="32">
        <v>55.968000000000004</v>
      </c>
      <c r="M95" s="32">
        <v>9514.75</v>
      </c>
      <c r="N95" s="32">
        <v>3.8736000000000002</v>
      </c>
      <c r="O95" s="32">
        <v>3.1549</v>
      </c>
      <c r="P95" s="32">
        <v>13.950200000000001</v>
      </c>
      <c r="Q95" s="32">
        <v>1.3140000000000001</v>
      </c>
      <c r="R95" s="32">
        <v>93.412800000000004</v>
      </c>
      <c r="S95" s="32">
        <v>2.7467000000000001</v>
      </c>
      <c r="T95" s="32">
        <v>43.593899999999998</v>
      </c>
      <c r="U95" s="32">
        <v>3.4754</v>
      </c>
      <c r="V95" s="32">
        <v>32.119100000000003</v>
      </c>
      <c r="W95" s="32">
        <v>3.7507000000000001</v>
      </c>
      <c r="X95" s="32">
        <v>8.3419000000000008</v>
      </c>
      <c r="Y95" s="32">
        <v>1180.6400000000001</v>
      </c>
      <c r="Z95" s="32">
        <v>0.7984</v>
      </c>
      <c r="AA95" s="32">
        <v>1.8358000000000001</v>
      </c>
      <c r="AB95" s="32">
        <v>4.3022</v>
      </c>
    </row>
    <row r="96" spans="1:28" ht="15" customHeight="1" x14ac:dyDescent="0.2">
      <c r="A96" s="33">
        <v>41060</v>
      </c>
      <c r="B96" s="32">
        <v>4.4739000000000004</v>
      </c>
      <c r="C96" s="32">
        <v>1.0234000000000001</v>
      </c>
      <c r="D96" s="32">
        <v>2.0021</v>
      </c>
      <c r="E96" s="32">
        <v>518.5</v>
      </c>
      <c r="F96" s="32">
        <v>6.3461999999999996</v>
      </c>
      <c r="G96" s="32">
        <v>1852.31</v>
      </c>
      <c r="H96" s="32">
        <v>20.589099999999998</v>
      </c>
      <c r="I96" s="32">
        <v>39.496299999999998</v>
      </c>
      <c r="J96" s="32">
        <v>7.7640000000000002</v>
      </c>
      <c r="K96" s="32">
        <v>240.5</v>
      </c>
      <c r="L96" s="32">
        <v>56.444499999999998</v>
      </c>
      <c r="M96" s="32">
        <v>9514.75</v>
      </c>
      <c r="N96" s="32">
        <v>3.8807999999999998</v>
      </c>
      <c r="O96" s="32">
        <v>3.1633</v>
      </c>
      <c r="P96" s="32">
        <v>13.9971</v>
      </c>
      <c r="Q96" s="32">
        <v>1.3190999999999999</v>
      </c>
      <c r="R96" s="32">
        <v>93.972999999999999</v>
      </c>
      <c r="S96" s="32">
        <v>2.7488999999999999</v>
      </c>
      <c r="T96" s="32">
        <v>43.596499999999999</v>
      </c>
      <c r="U96" s="32">
        <v>3.5188000000000001</v>
      </c>
      <c r="V96" s="32">
        <v>32.495800000000003</v>
      </c>
      <c r="W96" s="32">
        <v>3.7507999999999999</v>
      </c>
      <c r="X96" s="32">
        <v>8.4210999999999991</v>
      </c>
      <c r="Y96" s="32">
        <v>1180.08</v>
      </c>
      <c r="Z96" s="32">
        <v>0.80379999999999996</v>
      </c>
      <c r="AA96" s="32">
        <v>1.8413999999999999</v>
      </c>
      <c r="AB96" s="32">
        <v>4.3060999999999998</v>
      </c>
    </row>
    <row r="97" spans="1:28" ht="15" customHeight="1" x14ac:dyDescent="0.2">
      <c r="A97" s="33">
        <v>41061</v>
      </c>
      <c r="B97" s="32">
        <v>4.4740000000000002</v>
      </c>
      <c r="C97" s="32">
        <v>1.0286999999999999</v>
      </c>
      <c r="D97" s="32">
        <v>2.0192000000000001</v>
      </c>
      <c r="E97" s="32">
        <v>521.6</v>
      </c>
      <c r="F97" s="32">
        <v>6.3556999999999997</v>
      </c>
      <c r="G97" s="32">
        <v>1853.42</v>
      </c>
      <c r="H97" s="32">
        <v>20.790099999999999</v>
      </c>
      <c r="I97" s="32">
        <v>39.320300000000003</v>
      </c>
      <c r="J97" s="32">
        <v>7.7641999999999998</v>
      </c>
      <c r="K97" s="32">
        <v>243.59700000000001</v>
      </c>
      <c r="L97" s="32">
        <v>56.654499999999999</v>
      </c>
      <c r="M97" s="32">
        <v>9478.67</v>
      </c>
      <c r="N97" s="32">
        <v>3.8923000000000001</v>
      </c>
      <c r="O97" s="32">
        <v>3.1776</v>
      </c>
      <c r="P97" s="32">
        <v>14.2135</v>
      </c>
      <c r="Q97" s="32">
        <v>1.3268</v>
      </c>
      <c r="R97" s="32">
        <v>94.358400000000003</v>
      </c>
      <c r="S97" s="32">
        <v>2.754</v>
      </c>
      <c r="T97" s="32">
        <v>43.641399999999997</v>
      </c>
      <c r="U97" s="32">
        <v>3.5495000000000001</v>
      </c>
      <c r="V97" s="32">
        <v>33.122500000000002</v>
      </c>
      <c r="W97" s="32">
        <v>3.7507999999999999</v>
      </c>
      <c r="X97" s="32">
        <v>8.5371000000000006</v>
      </c>
      <c r="Y97" s="32">
        <v>1181.47</v>
      </c>
      <c r="Z97" s="32">
        <v>0.80769999999999997</v>
      </c>
      <c r="AA97" s="32">
        <v>1.8568</v>
      </c>
      <c r="AB97" s="32">
        <v>4.3021000000000003</v>
      </c>
    </row>
    <row r="98" spans="1:28" ht="15" customHeight="1" x14ac:dyDescent="0.2">
      <c r="A98" s="33">
        <v>41062</v>
      </c>
      <c r="B98" s="32">
        <v>4.4736000000000002</v>
      </c>
      <c r="C98" s="32">
        <v>1.0329999999999999</v>
      </c>
      <c r="D98" s="32">
        <v>2.0312999999999999</v>
      </c>
      <c r="E98" s="32">
        <v>519.9</v>
      </c>
      <c r="F98" s="32">
        <v>6.3569000000000004</v>
      </c>
      <c r="G98" s="32">
        <v>1858.5</v>
      </c>
      <c r="H98" s="32">
        <v>20.852900000000002</v>
      </c>
      <c r="I98" s="32">
        <v>39.515900000000002</v>
      </c>
      <c r="J98" s="32">
        <v>7.7614999999999998</v>
      </c>
      <c r="K98" s="32">
        <v>245.55</v>
      </c>
      <c r="L98" s="32">
        <v>56.208799999999997</v>
      </c>
      <c r="M98" s="32">
        <v>9407.34</v>
      </c>
      <c r="N98" s="32">
        <v>3.9125999999999999</v>
      </c>
      <c r="O98" s="32">
        <v>3.1937000000000002</v>
      </c>
      <c r="P98" s="32">
        <v>14.4254</v>
      </c>
      <c r="Q98" s="32">
        <v>1.3302</v>
      </c>
      <c r="R98" s="32">
        <v>94.749799999999993</v>
      </c>
      <c r="S98" s="32">
        <v>2.7559999999999998</v>
      </c>
      <c r="T98" s="32">
        <v>43.601700000000001</v>
      </c>
      <c r="U98" s="32">
        <v>3.5640999999999998</v>
      </c>
      <c r="V98" s="32">
        <v>33.638599999999997</v>
      </c>
      <c r="W98" s="32">
        <v>3.7509000000000001</v>
      </c>
      <c r="X98" s="32">
        <v>8.5776000000000003</v>
      </c>
      <c r="Y98" s="32">
        <v>1182.45</v>
      </c>
      <c r="Z98" s="32">
        <v>0.80879999999999996</v>
      </c>
      <c r="AA98" s="32">
        <v>1.8653</v>
      </c>
      <c r="AB98" s="32">
        <v>4.3022</v>
      </c>
    </row>
    <row r="99" spans="1:28" ht="15" customHeight="1" x14ac:dyDescent="0.2">
      <c r="A99" s="33">
        <v>41063</v>
      </c>
      <c r="B99" s="32">
        <v>4.4953000000000003</v>
      </c>
      <c r="C99" s="32">
        <v>1.0315000000000001</v>
      </c>
      <c r="D99" s="32">
        <v>2.0419999999999998</v>
      </c>
      <c r="E99" s="32">
        <v>519.9</v>
      </c>
      <c r="F99" s="32">
        <v>6.3730000000000002</v>
      </c>
      <c r="G99" s="32">
        <v>1851.78</v>
      </c>
      <c r="H99" s="32">
        <v>20.756900000000002</v>
      </c>
      <c r="I99" s="32">
        <v>39.197600000000001</v>
      </c>
      <c r="J99" s="32">
        <v>7.7619999999999996</v>
      </c>
      <c r="K99" s="32">
        <v>245.73500000000001</v>
      </c>
      <c r="L99" s="32">
        <v>56.134999999999998</v>
      </c>
      <c r="M99" s="32">
        <v>9416.2000000000007</v>
      </c>
      <c r="N99" s="32">
        <v>3.9165000000000001</v>
      </c>
      <c r="O99" s="32">
        <v>3.2195</v>
      </c>
      <c r="P99" s="32">
        <v>14.3331</v>
      </c>
      <c r="Q99" s="32">
        <v>1.3262</v>
      </c>
      <c r="R99" s="32">
        <v>93.85</v>
      </c>
      <c r="S99" s="32">
        <v>2.7471999999999999</v>
      </c>
      <c r="T99" s="32">
        <v>43.5672</v>
      </c>
      <c r="U99" s="32">
        <v>3.5459999999999998</v>
      </c>
      <c r="V99" s="32">
        <v>33.695599999999999</v>
      </c>
      <c r="W99" s="32">
        <v>3.7515999999999998</v>
      </c>
      <c r="X99" s="32">
        <v>8.6275999999999993</v>
      </c>
      <c r="Y99" s="32">
        <v>1183.99</v>
      </c>
      <c r="Z99" s="32">
        <v>0.80449999999999999</v>
      </c>
      <c r="AA99" s="32">
        <v>1.8591</v>
      </c>
      <c r="AB99" s="32">
        <v>4.2996999999999996</v>
      </c>
    </row>
    <row r="100" spans="1:28" ht="15" customHeight="1" x14ac:dyDescent="0.2">
      <c r="A100" s="33">
        <v>41064</v>
      </c>
      <c r="B100" s="32">
        <v>4.4903000000000004</v>
      </c>
      <c r="C100" s="32">
        <v>1.0316000000000001</v>
      </c>
      <c r="D100" s="32">
        <v>2.0413000000000001</v>
      </c>
      <c r="E100" s="32">
        <v>519.9</v>
      </c>
      <c r="F100" s="32">
        <v>6.3730000000000002</v>
      </c>
      <c r="G100" s="32">
        <v>1852.41</v>
      </c>
      <c r="H100" s="32">
        <v>20.757300000000001</v>
      </c>
      <c r="I100" s="32">
        <v>39.196100000000001</v>
      </c>
      <c r="J100" s="32">
        <v>7.7619999999999996</v>
      </c>
      <c r="K100" s="32">
        <v>245.756</v>
      </c>
      <c r="L100" s="32">
        <v>56.134999999999998</v>
      </c>
      <c r="M100" s="32">
        <v>9460.74</v>
      </c>
      <c r="N100" s="32">
        <v>3.9104999999999999</v>
      </c>
      <c r="O100" s="32">
        <v>3.2153</v>
      </c>
      <c r="P100" s="32">
        <v>14.3322</v>
      </c>
      <c r="Q100" s="32">
        <v>1.3264</v>
      </c>
      <c r="R100" s="32">
        <v>94.105800000000002</v>
      </c>
      <c r="S100" s="32">
        <v>2.7484000000000002</v>
      </c>
      <c r="T100" s="32">
        <v>43.567999999999998</v>
      </c>
      <c r="U100" s="32">
        <v>3.5958000000000001</v>
      </c>
      <c r="V100" s="32">
        <v>34.323900000000002</v>
      </c>
      <c r="W100" s="32">
        <v>3.7515999999999998</v>
      </c>
      <c r="X100" s="32">
        <v>8.6289999999999996</v>
      </c>
      <c r="Y100" s="32">
        <v>1187.51</v>
      </c>
      <c r="Z100" s="32">
        <v>0.80549999999999999</v>
      </c>
      <c r="AA100" s="32">
        <v>1.859</v>
      </c>
      <c r="AB100" s="32">
        <v>4.2996999999999996</v>
      </c>
    </row>
    <row r="101" spans="1:28" ht="15" customHeight="1" x14ac:dyDescent="0.2">
      <c r="A101" s="33">
        <v>41065</v>
      </c>
      <c r="B101" s="32">
        <v>4.4870000000000001</v>
      </c>
      <c r="C101" s="32">
        <v>1.0324</v>
      </c>
      <c r="D101" s="32">
        <v>2.0436000000000001</v>
      </c>
      <c r="E101" s="32">
        <v>515.29999999999995</v>
      </c>
      <c r="F101" s="32">
        <v>6.3521000000000001</v>
      </c>
      <c r="G101" s="32">
        <v>1847.12</v>
      </c>
      <c r="H101" s="32">
        <v>20.7441</v>
      </c>
      <c r="I101" s="32">
        <v>39.277000000000001</v>
      </c>
      <c r="J101" s="32">
        <v>7.7603</v>
      </c>
      <c r="K101" s="32">
        <v>244.517</v>
      </c>
      <c r="L101" s="32">
        <v>55.7883</v>
      </c>
      <c r="M101" s="32">
        <v>9487.67</v>
      </c>
      <c r="N101" s="32">
        <v>3.9018000000000002</v>
      </c>
      <c r="O101" s="32">
        <v>3.2121</v>
      </c>
      <c r="P101" s="32">
        <v>14.293799999999999</v>
      </c>
      <c r="Q101" s="32">
        <v>1.3255999999999999</v>
      </c>
      <c r="R101" s="32">
        <v>94.213899999999995</v>
      </c>
      <c r="S101" s="32">
        <v>2.7403</v>
      </c>
      <c r="T101" s="32">
        <v>43.593299999999999</v>
      </c>
      <c r="U101" s="32">
        <v>3.5419</v>
      </c>
      <c r="V101" s="32">
        <v>33.736899999999999</v>
      </c>
      <c r="W101" s="32">
        <v>3.7507999999999999</v>
      </c>
      <c r="X101" s="32">
        <v>8.5672999999999995</v>
      </c>
      <c r="Y101" s="32">
        <v>1183.57</v>
      </c>
      <c r="Z101" s="32">
        <v>0.80389999999999995</v>
      </c>
      <c r="AA101" s="32">
        <v>1.8559000000000001</v>
      </c>
      <c r="AB101" s="32">
        <v>4.3009000000000004</v>
      </c>
    </row>
    <row r="102" spans="1:28" ht="15" customHeight="1" x14ac:dyDescent="0.2">
      <c r="A102" s="33">
        <v>41066</v>
      </c>
      <c r="B102" s="32">
        <v>4.4781000000000004</v>
      </c>
      <c r="C102" s="32">
        <v>1.0263</v>
      </c>
      <c r="D102" s="32">
        <v>2.0463</v>
      </c>
      <c r="E102" s="32">
        <v>513.5</v>
      </c>
      <c r="F102" s="32">
        <v>6.3422000000000001</v>
      </c>
      <c r="G102" s="32">
        <v>1842.14</v>
      </c>
      <c r="H102" s="32">
        <v>20.607500000000002</v>
      </c>
      <c r="I102" s="32">
        <v>39.3489</v>
      </c>
      <c r="J102" s="32">
        <v>7.7590000000000003</v>
      </c>
      <c r="K102" s="32">
        <v>242.499</v>
      </c>
      <c r="L102" s="32">
        <v>55.770600000000002</v>
      </c>
      <c r="M102" s="32">
        <v>9442.8700000000008</v>
      </c>
      <c r="N102" s="32">
        <v>3.8954</v>
      </c>
      <c r="O102" s="32">
        <v>3.1995</v>
      </c>
      <c r="P102" s="32">
        <v>14.230399999999999</v>
      </c>
      <c r="Q102" s="32">
        <v>1.3228</v>
      </c>
      <c r="R102" s="32">
        <v>94.148899999999998</v>
      </c>
      <c r="S102" s="32">
        <v>2.7427000000000001</v>
      </c>
      <c r="T102" s="32">
        <v>43.566299999999998</v>
      </c>
      <c r="U102" s="32">
        <v>3.5181</v>
      </c>
      <c r="V102" s="32">
        <v>33.293900000000001</v>
      </c>
      <c r="W102" s="32">
        <v>3.7507999999999999</v>
      </c>
      <c r="X102" s="32">
        <v>8.4733000000000001</v>
      </c>
      <c r="Y102" s="32">
        <v>1180.3599999999999</v>
      </c>
      <c r="Z102" s="32">
        <v>0.80179999999999996</v>
      </c>
      <c r="AA102" s="32">
        <v>1.8512</v>
      </c>
      <c r="AB102" s="32">
        <v>4.3019999999999996</v>
      </c>
    </row>
    <row r="103" spans="1:28" ht="15" customHeight="1" x14ac:dyDescent="0.2">
      <c r="A103" s="33">
        <v>41067</v>
      </c>
      <c r="B103" s="32">
        <v>4.4823000000000004</v>
      </c>
      <c r="C103" s="32">
        <v>1.0152000000000001</v>
      </c>
      <c r="D103" s="32">
        <v>2.0257000000000001</v>
      </c>
      <c r="E103" s="32">
        <v>511.3</v>
      </c>
      <c r="F103" s="32">
        <v>6.3383000000000003</v>
      </c>
      <c r="G103" s="32">
        <v>1833.57</v>
      </c>
      <c r="H103" s="32">
        <v>20.462800000000001</v>
      </c>
      <c r="I103" s="32">
        <v>39.503500000000003</v>
      </c>
      <c r="J103" s="32">
        <v>7.7587000000000002</v>
      </c>
      <c r="K103" s="32">
        <v>240.38399999999999</v>
      </c>
      <c r="L103" s="32">
        <v>55.537799999999997</v>
      </c>
      <c r="M103" s="32">
        <v>9407.34</v>
      </c>
      <c r="N103" s="32">
        <v>3.8954</v>
      </c>
      <c r="O103" s="32">
        <v>3.1823999999999999</v>
      </c>
      <c r="P103" s="32">
        <v>14.1653</v>
      </c>
      <c r="Q103" s="32">
        <v>1.3103</v>
      </c>
      <c r="R103" s="32">
        <v>94.769000000000005</v>
      </c>
      <c r="S103" s="32">
        <v>2.7486999999999999</v>
      </c>
      <c r="T103" s="32">
        <v>43.390700000000002</v>
      </c>
      <c r="U103" s="32">
        <v>3.4798</v>
      </c>
      <c r="V103" s="32">
        <v>32.715200000000003</v>
      </c>
      <c r="W103" s="32">
        <v>3.7515000000000001</v>
      </c>
      <c r="X103" s="32">
        <v>8.3889999999999993</v>
      </c>
      <c r="Y103" s="32">
        <v>1176.19</v>
      </c>
      <c r="Z103" s="32">
        <v>0.79990000000000006</v>
      </c>
      <c r="AA103" s="32">
        <v>1.8393999999999999</v>
      </c>
      <c r="AB103" s="32">
        <v>4.3019999999999996</v>
      </c>
    </row>
    <row r="104" spans="1:28" ht="15" customHeight="1" x14ac:dyDescent="0.2">
      <c r="A104" s="33">
        <v>41068</v>
      </c>
      <c r="B104" s="32">
        <v>4.4877000000000002</v>
      </c>
      <c r="C104" s="32">
        <v>1.0061</v>
      </c>
      <c r="D104" s="32">
        <v>2.0348999999999999</v>
      </c>
      <c r="E104" s="32">
        <v>503.9</v>
      </c>
      <c r="F104" s="32">
        <v>6.3308999999999997</v>
      </c>
      <c r="G104" s="32">
        <v>1806.91</v>
      </c>
      <c r="H104" s="32">
        <v>20.197800000000001</v>
      </c>
      <c r="I104" s="32">
        <v>39.380499999999998</v>
      </c>
      <c r="J104" s="32">
        <v>7.7584</v>
      </c>
      <c r="K104" s="32">
        <v>236.244</v>
      </c>
      <c r="L104" s="32">
        <v>55.131500000000003</v>
      </c>
      <c r="M104" s="32">
        <v>9389.67</v>
      </c>
      <c r="N104" s="32">
        <v>3.8786</v>
      </c>
      <c r="O104" s="32">
        <v>3.1671999999999998</v>
      </c>
      <c r="P104" s="32">
        <v>14.0122</v>
      </c>
      <c r="Q104" s="32">
        <v>1.2974000000000001</v>
      </c>
      <c r="R104" s="32">
        <v>94.781199999999998</v>
      </c>
      <c r="S104" s="32">
        <v>2.7286000000000001</v>
      </c>
      <c r="T104" s="32">
        <v>43.25</v>
      </c>
      <c r="U104" s="32">
        <v>3.4140000000000001</v>
      </c>
      <c r="V104" s="32">
        <v>32.312600000000003</v>
      </c>
      <c r="W104" s="32">
        <v>3.7509999999999999</v>
      </c>
      <c r="X104" s="32">
        <v>8.3148999999999997</v>
      </c>
      <c r="Y104" s="32">
        <v>1170.55</v>
      </c>
      <c r="Z104" s="32">
        <v>0.79530000000000001</v>
      </c>
      <c r="AA104" s="32">
        <v>1.8280000000000001</v>
      </c>
      <c r="AB104" s="32">
        <v>4.3017000000000003</v>
      </c>
    </row>
    <row r="105" spans="1:28" ht="15" customHeight="1" x14ac:dyDescent="0.2">
      <c r="A105" s="33">
        <v>41069</v>
      </c>
      <c r="B105" s="32">
        <v>4.4870999999999999</v>
      </c>
      <c r="C105" s="32">
        <v>1.0134000000000001</v>
      </c>
      <c r="D105" s="32">
        <v>2.0356000000000001</v>
      </c>
      <c r="E105" s="32">
        <v>507.4</v>
      </c>
      <c r="F105" s="32">
        <v>6.3324999999999996</v>
      </c>
      <c r="G105" s="32">
        <v>1807.7</v>
      </c>
      <c r="H105" s="32">
        <v>20.333200000000001</v>
      </c>
      <c r="I105" s="32">
        <v>39.500399999999999</v>
      </c>
      <c r="J105" s="32">
        <v>7.7582000000000004</v>
      </c>
      <c r="K105" s="32">
        <v>237.16300000000001</v>
      </c>
      <c r="L105" s="32">
        <v>55.486600000000003</v>
      </c>
      <c r="M105" s="32">
        <v>9433.9599999999991</v>
      </c>
      <c r="N105" s="32">
        <v>3.8782000000000001</v>
      </c>
      <c r="O105" s="32">
        <v>3.1844999999999999</v>
      </c>
      <c r="P105" s="32">
        <v>14.0855</v>
      </c>
      <c r="Q105" s="32">
        <v>1.306</v>
      </c>
      <c r="R105" s="32">
        <v>94.831299999999999</v>
      </c>
      <c r="S105" s="32">
        <v>2.6997</v>
      </c>
      <c r="T105" s="32">
        <v>43.352600000000002</v>
      </c>
      <c r="U105" s="32">
        <v>3.4319000000000002</v>
      </c>
      <c r="V105" s="32">
        <v>32.573999999999998</v>
      </c>
      <c r="W105" s="32">
        <v>3.7509000000000001</v>
      </c>
      <c r="X105" s="32">
        <v>8.4304000000000006</v>
      </c>
      <c r="Y105" s="32">
        <v>1174.1199999999999</v>
      </c>
      <c r="Z105" s="32">
        <v>0.79990000000000006</v>
      </c>
      <c r="AA105" s="32">
        <v>1.8307</v>
      </c>
      <c r="AB105" s="32">
        <v>4.3018999999999998</v>
      </c>
    </row>
    <row r="106" spans="1:28" ht="15" customHeight="1" x14ac:dyDescent="0.2">
      <c r="A106" s="33">
        <v>41070</v>
      </c>
      <c r="B106" s="32">
        <v>4.5072000000000001</v>
      </c>
      <c r="C106" s="32">
        <v>1.0091000000000001</v>
      </c>
      <c r="D106" s="32">
        <v>2.0347</v>
      </c>
      <c r="E106" s="32">
        <v>507.4</v>
      </c>
      <c r="F106" s="32">
        <v>6.3540000000000001</v>
      </c>
      <c r="G106" s="32">
        <v>1790.59</v>
      </c>
      <c r="H106" s="32">
        <v>20.329599999999999</v>
      </c>
      <c r="I106" s="32">
        <v>39.345500000000001</v>
      </c>
      <c r="J106" s="32">
        <v>7.7599</v>
      </c>
      <c r="K106" s="32">
        <v>236.17</v>
      </c>
      <c r="L106" s="32">
        <v>55.96</v>
      </c>
      <c r="M106" s="32">
        <v>9469.7000000000007</v>
      </c>
      <c r="N106" s="32">
        <v>3.8862000000000001</v>
      </c>
      <c r="O106" s="32">
        <v>3.2122999999999999</v>
      </c>
      <c r="P106" s="32">
        <v>13.941800000000001</v>
      </c>
      <c r="Q106" s="32">
        <v>1.3004</v>
      </c>
      <c r="R106" s="32">
        <v>94.828100000000006</v>
      </c>
      <c r="S106" s="32">
        <v>2.7115</v>
      </c>
      <c r="T106" s="32">
        <v>43.771500000000003</v>
      </c>
      <c r="U106" s="32">
        <v>3.4613999999999998</v>
      </c>
      <c r="V106" s="32">
        <v>32.4724</v>
      </c>
      <c r="W106" s="32">
        <v>3.7517</v>
      </c>
      <c r="X106" s="32">
        <v>8.4398</v>
      </c>
      <c r="Y106" s="32">
        <v>1184.97</v>
      </c>
      <c r="Z106" s="32">
        <v>0.79959999999999998</v>
      </c>
      <c r="AA106" s="32">
        <v>1.8259000000000001</v>
      </c>
      <c r="AB106" s="32">
        <v>4.2996999999999996</v>
      </c>
    </row>
    <row r="107" spans="1:28" ht="15" customHeight="1" x14ac:dyDescent="0.2">
      <c r="A107" s="33">
        <v>41071</v>
      </c>
      <c r="B107" s="32">
        <v>4.5247999999999999</v>
      </c>
      <c r="C107" s="32">
        <v>1.0074000000000001</v>
      </c>
      <c r="D107" s="32">
        <v>2.0430000000000001</v>
      </c>
      <c r="E107" s="32">
        <v>507.4</v>
      </c>
      <c r="F107" s="32">
        <v>6.3540000000000001</v>
      </c>
      <c r="G107" s="32">
        <v>1803.01</v>
      </c>
      <c r="H107" s="32">
        <v>20.3504</v>
      </c>
      <c r="I107" s="32">
        <v>39.350700000000003</v>
      </c>
      <c r="J107" s="32">
        <v>7.7599</v>
      </c>
      <c r="K107" s="32">
        <v>236.078</v>
      </c>
      <c r="L107" s="32">
        <v>55.96</v>
      </c>
      <c r="M107" s="32">
        <v>9523.81</v>
      </c>
      <c r="N107" s="32">
        <v>3.8839999999999999</v>
      </c>
      <c r="O107" s="32">
        <v>3.2323</v>
      </c>
      <c r="P107" s="32">
        <v>13.9366</v>
      </c>
      <c r="Q107" s="32">
        <v>1.2987</v>
      </c>
      <c r="R107" s="32">
        <v>95.111000000000004</v>
      </c>
      <c r="S107" s="32">
        <v>2.7339000000000002</v>
      </c>
      <c r="T107" s="32">
        <v>43.703400000000002</v>
      </c>
      <c r="U107" s="32">
        <v>3.484</v>
      </c>
      <c r="V107" s="32">
        <v>33.007800000000003</v>
      </c>
      <c r="W107" s="32">
        <v>3.7517</v>
      </c>
      <c r="X107" s="32">
        <v>8.4347999999999992</v>
      </c>
      <c r="Y107" s="32">
        <v>1193.17</v>
      </c>
      <c r="Z107" s="32">
        <v>0.79779999999999995</v>
      </c>
      <c r="AA107" s="32">
        <v>1.8258000000000001</v>
      </c>
      <c r="AB107" s="32">
        <v>4.2996999999999996</v>
      </c>
    </row>
    <row r="108" spans="1:28" ht="15" customHeight="1" x14ac:dyDescent="0.2">
      <c r="A108" s="33">
        <v>41072</v>
      </c>
      <c r="B108" s="32">
        <v>4.4863</v>
      </c>
      <c r="C108" s="32">
        <v>1.0047999999999999</v>
      </c>
      <c r="D108" s="32">
        <v>2.0327000000000002</v>
      </c>
      <c r="E108" s="32">
        <v>500.8</v>
      </c>
      <c r="F108" s="32">
        <v>6.3319999999999999</v>
      </c>
      <c r="G108" s="32">
        <v>1799.6</v>
      </c>
      <c r="H108" s="32">
        <v>20.2258</v>
      </c>
      <c r="I108" s="32">
        <v>39.332599999999999</v>
      </c>
      <c r="J108" s="32">
        <v>7.7588999999999997</v>
      </c>
      <c r="K108" s="32">
        <v>234.75</v>
      </c>
      <c r="L108" s="32">
        <v>55.714199999999998</v>
      </c>
      <c r="M108" s="32">
        <v>9442.8700000000008</v>
      </c>
      <c r="N108" s="32">
        <v>3.8765000000000001</v>
      </c>
      <c r="O108" s="32">
        <v>3.1840000000000002</v>
      </c>
      <c r="P108" s="32">
        <v>13.916</v>
      </c>
      <c r="Q108" s="32">
        <v>1.2910999999999999</v>
      </c>
      <c r="R108" s="32">
        <v>95.132499999999993</v>
      </c>
      <c r="S108" s="32">
        <v>2.7279</v>
      </c>
      <c r="T108" s="32">
        <v>43.200699999999998</v>
      </c>
      <c r="U108" s="32">
        <v>3.4152</v>
      </c>
      <c r="V108" s="32">
        <v>32.533299999999997</v>
      </c>
      <c r="W108" s="32">
        <v>3.7509000000000001</v>
      </c>
      <c r="X108" s="32">
        <v>8.3651</v>
      </c>
      <c r="Y108" s="32">
        <v>1175.0899999999999</v>
      </c>
      <c r="Z108" s="32">
        <v>0.79490000000000005</v>
      </c>
      <c r="AA108" s="32">
        <v>1.8184</v>
      </c>
      <c r="AB108" s="32">
        <v>4.3019999999999996</v>
      </c>
    </row>
    <row r="109" spans="1:28" ht="15" customHeight="1" x14ac:dyDescent="0.2">
      <c r="A109" s="33">
        <v>41073</v>
      </c>
      <c r="B109" s="32">
        <v>4.4923000000000002</v>
      </c>
      <c r="C109" s="32">
        <v>1.0097</v>
      </c>
      <c r="D109" s="32">
        <v>2.0638999999999998</v>
      </c>
      <c r="E109" s="32">
        <v>505.2</v>
      </c>
      <c r="F109" s="32">
        <v>6.3338000000000001</v>
      </c>
      <c r="G109" s="32">
        <v>1809.6</v>
      </c>
      <c r="H109" s="32">
        <v>20.547599999999999</v>
      </c>
      <c r="I109" s="32">
        <v>39.582299999999996</v>
      </c>
      <c r="J109" s="32">
        <v>7.7591999999999999</v>
      </c>
      <c r="K109" s="32">
        <v>238.233</v>
      </c>
      <c r="L109" s="32">
        <v>55.927500000000002</v>
      </c>
      <c r="M109" s="32">
        <v>9469.7000000000007</v>
      </c>
      <c r="N109" s="32">
        <v>3.8892000000000002</v>
      </c>
      <c r="O109" s="32">
        <v>3.1838000000000002</v>
      </c>
      <c r="P109" s="32">
        <v>14.0596</v>
      </c>
      <c r="Q109" s="32">
        <v>1.2937000000000001</v>
      </c>
      <c r="R109" s="32">
        <v>95.698899999999995</v>
      </c>
      <c r="S109" s="32">
        <v>2.7366999999999999</v>
      </c>
      <c r="T109" s="32">
        <v>43.048299999999998</v>
      </c>
      <c r="U109" s="32">
        <v>3.4744999999999999</v>
      </c>
      <c r="V109" s="32">
        <v>32.8748</v>
      </c>
      <c r="W109" s="32">
        <v>3.7509000000000001</v>
      </c>
      <c r="X109" s="32">
        <v>8.4403000000000006</v>
      </c>
      <c r="Y109" s="32">
        <v>1171.23</v>
      </c>
      <c r="Z109" s="32">
        <v>0.80069999999999997</v>
      </c>
      <c r="AA109" s="32">
        <v>1.8298000000000001</v>
      </c>
      <c r="AB109" s="32">
        <v>4.3018999999999998</v>
      </c>
    </row>
    <row r="110" spans="1:28" ht="15" customHeight="1" x14ac:dyDescent="0.2">
      <c r="A110" s="33">
        <v>41074</v>
      </c>
      <c r="B110" s="32">
        <v>4.4919000000000002</v>
      </c>
      <c r="C110" s="32">
        <v>1.0039</v>
      </c>
      <c r="D110" s="32">
        <v>2.0684</v>
      </c>
      <c r="E110" s="32">
        <v>504.5</v>
      </c>
      <c r="F110" s="32">
        <v>6.3315999999999999</v>
      </c>
      <c r="G110" s="32">
        <v>1802.89</v>
      </c>
      <c r="H110" s="32">
        <v>20.431899999999999</v>
      </c>
      <c r="I110" s="32">
        <v>39.411900000000003</v>
      </c>
      <c r="J110" s="32">
        <v>7.7584999999999997</v>
      </c>
      <c r="K110" s="32">
        <v>236.643</v>
      </c>
      <c r="L110" s="32">
        <v>55.7911</v>
      </c>
      <c r="M110" s="32">
        <v>9469.7000000000007</v>
      </c>
      <c r="N110" s="32">
        <v>3.8815</v>
      </c>
      <c r="O110" s="32">
        <v>3.1817000000000002</v>
      </c>
      <c r="P110" s="32">
        <v>13.9895</v>
      </c>
      <c r="Q110" s="32">
        <v>1.2861</v>
      </c>
      <c r="R110" s="32">
        <v>94.824700000000007</v>
      </c>
      <c r="S110" s="32">
        <v>2.7242000000000002</v>
      </c>
      <c r="T110" s="32">
        <v>42.788899999999998</v>
      </c>
      <c r="U110" s="32">
        <v>3.4487000000000001</v>
      </c>
      <c r="V110" s="32">
        <v>32.726999999999997</v>
      </c>
      <c r="W110" s="32">
        <v>3.7509000000000001</v>
      </c>
      <c r="X110" s="32">
        <v>8.3975000000000009</v>
      </c>
      <c r="Y110" s="32">
        <v>1168.22</v>
      </c>
      <c r="Z110" s="32">
        <v>0.79800000000000004</v>
      </c>
      <c r="AA110" s="32">
        <v>1.8243</v>
      </c>
      <c r="AB110" s="32">
        <v>4.3021000000000003</v>
      </c>
    </row>
    <row r="111" spans="1:28" ht="15" customHeight="1" x14ac:dyDescent="0.2">
      <c r="A111" s="33">
        <v>41075</v>
      </c>
      <c r="B111" s="32">
        <v>4.4897999999999998</v>
      </c>
      <c r="C111" s="32">
        <v>1.0041</v>
      </c>
      <c r="D111" s="32">
        <v>2.0710999999999999</v>
      </c>
      <c r="E111" s="32">
        <v>503.2</v>
      </c>
      <c r="F111" s="32">
        <v>6.3255999999999997</v>
      </c>
      <c r="G111" s="32">
        <v>1806.1</v>
      </c>
      <c r="H111" s="32">
        <v>20.299099999999999</v>
      </c>
      <c r="I111" s="32">
        <v>39.381700000000002</v>
      </c>
      <c r="J111" s="32">
        <v>7.7587999999999999</v>
      </c>
      <c r="K111" s="32">
        <v>235.78700000000001</v>
      </c>
      <c r="L111" s="32">
        <v>55.8247</v>
      </c>
      <c r="M111" s="32">
        <v>9487.67</v>
      </c>
      <c r="N111" s="32">
        <v>3.8774999999999999</v>
      </c>
      <c r="O111" s="32">
        <v>3.1884000000000001</v>
      </c>
      <c r="P111" s="32">
        <v>14.0146</v>
      </c>
      <c r="Q111" s="32">
        <v>1.2855000000000001</v>
      </c>
      <c r="R111" s="32">
        <v>95.138800000000003</v>
      </c>
      <c r="S111" s="32">
        <v>2.7181000000000002</v>
      </c>
      <c r="T111" s="32">
        <v>42.656399999999998</v>
      </c>
      <c r="U111" s="32">
        <v>3.4279000000000002</v>
      </c>
      <c r="V111" s="32">
        <v>32.565300000000001</v>
      </c>
      <c r="W111" s="32">
        <v>3.7509000000000001</v>
      </c>
      <c r="X111" s="32">
        <v>8.4100999999999999</v>
      </c>
      <c r="Y111" s="32">
        <v>1167.27</v>
      </c>
      <c r="Z111" s="32">
        <v>0.79500000000000004</v>
      </c>
      <c r="AA111" s="32">
        <v>1.8198000000000001</v>
      </c>
      <c r="AB111" s="32">
        <v>4.3018999999999998</v>
      </c>
    </row>
    <row r="112" spans="1:28" ht="15" customHeight="1" x14ac:dyDescent="0.2">
      <c r="A112" s="33">
        <v>41076</v>
      </c>
      <c r="B112" s="32">
        <v>4.4954000000000001</v>
      </c>
      <c r="C112" s="32">
        <v>0.99650000000000005</v>
      </c>
      <c r="D112" s="32">
        <v>2.0550999999999999</v>
      </c>
      <c r="E112" s="32">
        <v>499</v>
      </c>
      <c r="F112" s="32">
        <v>6.3201000000000001</v>
      </c>
      <c r="G112" s="32">
        <v>1809.26</v>
      </c>
      <c r="H112" s="32">
        <v>20.2118</v>
      </c>
      <c r="I112" s="32">
        <v>39.414099999999998</v>
      </c>
      <c r="J112" s="32">
        <v>7.7591999999999999</v>
      </c>
      <c r="K112" s="32">
        <v>233.82400000000001</v>
      </c>
      <c r="L112" s="32">
        <v>55.683399999999999</v>
      </c>
      <c r="M112" s="32">
        <v>9442.8700000000008</v>
      </c>
      <c r="N112" s="32">
        <v>3.8662000000000001</v>
      </c>
      <c r="O112" s="32">
        <v>3.1705000000000001</v>
      </c>
      <c r="P112" s="32">
        <v>13.9086</v>
      </c>
      <c r="Q112" s="32">
        <v>1.2738</v>
      </c>
      <c r="R112" s="32">
        <v>95.020700000000005</v>
      </c>
      <c r="S112" s="32">
        <v>2.71</v>
      </c>
      <c r="T112" s="32">
        <v>42.452100000000002</v>
      </c>
      <c r="U112" s="32">
        <v>3.3917999999999999</v>
      </c>
      <c r="V112" s="32">
        <v>32.467500000000001</v>
      </c>
      <c r="W112" s="32">
        <v>3.7509999999999999</v>
      </c>
      <c r="X112" s="32">
        <v>8.3775999999999993</v>
      </c>
      <c r="Y112" s="32">
        <v>1165.3699999999999</v>
      </c>
      <c r="Z112" s="32">
        <v>0.79190000000000005</v>
      </c>
      <c r="AA112" s="32">
        <v>1.8152999999999999</v>
      </c>
      <c r="AB112" s="32">
        <v>4.3018999999999998</v>
      </c>
    </row>
    <row r="113" spans="1:28" ht="15" customHeight="1" x14ac:dyDescent="0.2">
      <c r="A113" s="33">
        <v>41077</v>
      </c>
      <c r="B113" s="32">
        <v>4.5205000000000002</v>
      </c>
      <c r="C113" s="32">
        <v>0.99229999999999996</v>
      </c>
      <c r="D113" s="32">
        <v>2.0596000000000001</v>
      </c>
      <c r="E113" s="32">
        <v>499</v>
      </c>
      <c r="F113" s="32">
        <v>6.3381999999999996</v>
      </c>
      <c r="G113" s="32">
        <v>1824.86</v>
      </c>
      <c r="H113" s="32">
        <v>20.133400000000002</v>
      </c>
      <c r="I113" s="32">
        <v>39.444000000000003</v>
      </c>
      <c r="J113" s="32">
        <v>7.7610999999999999</v>
      </c>
      <c r="K113" s="32">
        <v>232.83099999999999</v>
      </c>
      <c r="L113" s="32">
        <v>55.982999999999997</v>
      </c>
      <c r="M113" s="32">
        <v>9505.7000000000007</v>
      </c>
      <c r="N113" s="32">
        <v>3.8574000000000002</v>
      </c>
      <c r="O113" s="32">
        <v>3.1897000000000002</v>
      </c>
      <c r="P113" s="32">
        <v>13.945</v>
      </c>
      <c r="Q113" s="32">
        <v>1.2699</v>
      </c>
      <c r="R113" s="32">
        <v>94.7988</v>
      </c>
      <c r="S113" s="32">
        <v>2.6976</v>
      </c>
      <c r="T113" s="32">
        <v>42.518900000000002</v>
      </c>
      <c r="U113" s="32">
        <v>3.3814000000000002</v>
      </c>
      <c r="V113" s="32">
        <v>32.643900000000002</v>
      </c>
      <c r="W113" s="32">
        <v>3.7517</v>
      </c>
      <c r="X113" s="32">
        <v>8.4057999999999993</v>
      </c>
      <c r="Y113" s="32">
        <v>1175.3599999999999</v>
      </c>
      <c r="Z113" s="32">
        <v>0.79159999999999997</v>
      </c>
      <c r="AA113" s="32">
        <v>1.8136000000000001</v>
      </c>
      <c r="AB113" s="32">
        <v>4.2996999999999996</v>
      </c>
    </row>
    <row r="114" spans="1:28" ht="15" customHeight="1" x14ac:dyDescent="0.2">
      <c r="A114" s="33">
        <v>41078</v>
      </c>
      <c r="B114" s="32">
        <v>4.5435999999999996</v>
      </c>
      <c r="C114" s="32">
        <v>0.99209999999999998</v>
      </c>
      <c r="D114" s="32">
        <v>2.0527000000000002</v>
      </c>
      <c r="E114" s="32">
        <v>503.2</v>
      </c>
      <c r="F114" s="32">
        <v>6.3381999999999996</v>
      </c>
      <c r="G114" s="32">
        <v>1824.7</v>
      </c>
      <c r="H114" s="32">
        <v>20.125800000000002</v>
      </c>
      <c r="I114" s="32">
        <v>39.463999999999999</v>
      </c>
      <c r="J114" s="32">
        <v>7.7610999999999999</v>
      </c>
      <c r="K114" s="32">
        <v>232.76900000000001</v>
      </c>
      <c r="L114" s="32">
        <v>55.979500000000002</v>
      </c>
      <c r="M114" s="32">
        <v>9652.51</v>
      </c>
      <c r="N114" s="32">
        <v>3.8580999999999999</v>
      </c>
      <c r="O114" s="32">
        <v>3.2151999999999998</v>
      </c>
      <c r="P114" s="32">
        <v>13.938499999999999</v>
      </c>
      <c r="Q114" s="32">
        <v>1.2696000000000001</v>
      </c>
      <c r="R114" s="32">
        <v>95.117999999999995</v>
      </c>
      <c r="S114" s="32">
        <v>2.7237</v>
      </c>
      <c r="T114" s="32">
        <v>42.366</v>
      </c>
      <c r="U114" s="32">
        <v>3.3614000000000002</v>
      </c>
      <c r="V114" s="32">
        <v>33.21</v>
      </c>
      <c r="W114" s="32">
        <v>3.7517</v>
      </c>
      <c r="X114" s="32">
        <v>8.4011999999999993</v>
      </c>
      <c r="Y114" s="32">
        <v>1184.1300000000001</v>
      </c>
      <c r="Z114" s="32">
        <v>0.79120000000000001</v>
      </c>
      <c r="AA114" s="32">
        <v>1.8134999999999999</v>
      </c>
      <c r="AB114" s="32">
        <v>4.2996999999999996</v>
      </c>
    </row>
    <row r="115" spans="1:28" ht="15" customHeight="1" x14ac:dyDescent="0.2">
      <c r="A115" s="33">
        <v>41079</v>
      </c>
      <c r="B115" s="32">
        <v>4.5050999999999997</v>
      </c>
      <c r="C115" s="32">
        <v>0.98980000000000001</v>
      </c>
      <c r="D115" s="32">
        <v>2.0554999999999999</v>
      </c>
      <c r="E115" s="32">
        <v>503.9</v>
      </c>
      <c r="F115" s="32">
        <v>6.3170999999999999</v>
      </c>
      <c r="G115" s="32">
        <v>1811.29</v>
      </c>
      <c r="H115" s="32">
        <v>20.151</v>
      </c>
      <c r="I115" s="32">
        <v>39.3354</v>
      </c>
      <c r="J115" s="32">
        <v>7.7592999999999996</v>
      </c>
      <c r="K115" s="32">
        <v>230.82499999999999</v>
      </c>
      <c r="L115" s="32">
        <v>55.757800000000003</v>
      </c>
      <c r="M115" s="32">
        <v>9496.68</v>
      </c>
      <c r="N115" s="32">
        <v>3.8582000000000001</v>
      </c>
      <c r="O115" s="32">
        <v>3.1747000000000001</v>
      </c>
      <c r="P115" s="32">
        <v>13.874700000000001</v>
      </c>
      <c r="Q115" s="32">
        <v>1.2634000000000001</v>
      </c>
      <c r="R115" s="32">
        <v>94.8215</v>
      </c>
      <c r="S115" s="32">
        <v>2.7029999999999998</v>
      </c>
      <c r="T115" s="32">
        <v>42.381700000000002</v>
      </c>
      <c r="U115" s="32">
        <v>3.3696000000000002</v>
      </c>
      <c r="V115" s="32">
        <v>32.423299999999998</v>
      </c>
      <c r="W115" s="32">
        <v>3.7513000000000001</v>
      </c>
      <c r="X115" s="32">
        <v>8.3064</v>
      </c>
      <c r="Y115" s="32">
        <v>1166.32</v>
      </c>
      <c r="Z115" s="32">
        <v>0.79059999999999997</v>
      </c>
      <c r="AA115" s="32">
        <v>1.81</v>
      </c>
      <c r="AB115" s="32">
        <v>4.3003999999999998</v>
      </c>
    </row>
    <row r="116" spans="1:28" ht="15" customHeight="1" x14ac:dyDescent="0.2">
      <c r="A116" s="33">
        <v>41080</v>
      </c>
      <c r="B116" s="32">
        <v>4.4997999999999996</v>
      </c>
      <c r="C116" s="32">
        <v>0.98519999999999996</v>
      </c>
      <c r="D116" s="32">
        <v>2.0546000000000002</v>
      </c>
      <c r="E116" s="32">
        <v>496.25</v>
      </c>
      <c r="F116" s="32">
        <v>6.3132000000000001</v>
      </c>
      <c r="G116" s="32">
        <v>1814.79</v>
      </c>
      <c r="H116" s="32">
        <v>20.2196</v>
      </c>
      <c r="I116" s="32">
        <v>39.507899999999999</v>
      </c>
      <c r="J116" s="32">
        <v>7.7592999999999996</v>
      </c>
      <c r="K116" s="32">
        <v>229.55699999999999</v>
      </c>
      <c r="L116" s="32">
        <v>55.989100000000001</v>
      </c>
      <c r="M116" s="32">
        <v>9442.8700000000008</v>
      </c>
      <c r="N116" s="32">
        <v>3.863</v>
      </c>
      <c r="O116" s="32">
        <v>3.1600999999999999</v>
      </c>
      <c r="P116" s="32">
        <v>13.7875</v>
      </c>
      <c r="Q116" s="32">
        <v>1.2585</v>
      </c>
      <c r="R116" s="32">
        <v>94.355099999999993</v>
      </c>
      <c r="S116" s="32">
        <v>2.7065000000000001</v>
      </c>
      <c r="T116" s="32">
        <v>42.405200000000001</v>
      </c>
      <c r="U116" s="32">
        <v>3.3761999999999999</v>
      </c>
      <c r="V116" s="32">
        <v>32.493099999999998</v>
      </c>
      <c r="W116" s="32">
        <v>3.7509000000000001</v>
      </c>
      <c r="X116" s="32">
        <v>8.2711000000000006</v>
      </c>
      <c r="Y116" s="32">
        <v>1156.8699999999999</v>
      </c>
      <c r="Z116" s="32">
        <v>0.79179999999999995</v>
      </c>
      <c r="AA116" s="32">
        <v>1.8069999999999999</v>
      </c>
      <c r="AB116" s="32">
        <v>4.3000999999999996</v>
      </c>
    </row>
    <row r="117" spans="1:28" ht="15" customHeight="1" x14ac:dyDescent="0.2">
      <c r="A117" s="33">
        <v>41081</v>
      </c>
      <c r="B117" s="32">
        <v>4.4977999999999998</v>
      </c>
      <c r="C117" s="32">
        <v>0.98170000000000002</v>
      </c>
      <c r="D117" s="32">
        <v>2.0308999999999999</v>
      </c>
      <c r="E117" s="32">
        <v>500.5</v>
      </c>
      <c r="F117" s="32">
        <v>6.3113000000000001</v>
      </c>
      <c r="G117" s="32">
        <v>1800.7</v>
      </c>
      <c r="H117" s="32">
        <v>20.0715</v>
      </c>
      <c r="I117" s="32">
        <v>39.313400000000001</v>
      </c>
      <c r="J117" s="32">
        <v>7.7591000000000001</v>
      </c>
      <c r="K117" s="32">
        <v>226.67</v>
      </c>
      <c r="L117" s="32">
        <v>56.176200000000001</v>
      </c>
      <c r="M117" s="32">
        <v>9460.74</v>
      </c>
      <c r="N117" s="32">
        <v>3.8641000000000001</v>
      </c>
      <c r="O117" s="32">
        <v>3.1598999999999999</v>
      </c>
      <c r="P117" s="32">
        <v>13.7072</v>
      </c>
      <c r="Q117" s="32">
        <v>1.2564</v>
      </c>
      <c r="R117" s="32">
        <v>94.586200000000005</v>
      </c>
      <c r="S117" s="32">
        <v>2.6772</v>
      </c>
      <c r="T117" s="32">
        <v>42.294699999999999</v>
      </c>
      <c r="U117" s="32">
        <v>3.3462999999999998</v>
      </c>
      <c r="V117" s="32">
        <v>32.497700000000002</v>
      </c>
      <c r="W117" s="32">
        <v>3.7509000000000001</v>
      </c>
      <c r="X117" s="32">
        <v>8.2077000000000009</v>
      </c>
      <c r="Y117" s="32">
        <v>1153.67</v>
      </c>
      <c r="Z117" s="32">
        <v>0.78810000000000002</v>
      </c>
      <c r="AA117" s="32">
        <v>1.7962</v>
      </c>
      <c r="AB117" s="32">
        <v>4.3000999999999996</v>
      </c>
    </row>
    <row r="118" spans="1:28" ht="15" customHeight="1" x14ac:dyDescent="0.2">
      <c r="A118" s="33">
        <v>41082</v>
      </c>
      <c r="B118" s="32">
        <v>4.5</v>
      </c>
      <c r="C118" s="32">
        <v>0.98609999999999998</v>
      </c>
      <c r="D118" s="32">
        <v>2.0360999999999998</v>
      </c>
      <c r="E118" s="32">
        <v>502.5</v>
      </c>
      <c r="F118" s="32">
        <v>6.3141999999999996</v>
      </c>
      <c r="G118" s="32">
        <v>1797.47</v>
      </c>
      <c r="H118" s="32">
        <v>20.318200000000001</v>
      </c>
      <c r="I118" s="32">
        <v>39.526699999999998</v>
      </c>
      <c r="J118" s="32">
        <v>7.7596999999999996</v>
      </c>
      <c r="K118" s="32">
        <v>227.05500000000001</v>
      </c>
      <c r="L118" s="32">
        <v>56.598799999999997</v>
      </c>
      <c r="M118" s="32">
        <v>9469.7000000000007</v>
      </c>
      <c r="N118" s="32">
        <v>3.8816000000000002</v>
      </c>
      <c r="O118" s="32">
        <v>3.1749000000000001</v>
      </c>
      <c r="P118" s="32">
        <v>13.750299999999999</v>
      </c>
      <c r="Q118" s="32">
        <v>1.2569999999999999</v>
      </c>
      <c r="R118" s="32">
        <v>95.148200000000003</v>
      </c>
      <c r="S118" s="32">
        <v>2.68</v>
      </c>
      <c r="T118" s="32">
        <v>42.470799999999997</v>
      </c>
      <c r="U118" s="32">
        <v>3.3664000000000001</v>
      </c>
      <c r="V118" s="32">
        <v>32.881900000000002</v>
      </c>
      <c r="W118" s="32">
        <v>3.7509000000000001</v>
      </c>
      <c r="X118" s="32">
        <v>8.2684999999999995</v>
      </c>
      <c r="Y118" s="32">
        <v>1153.8</v>
      </c>
      <c r="Z118" s="32">
        <v>0.79100000000000004</v>
      </c>
      <c r="AA118" s="32">
        <v>1.7991999999999999</v>
      </c>
      <c r="AB118" s="32">
        <v>4.3</v>
      </c>
    </row>
    <row r="119" spans="1:28" ht="15" customHeight="1" x14ac:dyDescent="0.2">
      <c r="A119" s="33">
        <v>41083</v>
      </c>
      <c r="B119" s="32">
        <v>4.4992000000000001</v>
      </c>
      <c r="C119" s="32">
        <v>0.99529999999999996</v>
      </c>
      <c r="D119" s="32">
        <v>2.0630999999999999</v>
      </c>
      <c r="E119" s="32">
        <v>504.5</v>
      </c>
      <c r="F119" s="32">
        <v>6.3185000000000002</v>
      </c>
      <c r="G119" s="32">
        <v>1785.25</v>
      </c>
      <c r="H119" s="32">
        <v>20.565799999999999</v>
      </c>
      <c r="I119" s="32">
        <v>39.6736</v>
      </c>
      <c r="J119" s="32">
        <v>7.7606999999999999</v>
      </c>
      <c r="K119" s="32">
        <v>229.411</v>
      </c>
      <c r="L119" s="32">
        <v>57.151499999999999</v>
      </c>
      <c r="M119" s="32">
        <v>9478.67</v>
      </c>
      <c r="N119" s="32">
        <v>3.9026999999999998</v>
      </c>
      <c r="O119" s="32">
        <v>3.1917</v>
      </c>
      <c r="P119" s="32">
        <v>13.888299999999999</v>
      </c>
      <c r="Q119" s="32">
        <v>1.2682</v>
      </c>
      <c r="R119" s="32">
        <v>94.863799999999998</v>
      </c>
      <c r="S119" s="32">
        <v>2.6608999999999998</v>
      </c>
      <c r="T119" s="32">
        <v>42.5929</v>
      </c>
      <c r="U119" s="32">
        <v>3.4117999999999999</v>
      </c>
      <c r="V119" s="32">
        <v>33.281300000000002</v>
      </c>
      <c r="W119" s="32">
        <v>3.7509000000000001</v>
      </c>
      <c r="X119" s="32">
        <v>8.3933999999999997</v>
      </c>
      <c r="Y119" s="32">
        <v>1158.75</v>
      </c>
      <c r="Z119" s="32">
        <v>0.79669999999999996</v>
      </c>
      <c r="AA119" s="32">
        <v>1.8089</v>
      </c>
      <c r="AB119" s="32">
        <v>4.3</v>
      </c>
    </row>
    <row r="120" spans="1:28" ht="15" customHeight="1" x14ac:dyDescent="0.2">
      <c r="A120" s="33">
        <v>41084</v>
      </c>
      <c r="B120" s="32">
        <v>4.5427999999999997</v>
      </c>
      <c r="C120" s="32">
        <v>0.99409999999999998</v>
      </c>
      <c r="D120" s="32">
        <v>2.0693000000000001</v>
      </c>
      <c r="E120" s="32">
        <v>504.5</v>
      </c>
      <c r="F120" s="32">
        <v>6.3365999999999998</v>
      </c>
      <c r="G120" s="32">
        <v>1814.72</v>
      </c>
      <c r="H120" s="32">
        <v>20.536000000000001</v>
      </c>
      <c r="I120" s="32">
        <v>39.607300000000002</v>
      </c>
      <c r="J120" s="32">
        <v>7.7618</v>
      </c>
      <c r="K120" s="32">
        <v>229.42500000000001</v>
      </c>
      <c r="L120" s="32">
        <v>57.595999999999997</v>
      </c>
      <c r="M120" s="32">
        <v>9514.75</v>
      </c>
      <c r="N120" s="32">
        <v>3.9024999999999999</v>
      </c>
      <c r="O120" s="32">
        <v>3.2269000000000001</v>
      </c>
      <c r="P120" s="32">
        <v>13.8828</v>
      </c>
      <c r="Q120" s="32">
        <v>1.2658</v>
      </c>
      <c r="R120" s="32">
        <v>95.476600000000005</v>
      </c>
      <c r="S120" s="32">
        <v>2.7054999999999998</v>
      </c>
      <c r="T120" s="32">
        <v>42.5608</v>
      </c>
      <c r="U120" s="32">
        <v>3.4380999999999999</v>
      </c>
      <c r="V120" s="32">
        <v>33.415999999999997</v>
      </c>
      <c r="W120" s="32">
        <v>3.7515999999999998</v>
      </c>
      <c r="X120" s="32">
        <v>8.4549000000000003</v>
      </c>
      <c r="Y120" s="32">
        <v>1170.55</v>
      </c>
      <c r="Z120" s="32">
        <v>0.79590000000000005</v>
      </c>
      <c r="AA120" s="32">
        <v>1.8169999999999999</v>
      </c>
      <c r="AB120" s="32">
        <v>4.2996999999999996</v>
      </c>
    </row>
    <row r="121" spans="1:28" ht="15" customHeight="1" x14ac:dyDescent="0.2">
      <c r="A121" s="33">
        <v>41085</v>
      </c>
      <c r="B121" s="32">
        <v>4.5151000000000003</v>
      </c>
      <c r="C121" s="32">
        <v>0.99429999999999996</v>
      </c>
      <c r="D121" s="32">
        <v>2.0689000000000002</v>
      </c>
      <c r="E121" s="32">
        <v>504.5</v>
      </c>
      <c r="F121" s="32">
        <v>6.3365999999999998</v>
      </c>
      <c r="G121" s="32">
        <v>1815.26</v>
      </c>
      <c r="H121" s="32">
        <v>20.544499999999999</v>
      </c>
      <c r="I121" s="32">
        <v>39.658000000000001</v>
      </c>
      <c r="J121" s="32">
        <v>7.7618</v>
      </c>
      <c r="K121" s="32">
        <v>229.44</v>
      </c>
      <c r="L121" s="32">
        <v>57.5961</v>
      </c>
      <c r="M121" s="32">
        <v>9551.1</v>
      </c>
      <c r="N121" s="32">
        <v>3.9047999999999998</v>
      </c>
      <c r="O121" s="32">
        <v>3.2258</v>
      </c>
      <c r="P121" s="32">
        <v>13.8812</v>
      </c>
      <c r="Q121" s="32">
        <v>1.2658</v>
      </c>
      <c r="R121" s="32">
        <v>95.595799999999997</v>
      </c>
      <c r="S121" s="32">
        <v>2.7134</v>
      </c>
      <c r="T121" s="32">
        <v>42.557600000000001</v>
      </c>
      <c r="U121" s="32">
        <v>3.4184999999999999</v>
      </c>
      <c r="V121" s="32">
        <v>34.0242</v>
      </c>
      <c r="W121" s="32">
        <v>3.7515999999999998</v>
      </c>
      <c r="X121" s="32">
        <v>8.4558</v>
      </c>
      <c r="Y121" s="32">
        <v>1159.96</v>
      </c>
      <c r="Z121" s="32">
        <v>0.79600000000000004</v>
      </c>
      <c r="AA121" s="32">
        <v>1.8169999999999999</v>
      </c>
      <c r="AB121" s="32">
        <v>4.2996999999999996</v>
      </c>
    </row>
    <row r="122" spans="1:28" ht="15" customHeight="1" x14ac:dyDescent="0.2">
      <c r="A122" s="33">
        <v>41086</v>
      </c>
      <c r="B122" s="32">
        <v>4.5171000000000001</v>
      </c>
      <c r="C122" s="32">
        <v>0.99880000000000002</v>
      </c>
      <c r="D122" s="32">
        <v>2.0706000000000002</v>
      </c>
      <c r="E122" s="32">
        <v>507.8</v>
      </c>
      <c r="F122" s="32">
        <v>6.3293999999999997</v>
      </c>
      <c r="G122" s="32">
        <v>1819.24</v>
      </c>
      <c r="H122" s="32">
        <v>20.634499999999999</v>
      </c>
      <c r="I122" s="32">
        <v>39.599800000000002</v>
      </c>
      <c r="J122" s="32">
        <v>7.7603</v>
      </c>
      <c r="K122" s="32">
        <v>230.19900000000001</v>
      </c>
      <c r="L122" s="32">
        <v>57.069899999999997</v>
      </c>
      <c r="M122" s="32">
        <v>9478.67</v>
      </c>
      <c r="N122" s="32">
        <v>3.9167000000000001</v>
      </c>
      <c r="O122" s="32">
        <v>3.2216999999999998</v>
      </c>
      <c r="P122" s="32">
        <v>13.899100000000001</v>
      </c>
      <c r="Q122" s="32">
        <v>1.2706999999999999</v>
      </c>
      <c r="R122" s="32">
        <v>95.546999999999997</v>
      </c>
      <c r="S122" s="32">
        <v>2.7086000000000001</v>
      </c>
      <c r="T122" s="32">
        <v>42.689</v>
      </c>
      <c r="U122" s="32">
        <v>3.4125000000000001</v>
      </c>
      <c r="V122" s="32">
        <v>33.270299999999999</v>
      </c>
      <c r="W122" s="32">
        <v>3.7509000000000001</v>
      </c>
      <c r="X122" s="32">
        <v>8.4626999999999999</v>
      </c>
      <c r="Y122" s="32">
        <v>1164.01</v>
      </c>
      <c r="Z122" s="32">
        <v>0.79930000000000001</v>
      </c>
      <c r="AA122" s="32">
        <v>1.821</v>
      </c>
      <c r="AB122" s="32">
        <v>4.3</v>
      </c>
    </row>
    <row r="123" spans="1:28" ht="15" customHeight="1" x14ac:dyDescent="0.2">
      <c r="A123" s="33">
        <v>41087</v>
      </c>
      <c r="B123" s="32">
        <v>4.5143000000000004</v>
      </c>
      <c r="C123" s="32">
        <v>0.99639999999999995</v>
      </c>
      <c r="D123" s="32">
        <v>2.0680000000000001</v>
      </c>
      <c r="E123" s="32">
        <v>509.9</v>
      </c>
      <c r="F123" s="32">
        <v>6.3254999999999999</v>
      </c>
      <c r="G123" s="32">
        <v>1822.96</v>
      </c>
      <c r="H123" s="32">
        <v>20.728899999999999</v>
      </c>
      <c r="I123" s="32">
        <v>39.423299999999998</v>
      </c>
      <c r="J123" s="32">
        <v>7.7594000000000003</v>
      </c>
      <c r="K123" s="32">
        <v>229.797</v>
      </c>
      <c r="L123" s="32">
        <v>57.133000000000003</v>
      </c>
      <c r="M123" s="32">
        <v>9478.67</v>
      </c>
      <c r="N123" s="32">
        <v>3.9365000000000001</v>
      </c>
      <c r="O123" s="32">
        <v>3.1970999999999998</v>
      </c>
      <c r="P123" s="32">
        <v>13.882400000000001</v>
      </c>
      <c r="Q123" s="32">
        <v>1.266</v>
      </c>
      <c r="R123" s="32">
        <v>95.280199999999994</v>
      </c>
      <c r="S123" s="32">
        <v>2.6991999999999998</v>
      </c>
      <c r="T123" s="32">
        <v>42.630400000000002</v>
      </c>
      <c r="U123" s="32">
        <v>3.4064999999999999</v>
      </c>
      <c r="V123" s="32">
        <v>33.103900000000003</v>
      </c>
      <c r="W123" s="32">
        <v>3.7507999999999999</v>
      </c>
      <c r="X123" s="32">
        <v>8.4687000000000001</v>
      </c>
      <c r="Y123" s="32">
        <v>1160.3599999999999</v>
      </c>
      <c r="Z123" s="32">
        <v>0.80010000000000003</v>
      </c>
      <c r="AA123" s="32">
        <v>1.8180000000000001</v>
      </c>
      <c r="AB123" s="32">
        <v>4.2999000000000001</v>
      </c>
    </row>
    <row r="124" spans="1:28" ht="15" customHeight="1" x14ac:dyDescent="0.2">
      <c r="A124" s="33">
        <v>41088</v>
      </c>
      <c r="B124" s="32">
        <v>4.5033000000000003</v>
      </c>
      <c r="C124" s="32">
        <v>0.99360000000000004</v>
      </c>
      <c r="D124" s="32">
        <v>2.0790000000000002</v>
      </c>
      <c r="E124" s="32">
        <v>507.1</v>
      </c>
      <c r="F124" s="32">
        <v>6.3205</v>
      </c>
      <c r="G124" s="32">
        <v>1830.31</v>
      </c>
      <c r="H124" s="32">
        <v>20.7563</v>
      </c>
      <c r="I124" s="32">
        <v>39.289099999999998</v>
      </c>
      <c r="J124" s="32">
        <v>7.7590000000000003</v>
      </c>
      <c r="K124" s="32">
        <v>229.56399999999999</v>
      </c>
      <c r="L124" s="32">
        <v>57.122900000000001</v>
      </c>
      <c r="M124" s="32">
        <v>9487.67</v>
      </c>
      <c r="N124" s="32">
        <v>3.9508000000000001</v>
      </c>
      <c r="O124" s="32">
        <v>3.1955</v>
      </c>
      <c r="P124" s="32">
        <v>13.723699999999999</v>
      </c>
      <c r="Q124" s="32">
        <v>1.2657</v>
      </c>
      <c r="R124" s="32">
        <v>95.449299999999994</v>
      </c>
      <c r="S124" s="32">
        <v>2.7067000000000001</v>
      </c>
      <c r="T124" s="32">
        <v>42.503100000000003</v>
      </c>
      <c r="U124" s="32">
        <v>3.4081000000000001</v>
      </c>
      <c r="V124" s="32">
        <v>32.944200000000002</v>
      </c>
      <c r="W124" s="32">
        <v>3.7507999999999999</v>
      </c>
      <c r="X124" s="32">
        <v>8.4285999999999994</v>
      </c>
      <c r="Y124" s="32">
        <v>1158.08</v>
      </c>
      <c r="Z124" s="32">
        <v>0.80110000000000003</v>
      </c>
      <c r="AA124" s="32">
        <v>1.8120000000000001</v>
      </c>
      <c r="AB124" s="32">
        <v>4.2998000000000003</v>
      </c>
    </row>
    <row r="125" spans="1:28" ht="15" customHeight="1" x14ac:dyDescent="0.2">
      <c r="A125" s="33">
        <v>41089</v>
      </c>
      <c r="B125" s="32">
        <v>4.5176999999999996</v>
      </c>
      <c r="C125" s="32">
        <v>0.99309999999999998</v>
      </c>
      <c r="D125" s="32">
        <v>2.0829</v>
      </c>
      <c r="E125" s="32">
        <v>508.7</v>
      </c>
      <c r="F125" s="32">
        <v>6.3196000000000003</v>
      </c>
      <c r="G125" s="32">
        <v>1801.93</v>
      </c>
      <c r="H125" s="32">
        <v>20.742000000000001</v>
      </c>
      <c r="I125" s="32">
        <v>39.354999999999997</v>
      </c>
      <c r="J125" s="32">
        <v>7.7587999999999999</v>
      </c>
      <c r="K125" s="32">
        <v>231.34700000000001</v>
      </c>
      <c r="L125" s="32">
        <v>57.027799999999999</v>
      </c>
      <c r="M125" s="32">
        <v>9487.67</v>
      </c>
      <c r="N125" s="32">
        <v>3.9474</v>
      </c>
      <c r="O125" s="32">
        <v>3.1964999999999999</v>
      </c>
      <c r="P125" s="32">
        <v>13.6168</v>
      </c>
      <c r="Q125" s="32">
        <v>1.2646999999999999</v>
      </c>
      <c r="R125" s="32">
        <v>94.827699999999993</v>
      </c>
      <c r="S125" s="32">
        <v>2.7090000000000001</v>
      </c>
      <c r="T125" s="32">
        <v>42.468299999999999</v>
      </c>
      <c r="U125" s="32">
        <v>3.4321999999999999</v>
      </c>
      <c r="V125" s="32">
        <v>33.067599999999999</v>
      </c>
      <c r="W125" s="32">
        <v>3.7507999999999999</v>
      </c>
      <c r="X125" s="32">
        <v>8.4288000000000007</v>
      </c>
      <c r="Y125" s="32">
        <v>1157.01</v>
      </c>
      <c r="Z125" s="32">
        <v>0.80269999999999997</v>
      </c>
      <c r="AA125" s="32">
        <v>1.8217000000000001</v>
      </c>
      <c r="AB125" s="32">
        <v>4.3</v>
      </c>
    </row>
    <row r="126" spans="1:28" ht="15" customHeight="1" x14ac:dyDescent="0.2">
      <c r="A126" s="33">
        <v>41090</v>
      </c>
      <c r="B126" s="32">
        <v>4.5247000000000002</v>
      </c>
      <c r="C126" s="32">
        <v>0.98429999999999995</v>
      </c>
      <c r="D126" s="32">
        <v>2.0804999999999998</v>
      </c>
      <c r="E126" s="32">
        <v>501</v>
      </c>
      <c r="F126" s="32">
        <v>6.3197000000000001</v>
      </c>
      <c r="G126" s="32">
        <v>1785</v>
      </c>
      <c r="H126" s="32">
        <v>20.7286</v>
      </c>
      <c r="I126" s="32">
        <v>39.25</v>
      </c>
      <c r="J126" s="32">
        <v>7.7575000000000003</v>
      </c>
      <c r="K126" s="32">
        <v>233.631</v>
      </c>
      <c r="L126" s="32">
        <v>56.225000000000001</v>
      </c>
      <c r="M126" s="32">
        <v>9469.7000000000007</v>
      </c>
      <c r="N126" s="32">
        <v>3.9455</v>
      </c>
      <c r="O126" s="32">
        <v>3.1989000000000001</v>
      </c>
      <c r="P126" s="32">
        <v>13.483499999999999</v>
      </c>
      <c r="Q126" s="32">
        <v>1.2561</v>
      </c>
      <c r="R126" s="32">
        <v>94.5</v>
      </c>
      <c r="S126" s="32">
        <v>2.6659999999999999</v>
      </c>
      <c r="T126" s="32">
        <v>42.48</v>
      </c>
      <c r="U126" s="32">
        <v>3.4512999999999998</v>
      </c>
      <c r="V126" s="32">
        <v>33.156599999999997</v>
      </c>
      <c r="W126" s="32">
        <v>3.7507999999999999</v>
      </c>
      <c r="X126" s="32">
        <v>8.2881</v>
      </c>
      <c r="Y126" s="32">
        <v>1159.1500000000001</v>
      </c>
      <c r="Z126" s="32">
        <v>0.79510000000000003</v>
      </c>
      <c r="AA126" s="32">
        <v>1.8297000000000001</v>
      </c>
      <c r="AB126" s="32">
        <v>4.2996999999999996</v>
      </c>
    </row>
    <row r="127" spans="1:28" ht="15" customHeight="1" x14ac:dyDescent="0.2">
      <c r="A127" s="33">
        <v>41091</v>
      </c>
      <c r="B127" s="32">
        <v>4.5431999999999997</v>
      </c>
      <c r="C127" s="32">
        <v>0.97719999999999996</v>
      </c>
      <c r="D127" s="32">
        <v>2.0164</v>
      </c>
      <c r="E127" s="32">
        <v>501</v>
      </c>
      <c r="F127" s="32">
        <v>6.3375000000000004</v>
      </c>
      <c r="G127" s="32">
        <v>1804.91</v>
      </c>
      <c r="H127" s="32">
        <v>20.255199999999999</v>
      </c>
      <c r="I127" s="32">
        <v>39.453099999999999</v>
      </c>
      <c r="J127" s="32">
        <v>7.7586000000000004</v>
      </c>
      <c r="K127" s="32">
        <v>226.25299999999999</v>
      </c>
      <c r="L127" s="32">
        <v>55.9</v>
      </c>
      <c r="M127" s="32">
        <v>9416.2000000000007</v>
      </c>
      <c r="N127" s="32">
        <v>3.923</v>
      </c>
      <c r="O127" s="32">
        <v>3.1892999999999998</v>
      </c>
      <c r="P127" s="32">
        <v>13.3827</v>
      </c>
      <c r="Q127" s="32">
        <v>1.2485999999999999</v>
      </c>
      <c r="R127" s="32">
        <v>94.962500000000006</v>
      </c>
      <c r="S127" s="32">
        <v>2.7086999999999999</v>
      </c>
      <c r="T127" s="32">
        <v>42.029800000000002</v>
      </c>
      <c r="U127" s="32">
        <v>3.3372999999999999</v>
      </c>
      <c r="V127" s="32">
        <v>32.409700000000001</v>
      </c>
      <c r="W127" s="32">
        <v>3.7515000000000001</v>
      </c>
      <c r="X127" s="32">
        <v>8.2139000000000006</v>
      </c>
      <c r="Y127" s="32">
        <v>1149.03</v>
      </c>
      <c r="Z127" s="32">
        <v>0.78990000000000005</v>
      </c>
      <c r="AA127" s="32">
        <v>1.8116000000000001</v>
      </c>
      <c r="AB127" s="32">
        <v>4.2996999999999996</v>
      </c>
    </row>
    <row r="128" spans="1:28" ht="15" customHeight="1" x14ac:dyDescent="0.2">
      <c r="A128" s="33">
        <v>41092</v>
      </c>
      <c r="B128" s="32">
        <v>4.5289999999999999</v>
      </c>
      <c r="C128" s="32">
        <v>0.97699999999999998</v>
      </c>
      <c r="D128" s="32">
        <v>2.0165000000000002</v>
      </c>
      <c r="E128" s="32">
        <v>502.4</v>
      </c>
      <c r="F128" s="32">
        <v>6.3375000000000004</v>
      </c>
      <c r="G128" s="32">
        <v>1835.1</v>
      </c>
      <c r="H128" s="32">
        <v>20.161999999999999</v>
      </c>
      <c r="I128" s="32">
        <v>39.457999999999998</v>
      </c>
      <c r="J128" s="32">
        <v>7.7586000000000004</v>
      </c>
      <c r="K128" s="32">
        <v>226.26</v>
      </c>
      <c r="L128" s="32">
        <v>55.9</v>
      </c>
      <c r="M128" s="32">
        <v>9416.2000000000007</v>
      </c>
      <c r="N128" s="32">
        <v>3.9131</v>
      </c>
      <c r="O128" s="32">
        <v>3.2176</v>
      </c>
      <c r="P128" s="32">
        <v>13.3847</v>
      </c>
      <c r="Q128" s="32">
        <v>1.2485999999999999</v>
      </c>
      <c r="R128" s="32">
        <v>95.221999999999994</v>
      </c>
      <c r="S128" s="32">
        <v>2.7098</v>
      </c>
      <c r="T128" s="32">
        <v>42.036999999999999</v>
      </c>
      <c r="U128" s="32">
        <v>3.3331</v>
      </c>
      <c r="V128" s="32">
        <v>32.398000000000003</v>
      </c>
      <c r="W128" s="32">
        <v>3.7515000000000001</v>
      </c>
      <c r="X128" s="32">
        <v>8.2141999999999999</v>
      </c>
      <c r="Y128" s="32">
        <v>1161.31</v>
      </c>
      <c r="Z128" s="32">
        <v>0.78990000000000005</v>
      </c>
      <c r="AA128" s="32">
        <v>1.8116000000000001</v>
      </c>
      <c r="AB128" s="32">
        <v>4.2996999999999996</v>
      </c>
    </row>
    <row r="129" spans="1:28" ht="15" customHeight="1" x14ac:dyDescent="0.2">
      <c r="A129" s="33">
        <v>41093</v>
      </c>
      <c r="B129" s="32">
        <v>4.5338000000000003</v>
      </c>
      <c r="C129" s="32">
        <v>0.97640000000000005</v>
      </c>
      <c r="D129" s="32">
        <v>2.0047000000000001</v>
      </c>
      <c r="E129" s="32">
        <v>501.5</v>
      </c>
      <c r="F129" s="32">
        <v>6.3190999999999997</v>
      </c>
      <c r="G129" s="32">
        <v>1831.08</v>
      </c>
      <c r="H129" s="32">
        <v>20.245899999999999</v>
      </c>
      <c r="I129" s="32">
        <v>39.496400000000001</v>
      </c>
      <c r="J129" s="32">
        <v>7.7572999999999999</v>
      </c>
      <c r="K129" s="32">
        <v>226.989</v>
      </c>
      <c r="L129" s="32">
        <v>55.6143</v>
      </c>
      <c r="M129" s="32">
        <v>9407.34</v>
      </c>
      <c r="N129" s="32">
        <v>3.9222999999999999</v>
      </c>
      <c r="O129" s="32">
        <v>3.1892999999999998</v>
      </c>
      <c r="P129" s="32">
        <v>13.330500000000001</v>
      </c>
      <c r="Q129" s="32">
        <v>1.2464999999999999</v>
      </c>
      <c r="R129" s="32">
        <v>95.317099999999996</v>
      </c>
      <c r="S129" s="32">
        <v>2.7134999999999998</v>
      </c>
      <c r="T129" s="32">
        <v>42.037100000000002</v>
      </c>
      <c r="U129" s="32">
        <v>3.3477000000000001</v>
      </c>
      <c r="V129" s="32">
        <v>32.509500000000003</v>
      </c>
      <c r="W129" s="32">
        <v>3.7507999999999999</v>
      </c>
      <c r="X129" s="32">
        <v>8.1760999999999999</v>
      </c>
      <c r="Y129" s="32">
        <v>1152.07</v>
      </c>
      <c r="Z129" s="32">
        <v>0.79259999999999997</v>
      </c>
      <c r="AA129" s="32">
        <v>1.8084</v>
      </c>
      <c r="AB129" s="32">
        <v>4.3000999999999996</v>
      </c>
    </row>
    <row r="130" spans="1:28" ht="15" customHeight="1" x14ac:dyDescent="0.2">
      <c r="A130" s="33">
        <v>41094</v>
      </c>
      <c r="B130" s="32">
        <v>4.5289000000000001</v>
      </c>
      <c r="C130" s="32">
        <v>0.97419999999999995</v>
      </c>
      <c r="D130" s="32">
        <v>1.9925999999999999</v>
      </c>
      <c r="E130" s="32">
        <v>501.5</v>
      </c>
      <c r="F130" s="32">
        <v>6.3121999999999998</v>
      </c>
      <c r="G130" s="32">
        <v>1812.23</v>
      </c>
      <c r="H130" s="32">
        <v>20.290900000000001</v>
      </c>
      <c r="I130" s="32">
        <v>39.685299999999998</v>
      </c>
      <c r="J130" s="32">
        <v>7.7553000000000001</v>
      </c>
      <c r="K130" s="32">
        <v>226.77199999999999</v>
      </c>
      <c r="L130" s="32">
        <v>54.848100000000002</v>
      </c>
      <c r="M130" s="32">
        <v>9398.5</v>
      </c>
      <c r="N130" s="32">
        <v>3.9285000000000001</v>
      </c>
      <c r="O130" s="32">
        <v>3.1579000000000002</v>
      </c>
      <c r="P130" s="32">
        <v>13.343400000000001</v>
      </c>
      <c r="Q130" s="32">
        <v>1.2442</v>
      </c>
      <c r="R130" s="32">
        <v>95.738399999999999</v>
      </c>
      <c r="S130" s="32">
        <v>2.7081</v>
      </c>
      <c r="T130" s="32">
        <v>41.868299999999998</v>
      </c>
      <c r="U130" s="32">
        <v>3.3435999999999999</v>
      </c>
      <c r="V130" s="32">
        <v>32.422600000000003</v>
      </c>
      <c r="W130" s="32">
        <v>3.7507000000000001</v>
      </c>
      <c r="X130" s="32">
        <v>8.1303000000000001</v>
      </c>
      <c r="Y130" s="32">
        <v>1139.21</v>
      </c>
      <c r="Z130" s="32">
        <v>0.79410000000000003</v>
      </c>
      <c r="AA130" s="32">
        <v>1.8022</v>
      </c>
      <c r="AB130" s="32">
        <v>4.3000999999999996</v>
      </c>
    </row>
    <row r="131" spans="1:28" ht="15" customHeight="1" x14ac:dyDescent="0.2">
      <c r="A131" s="33">
        <v>41095</v>
      </c>
      <c r="B131" s="32">
        <v>4.5275999999999996</v>
      </c>
      <c r="C131" s="32">
        <v>0.97250000000000003</v>
      </c>
      <c r="D131" s="32">
        <v>2.0198999999999998</v>
      </c>
      <c r="E131" s="32">
        <v>496.5</v>
      </c>
      <c r="F131" s="32">
        <v>6.3080999999999996</v>
      </c>
      <c r="G131" s="32">
        <v>1810.04</v>
      </c>
      <c r="H131" s="32">
        <v>20.3278</v>
      </c>
      <c r="I131" s="32">
        <v>39.692900000000002</v>
      </c>
      <c r="J131" s="32">
        <v>7.7549000000000001</v>
      </c>
      <c r="K131" s="32">
        <v>227.16399999999999</v>
      </c>
      <c r="L131" s="32">
        <v>54.515999999999998</v>
      </c>
      <c r="M131" s="32">
        <v>9380.86</v>
      </c>
      <c r="N131" s="32">
        <v>3.9272999999999998</v>
      </c>
      <c r="O131" s="32">
        <v>3.1551</v>
      </c>
      <c r="P131" s="32">
        <v>13.357100000000001</v>
      </c>
      <c r="Q131" s="32">
        <v>1.2437</v>
      </c>
      <c r="R131" s="32">
        <v>95.232100000000003</v>
      </c>
      <c r="S131" s="32">
        <v>2.7073</v>
      </c>
      <c r="T131" s="32">
        <v>41.804900000000004</v>
      </c>
      <c r="U131" s="32">
        <v>3.3472</v>
      </c>
      <c r="V131" s="32">
        <v>32.267400000000002</v>
      </c>
      <c r="W131" s="32">
        <v>3.7507000000000001</v>
      </c>
      <c r="X131" s="32">
        <v>8.1161999999999992</v>
      </c>
      <c r="Y131" s="32">
        <v>1137.53</v>
      </c>
      <c r="Z131" s="32">
        <v>0.79549999999999998</v>
      </c>
      <c r="AA131" s="32">
        <v>1.8029999999999999</v>
      </c>
      <c r="AB131" s="32">
        <v>4.2999000000000001</v>
      </c>
    </row>
    <row r="132" spans="1:28" ht="15" customHeight="1" x14ac:dyDescent="0.2">
      <c r="A132" s="33">
        <v>41096</v>
      </c>
      <c r="B132" s="32">
        <v>4.5286</v>
      </c>
      <c r="C132" s="32">
        <v>0.97330000000000005</v>
      </c>
      <c r="D132" s="32">
        <v>2.0289999999999999</v>
      </c>
      <c r="E132" s="32">
        <v>497.5</v>
      </c>
      <c r="F132" s="32">
        <v>6.3120000000000003</v>
      </c>
      <c r="G132" s="32">
        <v>1802.37</v>
      </c>
      <c r="H132" s="32">
        <v>20.507899999999999</v>
      </c>
      <c r="I132" s="32">
        <v>39.6678</v>
      </c>
      <c r="J132" s="32">
        <v>7.7549000000000001</v>
      </c>
      <c r="K132" s="32">
        <v>229.739</v>
      </c>
      <c r="L132" s="32">
        <v>54.960299999999997</v>
      </c>
      <c r="M132" s="32">
        <v>9398.5</v>
      </c>
      <c r="N132" s="32">
        <v>3.9283999999999999</v>
      </c>
      <c r="O132" s="32">
        <v>3.165</v>
      </c>
      <c r="P132" s="32">
        <v>13.353400000000001</v>
      </c>
      <c r="Q132" s="32">
        <v>1.2448999999999999</v>
      </c>
      <c r="R132" s="32">
        <v>95.508399999999995</v>
      </c>
      <c r="S132" s="32">
        <v>2.6922999999999999</v>
      </c>
      <c r="T132" s="32">
        <v>41.805900000000001</v>
      </c>
      <c r="U132" s="32">
        <v>3.3826000000000001</v>
      </c>
      <c r="V132" s="32">
        <v>32.455399999999997</v>
      </c>
      <c r="W132" s="32">
        <v>3.7507000000000001</v>
      </c>
      <c r="X132" s="32">
        <v>8.1478999999999999</v>
      </c>
      <c r="Y132" s="32">
        <v>1136.6199999999999</v>
      </c>
      <c r="Z132" s="32">
        <v>0.80179999999999996</v>
      </c>
      <c r="AA132" s="32">
        <v>1.8090999999999999</v>
      </c>
      <c r="AB132" s="32">
        <v>4.3</v>
      </c>
    </row>
    <row r="133" spans="1:28" ht="15" customHeight="1" x14ac:dyDescent="0.2">
      <c r="A133" s="33">
        <v>41097</v>
      </c>
      <c r="B133" s="32">
        <v>4.5338000000000003</v>
      </c>
      <c r="C133" s="32">
        <v>0.97609999999999997</v>
      </c>
      <c r="D133" s="32">
        <v>2.0274000000000001</v>
      </c>
      <c r="E133" s="32">
        <v>499.5</v>
      </c>
      <c r="F133" s="32">
        <v>6.3178000000000001</v>
      </c>
      <c r="G133" s="32">
        <v>1815.38</v>
      </c>
      <c r="H133" s="32">
        <v>20.789300000000001</v>
      </c>
      <c r="I133" s="32">
        <v>39.323900000000002</v>
      </c>
      <c r="J133" s="32">
        <v>7.7542</v>
      </c>
      <c r="K133" s="32">
        <v>233.04</v>
      </c>
      <c r="L133" s="32">
        <v>55.521900000000002</v>
      </c>
      <c r="M133" s="32">
        <v>9433.9599999999991</v>
      </c>
      <c r="N133" s="32">
        <v>3.9384000000000001</v>
      </c>
      <c r="O133" s="32">
        <v>3.1743000000000001</v>
      </c>
      <c r="P133" s="32">
        <v>13.4414</v>
      </c>
      <c r="Q133" s="32">
        <v>1.2490000000000001</v>
      </c>
      <c r="R133" s="32">
        <v>94.447900000000004</v>
      </c>
      <c r="S133" s="32">
        <v>2.7088999999999999</v>
      </c>
      <c r="T133" s="32">
        <v>41.931800000000003</v>
      </c>
      <c r="U133" s="32">
        <v>3.4209000000000001</v>
      </c>
      <c r="V133" s="32">
        <v>32.713700000000003</v>
      </c>
      <c r="W133" s="32">
        <v>3.7509000000000001</v>
      </c>
      <c r="X133" s="32">
        <v>8.2033000000000005</v>
      </c>
      <c r="Y133" s="32">
        <v>1139.99</v>
      </c>
      <c r="Z133" s="32">
        <v>0.80959999999999999</v>
      </c>
      <c r="AA133" s="32">
        <v>1.8166</v>
      </c>
      <c r="AB133" s="32">
        <v>4.3000999999999996</v>
      </c>
    </row>
    <row r="134" spans="1:28" ht="15" customHeight="1" x14ac:dyDescent="0.2">
      <c r="A134" s="33">
        <v>41098</v>
      </c>
      <c r="B134" s="32">
        <v>4.6243999999999996</v>
      </c>
      <c r="C134" s="32">
        <v>0.97950000000000004</v>
      </c>
      <c r="D134" s="32">
        <v>2.0398999999999998</v>
      </c>
      <c r="E134" s="32">
        <v>499.5</v>
      </c>
      <c r="F134" s="32">
        <v>6.3250000000000002</v>
      </c>
      <c r="G134" s="32">
        <v>1829.17</v>
      </c>
      <c r="H134" s="32">
        <v>20.956700000000001</v>
      </c>
      <c r="I134" s="32">
        <v>40.004899999999999</v>
      </c>
      <c r="J134" s="32">
        <v>7.7546999999999997</v>
      </c>
      <c r="K134" s="32">
        <v>236.00299999999999</v>
      </c>
      <c r="L134" s="32">
        <v>56.000999999999998</v>
      </c>
      <c r="M134" s="32">
        <v>9551.1</v>
      </c>
      <c r="N134" s="32">
        <v>3.9497</v>
      </c>
      <c r="O134" s="32">
        <v>3.2090000000000001</v>
      </c>
      <c r="P134" s="32">
        <v>13.4017</v>
      </c>
      <c r="Q134" s="32">
        <v>1.2541</v>
      </c>
      <c r="R134" s="32">
        <v>95.896299999999997</v>
      </c>
      <c r="S134" s="32">
        <v>2.7313999999999998</v>
      </c>
      <c r="T134" s="32">
        <v>42.484299999999998</v>
      </c>
      <c r="U134" s="32">
        <v>3.4761000000000002</v>
      </c>
      <c r="V134" s="32">
        <v>33.235599999999998</v>
      </c>
      <c r="W134" s="32">
        <v>3.7553000000000001</v>
      </c>
      <c r="X134" s="32">
        <v>8.2576000000000001</v>
      </c>
      <c r="Y134" s="32">
        <v>1153.93</v>
      </c>
      <c r="Z134" s="32">
        <v>0.81410000000000005</v>
      </c>
      <c r="AA134" s="32">
        <v>1.821</v>
      </c>
      <c r="AB134" s="32">
        <v>4.2996999999999996</v>
      </c>
    </row>
    <row r="135" spans="1:28" ht="15" customHeight="1" x14ac:dyDescent="0.2">
      <c r="A135" s="33">
        <v>41099</v>
      </c>
      <c r="B135" s="32">
        <v>4.6266999999999996</v>
      </c>
      <c r="C135" s="32">
        <v>0.97960000000000003</v>
      </c>
      <c r="D135" s="32">
        <v>2.0543999999999998</v>
      </c>
      <c r="E135" s="32">
        <v>499.5</v>
      </c>
      <c r="F135" s="32">
        <v>6.3250000000000002</v>
      </c>
      <c r="G135" s="32">
        <v>1829.8</v>
      </c>
      <c r="H135" s="32">
        <v>20.9556</v>
      </c>
      <c r="I135" s="32">
        <v>40.017000000000003</v>
      </c>
      <c r="J135" s="32">
        <v>7.7546999999999997</v>
      </c>
      <c r="K135" s="32">
        <v>236.01</v>
      </c>
      <c r="L135" s="32">
        <v>56.000999999999998</v>
      </c>
      <c r="M135" s="32">
        <v>9671.18</v>
      </c>
      <c r="N135" s="32">
        <v>3.9502000000000002</v>
      </c>
      <c r="O135" s="32">
        <v>3.2605</v>
      </c>
      <c r="P135" s="32">
        <v>13.4049</v>
      </c>
      <c r="Q135" s="32">
        <v>1.2543</v>
      </c>
      <c r="R135" s="32">
        <v>95.929000000000002</v>
      </c>
      <c r="S135" s="32">
        <v>2.7326999999999999</v>
      </c>
      <c r="T135" s="32">
        <v>43.209000000000003</v>
      </c>
      <c r="U135" s="32">
        <v>3.4832000000000001</v>
      </c>
      <c r="V135" s="32">
        <v>33.759</v>
      </c>
      <c r="W135" s="32">
        <v>3.7549999999999999</v>
      </c>
      <c r="X135" s="32">
        <v>8.2586999999999993</v>
      </c>
      <c r="Y135" s="32">
        <v>1173.1600000000001</v>
      </c>
      <c r="Z135" s="32">
        <v>0.81420000000000003</v>
      </c>
      <c r="AA135" s="32">
        <v>1.821</v>
      </c>
      <c r="AB135" s="32">
        <v>4.2996999999999996</v>
      </c>
    </row>
    <row r="136" spans="1:28" ht="15" customHeight="1" x14ac:dyDescent="0.2">
      <c r="A136" s="33">
        <v>41100</v>
      </c>
      <c r="B136" s="32">
        <v>4.5662000000000003</v>
      </c>
      <c r="C136" s="32">
        <v>0.98160000000000003</v>
      </c>
      <c r="D136" s="32">
        <v>2.0341999999999998</v>
      </c>
      <c r="E136" s="32">
        <v>495</v>
      </c>
      <c r="F136" s="32">
        <v>6.3243</v>
      </c>
      <c r="G136" s="32">
        <v>1816.83</v>
      </c>
      <c r="H136" s="32">
        <v>20.828199999999999</v>
      </c>
      <c r="I136" s="32">
        <v>39.712000000000003</v>
      </c>
      <c r="J136" s="32">
        <v>7.7545999999999999</v>
      </c>
      <c r="K136" s="32">
        <v>235.46899999999999</v>
      </c>
      <c r="L136" s="32">
        <v>55.870899999999999</v>
      </c>
      <c r="M136" s="32">
        <v>9569.3799999999992</v>
      </c>
      <c r="N136" s="32">
        <v>3.9615999999999998</v>
      </c>
      <c r="O136" s="32">
        <v>3.2204000000000002</v>
      </c>
      <c r="P136" s="32">
        <v>13.4366</v>
      </c>
      <c r="Q136" s="32">
        <v>1.2565999999999999</v>
      </c>
      <c r="R136" s="32">
        <v>95.3249</v>
      </c>
      <c r="S136" s="32">
        <v>2.706</v>
      </c>
      <c r="T136" s="32">
        <v>42.631</v>
      </c>
      <c r="U136" s="32">
        <v>3.4504999999999999</v>
      </c>
      <c r="V136" s="32">
        <v>33.017600000000002</v>
      </c>
      <c r="W136" s="32">
        <v>3.7507999999999999</v>
      </c>
      <c r="X136" s="32">
        <v>8.2692999999999994</v>
      </c>
      <c r="Y136" s="32">
        <v>1156.47</v>
      </c>
      <c r="Z136" s="32">
        <v>0.8135</v>
      </c>
      <c r="AA136" s="32">
        <v>1.8229</v>
      </c>
      <c r="AB136" s="32">
        <v>4.3</v>
      </c>
    </row>
    <row r="137" spans="1:28" ht="15" customHeight="1" x14ac:dyDescent="0.2">
      <c r="A137" s="33">
        <v>41101</v>
      </c>
      <c r="B137" s="32">
        <v>4.5224000000000002</v>
      </c>
      <c r="C137" s="32">
        <v>0.98029999999999995</v>
      </c>
      <c r="D137" s="32">
        <v>2.0350000000000001</v>
      </c>
      <c r="E137" s="32">
        <v>494.3</v>
      </c>
      <c r="F137" s="32">
        <v>6.3189000000000002</v>
      </c>
      <c r="G137" s="32">
        <v>1813.72</v>
      </c>
      <c r="H137" s="32">
        <v>20.713200000000001</v>
      </c>
      <c r="I137" s="32">
        <v>39.438800000000001</v>
      </c>
      <c r="J137" s="32">
        <v>7.7548000000000004</v>
      </c>
      <c r="K137" s="32">
        <v>234.79499999999999</v>
      </c>
      <c r="L137" s="32">
        <v>55.6036</v>
      </c>
      <c r="M137" s="32">
        <v>9451.7999999999993</v>
      </c>
      <c r="N137" s="32">
        <v>3.9636</v>
      </c>
      <c r="O137" s="32">
        <v>3.1848000000000001</v>
      </c>
      <c r="P137" s="32">
        <v>13.3392</v>
      </c>
      <c r="Q137" s="32">
        <v>1.2569999999999999</v>
      </c>
      <c r="R137" s="32">
        <v>94.420599999999993</v>
      </c>
      <c r="S137" s="32">
        <v>2.6859999999999999</v>
      </c>
      <c r="T137" s="32">
        <v>42.058599999999998</v>
      </c>
      <c r="U137" s="32">
        <v>3.4255</v>
      </c>
      <c r="V137" s="32">
        <v>32.961300000000001</v>
      </c>
      <c r="W137" s="32">
        <v>3.7507999999999999</v>
      </c>
      <c r="X137" s="32">
        <v>8.2234999999999996</v>
      </c>
      <c r="Y137" s="32">
        <v>1143.3800000000001</v>
      </c>
      <c r="Z137" s="32">
        <v>0.81389999999999996</v>
      </c>
      <c r="AA137" s="32">
        <v>1.8223</v>
      </c>
      <c r="AB137" s="32">
        <v>4.3</v>
      </c>
    </row>
    <row r="138" spans="1:28" ht="15" customHeight="1" x14ac:dyDescent="0.2">
      <c r="A138" s="33">
        <v>41102</v>
      </c>
      <c r="B138" s="32">
        <v>4.5411999999999999</v>
      </c>
      <c r="C138" s="32">
        <v>0.97789999999999999</v>
      </c>
      <c r="D138" s="32">
        <v>2.0358000000000001</v>
      </c>
      <c r="E138" s="32">
        <v>493.1</v>
      </c>
      <c r="F138" s="32">
        <v>6.3155999999999999</v>
      </c>
      <c r="G138" s="32">
        <v>1828.61</v>
      </c>
      <c r="H138" s="32">
        <v>20.719899999999999</v>
      </c>
      <c r="I138" s="32">
        <v>39.280500000000004</v>
      </c>
      <c r="J138" s="32">
        <v>7.7545999999999999</v>
      </c>
      <c r="K138" s="32">
        <v>235.542</v>
      </c>
      <c r="L138" s="32">
        <v>55.408099999999997</v>
      </c>
      <c r="M138" s="32">
        <v>9460.74</v>
      </c>
      <c r="N138" s="32">
        <v>3.9697</v>
      </c>
      <c r="O138" s="32">
        <v>3.1829999999999998</v>
      </c>
      <c r="P138" s="32">
        <v>13.350300000000001</v>
      </c>
      <c r="Q138" s="32">
        <v>1.2562</v>
      </c>
      <c r="R138" s="32">
        <v>94.685400000000001</v>
      </c>
      <c r="S138" s="32">
        <v>2.6869999999999998</v>
      </c>
      <c r="T138" s="32">
        <v>41.998899999999999</v>
      </c>
      <c r="U138" s="32">
        <v>3.4127999999999998</v>
      </c>
      <c r="V138" s="32">
        <v>32.838999999999999</v>
      </c>
      <c r="W138" s="32">
        <v>3.7507999999999999</v>
      </c>
      <c r="X138" s="32">
        <v>8.2225000000000001</v>
      </c>
      <c r="Y138" s="32">
        <v>1142.99</v>
      </c>
      <c r="Z138" s="32">
        <v>0.81579999999999997</v>
      </c>
      <c r="AA138" s="32">
        <v>1.8132999999999999</v>
      </c>
      <c r="AB138" s="32">
        <v>4.3</v>
      </c>
    </row>
    <row r="139" spans="1:28" ht="15" customHeight="1" x14ac:dyDescent="0.2">
      <c r="A139" s="33">
        <v>41103</v>
      </c>
      <c r="B139" s="32">
        <v>4.5430999999999999</v>
      </c>
      <c r="C139" s="32">
        <v>0.98370000000000002</v>
      </c>
      <c r="D139" s="32">
        <v>2.0409999999999999</v>
      </c>
      <c r="E139" s="32">
        <v>493.75</v>
      </c>
      <c r="F139" s="32">
        <v>6.3189000000000002</v>
      </c>
      <c r="G139" s="32">
        <v>1797.32</v>
      </c>
      <c r="H139" s="32">
        <v>20.793399999999998</v>
      </c>
      <c r="I139" s="32">
        <v>39.259500000000003</v>
      </c>
      <c r="J139" s="32">
        <v>7.7561</v>
      </c>
      <c r="K139" s="32">
        <v>236.81299999999999</v>
      </c>
      <c r="L139" s="32">
        <v>55.564799999999998</v>
      </c>
      <c r="M139" s="32">
        <v>9478.67</v>
      </c>
      <c r="N139" s="32">
        <v>3.9779</v>
      </c>
      <c r="O139" s="32">
        <v>3.1896</v>
      </c>
      <c r="P139" s="32">
        <v>13.4003</v>
      </c>
      <c r="Q139" s="32">
        <v>1.2641</v>
      </c>
      <c r="R139" s="32">
        <v>94.648700000000005</v>
      </c>
      <c r="S139" s="32">
        <v>2.6821999999999999</v>
      </c>
      <c r="T139" s="32">
        <v>42.148699999999998</v>
      </c>
      <c r="U139" s="32">
        <v>3.4369000000000001</v>
      </c>
      <c r="V139" s="32">
        <v>32.7532</v>
      </c>
      <c r="W139" s="32">
        <v>3.7507999999999999</v>
      </c>
      <c r="X139" s="32">
        <v>8.3139000000000003</v>
      </c>
      <c r="Y139" s="32">
        <v>1151.94</v>
      </c>
      <c r="Z139" s="32">
        <v>0.81869999999999998</v>
      </c>
      <c r="AA139" s="32">
        <v>1.8157000000000001</v>
      </c>
      <c r="AB139" s="32">
        <v>4.3000999999999996</v>
      </c>
    </row>
    <row r="140" spans="1:28" ht="15" customHeight="1" x14ac:dyDescent="0.2">
      <c r="A140" s="33">
        <v>41104</v>
      </c>
      <c r="B140" s="32">
        <v>4.5462999999999996</v>
      </c>
      <c r="C140" s="32">
        <v>0.98280000000000001</v>
      </c>
      <c r="D140" s="32">
        <v>2.0398000000000001</v>
      </c>
      <c r="E140" s="32">
        <v>490.4</v>
      </c>
      <c r="F140" s="32">
        <v>6.3178000000000001</v>
      </c>
      <c r="G140" s="32">
        <v>1813.45</v>
      </c>
      <c r="H140" s="32">
        <v>20.811399999999999</v>
      </c>
      <c r="I140" s="32">
        <v>39.442700000000002</v>
      </c>
      <c r="J140" s="32">
        <v>7.7568999999999999</v>
      </c>
      <c r="K140" s="32">
        <v>237.03200000000001</v>
      </c>
      <c r="L140" s="32">
        <v>55.2577</v>
      </c>
      <c r="M140" s="32">
        <v>9487.67</v>
      </c>
      <c r="N140" s="32">
        <v>3.9710000000000001</v>
      </c>
      <c r="O140" s="32">
        <v>3.1899000000000002</v>
      </c>
      <c r="P140" s="32">
        <v>13.4054</v>
      </c>
      <c r="Q140" s="32">
        <v>1.2624</v>
      </c>
      <c r="R140" s="32">
        <v>95.34</v>
      </c>
      <c r="S140" s="32">
        <v>2.6785999999999999</v>
      </c>
      <c r="T140" s="32">
        <v>42.1205</v>
      </c>
      <c r="U140" s="32">
        <v>3.4443999999999999</v>
      </c>
      <c r="V140" s="32">
        <v>32.704300000000003</v>
      </c>
      <c r="W140" s="32">
        <v>3.7509999999999999</v>
      </c>
      <c r="X140" s="32">
        <v>8.3131000000000004</v>
      </c>
      <c r="Y140" s="32">
        <v>1151.94</v>
      </c>
      <c r="Z140" s="32">
        <v>0.81899999999999995</v>
      </c>
      <c r="AA140" s="32">
        <v>1.8174999999999999</v>
      </c>
      <c r="AB140" s="32">
        <v>4.3003999999999998</v>
      </c>
    </row>
    <row r="141" spans="1:28" ht="15" customHeight="1" x14ac:dyDescent="0.2">
      <c r="A141" s="33">
        <v>41105</v>
      </c>
      <c r="B141" s="32">
        <v>4.5712000000000002</v>
      </c>
      <c r="C141" s="32">
        <v>0.97809999999999997</v>
      </c>
      <c r="D141" s="32">
        <v>2.0411000000000001</v>
      </c>
      <c r="E141" s="32">
        <v>490.4</v>
      </c>
      <c r="F141" s="32">
        <v>6.3186</v>
      </c>
      <c r="G141" s="32">
        <v>1796.13</v>
      </c>
      <c r="H141" s="32">
        <v>20.780200000000001</v>
      </c>
      <c r="I141" s="32">
        <v>39.409999999999997</v>
      </c>
      <c r="J141" s="32">
        <v>7.758</v>
      </c>
      <c r="K141" s="32">
        <v>235.49199999999999</v>
      </c>
      <c r="L141" s="32">
        <v>54.874000000000002</v>
      </c>
      <c r="M141" s="32">
        <v>9469.7000000000007</v>
      </c>
      <c r="N141" s="32">
        <v>3.9550999999999998</v>
      </c>
      <c r="O141" s="32">
        <v>3.2143999999999999</v>
      </c>
      <c r="P141" s="32">
        <v>13.2974</v>
      </c>
      <c r="Q141" s="32">
        <v>1.2564</v>
      </c>
      <c r="R141" s="32">
        <v>95.028199999999998</v>
      </c>
      <c r="S141" s="32">
        <v>2.6892</v>
      </c>
      <c r="T141" s="32">
        <v>42.065100000000001</v>
      </c>
      <c r="U141" s="32">
        <v>3.4586999999999999</v>
      </c>
      <c r="V141" s="32">
        <v>32.937800000000003</v>
      </c>
      <c r="W141" s="32">
        <v>3.7553000000000001</v>
      </c>
      <c r="X141" s="32">
        <v>8.2807999999999993</v>
      </c>
      <c r="Y141" s="32">
        <v>1159.42</v>
      </c>
      <c r="Z141" s="32">
        <v>0.8165</v>
      </c>
      <c r="AA141" s="32">
        <v>1.8133999999999999</v>
      </c>
      <c r="AB141" s="32">
        <v>4.2996999999999996</v>
      </c>
    </row>
    <row r="142" spans="1:28" ht="15" customHeight="1" x14ac:dyDescent="0.2">
      <c r="A142" s="33">
        <v>41106</v>
      </c>
      <c r="B142" s="32">
        <v>4.5891999999999999</v>
      </c>
      <c r="C142" s="32">
        <v>0.97789999999999999</v>
      </c>
      <c r="D142" s="32">
        <v>2.0413000000000001</v>
      </c>
      <c r="E142" s="32">
        <v>490.4</v>
      </c>
      <c r="F142" s="32">
        <v>6.3186</v>
      </c>
      <c r="G142" s="32">
        <v>1810.9</v>
      </c>
      <c r="H142" s="32">
        <v>20.777200000000001</v>
      </c>
      <c r="I142" s="32">
        <v>39.414999999999999</v>
      </c>
      <c r="J142" s="32">
        <v>7.758</v>
      </c>
      <c r="K142" s="32">
        <v>235.499</v>
      </c>
      <c r="L142" s="32">
        <v>54.874000000000002</v>
      </c>
      <c r="M142" s="32">
        <v>9469.7000000000007</v>
      </c>
      <c r="N142" s="32">
        <v>3.9594999999999998</v>
      </c>
      <c r="O142" s="32">
        <v>3.2372999999999998</v>
      </c>
      <c r="P142" s="32">
        <v>13.2996</v>
      </c>
      <c r="Q142" s="32">
        <v>1.2563</v>
      </c>
      <c r="R142" s="32">
        <v>95.441000000000003</v>
      </c>
      <c r="S142" s="32">
        <v>2.6903999999999999</v>
      </c>
      <c r="T142" s="32">
        <v>42.064999999999998</v>
      </c>
      <c r="U142" s="32">
        <v>3.4857999999999998</v>
      </c>
      <c r="V142" s="32">
        <v>33.414999999999999</v>
      </c>
      <c r="W142" s="32">
        <v>3.7553000000000001</v>
      </c>
      <c r="X142" s="32">
        <v>8.2796000000000003</v>
      </c>
      <c r="Y142" s="32">
        <v>1168.3599999999999</v>
      </c>
      <c r="Z142" s="32">
        <v>0.8165</v>
      </c>
      <c r="AA142" s="32">
        <v>1.8133999999999999</v>
      </c>
      <c r="AB142" s="32">
        <v>4.2996999999999996</v>
      </c>
    </row>
    <row r="143" spans="1:28" ht="15" customHeight="1" x14ac:dyDescent="0.2">
      <c r="A143" s="33">
        <v>41107</v>
      </c>
      <c r="B143" s="32">
        <v>4.5659000000000001</v>
      </c>
      <c r="C143" s="32">
        <v>0.97770000000000001</v>
      </c>
      <c r="D143" s="32">
        <v>2.0402</v>
      </c>
      <c r="E143" s="32">
        <v>491</v>
      </c>
      <c r="F143" s="32">
        <v>6.3170000000000002</v>
      </c>
      <c r="G143" s="32">
        <v>1801.88</v>
      </c>
      <c r="H143" s="32">
        <v>20.76</v>
      </c>
      <c r="I143" s="32">
        <v>39.3675</v>
      </c>
      <c r="J143" s="32">
        <v>7.7569999999999997</v>
      </c>
      <c r="K143" s="32">
        <v>235.57499999999999</v>
      </c>
      <c r="L143" s="32">
        <v>54.883200000000002</v>
      </c>
      <c r="M143" s="32">
        <v>9487.67</v>
      </c>
      <c r="N143" s="32">
        <v>3.9737</v>
      </c>
      <c r="O143" s="32">
        <v>3.2035999999999998</v>
      </c>
      <c r="P143" s="32">
        <v>13.2959</v>
      </c>
      <c r="Q143" s="32">
        <v>1.2559</v>
      </c>
      <c r="R143" s="32">
        <v>95.216700000000003</v>
      </c>
      <c r="S143" s="32">
        <v>2.6699000000000002</v>
      </c>
      <c r="T143" s="32">
        <v>41.995100000000001</v>
      </c>
      <c r="U143" s="32">
        <v>3.4276</v>
      </c>
      <c r="V143" s="32">
        <v>32.65</v>
      </c>
      <c r="W143" s="32">
        <v>3.7509999999999999</v>
      </c>
      <c r="X143" s="32">
        <v>8.2536000000000005</v>
      </c>
      <c r="Y143" s="32">
        <v>1156.2</v>
      </c>
      <c r="Z143" s="32">
        <v>0.81710000000000005</v>
      </c>
      <c r="AA143" s="32">
        <v>1.8125</v>
      </c>
      <c r="AB143" s="32">
        <v>4.3000999999999996</v>
      </c>
    </row>
    <row r="144" spans="1:28" ht="15" customHeight="1" x14ac:dyDescent="0.2">
      <c r="A144" s="33">
        <v>41108</v>
      </c>
      <c r="B144" s="32">
        <v>4.5517000000000003</v>
      </c>
      <c r="C144" s="32">
        <v>0.97260000000000002</v>
      </c>
      <c r="D144" s="32">
        <v>2.0352999999999999</v>
      </c>
      <c r="E144" s="32">
        <v>489.8</v>
      </c>
      <c r="F144" s="32">
        <v>6.3144</v>
      </c>
      <c r="G144" s="32">
        <v>1801.42</v>
      </c>
      <c r="H144" s="32">
        <v>20.639600000000002</v>
      </c>
      <c r="I144" s="32">
        <v>39.326700000000002</v>
      </c>
      <c r="J144" s="32">
        <v>7.7567000000000004</v>
      </c>
      <c r="K144" s="32">
        <v>234.11199999999999</v>
      </c>
      <c r="L144" s="32">
        <v>54.908200000000001</v>
      </c>
      <c r="M144" s="32">
        <v>9478.67</v>
      </c>
      <c r="N144" s="32">
        <v>3.9815999999999998</v>
      </c>
      <c r="O144" s="32">
        <v>3.1695000000000002</v>
      </c>
      <c r="P144" s="32">
        <v>13.209099999999999</v>
      </c>
      <c r="Q144" s="32">
        <v>1.2535000000000001</v>
      </c>
      <c r="R144" s="32">
        <v>94.694500000000005</v>
      </c>
      <c r="S144" s="32">
        <v>2.6585000000000001</v>
      </c>
      <c r="T144" s="32">
        <v>41.870800000000003</v>
      </c>
      <c r="U144" s="32">
        <v>3.4056999999999999</v>
      </c>
      <c r="V144" s="32">
        <v>32.488399999999999</v>
      </c>
      <c r="W144" s="32">
        <v>3.7507999999999999</v>
      </c>
      <c r="X144" s="32">
        <v>8.2032000000000007</v>
      </c>
      <c r="Y144" s="32">
        <v>1145.48</v>
      </c>
      <c r="Z144" s="32">
        <v>0.8145</v>
      </c>
      <c r="AA144" s="32">
        <v>1.8087</v>
      </c>
      <c r="AB144" s="32">
        <v>4.3005000000000004</v>
      </c>
    </row>
    <row r="145" spans="1:28" ht="15" customHeight="1" x14ac:dyDescent="0.2">
      <c r="A145" s="33">
        <v>41109</v>
      </c>
      <c r="B145" s="32">
        <v>4.5541999999999998</v>
      </c>
      <c r="C145" s="32">
        <v>0.96899999999999997</v>
      </c>
      <c r="D145" s="32">
        <v>2.0249999999999999</v>
      </c>
      <c r="E145" s="32">
        <v>488.5</v>
      </c>
      <c r="F145" s="32">
        <v>6.3125</v>
      </c>
      <c r="G145" s="32">
        <v>1807.74</v>
      </c>
      <c r="H145" s="32">
        <v>20.610199999999999</v>
      </c>
      <c r="I145" s="32">
        <v>39.4636</v>
      </c>
      <c r="J145" s="32">
        <v>7.7567000000000004</v>
      </c>
      <c r="K145" s="32">
        <v>232.977</v>
      </c>
      <c r="L145" s="32">
        <v>55.144399999999997</v>
      </c>
      <c r="M145" s="32">
        <v>9478.67</v>
      </c>
      <c r="N145" s="32">
        <v>4.0023999999999997</v>
      </c>
      <c r="O145" s="32">
        <v>3.1637</v>
      </c>
      <c r="P145" s="32">
        <v>13.1669</v>
      </c>
      <c r="Q145" s="32">
        <v>1.2547999999999999</v>
      </c>
      <c r="R145" s="32">
        <v>94.724199999999996</v>
      </c>
      <c r="S145" s="32">
        <v>2.6678999999999999</v>
      </c>
      <c r="T145" s="32">
        <v>41.817500000000003</v>
      </c>
      <c r="U145" s="32">
        <v>3.3982000000000001</v>
      </c>
      <c r="V145" s="32">
        <v>32.376399999999997</v>
      </c>
      <c r="W145" s="32">
        <v>3.7507999999999999</v>
      </c>
      <c r="X145" s="32">
        <v>8.1809999999999992</v>
      </c>
      <c r="Y145" s="32">
        <v>1143.3800000000001</v>
      </c>
      <c r="Z145" s="32">
        <v>0.81489999999999996</v>
      </c>
      <c r="AA145" s="32">
        <v>1.8062</v>
      </c>
      <c r="AB145" s="32">
        <v>4.3</v>
      </c>
    </row>
    <row r="146" spans="1:28" ht="15" customHeight="1" x14ac:dyDescent="0.2">
      <c r="A146" s="33">
        <v>41110</v>
      </c>
      <c r="B146" s="32">
        <v>4.5585000000000004</v>
      </c>
      <c r="C146" s="32">
        <v>0.96130000000000004</v>
      </c>
      <c r="D146" s="32">
        <v>2.0238999999999998</v>
      </c>
      <c r="E146" s="32">
        <v>486</v>
      </c>
      <c r="F146" s="32">
        <v>6.3098000000000001</v>
      </c>
      <c r="G146" s="32">
        <v>1776.92</v>
      </c>
      <c r="H146" s="32">
        <v>20.636600000000001</v>
      </c>
      <c r="I146" s="32">
        <v>39.396099999999997</v>
      </c>
      <c r="J146" s="32">
        <v>7.7561999999999998</v>
      </c>
      <c r="K146" s="32">
        <v>231.66</v>
      </c>
      <c r="L146" s="32">
        <v>55.189399999999999</v>
      </c>
      <c r="M146" s="32">
        <v>9478.67</v>
      </c>
      <c r="N146" s="32">
        <v>4.0194999999999999</v>
      </c>
      <c r="O146" s="32">
        <v>3.1558999999999999</v>
      </c>
      <c r="P146" s="32">
        <v>13.1671</v>
      </c>
      <c r="Q146" s="32">
        <v>1.2467999999999999</v>
      </c>
      <c r="R146" s="32">
        <v>95.134699999999995</v>
      </c>
      <c r="S146" s="32">
        <v>2.6610999999999998</v>
      </c>
      <c r="T146" s="32">
        <v>41.827800000000003</v>
      </c>
      <c r="U146" s="32">
        <v>3.3891</v>
      </c>
      <c r="V146" s="32">
        <v>32.087400000000002</v>
      </c>
      <c r="W146" s="32">
        <v>3.7507999999999999</v>
      </c>
      <c r="X146" s="32">
        <v>8.1676000000000002</v>
      </c>
      <c r="Y146" s="32">
        <v>1140.25</v>
      </c>
      <c r="Z146" s="32">
        <v>0.81430000000000002</v>
      </c>
      <c r="AA146" s="32">
        <v>1.8035000000000001</v>
      </c>
      <c r="AB146" s="32">
        <v>4.3</v>
      </c>
    </row>
    <row r="147" spans="1:28" ht="15" customHeight="1" x14ac:dyDescent="0.2">
      <c r="A147" s="33">
        <v>41111</v>
      </c>
      <c r="B147" s="32">
        <v>4.5597000000000003</v>
      </c>
      <c r="C147" s="32">
        <v>0.96160000000000001</v>
      </c>
      <c r="D147" s="32">
        <v>2.0192000000000001</v>
      </c>
      <c r="E147" s="32">
        <v>489.5</v>
      </c>
      <c r="F147" s="32">
        <v>6.3094999999999999</v>
      </c>
      <c r="G147" s="32">
        <v>1780.61</v>
      </c>
      <c r="H147" s="32">
        <v>20.8657</v>
      </c>
      <c r="I147" s="32">
        <v>39.298699999999997</v>
      </c>
      <c r="J147" s="32">
        <v>7.7564000000000002</v>
      </c>
      <c r="K147" s="32">
        <v>233.416</v>
      </c>
      <c r="L147" s="32">
        <v>55.189799999999998</v>
      </c>
      <c r="M147" s="32">
        <v>9487.67</v>
      </c>
      <c r="N147" s="32">
        <v>4.0071000000000003</v>
      </c>
      <c r="O147" s="32">
        <v>3.1566999999999998</v>
      </c>
      <c r="P147" s="32">
        <v>13.273400000000001</v>
      </c>
      <c r="Q147" s="32">
        <v>1.2481</v>
      </c>
      <c r="R147" s="32">
        <v>94.729399999999998</v>
      </c>
      <c r="S147" s="32">
        <v>2.6343000000000001</v>
      </c>
      <c r="T147" s="32">
        <v>41.972000000000001</v>
      </c>
      <c r="U147" s="32">
        <v>3.4026000000000001</v>
      </c>
      <c r="V147" s="32">
        <v>31.975200000000001</v>
      </c>
      <c r="W147" s="32">
        <v>3.7507999999999999</v>
      </c>
      <c r="X147" s="32">
        <v>8.2295999999999996</v>
      </c>
      <c r="Y147" s="32">
        <v>1142.47</v>
      </c>
      <c r="Z147" s="32">
        <v>0.81799999999999995</v>
      </c>
      <c r="AA147" s="32">
        <v>1.8068</v>
      </c>
      <c r="AB147" s="32">
        <v>4.3</v>
      </c>
    </row>
    <row r="148" spans="1:28" ht="15" customHeight="1" x14ac:dyDescent="0.2">
      <c r="A148" s="33">
        <v>41112</v>
      </c>
      <c r="B148" s="32">
        <v>4.5837000000000003</v>
      </c>
      <c r="C148" s="32">
        <v>0.9637</v>
      </c>
      <c r="D148" s="32">
        <v>2.0306999999999999</v>
      </c>
      <c r="E148" s="32">
        <v>489.5</v>
      </c>
      <c r="F148" s="32">
        <v>6.3136000000000001</v>
      </c>
      <c r="G148" s="32">
        <v>1783</v>
      </c>
      <c r="H148" s="32">
        <v>21.059699999999999</v>
      </c>
      <c r="I148" s="32">
        <v>39.8185</v>
      </c>
      <c r="J148" s="32">
        <v>7.7568999999999999</v>
      </c>
      <c r="K148" s="32">
        <v>235.75399999999999</v>
      </c>
      <c r="L148" s="32">
        <v>55.383000000000003</v>
      </c>
      <c r="M148" s="32">
        <v>9478.67</v>
      </c>
      <c r="N148" s="32">
        <v>4.0113000000000003</v>
      </c>
      <c r="O148" s="32">
        <v>3.1749000000000001</v>
      </c>
      <c r="P148" s="32">
        <v>13.367699999999999</v>
      </c>
      <c r="Q148" s="32">
        <v>1.2512000000000001</v>
      </c>
      <c r="R148" s="32">
        <v>96.4</v>
      </c>
      <c r="S148" s="32">
        <v>2.7014</v>
      </c>
      <c r="T148" s="32">
        <v>42.0214</v>
      </c>
      <c r="U148" s="32">
        <v>3.4373999999999998</v>
      </c>
      <c r="V148" s="32">
        <v>32.277099999999997</v>
      </c>
      <c r="W148" s="32">
        <v>3.7551000000000001</v>
      </c>
      <c r="X148" s="32">
        <v>8.2932000000000006</v>
      </c>
      <c r="Y148" s="32">
        <v>1149.82</v>
      </c>
      <c r="Z148" s="32">
        <v>0.82279999999999998</v>
      </c>
      <c r="AA148" s="32">
        <v>1.8103</v>
      </c>
      <c r="AB148" s="32">
        <v>4.2996999999999996</v>
      </c>
    </row>
    <row r="149" spans="1:28" ht="15" customHeight="1" x14ac:dyDescent="0.2">
      <c r="A149" s="33">
        <v>41113</v>
      </c>
      <c r="B149" s="32">
        <v>4.569</v>
      </c>
      <c r="C149" s="32">
        <v>0.96389999999999998</v>
      </c>
      <c r="D149" s="32">
        <v>2.0285000000000002</v>
      </c>
      <c r="E149" s="32">
        <v>489.5</v>
      </c>
      <c r="F149" s="32">
        <v>6.3136000000000001</v>
      </c>
      <c r="G149" s="32">
        <v>1783</v>
      </c>
      <c r="H149" s="32">
        <v>21.056999999999999</v>
      </c>
      <c r="I149" s="32">
        <v>39.832999999999998</v>
      </c>
      <c r="J149" s="32">
        <v>7.7568999999999999</v>
      </c>
      <c r="K149" s="32">
        <v>235.86199999999999</v>
      </c>
      <c r="L149" s="32">
        <v>55.383000000000003</v>
      </c>
      <c r="M149" s="32">
        <v>9478.67</v>
      </c>
      <c r="N149" s="32">
        <v>4.0130999999999997</v>
      </c>
      <c r="O149" s="32">
        <v>3.1597</v>
      </c>
      <c r="P149" s="32">
        <v>13.3674</v>
      </c>
      <c r="Q149" s="32">
        <v>1.2515000000000001</v>
      </c>
      <c r="R149" s="32">
        <v>96.436000000000007</v>
      </c>
      <c r="S149" s="32">
        <v>2.7027999999999999</v>
      </c>
      <c r="T149" s="32">
        <v>42.046999999999997</v>
      </c>
      <c r="U149" s="32">
        <v>3.4780000000000002</v>
      </c>
      <c r="V149" s="32">
        <v>33.03</v>
      </c>
      <c r="W149" s="32">
        <v>3.7551000000000001</v>
      </c>
      <c r="X149" s="32">
        <v>8.2928999999999995</v>
      </c>
      <c r="Y149" s="32">
        <v>1144.3</v>
      </c>
      <c r="Z149" s="32">
        <v>0.82299999999999995</v>
      </c>
      <c r="AA149" s="32">
        <v>1.8103</v>
      </c>
      <c r="AB149" s="32">
        <v>4.2996999999999996</v>
      </c>
    </row>
    <row r="150" spans="1:28" ht="15" customHeight="1" x14ac:dyDescent="0.2">
      <c r="A150" s="33">
        <v>41114</v>
      </c>
      <c r="B150" s="32">
        <v>4.5727000000000002</v>
      </c>
      <c r="C150" s="32">
        <v>0.97119999999999995</v>
      </c>
      <c r="D150" s="32">
        <v>2.0325000000000002</v>
      </c>
      <c r="E150" s="32">
        <v>493.6</v>
      </c>
      <c r="F150" s="32">
        <v>6.3194999999999997</v>
      </c>
      <c r="G150" s="32">
        <v>1784.33</v>
      </c>
      <c r="H150" s="32">
        <v>21.127600000000001</v>
      </c>
      <c r="I150" s="32">
        <v>39.635399999999997</v>
      </c>
      <c r="J150" s="32">
        <v>7.7568999999999999</v>
      </c>
      <c r="K150" s="32">
        <v>237.40100000000001</v>
      </c>
      <c r="L150" s="32">
        <v>55.828699999999998</v>
      </c>
      <c r="M150" s="32">
        <v>9487.67</v>
      </c>
      <c r="N150" s="32">
        <v>4.0358999999999998</v>
      </c>
      <c r="O150" s="32">
        <v>3.1732999999999998</v>
      </c>
      <c r="P150" s="32">
        <v>13.4755</v>
      </c>
      <c r="Q150" s="32">
        <v>1.2627999999999999</v>
      </c>
      <c r="R150" s="32">
        <v>96.149799999999999</v>
      </c>
      <c r="S150" s="32">
        <v>2.6859000000000002</v>
      </c>
      <c r="T150" s="32">
        <v>42.113399999999999</v>
      </c>
      <c r="U150" s="32">
        <v>3.4563000000000001</v>
      </c>
      <c r="V150" s="32">
        <v>32.432200000000002</v>
      </c>
      <c r="W150" s="32">
        <v>3.7509000000000001</v>
      </c>
      <c r="X150" s="32">
        <v>8.3907000000000007</v>
      </c>
      <c r="Y150" s="32">
        <v>1149.43</v>
      </c>
      <c r="Z150" s="32">
        <v>0.82550000000000001</v>
      </c>
      <c r="AA150" s="32">
        <v>1.8194999999999999</v>
      </c>
      <c r="AB150" s="32">
        <v>4.3</v>
      </c>
    </row>
    <row r="151" spans="1:28" ht="15" customHeight="1" x14ac:dyDescent="0.2">
      <c r="A151" s="33">
        <v>41115</v>
      </c>
      <c r="B151" s="32">
        <v>4.5689000000000002</v>
      </c>
      <c r="C151" s="32">
        <v>0.9738</v>
      </c>
      <c r="D151" s="32">
        <v>2.0427</v>
      </c>
      <c r="E151" s="32">
        <v>494.3</v>
      </c>
      <c r="F151" s="32">
        <v>6.3242000000000003</v>
      </c>
      <c r="G151" s="32">
        <v>1792.3</v>
      </c>
      <c r="H151" s="32">
        <v>21.139399999999998</v>
      </c>
      <c r="I151" s="32">
        <v>39.528399999999998</v>
      </c>
      <c r="J151" s="32">
        <v>7.7576999999999998</v>
      </c>
      <c r="K151" s="32">
        <v>238.571</v>
      </c>
      <c r="L151" s="32">
        <v>56.172199999999997</v>
      </c>
      <c r="M151" s="32">
        <v>9505.7000000000007</v>
      </c>
      <c r="N151" s="32">
        <v>4.0612000000000004</v>
      </c>
      <c r="O151" s="32">
        <v>3.1804000000000001</v>
      </c>
      <c r="P151" s="32">
        <v>13.6462</v>
      </c>
      <c r="Q151" s="32">
        <v>1.2675000000000001</v>
      </c>
      <c r="R151" s="32">
        <v>95.490099999999998</v>
      </c>
      <c r="S151" s="32">
        <v>2.6871999999999998</v>
      </c>
      <c r="T151" s="32">
        <v>42.147100000000002</v>
      </c>
      <c r="U151" s="32">
        <v>3.4807000000000001</v>
      </c>
      <c r="V151" s="32">
        <v>32.783700000000003</v>
      </c>
      <c r="W151" s="32">
        <v>3.7507000000000001</v>
      </c>
      <c r="X151" s="32">
        <v>8.4842999999999993</v>
      </c>
      <c r="Y151" s="32">
        <v>1149.82</v>
      </c>
      <c r="Z151" s="32">
        <v>0.82650000000000001</v>
      </c>
      <c r="AA151" s="32">
        <v>1.8243</v>
      </c>
      <c r="AB151" s="32">
        <v>4.3</v>
      </c>
    </row>
    <row r="152" spans="1:28" ht="15" customHeight="1" x14ac:dyDescent="0.2">
      <c r="A152" s="33">
        <v>41116</v>
      </c>
      <c r="B152" s="32">
        <v>4.5728</v>
      </c>
      <c r="C152" s="32">
        <v>0.97470000000000001</v>
      </c>
      <c r="D152" s="32">
        <v>2.0455999999999999</v>
      </c>
      <c r="E152" s="32">
        <v>492.5</v>
      </c>
      <c r="F152" s="32">
        <v>6.3277999999999999</v>
      </c>
      <c r="G152" s="32">
        <v>1799</v>
      </c>
      <c r="H152" s="32">
        <v>21.114899999999999</v>
      </c>
      <c r="I152" s="32">
        <v>39.317999999999998</v>
      </c>
      <c r="J152" s="32">
        <v>7.758</v>
      </c>
      <c r="K152" s="32">
        <v>239.089</v>
      </c>
      <c r="L152" s="32">
        <v>56.226999999999997</v>
      </c>
      <c r="M152" s="32">
        <v>9514.75</v>
      </c>
      <c r="N152" s="32">
        <v>4.0769000000000002</v>
      </c>
      <c r="O152" s="32">
        <v>3.1818</v>
      </c>
      <c r="P152" s="32">
        <v>13.6721</v>
      </c>
      <c r="Q152" s="32">
        <v>1.2734000000000001</v>
      </c>
      <c r="R152" s="32">
        <v>94.694500000000005</v>
      </c>
      <c r="S152" s="32">
        <v>2.6867999999999999</v>
      </c>
      <c r="T152" s="32">
        <v>42.217300000000002</v>
      </c>
      <c r="U152" s="32">
        <v>3.4742999999999999</v>
      </c>
      <c r="V152" s="32">
        <v>32.856900000000003</v>
      </c>
      <c r="W152" s="32">
        <v>3.7507000000000001</v>
      </c>
      <c r="X152" s="32">
        <v>8.4816000000000003</v>
      </c>
      <c r="Y152" s="32">
        <v>1151.54</v>
      </c>
      <c r="Z152" s="32">
        <v>0.82599999999999996</v>
      </c>
      <c r="AA152" s="32">
        <v>1.8270999999999999</v>
      </c>
      <c r="AB152" s="32">
        <v>4.2999000000000001</v>
      </c>
    </row>
    <row r="153" spans="1:28" ht="15" customHeight="1" x14ac:dyDescent="0.2">
      <c r="A153" s="33">
        <v>41117</v>
      </c>
      <c r="B153" s="32">
        <v>4.5715000000000003</v>
      </c>
      <c r="C153" s="32">
        <v>0.96599999999999997</v>
      </c>
      <c r="D153" s="32">
        <v>2.0318000000000001</v>
      </c>
      <c r="E153" s="32">
        <v>487</v>
      </c>
      <c r="F153" s="32">
        <v>6.3872</v>
      </c>
      <c r="G153" s="32">
        <v>1796.71</v>
      </c>
      <c r="H153" s="32">
        <v>20.886700000000001</v>
      </c>
      <c r="I153" s="32">
        <v>39.326000000000001</v>
      </c>
      <c r="J153" s="32">
        <v>7.758</v>
      </c>
      <c r="K153" s="32">
        <v>234.89400000000001</v>
      </c>
      <c r="L153" s="32">
        <v>55.809399999999997</v>
      </c>
      <c r="M153" s="32">
        <v>9514.75</v>
      </c>
      <c r="N153" s="32">
        <v>4.0834999999999999</v>
      </c>
      <c r="O153" s="32">
        <v>3.1709999999999998</v>
      </c>
      <c r="P153" s="32">
        <v>13.5351</v>
      </c>
      <c r="Q153" s="32">
        <v>1.2575000000000001</v>
      </c>
      <c r="R153" s="32">
        <v>94.6922</v>
      </c>
      <c r="S153" s="32">
        <v>2.6854</v>
      </c>
      <c r="T153" s="32">
        <v>42.231099999999998</v>
      </c>
      <c r="U153" s="32">
        <v>3.4146000000000001</v>
      </c>
      <c r="V153" s="32">
        <v>32.545400000000001</v>
      </c>
      <c r="W153" s="32">
        <v>3.7532999999999999</v>
      </c>
      <c r="X153" s="32">
        <v>8.3528000000000002</v>
      </c>
      <c r="Y153" s="32">
        <v>1148.3699999999999</v>
      </c>
      <c r="Z153" s="32">
        <v>0.8196</v>
      </c>
      <c r="AA153" s="32">
        <v>1.8205</v>
      </c>
      <c r="AB153" s="32">
        <v>4.3000999999999996</v>
      </c>
    </row>
    <row r="154" spans="1:28" ht="15" customHeight="1" x14ac:dyDescent="0.2">
      <c r="A154" s="33">
        <v>41118</v>
      </c>
      <c r="B154" s="32">
        <v>4.5792000000000002</v>
      </c>
      <c r="C154" s="32">
        <v>0.95920000000000005</v>
      </c>
      <c r="D154" s="32">
        <v>2.0228999999999999</v>
      </c>
      <c r="E154" s="32">
        <v>483.35</v>
      </c>
      <c r="F154" s="32">
        <v>6.3253000000000004</v>
      </c>
      <c r="G154" s="32">
        <v>1790.03</v>
      </c>
      <c r="H154" s="32">
        <v>20.607199999999999</v>
      </c>
      <c r="I154" s="32">
        <v>39.395000000000003</v>
      </c>
      <c r="J154" s="32">
        <v>7.7576999999999998</v>
      </c>
      <c r="K154" s="32">
        <v>230.03100000000001</v>
      </c>
      <c r="L154" s="32">
        <v>55.429600000000001</v>
      </c>
      <c r="M154" s="32">
        <v>9496.68</v>
      </c>
      <c r="N154" s="32">
        <v>4.0762999999999998</v>
      </c>
      <c r="O154" s="32">
        <v>3.1636000000000002</v>
      </c>
      <c r="P154" s="32">
        <v>13.370100000000001</v>
      </c>
      <c r="Q154" s="32">
        <v>1.2438</v>
      </c>
      <c r="R154" s="32">
        <v>94.769099999999995</v>
      </c>
      <c r="S154" s="32">
        <v>2.6734</v>
      </c>
      <c r="T154" s="32">
        <v>42.100700000000003</v>
      </c>
      <c r="U154" s="32">
        <v>3.3628999999999998</v>
      </c>
      <c r="V154" s="32">
        <v>32.252800000000001</v>
      </c>
      <c r="W154" s="32">
        <v>3.7507999999999999</v>
      </c>
      <c r="X154" s="32">
        <v>8.2342999999999993</v>
      </c>
      <c r="Y154" s="32">
        <v>1141.29</v>
      </c>
      <c r="Z154" s="32">
        <v>0.81299999999999994</v>
      </c>
      <c r="AA154" s="32">
        <v>1.8143</v>
      </c>
      <c r="AB154" s="32">
        <v>4.3</v>
      </c>
    </row>
    <row r="155" spans="1:28" ht="15" customHeight="1" x14ac:dyDescent="0.2">
      <c r="A155" s="33">
        <v>41119</v>
      </c>
      <c r="B155" s="32">
        <v>4.5777000000000001</v>
      </c>
      <c r="C155" s="32">
        <v>0.95399999999999996</v>
      </c>
      <c r="D155" s="32">
        <v>2.0255999999999998</v>
      </c>
      <c r="E155" s="32">
        <v>483.35</v>
      </c>
      <c r="F155" s="32">
        <v>6.3258999999999999</v>
      </c>
      <c r="G155" s="32">
        <v>1794</v>
      </c>
      <c r="H155" s="32">
        <v>20.5824</v>
      </c>
      <c r="I155" s="32">
        <v>39.540399999999998</v>
      </c>
      <c r="J155" s="32">
        <v>7.7577999999999996</v>
      </c>
      <c r="K155" s="32">
        <v>228.52</v>
      </c>
      <c r="L155" s="32">
        <v>55.286999999999999</v>
      </c>
      <c r="M155" s="32">
        <v>9478.67</v>
      </c>
      <c r="N155" s="32">
        <v>4.0541</v>
      </c>
      <c r="O155" s="32">
        <v>3.1642000000000001</v>
      </c>
      <c r="P155" s="32">
        <v>13.2431</v>
      </c>
      <c r="Q155" s="32">
        <v>1.2367999999999999</v>
      </c>
      <c r="R155" s="32">
        <v>94.600899999999996</v>
      </c>
      <c r="S155" s="32">
        <v>2.6880999999999999</v>
      </c>
      <c r="T155" s="32">
        <v>42.074399999999997</v>
      </c>
      <c r="U155" s="32">
        <v>3.3527999999999998</v>
      </c>
      <c r="V155" s="32">
        <v>32.046100000000003</v>
      </c>
      <c r="W155" s="32">
        <v>3.7551000000000001</v>
      </c>
      <c r="X155" s="32">
        <v>8.1646999999999998</v>
      </c>
      <c r="Y155" s="32">
        <v>1139.8599999999999</v>
      </c>
      <c r="Z155" s="32">
        <v>0.81179999999999997</v>
      </c>
      <c r="AA155" s="32">
        <v>1.8139000000000001</v>
      </c>
      <c r="AB155" s="32">
        <v>4.2998000000000003</v>
      </c>
    </row>
    <row r="156" spans="1:28" ht="15" customHeight="1" x14ac:dyDescent="0.2">
      <c r="A156" s="33">
        <v>41120</v>
      </c>
      <c r="B156" s="32">
        <v>4.6115000000000004</v>
      </c>
      <c r="C156" s="32">
        <v>0.95399999999999996</v>
      </c>
      <c r="D156" s="32">
        <v>2.0255999999999998</v>
      </c>
      <c r="E156" s="32">
        <v>483.35</v>
      </c>
      <c r="F156" s="32">
        <v>6.3258999999999999</v>
      </c>
      <c r="G156" s="32">
        <v>1794</v>
      </c>
      <c r="H156" s="32">
        <v>20.565300000000001</v>
      </c>
      <c r="I156" s="32">
        <v>39.551600000000001</v>
      </c>
      <c r="J156" s="32">
        <v>7.7577999999999996</v>
      </c>
      <c r="K156" s="32">
        <v>228.40199999999999</v>
      </c>
      <c r="L156" s="32">
        <v>55.286999999999999</v>
      </c>
      <c r="M156" s="32">
        <v>9478.67</v>
      </c>
      <c r="N156" s="32">
        <v>4.0545</v>
      </c>
      <c r="O156" s="32">
        <v>3.1979000000000002</v>
      </c>
      <c r="P156" s="32">
        <v>13.244400000000001</v>
      </c>
      <c r="Q156" s="32">
        <v>1.2365999999999999</v>
      </c>
      <c r="R156" s="32">
        <v>95.257099999999994</v>
      </c>
      <c r="S156" s="32">
        <v>2.6890999999999998</v>
      </c>
      <c r="T156" s="32">
        <v>42.076099999999997</v>
      </c>
      <c r="U156" s="32">
        <v>3.3847</v>
      </c>
      <c r="V156" s="32">
        <v>32.604100000000003</v>
      </c>
      <c r="W156" s="32">
        <v>3.7551000000000001</v>
      </c>
      <c r="X156" s="32">
        <v>8.1658000000000008</v>
      </c>
      <c r="Y156" s="32">
        <v>1152.3399999999999</v>
      </c>
      <c r="Z156" s="32">
        <v>0.81189999999999996</v>
      </c>
      <c r="AA156" s="32">
        <v>1.8139000000000001</v>
      </c>
      <c r="AB156" s="32">
        <v>4.2996999999999996</v>
      </c>
    </row>
    <row r="157" spans="1:28" ht="15" customHeight="1" x14ac:dyDescent="0.2">
      <c r="A157" s="33">
        <v>41121</v>
      </c>
      <c r="B157" s="32">
        <v>4.6020000000000003</v>
      </c>
      <c r="C157" s="32">
        <v>0.95430000000000004</v>
      </c>
      <c r="D157" s="32">
        <v>2.0287000000000002</v>
      </c>
      <c r="E157" s="32">
        <v>483.5</v>
      </c>
      <c r="F157" s="32">
        <v>6.3257000000000003</v>
      </c>
      <c r="G157" s="32">
        <v>1792.99</v>
      </c>
      <c r="H157" s="32">
        <v>20.616800000000001</v>
      </c>
      <c r="I157" s="32">
        <v>39.471499999999999</v>
      </c>
      <c r="J157" s="32">
        <v>7.7560000000000002</v>
      </c>
      <c r="K157" s="32">
        <v>228.50299999999999</v>
      </c>
      <c r="L157" s="32">
        <v>55.393300000000004</v>
      </c>
      <c r="M157" s="32">
        <v>9487.67</v>
      </c>
      <c r="N157" s="32">
        <v>4.0490000000000004</v>
      </c>
      <c r="O157" s="32">
        <v>3.1827000000000001</v>
      </c>
      <c r="P157" s="32">
        <v>13.2653</v>
      </c>
      <c r="Q157" s="32">
        <v>1.2369000000000001</v>
      </c>
      <c r="R157" s="32">
        <v>95.4131</v>
      </c>
      <c r="S157" s="32">
        <v>2.6749999999999998</v>
      </c>
      <c r="T157" s="32">
        <v>42.040500000000002</v>
      </c>
      <c r="U157" s="32">
        <v>3.3618000000000001</v>
      </c>
      <c r="V157" s="32">
        <v>32.192100000000003</v>
      </c>
      <c r="W157" s="32">
        <v>3.7509000000000001</v>
      </c>
      <c r="X157" s="32">
        <v>8.1982999999999997</v>
      </c>
      <c r="Y157" s="32">
        <v>1148.3699999999999</v>
      </c>
      <c r="Z157" s="32">
        <v>0.81479999999999997</v>
      </c>
      <c r="AA157" s="32">
        <v>1.8092999999999999</v>
      </c>
      <c r="AB157" s="32">
        <v>4.2999000000000001</v>
      </c>
    </row>
    <row r="158" spans="1:28" ht="15" customHeight="1" x14ac:dyDescent="0.2">
      <c r="A158" s="33">
        <v>41122</v>
      </c>
      <c r="B158" s="32">
        <v>4.5807000000000002</v>
      </c>
      <c r="C158" s="32">
        <v>0.95120000000000005</v>
      </c>
      <c r="D158" s="32">
        <v>2.0459000000000001</v>
      </c>
      <c r="E158" s="32">
        <v>483.8</v>
      </c>
      <c r="F158" s="32">
        <v>6.3216999999999999</v>
      </c>
      <c r="G158" s="32">
        <v>1790.27</v>
      </c>
      <c r="H158" s="32">
        <v>20.582000000000001</v>
      </c>
      <c r="I158" s="32">
        <v>39.516100000000002</v>
      </c>
      <c r="J158" s="32">
        <v>7.7545000000000002</v>
      </c>
      <c r="K158" s="32">
        <v>227.68700000000001</v>
      </c>
      <c r="L158" s="32">
        <v>55.5471</v>
      </c>
      <c r="M158" s="32">
        <v>9487.67</v>
      </c>
      <c r="N158" s="32">
        <v>4.0209999999999999</v>
      </c>
      <c r="O158" s="32">
        <v>3.1385000000000001</v>
      </c>
      <c r="P158" s="32">
        <v>13.2766</v>
      </c>
      <c r="Q158" s="32">
        <v>1.2351000000000001</v>
      </c>
      <c r="R158" s="32">
        <v>95.596599999999995</v>
      </c>
      <c r="S158" s="32">
        <v>2.6694</v>
      </c>
      <c r="T158" s="32">
        <v>41.908999999999999</v>
      </c>
      <c r="U158" s="32">
        <v>3.3506999999999998</v>
      </c>
      <c r="V158" s="32">
        <v>32.2166</v>
      </c>
      <c r="W158" s="32">
        <v>3.7507000000000001</v>
      </c>
      <c r="X158" s="32">
        <v>8.2152999999999992</v>
      </c>
      <c r="Y158" s="32">
        <v>1133.4000000000001</v>
      </c>
      <c r="Z158" s="32">
        <v>0.81420000000000003</v>
      </c>
      <c r="AA158" s="32">
        <v>1.7978000000000001</v>
      </c>
      <c r="AB158" s="32">
        <v>4.2999000000000001</v>
      </c>
    </row>
    <row r="159" spans="1:28" ht="15" customHeight="1" x14ac:dyDescent="0.2">
      <c r="A159" s="33">
        <v>41123</v>
      </c>
      <c r="B159" s="32">
        <v>4.5785999999999998</v>
      </c>
      <c r="C159" s="32">
        <v>0.95230000000000004</v>
      </c>
      <c r="D159" s="32">
        <v>2.0535000000000001</v>
      </c>
      <c r="E159" s="32">
        <v>484.5</v>
      </c>
      <c r="F159" s="32">
        <v>6.3205999999999998</v>
      </c>
      <c r="G159" s="32">
        <v>1792.13</v>
      </c>
      <c r="H159" s="32">
        <v>20.616399999999999</v>
      </c>
      <c r="I159" s="32">
        <v>39.590400000000002</v>
      </c>
      <c r="J159" s="32">
        <v>7.7542999999999997</v>
      </c>
      <c r="K159" s="32">
        <v>228.80699999999999</v>
      </c>
      <c r="L159" s="32">
        <v>55.629100000000001</v>
      </c>
      <c r="M159" s="32">
        <v>9478.67</v>
      </c>
      <c r="N159" s="32">
        <v>3.9780000000000002</v>
      </c>
      <c r="O159" s="32">
        <v>3.1206</v>
      </c>
      <c r="P159" s="32">
        <v>13.3248</v>
      </c>
      <c r="Q159" s="32">
        <v>1.2332000000000001</v>
      </c>
      <c r="R159" s="32">
        <v>94.940399999999997</v>
      </c>
      <c r="S159" s="32">
        <v>2.6716000000000002</v>
      </c>
      <c r="T159" s="32">
        <v>41.888800000000003</v>
      </c>
      <c r="U159" s="32">
        <v>3.3445</v>
      </c>
      <c r="V159" s="32">
        <v>32.326700000000002</v>
      </c>
      <c r="W159" s="32">
        <v>3.7507000000000001</v>
      </c>
      <c r="X159" s="32">
        <v>8.2766000000000002</v>
      </c>
      <c r="Y159" s="32">
        <v>1128.92</v>
      </c>
      <c r="Z159" s="32">
        <v>0.81340000000000001</v>
      </c>
      <c r="AA159" s="32">
        <v>1.7967</v>
      </c>
      <c r="AB159" s="32">
        <v>4.2998000000000003</v>
      </c>
    </row>
    <row r="160" spans="1:28" ht="15" customHeight="1" x14ac:dyDescent="0.2">
      <c r="A160" s="33">
        <v>41124</v>
      </c>
      <c r="B160" s="32">
        <v>4.5819000000000001</v>
      </c>
      <c r="C160" s="32">
        <v>0.95469999999999999</v>
      </c>
      <c r="D160" s="32">
        <v>2.0474999999999999</v>
      </c>
      <c r="E160" s="32">
        <v>485.6</v>
      </c>
      <c r="F160" s="32">
        <v>6.3261000000000003</v>
      </c>
      <c r="G160" s="32">
        <v>1787.53</v>
      </c>
      <c r="H160" s="32">
        <v>20.710799999999999</v>
      </c>
      <c r="I160" s="32">
        <v>39.749400000000001</v>
      </c>
      <c r="J160" s="32">
        <v>7.7552000000000003</v>
      </c>
      <c r="K160" s="32">
        <v>229.81100000000001</v>
      </c>
      <c r="L160" s="32">
        <v>55.910899999999998</v>
      </c>
      <c r="M160" s="32">
        <v>9496.68</v>
      </c>
      <c r="N160" s="32">
        <v>3.9841000000000002</v>
      </c>
      <c r="O160" s="32">
        <v>3.1288</v>
      </c>
      <c r="P160" s="32">
        <v>13.3841</v>
      </c>
      <c r="Q160" s="32">
        <v>1.2353000000000001</v>
      </c>
      <c r="R160" s="32">
        <v>96.103300000000004</v>
      </c>
      <c r="S160" s="32">
        <v>2.6901999999999999</v>
      </c>
      <c r="T160" s="32">
        <v>41.957000000000001</v>
      </c>
      <c r="U160" s="32">
        <v>3.3633000000000002</v>
      </c>
      <c r="V160" s="32">
        <v>32.493299999999998</v>
      </c>
      <c r="W160" s="32">
        <v>3.7507999999999999</v>
      </c>
      <c r="X160" s="32">
        <v>8.3488000000000007</v>
      </c>
      <c r="Y160" s="32">
        <v>1132.1199999999999</v>
      </c>
      <c r="Z160" s="32">
        <v>0.81789999999999996</v>
      </c>
      <c r="AA160" s="32">
        <v>1.8038000000000001</v>
      </c>
      <c r="AB160" s="32">
        <v>4.2999000000000001</v>
      </c>
    </row>
    <row r="161" spans="1:28" ht="15" customHeight="1" x14ac:dyDescent="0.2">
      <c r="A161" s="33">
        <v>41125</v>
      </c>
      <c r="B161" s="32">
        <v>4.5903</v>
      </c>
      <c r="C161" s="32">
        <v>0.95169999999999999</v>
      </c>
      <c r="D161" s="32">
        <v>2.044</v>
      </c>
      <c r="E161" s="32">
        <v>482.5</v>
      </c>
      <c r="F161" s="32">
        <v>6.3263999999999996</v>
      </c>
      <c r="G161" s="32">
        <v>1790.26</v>
      </c>
      <c r="H161" s="32">
        <v>20.643899999999999</v>
      </c>
      <c r="I161" s="32">
        <v>39.771999999999998</v>
      </c>
      <c r="J161" s="32">
        <v>7.7549999999999999</v>
      </c>
      <c r="K161" s="32">
        <v>228.346</v>
      </c>
      <c r="L161" s="32">
        <v>55.866</v>
      </c>
      <c r="M161" s="32">
        <v>9496.68</v>
      </c>
      <c r="N161" s="32">
        <v>4.0099</v>
      </c>
      <c r="O161" s="32">
        <v>3.1335000000000002</v>
      </c>
      <c r="P161" s="32">
        <v>13.2699</v>
      </c>
      <c r="Q161" s="32">
        <v>1.228</v>
      </c>
      <c r="R161" s="32">
        <v>95.895899999999997</v>
      </c>
      <c r="S161" s="32">
        <v>2.6850000000000001</v>
      </c>
      <c r="T161" s="32">
        <v>41.969200000000001</v>
      </c>
      <c r="U161" s="32">
        <v>3.3426</v>
      </c>
      <c r="V161" s="32">
        <v>32.382300000000001</v>
      </c>
      <c r="W161" s="32">
        <v>3.7509000000000001</v>
      </c>
      <c r="X161" s="32">
        <v>8.2767999999999997</v>
      </c>
      <c r="Y161" s="32">
        <v>1135.8499999999999</v>
      </c>
      <c r="Z161" s="32">
        <v>0.81620000000000004</v>
      </c>
      <c r="AA161" s="32">
        <v>1.7914000000000001</v>
      </c>
      <c r="AB161" s="32">
        <v>4.2996999999999996</v>
      </c>
    </row>
    <row r="162" spans="1:28" ht="15" customHeight="1" x14ac:dyDescent="0.2">
      <c r="A162" s="33">
        <v>41126</v>
      </c>
      <c r="B162" s="32">
        <v>4.6073000000000004</v>
      </c>
      <c r="C162" s="32">
        <v>0.94630000000000003</v>
      </c>
      <c r="D162" s="32">
        <v>2.0297000000000001</v>
      </c>
      <c r="E162" s="32">
        <v>482.5</v>
      </c>
      <c r="F162" s="32">
        <v>6.3254000000000001</v>
      </c>
      <c r="G162" s="32">
        <v>1788</v>
      </c>
      <c r="H162" s="32">
        <v>20.407699999999998</v>
      </c>
      <c r="I162" s="32">
        <v>39.414700000000003</v>
      </c>
      <c r="J162" s="32">
        <v>7.7553000000000001</v>
      </c>
      <c r="K162" s="32">
        <v>224.608</v>
      </c>
      <c r="L162" s="32">
        <v>55.465000000000003</v>
      </c>
      <c r="M162" s="32">
        <v>9496.68</v>
      </c>
      <c r="N162" s="32">
        <v>4.0297999999999998</v>
      </c>
      <c r="O162" s="32">
        <v>3.1392000000000002</v>
      </c>
      <c r="P162" s="32">
        <v>13.1431</v>
      </c>
      <c r="Q162" s="32">
        <v>1.2219</v>
      </c>
      <c r="R162" s="32">
        <v>95.050799999999995</v>
      </c>
      <c r="S162" s="32">
        <v>2.6709999999999998</v>
      </c>
      <c r="T162" s="32">
        <v>41.916699999999999</v>
      </c>
      <c r="U162" s="32">
        <v>3.3025000000000002</v>
      </c>
      <c r="V162" s="32">
        <v>32.0167</v>
      </c>
      <c r="W162" s="32">
        <v>3.7551999999999999</v>
      </c>
      <c r="X162" s="32">
        <v>8.1545000000000005</v>
      </c>
      <c r="Y162" s="32">
        <v>1139.8599999999999</v>
      </c>
      <c r="Z162" s="32">
        <v>0.8075</v>
      </c>
      <c r="AA162" s="32">
        <v>1.7813000000000001</v>
      </c>
      <c r="AB162" s="32">
        <v>4.2996999999999996</v>
      </c>
    </row>
    <row r="163" spans="1:28" ht="15" customHeight="1" x14ac:dyDescent="0.2">
      <c r="A163" s="33">
        <v>41127</v>
      </c>
      <c r="B163" s="32">
        <v>4.5922000000000001</v>
      </c>
      <c r="C163" s="32">
        <v>0.94630000000000003</v>
      </c>
      <c r="D163" s="32">
        <v>2.0295999999999998</v>
      </c>
      <c r="E163" s="32">
        <v>482.5</v>
      </c>
      <c r="F163" s="32">
        <v>6.3254000000000001</v>
      </c>
      <c r="G163" s="32">
        <v>1788</v>
      </c>
      <c r="H163" s="32">
        <v>20.388400000000001</v>
      </c>
      <c r="I163" s="32">
        <v>39.417000000000002</v>
      </c>
      <c r="J163" s="32">
        <v>7.7553000000000001</v>
      </c>
      <c r="K163" s="32">
        <v>224.43700000000001</v>
      </c>
      <c r="L163" s="32">
        <v>55.465000000000003</v>
      </c>
      <c r="M163" s="32">
        <v>9487.67</v>
      </c>
      <c r="N163" s="32">
        <v>3.9878</v>
      </c>
      <c r="O163" s="32">
        <v>3.1652</v>
      </c>
      <c r="P163" s="32">
        <v>13.142099999999999</v>
      </c>
      <c r="Q163" s="32">
        <v>1.222</v>
      </c>
      <c r="R163" s="32">
        <v>95.058000000000007</v>
      </c>
      <c r="S163" s="32">
        <v>2.6718999999999999</v>
      </c>
      <c r="T163" s="32">
        <v>41.915999999999997</v>
      </c>
      <c r="U163" s="32">
        <v>3.3496000000000001</v>
      </c>
      <c r="V163" s="32">
        <v>31.992000000000001</v>
      </c>
      <c r="W163" s="32">
        <v>3.7549999999999999</v>
      </c>
      <c r="X163" s="32">
        <v>8.1549999999999994</v>
      </c>
      <c r="Y163" s="32">
        <v>1149.56</v>
      </c>
      <c r="Z163" s="32">
        <v>0.8075</v>
      </c>
      <c r="AA163" s="32">
        <v>1.7813000000000001</v>
      </c>
      <c r="AB163" s="32">
        <v>4.2996999999999996</v>
      </c>
    </row>
    <row r="164" spans="1:28" ht="15" customHeight="1" x14ac:dyDescent="0.2">
      <c r="A164" s="33">
        <v>41128</v>
      </c>
      <c r="B164" s="32">
        <v>4.5907999999999998</v>
      </c>
      <c r="C164" s="32">
        <v>0.9466</v>
      </c>
      <c r="D164" s="32">
        <v>2.0303</v>
      </c>
      <c r="E164" s="32">
        <v>480</v>
      </c>
      <c r="F164" s="32">
        <v>6.3258999999999999</v>
      </c>
      <c r="G164" s="32">
        <v>1788</v>
      </c>
      <c r="H164" s="32">
        <v>20.348800000000001</v>
      </c>
      <c r="I164" s="32">
        <v>39.439700000000002</v>
      </c>
      <c r="J164" s="32">
        <v>7.7550999999999997</v>
      </c>
      <c r="K164" s="32">
        <v>223.54599999999999</v>
      </c>
      <c r="L164" s="32">
        <v>55.379300000000001</v>
      </c>
      <c r="M164" s="32">
        <v>9487.67</v>
      </c>
      <c r="N164" s="32">
        <v>3.9889999999999999</v>
      </c>
      <c r="O164" s="32">
        <v>3.1292</v>
      </c>
      <c r="P164" s="32">
        <v>13.1151</v>
      </c>
      <c r="Q164" s="32">
        <v>1.2212000000000001</v>
      </c>
      <c r="R164" s="32">
        <v>95.032799999999995</v>
      </c>
      <c r="S164" s="32">
        <v>2.6629999999999998</v>
      </c>
      <c r="T164" s="32">
        <v>41.934600000000003</v>
      </c>
      <c r="U164" s="32">
        <v>3.2723</v>
      </c>
      <c r="V164" s="32">
        <v>31.8401</v>
      </c>
      <c r="W164" s="32">
        <v>3.7507999999999999</v>
      </c>
      <c r="X164" s="32">
        <v>8.1618999999999993</v>
      </c>
      <c r="Y164" s="32">
        <v>1136.75</v>
      </c>
      <c r="Z164" s="32">
        <v>0.80710000000000004</v>
      </c>
      <c r="AA164" s="32">
        <v>1.7795000000000001</v>
      </c>
      <c r="AB164" s="32">
        <v>4.3</v>
      </c>
    </row>
    <row r="165" spans="1:28" ht="15" customHeight="1" x14ac:dyDescent="0.2">
      <c r="A165" s="33">
        <v>41129</v>
      </c>
      <c r="B165" s="32">
        <v>4.5949</v>
      </c>
      <c r="C165" s="32">
        <v>0.94589999999999996</v>
      </c>
      <c r="D165" s="32">
        <v>2.0318000000000001</v>
      </c>
      <c r="E165" s="32">
        <v>478.9</v>
      </c>
      <c r="F165" s="32">
        <v>6.3259999999999996</v>
      </c>
      <c r="G165" s="32">
        <v>1788.6</v>
      </c>
      <c r="H165" s="32">
        <v>20.2807</v>
      </c>
      <c r="I165" s="32">
        <v>39.571300000000001</v>
      </c>
      <c r="J165" s="32">
        <v>7.7550999999999997</v>
      </c>
      <c r="K165" s="32">
        <v>222.89500000000001</v>
      </c>
      <c r="L165" s="32">
        <v>55.139899999999997</v>
      </c>
      <c r="M165" s="32">
        <v>9496.68</v>
      </c>
      <c r="N165" s="32">
        <v>3.9969999999999999</v>
      </c>
      <c r="O165" s="32">
        <v>3.1069</v>
      </c>
      <c r="P165" s="32">
        <v>13.186400000000001</v>
      </c>
      <c r="Q165" s="32">
        <v>1.2206999999999999</v>
      </c>
      <c r="R165" s="32">
        <v>94.997799999999998</v>
      </c>
      <c r="S165" s="32">
        <v>2.6654</v>
      </c>
      <c r="T165" s="32">
        <v>41.947499999999998</v>
      </c>
      <c r="U165" s="32">
        <v>3.2692999999999999</v>
      </c>
      <c r="V165" s="32">
        <v>31.6172</v>
      </c>
      <c r="W165" s="32">
        <v>3.7507000000000001</v>
      </c>
      <c r="X165" s="32">
        <v>8.1652000000000005</v>
      </c>
      <c r="Y165" s="32">
        <v>1129.69</v>
      </c>
      <c r="Z165" s="32">
        <v>0.80600000000000005</v>
      </c>
      <c r="AA165" s="32">
        <v>1.7816000000000001</v>
      </c>
      <c r="AB165" s="32">
        <v>4.2999000000000001</v>
      </c>
    </row>
    <row r="166" spans="1:28" ht="15" customHeight="1" x14ac:dyDescent="0.2">
      <c r="A166" s="33">
        <v>41130</v>
      </c>
      <c r="B166" s="32">
        <v>4.5998999999999999</v>
      </c>
      <c r="C166" s="32">
        <v>0.94750000000000001</v>
      </c>
      <c r="D166" s="32">
        <v>2.0295000000000001</v>
      </c>
      <c r="E166" s="32">
        <v>476.4</v>
      </c>
      <c r="F166" s="32">
        <v>6.3287000000000004</v>
      </c>
      <c r="G166" s="32">
        <v>1790.7</v>
      </c>
      <c r="H166" s="32">
        <v>20.3369</v>
      </c>
      <c r="I166" s="32">
        <v>39.638199999999998</v>
      </c>
      <c r="J166" s="32">
        <v>7.7554999999999996</v>
      </c>
      <c r="K166" s="32">
        <v>224.26900000000001</v>
      </c>
      <c r="L166" s="32">
        <v>55.099299999999999</v>
      </c>
      <c r="M166" s="32">
        <v>9496.68</v>
      </c>
      <c r="N166" s="32">
        <v>3.9969999999999999</v>
      </c>
      <c r="O166" s="32">
        <v>3.1080000000000001</v>
      </c>
      <c r="P166" s="32">
        <v>13.2254</v>
      </c>
      <c r="Q166" s="32">
        <v>1.228</v>
      </c>
      <c r="R166" s="32">
        <v>95.211500000000001</v>
      </c>
      <c r="S166" s="32">
        <v>2.6642000000000001</v>
      </c>
      <c r="T166" s="32">
        <v>41.904899999999998</v>
      </c>
      <c r="U166" s="32">
        <v>3.2978000000000001</v>
      </c>
      <c r="V166" s="32">
        <v>31.639399999999998</v>
      </c>
      <c r="W166" s="32">
        <v>3.7507000000000001</v>
      </c>
      <c r="X166" s="32">
        <v>8.1656999999999993</v>
      </c>
      <c r="Y166" s="32">
        <v>1130.45</v>
      </c>
      <c r="Z166" s="32">
        <v>0.80830000000000002</v>
      </c>
      <c r="AA166" s="32">
        <v>1.7866</v>
      </c>
      <c r="AB166" s="32">
        <v>4.3</v>
      </c>
    </row>
    <row r="167" spans="1:28" ht="15" customHeight="1" x14ac:dyDescent="0.2">
      <c r="A167" s="33">
        <v>41131</v>
      </c>
      <c r="B167" s="32">
        <v>4.5995999999999997</v>
      </c>
      <c r="C167" s="32">
        <v>0.94540000000000002</v>
      </c>
      <c r="D167" s="32">
        <v>2.0232999999999999</v>
      </c>
      <c r="E167" s="32">
        <v>475.5</v>
      </c>
      <c r="F167" s="32">
        <v>6.3291000000000004</v>
      </c>
      <c r="G167" s="32">
        <v>1790</v>
      </c>
      <c r="H167" s="32">
        <v>20.331199999999999</v>
      </c>
      <c r="I167" s="32">
        <v>39.690899999999999</v>
      </c>
      <c r="J167" s="32">
        <v>7.7563000000000004</v>
      </c>
      <c r="K167" s="32">
        <v>224.22200000000001</v>
      </c>
      <c r="L167" s="32">
        <v>55.134300000000003</v>
      </c>
      <c r="M167" s="32">
        <v>9505.7000000000007</v>
      </c>
      <c r="N167" s="32">
        <v>3.9939</v>
      </c>
      <c r="O167" s="32">
        <v>3.1053999999999999</v>
      </c>
      <c r="P167" s="32">
        <v>13.1455</v>
      </c>
      <c r="Q167" s="32">
        <v>1.2306999999999999</v>
      </c>
      <c r="R167" s="32">
        <v>95.263199999999998</v>
      </c>
      <c r="S167" s="32">
        <v>2.68</v>
      </c>
      <c r="T167" s="32">
        <v>41.879300000000001</v>
      </c>
      <c r="U167" s="32">
        <v>3.2890999999999999</v>
      </c>
      <c r="V167" s="32">
        <v>31.551100000000002</v>
      </c>
      <c r="W167" s="32">
        <v>3.7507000000000001</v>
      </c>
      <c r="X167" s="32">
        <v>8.1033000000000008</v>
      </c>
      <c r="Y167" s="32">
        <v>1128.54</v>
      </c>
      <c r="Z167" s="32">
        <v>0.81069999999999998</v>
      </c>
      <c r="AA167" s="32">
        <v>1.7827999999999999</v>
      </c>
      <c r="AB167" s="32">
        <v>4.2996999999999996</v>
      </c>
    </row>
    <row r="168" spans="1:28" ht="15" customHeight="1" x14ac:dyDescent="0.2">
      <c r="A168" s="33">
        <v>41132</v>
      </c>
      <c r="B168" s="32">
        <v>4.6020000000000003</v>
      </c>
      <c r="C168" s="32">
        <v>0.94830000000000003</v>
      </c>
      <c r="D168" s="32">
        <v>2.0171999999999999</v>
      </c>
      <c r="E168" s="32">
        <v>478.3</v>
      </c>
      <c r="F168" s="32">
        <v>6.3327999999999998</v>
      </c>
      <c r="G168" s="32">
        <v>1795</v>
      </c>
      <c r="H168" s="32">
        <v>20.448</v>
      </c>
      <c r="I168" s="32">
        <v>39.587000000000003</v>
      </c>
      <c r="J168" s="32">
        <v>7.7569999999999997</v>
      </c>
      <c r="K168" s="32">
        <v>225.9</v>
      </c>
      <c r="L168" s="32">
        <v>55.284799999999997</v>
      </c>
      <c r="M168" s="32">
        <v>9509.2999999999993</v>
      </c>
      <c r="N168" s="32">
        <v>4.0077999999999996</v>
      </c>
      <c r="O168" s="32">
        <v>3.1202999999999999</v>
      </c>
      <c r="P168" s="32">
        <v>13.1251</v>
      </c>
      <c r="Q168" s="32">
        <v>1.2333000000000001</v>
      </c>
      <c r="R168" s="32">
        <v>94.2</v>
      </c>
      <c r="S168" s="32">
        <v>2.6802999999999999</v>
      </c>
      <c r="T168" s="32">
        <v>41.954999999999998</v>
      </c>
      <c r="U168" s="32">
        <v>3.3174000000000001</v>
      </c>
      <c r="V168" s="32">
        <v>31.847000000000001</v>
      </c>
      <c r="W168" s="32">
        <v>3.7509000000000001</v>
      </c>
      <c r="X168" s="32">
        <v>8.11</v>
      </c>
      <c r="Y168" s="32">
        <v>1132.5</v>
      </c>
      <c r="Z168" s="32">
        <v>0.81389999999999996</v>
      </c>
      <c r="AA168" s="32">
        <v>1.7849999999999999</v>
      </c>
      <c r="AB168" s="32">
        <v>4.2961999999999998</v>
      </c>
    </row>
    <row r="169" spans="1:28" ht="15" customHeight="1" x14ac:dyDescent="0.2">
      <c r="A169" s="33">
        <v>41133</v>
      </c>
      <c r="B169" s="32">
        <v>4.6013999999999999</v>
      </c>
      <c r="C169" s="32">
        <v>0.94569999999999999</v>
      </c>
      <c r="D169" s="32">
        <v>2.0139999999999998</v>
      </c>
      <c r="E169" s="32">
        <v>478.3</v>
      </c>
      <c r="F169" s="32">
        <v>6.3369</v>
      </c>
      <c r="G169" s="32">
        <v>1795</v>
      </c>
      <c r="H169" s="32">
        <v>20.45</v>
      </c>
      <c r="I169" s="32">
        <v>39.587000000000003</v>
      </c>
      <c r="J169" s="32">
        <v>7.7580999999999998</v>
      </c>
      <c r="K169" s="32">
        <v>225.99</v>
      </c>
      <c r="L169" s="32">
        <v>55.287999999999997</v>
      </c>
      <c r="M169" s="32">
        <v>9509.2999999999993</v>
      </c>
      <c r="N169" s="32">
        <v>4.0076999999999998</v>
      </c>
      <c r="O169" s="32">
        <v>3.1198999999999999</v>
      </c>
      <c r="P169" s="32">
        <v>13.0922</v>
      </c>
      <c r="Q169" s="32">
        <v>1.2305999999999999</v>
      </c>
      <c r="R169" s="32">
        <v>94.2</v>
      </c>
      <c r="S169" s="32">
        <v>2.68</v>
      </c>
      <c r="T169" s="32">
        <v>41.976999999999997</v>
      </c>
      <c r="U169" s="32">
        <v>3.3144999999999998</v>
      </c>
      <c r="V169" s="32">
        <v>31.853000000000002</v>
      </c>
      <c r="W169" s="32">
        <v>3.7551999999999999</v>
      </c>
      <c r="X169" s="32">
        <v>8.0891000000000002</v>
      </c>
      <c r="Y169" s="32">
        <v>1132.4000000000001</v>
      </c>
      <c r="Z169" s="32">
        <v>0.81389999999999996</v>
      </c>
      <c r="AA169" s="32">
        <v>1.7849999999999999</v>
      </c>
      <c r="AB169" s="32">
        <v>4.2961999999999998</v>
      </c>
    </row>
    <row r="170" spans="1:28" ht="15" customHeight="1" x14ac:dyDescent="0.2">
      <c r="A170" s="33">
        <v>41134</v>
      </c>
      <c r="B170" s="32">
        <v>4.6029999999999998</v>
      </c>
      <c r="C170" s="32">
        <v>0.94579999999999997</v>
      </c>
      <c r="D170" s="32">
        <v>2.0173999999999999</v>
      </c>
      <c r="E170" s="32">
        <v>478.3</v>
      </c>
      <c r="F170" s="32">
        <v>6.3369</v>
      </c>
      <c r="G170" s="32">
        <v>1795</v>
      </c>
      <c r="H170" s="32">
        <v>20.486000000000001</v>
      </c>
      <c r="I170" s="32">
        <v>39.25</v>
      </c>
      <c r="J170" s="32">
        <v>7.758</v>
      </c>
      <c r="K170" s="32">
        <v>226.32</v>
      </c>
      <c r="L170" s="32">
        <v>55.287999999999997</v>
      </c>
      <c r="M170" s="32">
        <v>9485</v>
      </c>
      <c r="N170" s="32">
        <v>4.0090000000000003</v>
      </c>
      <c r="O170" s="32">
        <v>3.1145</v>
      </c>
      <c r="P170" s="32">
        <v>13.092700000000001</v>
      </c>
      <c r="Q170" s="32">
        <v>1.2306999999999999</v>
      </c>
      <c r="R170" s="32">
        <v>94.2</v>
      </c>
      <c r="S170" s="32">
        <v>2.6219999999999999</v>
      </c>
      <c r="T170" s="32">
        <v>41.88</v>
      </c>
      <c r="U170" s="32">
        <v>3.3269000000000002</v>
      </c>
      <c r="V170" s="32">
        <v>31.841799999999999</v>
      </c>
      <c r="W170" s="32">
        <v>3.7549999999999999</v>
      </c>
      <c r="X170" s="32">
        <v>8.0912000000000006</v>
      </c>
      <c r="Y170" s="32">
        <v>1130.8</v>
      </c>
      <c r="Z170" s="32">
        <v>0.81389999999999996</v>
      </c>
      <c r="AA170" s="32">
        <v>1.7856000000000001</v>
      </c>
      <c r="AB170" s="32">
        <v>4.2961999999999998</v>
      </c>
    </row>
    <row r="171" spans="1:28" ht="15" customHeight="1" x14ac:dyDescent="0.2">
      <c r="A171" s="33">
        <v>41135</v>
      </c>
      <c r="B171" s="32">
        <v>4.6086999999999998</v>
      </c>
      <c r="C171" s="32">
        <v>0.94869999999999999</v>
      </c>
      <c r="D171" s="32">
        <v>2.0226000000000002</v>
      </c>
      <c r="E171" s="32">
        <v>482</v>
      </c>
      <c r="F171" s="32">
        <v>6.3338000000000001</v>
      </c>
      <c r="G171" s="32">
        <v>1795</v>
      </c>
      <c r="H171" s="32">
        <v>20.407</v>
      </c>
      <c r="I171" s="32">
        <v>39.200000000000003</v>
      </c>
      <c r="J171" s="32">
        <v>7.7572000000000001</v>
      </c>
      <c r="K171" s="32">
        <v>227</v>
      </c>
      <c r="L171" s="32">
        <v>55.388399999999997</v>
      </c>
      <c r="M171" s="32">
        <v>9490</v>
      </c>
      <c r="N171" s="32">
        <v>4.0560999999999998</v>
      </c>
      <c r="O171" s="32">
        <v>3.1234999999999999</v>
      </c>
      <c r="P171" s="32">
        <v>13.1205</v>
      </c>
      <c r="Q171" s="32">
        <v>1.2339</v>
      </c>
      <c r="R171" s="32">
        <v>94.6</v>
      </c>
      <c r="S171" s="32">
        <v>2.62</v>
      </c>
      <c r="T171" s="32">
        <v>41.97</v>
      </c>
      <c r="U171" s="32">
        <v>3.3195000000000001</v>
      </c>
      <c r="V171" s="32">
        <v>31.885000000000002</v>
      </c>
      <c r="W171" s="32">
        <v>3.7507999999999999</v>
      </c>
      <c r="X171" s="32">
        <v>8.1213999999999995</v>
      </c>
      <c r="Y171" s="32">
        <v>1130.4000000000001</v>
      </c>
      <c r="Z171" s="32">
        <v>0.81220000000000003</v>
      </c>
      <c r="AA171" s="32">
        <v>1.7958000000000001</v>
      </c>
      <c r="AB171" s="32">
        <v>4.2961999999999998</v>
      </c>
    </row>
    <row r="172" spans="1:28" ht="15" customHeight="1" x14ac:dyDescent="0.2">
      <c r="A172" s="33">
        <v>41136</v>
      </c>
      <c r="B172" s="32">
        <v>4.6100000000000003</v>
      </c>
      <c r="C172" s="32">
        <v>0.95120000000000005</v>
      </c>
      <c r="D172" s="32">
        <v>2.0276999999999998</v>
      </c>
      <c r="E172" s="32">
        <v>483.2</v>
      </c>
      <c r="F172" s="32">
        <v>6.3353000000000002</v>
      </c>
      <c r="G172" s="32">
        <v>1795</v>
      </c>
      <c r="H172" s="32">
        <v>20.343299999999999</v>
      </c>
      <c r="I172" s="32">
        <v>39.738999999999997</v>
      </c>
      <c r="J172" s="32">
        <v>7.7569999999999997</v>
      </c>
      <c r="K172" s="32">
        <v>226.53</v>
      </c>
      <c r="L172" s="32">
        <v>55.679699999999997</v>
      </c>
      <c r="M172" s="32">
        <v>9508</v>
      </c>
      <c r="N172" s="32">
        <v>4.0419</v>
      </c>
      <c r="O172" s="32">
        <v>3.1164999999999998</v>
      </c>
      <c r="P172" s="32">
        <v>13.139699999999999</v>
      </c>
      <c r="Q172" s="32">
        <v>1.2370000000000001</v>
      </c>
      <c r="R172" s="32">
        <v>94.66</v>
      </c>
      <c r="S172" s="32">
        <v>2.6890999999999998</v>
      </c>
      <c r="T172" s="32">
        <v>42.06</v>
      </c>
      <c r="U172" s="32">
        <v>3.3170999999999999</v>
      </c>
      <c r="V172" s="32">
        <v>31.865100000000002</v>
      </c>
      <c r="W172" s="32">
        <v>3.7505999999999999</v>
      </c>
      <c r="X172" s="32">
        <v>8.1544000000000008</v>
      </c>
      <c r="Y172" s="32">
        <v>1130.0999999999999</v>
      </c>
      <c r="Z172" s="32">
        <v>0.81020000000000003</v>
      </c>
      <c r="AA172" s="32">
        <v>1.8032999999999999</v>
      </c>
      <c r="AB172" s="32">
        <v>4.2961999999999998</v>
      </c>
    </row>
    <row r="173" spans="1:28" ht="15" customHeight="1" x14ac:dyDescent="0.2">
      <c r="A173" s="33">
        <v>41137</v>
      </c>
      <c r="B173" s="32">
        <v>4.6104000000000003</v>
      </c>
      <c r="C173" s="32">
        <v>0.95379999999999998</v>
      </c>
      <c r="D173" s="32">
        <v>2.0238999999999998</v>
      </c>
      <c r="E173" s="32">
        <v>483.8</v>
      </c>
      <c r="F173" s="32">
        <v>6.3415999999999997</v>
      </c>
      <c r="G173" s="32">
        <v>1823</v>
      </c>
      <c r="H173" s="32">
        <v>20.352</v>
      </c>
      <c r="I173" s="32">
        <v>39.200000000000003</v>
      </c>
      <c r="J173" s="32">
        <v>7.7572999999999999</v>
      </c>
      <c r="K173" s="32">
        <v>226.91</v>
      </c>
      <c r="L173" s="32">
        <v>55.928899999999999</v>
      </c>
      <c r="M173" s="32">
        <v>9528.1</v>
      </c>
      <c r="N173" s="32">
        <v>4.0517000000000003</v>
      </c>
      <c r="O173" s="32">
        <v>3.1282000000000001</v>
      </c>
      <c r="P173" s="32">
        <v>13.1837</v>
      </c>
      <c r="Q173" s="32">
        <v>1.2414000000000001</v>
      </c>
      <c r="R173" s="32">
        <v>94.6</v>
      </c>
      <c r="S173" s="32">
        <v>2.6823000000000001</v>
      </c>
      <c r="T173" s="32">
        <v>42.25</v>
      </c>
      <c r="U173" s="32">
        <v>3.3271999999999999</v>
      </c>
      <c r="V173" s="32">
        <v>31.8779</v>
      </c>
      <c r="W173" s="32">
        <v>3.7505999999999999</v>
      </c>
      <c r="X173" s="32">
        <v>8.2116000000000007</v>
      </c>
      <c r="Y173" s="32">
        <v>1132.8</v>
      </c>
      <c r="Z173" s="32">
        <v>0.81259999999999999</v>
      </c>
      <c r="AA173" s="32">
        <v>1.7983</v>
      </c>
      <c r="AB173" s="32">
        <v>4.2961999999999998</v>
      </c>
    </row>
    <row r="174" spans="1:28" ht="15" customHeight="1" x14ac:dyDescent="0.2">
      <c r="A174" s="33">
        <v>41138</v>
      </c>
      <c r="B174" s="32">
        <v>4.6130000000000004</v>
      </c>
      <c r="C174" s="32">
        <v>0.95269999999999999</v>
      </c>
      <c r="D174" s="32">
        <v>2.0186000000000002</v>
      </c>
      <c r="E174" s="32">
        <v>485.8</v>
      </c>
      <c r="F174" s="32">
        <v>6.3460999999999999</v>
      </c>
      <c r="G174" s="32">
        <v>1833</v>
      </c>
      <c r="H174" s="32">
        <v>20.149999999999999</v>
      </c>
      <c r="I174" s="32">
        <v>39.25</v>
      </c>
      <c r="J174" s="32">
        <v>7.7571000000000003</v>
      </c>
      <c r="K174" s="32">
        <v>224.94</v>
      </c>
      <c r="L174" s="32">
        <v>55.811300000000003</v>
      </c>
      <c r="M174" s="32">
        <v>9495</v>
      </c>
      <c r="N174" s="32">
        <v>4.0303000000000004</v>
      </c>
      <c r="O174" s="32">
        <v>3.1244000000000001</v>
      </c>
      <c r="P174" s="32">
        <v>13.148</v>
      </c>
      <c r="Q174" s="32">
        <v>1.2376</v>
      </c>
      <c r="R174" s="32">
        <v>94.55</v>
      </c>
      <c r="S174" s="32">
        <v>2.6185</v>
      </c>
      <c r="T174" s="32">
        <v>42.29</v>
      </c>
      <c r="U174" s="32">
        <v>3.2845</v>
      </c>
      <c r="V174" s="32">
        <v>31.883700000000001</v>
      </c>
      <c r="W174" s="32">
        <v>3.7507000000000001</v>
      </c>
      <c r="X174" s="32">
        <v>8.2380999999999993</v>
      </c>
      <c r="Y174" s="32">
        <v>1134.9000000000001</v>
      </c>
      <c r="Z174" s="32">
        <v>0.81259999999999999</v>
      </c>
      <c r="AA174" s="32">
        <v>1.7969999999999999</v>
      </c>
      <c r="AB174" s="32">
        <v>4.2961999999999998</v>
      </c>
    </row>
    <row r="175" spans="1:28" ht="15" customHeight="1" x14ac:dyDescent="0.2">
      <c r="A175" s="33">
        <v>41139</v>
      </c>
      <c r="B175" s="32">
        <v>4.617</v>
      </c>
      <c r="C175" s="32">
        <v>0.95609999999999995</v>
      </c>
      <c r="D175" s="32">
        <v>2.0169000000000001</v>
      </c>
      <c r="E175" s="32">
        <v>485.8</v>
      </c>
      <c r="F175" s="32">
        <v>6.3449</v>
      </c>
      <c r="G175" s="32">
        <v>1823</v>
      </c>
      <c r="H175" s="32">
        <v>20.257999999999999</v>
      </c>
      <c r="I175" s="32">
        <v>39.200000000000003</v>
      </c>
      <c r="J175" s="32">
        <v>7.7569999999999997</v>
      </c>
      <c r="K175" s="32">
        <v>225.45</v>
      </c>
      <c r="L175" s="32">
        <v>55.648800000000001</v>
      </c>
      <c r="M175" s="32">
        <v>9495</v>
      </c>
      <c r="N175" s="32">
        <v>4.0391000000000004</v>
      </c>
      <c r="O175" s="32">
        <v>3.1364999999999998</v>
      </c>
      <c r="P175" s="32">
        <v>13.1869</v>
      </c>
      <c r="Q175" s="32">
        <v>1.2365999999999999</v>
      </c>
      <c r="R175" s="32">
        <v>94.65</v>
      </c>
      <c r="S175" s="32">
        <v>2.617</v>
      </c>
      <c r="T175" s="32">
        <v>42.4</v>
      </c>
      <c r="U175" s="32">
        <v>3.2999000000000001</v>
      </c>
      <c r="V175" s="32">
        <v>32.058999999999997</v>
      </c>
      <c r="W175" s="32">
        <v>3.7509000000000001</v>
      </c>
      <c r="X175" s="32">
        <v>8.2806999999999995</v>
      </c>
      <c r="Y175" s="32">
        <v>1134.5</v>
      </c>
      <c r="Z175" s="32">
        <v>0.81010000000000004</v>
      </c>
      <c r="AA175" s="32">
        <v>1.8036000000000001</v>
      </c>
      <c r="AB175" s="32">
        <v>4.2961999999999998</v>
      </c>
    </row>
    <row r="176" spans="1:28" ht="15" customHeight="1" x14ac:dyDescent="0.2">
      <c r="A176" s="33">
        <v>41140</v>
      </c>
      <c r="B176" s="32">
        <v>4.6205999999999996</v>
      </c>
      <c r="C176" s="32">
        <v>0.96</v>
      </c>
      <c r="D176" s="32">
        <v>2.0169000000000001</v>
      </c>
      <c r="E176" s="32">
        <v>485.8</v>
      </c>
      <c r="F176" s="32">
        <v>6.3482000000000003</v>
      </c>
      <c r="G176" s="32">
        <v>1823</v>
      </c>
      <c r="H176" s="32">
        <v>20.231999999999999</v>
      </c>
      <c r="I176" s="32">
        <v>39.200000000000003</v>
      </c>
      <c r="J176" s="32">
        <v>7.7575000000000003</v>
      </c>
      <c r="K176" s="32">
        <v>225.45</v>
      </c>
      <c r="L176" s="32">
        <v>55.79</v>
      </c>
      <c r="M176" s="32">
        <v>9495</v>
      </c>
      <c r="N176" s="32">
        <v>4.0391000000000004</v>
      </c>
      <c r="O176" s="32">
        <v>3.1345999999999998</v>
      </c>
      <c r="P176" s="32">
        <v>13.1303</v>
      </c>
      <c r="Q176" s="32">
        <v>1.2392000000000001</v>
      </c>
      <c r="R176" s="32">
        <v>95.984999999999999</v>
      </c>
      <c r="S176" s="32">
        <v>2.617</v>
      </c>
      <c r="T176" s="32">
        <v>42.52</v>
      </c>
      <c r="U176" s="32">
        <v>3.3</v>
      </c>
      <c r="V176" s="32">
        <v>32.058999999999997</v>
      </c>
      <c r="W176" s="32">
        <v>3.7551999999999999</v>
      </c>
      <c r="X176" s="32">
        <v>8.3400999999999996</v>
      </c>
      <c r="Y176" s="32">
        <v>1136.9000000000001</v>
      </c>
      <c r="Z176" s="32">
        <v>0.81100000000000005</v>
      </c>
      <c r="AA176" s="32">
        <v>1.8045</v>
      </c>
      <c r="AB176" s="32">
        <v>4.2961999999999998</v>
      </c>
    </row>
    <row r="177" spans="1:28" ht="15" customHeight="1" x14ac:dyDescent="0.2">
      <c r="A177" s="33">
        <v>41141</v>
      </c>
      <c r="B177" s="32">
        <v>4.6211000000000002</v>
      </c>
      <c r="C177" s="32">
        <v>0.95989999999999998</v>
      </c>
      <c r="D177" s="32">
        <v>2.0179999999999998</v>
      </c>
      <c r="E177" s="32">
        <v>485.8</v>
      </c>
      <c r="F177" s="32">
        <v>6.3482000000000003</v>
      </c>
      <c r="G177" s="32">
        <v>1823</v>
      </c>
      <c r="H177" s="32">
        <v>20.283200000000001</v>
      </c>
      <c r="I177" s="32">
        <v>39.200000000000003</v>
      </c>
      <c r="J177" s="32">
        <v>7.7573999999999996</v>
      </c>
      <c r="K177" s="32">
        <v>225.76</v>
      </c>
      <c r="L177" s="32">
        <v>55.79</v>
      </c>
      <c r="M177" s="32">
        <v>9495</v>
      </c>
      <c r="N177" s="32">
        <v>4.0400999999999998</v>
      </c>
      <c r="O177" s="32">
        <v>3.1335000000000002</v>
      </c>
      <c r="P177" s="32">
        <v>13.1313</v>
      </c>
      <c r="Q177" s="32">
        <v>1.2392000000000001</v>
      </c>
      <c r="R177" s="32">
        <v>94.65</v>
      </c>
      <c r="S177" s="32">
        <v>2.617</v>
      </c>
      <c r="T177" s="32">
        <v>42.4</v>
      </c>
      <c r="U177" s="32">
        <v>3.3094999999999999</v>
      </c>
      <c r="V177" s="32">
        <v>32.090499999999999</v>
      </c>
      <c r="W177" s="32">
        <v>3.7551999999999999</v>
      </c>
      <c r="X177" s="32">
        <v>8.3394999999999992</v>
      </c>
      <c r="Y177" s="32">
        <v>1137</v>
      </c>
      <c r="Z177" s="32">
        <v>0.81089999999999995</v>
      </c>
      <c r="AA177" s="32">
        <v>1.8032999999999999</v>
      </c>
      <c r="AB177" s="32">
        <v>4.2961999999999998</v>
      </c>
    </row>
    <row r="178" spans="1:28" ht="15" customHeight="1" x14ac:dyDescent="0.2">
      <c r="A178" s="33">
        <v>41142</v>
      </c>
      <c r="B178" s="32">
        <v>4.6189999999999998</v>
      </c>
      <c r="C178" s="32">
        <v>0.95740000000000003</v>
      </c>
      <c r="D178" s="32">
        <v>2.0177999999999998</v>
      </c>
      <c r="E178" s="32">
        <v>484</v>
      </c>
      <c r="F178" s="32">
        <v>6.3463000000000003</v>
      </c>
      <c r="G178" s="32">
        <v>1823</v>
      </c>
      <c r="H178" s="32">
        <v>20.155999999999999</v>
      </c>
      <c r="I178" s="32">
        <v>39.25</v>
      </c>
      <c r="J178" s="32">
        <v>7.7571000000000003</v>
      </c>
      <c r="K178" s="32">
        <v>224.53</v>
      </c>
      <c r="L178" s="32">
        <v>55.697499999999998</v>
      </c>
      <c r="M178" s="32">
        <v>9515</v>
      </c>
      <c r="N178" s="32">
        <v>4.0372000000000003</v>
      </c>
      <c r="O178" s="32">
        <v>3.1305000000000001</v>
      </c>
      <c r="P178" s="32">
        <v>13.1274</v>
      </c>
      <c r="Q178" s="32">
        <v>1.2367999999999999</v>
      </c>
      <c r="R178" s="32">
        <v>94.55</v>
      </c>
      <c r="S178" s="32">
        <v>2.6185</v>
      </c>
      <c r="T178" s="32">
        <v>42.45</v>
      </c>
      <c r="U178" s="32">
        <v>3.2970999999999999</v>
      </c>
      <c r="V178" s="32">
        <v>32.072000000000003</v>
      </c>
      <c r="W178" s="32">
        <v>3.7509000000000001</v>
      </c>
      <c r="X178" s="32">
        <v>8.3198000000000008</v>
      </c>
      <c r="Y178" s="32">
        <v>1136.9000000000001</v>
      </c>
      <c r="Z178" s="32">
        <v>0.81069999999999998</v>
      </c>
      <c r="AA178" s="32">
        <v>1.8045</v>
      </c>
      <c r="AB178" s="32">
        <v>4.2961999999999998</v>
      </c>
    </row>
    <row r="179" spans="1:28" ht="15" customHeight="1" x14ac:dyDescent="0.2">
      <c r="A179" s="33">
        <v>41143</v>
      </c>
      <c r="B179" s="32">
        <v>4.6219999999999999</v>
      </c>
      <c r="C179" s="32">
        <v>0.95379999999999998</v>
      </c>
      <c r="D179" s="32">
        <v>2.0190000000000001</v>
      </c>
      <c r="E179" s="32">
        <v>484.6</v>
      </c>
      <c r="F179" s="32">
        <v>6.3384999999999998</v>
      </c>
      <c r="G179" s="32">
        <v>1823</v>
      </c>
      <c r="H179" s="32">
        <v>19.896599999999999</v>
      </c>
      <c r="I179" s="32">
        <v>39.299999999999997</v>
      </c>
      <c r="J179" s="32">
        <v>7.7571000000000003</v>
      </c>
      <c r="K179" s="32">
        <v>221.74</v>
      </c>
      <c r="L179" s="32">
        <v>55.450099999999999</v>
      </c>
      <c r="M179" s="32">
        <v>9495</v>
      </c>
      <c r="N179" s="32">
        <v>4.0175000000000001</v>
      </c>
      <c r="O179" s="32">
        <v>3.1360000000000001</v>
      </c>
      <c r="P179" s="32">
        <v>13.108499999999999</v>
      </c>
      <c r="Q179" s="32">
        <v>1.2324999999999999</v>
      </c>
      <c r="R179" s="32">
        <v>94.55</v>
      </c>
      <c r="S179" s="32">
        <v>2.6164999999999998</v>
      </c>
      <c r="T179" s="32">
        <v>42.3</v>
      </c>
      <c r="U179" s="32">
        <v>3.2706</v>
      </c>
      <c r="V179" s="32">
        <v>31.770299999999999</v>
      </c>
      <c r="W179" s="32">
        <v>3.7507000000000001</v>
      </c>
      <c r="X179" s="32">
        <v>8.2852999999999994</v>
      </c>
      <c r="Y179" s="32">
        <v>1132.2</v>
      </c>
      <c r="Z179" s="32">
        <v>0.80600000000000005</v>
      </c>
      <c r="AA179" s="32">
        <v>1.7948999999999999</v>
      </c>
      <c r="AB179" s="32">
        <v>4.2961999999999998</v>
      </c>
    </row>
    <row r="180" spans="1:28" ht="15" customHeight="1" x14ac:dyDescent="0.2">
      <c r="A180" s="33">
        <v>41144</v>
      </c>
      <c r="B180" s="32">
        <v>4.5895000000000001</v>
      </c>
      <c r="C180" s="32">
        <v>0.95650000000000002</v>
      </c>
      <c r="D180" s="32">
        <v>2.0171000000000001</v>
      </c>
      <c r="E180" s="32">
        <v>485.3</v>
      </c>
      <c r="F180" s="32">
        <v>6.3358999999999996</v>
      </c>
      <c r="G180" s="32">
        <v>1820</v>
      </c>
      <c r="H180" s="32">
        <v>19.940000000000001</v>
      </c>
      <c r="I180" s="32">
        <v>39.299999999999997</v>
      </c>
      <c r="J180" s="32">
        <v>7.7569999999999997</v>
      </c>
      <c r="K180" s="32">
        <v>221.14</v>
      </c>
      <c r="L180" s="32">
        <v>55.404400000000003</v>
      </c>
      <c r="M180" s="32">
        <v>9495</v>
      </c>
      <c r="N180" s="32">
        <v>4.0149999999999997</v>
      </c>
      <c r="O180" s="32">
        <v>3.1011000000000002</v>
      </c>
      <c r="P180" s="32">
        <v>13.1701</v>
      </c>
      <c r="Q180" s="32">
        <v>1.2351000000000001</v>
      </c>
      <c r="R180" s="32">
        <v>95.185000000000002</v>
      </c>
      <c r="S180" s="32">
        <v>2.6145</v>
      </c>
      <c r="T180" s="32">
        <v>42.28</v>
      </c>
      <c r="U180" s="32">
        <v>3.2528000000000001</v>
      </c>
      <c r="V180" s="32">
        <v>31.797799999999999</v>
      </c>
      <c r="W180" s="32">
        <v>3.7507999999999999</v>
      </c>
      <c r="X180" s="32">
        <v>8.2878000000000007</v>
      </c>
      <c r="Y180" s="32">
        <v>1129.5</v>
      </c>
      <c r="Z180" s="32">
        <v>0.80189999999999995</v>
      </c>
      <c r="AA180" s="32">
        <v>1.7958000000000001</v>
      </c>
      <c r="AB180" s="32">
        <v>4.2961999999999998</v>
      </c>
    </row>
    <row r="181" spans="1:28" ht="15" customHeight="1" x14ac:dyDescent="0.2">
      <c r="A181" s="33">
        <v>41145</v>
      </c>
      <c r="B181" s="32">
        <v>4.6184000000000003</v>
      </c>
      <c r="C181" s="32">
        <v>0.95350000000000001</v>
      </c>
      <c r="D181" s="32">
        <v>2.0257999999999998</v>
      </c>
      <c r="E181" s="32">
        <v>482</v>
      </c>
      <c r="F181" s="32">
        <v>6.3319000000000001</v>
      </c>
      <c r="G181" s="32">
        <v>1815</v>
      </c>
      <c r="H181" s="32">
        <v>19.832000000000001</v>
      </c>
      <c r="I181" s="32">
        <v>39.25</v>
      </c>
      <c r="J181" s="32">
        <v>7.7564000000000002</v>
      </c>
      <c r="K181" s="32">
        <v>221.24</v>
      </c>
      <c r="L181" s="32">
        <v>55.1599</v>
      </c>
      <c r="M181" s="32">
        <v>9523.1</v>
      </c>
      <c r="N181" s="32">
        <v>4.0171999999999999</v>
      </c>
      <c r="O181" s="32">
        <v>3.0958999999999999</v>
      </c>
      <c r="P181" s="32">
        <v>13.116199999999999</v>
      </c>
      <c r="Q181" s="32">
        <v>1.226</v>
      </c>
      <c r="R181" s="32">
        <v>94.85</v>
      </c>
      <c r="S181" s="32">
        <v>2.6175000000000002</v>
      </c>
      <c r="T181" s="32">
        <v>42.19</v>
      </c>
      <c r="U181" s="32">
        <v>3.2633999999999999</v>
      </c>
      <c r="V181" s="32">
        <v>31.790800000000001</v>
      </c>
      <c r="W181" s="32">
        <v>3.7507999999999999</v>
      </c>
      <c r="X181" s="32">
        <v>8.2678999999999991</v>
      </c>
      <c r="Y181" s="32">
        <v>1133</v>
      </c>
      <c r="Z181" s="32">
        <v>0.79679999999999995</v>
      </c>
      <c r="AA181" s="32">
        <v>1.7952999999999999</v>
      </c>
      <c r="AB181" s="32">
        <v>4.2961999999999998</v>
      </c>
    </row>
    <row r="182" spans="1:28" ht="15" customHeight="1" x14ac:dyDescent="0.2">
      <c r="A182" s="33">
        <v>41146</v>
      </c>
      <c r="B182" s="32">
        <v>4.6266999999999996</v>
      </c>
      <c r="C182" s="32">
        <v>0.96030000000000004</v>
      </c>
      <c r="D182" s="32">
        <v>2.0251999999999999</v>
      </c>
      <c r="E182" s="32">
        <v>482.7</v>
      </c>
      <c r="F182" s="32">
        <v>6.3334000000000001</v>
      </c>
      <c r="G182" s="32">
        <v>1823</v>
      </c>
      <c r="H182" s="32">
        <v>19.868600000000001</v>
      </c>
      <c r="I182" s="32">
        <v>39.645000000000003</v>
      </c>
      <c r="J182" s="32">
        <v>7.7567000000000004</v>
      </c>
      <c r="K182" s="32">
        <v>221.982</v>
      </c>
      <c r="L182" s="32">
        <v>55.340600000000002</v>
      </c>
      <c r="M182" s="32">
        <v>9532.89</v>
      </c>
      <c r="N182" s="32">
        <v>4.0320999999999998</v>
      </c>
      <c r="O182" s="32">
        <v>3.1032000000000002</v>
      </c>
      <c r="P182" s="32">
        <v>13.197800000000001</v>
      </c>
      <c r="Q182" s="32">
        <v>1.2323</v>
      </c>
      <c r="R182" s="32">
        <v>96.198999999999998</v>
      </c>
      <c r="S182" s="32">
        <v>2.6795</v>
      </c>
      <c r="T182" s="32">
        <v>42.360300000000002</v>
      </c>
      <c r="U182" s="32">
        <v>3.2660999999999998</v>
      </c>
      <c r="V182" s="32">
        <v>31.831600000000002</v>
      </c>
      <c r="W182" s="32">
        <v>3.7509000000000001</v>
      </c>
      <c r="X182" s="32">
        <v>8.3701000000000008</v>
      </c>
      <c r="Y182" s="32">
        <v>1135.8499999999999</v>
      </c>
      <c r="Z182" s="32">
        <v>0.79759999999999998</v>
      </c>
      <c r="AA182" s="32">
        <v>1.7984</v>
      </c>
      <c r="AB182" s="32">
        <v>4.2996999999999996</v>
      </c>
    </row>
    <row r="183" spans="1:28" ht="15" customHeight="1" x14ac:dyDescent="0.2">
      <c r="A183" s="33">
        <v>41147</v>
      </c>
      <c r="B183" s="32">
        <v>4.6504000000000003</v>
      </c>
      <c r="C183" s="32">
        <v>0.96140000000000003</v>
      </c>
      <c r="D183" s="32">
        <v>2.0396000000000001</v>
      </c>
      <c r="E183" s="32">
        <v>482.7</v>
      </c>
      <c r="F183" s="32">
        <v>6.3384999999999998</v>
      </c>
      <c r="G183" s="32">
        <v>1823</v>
      </c>
      <c r="H183" s="32">
        <v>19.9114</v>
      </c>
      <c r="I183" s="32">
        <v>39.660899999999998</v>
      </c>
      <c r="J183" s="32">
        <v>7.7572999999999999</v>
      </c>
      <c r="K183" s="32">
        <v>222.63300000000001</v>
      </c>
      <c r="L183" s="32">
        <v>55.514000000000003</v>
      </c>
      <c r="M183" s="32">
        <v>9532.89</v>
      </c>
      <c r="N183" s="32">
        <v>4.0312000000000001</v>
      </c>
      <c r="O183" s="32">
        <v>3.1272000000000002</v>
      </c>
      <c r="P183" s="32">
        <v>13.1797</v>
      </c>
      <c r="Q183" s="32">
        <v>1.2335</v>
      </c>
      <c r="R183" s="32">
        <v>96.246300000000005</v>
      </c>
      <c r="S183" s="32">
        <v>2.6808000000000001</v>
      </c>
      <c r="T183" s="32">
        <v>42.3444</v>
      </c>
      <c r="U183" s="32">
        <v>3.2953000000000001</v>
      </c>
      <c r="V183" s="32">
        <v>31.785299999999999</v>
      </c>
      <c r="W183" s="32">
        <v>3.7551000000000001</v>
      </c>
      <c r="X183" s="32">
        <v>8.4046000000000003</v>
      </c>
      <c r="Y183" s="32">
        <v>1144.95</v>
      </c>
      <c r="Z183" s="32">
        <v>0.7994</v>
      </c>
      <c r="AA183" s="32">
        <v>1.8005</v>
      </c>
      <c r="AB183" s="32">
        <v>4.2996999999999996</v>
      </c>
    </row>
    <row r="184" spans="1:28" ht="15" customHeight="1" x14ac:dyDescent="0.2">
      <c r="A184" s="33">
        <v>41148</v>
      </c>
      <c r="B184" s="32">
        <v>4.6837</v>
      </c>
      <c r="C184" s="32">
        <v>0.96130000000000004</v>
      </c>
      <c r="D184" s="32">
        <v>2.0295000000000001</v>
      </c>
      <c r="E184" s="32">
        <v>482.7</v>
      </c>
      <c r="F184" s="32">
        <v>6.3384999999999998</v>
      </c>
      <c r="G184" s="32">
        <v>1823</v>
      </c>
      <c r="H184" s="32">
        <v>19.910699999999999</v>
      </c>
      <c r="I184" s="32">
        <v>39.659999999999997</v>
      </c>
      <c r="J184" s="32">
        <v>7.7572999999999999</v>
      </c>
      <c r="K184" s="32">
        <v>222.54</v>
      </c>
      <c r="L184" s="32">
        <v>55.514000000000003</v>
      </c>
      <c r="M184" s="32">
        <v>9532.89</v>
      </c>
      <c r="N184" s="32">
        <v>4.0290999999999997</v>
      </c>
      <c r="O184" s="32">
        <v>3.1663999999999999</v>
      </c>
      <c r="P184" s="32">
        <v>13.1814</v>
      </c>
      <c r="Q184" s="32">
        <v>1.2335</v>
      </c>
      <c r="R184" s="32">
        <v>96.245999999999995</v>
      </c>
      <c r="S184" s="32">
        <v>2.6808000000000001</v>
      </c>
      <c r="T184" s="32">
        <v>42.345999999999997</v>
      </c>
      <c r="U184" s="32">
        <v>3.3332000000000002</v>
      </c>
      <c r="V184" s="32">
        <v>31.831499999999998</v>
      </c>
      <c r="W184" s="32">
        <v>3.7551000000000001</v>
      </c>
      <c r="X184" s="32">
        <v>8.4034999999999993</v>
      </c>
      <c r="Y184" s="32">
        <v>1159.42</v>
      </c>
      <c r="Z184" s="32">
        <v>0.7994</v>
      </c>
      <c r="AA184" s="32">
        <v>1.8005</v>
      </c>
      <c r="AB184" s="32">
        <v>4.2996999999999996</v>
      </c>
    </row>
    <row r="185" spans="1:28" ht="15" customHeight="1" x14ac:dyDescent="0.2">
      <c r="A185" s="33">
        <v>41149</v>
      </c>
      <c r="B185" s="32">
        <v>4.6436999999999999</v>
      </c>
      <c r="C185" s="32">
        <v>0.96230000000000004</v>
      </c>
      <c r="D185" s="32">
        <v>2.0306000000000002</v>
      </c>
      <c r="E185" s="32">
        <v>481.7</v>
      </c>
      <c r="F185" s="32">
        <v>6.3391000000000002</v>
      </c>
      <c r="G185" s="32">
        <v>1823</v>
      </c>
      <c r="H185" s="32">
        <v>19.8796</v>
      </c>
      <c r="I185" s="32">
        <v>39.684600000000003</v>
      </c>
      <c r="J185" s="32">
        <v>7.7563000000000004</v>
      </c>
      <c r="K185" s="32">
        <v>222.358</v>
      </c>
      <c r="L185" s="32">
        <v>55.631</v>
      </c>
      <c r="M185" s="32">
        <v>9541.98</v>
      </c>
      <c r="N185" s="32">
        <v>4.0278</v>
      </c>
      <c r="O185" s="32">
        <v>3.1328</v>
      </c>
      <c r="P185" s="32">
        <v>13.198700000000001</v>
      </c>
      <c r="Q185" s="32">
        <v>1.2343</v>
      </c>
      <c r="R185" s="32">
        <v>96.181399999999996</v>
      </c>
      <c r="S185" s="32">
        <v>2.6800999999999999</v>
      </c>
      <c r="T185" s="32">
        <v>42.354300000000002</v>
      </c>
      <c r="U185" s="32">
        <v>3.2683</v>
      </c>
      <c r="V185" s="32">
        <v>31.8673</v>
      </c>
      <c r="W185" s="32">
        <v>3.7509000000000001</v>
      </c>
      <c r="X185" s="32">
        <v>8.4114000000000004</v>
      </c>
      <c r="Y185" s="32">
        <v>1145.08</v>
      </c>
      <c r="Z185" s="32">
        <v>0.79920000000000002</v>
      </c>
      <c r="AA185" s="32">
        <v>1.8003</v>
      </c>
      <c r="AB185" s="32">
        <v>4.2996999999999996</v>
      </c>
    </row>
    <row r="186" spans="1:28" ht="15" customHeight="1" x14ac:dyDescent="0.2">
      <c r="A186" s="33">
        <v>41150</v>
      </c>
      <c r="B186" s="32">
        <v>4.6246</v>
      </c>
      <c r="C186" s="32">
        <v>0.96440000000000003</v>
      </c>
      <c r="D186" s="32">
        <v>2.0407000000000002</v>
      </c>
      <c r="E186" s="32">
        <v>482</v>
      </c>
      <c r="F186" s="32">
        <v>6.3411999999999997</v>
      </c>
      <c r="G186" s="32">
        <v>1823</v>
      </c>
      <c r="H186" s="32">
        <v>19.817799999999998</v>
      </c>
      <c r="I186" s="32">
        <v>39.781599999999997</v>
      </c>
      <c r="J186" s="32">
        <v>7.7561999999999998</v>
      </c>
      <c r="K186" s="32">
        <v>223.27099999999999</v>
      </c>
      <c r="L186" s="32">
        <v>55.738500000000002</v>
      </c>
      <c r="M186" s="32">
        <v>9560.23</v>
      </c>
      <c r="N186" s="32">
        <v>4.0217000000000001</v>
      </c>
      <c r="O186" s="32">
        <v>3.1211000000000002</v>
      </c>
      <c r="P186" s="32">
        <v>13.2027</v>
      </c>
      <c r="Q186" s="32">
        <v>1.2397</v>
      </c>
      <c r="R186" s="32">
        <v>96.241799999999998</v>
      </c>
      <c r="S186" s="32">
        <v>2.6819999999999999</v>
      </c>
      <c r="T186" s="32">
        <v>42.424500000000002</v>
      </c>
      <c r="U186" s="32">
        <v>3.2736000000000001</v>
      </c>
      <c r="V186" s="32">
        <v>31.9954</v>
      </c>
      <c r="W186" s="32">
        <v>3.7507999999999999</v>
      </c>
      <c r="X186" s="32">
        <v>8.4267000000000003</v>
      </c>
      <c r="Y186" s="32">
        <v>1137.1400000000001</v>
      </c>
      <c r="Z186" s="32">
        <v>0.7984</v>
      </c>
      <c r="AA186" s="32">
        <v>1.8046</v>
      </c>
      <c r="AB186" s="32">
        <v>4.2996999999999996</v>
      </c>
    </row>
    <row r="187" spans="1:28" ht="15" customHeight="1" x14ac:dyDescent="0.2">
      <c r="A187" s="33">
        <v>41151</v>
      </c>
      <c r="B187" s="32">
        <v>4.6341000000000001</v>
      </c>
      <c r="C187" s="32">
        <v>0.9647</v>
      </c>
      <c r="D187" s="32">
        <v>2.0493000000000001</v>
      </c>
      <c r="E187" s="32">
        <v>482</v>
      </c>
      <c r="F187" s="32">
        <v>6.34</v>
      </c>
      <c r="G187" s="32">
        <v>1823</v>
      </c>
      <c r="H187" s="32">
        <v>19.762</v>
      </c>
      <c r="I187" s="32">
        <v>39.643099999999997</v>
      </c>
      <c r="J187" s="32">
        <v>7.7561</v>
      </c>
      <c r="K187" s="32">
        <v>225.274</v>
      </c>
      <c r="L187" s="32">
        <v>55.681800000000003</v>
      </c>
      <c r="M187" s="32">
        <v>9578.5400000000009</v>
      </c>
      <c r="N187" s="32">
        <v>4.0308999999999999</v>
      </c>
      <c r="O187" s="32">
        <v>3.1244999999999998</v>
      </c>
      <c r="P187" s="32">
        <v>13.2438</v>
      </c>
      <c r="Q187" s="32">
        <v>1.2447999999999999</v>
      </c>
      <c r="R187" s="32">
        <v>95.9739</v>
      </c>
      <c r="S187" s="32">
        <v>2.6728000000000001</v>
      </c>
      <c r="T187" s="32">
        <v>42.469299999999997</v>
      </c>
      <c r="U187" s="32">
        <v>3.3001</v>
      </c>
      <c r="V187" s="32">
        <v>32.130299999999998</v>
      </c>
      <c r="W187" s="32">
        <v>3.7507000000000001</v>
      </c>
      <c r="X187" s="32">
        <v>8.4178999999999995</v>
      </c>
      <c r="Y187" s="32">
        <v>1135.8499999999999</v>
      </c>
      <c r="Z187" s="32">
        <v>0.79690000000000005</v>
      </c>
      <c r="AA187" s="32">
        <v>1.8150999999999999</v>
      </c>
      <c r="AB187" s="32">
        <v>4.2996999999999996</v>
      </c>
    </row>
    <row r="188" spans="1:28" ht="15" customHeight="1" x14ac:dyDescent="0.2">
      <c r="A188" s="33">
        <v>41152</v>
      </c>
      <c r="B188" s="32">
        <v>4.6326000000000001</v>
      </c>
      <c r="C188" s="32">
        <v>0.96870000000000001</v>
      </c>
      <c r="D188" s="32">
        <v>2.0529000000000002</v>
      </c>
      <c r="E188" s="32">
        <v>481.2</v>
      </c>
      <c r="F188" s="32">
        <v>6.3404999999999996</v>
      </c>
      <c r="G188" s="32">
        <v>1823</v>
      </c>
      <c r="H188" s="32">
        <v>19.849900000000002</v>
      </c>
      <c r="I188" s="32">
        <v>39.680399999999999</v>
      </c>
      <c r="J188" s="32">
        <v>7.7563000000000004</v>
      </c>
      <c r="K188" s="32">
        <v>227.029</v>
      </c>
      <c r="L188" s="32">
        <v>55.666400000000003</v>
      </c>
      <c r="M188" s="32">
        <v>9578.5400000000009</v>
      </c>
      <c r="N188" s="32">
        <v>4.0389999999999997</v>
      </c>
      <c r="O188" s="32">
        <v>3.1291000000000002</v>
      </c>
      <c r="P188" s="32">
        <v>13.3567</v>
      </c>
      <c r="Q188" s="32">
        <v>1.2493000000000001</v>
      </c>
      <c r="R188" s="32">
        <v>96.057500000000005</v>
      </c>
      <c r="S188" s="32">
        <v>2.6774</v>
      </c>
      <c r="T188" s="32">
        <v>42.418799999999997</v>
      </c>
      <c r="U188" s="32">
        <v>3.3428</v>
      </c>
      <c r="V188" s="32">
        <v>32.371200000000002</v>
      </c>
      <c r="W188" s="32">
        <v>3.7505999999999999</v>
      </c>
      <c r="X188" s="32">
        <v>8.4466000000000001</v>
      </c>
      <c r="Y188" s="32">
        <v>1135.8499999999999</v>
      </c>
      <c r="Z188" s="32">
        <v>0.79800000000000004</v>
      </c>
      <c r="AA188" s="32">
        <v>1.8252999999999999</v>
      </c>
      <c r="AB188" s="32">
        <v>4.2996999999999996</v>
      </c>
    </row>
    <row r="189" spans="1:28" ht="15" customHeight="1" x14ac:dyDescent="0.2">
      <c r="A189" s="33">
        <v>41153</v>
      </c>
      <c r="B189" s="32">
        <v>4.6345000000000001</v>
      </c>
      <c r="C189" s="32">
        <v>0.9698</v>
      </c>
      <c r="D189" s="32">
        <v>2.0467</v>
      </c>
      <c r="E189" s="32">
        <v>481.5</v>
      </c>
      <c r="F189" s="32">
        <v>6.3398000000000003</v>
      </c>
      <c r="G189" s="32">
        <v>1823</v>
      </c>
      <c r="H189" s="32">
        <v>19.826599999999999</v>
      </c>
      <c r="I189" s="32">
        <v>39.69</v>
      </c>
      <c r="J189" s="32">
        <v>7.7561999999999998</v>
      </c>
      <c r="K189" s="32">
        <v>226.71100000000001</v>
      </c>
      <c r="L189" s="32">
        <v>55.611199999999997</v>
      </c>
      <c r="M189" s="32">
        <v>9569.3799999999992</v>
      </c>
      <c r="N189" s="32">
        <v>4.0320999999999998</v>
      </c>
      <c r="O189" s="32">
        <v>3.1276999999999999</v>
      </c>
      <c r="P189" s="32">
        <v>13.3225</v>
      </c>
      <c r="Q189" s="32">
        <v>1.2488999999999999</v>
      </c>
      <c r="R189" s="32">
        <v>95.974400000000003</v>
      </c>
      <c r="S189" s="32">
        <v>2.6778</v>
      </c>
      <c r="T189" s="32">
        <v>42.282899999999998</v>
      </c>
      <c r="U189" s="32">
        <v>3.3386999999999998</v>
      </c>
      <c r="V189" s="32">
        <v>32.466099999999997</v>
      </c>
      <c r="W189" s="32">
        <v>3.7507999999999999</v>
      </c>
      <c r="X189" s="32">
        <v>8.4495000000000005</v>
      </c>
      <c r="Y189" s="32">
        <v>1135.33</v>
      </c>
      <c r="Z189" s="32">
        <v>0.79700000000000004</v>
      </c>
      <c r="AA189" s="32">
        <v>1.8225</v>
      </c>
      <c r="AB189" s="32">
        <v>4.2996999999999996</v>
      </c>
    </row>
    <row r="190" spans="1:28" ht="15" customHeight="1" x14ac:dyDescent="0.2">
      <c r="A190" s="33">
        <v>41154</v>
      </c>
      <c r="B190" s="32">
        <v>4.6475</v>
      </c>
      <c r="C190" s="32">
        <v>0.96889999999999998</v>
      </c>
      <c r="D190" s="32">
        <v>2.0354000000000001</v>
      </c>
      <c r="E190" s="32">
        <v>481.5</v>
      </c>
      <c r="F190" s="32">
        <v>6.3426</v>
      </c>
      <c r="G190" s="32">
        <v>1823</v>
      </c>
      <c r="H190" s="32">
        <v>19.789300000000001</v>
      </c>
      <c r="I190" s="32">
        <v>39.6584</v>
      </c>
      <c r="J190" s="32">
        <v>7.7561999999999998</v>
      </c>
      <c r="K190" s="32">
        <v>226.14</v>
      </c>
      <c r="L190" s="32">
        <v>55.515000000000001</v>
      </c>
      <c r="M190" s="32">
        <v>9560.23</v>
      </c>
      <c r="N190" s="32">
        <v>4.0316000000000001</v>
      </c>
      <c r="O190" s="32">
        <v>3.1351</v>
      </c>
      <c r="P190" s="32">
        <v>13.198399999999999</v>
      </c>
      <c r="Q190" s="32">
        <v>1.2454000000000001</v>
      </c>
      <c r="R190" s="32">
        <v>95.950999999999993</v>
      </c>
      <c r="S190" s="32">
        <v>2.6766000000000001</v>
      </c>
      <c r="T190" s="32">
        <v>42.239400000000003</v>
      </c>
      <c r="U190" s="32">
        <v>3.3268</v>
      </c>
      <c r="V190" s="32">
        <v>32.652900000000002</v>
      </c>
      <c r="W190" s="32">
        <v>3.7551000000000001</v>
      </c>
      <c r="X190" s="32">
        <v>8.4033999999999995</v>
      </c>
      <c r="Y190" s="32">
        <v>1137.6600000000001</v>
      </c>
      <c r="Z190" s="32">
        <v>0.79530000000000001</v>
      </c>
      <c r="AA190" s="32">
        <v>1.8198000000000001</v>
      </c>
      <c r="AB190" s="32">
        <v>4.2996999999999996</v>
      </c>
    </row>
    <row r="191" spans="1:28" ht="15" customHeight="1" x14ac:dyDescent="0.2">
      <c r="A191" s="33">
        <v>41155</v>
      </c>
      <c r="B191" s="32">
        <v>4.6406999999999998</v>
      </c>
      <c r="C191" s="32">
        <v>0.96919999999999995</v>
      </c>
      <c r="D191" s="32">
        <v>2.0352999999999999</v>
      </c>
      <c r="E191" s="32">
        <v>481.5</v>
      </c>
      <c r="F191" s="32">
        <v>6.3426</v>
      </c>
      <c r="G191" s="32">
        <v>1823</v>
      </c>
      <c r="H191" s="32">
        <v>19.792000000000002</v>
      </c>
      <c r="I191" s="32">
        <v>39.661000000000001</v>
      </c>
      <c r="J191" s="32">
        <v>7.7561999999999998</v>
      </c>
      <c r="K191" s="32">
        <v>226.178</v>
      </c>
      <c r="L191" s="32">
        <v>55.515000000000001</v>
      </c>
      <c r="M191" s="32">
        <v>9560.23</v>
      </c>
      <c r="N191" s="32">
        <v>4.0297000000000001</v>
      </c>
      <c r="O191" s="32">
        <v>3.1271</v>
      </c>
      <c r="P191" s="32">
        <v>13.200200000000001</v>
      </c>
      <c r="Q191" s="32">
        <v>1.2457</v>
      </c>
      <c r="R191" s="32">
        <v>95.956999999999994</v>
      </c>
      <c r="S191" s="32">
        <v>2.6768000000000001</v>
      </c>
      <c r="T191" s="32">
        <v>42.23</v>
      </c>
      <c r="U191" s="32">
        <v>3.3727</v>
      </c>
      <c r="V191" s="32">
        <v>33.159999999999997</v>
      </c>
      <c r="W191" s="32">
        <v>3.7551000000000001</v>
      </c>
      <c r="X191" s="32">
        <v>8.4050999999999991</v>
      </c>
      <c r="Y191" s="32">
        <v>1134.56</v>
      </c>
      <c r="Z191" s="32">
        <v>0.7954</v>
      </c>
      <c r="AA191" s="32">
        <v>1.8206</v>
      </c>
      <c r="AB191" s="32">
        <v>4.2996999999999996</v>
      </c>
    </row>
    <row r="192" spans="1:28" ht="15" customHeight="1" x14ac:dyDescent="0.2">
      <c r="A192" s="33">
        <v>41156</v>
      </c>
      <c r="B192" s="32">
        <v>4.6398000000000001</v>
      </c>
      <c r="C192" s="32">
        <v>0.97499999999999998</v>
      </c>
      <c r="D192" s="32">
        <v>2.0347</v>
      </c>
      <c r="E192" s="32">
        <v>482.55</v>
      </c>
      <c r="F192" s="32">
        <v>6.3414999999999999</v>
      </c>
      <c r="G192" s="32">
        <v>1823</v>
      </c>
      <c r="H192" s="32">
        <v>19.794699999999999</v>
      </c>
      <c r="I192" s="32">
        <v>39.651800000000001</v>
      </c>
      <c r="J192" s="32">
        <v>7.7567000000000004</v>
      </c>
      <c r="K192" s="32">
        <v>226.53899999999999</v>
      </c>
      <c r="L192" s="32">
        <v>55.458799999999997</v>
      </c>
      <c r="M192" s="32">
        <v>9569.3799999999992</v>
      </c>
      <c r="N192" s="32">
        <v>4.0243000000000002</v>
      </c>
      <c r="O192" s="32">
        <v>3.1198000000000001</v>
      </c>
      <c r="P192" s="32">
        <v>13.2119</v>
      </c>
      <c r="Q192" s="32">
        <v>1.2517</v>
      </c>
      <c r="R192" s="32">
        <v>95.951599999999999</v>
      </c>
      <c r="S192" s="32">
        <v>2.6766000000000001</v>
      </c>
      <c r="T192" s="32">
        <v>42.133000000000003</v>
      </c>
      <c r="U192" s="32">
        <v>3.3287</v>
      </c>
      <c r="V192" s="32">
        <v>32.376800000000003</v>
      </c>
      <c r="W192" s="32">
        <v>3.7507999999999999</v>
      </c>
      <c r="X192" s="32">
        <v>8.4190000000000005</v>
      </c>
      <c r="Y192" s="32">
        <v>1133.6600000000001</v>
      </c>
      <c r="Z192" s="32">
        <v>0.79500000000000004</v>
      </c>
      <c r="AA192" s="32">
        <v>1.8199000000000001</v>
      </c>
      <c r="AB192" s="32">
        <v>4.2996999999999996</v>
      </c>
    </row>
    <row r="193" spans="1:28" ht="15" customHeight="1" x14ac:dyDescent="0.2">
      <c r="A193" s="33">
        <v>41157</v>
      </c>
      <c r="B193" s="32">
        <v>4.6448</v>
      </c>
      <c r="C193" s="32">
        <v>0.97629999999999995</v>
      </c>
      <c r="D193" s="32">
        <v>2.0392000000000001</v>
      </c>
      <c r="E193" s="32">
        <v>482</v>
      </c>
      <c r="F193" s="32">
        <v>6.3433000000000002</v>
      </c>
      <c r="G193" s="32">
        <v>1823</v>
      </c>
      <c r="H193" s="32">
        <v>19.774699999999999</v>
      </c>
      <c r="I193" s="32">
        <v>39.601799999999997</v>
      </c>
      <c r="J193" s="32">
        <v>7.7565999999999997</v>
      </c>
      <c r="K193" s="32">
        <v>226.13499999999999</v>
      </c>
      <c r="L193" s="32">
        <v>55.603299999999997</v>
      </c>
      <c r="M193" s="32">
        <v>9596.93</v>
      </c>
      <c r="N193" s="32">
        <v>4.0232999999999999</v>
      </c>
      <c r="O193" s="32">
        <v>3.1101000000000001</v>
      </c>
      <c r="P193" s="32">
        <v>13.1884</v>
      </c>
      <c r="Q193" s="32">
        <v>1.2563</v>
      </c>
      <c r="R193" s="32">
        <v>95.906899999999993</v>
      </c>
      <c r="S193" s="32">
        <v>2.673</v>
      </c>
      <c r="T193" s="32">
        <v>42.029800000000002</v>
      </c>
      <c r="U193" s="32">
        <v>3.3319000000000001</v>
      </c>
      <c r="V193" s="32">
        <v>32.278599999999997</v>
      </c>
      <c r="W193" s="32">
        <v>3.7507000000000001</v>
      </c>
      <c r="X193" s="32">
        <v>8.3956</v>
      </c>
      <c r="Y193" s="32">
        <v>1134.04</v>
      </c>
      <c r="Z193" s="32">
        <v>0.79430000000000001</v>
      </c>
      <c r="AA193" s="32">
        <v>1.819</v>
      </c>
      <c r="AB193" s="32">
        <v>4.2996999999999996</v>
      </c>
    </row>
    <row r="194" spans="1:28" ht="15" customHeight="1" x14ac:dyDescent="0.2">
      <c r="A194" s="33">
        <v>41158</v>
      </c>
      <c r="B194" s="32">
        <v>4.6524999999999999</v>
      </c>
      <c r="C194" s="32">
        <v>0.98070000000000002</v>
      </c>
      <c r="D194" s="32">
        <v>2.0436000000000001</v>
      </c>
      <c r="E194" s="32">
        <v>482.5</v>
      </c>
      <c r="F194" s="32">
        <v>6.3438999999999997</v>
      </c>
      <c r="G194" s="32">
        <v>1823</v>
      </c>
      <c r="H194" s="32">
        <v>19.7773</v>
      </c>
      <c r="I194" s="32">
        <v>39.674500000000002</v>
      </c>
      <c r="J194" s="32">
        <v>7.7568000000000001</v>
      </c>
      <c r="K194" s="32">
        <v>226.822</v>
      </c>
      <c r="L194" s="32">
        <v>55.836599999999997</v>
      </c>
      <c r="M194" s="32">
        <v>9596.93</v>
      </c>
      <c r="N194" s="32">
        <v>4.0288000000000004</v>
      </c>
      <c r="O194" s="32">
        <v>3.1173999999999999</v>
      </c>
      <c r="P194" s="32">
        <v>13.1753</v>
      </c>
      <c r="Q194" s="32">
        <v>1.2594000000000001</v>
      </c>
      <c r="R194" s="32">
        <v>96.093900000000005</v>
      </c>
      <c r="S194" s="32">
        <v>2.6747999999999998</v>
      </c>
      <c r="T194" s="32">
        <v>42.076900000000002</v>
      </c>
      <c r="U194" s="32">
        <v>3.3408000000000002</v>
      </c>
      <c r="V194" s="32">
        <v>32.358899999999998</v>
      </c>
      <c r="W194" s="32">
        <v>3.7507000000000001</v>
      </c>
      <c r="X194" s="32">
        <v>8.4209999999999994</v>
      </c>
      <c r="Y194" s="32">
        <v>1137.01</v>
      </c>
      <c r="Z194" s="32">
        <v>0.79610000000000003</v>
      </c>
      <c r="AA194" s="32">
        <v>1.8213999999999999</v>
      </c>
      <c r="AB194" s="32">
        <v>4.2996999999999996</v>
      </c>
    </row>
    <row r="195" spans="1:28" ht="15" customHeight="1" x14ac:dyDescent="0.2">
      <c r="A195" s="33">
        <v>41159</v>
      </c>
      <c r="B195" s="32">
        <v>4.6563999999999997</v>
      </c>
      <c r="C195" s="32">
        <v>0.97670000000000001</v>
      </c>
      <c r="D195" s="32">
        <v>2.0411000000000001</v>
      </c>
      <c r="E195" s="32">
        <v>476.65</v>
      </c>
      <c r="F195" s="32">
        <v>6.3430999999999997</v>
      </c>
      <c r="G195" s="32">
        <v>1823</v>
      </c>
      <c r="H195" s="32">
        <v>19.595400000000001</v>
      </c>
      <c r="I195" s="32">
        <v>39.588000000000001</v>
      </c>
      <c r="J195" s="32">
        <v>7.7568999999999999</v>
      </c>
      <c r="K195" s="32">
        <v>226.499</v>
      </c>
      <c r="L195" s="32">
        <v>55.770800000000001</v>
      </c>
      <c r="M195" s="32">
        <v>9606.15</v>
      </c>
      <c r="N195" s="32">
        <v>4.0259999999999998</v>
      </c>
      <c r="O195" s="32">
        <v>3.1196999999999999</v>
      </c>
      <c r="P195" s="32">
        <v>13.097300000000001</v>
      </c>
      <c r="Q195" s="32">
        <v>1.2535000000000001</v>
      </c>
      <c r="R195" s="32">
        <v>95.7012</v>
      </c>
      <c r="S195" s="32">
        <v>2.6661000000000001</v>
      </c>
      <c r="T195" s="32">
        <v>41.9696</v>
      </c>
      <c r="U195" s="32">
        <v>3.3</v>
      </c>
      <c r="V195" s="32">
        <v>32.190100000000001</v>
      </c>
      <c r="W195" s="32">
        <v>3.7507000000000001</v>
      </c>
      <c r="X195" s="32">
        <v>8.3664000000000005</v>
      </c>
      <c r="Y195" s="32">
        <v>1135.8499999999999</v>
      </c>
      <c r="Z195" s="32">
        <v>0.79279999999999995</v>
      </c>
      <c r="AA195" s="32">
        <v>1.8161</v>
      </c>
      <c r="AB195" s="32">
        <v>4.2996999999999996</v>
      </c>
    </row>
    <row r="196" spans="1:28" ht="15" customHeight="1" x14ac:dyDescent="0.2">
      <c r="A196" s="33">
        <v>41160</v>
      </c>
      <c r="B196" s="32">
        <v>4.6603000000000003</v>
      </c>
      <c r="C196" s="32">
        <v>0.96730000000000005</v>
      </c>
      <c r="D196" s="32">
        <v>2.0312999999999999</v>
      </c>
      <c r="E196" s="32">
        <v>476.5</v>
      </c>
      <c r="F196" s="32">
        <v>6.3394000000000004</v>
      </c>
      <c r="G196" s="32">
        <v>1823</v>
      </c>
      <c r="H196" s="32">
        <v>19.378900000000002</v>
      </c>
      <c r="I196" s="32">
        <v>39.637500000000003</v>
      </c>
      <c r="J196" s="32">
        <v>7.7563000000000004</v>
      </c>
      <c r="K196" s="32">
        <v>225.749</v>
      </c>
      <c r="L196" s="32">
        <v>55.371299999999998</v>
      </c>
      <c r="M196" s="32">
        <v>9596.93</v>
      </c>
      <c r="N196" s="32">
        <v>3.9998999999999998</v>
      </c>
      <c r="O196" s="32">
        <v>3.1153</v>
      </c>
      <c r="P196" s="32">
        <v>13.028499999999999</v>
      </c>
      <c r="Q196" s="32">
        <v>1.2417</v>
      </c>
      <c r="R196" s="32">
        <v>95.755399999999995</v>
      </c>
      <c r="S196" s="32">
        <v>2.6701999999999999</v>
      </c>
      <c r="T196" s="32">
        <v>41.771599999999999</v>
      </c>
      <c r="U196" s="32">
        <v>3.2452999999999999</v>
      </c>
      <c r="V196" s="32">
        <v>31.888400000000001</v>
      </c>
      <c r="W196" s="32">
        <v>3.7509000000000001</v>
      </c>
      <c r="X196" s="32">
        <v>8.2505000000000006</v>
      </c>
      <c r="Y196" s="32">
        <v>1132.5</v>
      </c>
      <c r="Z196" s="32">
        <v>0.78749999999999998</v>
      </c>
      <c r="AA196" s="32">
        <v>1.8051999999999999</v>
      </c>
      <c r="AB196" s="32">
        <v>4.2996999999999996</v>
      </c>
    </row>
    <row r="197" spans="1:28" ht="15" customHeight="1" x14ac:dyDescent="0.2">
      <c r="A197" s="33">
        <v>41161</v>
      </c>
      <c r="B197" s="32">
        <v>4.6688999999999998</v>
      </c>
      <c r="C197" s="32">
        <v>0.96319999999999995</v>
      </c>
      <c r="D197" s="32">
        <v>2.0314999999999999</v>
      </c>
      <c r="E197" s="32">
        <v>476.5</v>
      </c>
      <c r="F197" s="32">
        <v>6.3395999999999999</v>
      </c>
      <c r="G197" s="32">
        <v>1823</v>
      </c>
      <c r="H197" s="32">
        <v>19.186699999999998</v>
      </c>
      <c r="I197" s="32">
        <v>39.2699</v>
      </c>
      <c r="J197" s="32">
        <v>7.7564000000000002</v>
      </c>
      <c r="K197" s="32">
        <v>222.47399999999999</v>
      </c>
      <c r="L197" s="32">
        <v>55.289000000000001</v>
      </c>
      <c r="M197" s="32">
        <v>9596.93</v>
      </c>
      <c r="N197" s="32">
        <v>3.9836999999999998</v>
      </c>
      <c r="O197" s="32">
        <v>3.1254</v>
      </c>
      <c r="P197" s="32">
        <v>12.9878</v>
      </c>
      <c r="Q197" s="32">
        <v>1.2317</v>
      </c>
      <c r="R197" s="32">
        <v>94.982399999999998</v>
      </c>
      <c r="S197" s="32">
        <v>2.6476999999999999</v>
      </c>
      <c r="T197" s="32">
        <v>41.650799999999997</v>
      </c>
      <c r="U197" s="32">
        <v>3.1987999999999999</v>
      </c>
      <c r="V197" s="32">
        <v>31.669899999999998</v>
      </c>
      <c r="W197" s="32">
        <v>3.7551999999999999</v>
      </c>
      <c r="X197" s="32">
        <v>8.1798999999999999</v>
      </c>
      <c r="Y197" s="32">
        <v>1135.5899999999999</v>
      </c>
      <c r="Z197" s="32">
        <v>0.78039999999999998</v>
      </c>
      <c r="AA197" s="32">
        <v>1.7981</v>
      </c>
      <c r="AB197" s="32">
        <v>4.2996999999999996</v>
      </c>
    </row>
    <row r="198" spans="1:28" ht="15" customHeight="1" x14ac:dyDescent="0.2">
      <c r="A198" s="33">
        <v>41162</v>
      </c>
      <c r="B198" s="32">
        <v>4.6654999999999998</v>
      </c>
      <c r="C198" s="32">
        <v>0.96330000000000005</v>
      </c>
      <c r="D198" s="32">
        <v>2.0314999999999999</v>
      </c>
      <c r="E198" s="32">
        <v>476.5</v>
      </c>
      <c r="F198" s="32">
        <v>6.3395999999999999</v>
      </c>
      <c r="G198" s="32">
        <v>1823</v>
      </c>
      <c r="H198" s="32">
        <v>19.1875</v>
      </c>
      <c r="I198" s="32">
        <v>39.267000000000003</v>
      </c>
      <c r="J198" s="32">
        <v>7.7564000000000002</v>
      </c>
      <c r="K198" s="32">
        <v>222.47399999999999</v>
      </c>
      <c r="L198" s="32">
        <v>55.289000000000001</v>
      </c>
      <c r="M198" s="32">
        <v>9596.93</v>
      </c>
      <c r="N198" s="32">
        <v>3.9820000000000002</v>
      </c>
      <c r="O198" s="32">
        <v>3.1434000000000002</v>
      </c>
      <c r="P198" s="32">
        <v>12.9901</v>
      </c>
      <c r="Q198" s="32">
        <v>1.2319</v>
      </c>
      <c r="R198" s="32">
        <v>94.962999999999994</v>
      </c>
      <c r="S198" s="32">
        <v>2.6472000000000002</v>
      </c>
      <c r="T198" s="32">
        <v>41.66</v>
      </c>
      <c r="U198" s="32">
        <v>3.1977000000000002</v>
      </c>
      <c r="V198" s="32">
        <v>31.6633</v>
      </c>
      <c r="W198" s="32">
        <v>3.7551999999999999</v>
      </c>
      <c r="X198" s="32">
        <v>8.1838999999999995</v>
      </c>
      <c r="Y198" s="32">
        <v>1142.5999999999999</v>
      </c>
      <c r="Z198" s="32">
        <v>0.78049999999999997</v>
      </c>
      <c r="AA198" s="32">
        <v>1.7988</v>
      </c>
      <c r="AB198" s="32">
        <v>4.2996999999999996</v>
      </c>
    </row>
    <row r="199" spans="1:28" ht="15" customHeight="1" x14ac:dyDescent="0.2">
      <c r="A199" s="33">
        <v>41163</v>
      </c>
      <c r="B199" s="32">
        <v>4.6683000000000003</v>
      </c>
      <c r="C199" s="32">
        <v>0.9657</v>
      </c>
      <c r="D199" s="32">
        <v>2.0297000000000001</v>
      </c>
      <c r="E199" s="32">
        <v>475.8</v>
      </c>
      <c r="F199" s="32">
        <v>6.3391999999999999</v>
      </c>
      <c r="G199" s="32">
        <v>1823</v>
      </c>
      <c r="H199" s="32">
        <v>19.217099999999999</v>
      </c>
      <c r="I199" s="32">
        <v>39.444499999999998</v>
      </c>
      <c r="J199" s="32">
        <v>7.7557</v>
      </c>
      <c r="K199" s="32">
        <v>222.96799999999999</v>
      </c>
      <c r="L199" s="32">
        <v>55.345599999999997</v>
      </c>
      <c r="M199" s="32">
        <v>9615.3799999999992</v>
      </c>
      <c r="N199" s="32">
        <v>3.9761000000000002</v>
      </c>
      <c r="O199" s="32">
        <v>3.1223000000000001</v>
      </c>
      <c r="P199" s="32">
        <v>12.9964</v>
      </c>
      <c r="Q199" s="32">
        <v>1.2338</v>
      </c>
      <c r="R199" s="32">
        <v>95.426199999999994</v>
      </c>
      <c r="S199" s="32">
        <v>2.6598999999999999</v>
      </c>
      <c r="T199" s="32">
        <v>41.699800000000003</v>
      </c>
      <c r="U199" s="32">
        <v>3.2149999999999999</v>
      </c>
      <c r="V199" s="32">
        <v>31.727799999999998</v>
      </c>
      <c r="W199" s="32">
        <v>3.7509000000000001</v>
      </c>
      <c r="X199" s="32">
        <v>8.1896000000000004</v>
      </c>
      <c r="Y199" s="32">
        <v>1135.8499999999999</v>
      </c>
      <c r="Z199" s="32">
        <v>0.78210000000000002</v>
      </c>
      <c r="AA199" s="32">
        <v>1.8008999999999999</v>
      </c>
      <c r="AB199" s="32">
        <v>4.2996999999999996</v>
      </c>
    </row>
    <row r="200" spans="1:28" ht="15" customHeight="1" x14ac:dyDescent="0.2">
      <c r="A200" s="33">
        <v>41164</v>
      </c>
      <c r="B200" s="32">
        <v>4.6646000000000001</v>
      </c>
      <c r="C200" s="32">
        <v>0.96350000000000002</v>
      </c>
      <c r="D200" s="32">
        <v>2.0246</v>
      </c>
      <c r="E200" s="32">
        <v>475.4</v>
      </c>
      <c r="F200" s="32">
        <v>6.3388</v>
      </c>
      <c r="G200" s="32">
        <v>1823</v>
      </c>
      <c r="H200" s="32">
        <v>19.1569</v>
      </c>
      <c r="I200" s="32">
        <v>39.740499999999997</v>
      </c>
      <c r="J200" s="32">
        <v>7.7546999999999997</v>
      </c>
      <c r="K200" s="32">
        <v>222.19800000000001</v>
      </c>
      <c r="L200" s="32">
        <v>55.364199999999997</v>
      </c>
      <c r="M200" s="32">
        <v>9606.15</v>
      </c>
      <c r="N200" s="32">
        <v>3.9643999999999999</v>
      </c>
      <c r="O200" s="32">
        <v>3.0975999999999999</v>
      </c>
      <c r="P200" s="32">
        <v>13.0457</v>
      </c>
      <c r="Q200" s="32">
        <v>1.23</v>
      </c>
      <c r="R200" s="32">
        <v>96.041899999999998</v>
      </c>
      <c r="S200" s="32">
        <v>2.6775000000000002</v>
      </c>
      <c r="T200" s="32">
        <v>41.686799999999998</v>
      </c>
      <c r="U200" s="32">
        <v>3.206</v>
      </c>
      <c r="V200" s="32">
        <v>31.6722</v>
      </c>
      <c r="W200" s="32">
        <v>3.7507999999999999</v>
      </c>
      <c r="X200" s="32">
        <v>8.1900999999999993</v>
      </c>
      <c r="Y200" s="32">
        <v>1129.82</v>
      </c>
      <c r="Z200" s="32">
        <v>0.78110000000000002</v>
      </c>
      <c r="AA200" s="32">
        <v>1.8032999999999999</v>
      </c>
      <c r="AB200" s="32">
        <v>4.2996999999999996</v>
      </c>
    </row>
    <row r="201" spans="1:28" ht="15" customHeight="1" x14ac:dyDescent="0.2">
      <c r="A201" s="33">
        <v>41165</v>
      </c>
      <c r="B201" s="32">
        <v>4.6646000000000001</v>
      </c>
      <c r="C201" s="32">
        <v>0.95589999999999997</v>
      </c>
      <c r="D201" s="32">
        <v>2.0217999999999998</v>
      </c>
      <c r="E201" s="32">
        <v>475.9</v>
      </c>
      <c r="F201" s="32">
        <v>6.3357999999999999</v>
      </c>
      <c r="G201" s="32">
        <v>1823</v>
      </c>
      <c r="H201" s="32">
        <v>18.950600000000001</v>
      </c>
      <c r="I201" s="32">
        <v>39.650300000000001</v>
      </c>
      <c r="J201" s="32">
        <v>7.7548000000000004</v>
      </c>
      <c r="K201" s="32">
        <v>219.65799999999999</v>
      </c>
      <c r="L201" s="32">
        <v>55.234000000000002</v>
      </c>
      <c r="M201" s="32">
        <v>9596.93</v>
      </c>
      <c r="N201" s="32">
        <v>3.9529999999999998</v>
      </c>
      <c r="O201" s="32">
        <v>3.0792000000000002</v>
      </c>
      <c r="P201" s="32">
        <v>13.007300000000001</v>
      </c>
      <c r="Q201" s="32">
        <v>1.2203999999999999</v>
      </c>
      <c r="R201" s="32">
        <v>95.169200000000004</v>
      </c>
      <c r="S201" s="32">
        <v>2.6415999999999999</v>
      </c>
      <c r="T201" s="32">
        <v>41.639400000000002</v>
      </c>
      <c r="U201" s="32">
        <v>3.1739000000000002</v>
      </c>
      <c r="V201" s="32">
        <v>31.496400000000001</v>
      </c>
      <c r="W201" s="32">
        <v>3.7507999999999999</v>
      </c>
      <c r="X201" s="32">
        <v>8.2454999999999998</v>
      </c>
      <c r="Y201" s="32">
        <v>1128.1600000000001</v>
      </c>
      <c r="Z201" s="32">
        <v>0.77639999999999998</v>
      </c>
      <c r="AA201" s="32">
        <v>1.8048</v>
      </c>
      <c r="AB201" s="32">
        <v>4.2999000000000001</v>
      </c>
    </row>
    <row r="202" spans="1:28" ht="15" customHeight="1" x14ac:dyDescent="0.2">
      <c r="A202" s="33">
        <v>41166</v>
      </c>
      <c r="B202" s="32">
        <v>4.6649000000000003</v>
      </c>
      <c r="C202" s="32">
        <v>0.95499999999999996</v>
      </c>
      <c r="D202" s="32">
        <v>2.0285000000000002</v>
      </c>
      <c r="E202" s="32">
        <v>475.9</v>
      </c>
      <c r="F202" s="32">
        <v>6.3379000000000003</v>
      </c>
      <c r="G202" s="32">
        <v>1823</v>
      </c>
      <c r="H202" s="32">
        <v>18.943100000000001</v>
      </c>
      <c r="I202" s="32">
        <v>39.744599999999998</v>
      </c>
      <c r="J202" s="32">
        <v>7.7549999999999999</v>
      </c>
      <c r="K202" s="32">
        <v>219.15199999999999</v>
      </c>
      <c r="L202" s="32">
        <v>55.234699999999997</v>
      </c>
      <c r="M202" s="32">
        <v>9606.15</v>
      </c>
      <c r="N202" s="32">
        <v>3.9569999999999999</v>
      </c>
      <c r="O202" s="32">
        <v>3.0831</v>
      </c>
      <c r="P202" s="32">
        <v>12.99</v>
      </c>
      <c r="Q202" s="32">
        <v>1.2150000000000001</v>
      </c>
      <c r="R202" s="32">
        <v>94.921400000000006</v>
      </c>
      <c r="S202" s="32">
        <v>2.6642000000000001</v>
      </c>
      <c r="T202" s="32">
        <v>41.7958</v>
      </c>
      <c r="U202" s="32">
        <v>3.173</v>
      </c>
      <c r="V202" s="32">
        <v>31.381699999999999</v>
      </c>
      <c r="W202" s="32">
        <v>3.7507000000000001</v>
      </c>
      <c r="X202" s="32">
        <v>8.3460000000000001</v>
      </c>
      <c r="Y202" s="32">
        <v>1129.56</v>
      </c>
      <c r="Z202" s="32">
        <v>0.77390000000000003</v>
      </c>
      <c r="AA202" s="32">
        <v>1.8077000000000001</v>
      </c>
      <c r="AB202" s="32">
        <v>4.3000999999999996</v>
      </c>
    </row>
    <row r="203" spans="1:28" ht="15" customHeight="1" x14ac:dyDescent="0.2">
      <c r="A203" s="33">
        <v>41167</v>
      </c>
      <c r="B203" s="32">
        <v>4.6672000000000002</v>
      </c>
      <c r="C203" s="32">
        <v>0.94599999999999995</v>
      </c>
      <c r="D203" s="32">
        <v>2.0217999999999998</v>
      </c>
      <c r="E203" s="32">
        <v>470.5</v>
      </c>
      <c r="F203" s="32">
        <v>6.3273000000000001</v>
      </c>
      <c r="G203" s="32">
        <v>1815.84</v>
      </c>
      <c r="H203" s="32">
        <v>18.690999999999999</v>
      </c>
      <c r="I203" s="32">
        <v>39.490900000000003</v>
      </c>
      <c r="J203" s="32">
        <v>7.7530999999999999</v>
      </c>
      <c r="K203" s="32">
        <v>215.732</v>
      </c>
      <c r="L203" s="32">
        <v>54.376600000000003</v>
      </c>
      <c r="M203" s="32">
        <v>9560.23</v>
      </c>
      <c r="N203" s="32">
        <v>3.9180999999999999</v>
      </c>
      <c r="O203" s="32">
        <v>3.05</v>
      </c>
      <c r="P203" s="32">
        <v>12.7865</v>
      </c>
      <c r="Q203" s="32">
        <v>1.2015</v>
      </c>
      <c r="R203" s="32">
        <v>95.042299999999997</v>
      </c>
      <c r="S203" s="32">
        <v>2.6391</v>
      </c>
      <c r="T203" s="32">
        <v>41.551299999999998</v>
      </c>
      <c r="U203" s="32">
        <v>3.1149</v>
      </c>
      <c r="V203" s="32">
        <v>30.816500000000001</v>
      </c>
      <c r="W203" s="32">
        <v>3.7509000000000001</v>
      </c>
      <c r="X203" s="32">
        <v>8.24</v>
      </c>
      <c r="Y203" s="32">
        <v>1120.57</v>
      </c>
      <c r="Z203" s="32">
        <v>0.76570000000000005</v>
      </c>
      <c r="AA203" s="32">
        <v>1.7957000000000001</v>
      </c>
      <c r="AB203" s="32">
        <v>4.3</v>
      </c>
    </row>
    <row r="204" spans="1:28" ht="15" customHeight="1" x14ac:dyDescent="0.2">
      <c r="A204" s="33">
        <v>41168</v>
      </c>
      <c r="B204" s="32">
        <v>4.7008000000000001</v>
      </c>
      <c r="C204" s="32">
        <v>0.94830000000000003</v>
      </c>
      <c r="D204" s="32">
        <v>2.0154999999999998</v>
      </c>
      <c r="E204" s="32">
        <v>470.5</v>
      </c>
      <c r="F204" s="32">
        <v>6.3281999999999998</v>
      </c>
      <c r="G204" s="32">
        <v>1789.75</v>
      </c>
      <c r="H204" s="32">
        <v>18.5794</v>
      </c>
      <c r="I204" s="32">
        <v>39.617699999999999</v>
      </c>
      <c r="J204" s="32">
        <v>7.7521000000000004</v>
      </c>
      <c r="K204" s="32">
        <v>214.45400000000001</v>
      </c>
      <c r="L204" s="32">
        <v>53.966999999999999</v>
      </c>
      <c r="M204" s="32">
        <v>9541.98</v>
      </c>
      <c r="N204" s="32">
        <v>3.8992</v>
      </c>
      <c r="O204" s="32">
        <v>3.0514000000000001</v>
      </c>
      <c r="P204" s="32">
        <v>12.7241</v>
      </c>
      <c r="Q204" s="32">
        <v>1.2070000000000001</v>
      </c>
      <c r="R204" s="32">
        <v>95.598500000000001</v>
      </c>
      <c r="S204" s="32">
        <v>2.6516000000000002</v>
      </c>
      <c r="T204" s="32">
        <v>41.502400000000002</v>
      </c>
      <c r="U204" s="32">
        <v>3.0996000000000001</v>
      </c>
      <c r="V204" s="32">
        <v>30.752700000000001</v>
      </c>
      <c r="W204" s="32">
        <v>3.7551999999999999</v>
      </c>
      <c r="X204" s="32">
        <v>8.2138000000000009</v>
      </c>
      <c r="Y204" s="32">
        <v>1122.5899999999999</v>
      </c>
      <c r="Z204" s="32">
        <v>0.76190000000000002</v>
      </c>
      <c r="AA204" s="32">
        <v>1.7979000000000001</v>
      </c>
      <c r="AB204" s="32">
        <v>4.2996999999999996</v>
      </c>
    </row>
    <row r="205" spans="1:28" ht="15" customHeight="1" x14ac:dyDescent="0.2">
      <c r="A205" s="33">
        <v>41169</v>
      </c>
      <c r="B205" s="32">
        <v>4.7106000000000003</v>
      </c>
      <c r="C205" s="32">
        <v>0.94830000000000003</v>
      </c>
      <c r="D205" s="32">
        <v>2.0158</v>
      </c>
      <c r="E205" s="32">
        <v>470.5</v>
      </c>
      <c r="F205" s="32">
        <v>6.3281999999999998</v>
      </c>
      <c r="G205" s="32">
        <v>1789.75</v>
      </c>
      <c r="H205" s="32">
        <v>18.5608</v>
      </c>
      <c r="I205" s="32">
        <v>39.622</v>
      </c>
      <c r="J205" s="32">
        <v>7.7521000000000004</v>
      </c>
      <c r="K205" s="32">
        <v>214.39099999999999</v>
      </c>
      <c r="L205" s="32">
        <v>53.960099999999997</v>
      </c>
      <c r="M205" s="32">
        <v>9661.84</v>
      </c>
      <c r="N205" s="32">
        <v>3.8993000000000002</v>
      </c>
      <c r="O205" s="32">
        <v>3.0398999999999998</v>
      </c>
      <c r="P205" s="32">
        <v>12.7265</v>
      </c>
      <c r="Q205" s="32">
        <v>1.2071000000000001</v>
      </c>
      <c r="R205" s="32">
        <v>95.605000000000004</v>
      </c>
      <c r="S205" s="32">
        <v>2.6522999999999999</v>
      </c>
      <c r="T205" s="32">
        <v>41.494999999999997</v>
      </c>
      <c r="U205" s="32">
        <v>3.1427</v>
      </c>
      <c r="V205" s="32">
        <v>30.523099999999999</v>
      </c>
      <c r="W205" s="32">
        <v>3.7551000000000001</v>
      </c>
      <c r="X205" s="32">
        <v>8.2184000000000008</v>
      </c>
      <c r="Y205" s="32">
        <v>1118.19</v>
      </c>
      <c r="Z205" s="32">
        <v>0.76190000000000002</v>
      </c>
      <c r="AA205" s="32">
        <v>1.7987</v>
      </c>
      <c r="AB205" s="32">
        <v>4.2996999999999996</v>
      </c>
    </row>
    <row r="206" spans="1:28" ht="15" customHeight="1" x14ac:dyDescent="0.2">
      <c r="A206" s="33">
        <v>41170</v>
      </c>
      <c r="B206" s="32">
        <v>4.6875999999999998</v>
      </c>
      <c r="C206" s="32">
        <v>0.95099999999999996</v>
      </c>
      <c r="D206" s="32">
        <v>2.0217000000000001</v>
      </c>
      <c r="E206" s="32">
        <v>471.5</v>
      </c>
      <c r="F206" s="32">
        <v>6.3292000000000002</v>
      </c>
      <c r="G206" s="32">
        <v>1792.14</v>
      </c>
      <c r="H206" s="32">
        <v>18.6586</v>
      </c>
      <c r="I206" s="32">
        <v>39.526000000000003</v>
      </c>
      <c r="J206" s="32">
        <v>7.7522000000000002</v>
      </c>
      <c r="K206" s="32">
        <v>215.542</v>
      </c>
      <c r="L206" s="32">
        <v>53.795299999999997</v>
      </c>
      <c r="M206" s="32">
        <v>9560.23</v>
      </c>
      <c r="N206" s="32">
        <v>3.8974000000000002</v>
      </c>
      <c r="O206" s="32">
        <v>3.0402999999999998</v>
      </c>
      <c r="P206" s="32">
        <v>12.759</v>
      </c>
      <c r="Q206" s="32">
        <v>1.2076</v>
      </c>
      <c r="R206" s="32">
        <v>95.387100000000004</v>
      </c>
      <c r="S206" s="32">
        <v>2.6560999999999999</v>
      </c>
      <c r="T206" s="32">
        <v>41.649000000000001</v>
      </c>
      <c r="U206" s="32">
        <v>3.1156000000000001</v>
      </c>
      <c r="V206" s="32">
        <v>30.618099999999998</v>
      </c>
      <c r="W206" s="32">
        <v>3.7507000000000001</v>
      </c>
      <c r="X206" s="32">
        <v>8.2506000000000004</v>
      </c>
      <c r="Y206" s="32">
        <v>1117.57</v>
      </c>
      <c r="Z206" s="32">
        <v>0.76229999999999998</v>
      </c>
      <c r="AA206" s="32">
        <v>1.7970999999999999</v>
      </c>
      <c r="AB206" s="32">
        <v>4.3000999999999996</v>
      </c>
    </row>
    <row r="207" spans="1:28" ht="15" customHeight="1" x14ac:dyDescent="0.2">
      <c r="A207" s="33">
        <v>41171</v>
      </c>
      <c r="B207" s="32">
        <v>4.6756000000000002</v>
      </c>
      <c r="C207" s="32">
        <v>0.95709999999999995</v>
      </c>
      <c r="D207" s="32">
        <v>2.0337999999999998</v>
      </c>
      <c r="E207" s="32">
        <v>471.3</v>
      </c>
      <c r="F207" s="32">
        <v>6.3375000000000004</v>
      </c>
      <c r="G207" s="32">
        <v>1800.32</v>
      </c>
      <c r="H207" s="32">
        <v>18.895600000000002</v>
      </c>
      <c r="I207" s="32">
        <v>39.339100000000002</v>
      </c>
      <c r="J207" s="32">
        <v>7.7525000000000004</v>
      </c>
      <c r="K207" s="32">
        <v>216.94900000000001</v>
      </c>
      <c r="L207" s="32">
        <v>53.945</v>
      </c>
      <c r="M207" s="32">
        <v>9523.81</v>
      </c>
      <c r="N207" s="32">
        <v>3.8993000000000002</v>
      </c>
      <c r="O207" s="32">
        <v>3.0611000000000002</v>
      </c>
      <c r="P207" s="32">
        <v>12.806699999999999</v>
      </c>
      <c r="Q207" s="32">
        <v>1.2097</v>
      </c>
      <c r="R207" s="32">
        <v>95.399299999999997</v>
      </c>
      <c r="S207" s="32">
        <v>2.6425000000000001</v>
      </c>
      <c r="T207" s="32">
        <v>41.837200000000003</v>
      </c>
      <c r="U207" s="32">
        <v>3.1467999999999998</v>
      </c>
      <c r="V207" s="32">
        <v>30.880800000000001</v>
      </c>
      <c r="W207" s="32">
        <v>3.7505999999999999</v>
      </c>
      <c r="X207" s="32">
        <v>8.2469000000000001</v>
      </c>
      <c r="Y207" s="32">
        <v>1119.19</v>
      </c>
      <c r="Z207" s="32">
        <v>0.76480000000000004</v>
      </c>
      <c r="AA207" s="32">
        <v>1.7990999999999999</v>
      </c>
      <c r="AB207" s="32">
        <v>4.3002000000000002</v>
      </c>
    </row>
    <row r="208" spans="1:28" ht="15" customHeight="1" x14ac:dyDescent="0.2">
      <c r="A208" s="33">
        <v>41172</v>
      </c>
      <c r="B208" s="32">
        <v>4.6791999999999998</v>
      </c>
      <c r="C208" s="32">
        <v>0.95640000000000003</v>
      </c>
      <c r="D208" s="32">
        <v>2.0265</v>
      </c>
      <c r="E208" s="32">
        <v>470.5</v>
      </c>
      <c r="F208" s="32">
        <v>6.3375000000000004</v>
      </c>
      <c r="G208" s="32">
        <v>1799.56</v>
      </c>
      <c r="H208" s="32">
        <v>19.063199999999998</v>
      </c>
      <c r="I208" s="32">
        <v>39.616</v>
      </c>
      <c r="J208" s="32">
        <v>7.7527999999999997</v>
      </c>
      <c r="K208" s="32">
        <v>217.29599999999999</v>
      </c>
      <c r="L208" s="32">
        <v>54.117800000000003</v>
      </c>
      <c r="M208" s="32">
        <v>9560.23</v>
      </c>
      <c r="N208" s="32">
        <v>3.9055</v>
      </c>
      <c r="O208" s="32">
        <v>3.0640999999999998</v>
      </c>
      <c r="P208" s="32">
        <v>12.8171</v>
      </c>
      <c r="Q208" s="32">
        <v>1.2081999999999999</v>
      </c>
      <c r="R208" s="32">
        <v>94.713300000000004</v>
      </c>
      <c r="S208" s="32">
        <v>2.6566999999999998</v>
      </c>
      <c r="T208" s="32">
        <v>41.779299999999999</v>
      </c>
      <c r="U208" s="32">
        <v>3.1648000000000001</v>
      </c>
      <c r="V208" s="32">
        <v>31.063500000000001</v>
      </c>
      <c r="W208" s="32">
        <v>3.7505999999999999</v>
      </c>
      <c r="X208" s="32">
        <v>8.2235999999999994</v>
      </c>
      <c r="Y208" s="32">
        <v>1117.82</v>
      </c>
      <c r="Z208" s="32">
        <v>0.76649999999999996</v>
      </c>
      <c r="AA208" s="32">
        <v>1.7948999999999999</v>
      </c>
      <c r="AB208" s="32">
        <v>4.3</v>
      </c>
    </row>
    <row r="209" spans="1:28" ht="15" customHeight="1" x14ac:dyDescent="0.2">
      <c r="A209" s="33">
        <v>41173</v>
      </c>
      <c r="B209" s="32">
        <v>4.6848000000000001</v>
      </c>
      <c r="C209" s="32">
        <v>0.95960000000000001</v>
      </c>
      <c r="D209" s="32">
        <v>2.028</v>
      </c>
      <c r="E209" s="32">
        <v>470.5</v>
      </c>
      <c r="F209" s="32">
        <v>6.3361999999999998</v>
      </c>
      <c r="G209" s="32">
        <v>1799.13</v>
      </c>
      <c r="H209" s="32">
        <v>19.187799999999999</v>
      </c>
      <c r="I209" s="32">
        <v>39.512300000000003</v>
      </c>
      <c r="J209" s="32">
        <v>7.7534000000000001</v>
      </c>
      <c r="K209" s="32">
        <v>218.578</v>
      </c>
      <c r="L209" s="32">
        <v>54.101500000000001</v>
      </c>
      <c r="M209" s="32">
        <v>9569.3799999999992</v>
      </c>
      <c r="N209" s="32">
        <v>3.9144999999999999</v>
      </c>
      <c r="O209" s="32">
        <v>3.0695000000000001</v>
      </c>
      <c r="P209" s="32">
        <v>12.901199999999999</v>
      </c>
      <c r="Q209" s="32">
        <v>1.2108000000000001</v>
      </c>
      <c r="R209" s="32">
        <v>95.179900000000004</v>
      </c>
      <c r="S209" s="32">
        <v>2.6366000000000001</v>
      </c>
      <c r="T209" s="32">
        <v>41.817999999999998</v>
      </c>
      <c r="U209" s="32">
        <v>3.2014</v>
      </c>
      <c r="V209" s="32">
        <v>31.334199999999999</v>
      </c>
      <c r="W209" s="32">
        <v>3.7507000000000001</v>
      </c>
      <c r="X209" s="32">
        <v>8.3224999999999998</v>
      </c>
      <c r="Y209" s="32">
        <v>1121.33</v>
      </c>
      <c r="Z209" s="32">
        <v>0.7702</v>
      </c>
      <c r="AA209" s="32">
        <v>1.7989999999999999</v>
      </c>
      <c r="AB209" s="32">
        <v>4.3</v>
      </c>
    </row>
    <row r="210" spans="1:28" ht="15" customHeight="1" x14ac:dyDescent="0.2">
      <c r="A210" s="33">
        <v>41174</v>
      </c>
      <c r="B210" s="32">
        <v>4.6856</v>
      </c>
      <c r="C210" s="32">
        <v>0.95520000000000005</v>
      </c>
      <c r="D210" s="32">
        <v>2.0257000000000001</v>
      </c>
      <c r="E210" s="32">
        <v>472.7</v>
      </c>
      <c r="F210" s="32">
        <v>6.3353000000000002</v>
      </c>
      <c r="G210" s="32">
        <v>1801.06</v>
      </c>
      <c r="H210" s="32">
        <v>19.162500000000001</v>
      </c>
      <c r="I210" s="32">
        <v>39.578499999999998</v>
      </c>
      <c r="J210" s="32">
        <v>7.7530000000000001</v>
      </c>
      <c r="K210" s="32">
        <v>217.49299999999999</v>
      </c>
      <c r="L210" s="32">
        <v>53.412599999999998</v>
      </c>
      <c r="M210" s="32">
        <v>9578.5400000000009</v>
      </c>
      <c r="N210" s="32">
        <v>3.9024999999999999</v>
      </c>
      <c r="O210" s="32">
        <v>3.0592000000000001</v>
      </c>
      <c r="P210" s="32">
        <v>12.853300000000001</v>
      </c>
      <c r="Q210" s="32">
        <v>1.2041999999999999</v>
      </c>
      <c r="R210" s="32">
        <v>95.295699999999997</v>
      </c>
      <c r="S210" s="32">
        <v>2.6406000000000001</v>
      </c>
      <c r="T210" s="32">
        <v>41.790300000000002</v>
      </c>
      <c r="U210" s="32">
        <v>3.1886000000000001</v>
      </c>
      <c r="V210" s="32">
        <v>31.117000000000001</v>
      </c>
      <c r="W210" s="32">
        <v>3.7509000000000001</v>
      </c>
      <c r="X210" s="32">
        <v>8.2814999999999994</v>
      </c>
      <c r="Y210" s="32">
        <v>1120.45</v>
      </c>
      <c r="Z210" s="32">
        <v>0.76990000000000003</v>
      </c>
      <c r="AA210" s="32">
        <v>1.7962</v>
      </c>
      <c r="AB210" s="32">
        <v>4.3000999999999996</v>
      </c>
    </row>
    <row r="211" spans="1:28" ht="15" customHeight="1" x14ac:dyDescent="0.2">
      <c r="A211" s="33">
        <v>41175</v>
      </c>
      <c r="B211" s="32">
        <v>4.7098000000000004</v>
      </c>
      <c r="C211" s="32">
        <v>0.95650000000000002</v>
      </c>
      <c r="D211" s="32">
        <v>2.0257000000000001</v>
      </c>
      <c r="E211" s="32">
        <v>472.7</v>
      </c>
      <c r="F211" s="32">
        <v>6.3350999999999997</v>
      </c>
      <c r="G211" s="32">
        <v>1797</v>
      </c>
      <c r="H211" s="32">
        <v>19.166599999999999</v>
      </c>
      <c r="I211" s="32">
        <v>39.822499999999998</v>
      </c>
      <c r="J211" s="32">
        <v>7.7542</v>
      </c>
      <c r="K211" s="32">
        <v>217.58500000000001</v>
      </c>
      <c r="L211" s="32">
        <v>53.094000000000001</v>
      </c>
      <c r="M211" s="32">
        <v>9569.3799999999992</v>
      </c>
      <c r="N211" s="32">
        <v>3.8976000000000002</v>
      </c>
      <c r="O211" s="32">
        <v>3.0768</v>
      </c>
      <c r="P211" s="32">
        <v>12.8653</v>
      </c>
      <c r="Q211" s="32">
        <v>1.2068000000000001</v>
      </c>
      <c r="R211" s="32">
        <v>96.0458</v>
      </c>
      <c r="S211" s="32">
        <v>2.665</v>
      </c>
      <c r="T211" s="32">
        <v>41.755499999999998</v>
      </c>
      <c r="U211" s="32">
        <v>3.1964999999999999</v>
      </c>
      <c r="V211" s="32">
        <v>31.2257</v>
      </c>
      <c r="W211" s="32">
        <v>3.7551999999999999</v>
      </c>
      <c r="X211" s="32">
        <v>8.2866</v>
      </c>
      <c r="Y211" s="32">
        <v>1128.1600000000001</v>
      </c>
      <c r="Z211" s="32">
        <v>0.77059999999999995</v>
      </c>
      <c r="AA211" s="32">
        <v>1.7962</v>
      </c>
      <c r="AB211" s="32">
        <v>4.2996999999999996</v>
      </c>
    </row>
    <row r="212" spans="1:28" ht="15" customHeight="1" x14ac:dyDescent="0.2">
      <c r="A212" s="33">
        <v>41176</v>
      </c>
      <c r="B212" s="32">
        <v>4.6866000000000003</v>
      </c>
      <c r="C212" s="32">
        <v>0.95660000000000001</v>
      </c>
      <c r="D212" s="32">
        <v>2.0255999999999998</v>
      </c>
      <c r="E212" s="32">
        <v>472.7</v>
      </c>
      <c r="F212" s="32">
        <v>6.3350999999999997</v>
      </c>
      <c r="G212" s="32">
        <v>1797</v>
      </c>
      <c r="H212" s="32">
        <v>19.168600000000001</v>
      </c>
      <c r="I212" s="32">
        <v>39.834000000000003</v>
      </c>
      <c r="J212" s="32">
        <v>7.7542</v>
      </c>
      <c r="K212" s="32">
        <v>217.36699999999999</v>
      </c>
      <c r="L212" s="32">
        <v>53.094000000000001</v>
      </c>
      <c r="M212" s="32">
        <v>9578.5400000000009</v>
      </c>
      <c r="N212" s="32">
        <v>3.8984999999999999</v>
      </c>
      <c r="O212" s="32">
        <v>3.0537000000000001</v>
      </c>
      <c r="P212" s="32">
        <v>12.8683</v>
      </c>
      <c r="Q212" s="32">
        <v>1.2069000000000001</v>
      </c>
      <c r="R212" s="32">
        <v>96.072000000000003</v>
      </c>
      <c r="S212" s="32">
        <v>2.6663000000000001</v>
      </c>
      <c r="T212" s="32">
        <v>41.750900000000001</v>
      </c>
      <c r="U212" s="32">
        <v>3.2311999999999999</v>
      </c>
      <c r="V212" s="32">
        <v>31.904</v>
      </c>
      <c r="W212" s="32">
        <v>3.7551999999999999</v>
      </c>
      <c r="X212" s="32">
        <v>8.2886000000000006</v>
      </c>
      <c r="Y212" s="32">
        <v>1120.57</v>
      </c>
      <c r="Z212" s="32">
        <v>0.77059999999999995</v>
      </c>
      <c r="AA212" s="32">
        <v>1.7965</v>
      </c>
      <c r="AB212" s="32">
        <v>4.2996999999999996</v>
      </c>
    </row>
    <row r="213" spans="1:28" ht="15" customHeight="1" x14ac:dyDescent="0.2">
      <c r="A213" s="33">
        <v>41177</v>
      </c>
      <c r="B213" s="32">
        <v>4.6797000000000004</v>
      </c>
      <c r="C213" s="32">
        <v>0.96</v>
      </c>
      <c r="D213" s="32">
        <v>2.0274000000000001</v>
      </c>
      <c r="E213" s="32">
        <v>476.9</v>
      </c>
      <c r="F213" s="32">
        <v>6.3365999999999998</v>
      </c>
      <c r="G213" s="32">
        <v>1797.67</v>
      </c>
      <c r="H213" s="32">
        <v>19.260400000000001</v>
      </c>
      <c r="I213" s="32">
        <v>39.727400000000003</v>
      </c>
      <c r="J213" s="32">
        <v>7.7531999999999996</v>
      </c>
      <c r="K213" s="32">
        <v>218.63499999999999</v>
      </c>
      <c r="L213" s="32">
        <v>53.158099999999997</v>
      </c>
      <c r="M213" s="32">
        <v>9578.5400000000009</v>
      </c>
      <c r="N213" s="32">
        <v>3.9123999999999999</v>
      </c>
      <c r="O213" s="32">
        <v>3.0682999999999998</v>
      </c>
      <c r="P213" s="32">
        <v>12.9148</v>
      </c>
      <c r="Q213" s="32">
        <v>1.2150000000000001</v>
      </c>
      <c r="R213" s="32">
        <v>95.634600000000006</v>
      </c>
      <c r="S213" s="32">
        <v>2.6463000000000001</v>
      </c>
      <c r="T213" s="32">
        <v>41.887700000000002</v>
      </c>
      <c r="U213" s="32">
        <v>3.2069999999999999</v>
      </c>
      <c r="V213" s="32">
        <v>31.2166</v>
      </c>
      <c r="W213" s="32">
        <v>3.7509000000000001</v>
      </c>
      <c r="X213" s="32">
        <v>8.2876999999999992</v>
      </c>
      <c r="Y213" s="32">
        <v>1121.7</v>
      </c>
      <c r="Z213" s="32">
        <v>0.77310000000000001</v>
      </c>
      <c r="AA213" s="32">
        <v>1.7986</v>
      </c>
      <c r="AB213" s="32">
        <v>4.2999000000000001</v>
      </c>
    </row>
    <row r="214" spans="1:28" ht="15" customHeight="1" x14ac:dyDescent="0.2">
      <c r="A214" s="33">
        <v>41178</v>
      </c>
      <c r="B214" s="32">
        <v>4.6897000000000002</v>
      </c>
      <c r="C214" s="32">
        <v>0.95909999999999995</v>
      </c>
      <c r="D214" s="32">
        <v>2.0295000000000001</v>
      </c>
      <c r="E214" s="32">
        <v>471</v>
      </c>
      <c r="F214" s="32">
        <v>6.3392999999999997</v>
      </c>
      <c r="G214" s="32">
        <v>1799.45</v>
      </c>
      <c r="H214" s="32">
        <v>19.299099999999999</v>
      </c>
      <c r="I214" s="32">
        <v>38.879399999999997</v>
      </c>
      <c r="J214" s="32">
        <v>7.7534000000000001</v>
      </c>
      <c r="K214" s="32">
        <v>219.26499999999999</v>
      </c>
      <c r="L214" s="32">
        <v>53.139800000000001</v>
      </c>
      <c r="M214" s="32">
        <v>9596.93</v>
      </c>
      <c r="N214" s="32">
        <v>3.9089999999999998</v>
      </c>
      <c r="O214" s="32">
        <v>3.0731999999999999</v>
      </c>
      <c r="P214" s="32">
        <v>12.8956</v>
      </c>
      <c r="Q214" s="32">
        <v>1.2136</v>
      </c>
      <c r="R214" s="32">
        <v>95.313400000000001</v>
      </c>
      <c r="S214" s="32">
        <v>2.6385000000000001</v>
      </c>
      <c r="T214" s="32">
        <v>41.848700000000001</v>
      </c>
      <c r="U214" s="32">
        <v>3.2058</v>
      </c>
      <c r="V214" s="32">
        <v>31.117000000000001</v>
      </c>
      <c r="W214" s="32">
        <v>3.7507000000000001</v>
      </c>
      <c r="X214" s="32">
        <v>8.2285000000000004</v>
      </c>
      <c r="Y214" s="32">
        <v>1120.07</v>
      </c>
      <c r="Z214" s="32">
        <v>0.77339999999999998</v>
      </c>
      <c r="AA214" s="32">
        <v>1.7948999999999999</v>
      </c>
      <c r="AB214" s="32">
        <v>4.3000999999999996</v>
      </c>
    </row>
    <row r="215" spans="1:28" ht="15" customHeight="1" x14ac:dyDescent="0.2">
      <c r="A215" s="33">
        <v>41179</v>
      </c>
      <c r="B215" s="32">
        <v>4.6923000000000004</v>
      </c>
      <c r="C215" s="32">
        <v>0.96530000000000005</v>
      </c>
      <c r="D215" s="32">
        <v>2.0352999999999999</v>
      </c>
      <c r="E215" s="32">
        <v>470.8</v>
      </c>
      <c r="F215" s="32">
        <v>6.3410000000000002</v>
      </c>
      <c r="G215" s="32">
        <v>1796.99</v>
      </c>
      <c r="H215" s="32">
        <v>19.398599999999998</v>
      </c>
      <c r="I215" s="32">
        <v>37.218000000000004</v>
      </c>
      <c r="J215" s="32">
        <v>7.7539999999999996</v>
      </c>
      <c r="K215" s="32">
        <v>221.62299999999999</v>
      </c>
      <c r="L215" s="32">
        <v>53.325200000000002</v>
      </c>
      <c r="M215" s="32">
        <v>9615.3799999999992</v>
      </c>
      <c r="N215" s="32">
        <v>3.9108000000000001</v>
      </c>
      <c r="O215" s="32">
        <v>3.0834000000000001</v>
      </c>
      <c r="P215" s="32">
        <v>12.896599999999999</v>
      </c>
      <c r="Q215" s="32">
        <v>1.2181999999999999</v>
      </c>
      <c r="R215" s="32">
        <v>94.925700000000006</v>
      </c>
      <c r="S215" s="32">
        <v>2.6396999999999999</v>
      </c>
      <c r="T215" s="32">
        <v>42.018500000000003</v>
      </c>
      <c r="U215" s="32">
        <v>3.2229999999999999</v>
      </c>
      <c r="V215" s="32">
        <v>31.255800000000001</v>
      </c>
      <c r="W215" s="32">
        <v>3.7505999999999999</v>
      </c>
      <c r="X215" s="32">
        <v>8.2380999999999993</v>
      </c>
      <c r="Y215" s="32">
        <v>1121.08</v>
      </c>
      <c r="Z215" s="32">
        <v>0.77680000000000005</v>
      </c>
      <c r="AA215" s="32">
        <v>1.7928999999999999</v>
      </c>
      <c r="AB215" s="32">
        <v>4.3003</v>
      </c>
    </row>
    <row r="216" spans="1:28" ht="15" customHeight="1" x14ac:dyDescent="0.2">
      <c r="A216" s="33">
        <v>41180</v>
      </c>
      <c r="B216" s="32">
        <v>4.6931000000000003</v>
      </c>
      <c r="C216" s="32">
        <v>0.96089999999999998</v>
      </c>
      <c r="D216" s="32">
        <v>2.0373999999999999</v>
      </c>
      <c r="E216" s="32">
        <v>471</v>
      </c>
      <c r="F216" s="32">
        <v>6.3381999999999996</v>
      </c>
      <c r="G216" s="32">
        <v>1799.83</v>
      </c>
      <c r="H216" s="32">
        <v>19.4133</v>
      </c>
      <c r="I216" s="32">
        <v>37.556699999999999</v>
      </c>
      <c r="J216" s="32">
        <v>7.7539999999999996</v>
      </c>
      <c r="K216" s="32">
        <v>221.357</v>
      </c>
      <c r="L216" s="32">
        <v>53.035800000000002</v>
      </c>
      <c r="M216" s="32">
        <v>9606.15</v>
      </c>
      <c r="N216" s="32">
        <v>3.9184000000000001</v>
      </c>
      <c r="O216" s="32">
        <v>3.0787</v>
      </c>
      <c r="P216" s="32">
        <v>12.8597</v>
      </c>
      <c r="Q216" s="32">
        <v>1.2083999999999999</v>
      </c>
      <c r="R216" s="32">
        <v>95.606800000000007</v>
      </c>
      <c r="S216" s="32">
        <v>2.6392000000000002</v>
      </c>
      <c r="T216" s="32">
        <v>41.993699999999997</v>
      </c>
      <c r="U216" s="32">
        <v>3.2189999999999999</v>
      </c>
      <c r="V216" s="32">
        <v>31.195399999999999</v>
      </c>
      <c r="W216" s="32">
        <v>3.7505999999999999</v>
      </c>
      <c r="X216" s="32">
        <v>8.2186000000000003</v>
      </c>
      <c r="Y216" s="32">
        <v>1118.69</v>
      </c>
      <c r="Z216" s="32">
        <v>0.77639999999999998</v>
      </c>
      <c r="AA216" s="32">
        <v>1.7907</v>
      </c>
      <c r="AB216" s="32">
        <v>4.3002000000000002</v>
      </c>
    </row>
    <row r="217" spans="1:28" ht="15" customHeight="1" x14ac:dyDescent="0.2">
      <c r="A217" s="33">
        <v>41181</v>
      </c>
      <c r="B217" s="32">
        <v>4.6962999999999999</v>
      </c>
      <c r="C217" s="32">
        <v>0.95899999999999996</v>
      </c>
      <c r="D217" s="32">
        <v>2.0326</v>
      </c>
      <c r="E217" s="32">
        <v>474.5</v>
      </c>
      <c r="F217" s="32">
        <v>6.3323</v>
      </c>
      <c r="G217" s="32">
        <v>1799</v>
      </c>
      <c r="H217" s="32">
        <v>19.4834</v>
      </c>
      <c r="I217" s="32">
        <v>38.607599999999998</v>
      </c>
      <c r="J217" s="32">
        <v>7.7541000000000002</v>
      </c>
      <c r="K217" s="32">
        <v>220.57599999999999</v>
      </c>
      <c r="L217" s="32">
        <v>52.6267</v>
      </c>
      <c r="M217" s="32">
        <v>9606.15</v>
      </c>
      <c r="N217" s="32">
        <v>3.9155000000000002</v>
      </c>
      <c r="O217" s="32">
        <v>3.0648</v>
      </c>
      <c r="P217" s="32">
        <v>12.849299999999999</v>
      </c>
      <c r="Q217" s="32">
        <v>1.2020999999999999</v>
      </c>
      <c r="R217" s="32">
        <v>95.646500000000003</v>
      </c>
      <c r="S217" s="32">
        <v>2.6414</v>
      </c>
      <c r="T217" s="32">
        <v>41.870199999999997</v>
      </c>
      <c r="U217" s="32">
        <v>3.1930000000000001</v>
      </c>
      <c r="V217" s="32">
        <v>31.062999999999999</v>
      </c>
      <c r="W217" s="32">
        <v>3.7507999999999999</v>
      </c>
      <c r="X217" s="32">
        <v>8.2638999999999996</v>
      </c>
      <c r="Y217" s="32">
        <v>1114.7</v>
      </c>
      <c r="Z217" s="32">
        <v>0.77480000000000004</v>
      </c>
      <c r="AA217" s="32">
        <v>1.7923</v>
      </c>
      <c r="AB217" s="32">
        <v>4.2999000000000001</v>
      </c>
    </row>
    <row r="218" spans="1:28" ht="15" customHeight="1" x14ac:dyDescent="0.2">
      <c r="A218" s="33">
        <v>41182</v>
      </c>
      <c r="B218" s="32">
        <v>4.7446000000000002</v>
      </c>
      <c r="C218" s="32">
        <v>0.9637</v>
      </c>
      <c r="D218" s="32">
        <v>2.0289000000000001</v>
      </c>
      <c r="E218" s="32">
        <v>474.5</v>
      </c>
      <c r="F218" s="32">
        <v>6.3339999999999996</v>
      </c>
      <c r="G218" s="32">
        <v>1799</v>
      </c>
      <c r="H218" s="32">
        <v>19.577500000000001</v>
      </c>
      <c r="I218" s="32">
        <v>39.623399999999997</v>
      </c>
      <c r="J218" s="32">
        <v>7.7549000000000001</v>
      </c>
      <c r="K218" s="32">
        <v>222.203</v>
      </c>
      <c r="L218" s="32">
        <v>52.8</v>
      </c>
      <c r="M218" s="32">
        <v>9596.93</v>
      </c>
      <c r="N218" s="32">
        <v>3.9236</v>
      </c>
      <c r="O218" s="32">
        <v>3.0889000000000002</v>
      </c>
      <c r="P218" s="32">
        <v>12.877000000000001</v>
      </c>
      <c r="Q218" s="32">
        <v>1.2050000000000001</v>
      </c>
      <c r="R218" s="32">
        <v>95.564099999999996</v>
      </c>
      <c r="S218" s="32">
        <v>2.6682000000000001</v>
      </c>
      <c r="T218" s="32">
        <v>41.7806</v>
      </c>
      <c r="U218" s="32">
        <v>3.2056</v>
      </c>
      <c r="V218" s="32">
        <v>31.214200000000002</v>
      </c>
      <c r="W218" s="32">
        <v>3.7551000000000001</v>
      </c>
      <c r="X218" s="32">
        <v>8.3171999999999997</v>
      </c>
      <c r="Y218" s="32">
        <v>1125.49</v>
      </c>
      <c r="Z218" s="32">
        <v>0.77790000000000004</v>
      </c>
      <c r="AA218" s="32">
        <v>1.7986</v>
      </c>
      <c r="AB218" s="32">
        <v>4.2996999999999996</v>
      </c>
    </row>
    <row r="219" spans="1:28" ht="15" customHeight="1" x14ac:dyDescent="0.2">
      <c r="A219" s="33">
        <v>41183</v>
      </c>
      <c r="B219" s="32">
        <v>4.7015000000000002</v>
      </c>
      <c r="C219" s="32">
        <v>0.96379999999999999</v>
      </c>
      <c r="D219" s="32">
        <v>2.0289000000000001</v>
      </c>
      <c r="E219" s="32">
        <v>474.5</v>
      </c>
      <c r="F219" s="32">
        <v>6.3339999999999996</v>
      </c>
      <c r="G219" s="32">
        <v>1799</v>
      </c>
      <c r="H219" s="32">
        <v>19.578399999999998</v>
      </c>
      <c r="I219" s="32">
        <v>39.959000000000003</v>
      </c>
      <c r="J219" s="32">
        <v>7.7549000000000001</v>
      </c>
      <c r="K219" s="32">
        <v>222.34899999999999</v>
      </c>
      <c r="L219" s="32">
        <v>52.8</v>
      </c>
      <c r="M219" s="32">
        <v>9596.93</v>
      </c>
      <c r="N219" s="32">
        <v>3.9232</v>
      </c>
      <c r="O219" s="32">
        <v>3.1343999999999999</v>
      </c>
      <c r="P219" s="32">
        <v>12.8757</v>
      </c>
      <c r="Q219" s="32">
        <v>1.2052</v>
      </c>
      <c r="R219" s="32">
        <v>96.486999999999995</v>
      </c>
      <c r="S219" s="32">
        <v>2.6694</v>
      </c>
      <c r="T219" s="32">
        <v>41.789000000000001</v>
      </c>
      <c r="U219" s="32">
        <v>3.2037</v>
      </c>
      <c r="V219" s="32">
        <v>31.203800000000001</v>
      </c>
      <c r="W219" s="32">
        <v>3.7551000000000001</v>
      </c>
      <c r="X219" s="32">
        <v>8.3198000000000008</v>
      </c>
      <c r="Y219" s="32">
        <v>1142.2</v>
      </c>
      <c r="Z219" s="32">
        <v>0.77790000000000004</v>
      </c>
      <c r="AA219" s="32">
        <v>1.7984</v>
      </c>
      <c r="AB219" s="32">
        <v>4.2996999999999996</v>
      </c>
    </row>
    <row r="220" spans="1:28" ht="15" customHeight="1" x14ac:dyDescent="0.2">
      <c r="A220" s="33">
        <v>41184</v>
      </c>
      <c r="B220" s="32">
        <v>4.7058999999999997</v>
      </c>
      <c r="C220" s="32">
        <v>0.96509999999999996</v>
      </c>
      <c r="D220" s="32">
        <v>2.0295999999999998</v>
      </c>
      <c r="E220" s="32">
        <v>474.7</v>
      </c>
      <c r="F220" s="32">
        <v>6.3323999999999998</v>
      </c>
      <c r="G220" s="32">
        <v>1799</v>
      </c>
      <c r="H220" s="32">
        <v>19.533000000000001</v>
      </c>
      <c r="I220" s="32">
        <v>39.771799999999999</v>
      </c>
      <c r="J220" s="32">
        <v>7.7542</v>
      </c>
      <c r="K220" s="32">
        <v>222.15899999999999</v>
      </c>
      <c r="L220" s="32">
        <v>52.518799999999999</v>
      </c>
      <c r="M220" s="32">
        <v>9596.93</v>
      </c>
      <c r="N220" s="32">
        <v>3.9216000000000002</v>
      </c>
      <c r="O220" s="32">
        <v>3.0939000000000001</v>
      </c>
      <c r="P220" s="32">
        <v>12.863099999999999</v>
      </c>
      <c r="Q220" s="32">
        <v>1.2068000000000001</v>
      </c>
      <c r="R220" s="32">
        <v>95.982600000000005</v>
      </c>
      <c r="S220" s="32">
        <v>2.6472000000000002</v>
      </c>
      <c r="T220" s="32">
        <v>41.834000000000003</v>
      </c>
      <c r="U220" s="32">
        <v>3.1970999999999998</v>
      </c>
      <c r="V220" s="32">
        <v>31.201499999999999</v>
      </c>
      <c r="W220" s="32">
        <v>3.7507999999999999</v>
      </c>
      <c r="X220" s="32">
        <v>8.3260000000000005</v>
      </c>
      <c r="Y220" s="32">
        <v>1125.75</v>
      </c>
      <c r="Z220" s="32">
        <v>0.77729999999999999</v>
      </c>
      <c r="AA220" s="32">
        <v>1.7956000000000001</v>
      </c>
      <c r="AB220" s="32">
        <v>4.3</v>
      </c>
    </row>
    <row r="221" spans="1:28" ht="15" customHeight="1" x14ac:dyDescent="0.2">
      <c r="A221" s="33">
        <v>41185</v>
      </c>
      <c r="B221" s="32">
        <v>4.7012</v>
      </c>
      <c r="C221" s="32">
        <v>0.96940000000000004</v>
      </c>
      <c r="D221" s="32">
        <v>2.0295999999999998</v>
      </c>
      <c r="E221" s="32">
        <v>473.7</v>
      </c>
      <c r="F221" s="32">
        <v>6.3326000000000002</v>
      </c>
      <c r="G221" s="32">
        <v>1813.01</v>
      </c>
      <c r="H221" s="32">
        <v>19.4253</v>
      </c>
      <c r="I221" s="32">
        <v>39.753399999999999</v>
      </c>
      <c r="J221" s="32">
        <v>7.7545999999999999</v>
      </c>
      <c r="K221" s="32">
        <v>221.66300000000001</v>
      </c>
      <c r="L221" s="32">
        <v>52.304900000000004</v>
      </c>
      <c r="M221" s="32">
        <v>9606.15</v>
      </c>
      <c r="N221" s="32">
        <v>3.9034</v>
      </c>
      <c r="O221" s="32">
        <v>3.056</v>
      </c>
      <c r="P221" s="32">
        <v>12.845000000000001</v>
      </c>
      <c r="Q221" s="32">
        <v>1.2059</v>
      </c>
      <c r="R221" s="32">
        <v>95.942099999999996</v>
      </c>
      <c r="S221" s="32">
        <v>2.6526000000000001</v>
      </c>
      <c r="T221" s="32">
        <v>41.746400000000001</v>
      </c>
      <c r="U221" s="32">
        <v>3.1821000000000002</v>
      </c>
      <c r="V221" s="32">
        <v>31.140699999999999</v>
      </c>
      <c r="W221" s="32">
        <v>3.7505000000000002</v>
      </c>
      <c r="X221" s="32">
        <v>8.3656000000000006</v>
      </c>
      <c r="Y221" s="32">
        <v>1114.08</v>
      </c>
      <c r="Z221" s="32">
        <v>0.77449999999999997</v>
      </c>
      <c r="AA221" s="32">
        <v>1.7926</v>
      </c>
      <c r="AB221" s="32">
        <v>4.3</v>
      </c>
    </row>
    <row r="222" spans="1:28" ht="15" customHeight="1" x14ac:dyDescent="0.2">
      <c r="A222" s="33">
        <v>41186</v>
      </c>
      <c r="B222" s="32">
        <v>4.7012999999999998</v>
      </c>
      <c r="C222" s="32">
        <v>0.97809999999999997</v>
      </c>
      <c r="D222" s="32">
        <v>2.0303</v>
      </c>
      <c r="E222" s="32">
        <v>475</v>
      </c>
      <c r="F222" s="32">
        <v>6.3316999999999997</v>
      </c>
      <c r="G222" s="32">
        <v>1799.33</v>
      </c>
      <c r="H222" s="32">
        <v>19.401700000000002</v>
      </c>
      <c r="I222" s="32">
        <v>39.649099999999997</v>
      </c>
      <c r="J222" s="32">
        <v>7.7550999999999997</v>
      </c>
      <c r="K222" s="32">
        <v>221.86099999999999</v>
      </c>
      <c r="L222" s="32">
        <v>52.255699999999997</v>
      </c>
      <c r="M222" s="32">
        <v>9615.3799999999992</v>
      </c>
      <c r="N222" s="32">
        <v>3.8858999999999999</v>
      </c>
      <c r="O222" s="32">
        <v>3.0615000000000001</v>
      </c>
      <c r="P222" s="32">
        <v>12.8712</v>
      </c>
      <c r="Q222" s="32">
        <v>1.2168000000000001</v>
      </c>
      <c r="R222" s="32">
        <v>95.897300000000001</v>
      </c>
      <c r="S222" s="32">
        <v>2.6427999999999998</v>
      </c>
      <c r="T222" s="32">
        <v>41.729399999999998</v>
      </c>
      <c r="U222" s="32">
        <v>3.1823999999999999</v>
      </c>
      <c r="V222" s="32">
        <v>31.187200000000001</v>
      </c>
      <c r="W222" s="32">
        <v>3.7505999999999999</v>
      </c>
      <c r="X222" s="32">
        <v>8.4139999999999997</v>
      </c>
      <c r="Y222" s="32">
        <v>1114.58</v>
      </c>
      <c r="Z222" s="32">
        <v>0.77480000000000004</v>
      </c>
      <c r="AA222" s="32">
        <v>1.7948999999999999</v>
      </c>
      <c r="AB222" s="32">
        <v>4.3002000000000002</v>
      </c>
    </row>
    <row r="223" spans="1:28" ht="15" customHeight="1" x14ac:dyDescent="0.2">
      <c r="A223" s="33">
        <v>41187</v>
      </c>
      <c r="B223" s="32">
        <v>4.7062999999999997</v>
      </c>
      <c r="C223" s="32">
        <v>0.97799999999999998</v>
      </c>
      <c r="D223" s="32">
        <v>2.0247000000000002</v>
      </c>
      <c r="E223" s="32">
        <v>474</v>
      </c>
      <c r="F223" s="32">
        <v>6.3282999999999996</v>
      </c>
      <c r="G223" s="32">
        <v>1800.72</v>
      </c>
      <c r="H223" s="32">
        <v>19.309000000000001</v>
      </c>
      <c r="I223" s="32">
        <v>39.611899999999999</v>
      </c>
      <c r="J223" s="32">
        <v>7.7549999999999999</v>
      </c>
      <c r="K223" s="32">
        <v>220.685</v>
      </c>
      <c r="L223" s="32">
        <v>51.783000000000001</v>
      </c>
      <c r="M223" s="32">
        <v>9615.3799999999992</v>
      </c>
      <c r="N223" s="32">
        <v>3.8801999999999999</v>
      </c>
      <c r="O223" s="32">
        <v>3.0587</v>
      </c>
      <c r="P223" s="32">
        <v>12.796900000000001</v>
      </c>
      <c r="Q223" s="32">
        <v>1.2186999999999999</v>
      </c>
      <c r="R223" s="32">
        <v>96.017700000000005</v>
      </c>
      <c r="S223" s="32">
        <v>2.6379000000000001</v>
      </c>
      <c r="T223" s="32">
        <v>41.635599999999997</v>
      </c>
      <c r="U223" s="32">
        <v>3.1553</v>
      </c>
      <c r="V223" s="32">
        <v>31.108499999999999</v>
      </c>
      <c r="W223" s="32">
        <v>3.7505999999999999</v>
      </c>
      <c r="X223" s="32">
        <v>8.4778000000000002</v>
      </c>
      <c r="Y223" s="32">
        <v>1114.08</v>
      </c>
      <c r="Z223" s="32">
        <v>0.77190000000000003</v>
      </c>
      <c r="AA223" s="32">
        <v>1.8033999999999999</v>
      </c>
      <c r="AB223" s="32">
        <v>4.3000999999999996</v>
      </c>
    </row>
    <row r="224" spans="1:28" ht="15" customHeight="1" x14ac:dyDescent="0.2">
      <c r="A224" s="33">
        <v>41188</v>
      </c>
      <c r="B224" s="32">
        <v>4.7080000000000002</v>
      </c>
      <c r="C224" s="32">
        <v>0.9768</v>
      </c>
      <c r="D224" s="32">
        <v>2.0249999999999999</v>
      </c>
      <c r="E224" s="32">
        <v>473.6</v>
      </c>
      <c r="F224" s="32">
        <v>6.3236999999999997</v>
      </c>
      <c r="G224" s="32">
        <v>1799.56</v>
      </c>
      <c r="H224" s="32">
        <v>19.146000000000001</v>
      </c>
      <c r="I224" s="32">
        <v>39.542200000000001</v>
      </c>
      <c r="J224" s="32">
        <v>7.7534999999999998</v>
      </c>
      <c r="K224" s="32">
        <v>217.995</v>
      </c>
      <c r="L224" s="32">
        <v>51.641800000000003</v>
      </c>
      <c r="M224" s="32">
        <v>9615.3799999999992</v>
      </c>
      <c r="N224" s="32">
        <v>3.8624999999999998</v>
      </c>
      <c r="O224" s="32">
        <v>3.0562999999999998</v>
      </c>
      <c r="P224" s="32">
        <v>12.7531</v>
      </c>
      <c r="Q224" s="32">
        <v>1.2156</v>
      </c>
      <c r="R224" s="32">
        <v>95.782799999999995</v>
      </c>
      <c r="S224" s="32">
        <v>2.6349</v>
      </c>
      <c r="T224" s="32">
        <v>41.533000000000001</v>
      </c>
      <c r="U224" s="32">
        <v>3.1349</v>
      </c>
      <c r="V224" s="32">
        <v>30.975999999999999</v>
      </c>
      <c r="W224" s="32">
        <v>3.7507000000000001</v>
      </c>
      <c r="X224" s="32">
        <v>8.6140000000000008</v>
      </c>
      <c r="Y224" s="32">
        <v>1111.48</v>
      </c>
      <c r="Z224" s="32">
        <v>0.76790000000000003</v>
      </c>
      <c r="AA224" s="32">
        <v>1.7988999999999999</v>
      </c>
      <c r="AB224" s="32">
        <v>4.2995999999999999</v>
      </c>
    </row>
    <row r="225" spans="1:28" ht="15" customHeight="1" x14ac:dyDescent="0.2">
      <c r="A225" s="33">
        <v>41189</v>
      </c>
      <c r="B225" s="32">
        <v>4.7099000000000002</v>
      </c>
      <c r="C225" s="32">
        <v>0.9819</v>
      </c>
      <c r="D225" s="32">
        <v>2.0347</v>
      </c>
      <c r="E225" s="32">
        <v>473.6</v>
      </c>
      <c r="F225" s="32">
        <v>6.3262</v>
      </c>
      <c r="G225" s="32">
        <v>1798</v>
      </c>
      <c r="H225" s="32">
        <v>19.1142</v>
      </c>
      <c r="I225" s="32">
        <v>39.6783</v>
      </c>
      <c r="J225" s="32">
        <v>7.7527999999999997</v>
      </c>
      <c r="K225" s="32">
        <v>217.518</v>
      </c>
      <c r="L225" s="32">
        <v>51.982999999999997</v>
      </c>
      <c r="M225" s="32">
        <v>9615.3799999999992</v>
      </c>
      <c r="N225" s="32">
        <v>3.8653</v>
      </c>
      <c r="O225" s="32">
        <v>3.0577999999999999</v>
      </c>
      <c r="P225" s="32">
        <v>12.8018</v>
      </c>
      <c r="Q225" s="32">
        <v>1.2233000000000001</v>
      </c>
      <c r="R225" s="32">
        <v>95.55</v>
      </c>
      <c r="S225" s="32">
        <v>2.6509</v>
      </c>
      <c r="T225" s="32">
        <v>41.564700000000002</v>
      </c>
      <c r="U225" s="32">
        <v>3.1299000000000001</v>
      </c>
      <c r="V225" s="32">
        <v>31.006799999999998</v>
      </c>
      <c r="W225" s="32">
        <v>3.7551000000000001</v>
      </c>
      <c r="X225" s="32">
        <v>8.7852999999999994</v>
      </c>
      <c r="Y225" s="32">
        <v>1111.1099999999999</v>
      </c>
      <c r="Z225" s="32">
        <v>0.7671</v>
      </c>
      <c r="AA225" s="32">
        <v>1.8072999999999999</v>
      </c>
      <c r="AB225" s="32">
        <v>4.2996999999999996</v>
      </c>
    </row>
    <row r="226" spans="1:28" ht="15" customHeight="1" x14ac:dyDescent="0.2">
      <c r="A226" s="33">
        <v>41190</v>
      </c>
      <c r="B226" s="32">
        <v>4.7332000000000001</v>
      </c>
      <c r="C226" s="32">
        <v>0.98229999999999995</v>
      </c>
      <c r="D226" s="32">
        <v>2.0352000000000001</v>
      </c>
      <c r="E226" s="32">
        <v>473.6</v>
      </c>
      <c r="F226" s="32">
        <v>6.3262</v>
      </c>
      <c r="G226" s="32">
        <v>1798</v>
      </c>
      <c r="H226" s="32">
        <v>19.127400000000002</v>
      </c>
      <c r="I226" s="32">
        <v>39.676299999999998</v>
      </c>
      <c r="J226" s="32">
        <v>7.7527999999999997</v>
      </c>
      <c r="K226" s="32">
        <v>217.63900000000001</v>
      </c>
      <c r="L226" s="32">
        <v>51.982999999999997</v>
      </c>
      <c r="M226" s="32">
        <v>9689.92</v>
      </c>
      <c r="N226" s="32">
        <v>3.8649</v>
      </c>
      <c r="O226" s="32">
        <v>3.0855999999999999</v>
      </c>
      <c r="P226" s="32">
        <v>12.8028</v>
      </c>
      <c r="Q226" s="32">
        <v>1.2234</v>
      </c>
      <c r="R226" s="32">
        <v>96.075599999999994</v>
      </c>
      <c r="S226" s="32">
        <v>2.6515</v>
      </c>
      <c r="T226" s="32">
        <v>41.985900000000001</v>
      </c>
      <c r="U226" s="32">
        <v>3.153</v>
      </c>
      <c r="V226" s="32">
        <v>31.366599999999998</v>
      </c>
      <c r="W226" s="32">
        <v>3.7551000000000001</v>
      </c>
      <c r="X226" s="32">
        <v>8.7885000000000009</v>
      </c>
      <c r="Y226" s="32">
        <v>1119.57</v>
      </c>
      <c r="Z226" s="32">
        <v>0.76719999999999999</v>
      </c>
      <c r="AA226" s="32">
        <v>1.8071999999999999</v>
      </c>
      <c r="AB226" s="32">
        <v>4.2996999999999996</v>
      </c>
    </row>
    <row r="227" spans="1:28" ht="15" customHeight="1" x14ac:dyDescent="0.2">
      <c r="A227" s="33">
        <v>41191</v>
      </c>
      <c r="B227" s="32">
        <v>4.7317</v>
      </c>
      <c r="C227" s="32">
        <v>0.98240000000000005</v>
      </c>
      <c r="D227" s="32">
        <v>2.0347</v>
      </c>
      <c r="E227" s="32">
        <v>475.6</v>
      </c>
      <c r="F227" s="32">
        <v>6.3261000000000003</v>
      </c>
      <c r="G227" s="32">
        <v>1798</v>
      </c>
      <c r="H227" s="32">
        <v>19.207599999999999</v>
      </c>
      <c r="I227" s="32">
        <v>39.7179</v>
      </c>
      <c r="J227" s="32">
        <v>7.7526999999999999</v>
      </c>
      <c r="K227" s="32">
        <v>218.38200000000001</v>
      </c>
      <c r="L227" s="32">
        <v>52.204599999999999</v>
      </c>
      <c r="M227" s="32">
        <v>9680.5400000000009</v>
      </c>
      <c r="N227" s="32">
        <v>3.8656999999999999</v>
      </c>
      <c r="O227" s="32">
        <v>3.0878999999999999</v>
      </c>
      <c r="P227" s="32">
        <v>12.8279</v>
      </c>
      <c r="Q227" s="32">
        <v>1.2222</v>
      </c>
      <c r="R227" s="32">
        <v>96.598299999999995</v>
      </c>
      <c r="S227" s="32">
        <v>2.6539999999999999</v>
      </c>
      <c r="T227" s="32">
        <v>41.896900000000002</v>
      </c>
      <c r="U227" s="32">
        <v>3.1406000000000001</v>
      </c>
      <c r="V227" s="32">
        <v>31.1419</v>
      </c>
      <c r="W227" s="32">
        <v>3.7507999999999999</v>
      </c>
      <c r="X227" s="32">
        <v>8.8495000000000008</v>
      </c>
      <c r="Y227" s="32">
        <v>1119.32</v>
      </c>
      <c r="Z227" s="32">
        <v>0.77029999999999998</v>
      </c>
      <c r="AA227" s="32">
        <v>1.8092999999999999</v>
      </c>
      <c r="AB227" s="32">
        <v>4.2996999999999996</v>
      </c>
    </row>
    <row r="228" spans="1:28" ht="15" customHeight="1" x14ac:dyDescent="0.2">
      <c r="A228" s="33">
        <v>41192</v>
      </c>
      <c r="B228" s="32">
        <v>4.7130000000000001</v>
      </c>
      <c r="C228" s="32">
        <v>0.97919999999999996</v>
      </c>
      <c r="D228" s="32">
        <v>2.0356999999999998</v>
      </c>
      <c r="E228" s="32">
        <v>474.9</v>
      </c>
      <c r="F228" s="32">
        <v>6.3295000000000003</v>
      </c>
      <c r="G228" s="32">
        <v>1798.72</v>
      </c>
      <c r="H228" s="32">
        <v>19.2973</v>
      </c>
      <c r="I228" s="32">
        <v>39.660600000000002</v>
      </c>
      <c r="J228" s="32">
        <v>7.7525000000000004</v>
      </c>
      <c r="K228" s="32">
        <v>219.346</v>
      </c>
      <c r="L228" s="32">
        <v>52.491999999999997</v>
      </c>
      <c r="M228" s="32">
        <v>9624.64</v>
      </c>
      <c r="N228" s="32">
        <v>3.8691</v>
      </c>
      <c r="O228" s="32">
        <v>3.0718999999999999</v>
      </c>
      <c r="P228" s="32">
        <v>12.827999999999999</v>
      </c>
      <c r="Q228" s="32">
        <v>1.2197</v>
      </c>
      <c r="R228" s="32">
        <v>96.379900000000006</v>
      </c>
      <c r="S228" s="32">
        <v>2.6392000000000002</v>
      </c>
      <c r="T228" s="32">
        <v>41.558300000000003</v>
      </c>
      <c r="U228" s="32">
        <v>3.1493000000000002</v>
      </c>
      <c r="V228" s="32">
        <v>31.162299999999998</v>
      </c>
      <c r="W228" s="32">
        <v>3.7505999999999999</v>
      </c>
      <c r="X228" s="32">
        <v>8.8277999999999999</v>
      </c>
      <c r="Y228" s="32">
        <v>1112.3499999999999</v>
      </c>
      <c r="Z228" s="32">
        <v>0.77300000000000002</v>
      </c>
      <c r="AA228" s="32">
        <v>1.8154999999999999</v>
      </c>
      <c r="AB228" s="32">
        <v>4.2995000000000001</v>
      </c>
    </row>
    <row r="229" spans="1:28" ht="15" customHeight="1" x14ac:dyDescent="0.2">
      <c r="A229" s="33">
        <v>41193</v>
      </c>
      <c r="B229" s="32">
        <v>4.7153999999999998</v>
      </c>
      <c r="C229" s="32">
        <v>0.97799999999999998</v>
      </c>
      <c r="D229" s="32">
        <v>2.0390999999999999</v>
      </c>
      <c r="E229" s="32">
        <v>476.4</v>
      </c>
      <c r="F229" s="32">
        <v>6.3304999999999998</v>
      </c>
      <c r="G229" s="32">
        <v>1801</v>
      </c>
      <c r="H229" s="32">
        <v>19.399899999999999</v>
      </c>
      <c r="I229" s="32">
        <v>39.848399999999998</v>
      </c>
      <c r="J229" s="32">
        <v>7.7526999999999999</v>
      </c>
      <c r="K229" s="32">
        <v>219.91900000000001</v>
      </c>
      <c r="L229" s="32">
        <v>52.863300000000002</v>
      </c>
      <c r="M229" s="32">
        <v>9624.64</v>
      </c>
      <c r="N229" s="32">
        <v>3.8727</v>
      </c>
      <c r="O229" s="32">
        <v>3.0783999999999998</v>
      </c>
      <c r="P229" s="32">
        <v>12.8978</v>
      </c>
      <c r="Q229" s="32">
        <v>1.2241</v>
      </c>
      <c r="R229" s="32">
        <v>96.932000000000002</v>
      </c>
      <c r="S229" s="32">
        <v>2.6587000000000001</v>
      </c>
      <c r="T229" s="32">
        <v>41.633699999999997</v>
      </c>
      <c r="U229" s="32">
        <v>3.1738</v>
      </c>
      <c r="V229" s="32">
        <v>31.166</v>
      </c>
      <c r="W229" s="32">
        <v>3.7505999999999999</v>
      </c>
      <c r="X229" s="32">
        <v>8.7201000000000004</v>
      </c>
      <c r="Y229" s="32">
        <v>1115.2</v>
      </c>
      <c r="Z229" s="32">
        <v>0.77669999999999995</v>
      </c>
      <c r="AA229" s="32">
        <v>1.8206</v>
      </c>
      <c r="AB229" s="32">
        <v>4.2992999999999997</v>
      </c>
    </row>
    <row r="230" spans="1:28" ht="15" customHeight="1" x14ac:dyDescent="0.2">
      <c r="A230" s="33">
        <v>41194</v>
      </c>
      <c r="B230" s="32">
        <v>4.7156000000000002</v>
      </c>
      <c r="C230" s="32">
        <v>0.97430000000000005</v>
      </c>
      <c r="D230" s="32">
        <v>2.044</v>
      </c>
      <c r="E230" s="32">
        <v>476.1</v>
      </c>
      <c r="F230" s="32">
        <v>6.3236999999999997</v>
      </c>
      <c r="G230" s="32">
        <v>1800.59</v>
      </c>
      <c r="H230" s="32">
        <v>19.364799999999999</v>
      </c>
      <c r="I230" s="32">
        <v>39.689599999999999</v>
      </c>
      <c r="J230" s="32">
        <v>7.7525000000000004</v>
      </c>
      <c r="K230" s="32">
        <v>219.136</v>
      </c>
      <c r="L230" s="32">
        <v>52.765700000000002</v>
      </c>
      <c r="M230" s="32">
        <v>9615.3799999999992</v>
      </c>
      <c r="N230" s="32">
        <v>3.8618000000000001</v>
      </c>
      <c r="O230" s="32">
        <v>3.0743</v>
      </c>
      <c r="P230" s="32">
        <v>12.9392</v>
      </c>
      <c r="Q230" s="32">
        <v>1.2233000000000001</v>
      </c>
      <c r="R230" s="32">
        <v>96.476299999999995</v>
      </c>
      <c r="S230" s="32">
        <v>2.6328999999999998</v>
      </c>
      <c r="T230" s="32">
        <v>41.679099999999998</v>
      </c>
      <c r="U230" s="32">
        <v>3.1793</v>
      </c>
      <c r="V230" s="32">
        <v>31.127800000000001</v>
      </c>
      <c r="W230" s="32">
        <v>3.7505999999999999</v>
      </c>
      <c r="X230" s="32">
        <v>8.7149999999999999</v>
      </c>
      <c r="Y230" s="32">
        <v>1115.08</v>
      </c>
      <c r="Z230" s="32">
        <v>0.77569999999999995</v>
      </c>
      <c r="AA230" s="32">
        <v>1.8139000000000001</v>
      </c>
      <c r="AB230" s="32">
        <v>4.2999000000000001</v>
      </c>
    </row>
    <row r="231" spans="1:28" ht="15" customHeight="1" x14ac:dyDescent="0.2">
      <c r="A231" s="33">
        <v>41195</v>
      </c>
      <c r="B231" s="32">
        <v>4.7144000000000004</v>
      </c>
      <c r="C231" s="32">
        <v>0.97519999999999996</v>
      </c>
      <c r="D231" s="32">
        <v>2.0457000000000001</v>
      </c>
      <c r="E231" s="32">
        <v>473.7</v>
      </c>
      <c r="F231" s="32">
        <v>6.3066000000000004</v>
      </c>
      <c r="G231" s="32">
        <v>1799</v>
      </c>
      <c r="H231" s="32">
        <v>19.2744</v>
      </c>
      <c r="I231" s="32">
        <v>39.6616</v>
      </c>
      <c r="J231" s="32">
        <v>7.7521000000000004</v>
      </c>
      <c r="K231" s="32">
        <v>217.297</v>
      </c>
      <c r="L231" s="32">
        <v>52.652900000000002</v>
      </c>
      <c r="M231" s="32">
        <v>9615.3799999999992</v>
      </c>
      <c r="N231" s="32">
        <v>3.8454000000000002</v>
      </c>
      <c r="O231" s="32">
        <v>3.0629</v>
      </c>
      <c r="P231" s="32">
        <v>12.889200000000001</v>
      </c>
      <c r="Q231" s="32">
        <v>1.2216</v>
      </c>
      <c r="R231" s="32">
        <v>96.400199999999998</v>
      </c>
      <c r="S231" s="32">
        <v>2.6286</v>
      </c>
      <c r="T231" s="32">
        <v>41.5886</v>
      </c>
      <c r="U231" s="32">
        <v>3.1650999999999998</v>
      </c>
      <c r="V231" s="32">
        <v>31.0474</v>
      </c>
      <c r="W231" s="32">
        <v>3.7507999999999999</v>
      </c>
      <c r="X231" s="32">
        <v>8.6676000000000002</v>
      </c>
      <c r="Y231" s="32">
        <v>1112.47</v>
      </c>
      <c r="Z231" s="32">
        <v>0.7722</v>
      </c>
      <c r="AA231" s="32">
        <v>1.8079000000000001</v>
      </c>
      <c r="AB231" s="32">
        <v>4.2998000000000003</v>
      </c>
    </row>
    <row r="232" spans="1:28" ht="15" customHeight="1" x14ac:dyDescent="0.2">
      <c r="A232" s="33">
        <v>41196</v>
      </c>
      <c r="B232" s="32">
        <v>4.7408000000000001</v>
      </c>
      <c r="C232" s="32">
        <v>0.97740000000000005</v>
      </c>
      <c r="D232" s="32">
        <v>2.0510999999999999</v>
      </c>
      <c r="E232" s="32">
        <v>473.7</v>
      </c>
      <c r="F232" s="32">
        <v>6.3070000000000004</v>
      </c>
      <c r="G232" s="32">
        <v>1799</v>
      </c>
      <c r="H232" s="32">
        <v>19.316099999999999</v>
      </c>
      <c r="I232" s="32">
        <v>40.033000000000001</v>
      </c>
      <c r="J232" s="32">
        <v>7.7519999999999998</v>
      </c>
      <c r="K232" s="32">
        <v>216.339</v>
      </c>
      <c r="L232" s="32">
        <v>52.985999999999997</v>
      </c>
      <c r="M232" s="32">
        <v>9606.15</v>
      </c>
      <c r="N232" s="32">
        <v>3.8450000000000002</v>
      </c>
      <c r="O232" s="32">
        <v>3.0867</v>
      </c>
      <c r="P232" s="32">
        <v>12.871</v>
      </c>
      <c r="Q232" s="32">
        <v>1.2252000000000001</v>
      </c>
      <c r="R232" s="32">
        <v>96.8489</v>
      </c>
      <c r="S232" s="32">
        <v>2.6503999999999999</v>
      </c>
      <c r="T232" s="32">
        <v>41.519199999999998</v>
      </c>
      <c r="U232" s="32">
        <v>3.1656</v>
      </c>
      <c r="V232" s="32">
        <v>31.106000000000002</v>
      </c>
      <c r="W232" s="32">
        <v>3.7551000000000001</v>
      </c>
      <c r="X232" s="32">
        <v>8.7372999999999994</v>
      </c>
      <c r="Y232" s="32">
        <v>1121.7</v>
      </c>
      <c r="Z232" s="32">
        <v>0.7722</v>
      </c>
      <c r="AA232" s="32">
        <v>1.8087</v>
      </c>
      <c r="AB232" s="32">
        <v>4.2996999999999996</v>
      </c>
    </row>
    <row r="233" spans="1:28" ht="15" customHeight="1" x14ac:dyDescent="0.2">
      <c r="A233" s="33">
        <v>41197</v>
      </c>
      <c r="B233" s="32">
        <v>4.7164999999999999</v>
      </c>
      <c r="C233" s="32">
        <v>0.97719999999999996</v>
      </c>
      <c r="D233" s="32">
        <v>2.0486</v>
      </c>
      <c r="E233" s="32">
        <v>473.7</v>
      </c>
      <c r="F233" s="32">
        <v>6.3070000000000004</v>
      </c>
      <c r="G233" s="32">
        <v>1799</v>
      </c>
      <c r="H233" s="32">
        <v>19.335000000000001</v>
      </c>
      <c r="I233" s="32">
        <v>40.040999999999997</v>
      </c>
      <c r="J233" s="32">
        <v>7.7519999999999998</v>
      </c>
      <c r="K233" s="32">
        <v>216.376</v>
      </c>
      <c r="L233" s="32">
        <v>52.985999999999997</v>
      </c>
      <c r="M233" s="32">
        <v>9606.15</v>
      </c>
      <c r="N233" s="32">
        <v>3.8483000000000001</v>
      </c>
      <c r="O233" s="32">
        <v>3.0632000000000001</v>
      </c>
      <c r="P233" s="32">
        <v>12.873799999999999</v>
      </c>
      <c r="Q233" s="32">
        <v>1.2251000000000001</v>
      </c>
      <c r="R233" s="32">
        <v>96.867599999999996</v>
      </c>
      <c r="S233" s="32">
        <v>2.6514000000000002</v>
      </c>
      <c r="T233" s="32">
        <v>41.5107</v>
      </c>
      <c r="U233" s="32">
        <v>3.2121</v>
      </c>
      <c r="V233" s="32">
        <v>31.2913</v>
      </c>
      <c r="W233" s="32">
        <v>3.7551000000000001</v>
      </c>
      <c r="X233" s="32">
        <v>8.7438000000000002</v>
      </c>
      <c r="Y233" s="32">
        <v>1113.0899999999999</v>
      </c>
      <c r="Z233" s="32">
        <v>0.7722</v>
      </c>
      <c r="AA233" s="32">
        <v>1.8089</v>
      </c>
      <c r="AB233" s="32">
        <v>4.2996999999999996</v>
      </c>
    </row>
    <row r="234" spans="1:28" ht="15" customHeight="1" x14ac:dyDescent="0.2">
      <c r="A234" s="33">
        <v>41198</v>
      </c>
      <c r="B234" s="32">
        <v>4.7190000000000003</v>
      </c>
      <c r="C234" s="32">
        <v>0.97719999999999996</v>
      </c>
      <c r="D234" s="32">
        <v>2.0428000000000002</v>
      </c>
      <c r="E234" s="32">
        <v>473.4</v>
      </c>
      <c r="F234" s="32">
        <v>6.2984</v>
      </c>
      <c r="G234" s="32">
        <v>1798.92</v>
      </c>
      <c r="H234" s="32">
        <v>19.304600000000001</v>
      </c>
      <c r="I234" s="32">
        <v>39.828899999999997</v>
      </c>
      <c r="J234" s="32">
        <v>7.7515999999999998</v>
      </c>
      <c r="K234" s="32">
        <v>216.30699999999999</v>
      </c>
      <c r="L234" s="32">
        <v>52.947000000000003</v>
      </c>
      <c r="M234" s="32">
        <v>9615.3799999999992</v>
      </c>
      <c r="N234" s="32">
        <v>3.8353000000000002</v>
      </c>
      <c r="O234" s="32">
        <v>3.0638000000000001</v>
      </c>
      <c r="P234" s="32">
        <v>12.852399999999999</v>
      </c>
      <c r="Q234" s="32">
        <v>1.2257</v>
      </c>
      <c r="R234" s="32">
        <v>96.429500000000004</v>
      </c>
      <c r="S234" s="32">
        <v>2.6303999999999998</v>
      </c>
      <c r="T234" s="32">
        <v>41.542400000000001</v>
      </c>
      <c r="U234" s="32">
        <v>3.1661999999999999</v>
      </c>
      <c r="V234" s="32">
        <v>31.098700000000001</v>
      </c>
      <c r="W234" s="32">
        <v>3.7507999999999999</v>
      </c>
      <c r="X234" s="32">
        <v>8.7858999999999998</v>
      </c>
      <c r="Y234" s="32">
        <v>1112.97</v>
      </c>
      <c r="Z234" s="32">
        <v>0.77290000000000003</v>
      </c>
      <c r="AA234" s="32">
        <v>1.8115000000000001</v>
      </c>
      <c r="AB234" s="32">
        <v>4.3</v>
      </c>
    </row>
    <row r="235" spans="1:28" ht="15" customHeight="1" x14ac:dyDescent="0.2">
      <c r="A235" s="33">
        <v>41199</v>
      </c>
      <c r="B235" s="32">
        <v>4.7145000000000001</v>
      </c>
      <c r="C235" s="32">
        <v>0.97409999999999997</v>
      </c>
      <c r="D235" s="32">
        <v>2.0375000000000001</v>
      </c>
      <c r="E235" s="32">
        <v>471.9</v>
      </c>
      <c r="F235" s="32">
        <v>6.2996999999999996</v>
      </c>
      <c r="G235" s="32">
        <v>1799.31</v>
      </c>
      <c r="H235" s="32">
        <v>19.148900000000001</v>
      </c>
      <c r="I235" s="32">
        <v>39.761400000000002</v>
      </c>
      <c r="J235" s="32">
        <v>7.7511999999999999</v>
      </c>
      <c r="K235" s="32">
        <v>214.33099999999999</v>
      </c>
      <c r="L235" s="32">
        <v>52.832299999999996</v>
      </c>
      <c r="M235" s="32">
        <v>9615.3799999999992</v>
      </c>
      <c r="N235" s="32">
        <v>3.8264</v>
      </c>
      <c r="O235" s="32">
        <v>3.0573000000000001</v>
      </c>
      <c r="P235" s="32">
        <v>12.821300000000001</v>
      </c>
      <c r="Q235" s="32">
        <v>1.2273000000000001</v>
      </c>
      <c r="R235" s="32">
        <v>96.326400000000007</v>
      </c>
      <c r="S235" s="32">
        <v>2.6295999999999999</v>
      </c>
      <c r="T235" s="32">
        <v>41.479100000000003</v>
      </c>
      <c r="U235" s="32">
        <v>3.1461000000000001</v>
      </c>
      <c r="V235" s="32">
        <v>30.952400000000001</v>
      </c>
      <c r="W235" s="32">
        <v>3.7505999999999999</v>
      </c>
      <c r="X235" s="32">
        <v>8.7689000000000004</v>
      </c>
      <c r="Y235" s="32">
        <v>1108.52</v>
      </c>
      <c r="Z235" s="32">
        <v>0.76910000000000001</v>
      </c>
      <c r="AA235" s="32">
        <v>1.8089999999999999</v>
      </c>
      <c r="AB235" s="32">
        <v>4.3</v>
      </c>
    </row>
    <row r="236" spans="1:28" ht="15" customHeight="1" x14ac:dyDescent="0.2">
      <c r="A236" s="33">
        <v>41200</v>
      </c>
      <c r="B236" s="32">
        <v>4.7190000000000003</v>
      </c>
      <c r="C236" s="32">
        <v>0.9677</v>
      </c>
      <c r="D236" s="32">
        <v>2.0358000000000001</v>
      </c>
      <c r="E236" s="32">
        <v>473</v>
      </c>
      <c r="F236" s="32">
        <v>6.2944000000000004</v>
      </c>
      <c r="G236" s="32">
        <v>1800.17</v>
      </c>
      <c r="H236" s="32">
        <v>18.915800000000001</v>
      </c>
      <c r="I236" s="32">
        <v>39.662799999999997</v>
      </c>
      <c r="J236" s="32">
        <v>7.7516999999999996</v>
      </c>
      <c r="K236" s="32">
        <v>212.48599999999999</v>
      </c>
      <c r="L236" s="32">
        <v>52.765500000000003</v>
      </c>
      <c r="M236" s="32">
        <v>9606.15</v>
      </c>
      <c r="N236" s="32">
        <v>3.8005</v>
      </c>
      <c r="O236" s="32">
        <v>3.0438999999999998</v>
      </c>
      <c r="P236" s="32">
        <v>12.8233</v>
      </c>
      <c r="Q236" s="32">
        <v>1.2211000000000001</v>
      </c>
      <c r="R236" s="32">
        <v>95.897800000000004</v>
      </c>
      <c r="S236" s="32">
        <v>2.6177000000000001</v>
      </c>
      <c r="T236" s="32">
        <v>41.320900000000002</v>
      </c>
      <c r="U236" s="32">
        <v>3.1254</v>
      </c>
      <c r="V236" s="32">
        <v>30.805399999999999</v>
      </c>
      <c r="W236" s="32">
        <v>3.7505999999999999</v>
      </c>
      <c r="X236" s="32">
        <v>8.6631</v>
      </c>
      <c r="Y236" s="32">
        <v>1106.32</v>
      </c>
      <c r="Z236" s="32">
        <v>0.76280000000000003</v>
      </c>
      <c r="AA236" s="32">
        <v>1.8013999999999999</v>
      </c>
      <c r="AB236" s="32">
        <v>4.3</v>
      </c>
    </row>
    <row r="237" spans="1:28" ht="15" customHeight="1" x14ac:dyDescent="0.2">
      <c r="A237" s="33">
        <v>41201</v>
      </c>
      <c r="B237" s="32">
        <v>4.7351999999999999</v>
      </c>
      <c r="C237" s="32">
        <v>0.96340000000000003</v>
      </c>
      <c r="D237" s="32">
        <v>2.0325000000000002</v>
      </c>
      <c r="E237" s="32">
        <v>473.55</v>
      </c>
      <c r="F237" s="32">
        <v>6.2942</v>
      </c>
      <c r="G237" s="32">
        <v>1799.3</v>
      </c>
      <c r="H237" s="32">
        <v>18.9176</v>
      </c>
      <c r="I237" s="32">
        <v>39.908000000000001</v>
      </c>
      <c r="J237" s="32">
        <v>7.7510000000000003</v>
      </c>
      <c r="K237" s="32">
        <v>212.23400000000001</v>
      </c>
      <c r="L237" s="32">
        <v>53.100700000000003</v>
      </c>
      <c r="M237" s="32">
        <v>9615.3799999999992</v>
      </c>
      <c r="N237" s="32">
        <v>3.8105000000000002</v>
      </c>
      <c r="O237" s="32">
        <v>3.0388999999999999</v>
      </c>
      <c r="P237" s="32">
        <v>12.8171</v>
      </c>
      <c r="Q237" s="32">
        <v>1.2181999999999999</v>
      </c>
      <c r="R237" s="32">
        <v>96.537999999999997</v>
      </c>
      <c r="S237" s="32">
        <v>2.6248</v>
      </c>
      <c r="T237" s="32">
        <v>41.373199999999997</v>
      </c>
      <c r="U237" s="32">
        <v>3.1320000000000001</v>
      </c>
      <c r="V237" s="32">
        <v>30.781099999999999</v>
      </c>
      <c r="W237" s="32">
        <v>3.7505999999999999</v>
      </c>
      <c r="X237" s="32">
        <v>8.6273999999999997</v>
      </c>
      <c r="Y237" s="32">
        <v>1105.83</v>
      </c>
      <c r="Z237" s="32">
        <v>0.76339999999999997</v>
      </c>
      <c r="AA237" s="32">
        <v>1.7991999999999999</v>
      </c>
      <c r="AB237" s="32">
        <v>4.3</v>
      </c>
    </row>
    <row r="238" spans="1:28" ht="15" customHeight="1" x14ac:dyDescent="0.2">
      <c r="A238" s="33">
        <v>41202</v>
      </c>
      <c r="B238" s="32">
        <v>4.7373000000000003</v>
      </c>
      <c r="C238" s="32">
        <v>0.96579999999999999</v>
      </c>
      <c r="D238" s="32">
        <v>2.0289000000000001</v>
      </c>
      <c r="E238" s="32">
        <v>474.7</v>
      </c>
      <c r="F238" s="32">
        <v>6.3006000000000002</v>
      </c>
      <c r="G238" s="32">
        <v>1800</v>
      </c>
      <c r="H238" s="32">
        <v>18.9815</v>
      </c>
      <c r="I238" s="32">
        <v>39.985900000000001</v>
      </c>
      <c r="J238" s="32">
        <v>7.7504999999999997</v>
      </c>
      <c r="K238" s="32">
        <v>212.90899999999999</v>
      </c>
      <c r="L238" s="32">
        <v>53.7864</v>
      </c>
      <c r="M238" s="32">
        <v>9615.3799999999992</v>
      </c>
      <c r="N238" s="32">
        <v>3.8250000000000002</v>
      </c>
      <c r="O238" s="32">
        <v>3.0440999999999998</v>
      </c>
      <c r="P238" s="32">
        <v>12.8628</v>
      </c>
      <c r="Q238" s="32">
        <v>1.2219</v>
      </c>
      <c r="R238" s="32">
        <v>96.623999999999995</v>
      </c>
      <c r="S238" s="32">
        <v>2.6423999999999999</v>
      </c>
      <c r="T238" s="32">
        <v>41.396900000000002</v>
      </c>
      <c r="U238" s="32">
        <v>3.1389</v>
      </c>
      <c r="V238" s="32">
        <v>30.823399999999999</v>
      </c>
      <c r="W238" s="32">
        <v>3.7507999999999999</v>
      </c>
      <c r="X238" s="32">
        <v>8.65</v>
      </c>
      <c r="Y238" s="32">
        <v>1106.44</v>
      </c>
      <c r="Z238" s="32">
        <v>0.76619999999999999</v>
      </c>
      <c r="AA238" s="32">
        <v>1.798</v>
      </c>
      <c r="AB238" s="32">
        <v>4.3006000000000002</v>
      </c>
    </row>
    <row r="239" spans="1:28" ht="15" customHeight="1" x14ac:dyDescent="0.2">
      <c r="A239" s="33">
        <v>41203</v>
      </c>
      <c r="B239" s="32">
        <v>4.7748999999999997</v>
      </c>
      <c r="C239" s="32">
        <v>0.96819999999999995</v>
      </c>
      <c r="D239" s="32">
        <v>2.0305</v>
      </c>
      <c r="E239" s="32">
        <v>474.7</v>
      </c>
      <c r="F239" s="32">
        <v>6.3087</v>
      </c>
      <c r="G239" s="32">
        <v>1800</v>
      </c>
      <c r="H239" s="32">
        <v>19.090800000000002</v>
      </c>
      <c r="I239" s="32">
        <v>39.972299999999997</v>
      </c>
      <c r="J239" s="32">
        <v>7.7504999999999997</v>
      </c>
      <c r="K239" s="32">
        <v>214.31299999999999</v>
      </c>
      <c r="L239" s="32">
        <v>54.048000000000002</v>
      </c>
      <c r="M239" s="32">
        <v>9624.64</v>
      </c>
      <c r="N239" s="32">
        <v>3.8277999999999999</v>
      </c>
      <c r="O239" s="32">
        <v>3.0871</v>
      </c>
      <c r="P239" s="32">
        <v>12.8932</v>
      </c>
      <c r="Q239" s="32">
        <v>1.2265999999999999</v>
      </c>
      <c r="R239" s="32">
        <v>96.808199999999999</v>
      </c>
      <c r="S239" s="32">
        <v>2.6503999999999999</v>
      </c>
      <c r="T239" s="32">
        <v>41.433300000000003</v>
      </c>
      <c r="U239" s="32">
        <v>3.1816</v>
      </c>
      <c r="V239" s="32">
        <v>30.8996</v>
      </c>
      <c r="W239" s="32">
        <v>3.7551000000000001</v>
      </c>
      <c r="X239" s="32">
        <v>8.6675000000000004</v>
      </c>
      <c r="Y239" s="32">
        <v>1118.69</v>
      </c>
      <c r="Z239" s="32">
        <v>0.76790000000000003</v>
      </c>
      <c r="AA239" s="32">
        <v>1.7971999999999999</v>
      </c>
      <c r="AB239" s="32">
        <v>4.2996999999999996</v>
      </c>
    </row>
    <row r="240" spans="1:28" ht="15" customHeight="1" x14ac:dyDescent="0.2">
      <c r="A240" s="33">
        <v>41204</v>
      </c>
      <c r="B240" s="32">
        <v>4.7668999999999997</v>
      </c>
      <c r="C240" s="32">
        <v>0.96830000000000005</v>
      </c>
      <c r="D240" s="32">
        <v>2.0306999999999999</v>
      </c>
      <c r="E240" s="32">
        <v>474.7</v>
      </c>
      <c r="F240" s="32">
        <v>6.3083</v>
      </c>
      <c r="G240" s="32">
        <v>1800</v>
      </c>
      <c r="H240" s="32">
        <v>19.092500000000001</v>
      </c>
      <c r="I240" s="32">
        <v>39.975000000000001</v>
      </c>
      <c r="J240" s="32">
        <v>7.7506000000000004</v>
      </c>
      <c r="K240" s="32">
        <v>214.25899999999999</v>
      </c>
      <c r="L240" s="32">
        <v>54.038899999999998</v>
      </c>
      <c r="M240" s="32">
        <v>9624.64</v>
      </c>
      <c r="N240" s="32">
        <v>3.8313999999999999</v>
      </c>
      <c r="O240" s="32">
        <v>3.0788000000000002</v>
      </c>
      <c r="P240" s="32">
        <v>12.8932</v>
      </c>
      <c r="Q240" s="32">
        <v>1.2265999999999999</v>
      </c>
      <c r="R240" s="32">
        <v>96.826400000000007</v>
      </c>
      <c r="S240" s="32">
        <v>2.6503000000000001</v>
      </c>
      <c r="T240" s="32">
        <v>41.436100000000003</v>
      </c>
      <c r="U240" s="32">
        <v>3.2052999999999998</v>
      </c>
      <c r="V240" s="32">
        <v>31.363600000000002</v>
      </c>
      <c r="W240" s="32">
        <v>3.7549999999999999</v>
      </c>
      <c r="X240" s="32">
        <v>8.6677999999999997</v>
      </c>
      <c r="Y240" s="32">
        <v>1115.7</v>
      </c>
      <c r="Z240" s="32">
        <v>0.76800000000000002</v>
      </c>
      <c r="AA240" s="32">
        <v>1.7970999999999999</v>
      </c>
      <c r="AB240" s="32">
        <v>4.2996999999999996</v>
      </c>
    </row>
    <row r="241" spans="1:28" ht="15" customHeight="1" x14ac:dyDescent="0.2">
      <c r="A241" s="33">
        <v>41205</v>
      </c>
      <c r="B241" s="32">
        <v>4.7409999999999997</v>
      </c>
      <c r="C241" s="32">
        <v>0.96930000000000005</v>
      </c>
      <c r="D241" s="32">
        <v>2.0286</v>
      </c>
      <c r="E241" s="32">
        <v>476.4</v>
      </c>
      <c r="F241" s="32">
        <v>6.2988999999999997</v>
      </c>
      <c r="G241" s="32">
        <v>1800.88</v>
      </c>
      <c r="H241" s="32">
        <v>19.0807</v>
      </c>
      <c r="I241" s="32">
        <v>39.897199999999998</v>
      </c>
      <c r="J241" s="32">
        <v>7.7504999999999997</v>
      </c>
      <c r="K241" s="32">
        <v>214.25399999999999</v>
      </c>
      <c r="L241" s="32">
        <v>53.595799999999997</v>
      </c>
      <c r="M241" s="32">
        <v>9624.64</v>
      </c>
      <c r="N241" s="32">
        <v>3.8290999999999999</v>
      </c>
      <c r="O241" s="32">
        <v>3.0533999999999999</v>
      </c>
      <c r="P241" s="32">
        <v>12.8766</v>
      </c>
      <c r="Q241" s="32">
        <v>1.2238</v>
      </c>
      <c r="R241" s="32">
        <v>96.630399999999995</v>
      </c>
      <c r="S241" s="32">
        <v>2.6427999999999998</v>
      </c>
      <c r="T241" s="32">
        <v>41.458199999999998</v>
      </c>
      <c r="U241" s="32">
        <v>3.1495000000000002</v>
      </c>
      <c r="V241" s="32">
        <v>30.994800000000001</v>
      </c>
      <c r="W241" s="32">
        <v>3.7505999999999999</v>
      </c>
      <c r="X241" s="32">
        <v>8.6446000000000005</v>
      </c>
      <c r="Y241" s="32">
        <v>1105.58</v>
      </c>
      <c r="Z241" s="32">
        <v>0.76639999999999997</v>
      </c>
      <c r="AA241" s="32">
        <v>1.7956000000000001</v>
      </c>
      <c r="AB241" s="32">
        <v>4.2998000000000003</v>
      </c>
    </row>
    <row r="242" spans="1:28" ht="15" customHeight="1" x14ac:dyDescent="0.2">
      <c r="A242" s="33">
        <v>41206</v>
      </c>
      <c r="B242" s="32">
        <v>4.7435999999999998</v>
      </c>
      <c r="C242" s="32">
        <v>0.97170000000000001</v>
      </c>
      <c r="D242" s="32">
        <v>2.0278</v>
      </c>
      <c r="E242" s="32">
        <v>482</v>
      </c>
      <c r="F242" s="32">
        <v>6.3021000000000003</v>
      </c>
      <c r="G242" s="32">
        <v>1811.99</v>
      </c>
      <c r="H242" s="32">
        <v>19.142800000000001</v>
      </c>
      <c r="I242" s="32">
        <v>39.789400000000001</v>
      </c>
      <c r="J242" s="32">
        <v>7.7504</v>
      </c>
      <c r="K242" s="32">
        <v>215.792</v>
      </c>
      <c r="L242" s="32">
        <v>53.615499999999997</v>
      </c>
      <c r="M242" s="32">
        <v>9633.91</v>
      </c>
      <c r="N242" s="32">
        <v>3.8319000000000001</v>
      </c>
      <c r="O242" s="32">
        <v>3.0571000000000002</v>
      </c>
      <c r="P242" s="32">
        <v>12.917400000000001</v>
      </c>
      <c r="Q242" s="32">
        <v>1.2274</v>
      </c>
      <c r="R242" s="32">
        <v>96.396100000000004</v>
      </c>
      <c r="S242" s="32">
        <v>2.6286</v>
      </c>
      <c r="T242" s="32">
        <v>41.467799999999997</v>
      </c>
      <c r="U242" s="32">
        <v>3.1673</v>
      </c>
      <c r="V242" s="32">
        <v>31.249199999999998</v>
      </c>
      <c r="W242" s="32">
        <v>3.7507000000000001</v>
      </c>
      <c r="X242" s="32">
        <v>8.7094000000000005</v>
      </c>
      <c r="Y242" s="32">
        <v>1104.48</v>
      </c>
      <c r="Z242" s="32">
        <v>0.7681</v>
      </c>
      <c r="AA242" s="32">
        <v>1.7994000000000001</v>
      </c>
      <c r="AB242" s="32">
        <v>4.3</v>
      </c>
    </row>
    <row r="243" spans="1:28" ht="15" customHeight="1" x14ac:dyDescent="0.2">
      <c r="A243" s="33">
        <v>41207</v>
      </c>
      <c r="B243" s="32">
        <v>4.7483000000000004</v>
      </c>
      <c r="C243" s="32">
        <v>0.96940000000000004</v>
      </c>
      <c r="D243" s="32">
        <v>2.0289000000000001</v>
      </c>
      <c r="E243" s="32">
        <v>483.4</v>
      </c>
      <c r="F243" s="32">
        <v>6.3010999999999999</v>
      </c>
      <c r="G243" s="32">
        <v>1818.03</v>
      </c>
      <c r="H243" s="32">
        <v>19.262899999999998</v>
      </c>
      <c r="I243" s="32">
        <v>39.643300000000004</v>
      </c>
      <c r="J243" s="32">
        <v>7.7504</v>
      </c>
      <c r="K243" s="32">
        <v>216.964</v>
      </c>
      <c r="L243" s="32">
        <v>53.866999999999997</v>
      </c>
      <c r="M243" s="32">
        <v>9643.2000000000007</v>
      </c>
      <c r="N243" s="32">
        <v>3.8599000000000001</v>
      </c>
      <c r="O243" s="32">
        <v>3.0621999999999998</v>
      </c>
      <c r="P243" s="32">
        <v>12.979699999999999</v>
      </c>
      <c r="Q243" s="32">
        <v>1.2287999999999999</v>
      </c>
      <c r="R243" s="32">
        <v>96.1053</v>
      </c>
      <c r="S243" s="32">
        <v>2.6406999999999998</v>
      </c>
      <c r="T243" s="32">
        <v>41.523499999999999</v>
      </c>
      <c r="U243" s="32">
        <v>3.1938</v>
      </c>
      <c r="V243" s="32">
        <v>31.4053</v>
      </c>
      <c r="W243" s="32">
        <v>3.7507000000000001</v>
      </c>
      <c r="X243" s="32">
        <v>8.7715999999999994</v>
      </c>
      <c r="Y243" s="32">
        <v>1104.8499999999999</v>
      </c>
      <c r="Z243" s="32">
        <v>0.7712</v>
      </c>
      <c r="AA243" s="32">
        <v>1.8039000000000001</v>
      </c>
      <c r="AB243" s="32">
        <v>4.3000999999999996</v>
      </c>
    </row>
    <row r="244" spans="1:28" ht="15" customHeight="1" x14ac:dyDescent="0.2">
      <c r="A244" s="33">
        <v>41208</v>
      </c>
      <c r="B244" s="32">
        <v>4.7534000000000001</v>
      </c>
      <c r="C244" s="32">
        <v>0.9647</v>
      </c>
      <c r="D244" s="32">
        <v>2.0276000000000001</v>
      </c>
      <c r="E244" s="32">
        <v>480.2</v>
      </c>
      <c r="F244" s="32">
        <v>6.2911999999999999</v>
      </c>
      <c r="G244" s="32">
        <v>1818.25</v>
      </c>
      <c r="H244" s="32">
        <v>19.258800000000001</v>
      </c>
      <c r="I244" s="32">
        <v>39.730600000000003</v>
      </c>
      <c r="J244" s="32">
        <v>7.7504999999999997</v>
      </c>
      <c r="K244" s="32">
        <v>216.048</v>
      </c>
      <c r="L244" s="32">
        <v>53.691299999999998</v>
      </c>
      <c r="M244" s="32">
        <v>9643.2000000000007</v>
      </c>
      <c r="N244" s="32">
        <v>3.8679999999999999</v>
      </c>
      <c r="O244" s="32">
        <v>3.0482999999999998</v>
      </c>
      <c r="P244" s="32">
        <v>12.966200000000001</v>
      </c>
      <c r="Q244" s="32">
        <v>1.2164999999999999</v>
      </c>
      <c r="R244" s="32">
        <v>96.473100000000002</v>
      </c>
      <c r="S244" s="32">
        <v>2.6238999999999999</v>
      </c>
      <c r="T244" s="32">
        <v>41.405999999999999</v>
      </c>
      <c r="U244" s="32">
        <v>3.2008000000000001</v>
      </c>
      <c r="V244" s="32">
        <v>31.3505</v>
      </c>
      <c r="W244" s="32">
        <v>3.7507000000000001</v>
      </c>
      <c r="X244" s="32">
        <v>8.7396999999999991</v>
      </c>
      <c r="Y244" s="32">
        <v>1100.96</v>
      </c>
      <c r="Z244" s="32">
        <v>0.77070000000000005</v>
      </c>
      <c r="AA244" s="32">
        <v>1.8013999999999999</v>
      </c>
      <c r="AB244" s="32">
        <v>4.3003</v>
      </c>
    </row>
    <row r="245" spans="1:28" ht="15" customHeight="1" x14ac:dyDescent="0.2">
      <c r="A245" s="33">
        <v>41209</v>
      </c>
      <c r="B245" s="32">
        <v>4.7554999999999996</v>
      </c>
      <c r="C245" s="32">
        <v>0.9667</v>
      </c>
      <c r="D245" s="32">
        <v>2.0287000000000002</v>
      </c>
      <c r="E245" s="32">
        <v>482.3</v>
      </c>
      <c r="F245" s="32">
        <v>6.2869999999999999</v>
      </c>
      <c r="G245" s="32">
        <v>1819.99</v>
      </c>
      <c r="H245" s="32">
        <v>19.301200000000001</v>
      </c>
      <c r="I245" s="32">
        <v>39.618699999999997</v>
      </c>
      <c r="J245" s="32">
        <v>7.7504</v>
      </c>
      <c r="K245" s="32">
        <v>217.56800000000001</v>
      </c>
      <c r="L245" s="32">
        <v>53.819800000000001</v>
      </c>
      <c r="M245" s="32">
        <v>9643.2000000000007</v>
      </c>
      <c r="N245" s="32">
        <v>3.8755999999999999</v>
      </c>
      <c r="O245" s="32">
        <v>3.0430999999999999</v>
      </c>
      <c r="P245" s="32">
        <v>13.0299</v>
      </c>
      <c r="Q245" s="32">
        <v>1.2194</v>
      </c>
      <c r="R245" s="32">
        <v>96.992999999999995</v>
      </c>
      <c r="S245" s="32">
        <v>2.6377999999999999</v>
      </c>
      <c r="T245" s="32">
        <v>41.460500000000003</v>
      </c>
      <c r="U245" s="32">
        <v>3.2098</v>
      </c>
      <c r="V245" s="32">
        <v>31.422599999999999</v>
      </c>
      <c r="W245" s="32">
        <v>3.7509000000000001</v>
      </c>
      <c r="X245" s="32">
        <v>8.7165999999999997</v>
      </c>
      <c r="Y245" s="32">
        <v>1099.51</v>
      </c>
      <c r="Z245" s="32">
        <v>0.77329999999999999</v>
      </c>
      <c r="AA245" s="32">
        <v>1.8023</v>
      </c>
      <c r="AB245" s="32">
        <v>4.3</v>
      </c>
    </row>
    <row r="246" spans="1:28" ht="15" customHeight="1" x14ac:dyDescent="0.2">
      <c r="A246" s="33">
        <v>41210</v>
      </c>
      <c r="B246" s="32">
        <v>4.7774000000000001</v>
      </c>
      <c r="C246" s="32">
        <v>0.96419999999999995</v>
      </c>
      <c r="D246" s="32">
        <v>2.0297000000000001</v>
      </c>
      <c r="E246" s="32">
        <v>482.3</v>
      </c>
      <c r="F246" s="32">
        <v>6.2919</v>
      </c>
      <c r="G246" s="32">
        <v>1825</v>
      </c>
      <c r="H246" s="32">
        <v>19.290500000000002</v>
      </c>
      <c r="I246" s="32">
        <v>39.952599999999997</v>
      </c>
      <c r="J246" s="32">
        <v>7.7507999999999999</v>
      </c>
      <c r="K246" s="32">
        <v>218.34399999999999</v>
      </c>
      <c r="L246" s="32">
        <v>53.920999999999999</v>
      </c>
      <c r="M246" s="32">
        <v>9633.91</v>
      </c>
      <c r="N246" s="32">
        <v>3.8780000000000001</v>
      </c>
      <c r="O246" s="32">
        <v>3.0626000000000002</v>
      </c>
      <c r="P246" s="32">
        <v>13.0017</v>
      </c>
      <c r="Q246" s="32">
        <v>1.2161</v>
      </c>
      <c r="R246" s="32">
        <v>96.760199999999998</v>
      </c>
      <c r="S246" s="32">
        <v>2.6362999999999999</v>
      </c>
      <c r="T246" s="32">
        <v>41.384700000000002</v>
      </c>
      <c r="U246" s="32">
        <v>3.1993</v>
      </c>
      <c r="V246" s="32">
        <v>31.406700000000001</v>
      </c>
      <c r="W246" s="32">
        <v>3.7551999999999999</v>
      </c>
      <c r="X246" s="32">
        <v>8.6491000000000007</v>
      </c>
      <c r="Y246" s="32">
        <v>1105.0899999999999</v>
      </c>
      <c r="Z246" s="32">
        <v>0.77310000000000001</v>
      </c>
      <c r="AA246" s="32">
        <v>1.8016000000000001</v>
      </c>
      <c r="AB246" s="32">
        <v>4.2996999999999996</v>
      </c>
    </row>
    <row r="247" spans="1:28" ht="15" customHeight="1" x14ac:dyDescent="0.2">
      <c r="A247" s="33">
        <v>41211</v>
      </c>
      <c r="B247" s="32">
        <v>4.7533000000000003</v>
      </c>
      <c r="C247" s="32">
        <v>0.96430000000000005</v>
      </c>
      <c r="D247" s="32">
        <v>2.0284</v>
      </c>
      <c r="E247" s="32">
        <v>481.5</v>
      </c>
      <c r="F247" s="32">
        <v>6.2919</v>
      </c>
      <c r="G247" s="32">
        <v>1825</v>
      </c>
      <c r="H247" s="32">
        <v>19.2745</v>
      </c>
      <c r="I247" s="32">
        <v>39.957999999999998</v>
      </c>
      <c r="J247" s="32">
        <v>7.7507999999999999</v>
      </c>
      <c r="K247" s="32">
        <v>218.28700000000001</v>
      </c>
      <c r="L247" s="32">
        <v>53.920999999999999</v>
      </c>
      <c r="M247" s="32">
        <v>9633.91</v>
      </c>
      <c r="N247" s="32">
        <v>3.8786</v>
      </c>
      <c r="O247" s="32">
        <v>3.0907</v>
      </c>
      <c r="P247" s="32">
        <v>13.005100000000001</v>
      </c>
      <c r="Q247" s="32">
        <v>1.2161999999999999</v>
      </c>
      <c r="R247" s="32">
        <v>96.783000000000001</v>
      </c>
      <c r="S247" s="32">
        <v>2.6372</v>
      </c>
      <c r="T247" s="32">
        <v>41.396999999999998</v>
      </c>
      <c r="U247" s="32">
        <v>3.1951999999999998</v>
      </c>
      <c r="V247" s="32">
        <v>31.408000000000001</v>
      </c>
      <c r="W247" s="32">
        <v>3.7551999999999999</v>
      </c>
      <c r="X247" s="32">
        <v>8.6513000000000009</v>
      </c>
      <c r="Y247" s="32">
        <v>1114.33</v>
      </c>
      <c r="Z247" s="32">
        <v>0.77310000000000001</v>
      </c>
      <c r="AA247" s="32">
        <v>1.8023</v>
      </c>
      <c r="AB247" s="32">
        <v>4.2996999999999996</v>
      </c>
    </row>
    <row r="248" spans="1:28" ht="15" customHeight="1" x14ac:dyDescent="0.2">
      <c r="A248" s="33">
        <v>41212</v>
      </c>
      <c r="B248" s="32">
        <v>4.7576999999999998</v>
      </c>
      <c r="C248" s="32">
        <v>0.96630000000000005</v>
      </c>
      <c r="D248" s="32">
        <v>2.0331000000000001</v>
      </c>
      <c r="E248" s="32">
        <v>483.4</v>
      </c>
      <c r="F248" s="32">
        <v>6.2918000000000003</v>
      </c>
      <c r="G248" s="32">
        <v>1825</v>
      </c>
      <c r="H248" s="32">
        <v>19.355899999999998</v>
      </c>
      <c r="I248" s="32">
        <v>39.9726</v>
      </c>
      <c r="J248" s="32">
        <v>7.7504999999999997</v>
      </c>
      <c r="K248" s="32">
        <v>219.815</v>
      </c>
      <c r="L248" s="32">
        <v>54.015900000000002</v>
      </c>
      <c r="M248" s="32">
        <v>9624.64</v>
      </c>
      <c r="N248" s="32">
        <v>3.8885999999999998</v>
      </c>
      <c r="O248" s="32">
        <v>3.0745</v>
      </c>
      <c r="P248" s="32">
        <v>13.0527</v>
      </c>
      <c r="Q248" s="32">
        <v>1.2190000000000001</v>
      </c>
      <c r="R248" s="32">
        <v>96.897900000000007</v>
      </c>
      <c r="S248" s="32">
        <v>2.6467000000000001</v>
      </c>
      <c r="T248" s="32">
        <v>41.392099999999999</v>
      </c>
      <c r="U248" s="32">
        <v>3.2113</v>
      </c>
      <c r="V248" s="32">
        <v>31.464700000000001</v>
      </c>
      <c r="W248" s="32">
        <v>3.7507999999999999</v>
      </c>
      <c r="X248" s="32">
        <v>8.6875</v>
      </c>
      <c r="Y248" s="32">
        <v>1105.58</v>
      </c>
      <c r="Z248" s="32">
        <v>0.77439999999999998</v>
      </c>
      <c r="AA248" s="32">
        <v>1.8033999999999999</v>
      </c>
      <c r="AB248" s="32">
        <v>4.2996999999999996</v>
      </c>
    </row>
    <row r="249" spans="1:28" ht="15" customHeight="1" x14ac:dyDescent="0.2">
      <c r="A249" s="33">
        <v>41213</v>
      </c>
      <c r="B249" s="32">
        <v>4.7596999999999996</v>
      </c>
      <c r="C249" s="32">
        <v>0.96550000000000002</v>
      </c>
      <c r="D249" s="32">
        <v>2.0339999999999998</v>
      </c>
      <c r="E249" s="32">
        <v>481.3</v>
      </c>
      <c r="F249" s="32">
        <v>6.2949999999999999</v>
      </c>
      <c r="G249" s="32">
        <v>1825</v>
      </c>
      <c r="H249" s="32">
        <v>19.352699999999999</v>
      </c>
      <c r="I249" s="32">
        <v>39.983699999999999</v>
      </c>
      <c r="J249" s="32">
        <v>7.7503000000000002</v>
      </c>
      <c r="K249" s="32">
        <v>220.191</v>
      </c>
      <c r="L249" s="32">
        <v>54.102600000000002</v>
      </c>
      <c r="M249" s="32">
        <v>9643.2000000000007</v>
      </c>
      <c r="N249" s="32">
        <v>3.9030999999999998</v>
      </c>
      <c r="O249" s="32">
        <v>3.0571999999999999</v>
      </c>
      <c r="P249" s="32">
        <v>13.0784</v>
      </c>
      <c r="Q249" s="32">
        <v>1.2183999999999999</v>
      </c>
      <c r="R249" s="32">
        <v>97.052300000000002</v>
      </c>
      <c r="S249" s="32">
        <v>2.6612</v>
      </c>
      <c r="T249" s="32">
        <v>41.343299999999999</v>
      </c>
      <c r="U249" s="32">
        <v>3.2031000000000001</v>
      </c>
      <c r="V249" s="32">
        <v>31.470300000000002</v>
      </c>
      <c r="W249" s="32">
        <v>3.7505999999999999</v>
      </c>
      <c r="X249" s="32">
        <v>8.6706000000000003</v>
      </c>
      <c r="Y249" s="32">
        <v>1094.21</v>
      </c>
      <c r="Z249" s="32">
        <v>0.77310000000000001</v>
      </c>
      <c r="AA249" s="32">
        <v>1.8017000000000001</v>
      </c>
      <c r="AB249" s="32">
        <v>4.2996999999999996</v>
      </c>
    </row>
    <row r="250" spans="1:28" ht="15" customHeight="1" x14ac:dyDescent="0.2">
      <c r="A250" s="33">
        <v>41214</v>
      </c>
      <c r="B250" s="32">
        <v>4.7690999999999999</v>
      </c>
      <c r="C250" s="32">
        <v>0.9637</v>
      </c>
      <c r="D250" s="32">
        <v>2.0331000000000001</v>
      </c>
      <c r="E250" s="32">
        <v>482.2</v>
      </c>
      <c r="F250" s="32">
        <v>6.2899000000000003</v>
      </c>
      <c r="G250" s="32">
        <v>1826.29</v>
      </c>
      <c r="H250" s="32">
        <v>19.310600000000001</v>
      </c>
      <c r="I250" s="32">
        <v>39.863199999999999</v>
      </c>
      <c r="J250" s="32">
        <v>7.7502000000000004</v>
      </c>
      <c r="K250" s="32">
        <v>218.86</v>
      </c>
      <c r="L250" s="32">
        <v>53.972499999999997</v>
      </c>
      <c r="M250" s="32">
        <v>9643.2000000000007</v>
      </c>
      <c r="N250" s="32">
        <v>3.8887999999999998</v>
      </c>
      <c r="O250" s="32">
        <v>3.0522999999999998</v>
      </c>
      <c r="P250" s="32">
        <v>13.0776</v>
      </c>
      <c r="Q250" s="32">
        <v>1.2169000000000001</v>
      </c>
      <c r="R250" s="32">
        <v>96.710700000000003</v>
      </c>
      <c r="S250" s="32">
        <v>2.645</v>
      </c>
      <c r="T250" s="32">
        <v>41.281999999999996</v>
      </c>
      <c r="U250" s="32">
        <v>3.1871999999999998</v>
      </c>
      <c r="V250" s="32">
        <v>31.3843</v>
      </c>
      <c r="W250" s="32">
        <v>3.7507000000000001</v>
      </c>
      <c r="X250" s="32">
        <v>8.6620000000000008</v>
      </c>
      <c r="Y250" s="32">
        <v>1091.7</v>
      </c>
      <c r="Z250" s="32">
        <v>0.77090000000000003</v>
      </c>
      <c r="AA250" s="32">
        <v>1.7955000000000001</v>
      </c>
      <c r="AB250" s="32">
        <v>4.3003</v>
      </c>
    </row>
    <row r="251" spans="1:28" ht="15" customHeight="1" x14ac:dyDescent="0.2">
      <c r="A251" s="33">
        <v>41215</v>
      </c>
      <c r="B251" s="32">
        <v>4.7698999999999998</v>
      </c>
      <c r="C251" s="32">
        <v>0.96330000000000005</v>
      </c>
      <c r="D251" s="32">
        <v>2.0333000000000001</v>
      </c>
      <c r="E251" s="32">
        <v>482.25</v>
      </c>
      <c r="F251" s="32">
        <v>6.2907000000000002</v>
      </c>
      <c r="G251" s="32">
        <v>1831.96</v>
      </c>
      <c r="H251" s="32">
        <v>19.422699999999999</v>
      </c>
      <c r="I251" s="32">
        <v>39.967199999999998</v>
      </c>
      <c r="J251" s="32">
        <v>7.7502000000000004</v>
      </c>
      <c r="K251" s="32">
        <v>218.572</v>
      </c>
      <c r="L251" s="32">
        <v>53.786999999999999</v>
      </c>
      <c r="M251" s="32">
        <v>9643.2000000000007</v>
      </c>
      <c r="N251" s="32">
        <v>3.8839000000000001</v>
      </c>
      <c r="O251" s="32">
        <v>3.0546000000000002</v>
      </c>
      <c r="P251" s="32">
        <v>13.0824</v>
      </c>
      <c r="Q251" s="32">
        <v>1.2138</v>
      </c>
      <c r="R251" s="32">
        <v>96.853499999999997</v>
      </c>
      <c r="S251" s="32">
        <v>2.6595</v>
      </c>
      <c r="T251" s="32">
        <v>41.247900000000001</v>
      </c>
      <c r="U251" s="32">
        <v>3.1915</v>
      </c>
      <c r="V251" s="32">
        <v>31.364000000000001</v>
      </c>
      <c r="W251" s="32">
        <v>3.7507000000000001</v>
      </c>
      <c r="X251" s="32">
        <v>8.6715999999999998</v>
      </c>
      <c r="Y251" s="32">
        <v>1092.18</v>
      </c>
      <c r="Z251" s="32">
        <v>0.77200000000000002</v>
      </c>
      <c r="AA251" s="32">
        <v>1.792</v>
      </c>
      <c r="AB251" s="32">
        <v>4.3</v>
      </c>
    </row>
    <row r="252" spans="1:28" ht="15" customHeight="1" x14ac:dyDescent="0.2">
      <c r="A252" s="33">
        <v>41216</v>
      </c>
      <c r="B252" s="32">
        <v>4.7704000000000004</v>
      </c>
      <c r="C252" s="32">
        <v>0.96319999999999995</v>
      </c>
      <c r="D252" s="32">
        <v>2.0331999999999999</v>
      </c>
      <c r="E252" s="32">
        <v>482.25</v>
      </c>
      <c r="F252" s="32">
        <v>6.2930999999999999</v>
      </c>
      <c r="G252" s="32">
        <v>1827.13</v>
      </c>
      <c r="H252" s="32">
        <v>19.5913</v>
      </c>
      <c r="I252" s="32">
        <v>39.712299999999999</v>
      </c>
      <c r="J252" s="32">
        <v>7.7503000000000002</v>
      </c>
      <c r="K252" s="32">
        <v>218.792</v>
      </c>
      <c r="L252" s="32">
        <v>53.79</v>
      </c>
      <c r="M252" s="32">
        <v>9652.51</v>
      </c>
      <c r="N252" s="32">
        <v>3.8862000000000001</v>
      </c>
      <c r="O252" s="32">
        <v>3.0552000000000001</v>
      </c>
      <c r="P252" s="32">
        <v>13.0176</v>
      </c>
      <c r="Q252" s="32">
        <v>1.2101</v>
      </c>
      <c r="R252" s="32">
        <v>96.096199999999996</v>
      </c>
      <c r="S252" s="32">
        <v>2.6168999999999998</v>
      </c>
      <c r="T252" s="32">
        <v>41.252200000000002</v>
      </c>
      <c r="U252" s="32">
        <v>3.1947000000000001</v>
      </c>
      <c r="V252" s="32">
        <v>31.392399999999999</v>
      </c>
      <c r="W252" s="32">
        <v>3.7509000000000001</v>
      </c>
      <c r="X252" s="32">
        <v>8.6925000000000008</v>
      </c>
      <c r="Y252" s="32">
        <v>1092.54</v>
      </c>
      <c r="Z252" s="32">
        <v>0.77580000000000005</v>
      </c>
      <c r="AA252" s="32">
        <v>1.7903</v>
      </c>
      <c r="AB252" s="32">
        <v>4.3</v>
      </c>
    </row>
    <row r="253" spans="1:28" ht="15" customHeight="1" x14ac:dyDescent="0.2">
      <c r="A253" s="33">
        <v>41217</v>
      </c>
      <c r="B253" s="32">
        <v>4.8148</v>
      </c>
      <c r="C253" s="32">
        <v>0.96760000000000002</v>
      </c>
      <c r="D253" s="32">
        <v>2.0327999999999999</v>
      </c>
      <c r="E253" s="32">
        <v>482.25</v>
      </c>
      <c r="F253" s="32">
        <v>6.2994000000000003</v>
      </c>
      <c r="G253" s="32">
        <v>1829</v>
      </c>
      <c r="H253" s="32">
        <v>19.700199999999999</v>
      </c>
      <c r="I253" s="32">
        <v>40.164499999999997</v>
      </c>
      <c r="J253" s="32">
        <v>7.7507999999999999</v>
      </c>
      <c r="K253" s="32">
        <v>220.33799999999999</v>
      </c>
      <c r="L253" s="32">
        <v>54.064</v>
      </c>
      <c r="M253" s="32">
        <v>9643.2000000000007</v>
      </c>
      <c r="N253" s="32">
        <v>3.8988</v>
      </c>
      <c r="O253" s="32">
        <v>3.081</v>
      </c>
      <c r="P253" s="32">
        <v>13.0467</v>
      </c>
      <c r="Q253" s="32">
        <v>1.2126999999999999</v>
      </c>
      <c r="R253" s="32">
        <v>96.464799999999997</v>
      </c>
      <c r="S253" s="32">
        <v>2.6646000000000001</v>
      </c>
      <c r="T253" s="32">
        <v>41.208799999999997</v>
      </c>
      <c r="U253" s="32">
        <v>3.2042000000000002</v>
      </c>
      <c r="V253" s="32">
        <v>31.495100000000001</v>
      </c>
      <c r="W253" s="32">
        <v>3.7551000000000001</v>
      </c>
      <c r="X253" s="32">
        <v>8.7761999999999993</v>
      </c>
      <c r="Y253" s="32">
        <v>1099.99</v>
      </c>
      <c r="Z253" s="32">
        <v>0.77910000000000001</v>
      </c>
      <c r="AA253" s="32">
        <v>1.7939000000000001</v>
      </c>
      <c r="AB253" s="32">
        <v>4.2996999999999996</v>
      </c>
    </row>
    <row r="254" spans="1:28" ht="15" customHeight="1" x14ac:dyDescent="0.2">
      <c r="A254" s="33">
        <v>41218</v>
      </c>
      <c r="B254" s="32">
        <v>4.7995000000000001</v>
      </c>
      <c r="C254" s="32">
        <v>0.96760000000000002</v>
      </c>
      <c r="D254" s="32">
        <v>2.0333000000000001</v>
      </c>
      <c r="E254" s="32">
        <v>482.25</v>
      </c>
      <c r="F254" s="32">
        <v>6.2994000000000003</v>
      </c>
      <c r="G254" s="32">
        <v>1829</v>
      </c>
      <c r="H254" s="32">
        <v>19.6998</v>
      </c>
      <c r="I254" s="32">
        <v>40.194899999999997</v>
      </c>
      <c r="J254" s="32">
        <v>7.7507999999999999</v>
      </c>
      <c r="K254" s="32">
        <v>220.363</v>
      </c>
      <c r="L254" s="32">
        <v>54.064</v>
      </c>
      <c r="M254" s="32">
        <v>9718.17</v>
      </c>
      <c r="N254" s="32">
        <v>3.9001000000000001</v>
      </c>
      <c r="O254" s="32">
        <v>3.1019999999999999</v>
      </c>
      <c r="P254" s="32">
        <v>13.0465</v>
      </c>
      <c r="Q254" s="32">
        <v>1.2128000000000001</v>
      </c>
      <c r="R254" s="32">
        <v>97.351200000000006</v>
      </c>
      <c r="S254" s="32">
        <v>2.6688000000000001</v>
      </c>
      <c r="T254" s="32">
        <v>41.214199999999998</v>
      </c>
      <c r="U254" s="32">
        <v>3.2019000000000002</v>
      </c>
      <c r="V254" s="32">
        <v>31.4894</v>
      </c>
      <c r="W254" s="32">
        <v>3.7551000000000001</v>
      </c>
      <c r="X254" s="32">
        <v>8.7765000000000004</v>
      </c>
      <c r="Y254" s="32">
        <v>1106.07</v>
      </c>
      <c r="Z254" s="32">
        <v>0.77910000000000001</v>
      </c>
      <c r="AA254" s="32">
        <v>1.7947</v>
      </c>
      <c r="AB254" s="32">
        <v>4.2996999999999996</v>
      </c>
    </row>
    <row r="255" spans="1:28" ht="15" customHeight="1" x14ac:dyDescent="0.2">
      <c r="A255" s="33">
        <v>41219</v>
      </c>
      <c r="B255" s="32">
        <v>4.8018000000000001</v>
      </c>
      <c r="C255" s="32">
        <v>0.9657</v>
      </c>
      <c r="D255" s="32">
        <v>2.0358000000000001</v>
      </c>
      <c r="E255" s="32">
        <v>481.25</v>
      </c>
      <c r="F255" s="32">
        <v>6.2958999999999996</v>
      </c>
      <c r="G255" s="32">
        <v>1829.45</v>
      </c>
      <c r="H255" s="32">
        <v>19.727</v>
      </c>
      <c r="I255" s="32">
        <v>40.124099999999999</v>
      </c>
      <c r="J255" s="32">
        <v>7.7504</v>
      </c>
      <c r="K255" s="32">
        <v>220.65299999999999</v>
      </c>
      <c r="L255" s="32">
        <v>54.389000000000003</v>
      </c>
      <c r="M255" s="32">
        <v>9718.17</v>
      </c>
      <c r="N255" s="32">
        <v>3.9032</v>
      </c>
      <c r="O255" s="32">
        <v>3.0634000000000001</v>
      </c>
      <c r="P255" s="32">
        <v>13.0474</v>
      </c>
      <c r="Q255" s="32">
        <v>1.2124999999999999</v>
      </c>
      <c r="R255" s="32">
        <v>97.008099999999999</v>
      </c>
      <c r="S255" s="32">
        <v>2.6480999999999999</v>
      </c>
      <c r="T255" s="32">
        <v>41.302700000000002</v>
      </c>
      <c r="U255" s="32">
        <v>3.2164000000000001</v>
      </c>
      <c r="V255" s="32">
        <v>31.609100000000002</v>
      </c>
      <c r="W255" s="32">
        <v>3.7509999999999999</v>
      </c>
      <c r="X255" s="32">
        <v>8.7567000000000004</v>
      </c>
      <c r="Y255" s="32">
        <v>1093.25</v>
      </c>
      <c r="Z255" s="32">
        <v>0.78100000000000003</v>
      </c>
      <c r="AA255" s="32">
        <v>1.7886</v>
      </c>
      <c r="AB255" s="32">
        <v>4.2999000000000001</v>
      </c>
    </row>
    <row r="256" spans="1:28" ht="15" customHeight="1" x14ac:dyDescent="0.2">
      <c r="A256" s="33">
        <v>41220</v>
      </c>
      <c r="B256" s="32">
        <v>4.7770000000000001</v>
      </c>
      <c r="C256" s="32">
        <v>0.96020000000000005</v>
      </c>
      <c r="D256" s="32">
        <v>2.0365000000000002</v>
      </c>
      <c r="E256" s="32">
        <v>479.7</v>
      </c>
      <c r="F256" s="32">
        <v>6.2938999999999998</v>
      </c>
      <c r="G256" s="32">
        <v>1828.86</v>
      </c>
      <c r="H256" s="32">
        <v>19.737400000000001</v>
      </c>
      <c r="I256" s="32">
        <v>40.081299999999999</v>
      </c>
      <c r="J256" s="32">
        <v>7.7504</v>
      </c>
      <c r="K256" s="32">
        <v>220.95099999999999</v>
      </c>
      <c r="L256" s="32">
        <v>54.559199999999997</v>
      </c>
      <c r="M256" s="32">
        <v>9652.51</v>
      </c>
      <c r="N256" s="32">
        <v>3.9051</v>
      </c>
      <c r="O256" s="32">
        <v>3.0657000000000001</v>
      </c>
      <c r="P256" s="32">
        <v>13.016999999999999</v>
      </c>
      <c r="Q256" s="32">
        <v>1.2095</v>
      </c>
      <c r="R256" s="32">
        <v>97.063599999999994</v>
      </c>
      <c r="S256" s="32">
        <v>2.6429</v>
      </c>
      <c r="T256" s="32">
        <v>41.3337</v>
      </c>
      <c r="U256" s="32">
        <v>3.2187999999999999</v>
      </c>
      <c r="V256" s="32">
        <v>31.520299999999999</v>
      </c>
      <c r="W256" s="32">
        <v>3.7505999999999999</v>
      </c>
      <c r="X256" s="32">
        <v>8.7058999999999997</v>
      </c>
      <c r="Y256" s="32">
        <v>1092.06</v>
      </c>
      <c r="Z256" s="32">
        <v>0.78139999999999998</v>
      </c>
      <c r="AA256" s="32">
        <v>1.7782</v>
      </c>
      <c r="AB256" s="32">
        <v>4.3000999999999996</v>
      </c>
    </row>
    <row r="257" spans="1:28" ht="15" customHeight="1" x14ac:dyDescent="0.2">
      <c r="A257" s="33">
        <v>41221</v>
      </c>
      <c r="B257" s="32">
        <v>4.7762000000000002</v>
      </c>
      <c r="C257" s="32">
        <v>0.95840000000000003</v>
      </c>
      <c r="D257" s="32">
        <v>2.0352999999999999</v>
      </c>
      <c r="E257" s="32">
        <v>480.9</v>
      </c>
      <c r="F257" s="32">
        <v>6.2920999999999996</v>
      </c>
      <c r="G257" s="32">
        <v>1817.69</v>
      </c>
      <c r="H257" s="32">
        <v>19.796800000000001</v>
      </c>
      <c r="I257" s="32">
        <v>39.991100000000003</v>
      </c>
      <c r="J257" s="32">
        <v>7.7507000000000001</v>
      </c>
      <c r="K257" s="32">
        <v>220.547</v>
      </c>
      <c r="L257" s="32">
        <v>54.325699999999998</v>
      </c>
      <c r="M257" s="32">
        <v>9643.2000000000007</v>
      </c>
      <c r="N257" s="32">
        <v>3.8933</v>
      </c>
      <c r="O257" s="32">
        <v>3.0556000000000001</v>
      </c>
      <c r="P257" s="32">
        <v>12.985300000000001</v>
      </c>
      <c r="Q257" s="32">
        <v>1.2090000000000001</v>
      </c>
      <c r="R257" s="32">
        <v>97.044200000000004</v>
      </c>
      <c r="S257" s="32">
        <v>2.6475</v>
      </c>
      <c r="T257" s="32">
        <v>41.168599999999998</v>
      </c>
      <c r="U257" s="32">
        <v>3.2223999999999999</v>
      </c>
      <c r="V257" s="32">
        <v>31.434200000000001</v>
      </c>
      <c r="W257" s="32">
        <v>3.7507000000000001</v>
      </c>
      <c r="X257" s="32">
        <v>8.6379000000000001</v>
      </c>
      <c r="Y257" s="32">
        <v>1087.9000000000001</v>
      </c>
      <c r="Z257" s="32">
        <v>0.78090000000000004</v>
      </c>
      <c r="AA257" s="32">
        <v>1.7779</v>
      </c>
      <c r="AB257" s="32">
        <v>4.2999000000000001</v>
      </c>
    </row>
    <row r="258" spans="1:28" ht="15" customHeight="1" x14ac:dyDescent="0.2">
      <c r="A258" s="33">
        <v>41222</v>
      </c>
      <c r="B258" s="32">
        <v>4.7763999999999998</v>
      </c>
      <c r="C258" s="32">
        <v>0.96030000000000004</v>
      </c>
      <c r="D258" s="32">
        <v>2.0383</v>
      </c>
      <c r="E258" s="32">
        <v>479.6</v>
      </c>
      <c r="F258" s="32">
        <v>6.2934000000000001</v>
      </c>
      <c r="G258" s="32">
        <v>1814.85</v>
      </c>
      <c r="H258" s="32">
        <v>19.9499</v>
      </c>
      <c r="I258" s="32">
        <v>40.229799999999997</v>
      </c>
      <c r="J258" s="32">
        <v>7.7508999999999997</v>
      </c>
      <c r="K258" s="32">
        <v>222.80500000000001</v>
      </c>
      <c r="L258" s="32">
        <v>54.406700000000001</v>
      </c>
      <c r="M258" s="32">
        <v>9661.84</v>
      </c>
      <c r="N258" s="32">
        <v>3.9039999999999999</v>
      </c>
      <c r="O258" s="32">
        <v>3.0644</v>
      </c>
      <c r="P258" s="32">
        <v>13.0921</v>
      </c>
      <c r="Q258" s="32">
        <v>1.2235</v>
      </c>
      <c r="R258" s="32">
        <v>96.6143</v>
      </c>
      <c r="S258" s="32">
        <v>2.6669</v>
      </c>
      <c r="T258" s="32">
        <v>41.183100000000003</v>
      </c>
      <c r="U258" s="32">
        <v>3.2606000000000002</v>
      </c>
      <c r="V258" s="32">
        <v>31.561</v>
      </c>
      <c r="W258" s="32">
        <v>3.7507000000000001</v>
      </c>
      <c r="X258" s="32">
        <v>8.6812000000000005</v>
      </c>
      <c r="Y258" s="32">
        <v>1090.3900000000001</v>
      </c>
      <c r="Z258" s="32">
        <v>0.7843</v>
      </c>
      <c r="AA258" s="32">
        <v>1.7849999999999999</v>
      </c>
      <c r="AB258" s="32">
        <v>4.2998000000000003</v>
      </c>
    </row>
    <row r="259" spans="1:28" ht="15" customHeight="1" x14ac:dyDescent="0.2">
      <c r="A259" s="33">
        <v>41223</v>
      </c>
      <c r="B259" s="32">
        <v>4.7773000000000003</v>
      </c>
      <c r="C259" s="32">
        <v>0.96160000000000001</v>
      </c>
      <c r="D259" s="32">
        <v>2.0463</v>
      </c>
      <c r="E259" s="32">
        <v>481.5</v>
      </c>
      <c r="F259" s="32">
        <v>6.2882999999999996</v>
      </c>
      <c r="G259" s="32">
        <v>1815.75</v>
      </c>
      <c r="H259" s="32">
        <v>19.967099999999999</v>
      </c>
      <c r="I259" s="32">
        <v>40.142800000000001</v>
      </c>
      <c r="J259" s="32">
        <v>7.7514000000000003</v>
      </c>
      <c r="K259" s="32">
        <v>223.333</v>
      </c>
      <c r="L259" s="32">
        <v>54.494100000000003</v>
      </c>
      <c r="M259" s="32">
        <v>9652.51</v>
      </c>
      <c r="N259" s="32">
        <v>3.9037999999999999</v>
      </c>
      <c r="O259" s="32">
        <v>3.0655999999999999</v>
      </c>
      <c r="P259" s="32">
        <v>13.180099999999999</v>
      </c>
      <c r="Q259" s="32">
        <v>1.2266999999999999</v>
      </c>
      <c r="R259" s="32">
        <v>96.805199999999999</v>
      </c>
      <c r="S259" s="32">
        <v>2.6472000000000002</v>
      </c>
      <c r="T259" s="32">
        <v>41.198900000000002</v>
      </c>
      <c r="U259" s="32">
        <v>3.2725</v>
      </c>
      <c r="V259" s="32">
        <v>31.569600000000001</v>
      </c>
      <c r="W259" s="32">
        <v>3.7507000000000001</v>
      </c>
      <c r="X259" s="32">
        <v>8.7164000000000001</v>
      </c>
      <c r="Y259" s="32">
        <v>1089.68</v>
      </c>
      <c r="Z259" s="32">
        <v>0.78520000000000001</v>
      </c>
      <c r="AA259" s="32">
        <v>1.7883</v>
      </c>
      <c r="AB259" s="32">
        <v>4.3</v>
      </c>
    </row>
    <row r="260" spans="1:28" ht="15" customHeight="1" x14ac:dyDescent="0.2">
      <c r="A260" s="33">
        <v>41224</v>
      </c>
      <c r="B260" s="32">
        <v>4.8014999999999999</v>
      </c>
      <c r="C260" s="32">
        <v>0.96309999999999996</v>
      </c>
      <c r="D260" s="32">
        <v>2.0486</v>
      </c>
      <c r="E260" s="32">
        <v>481.5</v>
      </c>
      <c r="F260" s="32">
        <v>6.2918000000000003</v>
      </c>
      <c r="G260" s="32">
        <v>1817</v>
      </c>
      <c r="H260" s="32">
        <v>19.975999999999999</v>
      </c>
      <c r="I260" s="32">
        <v>40.126100000000001</v>
      </c>
      <c r="J260" s="32">
        <v>7.7519</v>
      </c>
      <c r="K260" s="32">
        <v>223.31399999999999</v>
      </c>
      <c r="L260" s="32">
        <v>54.697000000000003</v>
      </c>
      <c r="M260" s="32">
        <v>9652.51</v>
      </c>
      <c r="N260" s="32">
        <v>3.9184000000000001</v>
      </c>
      <c r="O260" s="32">
        <v>3.0895999999999999</v>
      </c>
      <c r="P260" s="32">
        <v>13.206200000000001</v>
      </c>
      <c r="Q260" s="32">
        <v>1.2290000000000001</v>
      </c>
      <c r="R260" s="32">
        <v>97.276600000000002</v>
      </c>
      <c r="S260" s="32">
        <v>2.6686000000000001</v>
      </c>
      <c r="T260" s="32">
        <v>41.168500000000002</v>
      </c>
      <c r="U260" s="32">
        <v>3.2728999999999999</v>
      </c>
      <c r="V260" s="32">
        <v>31.586400000000001</v>
      </c>
      <c r="W260" s="32">
        <v>3.7551999999999999</v>
      </c>
      <c r="X260" s="32">
        <v>8.7169000000000008</v>
      </c>
      <c r="Y260" s="32">
        <v>1095.53</v>
      </c>
      <c r="Z260" s="32">
        <v>0.78680000000000005</v>
      </c>
      <c r="AA260" s="32">
        <v>1.7931999999999999</v>
      </c>
      <c r="AB260" s="32">
        <v>4.2996999999999996</v>
      </c>
    </row>
    <row r="261" spans="1:28" ht="15" customHeight="1" x14ac:dyDescent="0.2">
      <c r="A261" s="33">
        <v>41225</v>
      </c>
      <c r="B261" s="32">
        <v>4.8385999999999996</v>
      </c>
      <c r="C261" s="32">
        <v>0.96299999999999997</v>
      </c>
      <c r="D261" s="32">
        <v>2.0528</v>
      </c>
      <c r="E261" s="32">
        <v>481.5</v>
      </c>
      <c r="F261" s="32">
        <v>6.2918000000000003</v>
      </c>
      <c r="G261" s="32">
        <v>1817</v>
      </c>
      <c r="H261" s="32">
        <v>19.982900000000001</v>
      </c>
      <c r="I261" s="32">
        <v>40.136099999999999</v>
      </c>
      <c r="J261" s="32">
        <v>7.7519</v>
      </c>
      <c r="K261" s="32">
        <v>223.31200000000001</v>
      </c>
      <c r="L261" s="32">
        <v>54.697000000000003</v>
      </c>
      <c r="M261" s="32">
        <v>9727.6299999999992</v>
      </c>
      <c r="N261" s="32">
        <v>3.9171</v>
      </c>
      <c r="O261" s="32">
        <v>3.1267</v>
      </c>
      <c r="P261" s="32">
        <v>13.2073</v>
      </c>
      <c r="Q261" s="32">
        <v>1.2290000000000001</v>
      </c>
      <c r="R261" s="32">
        <v>97.318700000000007</v>
      </c>
      <c r="S261" s="32">
        <v>2.6701000000000001</v>
      </c>
      <c r="T261" s="32">
        <v>41.691499999999998</v>
      </c>
      <c r="U261" s="32">
        <v>3.3003999999999998</v>
      </c>
      <c r="V261" s="32">
        <v>31.853100000000001</v>
      </c>
      <c r="W261" s="32">
        <v>3.7551999999999999</v>
      </c>
      <c r="X261" s="32">
        <v>8.7174999999999994</v>
      </c>
      <c r="Y261" s="32">
        <v>1105.58</v>
      </c>
      <c r="Z261" s="32">
        <v>0.78680000000000005</v>
      </c>
      <c r="AA261" s="32">
        <v>1.7931999999999999</v>
      </c>
      <c r="AB261" s="32">
        <v>4.2996999999999996</v>
      </c>
    </row>
    <row r="262" spans="1:28" ht="15" customHeight="1" x14ac:dyDescent="0.2">
      <c r="A262" s="33">
        <v>41226</v>
      </c>
      <c r="B262" s="32">
        <v>4.7999000000000001</v>
      </c>
      <c r="C262" s="32">
        <v>0.95979999999999999</v>
      </c>
      <c r="D262" s="32">
        <v>2.0499000000000001</v>
      </c>
      <c r="E262" s="32">
        <v>481</v>
      </c>
      <c r="F262" s="32">
        <v>6.2785000000000002</v>
      </c>
      <c r="G262" s="32">
        <v>1817</v>
      </c>
      <c r="H262" s="32">
        <v>19.964300000000001</v>
      </c>
      <c r="I262" s="32">
        <v>40.141300000000001</v>
      </c>
      <c r="J262" s="32">
        <v>7.7510000000000003</v>
      </c>
      <c r="K262" s="32">
        <v>223.19399999999999</v>
      </c>
      <c r="L262" s="32">
        <v>54.8688</v>
      </c>
      <c r="M262" s="32">
        <v>9708.74</v>
      </c>
      <c r="N262" s="32">
        <v>3.9276</v>
      </c>
      <c r="O262" s="32">
        <v>3.0878999999999999</v>
      </c>
      <c r="P262" s="32">
        <v>13.2105</v>
      </c>
      <c r="Q262" s="32">
        <v>1.2250000000000001</v>
      </c>
      <c r="R262" s="32">
        <v>97.2346</v>
      </c>
      <c r="S262" s="32">
        <v>2.6726000000000001</v>
      </c>
      <c r="T262" s="32">
        <v>41.567700000000002</v>
      </c>
      <c r="U262" s="32">
        <v>3.2751000000000001</v>
      </c>
      <c r="V262" s="32">
        <v>31.633600000000001</v>
      </c>
      <c r="W262" s="32">
        <v>3.7511000000000001</v>
      </c>
      <c r="X262" s="32">
        <v>8.7233999999999998</v>
      </c>
      <c r="Y262" s="32">
        <v>1095.4100000000001</v>
      </c>
      <c r="Z262" s="32">
        <v>0.7863</v>
      </c>
      <c r="AA262" s="32">
        <v>1.7955000000000001</v>
      </c>
      <c r="AB262" s="32">
        <v>4.2996999999999996</v>
      </c>
    </row>
    <row r="263" spans="1:28" ht="15" customHeight="1" x14ac:dyDescent="0.2">
      <c r="A263" s="33">
        <v>41227</v>
      </c>
      <c r="B263" s="32">
        <v>4.7847999999999997</v>
      </c>
      <c r="C263" s="32">
        <v>0.95979999999999999</v>
      </c>
      <c r="D263" s="32">
        <v>2.0585</v>
      </c>
      <c r="E263" s="32">
        <v>485.3</v>
      </c>
      <c r="F263" s="32">
        <v>6.2732000000000001</v>
      </c>
      <c r="G263" s="32">
        <v>1817</v>
      </c>
      <c r="H263" s="32">
        <v>20.0258</v>
      </c>
      <c r="I263" s="32">
        <v>40.075800000000001</v>
      </c>
      <c r="J263" s="32">
        <v>7.7507000000000001</v>
      </c>
      <c r="K263" s="32">
        <v>224.3</v>
      </c>
      <c r="L263" s="32">
        <v>55.0411</v>
      </c>
      <c r="M263" s="32">
        <v>9652.51</v>
      </c>
      <c r="N263" s="32">
        <v>3.9363000000000001</v>
      </c>
      <c r="O263" s="32">
        <v>3.0682999999999998</v>
      </c>
      <c r="P263" s="32">
        <v>13.2417</v>
      </c>
      <c r="Q263" s="32">
        <v>1.2230000000000001</v>
      </c>
      <c r="R263" s="32">
        <v>96.786600000000007</v>
      </c>
      <c r="S263" s="32">
        <v>2.6560999999999999</v>
      </c>
      <c r="T263" s="32">
        <v>41.247500000000002</v>
      </c>
      <c r="U263" s="32">
        <v>3.2907999999999999</v>
      </c>
      <c r="V263" s="32">
        <v>31.739699999999999</v>
      </c>
      <c r="W263" s="32">
        <v>3.7507000000000001</v>
      </c>
      <c r="X263" s="32">
        <v>8.7792999999999992</v>
      </c>
      <c r="Y263" s="32">
        <v>1091.3499999999999</v>
      </c>
      <c r="Z263" s="32">
        <v>0.78769999999999996</v>
      </c>
      <c r="AA263" s="32">
        <v>1.8051999999999999</v>
      </c>
      <c r="AB263" s="32">
        <v>4.3002000000000002</v>
      </c>
    </row>
    <row r="264" spans="1:28" ht="15" customHeight="1" x14ac:dyDescent="0.2">
      <c r="A264" s="33">
        <v>41228</v>
      </c>
      <c r="B264" s="32">
        <v>4.7873000000000001</v>
      </c>
      <c r="C264" s="32">
        <v>0.95909999999999995</v>
      </c>
      <c r="D264" s="32">
        <v>2.0638000000000001</v>
      </c>
      <c r="E264" s="32">
        <v>484.9</v>
      </c>
      <c r="F264" s="32">
        <v>6.2706</v>
      </c>
      <c r="G264" s="32">
        <v>1818.38</v>
      </c>
      <c r="H264" s="32">
        <v>20.023900000000001</v>
      </c>
      <c r="I264" s="32">
        <v>40.193399999999997</v>
      </c>
      <c r="J264" s="32">
        <v>7.7507000000000001</v>
      </c>
      <c r="K264" s="32">
        <v>224.03399999999999</v>
      </c>
      <c r="L264" s="32">
        <v>54.942999999999998</v>
      </c>
      <c r="M264" s="32">
        <v>9652.51</v>
      </c>
      <c r="N264" s="32">
        <v>3.9422999999999999</v>
      </c>
      <c r="O264" s="32">
        <v>3.0651000000000002</v>
      </c>
      <c r="P264" s="32">
        <v>13.2216</v>
      </c>
      <c r="Q264" s="32">
        <v>1.2274</v>
      </c>
      <c r="R264" s="32">
        <v>96.904600000000002</v>
      </c>
      <c r="S264" s="32">
        <v>2.6541999999999999</v>
      </c>
      <c r="T264" s="32">
        <v>41.230400000000003</v>
      </c>
      <c r="U264" s="32">
        <v>3.2827000000000002</v>
      </c>
      <c r="V264" s="32">
        <v>31.7333</v>
      </c>
      <c r="W264" s="32">
        <v>3.7505999999999999</v>
      </c>
      <c r="X264" s="32">
        <v>8.8308999999999997</v>
      </c>
      <c r="Y264" s="32">
        <v>1087.67</v>
      </c>
      <c r="Z264" s="32">
        <v>0.78569999999999995</v>
      </c>
      <c r="AA264" s="32">
        <v>1.8055000000000001</v>
      </c>
      <c r="AB264" s="32">
        <v>4.3003</v>
      </c>
    </row>
    <row r="265" spans="1:28" ht="15" customHeight="1" x14ac:dyDescent="0.2">
      <c r="A265" s="33">
        <v>41229</v>
      </c>
      <c r="B265" s="32">
        <v>4.7900999999999998</v>
      </c>
      <c r="C265" s="32">
        <v>0.96650000000000003</v>
      </c>
      <c r="D265" s="32">
        <v>2.069</v>
      </c>
      <c r="E265" s="32">
        <v>484.5</v>
      </c>
      <c r="F265" s="32">
        <v>6.2786</v>
      </c>
      <c r="G265" s="32">
        <v>1821.26</v>
      </c>
      <c r="H265" s="32">
        <v>19.9893</v>
      </c>
      <c r="I265" s="32">
        <v>40.2224</v>
      </c>
      <c r="J265" s="32">
        <v>7.7514000000000003</v>
      </c>
      <c r="K265" s="32">
        <v>223.529</v>
      </c>
      <c r="L265" s="32">
        <v>54.935400000000001</v>
      </c>
      <c r="M265" s="32">
        <v>9652.51</v>
      </c>
      <c r="N265" s="32">
        <v>3.9689999999999999</v>
      </c>
      <c r="O265" s="32">
        <v>3.0649000000000002</v>
      </c>
      <c r="P265" s="32">
        <v>13.265499999999999</v>
      </c>
      <c r="Q265" s="32">
        <v>1.2335</v>
      </c>
      <c r="R265" s="32">
        <v>96.759699999999995</v>
      </c>
      <c r="S265" s="32">
        <v>2.6522999999999999</v>
      </c>
      <c r="T265" s="32">
        <v>41.3309</v>
      </c>
      <c r="U265" s="32">
        <v>3.2675000000000001</v>
      </c>
      <c r="V265" s="32">
        <v>31.7103</v>
      </c>
      <c r="W265" s="32">
        <v>3.7505999999999999</v>
      </c>
      <c r="X265" s="32">
        <v>8.9298999999999999</v>
      </c>
      <c r="Y265" s="32">
        <v>1088.6099999999999</v>
      </c>
      <c r="Z265" s="32">
        <v>0.78410000000000002</v>
      </c>
      <c r="AA265" s="32">
        <v>1.8035000000000001</v>
      </c>
      <c r="AB265" s="32">
        <v>4.3002000000000002</v>
      </c>
    </row>
    <row r="266" spans="1:28" ht="15" customHeight="1" x14ac:dyDescent="0.2">
      <c r="A266" s="33">
        <v>41230</v>
      </c>
      <c r="B266" s="32">
        <v>4.7991999999999999</v>
      </c>
      <c r="C266" s="32">
        <v>0.96840000000000004</v>
      </c>
      <c r="D266" s="32">
        <v>2.0733000000000001</v>
      </c>
      <c r="E266" s="32">
        <v>485.7</v>
      </c>
      <c r="F266" s="32">
        <v>6.2874999999999996</v>
      </c>
      <c r="G266" s="32">
        <v>1822.84</v>
      </c>
      <c r="H266" s="32">
        <v>20.051600000000001</v>
      </c>
      <c r="I266" s="32">
        <v>40.183500000000002</v>
      </c>
      <c r="J266" s="32">
        <v>7.7521000000000004</v>
      </c>
      <c r="K266" s="32">
        <v>223.27500000000001</v>
      </c>
      <c r="L266" s="32">
        <v>55.098100000000002</v>
      </c>
      <c r="M266" s="32">
        <v>9652.51</v>
      </c>
      <c r="N266" s="32">
        <v>3.9763999999999999</v>
      </c>
      <c r="O266" s="32">
        <v>3.0737999999999999</v>
      </c>
      <c r="P266" s="32">
        <v>13.2155</v>
      </c>
      <c r="Q266" s="32">
        <v>1.2353000000000001</v>
      </c>
      <c r="R266" s="32">
        <v>96.096999999999994</v>
      </c>
      <c r="S266" s="32">
        <v>2.6446000000000001</v>
      </c>
      <c r="T266" s="32">
        <v>41.429299999999998</v>
      </c>
      <c r="U266" s="32">
        <v>3.2643</v>
      </c>
      <c r="V266" s="32">
        <v>31.7287</v>
      </c>
      <c r="W266" s="32">
        <v>3.7505999999999999</v>
      </c>
      <c r="X266" s="32">
        <v>8.9077999999999999</v>
      </c>
      <c r="Y266" s="32">
        <v>1092.18</v>
      </c>
      <c r="Z266" s="32">
        <v>0.78439999999999999</v>
      </c>
      <c r="AA266" s="32">
        <v>1.8019000000000001</v>
      </c>
      <c r="AB266" s="32">
        <v>4.3002000000000002</v>
      </c>
    </row>
    <row r="267" spans="1:28" ht="15" customHeight="1" x14ac:dyDescent="0.2">
      <c r="A267" s="33">
        <v>41231</v>
      </c>
      <c r="B267" s="32">
        <v>4.8078000000000003</v>
      </c>
      <c r="C267" s="32">
        <v>0.96730000000000005</v>
      </c>
      <c r="D267" s="32">
        <v>2.0878000000000001</v>
      </c>
      <c r="E267" s="32">
        <v>485.7</v>
      </c>
      <c r="F267" s="32">
        <v>6.2946</v>
      </c>
      <c r="G267" s="32">
        <v>1825</v>
      </c>
      <c r="H267" s="32">
        <v>20.069199999999999</v>
      </c>
      <c r="I267" s="32">
        <v>40.327199999999998</v>
      </c>
      <c r="J267" s="32">
        <v>7.7527999999999997</v>
      </c>
      <c r="K267" s="32">
        <v>223.62700000000001</v>
      </c>
      <c r="L267" s="32">
        <v>55.308999999999997</v>
      </c>
      <c r="M267" s="32">
        <v>9652.51</v>
      </c>
      <c r="N267" s="32">
        <v>3.9769000000000001</v>
      </c>
      <c r="O267" s="32">
        <v>3.1008</v>
      </c>
      <c r="P267" s="32">
        <v>13.1402</v>
      </c>
      <c r="Q267" s="32">
        <v>1.2313000000000001</v>
      </c>
      <c r="R267" s="32">
        <v>97.132999999999996</v>
      </c>
      <c r="S267" s="32">
        <v>2.6667000000000001</v>
      </c>
      <c r="T267" s="32">
        <v>41.4039</v>
      </c>
      <c r="U267" s="32">
        <v>3.2675000000000001</v>
      </c>
      <c r="V267" s="32">
        <v>32.186</v>
      </c>
      <c r="W267" s="32">
        <v>3.7551000000000001</v>
      </c>
      <c r="X267" s="32">
        <v>8.8757999999999999</v>
      </c>
      <c r="Y267" s="32">
        <v>1095.17</v>
      </c>
      <c r="Z267" s="32">
        <v>0.78490000000000004</v>
      </c>
      <c r="AA267" s="32">
        <v>1.8024</v>
      </c>
      <c r="AB267" s="32">
        <v>4.3033000000000001</v>
      </c>
    </row>
    <row r="268" spans="1:28" ht="15" customHeight="1" x14ac:dyDescent="0.2">
      <c r="A268" s="33">
        <v>41232</v>
      </c>
      <c r="B268" s="32">
        <v>4.8023999999999996</v>
      </c>
      <c r="C268" s="32">
        <v>0.96730000000000005</v>
      </c>
      <c r="D268" s="32">
        <v>2.0869</v>
      </c>
      <c r="E268" s="32">
        <v>485.7</v>
      </c>
      <c r="F268" s="32">
        <v>6.2946</v>
      </c>
      <c r="G268" s="32">
        <v>1825</v>
      </c>
      <c r="H268" s="32">
        <v>20.067799999999998</v>
      </c>
      <c r="I268" s="32">
        <v>40.326999999999998</v>
      </c>
      <c r="J268" s="32">
        <v>7.7527999999999997</v>
      </c>
      <c r="K268" s="32">
        <v>223.625</v>
      </c>
      <c r="L268" s="32">
        <v>55.3093</v>
      </c>
      <c r="M268" s="32">
        <v>9652.51</v>
      </c>
      <c r="N268" s="32">
        <v>3.9775999999999998</v>
      </c>
      <c r="O268" s="32">
        <v>3.1311</v>
      </c>
      <c r="P268" s="32">
        <v>13.140499999999999</v>
      </c>
      <c r="Q268" s="32">
        <v>1.2313000000000001</v>
      </c>
      <c r="R268" s="32">
        <v>97.137</v>
      </c>
      <c r="S268" s="32">
        <v>2.6675</v>
      </c>
      <c r="T268" s="32">
        <v>41.408999999999999</v>
      </c>
      <c r="U268" s="32">
        <v>3.2663000000000002</v>
      </c>
      <c r="V268" s="32">
        <v>31.736599999999999</v>
      </c>
      <c r="W268" s="32">
        <v>3.7549000000000001</v>
      </c>
      <c r="X268" s="32">
        <v>8.8770000000000007</v>
      </c>
      <c r="Y268" s="32">
        <v>1093.49</v>
      </c>
      <c r="Z268" s="32">
        <v>0.78490000000000004</v>
      </c>
      <c r="AA268" s="32">
        <v>1.8025</v>
      </c>
      <c r="AB268" s="32">
        <v>4.2996999999999996</v>
      </c>
    </row>
    <row r="269" spans="1:28" ht="15" customHeight="1" x14ac:dyDescent="0.2">
      <c r="A269" s="33">
        <v>41233</v>
      </c>
      <c r="B269" s="32">
        <v>4.8021000000000003</v>
      </c>
      <c r="C269" s="32">
        <v>0.96330000000000005</v>
      </c>
      <c r="D269" s="32">
        <v>2.085</v>
      </c>
      <c r="E269" s="32">
        <v>483.5</v>
      </c>
      <c r="F269" s="32">
        <v>6.2857000000000003</v>
      </c>
      <c r="G269" s="32">
        <v>1822.86</v>
      </c>
      <c r="H269" s="32">
        <v>19.95</v>
      </c>
      <c r="I269" s="32">
        <v>40.194899999999997</v>
      </c>
      <c r="J269" s="32">
        <v>7.7521000000000004</v>
      </c>
      <c r="K269" s="32">
        <v>222.053</v>
      </c>
      <c r="L269" s="32">
        <v>55.022300000000001</v>
      </c>
      <c r="M269" s="32">
        <v>9652.51</v>
      </c>
      <c r="N269" s="32">
        <v>3.9491000000000001</v>
      </c>
      <c r="O269" s="32">
        <v>3.0897000000000001</v>
      </c>
      <c r="P269" s="32">
        <v>13.102499999999999</v>
      </c>
      <c r="Q269" s="32">
        <v>1.2264999999999999</v>
      </c>
      <c r="R269" s="32">
        <v>97.013800000000003</v>
      </c>
      <c r="S269" s="32">
        <v>2.6465000000000001</v>
      </c>
      <c r="T269" s="32">
        <v>41.360599999999998</v>
      </c>
      <c r="U269" s="32">
        <v>3.2484999999999999</v>
      </c>
      <c r="V269" s="32">
        <v>31.5961</v>
      </c>
      <c r="W269" s="32">
        <v>3.7505999999999999</v>
      </c>
      <c r="X269" s="32">
        <v>8.8529</v>
      </c>
      <c r="Y269" s="32">
        <v>1089.56</v>
      </c>
      <c r="Z269" s="32">
        <v>0.78290000000000004</v>
      </c>
      <c r="AA269" s="32">
        <v>1.8004</v>
      </c>
      <c r="AB269" s="32">
        <v>4.3003</v>
      </c>
    </row>
    <row r="270" spans="1:28" ht="15" customHeight="1" x14ac:dyDescent="0.2">
      <c r="A270" s="33">
        <v>41234</v>
      </c>
      <c r="B270" s="32">
        <v>4.8079999999999998</v>
      </c>
      <c r="C270" s="32">
        <v>0.96199999999999997</v>
      </c>
      <c r="D270" s="32">
        <v>2.0819000000000001</v>
      </c>
      <c r="E270" s="32">
        <v>480.6</v>
      </c>
      <c r="F270" s="32">
        <v>6.2813999999999997</v>
      </c>
      <c r="G270" s="32">
        <v>1817.33</v>
      </c>
      <c r="H270" s="32">
        <v>19.8325</v>
      </c>
      <c r="I270" s="32">
        <v>40.245399999999997</v>
      </c>
      <c r="J270" s="32">
        <v>7.7515000000000001</v>
      </c>
      <c r="K270" s="32">
        <v>220.08799999999999</v>
      </c>
      <c r="L270" s="32">
        <v>54.966999999999999</v>
      </c>
      <c r="M270" s="32">
        <v>9661.84</v>
      </c>
      <c r="N270" s="32">
        <v>3.9230999999999998</v>
      </c>
      <c r="O270" s="32">
        <v>3.0623</v>
      </c>
      <c r="P270" s="32">
        <v>13.070399999999999</v>
      </c>
      <c r="Q270" s="32">
        <v>1.2236</v>
      </c>
      <c r="R270" s="32">
        <v>97.2</v>
      </c>
      <c r="S270" s="32">
        <v>2.6610999999999998</v>
      </c>
      <c r="T270" s="32">
        <v>41.275500000000001</v>
      </c>
      <c r="U270" s="32">
        <v>3.2273000000000001</v>
      </c>
      <c r="V270" s="32">
        <v>31.377199999999998</v>
      </c>
      <c r="W270" s="32">
        <v>3.7505999999999999</v>
      </c>
      <c r="X270" s="32">
        <v>8.8606999999999996</v>
      </c>
      <c r="Y270" s="32">
        <v>1084.3599999999999</v>
      </c>
      <c r="Z270" s="32">
        <v>0.78129999999999999</v>
      </c>
      <c r="AA270" s="32">
        <v>1.7988999999999999</v>
      </c>
      <c r="AB270" s="32">
        <v>4.3002000000000002</v>
      </c>
    </row>
    <row r="271" spans="1:28" ht="15" customHeight="1" x14ac:dyDescent="0.2">
      <c r="A271" s="33">
        <v>41235</v>
      </c>
      <c r="B271" s="32">
        <v>4.8114999999999997</v>
      </c>
      <c r="C271" s="32">
        <v>0.96479999999999999</v>
      </c>
      <c r="D271" s="32">
        <v>2.0895000000000001</v>
      </c>
      <c r="E271" s="32">
        <v>479.2</v>
      </c>
      <c r="F271" s="32">
        <v>6.2817999999999996</v>
      </c>
      <c r="G271" s="32">
        <v>1816.05</v>
      </c>
      <c r="H271" s="32">
        <v>19.868300000000001</v>
      </c>
      <c r="I271" s="32">
        <v>40.211799999999997</v>
      </c>
      <c r="J271" s="32">
        <v>7.7507999999999999</v>
      </c>
      <c r="K271" s="32">
        <v>219.65100000000001</v>
      </c>
      <c r="L271" s="32">
        <v>55.173099999999998</v>
      </c>
      <c r="M271" s="32">
        <v>9661.84</v>
      </c>
      <c r="N271" s="32">
        <v>3.9091</v>
      </c>
      <c r="O271" s="32">
        <v>3.0653000000000001</v>
      </c>
      <c r="P271" s="32">
        <v>13.027900000000001</v>
      </c>
      <c r="Q271" s="32">
        <v>1.2282</v>
      </c>
      <c r="R271" s="32">
        <v>96.387600000000006</v>
      </c>
      <c r="S271" s="32">
        <v>2.6067</v>
      </c>
      <c r="T271" s="32">
        <v>41.246000000000002</v>
      </c>
      <c r="U271" s="32">
        <v>3.2202999999999999</v>
      </c>
      <c r="V271" s="32">
        <v>31.286799999999999</v>
      </c>
      <c r="W271" s="32">
        <v>3.7505999999999999</v>
      </c>
      <c r="X271" s="32">
        <v>8.9175000000000004</v>
      </c>
      <c r="Y271" s="32">
        <v>1084.01</v>
      </c>
      <c r="Z271" s="32">
        <v>0.78129999999999999</v>
      </c>
      <c r="AA271" s="32">
        <v>1.7995000000000001</v>
      </c>
      <c r="AB271" s="32">
        <v>4.2998000000000003</v>
      </c>
    </row>
    <row r="272" spans="1:28" ht="15" customHeight="1" x14ac:dyDescent="0.2">
      <c r="A272" s="33">
        <v>41236</v>
      </c>
      <c r="B272" s="32">
        <v>4.8197999999999999</v>
      </c>
      <c r="C272" s="32">
        <v>0.96340000000000003</v>
      </c>
      <c r="D272" s="32">
        <v>2.0992999999999999</v>
      </c>
      <c r="E272" s="32">
        <v>477.9</v>
      </c>
      <c r="F272" s="32">
        <v>6.2817999999999996</v>
      </c>
      <c r="G272" s="32">
        <v>1816</v>
      </c>
      <c r="H272" s="32">
        <v>19.805599999999998</v>
      </c>
      <c r="I272" s="32">
        <v>40.293599999999998</v>
      </c>
      <c r="J272" s="32">
        <v>7.7511000000000001</v>
      </c>
      <c r="K272" s="32">
        <v>217.79300000000001</v>
      </c>
      <c r="L272" s="32">
        <v>55.184600000000003</v>
      </c>
      <c r="M272" s="32">
        <v>9661.84</v>
      </c>
      <c r="N272" s="32">
        <v>3.8879999999999999</v>
      </c>
      <c r="O272" s="32">
        <v>3.0642999999999998</v>
      </c>
      <c r="P272" s="32">
        <v>13.033300000000001</v>
      </c>
      <c r="Q272" s="32">
        <v>1.2267999999999999</v>
      </c>
      <c r="R272" s="32">
        <v>96.633200000000002</v>
      </c>
      <c r="S272" s="32">
        <v>2.6558999999999999</v>
      </c>
      <c r="T272" s="32">
        <v>41.197899999999997</v>
      </c>
      <c r="U272" s="32">
        <v>3.1995</v>
      </c>
      <c r="V272" s="32">
        <v>31.177499999999998</v>
      </c>
      <c r="W272" s="32">
        <v>3.7507000000000001</v>
      </c>
      <c r="X272" s="32">
        <v>8.9591999999999992</v>
      </c>
      <c r="Y272" s="32">
        <v>1086.25</v>
      </c>
      <c r="Z272" s="32">
        <v>0.77769999999999995</v>
      </c>
      <c r="AA272" s="32">
        <v>1.7999000000000001</v>
      </c>
      <c r="AB272" s="32">
        <v>4.2996999999999996</v>
      </c>
    </row>
    <row r="273" spans="1:28" ht="15" customHeight="1" x14ac:dyDescent="0.2">
      <c r="A273" s="33">
        <v>41237</v>
      </c>
      <c r="B273" s="32">
        <v>4.8243999999999998</v>
      </c>
      <c r="C273" s="32">
        <v>0.96050000000000002</v>
      </c>
      <c r="D273" s="32">
        <v>2.1006</v>
      </c>
      <c r="E273" s="32">
        <v>479.1</v>
      </c>
      <c r="F273" s="32">
        <v>6.2781000000000002</v>
      </c>
      <c r="G273" s="32">
        <v>1817.74</v>
      </c>
      <c r="H273" s="32">
        <v>19.679200000000002</v>
      </c>
      <c r="I273" s="32">
        <v>40.215800000000002</v>
      </c>
      <c r="J273" s="32">
        <v>7.7507000000000001</v>
      </c>
      <c r="K273" s="32">
        <v>217.20099999999999</v>
      </c>
      <c r="L273" s="32">
        <v>55.395899999999997</v>
      </c>
      <c r="M273" s="32">
        <v>9643.2000000000007</v>
      </c>
      <c r="N273" s="32">
        <v>3.8761000000000001</v>
      </c>
      <c r="O273" s="32">
        <v>3.0628000000000002</v>
      </c>
      <c r="P273" s="32">
        <v>13.020300000000001</v>
      </c>
      <c r="Q273" s="32">
        <v>1.2216</v>
      </c>
      <c r="R273" s="32">
        <v>96.857500000000002</v>
      </c>
      <c r="S273" s="32">
        <v>2.6375999999999999</v>
      </c>
      <c r="T273" s="32">
        <v>41.165100000000002</v>
      </c>
      <c r="U273" s="32">
        <v>3.1858</v>
      </c>
      <c r="V273" s="32">
        <v>31.1389</v>
      </c>
      <c r="W273" s="32">
        <v>3.7507000000000001</v>
      </c>
      <c r="X273" s="32">
        <v>8.9192</v>
      </c>
      <c r="Y273" s="32">
        <v>1087.19</v>
      </c>
      <c r="Z273" s="32">
        <v>0.77449999999999997</v>
      </c>
      <c r="AA273" s="32">
        <v>1.7972999999999999</v>
      </c>
      <c r="AB273" s="32">
        <v>4.3</v>
      </c>
    </row>
    <row r="274" spans="1:28" ht="15" customHeight="1" x14ac:dyDescent="0.2">
      <c r="A274" s="33">
        <v>41238</v>
      </c>
      <c r="B274" s="32">
        <v>4.8545999999999996</v>
      </c>
      <c r="C274" s="32">
        <v>0.95630000000000004</v>
      </c>
      <c r="D274" s="32">
        <v>2.0922999999999998</v>
      </c>
      <c r="E274" s="32">
        <v>479.1</v>
      </c>
      <c r="F274" s="32">
        <v>6.2803000000000004</v>
      </c>
      <c r="G274" s="32">
        <v>1825</v>
      </c>
      <c r="H274" s="32">
        <v>19.546500000000002</v>
      </c>
      <c r="I274" s="32">
        <v>40.1128</v>
      </c>
      <c r="J274" s="32">
        <v>7.7508999999999997</v>
      </c>
      <c r="K274" s="32">
        <v>217.93199999999999</v>
      </c>
      <c r="L274" s="32">
        <v>55.534999999999997</v>
      </c>
      <c r="M274" s="32">
        <v>9680.5400000000009</v>
      </c>
      <c r="N274" s="32">
        <v>3.8748999999999998</v>
      </c>
      <c r="O274" s="32">
        <v>3.0815000000000001</v>
      </c>
      <c r="P274" s="32">
        <v>12.971399999999999</v>
      </c>
      <c r="Q274" s="32">
        <v>1.2148000000000001</v>
      </c>
      <c r="R274" s="32">
        <v>96.452500000000001</v>
      </c>
      <c r="S274" s="32">
        <v>2.6438999999999999</v>
      </c>
      <c r="T274" s="32">
        <v>41.269500000000001</v>
      </c>
      <c r="U274" s="32">
        <v>3.1978</v>
      </c>
      <c r="V274" s="32">
        <v>31.396699999999999</v>
      </c>
      <c r="W274" s="32">
        <v>3.7551999999999999</v>
      </c>
      <c r="X274" s="32">
        <v>8.8840000000000003</v>
      </c>
      <c r="Y274" s="32">
        <v>1094.33</v>
      </c>
      <c r="Z274" s="32">
        <v>0.77080000000000004</v>
      </c>
      <c r="AA274" s="32">
        <v>1.7950999999999999</v>
      </c>
      <c r="AB274" s="32">
        <v>4.2996999999999996</v>
      </c>
    </row>
    <row r="275" spans="1:28" ht="15" customHeight="1" x14ac:dyDescent="0.2">
      <c r="A275" s="33">
        <v>41239</v>
      </c>
      <c r="B275" s="32">
        <v>4.8558000000000003</v>
      </c>
      <c r="C275" s="32">
        <v>0.95630000000000004</v>
      </c>
      <c r="D275" s="32">
        <v>2.0836000000000001</v>
      </c>
      <c r="E275" s="32">
        <v>479.1</v>
      </c>
      <c r="F275" s="32">
        <v>6.2803000000000004</v>
      </c>
      <c r="G275" s="32">
        <v>1825</v>
      </c>
      <c r="H275" s="32">
        <v>19.555399999999999</v>
      </c>
      <c r="I275" s="32">
        <v>40.109000000000002</v>
      </c>
      <c r="J275" s="32">
        <v>7.7508999999999997</v>
      </c>
      <c r="K275" s="32">
        <v>218.02</v>
      </c>
      <c r="L275" s="32">
        <v>55.534999999999997</v>
      </c>
      <c r="M275" s="32">
        <v>9737.1</v>
      </c>
      <c r="N275" s="32">
        <v>3.8700999999999999</v>
      </c>
      <c r="O275" s="32">
        <v>3.1034000000000002</v>
      </c>
      <c r="P275" s="32">
        <v>12.972200000000001</v>
      </c>
      <c r="Q275" s="32">
        <v>1.2149000000000001</v>
      </c>
      <c r="R275" s="32">
        <v>96.733000000000004</v>
      </c>
      <c r="S275" s="32">
        <v>2.645</v>
      </c>
      <c r="T275" s="32">
        <v>41.176000000000002</v>
      </c>
      <c r="U275" s="32">
        <v>3.2265999999999999</v>
      </c>
      <c r="V275" s="32">
        <v>31.089200000000002</v>
      </c>
      <c r="W275" s="32">
        <v>3.7549999999999999</v>
      </c>
      <c r="X275" s="32">
        <v>8.8847000000000005</v>
      </c>
      <c r="Y275" s="32">
        <v>1103.51</v>
      </c>
      <c r="Z275" s="32">
        <v>0.77080000000000004</v>
      </c>
      <c r="AA275" s="32">
        <v>1.7963</v>
      </c>
      <c r="AB275" s="32">
        <v>4.2996999999999996</v>
      </c>
    </row>
    <row r="276" spans="1:28" ht="15" customHeight="1" x14ac:dyDescent="0.2">
      <c r="A276" s="33">
        <v>41240</v>
      </c>
      <c r="B276" s="32">
        <v>4.8381999999999996</v>
      </c>
      <c r="C276" s="32">
        <v>0.95669999999999999</v>
      </c>
      <c r="D276" s="32">
        <v>2.0849000000000002</v>
      </c>
      <c r="E276" s="32">
        <v>482</v>
      </c>
      <c r="F276" s="32">
        <v>6.2781000000000002</v>
      </c>
      <c r="G276" s="32">
        <v>1825.08</v>
      </c>
      <c r="H276" s="32">
        <v>19.544</v>
      </c>
      <c r="I276" s="32">
        <v>40.1145</v>
      </c>
      <c r="J276" s="32">
        <v>7.7504</v>
      </c>
      <c r="K276" s="32">
        <v>217.72200000000001</v>
      </c>
      <c r="L276" s="32">
        <v>55.594299999999997</v>
      </c>
      <c r="M276" s="32">
        <v>9671.18</v>
      </c>
      <c r="N276" s="32">
        <v>3.8618999999999999</v>
      </c>
      <c r="O276" s="32">
        <v>3.0764</v>
      </c>
      <c r="P276" s="32">
        <v>12.982200000000001</v>
      </c>
      <c r="Q276" s="32">
        <v>1.2152000000000001</v>
      </c>
      <c r="R276" s="32">
        <v>96.697500000000005</v>
      </c>
      <c r="S276" s="32">
        <v>2.6311</v>
      </c>
      <c r="T276" s="32">
        <v>41.129199999999997</v>
      </c>
      <c r="U276" s="32">
        <v>3.1705000000000001</v>
      </c>
      <c r="V276" s="32">
        <v>31.049900000000001</v>
      </c>
      <c r="W276" s="32">
        <v>3.7507999999999999</v>
      </c>
      <c r="X276" s="32">
        <v>8.8826999999999998</v>
      </c>
      <c r="Y276" s="32">
        <v>1093.6099999999999</v>
      </c>
      <c r="Z276" s="32">
        <v>0.77139999999999997</v>
      </c>
      <c r="AA276" s="32">
        <v>1.7955000000000001</v>
      </c>
      <c r="AB276" s="32">
        <v>4.3002000000000002</v>
      </c>
    </row>
    <row r="277" spans="1:28" ht="15" customHeight="1" x14ac:dyDescent="0.2">
      <c r="A277" s="33">
        <v>41241</v>
      </c>
      <c r="B277" s="32">
        <v>4.8254999999999999</v>
      </c>
      <c r="C277" s="32">
        <v>0.95509999999999995</v>
      </c>
      <c r="D277" s="32">
        <v>2.0832000000000002</v>
      </c>
      <c r="E277" s="32">
        <v>483</v>
      </c>
      <c r="F277" s="32">
        <v>6.2773000000000003</v>
      </c>
      <c r="G277" s="32">
        <v>1825.13</v>
      </c>
      <c r="H277" s="32">
        <v>19.529699999999998</v>
      </c>
      <c r="I277" s="32">
        <v>40.210799999999999</v>
      </c>
      <c r="J277" s="32">
        <v>7.7503000000000002</v>
      </c>
      <c r="K277" s="32">
        <v>216.726</v>
      </c>
      <c r="L277" s="32">
        <v>55.546799999999998</v>
      </c>
      <c r="M277" s="32">
        <v>9633.91</v>
      </c>
      <c r="N277" s="32">
        <v>3.8586</v>
      </c>
      <c r="O277" s="32">
        <v>3.0514999999999999</v>
      </c>
      <c r="P277" s="32">
        <v>12.9976</v>
      </c>
      <c r="Q277" s="32">
        <v>1.2163999999999999</v>
      </c>
      <c r="R277" s="32">
        <v>96.877700000000004</v>
      </c>
      <c r="S277" s="32">
        <v>2.6276999999999999</v>
      </c>
      <c r="T277" s="32">
        <v>40.991799999999998</v>
      </c>
      <c r="U277" s="32">
        <v>3.1631</v>
      </c>
      <c r="V277" s="32">
        <v>31.027999999999999</v>
      </c>
      <c r="W277" s="32">
        <v>3.7507000000000001</v>
      </c>
      <c r="X277" s="32">
        <v>8.8480000000000008</v>
      </c>
      <c r="Y277" s="32">
        <v>1086.3699999999999</v>
      </c>
      <c r="Z277" s="32">
        <v>0.77139999999999997</v>
      </c>
      <c r="AA277" s="32">
        <v>1.7943</v>
      </c>
      <c r="AB277" s="32">
        <v>4.3003</v>
      </c>
    </row>
    <row r="278" spans="1:28" ht="15" customHeight="1" x14ac:dyDescent="0.2">
      <c r="A278" s="33">
        <v>41242</v>
      </c>
      <c r="B278" s="32">
        <v>4.8281000000000001</v>
      </c>
      <c r="C278" s="32">
        <v>0.95669999999999999</v>
      </c>
      <c r="D278" s="32">
        <v>2.0889000000000002</v>
      </c>
      <c r="E278" s="32">
        <v>482.8</v>
      </c>
      <c r="F278" s="32">
        <v>6.2812000000000001</v>
      </c>
      <c r="G278" s="32">
        <v>1825</v>
      </c>
      <c r="H278" s="32">
        <v>19.579000000000001</v>
      </c>
      <c r="I278" s="32">
        <v>40.314500000000002</v>
      </c>
      <c r="J278" s="32">
        <v>7.7503000000000002</v>
      </c>
      <c r="K278" s="32">
        <v>217.428</v>
      </c>
      <c r="L278" s="32">
        <v>55.664700000000003</v>
      </c>
      <c r="M278" s="32">
        <v>9633.91</v>
      </c>
      <c r="N278" s="32">
        <v>3.8618000000000001</v>
      </c>
      <c r="O278" s="32">
        <v>3.0554000000000001</v>
      </c>
      <c r="P278" s="32">
        <v>13.042299999999999</v>
      </c>
      <c r="Q278" s="32">
        <v>1.2176</v>
      </c>
      <c r="R278" s="32">
        <v>96.567400000000006</v>
      </c>
      <c r="S278" s="32">
        <v>2.6343000000000001</v>
      </c>
      <c r="T278" s="32">
        <v>40.9908</v>
      </c>
      <c r="U278" s="32">
        <v>3.1766000000000001</v>
      </c>
      <c r="V278" s="32">
        <v>31.130800000000001</v>
      </c>
      <c r="W278" s="32">
        <v>3.7507000000000001</v>
      </c>
      <c r="X278" s="32">
        <v>8.8488000000000007</v>
      </c>
      <c r="Y278" s="32">
        <v>1087.67</v>
      </c>
      <c r="Z278" s="32">
        <v>0.77380000000000004</v>
      </c>
      <c r="AA278" s="32">
        <v>1.7928999999999999</v>
      </c>
      <c r="AB278" s="32">
        <v>4.2999000000000001</v>
      </c>
    </row>
    <row r="279" spans="1:28" ht="15" customHeight="1" x14ac:dyDescent="0.2">
      <c r="A279" s="33">
        <v>41243</v>
      </c>
      <c r="B279" s="32">
        <v>4.8331</v>
      </c>
      <c r="C279" s="32">
        <v>0.95650000000000002</v>
      </c>
      <c r="D279" s="32">
        <v>2.0975000000000001</v>
      </c>
      <c r="E279" s="32">
        <v>480.7</v>
      </c>
      <c r="F279" s="32">
        <v>6.2789999999999999</v>
      </c>
      <c r="G279" s="32">
        <v>1823.33</v>
      </c>
      <c r="H279" s="32">
        <v>19.463899999999999</v>
      </c>
      <c r="I279" s="32">
        <v>40.192100000000003</v>
      </c>
      <c r="J279" s="32">
        <v>7.7502000000000004</v>
      </c>
      <c r="K279" s="32">
        <v>216.24700000000001</v>
      </c>
      <c r="L279" s="32">
        <v>55.106000000000002</v>
      </c>
      <c r="M279" s="32">
        <v>9633.91</v>
      </c>
      <c r="N279" s="32">
        <v>3.8359999999999999</v>
      </c>
      <c r="O279" s="32">
        <v>3.0501999999999998</v>
      </c>
      <c r="P279" s="32">
        <v>12.9657</v>
      </c>
      <c r="Q279" s="32">
        <v>1.2137</v>
      </c>
      <c r="R279" s="32">
        <v>96.856300000000005</v>
      </c>
      <c r="S279" s="32">
        <v>2.6240000000000001</v>
      </c>
      <c r="T279" s="32">
        <v>40.964799999999997</v>
      </c>
      <c r="U279" s="32">
        <v>3.1619999999999999</v>
      </c>
      <c r="V279" s="32">
        <v>30.980599999999999</v>
      </c>
      <c r="W279" s="32">
        <v>3.7505999999999999</v>
      </c>
      <c r="X279" s="32">
        <v>8.8039000000000005</v>
      </c>
      <c r="Y279" s="32">
        <v>1085.19</v>
      </c>
      <c r="Z279" s="32">
        <v>0.77129999999999999</v>
      </c>
      <c r="AA279" s="32">
        <v>1.7894000000000001</v>
      </c>
      <c r="AB279" s="32">
        <v>4.3</v>
      </c>
    </row>
    <row r="280" spans="1:28" ht="15" customHeight="1" x14ac:dyDescent="0.2">
      <c r="A280" s="33">
        <v>41244</v>
      </c>
      <c r="B280" s="32">
        <v>4.8361999999999998</v>
      </c>
      <c r="C280" s="32">
        <v>0.95930000000000004</v>
      </c>
      <c r="D280" s="32">
        <v>2.1086</v>
      </c>
      <c r="E280" s="32">
        <v>480.3</v>
      </c>
      <c r="F280" s="32">
        <v>6.2298999999999998</v>
      </c>
      <c r="G280" s="32">
        <v>1818.6</v>
      </c>
      <c r="H280" s="32">
        <v>19.415099999999999</v>
      </c>
      <c r="I280" s="32">
        <v>40.334800000000001</v>
      </c>
      <c r="J280" s="32">
        <v>7.7503000000000002</v>
      </c>
      <c r="K280" s="32">
        <v>215.97</v>
      </c>
      <c r="L280" s="32">
        <v>54.496000000000002</v>
      </c>
      <c r="M280" s="32">
        <v>9624.64</v>
      </c>
      <c r="N280" s="32">
        <v>3.8195999999999999</v>
      </c>
      <c r="O280" s="32">
        <v>3.0445000000000002</v>
      </c>
      <c r="P280" s="32">
        <v>12.9367</v>
      </c>
      <c r="Q280" s="32">
        <v>1.218</v>
      </c>
      <c r="R280" s="32">
        <v>96.883099999999999</v>
      </c>
      <c r="S280" s="32">
        <v>2.6288999999999998</v>
      </c>
      <c r="T280" s="32">
        <v>40.945900000000002</v>
      </c>
      <c r="U280" s="32">
        <v>3.1549</v>
      </c>
      <c r="V280" s="32">
        <v>30.887699999999999</v>
      </c>
      <c r="W280" s="32">
        <v>3.7538</v>
      </c>
      <c r="X280" s="32">
        <v>8.8238000000000003</v>
      </c>
      <c r="Y280" s="32">
        <v>1084.01</v>
      </c>
      <c r="Z280" s="32">
        <v>0.76939999999999997</v>
      </c>
      <c r="AA280" s="32">
        <v>1.7868999999999999</v>
      </c>
      <c r="AB280" s="32">
        <v>4.2999000000000001</v>
      </c>
    </row>
    <row r="281" spans="1:28" ht="15" customHeight="1" x14ac:dyDescent="0.2">
      <c r="A281" s="33">
        <v>41245</v>
      </c>
      <c r="B281" s="32">
        <v>4.8639000000000001</v>
      </c>
      <c r="C281" s="32">
        <v>0.95930000000000004</v>
      </c>
      <c r="D281" s="32">
        <v>2.1394000000000002</v>
      </c>
      <c r="E281" s="32">
        <v>480.3</v>
      </c>
      <c r="F281" s="32">
        <v>6.2835999999999999</v>
      </c>
      <c r="G281" s="32">
        <v>1821</v>
      </c>
      <c r="H281" s="32">
        <v>19.459</v>
      </c>
      <c r="I281" s="32">
        <v>40.457299999999996</v>
      </c>
      <c r="J281" s="32">
        <v>7.7506000000000004</v>
      </c>
      <c r="K281" s="32">
        <v>216.839</v>
      </c>
      <c r="L281" s="32">
        <v>54.536000000000001</v>
      </c>
      <c r="M281" s="32">
        <v>9624.64</v>
      </c>
      <c r="N281" s="32">
        <v>3.8201000000000001</v>
      </c>
      <c r="O281" s="32">
        <v>3.0676999999999999</v>
      </c>
      <c r="P281" s="32">
        <v>12.973599999999999</v>
      </c>
      <c r="Q281" s="32">
        <v>1.2196</v>
      </c>
      <c r="R281" s="32">
        <v>97.811599999999999</v>
      </c>
      <c r="S281" s="32">
        <v>2.6427</v>
      </c>
      <c r="T281" s="32">
        <v>40.889800000000001</v>
      </c>
      <c r="U281" s="32">
        <v>3.1617999999999999</v>
      </c>
      <c r="V281" s="32">
        <v>31.2136</v>
      </c>
      <c r="W281" s="32">
        <v>3.7551000000000001</v>
      </c>
      <c r="X281" s="32">
        <v>8.9152000000000005</v>
      </c>
      <c r="Y281" s="32">
        <v>1091.1099999999999</v>
      </c>
      <c r="Z281" s="32">
        <v>0.7702</v>
      </c>
      <c r="AA281" s="32">
        <v>1.7886</v>
      </c>
      <c r="AB281" s="32">
        <v>4.3040000000000003</v>
      </c>
    </row>
    <row r="282" spans="1:28" ht="15" customHeight="1" x14ac:dyDescent="0.2">
      <c r="A282" s="33">
        <v>41246</v>
      </c>
      <c r="B282" s="32">
        <v>4.9001000000000001</v>
      </c>
      <c r="C282" s="32">
        <v>0.95930000000000004</v>
      </c>
      <c r="D282" s="32">
        <v>2.1391</v>
      </c>
      <c r="E282" s="32">
        <v>480.3</v>
      </c>
      <c r="F282" s="32">
        <v>6.2835999999999999</v>
      </c>
      <c r="G282" s="32">
        <v>1821</v>
      </c>
      <c r="H282" s="32">
        <v>19.470800000000001</v>
      </c>
      <c r="I282" s="32">
        <v>40.698</v>
      </c>
      <c r="J282" s="32">
        <v>7.7506000000000004</v>
      </c>
      <c r="K282" s="32">
        <v>216.86500000000001</v>
      </c>
      <c r="L282" s="32">
        <v>54.536000000000001</v>
      </c>
      <c r="M282" s="32">
        <v>9615.3799999999992</v>
      </c>
      <c r="N282" s="32">
        <v>3.8224</v>
      </c>
      <c r="O282" s="32">
        <v>3.1059000000000001</v>
      </c>
      <c r="P282" s="32">
        <v>12.974399999999999</v>
      </c>
      <c r="Q282" s="32">
        <v>1.2196</v>
      </c>
      <c r="R282" s="32">
        <v>97.748999999999995</v>
      </c>
      <c r="S282" s="32">
        <v>2.6415999999999999</v>
      </c>
      <c r="T282" s="32">
        <v>40.872999999999998</v>
      </c>
      <c r="U282" s="32">
        <v>3.1612</v>
      </c>
      <c r="V282" s="32">
        <v>30.946400000000001</v>
      </c>
      <c r="W282" s="32">
        <v>3.7551000000000001</v>
      </c>
      <c r="X282" s="32">
        <v>8.9156999999999993</v>
      </c>
      <c r="Y282" s="32">
        <v>1102.78</v>
      </c>
      <c r="Z282" s="32">
        <v>0.77029999999999998</v>
      </c>
      <c r="AA282" s="32">
        <v>1.7892999999999999</v>
      </c>
      <c r="AB282" s="32">
        <v>4.2996999999999996</v>
      </c>
    </row>
    <row r="283" spans="1:28" ht="15" customHeight="1" x14ac:dyDescent="0.2">
      <c r="A283" s="33">
        <v>41247</v>
      </c>
      <c r="B283" s="32">
        <v>4.8593999999999999</v>
      </c>
      <c r="C283" s="32">
        <v>0.95989999999999998</v>
      </c>
      <c r="D283" s="32">
        <v>2.1297999999999999</v>
      </c>
      <c r="E283" s="32">
        <v>482.5</v>
      </c>
      <c r="F283" s="32">
        <v>6.2819000000000003</v>
      </c>
      <c r="G283" s="32">
        <v>1818.86</v>
      </c>
      <c r="H283" s="32">
        <v>19.3935</v>
      </c>
      <c r="I283" s="32">
        <v>40.502699999999997</v>
      </c>
      <c r="J283" s="32">
        <v>7.7502000000000004</v>
      </c>
      <c r="K283" s="32">
        <v>216.291</v>
      </c>
      <c r="L283" s="32">
        <v>54.552300000000002</v>
      </c>
      <c r="M283" s="32">
        <v>9624.64</v>
      </c>
      <c r="N283" s="32">
        <v>3.8224</v>
      </c>
      <c r="O283" s="32">
        <v>3.0649000000000002</v>
      </c>
      <c r="P283" s="32">
        <v>12.942299999999999</v>
      </c>
      <c r="Q283" s="32">
        <v>1.2191000000000001</v>
      </c>
      <c r="R283" s="32">
        <v>97.444999999999993</v>
      </c>
      <c r="S283" s="32">
        <v>2.6225000000000001</v>
      </c>
      <c r="T283" s="32">
        <v>40.939599999999999</v>
      </c>
      <c r="U283" s="32">
        <v>3.1577999999999999</v>
      </c>
      <c r="V283" s="32">
        <v>30.908899999999999</v>
      </c>
      <c r="W283" s="32">
        <v>3.7507999999999999</v>
      </c>
      <c r="X283" s="32">
        <v>8.8818000000000001</v>
      </c>
      <c r="Y283" s="32">
        <v>1090.27</v>
      </c>
      <c r="Z283" s="32">
        <v>0.76719999999999999</v>
      </c>
      <c r="AA283" s="32">
        <v>1.7868999999999999</v>
      </c>
      <c r="AB283" s="32">
        <v>4.3003</v>
      </c>
    </row>
    <row r="284" spans="1:28" ht="15" customHeight="1" x14ac:dyDescent="0.2">
      <c r="A284" s="33">
        <v>41248</v>
      </c>
      <c r="B284" s="32">
        <v>4.8460999999999999</v>
      </c>
      <c r="C284" s="32">
        <v>0.95660000000000001</v>
      </c>
      <c r="D284" s="32">
        <v>2.1198999999999999</v>
      </c>
      <c r="E284" s="32">
        <v>481.65</v>
      </c>
      <c r="F284" s="32">
        <v>6.2823000000000002</v>
      </c>
      <c r="G284" s="32">
        <v>1814.23</v>
      </c>
      <c r="H284" s="32">
        <v>19.3398</v>
      </c>
      <c r="I284" s="32">
        <v>40.261200000000002</v>
      </c>
      <c r="J284" s="32">
        <v>7.7502000000000004</v>
      </c>
      <c r="K284" s="32">
        <v>216.435</v>
      </c>
      <c r="L284" s="32">
        <v>54.735199999999999</v>
      </c>
      <c r="M284" s="32">
        <v>9624.64</v>
      </c>
      <c r="N284" s="32">
        <v>3.8237999999999999</v>
      </c>
      <c r="O284" s="32">
        <v>3.0457999999999998</v>
      </c>
      <c r="P284" s="32">
        <v>12.9816</v>
      </c>
      <c r="Q284" s="32">
        <v>1.2149000000000001</v>
      </c>
      <c r="R284" s="32">
        <v>96.802400000000006</v>
      </c>
      <c r="S284" s="32">
        <v>2.6175000000000002</v>
      </c>
      <c r="T284" s="32">
        <v>41.012799999999999</v>
      </c>
      <c r="U284" s="32">
        <v>3.1623999999999999</v>
      </c>
      <c r="V284" s="32">
        <v>30.902200000000001</v>
      </c>
      <c r="W284" s="32">
        <v>3.7505999999999999</v>
      </c>
      <c r="X284" s="32">
        <v>8.8468999999999998</v>
      </c>
      <c r="Y284" s="32">
        <v>1084.95</v>
      </c>
      <c r="Z284" s="32">
        <v>0.7651</v>
      </c>
      <c r="AA284" s="32">
        <v>1.7863</v>
      </c>
      <c r="AB284" s="32">
        <v>4.3003999999999998</v>
      </c>
    </row>
    <row r="285" spans="1:28" ht="15" customHeight="1" x14ac:dyDescent="0.2">
      <c r="A285" s="33">
        <v>41249</v>
      </c>
      <c r="B285" s="32">
        <v>4.8512000000000004</v>
      </c>
      <c r="C285" s="32">
        <v>0.95530000000000004</v>
      </c>
      <c r="D285" s="32">
        <v>2.1126999999999998</v>
      </c>
      <c r="E285" s="32">
        <v>481.9</v>
      </c>
      <c r="F285" s="32">
        <v>6.282</v>
      </c>
      <c r="G285" s="32">
        <v>1814.47</v>
      </c>
      <c r="H285" s="32">
        <v>19.296700000000001</v>
      </c>
      <c r="I285" s="32">
        <v>40.290999999999997</v>
      </c>
      <c r="J285" s="32">
        <v>7.7502000000000004</v>
      </c>
      <c r="K285" s="32">
        <v>216.34100000000001</v>
      </c>
      <c r="L285" s="32">
        <v>54.570500000000003</v>
      </c>
      <c r="M285" s="32">
        <v>9633.91</v>
      </c>
      <c r="N285" s="32">
        <v>3.8081999999999998</v>
      </c>
      <c r="O285" s="32">
        <v>3.0453999999999999</v>
      </c>
      <c r="P285" s="32">
        <v>12.9412</v>
      </c>
      <c r="Q285" s="32">
        <v>1.2121</v>
      </c>
      <c r="R285" s="32">
        <v>97.376499999999993</v>
      </c>
      <c r="S285" s="32">
        <v>2.6175000000000002</v>
      </c>
      <c r="T285" s="32">
        <v>40.987499999999997</v>
      </c>
      <c r="U285" s="32">
        <v>3.1539999999999999</v>
      </c>
      <c r="V285" s="32">
        <v>30.8215</v>
      </c>
      <c r="W285" s="32">
        <v>3.7505999999999999</v>
      </c>
      <c r="X285" s="32">
        <v>8.7888999999999999</v>
      </c>
      <c r="Y285" s="32">
        <v>1083.42</v>
      </c>
      <c r="Z285" s="32">
        <v>0.76380000000000003</v>
      </c>
      <c r="AA285" s="32">
        <v>1.786</v>
      </c>
      <c r="AB285" s="32">
        <v>4.3</v>
      </c>
    </row>
    <row r="286" spans="1:28" ht="15" customHeight="1" x14ac:dyDescent="0.2">
      <c r="A286" s="33">
        <v>41250</v>
      </c>
      <c r="B286" s="32">
        <v>4.8562000000000003</v>
      </c>
      <c r="C286" s="32">
        <v>0.95479999999999998</v>
      </c>
      <c r="D286" s="32">
        <v>2.0863999999999998</v>
      </c>
      <c r="E286" s="32">
        <v>479.5</v>
      </c>
      <c r="F286" s="32">
        <v>6.2869999999999999</v>
      </c>
      <c r="G286" s="32">
        <v>1809.88</v>
      </c>
      <c r="H286" s="32">
        <v>19.348700000000001</v>
      </c>
      <c r="I286" s="32">
        <v>40.357999999999997</v>
      </c>
      <c r="J286" s="32">
        <v>7.7502000000000004</v>
      </c>
      <c r="K286" s="32">
        <v>217.37700000000001</v>
      </c>
      <c r="L286" s="32">
        <v>54.357599999999998</v>
      </c>
      <c r="M286" s="32">
        <v>9643.2000000000007</v>
      </c>
      <c r="N286" s="32">
        <v>3.8167</v>
      </c>
      <c r="O286" s="32">
        <v>3.0491999999999999</v>
      </c>
      <c r="P286" s="32">
        <v>12.916700000000001</v>
      </c>
      <c r="Q286" s="32">
        <v>1.2040999999999999</v>
      </c>
      <c r="R286" s="32">
        <v>96.886600000000001</v>
      </c>
      <c r="S286" s="32">
        <v>2.6206999999999998</v>
      </c>
      <c r="T286" s="32">
        <v>41.029200000000003</v>
      </c>
      <c r="U286" s="32">
        <v>3.1676000000000002</v>
      </c>
      <c r="V286" s="32">
        <v>30.881399999999999</v>
      </c>
      <c r="W286" s="32">
        <v>3.7505999999999999</v>
      </c>
      <c r="X286" s="32">
        <v>8.7468000000000004</v>
      </c>
      <c r="Y286" s="32">
        <v>1084.3599999999999</v>
      </c>
      <c r="Z286" s="32">
        <v>0.7671</v>
      </c>
      <c r="AA286" s="32">
        <v>1.7892999999999999</v>
      </c>
      <c r="AB286" s="32">
        <v>4.3006000000000002</v>
      </c>
    </row>
    <row r="287" spans="1:28" ht="15" customHeight="1" x14ac:dyDescent="0.2">
      <c r="A287" s="33">
        <v>41251</v>
      </c>
      <c r="B287" s="32">
        <v>4.8613</v>
      </c>
      <c r="C287" s="32">
        <v>0.95440000000000003</v>
      </c>
      <c r="D287" s="32">
        <v>2.0807000000000002</v>
      </c>
      <c r="E287" s="32">
        <v>477.2</v>
      </c>
      <c r="F287" s="32">
        <v>6.2910000000000004</v>
      </c>
      <c r="G287" s="32">
        <v>1799.59</v>
      </c>
      <c r="H287" s="32">
        <v>19.486699999999999</v>
      </c>
      <c r="I287" s="32">
        <v>40.578400000000002</v>
      </c>
      <c r="J287" s="32">
        <v>7.7502000000000004</v>
      </c>
      <c r="K287" s="32">
        <v>219.11</v>
      </c>
      <c r="L287" s="32">
        <v>54.333300000000001</v>
      </c>
      <c r="M287" s="32">
        <v>9652.51</v>
      </c>
      <c r="N287" s="32">
        <v>3.8367</v>
      </c>
      <c r="O287" s="32">
        <v>3.0568</v>
      </c>
      <c r="P287" s="32">
        <v>12.8683</v>
      </c>
      <c r="Q287" s="32">
        <v>1.2019</v>
      </c>
      <c r="R287" s="32">
        <v>97.014300000000006</v>
      </c>
      <c r="S287" s="32">
        <v>2.6442000000000001</v>
      </c>
      <c r="T287" s="32">
        <v>41.057299999999998</v>
      </c>
      <c r="U287" s="32">
        <v>3.1924999999999999</v>
      </c>
      <c r="V287" s="32">
        <v>30.927600000000002</v>
      </c>
      <c r="W287" s="32">
        <v>3.7507000000000001</v>
      </c>
      <c r="X287" s="32">
        <v>8.6888000000000005</v>
      </c>
      <c r="Y287" s="32">
        <v>1083.54</v>
      </c>
      <c r="Z287" s="32">
        <v>0.77259999999999995</v>
      </c>
      <c r="AA287" s="32">
        <v>1.7908999999999999</v>
      </c>
      <c r="AB287" s="32">
        <v>4.3003999999999998</v>
      </c>
    </row>
    <row r="288" spans="1:28" ht="15" customHeight="1" x14ac:dyDescent="0.2">
      <c r="A288" s="33">
        <v>41252</v>
      </c>
      <c r="B288" s="32">
        <v>4.8842999999999996</v>
      </c>
      <c r="C288" s="32">
        <v>0.95369999999999999</v>
      </c>
      <c r="D288" s="32">
        <v>2.0771999999999999</v>
      </c>
      <c r="E288" s="32">
        <v>477.2</v>
      </c>
      <c r="F288" s="32">
        <v>6.2957999999999998</v>
      </c>
      <c r="G288" s="32">
        <v>1796</v>
      </c>
      <c r="H288" s="32">
        <v>19.510400000000001</v>
      </c>
      <c r="I288" s="32">
        <v>40.470399999999998</v>
      </c>
      <c r="J288" s="32">
        <v>7.7506000000000004</v>
      </c>
      <c r="K288" s="32">
        <v>219.34399999999999</v>
      </c>
      <c r="L288" s="32">
        <v>54.442</v>
      </c>
      <c r="M288" s="32">
        <v>9652.51</v>
      </c>
      <c r="N288" s="32">
        <v>3.8382000000000001</v>
      </c>
      <c r="O288" s="32">
        <v>3.0815999999999999</v>
      </c>
      <c r="P288" s="32">
        <v>12.858599999999999</v>
      </c>
      <c r="Q288" s="32">
        <v>1.2019</v>
      </c>
      <c r="R288" s="32">
        <v>97.253699999999995</v>
      </c>
      <c r="S288" s="32">
        <v>2.6406000000000001</v>
      </c>
      <c r="T288" s="32">
        <v>41.069099999999999</v>
      </c>
      <c r="U288" s="32">
        <v>3.1898</v>
      </c>
      <c r="V288" s="32">
        <v>30.840399999999999</v>
      </c>
      <c r="W288" s="32">
        <v>3.7551999999999999</v>
      </c>
      <c r="X288" s="32">
        <v>8.6603999999999992</v>
      </c>
      <c r="Y288" s="32">
        <v>1092.18</v>
      </c>
      <c r="Z288" s="32">
        <v>0.77370000000000005</v>
      </c>
      <c r="AA288" s="32">
        <v>1.7904</v>
      </c>
      <c r="AB288" s="32">
        <v>4.2996999999999996</v>
      </c>
    </row>
    <row r="289" spans="1:28" ht="15" customHeight="1" x14ac:dyDescent="0.2">
      <c r="A289" s="33">
        <v>41253</v>
      </c>
      <c r="B289" s="32">
        <v>4.8639000000000001</v>
      </c>
      <c r="C289" s="32">
        <v>0.95369999999999999</v>
      </c>
      <c r="D289" s="32">
        <v>2.0775999999999999</v>
      </c>
      <c r="E289" s="32">
        <v>478.5</v>
      </c>
      <c r="F289" s="32">
        <v>6.2957999999999998</v>
      </c>
      <c r="G289" s="32">
        <v>1796</v>
      </c>
      <c r="H289" s="32">
        <v>19.506</v>
      </c>
      <c r="I289" s="32">
        <v>40.475000000000001</v>
      </c>
      <c r="J289" s="32">
        <v>7.7506000000000004</v>
      </c>
      <c r="K289" s="32">
        <v>219.26599999999999</v>
      </c>
      <c r="L289" s="32">
        <v>54.442</v>
      </c>
      <c r="M289" s="32">
        <v>9652.51</v>
      </c>
      <c r="N289" s="32">
        <v>3.8361999999999998</v>
      </c>
      <c r="O289" s="32">
        <v>3.0609999999999999</v>
      </c>
      <c r="P289" s="32">
        <v>12.858499999999999</v>
      </c>
      <c r="Q289" s="32">
        <v>1.2019</v>
      </c>
      <c r="R289" s="32">
        <v>97.983000000000004</v>
      </c>
      <c r="S289" s="32">
        <v>2.6417999999999999</v>
      </c>
      <c r="T289" s="32">
        <v>41.061100000000003</v>
      </c>
      <c r="U289" s="32">
        <v>3.2480000000000002</v>
      </c>
      <c r="V289" s="32">
        <v>31.681699999999999</v>
      </c>
      <c r="W289" s="32">
        <v>3.7551999999999999</v>
      </c>
      <c r="X289" s="32">
        <v>8.6603999999999992</v>
      </c>
      <c r="Y289" s="32">
        <v>1084.48</v>
      </c>
      <c r="Z289" s="32">
        <v>0.77370000000000005</v>
      </c>
      <c r="AA289" s="32">
        <v>1.7904</v>
      </c>
      <c r="AB289" s="32">
        <v>4.2996999999999996</v>
      </c>
    </row>
    <row r="290" spans="1:28" ht="15" customHeight="1" x14ac:dyDescent="0.2">
      <c r="A290" s="33">
        <v>41254</v>
      </c>
      <c r="B290" s="32">
        <v>4.8666999999999998</v>
      </c>
      <c r="C290" s="32">
        <v>0.95389999999999997</v>
      </c>
      <c r="D290" s="32">
        <v>2.0794999999999999</v>
      </c>
      <c r="E290" s="32">
        <v>476</v>
      </c>
      <c r="F290" s="32">
        <v>6.2911999999999999</v>
      </c>
      <c r="G290" s="32">
        <v>1797.65</v>
      </c>
      <c r="H290" s="32">
        <v>19.5457</v>
      </c>
      <c r="I290" s="32">
        <v>40.430100000000003</v>
      </c>
      <c r="J290" s="32">
        <v>7.7502000000000004</v>
      </c>
      <c r="K290" s="32">
        <v>219.56700000000001</v>
      </c>
      <c r="L290" s="32">
        <v>54.420099999999998</v>
      </c>
      <c r="M290" s="32">
        <v>9652.51</v>
      </c>
      <c r="N290" s="32">
        <v>3.8369</v>
      </c>
      <c r="O290" s="32">
        <v>3.0629</v>
      </c>
      <c r="P290" s="32">
        <v>12.8317</v>
      </c>
      <c r="Q290" s="32">
        <v>1.2</v>
      </c>
      <c r="R290" s="32">
        <v>97.749600000000001</v>
      </c>
      <c r="S290" s="32">
        <v>2.6223000000000001</v>
      </c>
      <c r="T290" s="32">
        <v>41.054699999999997</v>
      </c>
      <c r="U290" s="32">
        <v>3.1903000000000001</v>
      </c>
      <c r="V290" s="32">
        <v>30.838200000000001</v>
      </c>
      <c r="W290" s="32">
        <v>3.7509000000000001</v>
      </c>
      <c r="X290" s="32">
        <v>8.6821000000000002</v>
      </c>
      <c r="Y290" s="32">
        <v>1081.55</v>
      </c>
      <c r="Z290" s="32">
        <v>0.77429999999999999</v>
      </c>
      <c r="AA290" s="32">
        <v>1.7903</v>
      </c>
      <c r="AB290" s="32">
        <v>4.3006000000000002</v>
      </c>
    </row>
    <row r="291" spans="1:28" ht="15" customHeight="1" x14ac:dyDescent="0.2">
      <c r="A291" s="33">
        <v>41255</v>
      </c>
      <c r="B291" s="32">
        <v>4.8685</v>
      </c>
      <c r="C291" s="32">
        <v>0.95299999999999996</v>
      </c>
      <c r="D291" s="32">
        <v>2.0792999999999999</v>
      </c>
      <c r="E291" s="32">
        <v>476</v>
      </c>
      <c r="F291" s="32">
        <v>6.2927999999999997</v>
      </c>
      <c r="G291" s="32">
        <v>1801.85</v>
      </c>
      <c r="H291" s="32">
        <v>19.4984</v>
      </c>
      <c r="I291" s="32">
        <v>40.365900000000003</v>
      </c>
      <c r="J291" s="32">
        <v>7.7502000000000004</v>
      </c>
      <c r="K291" s="32">
        <v>218.08199999999999</v>
      </c>
      <c r="L291" s="32">
        <v>54.3735</v>
      </c>
      <c r="M291" s="32">
        <v>9671.18</v>
      </c>
      <c r="N291" s="32">
        <v>3.8161</v>
      </c>
      <c r="O291" s="32">
        <v>3.0623999999999998</v>
      </c>
      <c r="P291" s="32">
        <v>12.7949</v>
      </c>
      <c r="Q291" s="32">
        <v>1.1958</v>
      </c>
      <c r="R291" s="32">
        <v>97.392499999999998</v>
      </c>
      <c r="S291" s="32">
        <v>2.6145999999999998</v>
      </c>
      <c r="T291" s="32">
        <v>41.023000000000003</v>
      </c>
      <c r="U291" s="32">
        <v>3.1610999999999998</v>
      </c>
      <c r="V291" s="32">
        <v>30.745699999999999</v>
      </c>
      <c r="W291" s="32">
        <v>3.7507000000000001</v>
      </c>
      <c r="X291" s="32">
        <v>8.6776</v>
      </c>
      <c r="Y291" s="32">
        <v>1077.5899999999999</v>
      </c>
      <c r="Z291" s="32">
        <v>0.77129999999999999</v>
      </c>
      <c r="AA291" s="32">
        <v>1.7865</v>
      </c>
      <c r="AB291" s="32">
        <v>4.3000999999999996</v>
      </c>
    </row>
    <row r="292" spans="1:28" ht="15" customHeight="1" x14ac:dyDescent="0.2">
      <c r="A292" s="33">
        <v>41256</v>
      </c>
      <c r="B292" s="32">
        <v>4.8730000000000002</v>
      </c>
      <c r="C292" s="32">
        <v>0.94869999999999999</v>
      </c>
      <c r="D292" s="32">
        <v>2.0802999999999998</v>
      </c>
      <c r="E292" s="32">
        <v>476.5</v>
      </c>
      <c r="F292" s="32">
        <v>6.2896000000000001</v>
      </c>
      <c r="G292" s="32">
        <v>1800.18</v>
      </c>
      <c r="H292" s="32">
        <v>19.397099999999998</v>
      </c>
      <c r="I292" s="32">
        <v>40.452100000000002</v>
      </c>
      <c r="J292" s="32">
        <v>7.7502000000000004</v>
      </c>
      <c r="K292" s="32">
        <v>216.71700000000001</v>
      </c>
      <c r="L292" s="32">
        <v>54.279200000000003</v>
      </c>
      <c r="M292" s="32">
        <v>9661.84</v>
      </c>
      <c r="N292" s="32">
        <v>3.7926000000000002</v>
      </c>
      <c r="O292" s="32">
        <v>3.0565000000000002</v>
      </c>
      <c r="P292" s="32">
        <v>12.7399</v>
      </c>
      <c r="Q292" s="32">
        <v>1.1897</v>
      </c>
      <c r="R292" s="32">
        <v>98.025499999999994</v>
      </c>
      <c r="S292" s="32">
        <v>2.6151</v>
      </c>
      <c r="T292" s="32">
        <v>41.084899999999998</v>
      </c>
      <c r="U292" s="32">
        <v>3.141</v>
      </c>
      <c r="V292" s="32">
        <v>30.666699999999999</v>
      </c>
      <c r="W292" s="32">
        <v>3.7507999999999999</v>
      </c>
      <c r="X292" s="32">
        <v>8.6646000000000001</v>
      </c>
      <c r="Y292" s="32">
        <v>1075.6199999999999</v>
      </c>
      <c r="Z292" s="32">
        <v>0.76770000000000005</v>
      </c>
      <c r="AA292" s="32">
        <v>1.7810999999999999</v>
      </c>
      <c r="AB292" s="32">
        <v>4.3</v>
      </c>
    </row>
    <row r="293" spans="1:28" ht="15" customHeight="1" x14ac:dyDescent="0.2">
      <c r="A293" s="33">
        <v>41257</v>
      </c>
      <c r="B293" s="32">
        <v>4.8757000000000001</v>
      </c>
      <c r="C293" s="32">
        <v>0.94850000000000001</v>
      </c>
      <c r="D293" s="32">
        <v>2.0773999999999999</v>
      </c>
      <c r="E293" s="32">
        <v>476.5</v>
      </c>
      <c r="F293" s="32">
        <v>6.2882999999999996</v>
      </c>
      <c r="G293" s="32">
        <v>1797.41</v>
      </c>
      <c r="H293" s="32">
        <v>19.338200000000001</v>
      </c>
      <c r="I293" s="32">
        <v>40.585599999999999</v>
      </c>
      <c r="J293" s="32">
        <v>7.7502000000000004</v>
      </c>
      <c r="K293" s="32">
        <v>216.619</v>
      </c>
      <c r="L293" s="32">
        <v>54.335900000000002</v>
      </c>
      <c r="M293" s="32">
        <v>9671.18</v>
      </c>
      <c r="N293" s="32">
        <v>3.7841</v>
      </c>
      <c r="O293" s="32">
        <v>3.0556000000000001</v>
      </c>
      <c r="P293" s="32">
        <v>12.761900000000001</v>
      </c>
      <c r="Q293" s="32">
        <v>1.1851</v>
      </c>
      <c r="R293" s="32">
        <v>97.9375</v>
      </c>
      <c r="S293" s="32">
        <v>2.6080000000000001</v>
      </c>
      <c r="T293" s="32">
        <v>41.181800000000003</v>
      </c>
      <c r="U293" s="32">
        <v>3.1331000000000002</v>
      </c>
      <c r="V293" s="32">
        <v>30.650300000000001</v>
      </c>
      <c r="W293" s="32">
        <v>3.7507999999999999</v>
      </c>
      <c r="X293" s="32">
        <v>8.6593999999999998</v>
      </c>
      <c r="Y293" s="32">
        <v>1074.46</v>
      </c>
      <c r="Z293" s="32">
        <v>0.76500000000000001</v>
      </c>
      <c r="AA293" s="32">
        <v>1.7798</v>
      </c>
      <c r="AB293" s="32">
        <v>4.3000999999999996</v>
      </c>
    </row>
    <row r="294" spans="1:28" ht="15" customHeight="1" x14ac:dyDescent="0.2">
      <c r="A294" s="33">
        <v>41258</v>
      </c>
      <c r="B294" s="32">
        <v>4.8785999999999996</v>
      </c>
      <c r="C294" s="32">
        <v>0.94889999999999997</v>
      </c>
      <c r="D294" s="32">
        <v>2.0869</v>
      </c>
      <c r="E294" s="32">
        <v>475.05</v>
      </c>
      <c r="F294" s="32">
        <v>6.2903000000000002</v>
      </c>
      <c r="G294" s="32">
        <v>1796.13</v>
      </c>
      <c r="H294" s="32">
        <v>19.283899999999999</v>
      </c>
      <c r="I294" s="32">
        <v>40.406100000000002</v>
      </c>
      <c r="J294" s="32">
        <v>7.7502000000000004</v>
      </c>
      <c r="K294" s="32">
        <v>216.67699999999999</v>
      </c>
      <c r="L294" s="32">
        <v>54.483899999999998</v>
      </c>
      <c r="M294" s="32">
        <v>9671.18</v>
      </c>
      <c r="N294" s="32">
        <v>3.7955999999999999</v>
      </c>
      <c r="O294" s="32">
        <v>3.0594999999999999</v>
      </c>
      <c r="P294" s="32">
        <v>12.796900000000001</v>
      </c>
      <c r="Q294" s="32">
        <v>1.1859</v>
      </c>
      <c r="R294" s="32">
        <v>98.023200000000003</v>
      </c>
      <c r="S294" s="32">
        <v>2.6114000000000002</v>
      </c>
      <c r="T294" s="32">
        <v>41.215400000000002</v>
      </c>
      <c r="U294" s="32">
        <v>3.1240999999999999</v>
      </c>
      <c r="V294" s="32">
        <v>30.742899999999999</v>
      </c>
      <c r="W294" s="32">
        <v>3.7507999999999999</v>
      </c>
      <c r="X294" s="32">
        <v>8.6549999999999994</v>
      </c>
      <c r="Y294" s="32">
        <v>1075.8499999999999</v>
      </c>
      <c r="Z294" s="32">
        <v>0.76329999999999998</v>
      </c>
      <c r="AA294" s="32">
        <v>1.7814000000000001</v>
      </c>
      <c r="AB294" s="32">
        <v>4.3002000000000002</v>
      </c>
    </row>
    <row r="295" spans="1:28" ht="15" customHeight="1" x14ac:dyDescent="0.2">
      <c r="A295" s="33">
        <v>41259</v>
      </c>
      <c r="B295" s="32">
        <v>4.9002999999999997</v>
      </c>
      <c r="C295" s="32">
        <v>0.9466</v>
      </c>
      <c r="D295" s="32">
        <v>2.0884</v>
      </c>
      <c r="E295" s="32">
        <v>475.05</v>
      </c>
      <c r="F295" s="32">
        <v>6.2942999999999998</v>
      </c>
      <c r="G295" s="32">
        <v>1797</v>
      </c>
      <c r="H295" s="32">
        <v>19.185099999999998</v>
      </c>
      <c r="I295" s="32">
        <v>40.508499999999998</v>
      </c>
      <c r="J295" s="32">
        <v>7.7506000000000004</v>
      </c>
      <c r="K295" s="32">
        <v>215.88</v>
      </c>
      <c r="L295" s="32">
        <v>54.585000000000001</v>
      </c>
      <c r="M295" s="32">
        <v>9661.84</v>
      </c>
      <c r="N295" s="32">
        <v>3.7919</v>
      </c>
      <c r="O295" s="32">
        <v>3.0684</v>
      </c>
      <c r="P295" s="32">
        <v>12.7522</v>
      </c>
      <c r="Q295" s="32">
        <v>1.1822999999999999</v>
      </c>
      <c r="R295" s="32">
        <v>98.033900000000003</v>
      </c>
      <c r="S295" s="32">
        <v>2.6124999999999998</v>
      </c>
      <c r="T295" s="32">
        <v>41.241100000000003</v>
      </c>
      <c r="U295" s="32">
        <v>3.1006</v>
      </c>
      <c r="V295" s="32">
        <v>30.970600000000001</v>
      </c>
      <c r="W295" s="32">
        <v>3.7553000000000001</v>
      </c>
      <c r="X295" s="32">
        <v>8.6226000000000003</v>
      </c>
      <c r="Y295" s="32">
        <v>1082.02</v>
      </c>
      <c r="Z295" s="32">
        <v>0.75980000000000003</v>
      </c>
      <c r="AA295" s="32">
        <v>1.7799</v>
      </c>
      <c r="AB295" s="32">
        <v>4.2996999999999996</v>
      </c>
    </row>
    <row r="296" spans="1:28" ht="15" customHeight="1" x14ac:dyDescent="0.2">
      <c r="A296" s="33">
        <v>41260</v>
      </c>
      <c r="B296" s="32">
        <v>4.9071999999999996</v>
      </c>
      <c r="C296" s="32">
        <v>0.9466</v>
      </c>
      <c r="D296" s="32">
        <v>2.0884999999999998</v>
      </c>
      <c r="E296" s="32">
        <v>475.05</v>
      </c>
      <c r="F296" s="32">
        <v>6.2942999999999998</v>
      </c>
      <c r="G296" s="32">
        <v>1797</v>
      </c>
      <c r="H296" s="32">
        <v>19.177099999999999</v>
      </c>
      <c r="I296" s="32">
        <v>40.512</v>
      </c>
      <c r="J296" s="32">
        <v>7.7506000000000004</v>
      </c>
      <c r="K296" s="32">
        <v>215.94</v>
      </c>
      <c r="L296" s="32">
        <v>54.585000000000001</v>
      </c>
      <c r="M296" s="32">
        <v>9661.84</v>
      </c>
      <c r="N296" s="32">
        <v>3.7955999999999999</v>
      </c>
      <c r="O296" s="32">
        <v>3.0590999999999999</v>
      </c>
      <c r="P296" s="32">
        <v>12.752700000000001</v>
      </c>
      <c r="Q296" s="32">
        <v>1.1822999999999999</v>
      </c>
      <c r="R296" s="32">
        <v>98.332999999999998</v>
      </c>
      <c r="S296" s="32">
        <v>2.6133000000000002</v>
      </c>
      <c r="T296" s="32">
        <v>41.23</v>
      </c>
      <c r="U296" s="32">
        <v>3.1008</v>
      </c>
      <c r="V296" s="32">
        <v>30.73</v>
      </c>
      <c r="W296" s="32">
        <v>3.7551000000000001</v>
      </c>
      <c r="X296" s="32">
        <v>8.6240000000000006</v>
      </c>
      <c r="Y296" s="32">
        <v>1091.46</v>
      </c>
      <c r="Z296" s="32">
        <v>0.75980000000000003</v>
      </c>
      <c r="AA296" s="32">
        <v>1.7809999999999999</v>
      </c>
      <c r="AB296" s="32">
        <v>4.2996999999999996</v>
      </c>
    </row>
    <row r="297" spans="1:28" ht="15" customHeight="1" x14ac:dyDescent="0.2">
      <c r="A297" s="33">
        <v>41261</v>
      </c>
      <c r="B297" s="32">
        <v>4.8935000000000004</v>
      </c>
      <c r="C297" s="32">
        <v>0.94869999999999999</v>
      </c>
      <c r="D297" s="32">
        <v>2.0924999999999998</v>
      </c>
      <c r="E297" s="32">
        <v>475.6</v>
      </c>
      <c r="F297" s="32">
        <v>6.2918000000000003</v>
      </c>
      <c r="G297" s="32">
        <v>1797.31</v>
      </c>
      <c r="H297" s="32">
        <v>19.1889</v>
      </c>
      <c r="I297" s="32">
        <v>40.448700000000002</v>
      </c>
      <c r="J297" s="32">
        <v>7.7502000000000004</v>
      </c>
      <c r="K297" s="32">
        <v>217.268</v>
      </c>
      <c r="L297" s="32">
        <v>54.685499999999998</v>
      </c>
      <c r="M297" s="32">
        <v>9652.51</v>
      </c>
      <c r="N297" s="32">
        <v>3.7886000000000002</v>
      </c>
      <c r="O297" s="32">
        <v>3.0602</v>
      </c>
      <c r="P297" s="32">
        <v>12.760899999999999</v>
      </c>
      <c r="Q297" s="32">
        <v>1.1843999999999999</v>
      </c>
      <c r="R297" s="32">
        <v>98.529799999999994</v>
      </c>
      <c r="S297" s="32">
        <v>2.6082999999999998</v>
      </c>
      <c r="T297" s="32">
        <v>41.18</v>
      </c>
      <c r="U297" s="32">
        <v>3.1065</v>
      </c>
      <c r="V297" s="32">
        <v>30.847799999999999</v>
      </c>
      <c r="W297" s="32">
        <v>3.7507999999999999</v>
      </c>
      <c r="X297" s="32">
        <v>8.6018000000000008</v>
      </c>
      <c r="Y297" s="32">
        <v>1080.5</v>
      </c>
      <c r="Z297" s="32">
        <v>0.75980000000000003</v>
      </c>
      <c r="AA297" s="32">
        <v>1.7822</v>
      </c>
      <c r="AB297" s="32">
        <v>4.3002000000000002</v>
      </c>
    </row>
    <row r="298" spans="1:28" ht="15" customHeight="1" x14ac:dyDescent="0.2">
      <c r="A298" s="33">
        <v>41262</v>
      </c>
      <c r="B298" s="32">
        <v>4.8882000000000003</v>
      </c>
      <c r="C298" s="32">
        <v>0.94899999999999995</v>
      </c>
      <c r="D298" s="32">
        <v>2.0981999999999998</v>
      </c>
      <c r="E298" s="32">
        <v>475.35</v>
      </c>
      <c r="F298" s="32">
        <v>6.2916999999999996</v>
      </c>
      <c r="G298" s="32">
        <v>1797</v>
      </c>
      <c r="H298" s="32">
        <v>19.133500000000002</v>
      </c>
      <c r="I298" s="32">
        <v>40.412199999999999</v>
      </c>
      <c r="J298" s="32">
        <v>7.7504</v>
      </c>
      <c r="K298" s="32">
        <v>218.71199999999999</v>
      </c>
      <c r="L298" s="32">
        <v>54.878700000000002</v>
      </c>
      <c r="M298" s="32">
        <v>9671.18</v>
      </c>
      <c r="N298" s="32">
        <v>3.7738999999999998</v>
      </c>
      <c r="O298" s="32">
        <v>3.0589</v>
      </c>
      <c r="P298" s="32">
        <v>12.728199999999999</v>
      </c>
      <c r="Q298" s="32">
        <v>1.1862999999999999</v>
      </c>
      <c r="R298" s="32">
        <v>98.894599999999997</v>
      </c>
      <c r="S298" s="32">
        <v>2.6046999999999998</v>
      </c>
      <c r="T298" s="32">
        <v>41.1663</v>
      </c>
      <c r="U298" s="32">
        <v>3.1021000000000001</v>
      </c>
      <c r="V298" s="32">
        <v>30.904299999999999</v>
      </c>
      <c r="W298" s="32">
        <v>3.7507999999999999</v>
      </c>
      <c r="X298" s="32">
        <v>8.5314999999999994</v>
      </c>
      <c r="Y298" s="32">
        <v>1073.8800000000001</v>
      </c>
      <c r="Z298" s="32">
        <v>0.75849999999999995</v>
      </c>
      <c r="AA298" s="32">
        <v>1.7833000000000001</v>
      </c>
      <c r="AB298" s="32">
        <v>4.3</v>
      </c>
    </row>
    <row r="299" spans="1:28" ht="15" customHeight="1" x14ac:dyDescent="0.2">
      <c r="A299" s="33">
        <v>41263</v>
      </c>
      <c r="B299" s="32">
        <v>4.8949999999999996</v>
      </c>
      <c r="C299" s="32">
        <v>0.95150000000000001</v>
      </c>
      <c r="D299" s="32">
        <v>2.0851999999999999</v>
      </c>
      <c r="E299" s="32">
        <v>475.8</v>
      </c>
      <c r="F299" s="32">
        <v>6.2900999999999998</v>
      </c>
      <c r="G299" s="32">
        <v>1795.99</v>
      </c>
      <c r="H299" s="32">
        <v>19.029900000000001</v>
      </c>
      <c r="I299" s="32">
        <v>40.355899999999998</v>
      </c>
      <c r="J299" s="32">
        <v>7.7502000000000004</v>
      </c>
      <c r="K299" s="32">
        <v>216.75200000000001</v>
      </c>
      <c r="L299" s="32">
        <v>54.790100000000002</v>
      </c>
      <c r="M299" s="32">
        <v>9680.5400000000009</v>
      </c>
      <c r="N299" s="32">
        <v>3.7593000000000001</v>
      </c>
      <c r="O299" s="32">
        <v>3.0560999999999998</v>
      </c>
      <c r="P299" s="32">
        <v>12.7287</v>
      </c>
      <c r="Q299" s="32">
        <v>1.1929000000000001</v>
      </c>
      <c r="R299" s="32">
        <v>98.595600000000005</v>
      </c>
      <c r="S299" s="32">
        <v>2.6029</v>
      </c>
      <c r="T299" s="32">
        <v>41.1389</v>
      </c>
      <c r="U299" s="32">
        <v>3.0758000000000001</v>
      </c>
      <c r="V299" s="32">
        <v>30.752400000000002</v>
      </c>
      <c r="W299" s="32">
        <v>3.7507000000000001</v>
      </c>
      <c r="X299" s="32">
        <v>8.4754000000000005</v>
      </c>
      <c r="Y299" s="32">
        <v>1073.8800000000001</v>
      </c>
      <c r="Z299" s="32">
        <v>0.75470000000000004</v>
      </c>
      <c r="AA299" s="32">
        <v>1.7813000000000001</v>
      </c>
      <c r="AB299" s="32">
        <v>4.3002000000000002</v>
      </c>
    </row>
    <row r="300" spans="1:28" ht="15" customHeight="1" x14ac:dyDescent="0.2">
      <c r="A300" s="33">
        <v>41264</v>
      </c>
      <c r="B300" s="32">
        <v>4.9001999999999999</v>
      </c>
      <c r="C300" s="32">
        <v>0.95409999999999995</v>
      </c>
      <c r="D300" s="32">
        <v>2.0699000000000001</v>
      </c>
      <c r="E300" s="32">
        <v>475.9</v>
      </c>
      <c r="F300" s="32">
        <v>6.2953000000000001</v>
      </c>
      <c r="G300" s="32">
        <v>1790.53</v>
      </c>
      <c r="H300" s="32">
        <v>19.0487</v>
      </c>
      <c r="I300" s="32">
        <v>40.316299999999998</v>
      </c>
      <c r="J300" s="32">
        <v>7.7502000000000004</v>
      </c>
      <c r="K300" s="32">
        <v>216.31899999999999</v>
      </c>
      <c r="L300" s="32">
        <v>54.873899999999999</v>
      </c>
      <c r="M300" s="32">
        <v>9689.92</v>
      </c>
      <c r="N300" s="32">
        <v>3.7549000000000001</v>
      </c>
      <c r="O300" s="32">
        <v>3.06</v>
      </c>
      <c r="P300" s="32">
        <v>12.7811</v>
      </c>
      <c r="Q300" s="32">
        <v>1.1982999999999999</v>
      </c>
      <c r="R300" s="32">
        <v>97.921599999999998</v>
      </c>
      <c r="S300" s="32">
        <v>2.6198999999999999</v>
      </c>
      <c r="T300" s="32">
        <v>41.179000000000002</v>
      </c>
      <c r="U300" s="32">
        <v>3.0775000000000001</v>
      </c>
      <c r="V300" s="32">
        <v>30.743200000000002</v>
      </c>
      <c r="W300" s="32">
        <v>3.7507000000000001</v>
      </c>
      <c r="X300" s="32">
        <v>8.5078999999999994</v>
      </c>
      <c r="Y300" s="32">
        <v>1075.27</v>
      </c>
      <c r="Z300" s="32">
        <v>0.75570000000000004</v>
      </c>
      <c r="AA300" s="32">
        <v>1.786</v>
      </c>
      <c r="AB300" s="32">
        <v>4.3000999999999996</v>
      </c>
    </row>
    <row r="301" spans="1:28" ht="15" customHeight="1" x14ac:dyDescent="0.2">
      <c r="A301" s="33">
        <v>41265</v>
      </c>
      <c r="B301" s="32">
        <v>4.9021999999999997</v>
      </c>
      <c r="C301" s="32">
        <v>0.95789999999999997</v>
      </c>
      <c r="D301" s="32">
        <v>2.0758000000000001</v>
      </c>
      <c r="E301" s="32">
        <v>477.7</v>
      </c>
      <c r="F301" s="32">
        <v>6.3038999999999996</v>
      </c>
      <c r="G301" s="32">
        <v>1786.73</v>
      </c>
      <c r="H301" s="32">
        <v>19.0943</v>
      </c>
      <c r="I301" s="32">
        <v>40.444400000000002</v>
      </c>
      <c r="J301" s="32">
        <v>7.7503000000000002</v>
      </c>
      <c r="K301" s="32">
        <v>217.661</v>
      </c>
      <c r="L301" s="32">
        <v>55.132800000000003</v>
      </c>
      <c r="M301" s="32">
        <v>9699.32</v>
      </c>
      <c r="N301" s="32">
        <v>3.7521</v>
      </c>
      <c r="O301" s="32">
        <v>3.0630999999999999</v>
      </c>
      <c r="P301" s="32">
        <v>12.8484</v>
      </c>
      <c r="Q301" s="32">
        <v>1.2081999999999999</v>
      </c>
      <c r="R301" s="32">
        <v>97.833299999999994</v>
      </c>
      <c r="S301" s="32">
        <v>2.6076999999999999</v>
      </c>
      <c r="T301" s="32">
        <v>41.240499999999997</v>
      </c>
      <c r="U301" s="32">
        <v>3.0836999999999999</v>
      </c>
      <c r="V301" s="32">
        <v>30.780999999999999</v>
      </c>
      <c r="W301" s="32">
        <v>3.7507000000000001</v>
      </c>
      <c r="X301" s="32">
        <v>8.5488</v>
      </c>
      <c r="Y301" s="32">
        <v>1076.54</v>
      </c>
      <c r="Z301" s="32">
        <v>0.75749999999999995</v>
      </c>
      <c r="AA301" s="32">
        <v>1.794</v>
      </c>
      <c r="AB301" s="32">
        <v>4.3003</v>
      </c>
    </row>
    <row r="302" spans="1:28" ht="15" customHeight="1" x14ac:dyDescent="0.2">
      <c r="A302" s="33">
        <v>41266</v>
      </c>
      <c r="B302" s="32">
        <v>4.9066999999999998</v>
      </c>
      <c r="C302" s="32">
        <v>0.96179999999999999</v>
      </c>
      <c r="D302" s="32">
        <v>2.0939000000000001</v>
      </c>
      <c r="E302" s="32">
        <v>477.7</v>
      </c>
      <c r="F302" s="32">
        <v>6.3114999999999997</v>
      </c>
      <c r="G302" s="32">
        <v>1778</v>
      </c>
      <c r="H302" s="32">
        <v>19.090599999999998</v>
      </c>
      <c r="I302" s="32">
        <v>40.519599999999997</v>
      </c>
      <c r="J302" s="32">
        <v>7.7507000000000001</v>
      </c>
      <c r="K302" s="32">
        <v>220.03700000000001</v>
      </c>
      <c r="L302" s="32">
        <v>55.350999999999999</v>
      </c>
      <c r="M302" s="32">
        <v>9661.84</v>
      </c>
      <c r="N302" s="32">
        <v>3.7576000000000001</v>
      </c>
      <c r="O302" s="32">
        <v>3.0630000000000002</v>
      </c>
      <c r="P302" s="32">
        <v>12.9337</v>
      </c>
      <c r="Q302" s="32">
        <v>1.2161999999999999</v>
      </c>
      <c r="R302" s="32">
        <v>97.8</v>
      </c>
      <c r="S302" s="32">
        <v>2.5670000000000002</v>
      </c>
      <c r="T302" s="32">
        <v>41.219900000000003</v>
      </c>
      <c r="U302" s="32">
        <v>3.1023999999999998</v>
      </c>
      <c r="V302" s="32">
        <v>30.8306</v>
      </c>
      <c r="W302" s="32">
        <v>3.7551999999999999</v>
      </c>
      <c r="X302" s="32">
        <v>8.5939999999999994</v>
      </c>
      <c r="Y302" s="32">
        <v>1077.01</v>
      </c>
      <c r="Z302" s="32">
        <v>0.75839999999999996</v>
      </c>
      <c r="AA302" s="32">
        <v>1.7989999999999999</v>
      </c>
      <c r="AB302" s="32">
        <v>4.2996999999999996</v>
      </c>
    </row>
    <row r="303" spans="1:28" ht="15" customHeight="1" x14ac:dyDescent="0.2">
      <c r="A303" s="33">
        <v>41267</v>
      </c>
      <c r="B303" s="32">
        <v>4.9074</v>
      </c>
      <c r="C303" s="32">
        <v>0.96179999999999999</v>
      </c>
      <c r="D303" s="32">
        <v>2.0941999999999998</v>
      </c>
      <c r="E303" s="32">
        <v>477.7</v>
      </c>
      <c r="F303" s="32">
        <v>6.3114999999999997</v>
      </c>
      <c r="G303" s="32">
        <v>1778</v>
      </c>
      <c r="H303" s="32">
        <v>19.091200000000001</v>
      </c>
      <c r="I303" s="32">
        <v>40.524000000000001</v>
      </c>
      <c r="J303" s="32">
        <v>7.7507000000000001</v>
      </c>
      <c r="K303" s="32">
        <v>220.10499999999999</v>
      </c>
      <c r="L303" s="32">
        <v>55.350999999999999</v>
      </c>
      <c r="M303" s="32">
        <v>9652.51</v>
      </c>
      <c r="N303" s="32">
        <v>3.7563</v>
      </c>
      <c r="O303" s="32">
        <v>3.0634000000000001</v>
      </c>
      <c r="P303" s="32">
        <v>12.933299999999999</v>
      </c>
      <c r="Q303" s="32">
        <v>1.2162999999999999</v>
      </c>
      <c r="R303" s="32">
        <v>97.8</v>
      </c>
      <c r="S303" s="32">
        <v>2.5670000000000002</v>
      </c>
      <c r="T303" s="32">
        <v>41.22</v>
      </c>
      <c r="U303" s="32">
        <v>3.1025999999999998</v>
      </c>
      <c r="V303" s="32">
        <v>30.828499999999998</v>
      </c>
      <c r="W303" s="32">
        <v>3.7549999999999999</v>
      </c>
      <c r="X303" s="32">
        <v>8.5939999999999994</v>
      </c>
      <c r="Y303" s="32">
        <v>1077.1199999999999</v>
      </c>
      <c r="Z303" s="32">
        <v>0.75839999999999996</v>
      </c>
      <c r="AA303" s="32">
        <v>1.7989999999999999</v>
      </c>
      <c r="AB303" s="32">
        <v>4.2996999999999996</v>
      </c>
    </row>
    <row r="304" spans="1:28" ht="15" customHeight="1" x14ac:dyDescent="0.2">
      <c r="A304" s="33">
        <v>41268</v>
      </c>
      <c r="B304" s="32">
        <v>4.9081000000000001</v>
      </c>
      <c r="C304" s="32">
        <v>0.96230000000000004</v>
      </c>
      <c r="D304" s="32">
        <v>2.0838000000000001</v>
      </c>
      <c r="E304" s="32">
        <v>480.5</v>
      </c>
      <c r="F304" s="32">
        <v>6.3090999999999999</v>
      </c>
      <c r="G304" s="32">
        <v>1778</v>
      </c>
      <c r="H304" s="32">
        <v>19.069600000000001</v>
      </c>
      <c r="I304" s="32">
        <v>40.4861</v>
      </c>
      <c r="J304" s="32">
        <v>7.7504999999999997</v>
      </c>
      <c r="K304" s="32">
        <v>220.46899999999999</v>
      </c>
      <c r="L304" s="32">
        <v>55.182200000000002</v>
      </c>
      <c r="M304" s="32">
        <v>9671.18</v>
      </c>
      <c r="N304" s="32">
        <v>3.7534999999999998</v>
      </c>
      <c r="O304" s="32">
        <v>3.0670000000000002</v>
      </c>
      <c r="P304" s="32">
        <v>12.960100000000001</v>
      </c>
      <c r="Q304" s="32">
        <v>1.2159</v>
      </c>
      <c r="R304" s="32">
        <v>98.94</v>
      </c>
      <c r="S304" s="32">
        <v>2.5726</v>
      </c>
      <c r="T304" s="32">
        <v>41.236400000000003</v>
      </c>
      <c r="U304" s="32">
        <v>3.0958999999999999</v>
      </c>
      <c r="V304" s="32">
        <v>30.7346</v>
      </c>
      <c r="W304" s="32">
        <v>3.7507000000000001</v>
      </c>
      <c r="X304" s="32">
        <v>8.5810999999999993</v>
      </c>
      <c r="Y304" s="32">
        <v>1075.96</v>
      </c>
      <c r="Z304" s="32">
        <v>0.75800000000000001</v>
      </c>
      <c r="AA304" s="32">
        <v>1.7975000000000001</v>
      </c>
      <c r="AB304" s="32">
        <v>4.3003</v>
      </c>
    </row>
    <row r="305" spans="1:28" ht="15" customHeight="1" x14ac:dyDescent="0.2">
      <c r="A305" s="33">
        <v>41269</v>
      </c>
      <c r="B305" s="32">
        <v>4.9088000000000003</v>
      </c>
      <c r="C305" s="32">
        <v>0.96479999999999999</v>
      </c>
      <c r="D305" s="32">
        <v>2.0819000000000001</v>
      </c>
      <c r="E305" s="32">
        <v>480.5</v>
      </c>
      <c r="F305" s="32">
        <v>6.3074000000000003</v>
      </c>
      <c r="G305" s="32">
        <v>1778</v>
      </c>
      <c r="H305" s="32">
        <v>19.084900000000001</v>
      </c>
      <c r="I305" s="32">
        <v>40.804900000000004</v>
      </c>
      <c r="J305" s="32">
        <v>7.7504999999999997</v>
      </c>
      <c r="K305" s="32">
        <v>222.81399999999999</v>
      </c>
      <c r="L305" s="32">
        <v>55.198</v>
      </c>
      <c r="M305" s="32">
        <v>9689.92</v>
      </c>
      <c r="N305" s="32">
        <v>3.7528000000000001</v>
      </c>
      <c r="O305" s="32">
        <v>3.0688</v>
      </c>
      <c r="P305" s="32">
        <v>13.0039</v>
      </c>
      <c r="Q305" s="32">
        <v>1.2164999999999999</v>
      </c>
      <c r="R305" s="32">
        <v>97.65</v>
      </c>
      <c r="S305" s="32">
        <v>2.6265000000000001</v>
      </c>
      <c r="T305" s="32">
        <v>41.249299999999998</v>
      </c>
      <c r="U305" s="32">
        <v>3.105</v>
      </c>
      <c r="V305" s="32">
        <v>30.626799999999999</v>
      </c>
      <c r="W305" s="32">
        <v>3.7505999999999999</v>
      </c>
      <c r="X305" s="32">
        <v>8.5897000000000006</v>
      </c>
      <c r="Y305" s="32">
        <v>1074.92</v>
      </c>
      <c r="Z305" s="32">
        <v>0.75829999999999997</v>
      </c>
      <c r="AA305" s="32">
        <v>1.7979000000000001</v>
      </c>
      <c r="AB305" s="32">
        <v>4.2996999999999996</v>
      </c>
    </row>
    <row r="306" spans="1:28" ht="15" customHeight="1" x14ac:dyDescent="0.2">
      <c r="A306" s="33">
        <v>41270</v>
      </c>
      <c r="B306" s="32">
        <v>4.9090999999999996</v>
      </c>
      <c r="C306" s="32">
        <v>0.96489999999999998</v>
      </c>
      <c r="D306" s="32">
        <v>2.0697999999999999</v>
      </c>
      <c r="E306" s="32">
        <v>480.3</v>
      </c>
      <c r="F306" s="32">
        <v>6.3095999999999997</v>
      </c>
      <c r="G306" s="32">
        <v>1777.07</v>
      </c>
      <c r="H306" s="32">
        <v>19.042100000000001</v>
      </c>
      <c r="I306" s="32">
        <v>40.674700000000001</v>
      </c>
      <c r="J306" s="32">
        <v>7.7504999999999997</v>
      </c>
      <c r="K306" s="32">
        <v>222.72900000000001</v>
      </c>
      <c r="L306" s="32">
        <v>55.082999999999998</v>
      </c>
      <c r="M306" s="32">
        <v>9699.32</v>
      </c>
      <c r="N306" s="32">
        <v>3.7486999999999999</v>
      </c>
      <c r="O306" s="32">
        <v>3.0712999999999999</v>
      </c>
      <c r="P306" s="32">
        <v>13.007300000000001</v>
      </c>
      <c r="Q306" s="32">
        <v>1.2189000000000001</v>
      </c>
      <c r="R306" s="32">
        <v>97.6</v>
      </c>
      <c r="S306" s="32">
        <v>2.6084999999999998</v>
      </c>
      <c r="T306" s="32">
        <v>41.269599999999997</v>
      </c>
      <c r="U306" s="32">
        <v>3.1038000000000001</v>
      </c>
      <c r="V306" s="32">
        <v>30.609100000000002</v>
      </c>
      <c r="W306" s="32">
        <v>3.7507000000000001</v>
      </c>
      <c r="X306" s="32">
        <v>8.5845000000000002</v>
      </c>
      <c r="Y306" s="32">
        <v>1074.58</v>
      </c>
      <c r="Z306" s="32">
        <v>0.75770000000000004</v>
      </c>
      <c r="AA306" s="32">
        <v>1.7949999999999999</v>
      </c>
      <c r="AB306" s="32">
        <v>4.3000999999999996</v>
      </c>
    </row>
    <row r="307" spans="1:28" ht="15" customHeight="1" x14ac:dyDescent="0.2">
      <c r="A307" s="33">
        <v>41271</v>
      </c>
      <c r="B307" s="32">
        <v>4.9146999999999998</v>
      </c>
      <c r="C307" s="32">
        <v>0.96450000000000002</v>
      </c>
      <c r="D307" s="32">
        <v>2.0508999999999999</v>
      </c>
      <c r="E307" s="32">
        <v>480.9</v>
      </c>
      <c r="F307" s="32">
        <v>6.3170000000000002</v>
      </c>
      <c r="G307" s="32">
        <v>1774</v>
      </c>
      <c r="H307" s="32">
        <v>18.9559</v>
      </c>
      <c r="I307" s="32">
        <v>40.334499999999998</v>
      </c>
      <c r="J307" s="32">
        <v>7.7515000000000001</v>
      </c>
      <c r="K307" s="32">
        <v>221.10900000000001</v>
      </c>
      <c r="L307" s="32">
        <v>54.9133</v>
      </c>
      <c r="M307" s="32">
        <v>9699.32</v>
      </c>
      <c r="N307" s="32">
        <v>3.7336</v>
      </c>
      <c r="O307" s="32">
        <v>3.0661</v>
      </c>
      <c r="P307" s="32">
        <v>13.000400000000001</v>
      </c>
      <c r="Q307" s="32">
        <v>1.2202</v>
      </c>
      <c r="R307" s="32">
        <v>97.858099999999993</v>
      </c>
      <c r="S307" s="32">
        <v>2.6036000000000001</v>
      </c>
      <c r="T307" s="32">
        <v>41.267000000000003</v>
      </c>
      <c r="U307" s="32">
        <v>3.0903</v>
      </c>
      <c r="V307" s="32">
        <v>30.471900000000002</v>
      </c>
      <c r="W307" s="32">
        <v>3.7509000000000001</v>
      </c>
      <c r="X307" s="32">
        <v>8.5456000000000003</v>
      </c>
      <c r="Y307" s="32">
        <v>1073.42</v>
      </c>
      <c r="Z307" s="32">
        <v>0.75519999999999998</v>
      </c>
      <c r="AA307" s="32">
        <v>1.7928999999999999</v>
      </c>
      <c r="AB307" s="32">
        <v>4.3</v>
      </c>
    </row>
    <row r="308" spans="1:28" ht="15" customHeight="1" x14ac:dyDescent="0.2">
      <c r="A308" s="33">
        <v>41272</v>
      </c>
      <c r="B308" s="32">
        <v>4.9149000000000003</v>
      </c>
      <c r="C308" s="32">
        <v>0.96360000000000001</v>
      </c>
      <c r="D308" s="32">
        <v>2.0461999999999998</v>
      </c>
      <c r="E308" s="32">
        <v>479.8</v>
      </c>
      <c r="F308" s="32">
        <v>6.3120000000000003</v>
      </c>
      <c r="G308" s="32">
        <v>1774</v>
      </c>
      <c r="H308" s="32">
        <v>18.999300000000002</v>
      </c>
      <c r="I308" s="32">
        <v>40.379800000000003</v>
      </c>
      <c r="J308" s="32">
        <v>7.7519999999999998</v>
      </c>
      <c r="K308" s="32">
        <v>220.48699999999999</v>
      </c>
      <c r="L308" s="32">
        <v>54.911000000000001</v>
      </c>
      <c r="M308" s="32">
        <v>9680.5400000000009</v>
      </c>
      <c r="N308" s="32">
        <v>3.7353999999999998</v>
      </c>
      <c r="O308" s="32">
        <v>3.0649000000000002</v>
      </c>
      <c r="P308" s="32">
        <v>12.9878</v>
      </c>
      <c r="Q308" s="32">
        <v>1.2181</v>
      </c>
      <c r="R308" s="32">
        <v>98.434600000000003</v>
      </c>
      <c r="S308" s="32">
        <v>2.5973999999999999</v>
      </c>
      <c r="T308" s="32">
        <v>41.221899999999998</v>
      </c>
      <c r="U308" s="32">
        <v>3.0842999999999998</v>
      </c>
      <c r="V308" s="32">
        <v>30.3995</v>
      </c>
      <c r="W308" s="32">
        <v>3.7509000000000001</v>
      </c>
      <c r="X308" s="32">
        <v>8.4999000000000002</v>
      </c>
      <c r="Y308" s="32">
        <v>1070.32</v>
      </c>
      <c r="Z308" s="32">
        <v>0.75619999999999998</v>
      </c>
      <c r="AA308" s="32">
        <v>1.7909999999999999</v>
      </c>
      <c r="AB308" s="32">
        <v>4.3000999999999996</v>
      </c>
    </row>
    <row r="309" spans="1:28" ht="15" customHeight="1" x14ac:dyDescent="0.2">
      <c r="A309" s="33">
        <v>41273</v>
      </c>
      <c r="B309" s="32">
        <v>4.9553000000000003</v>
      </c>
      <c r="C309" s="32">
        <v>0.96419999999999995</v>
      </c>
      <c r="D309" s="32">
        <v>2.0495000000000001</v>
      </c>
      <c r="E309" s="32">
        <v>479.8</v>
      </c>
      <c r="F309" s="32">
        <v>6.3160999999999996</v>
      </c>
      <c r="G309" s="32">
        <v>1774</v>
      </c>
      <c r="H309" s="32">
        <v>19.028099999999998</v>
      </c>
      <c r="I309" s="32">
        <v>40.489699999999999</v>
      </c>
      <c r="J309" s="32">
        <v>7.7519</v>
      </c>
      <c r="K309" s="32">
        <v>220.548</v>
      </c>
      <c r="L309" s="32">
        <v>54.988999999999997</v>
      </c>
      <c r="M309" s="32">
        <v>9671.18</v>
      </c>
      <c r="N309" s="32">
        <v>3.7330000000000001</v>
      </c>
      <c r="O309" s="32">
        <v>3.0653999999999999</v>
      </c>
      <c r="P309" s="32">
        <v>13.0212</v>
      </c>
      <c r="Q309" s="32">
        <v>1.2201</v>
      </c>
      <c r="R309" s="32">
        <v>97.533500000000004</v>
      </c>
      <c r="S309" s="32">
        <v>2.6038999999999999</v>
      </c>
      <c r="T309" s="32">
        <v>41.134500000000003</v>
      </c>
      <c r="U309" s="32">
        <v>3.0886999999999998</v>
      </c>
      <c r="V309" s="32">
        <v>30.3918</v>
      </c>
      <c r="W309" s="32">
        <v>3.7553999999999998</v>
      </c>
      <c r="X309" s="32">
        <v>8.4865999999999993</v>
      </c>
      <c r="Y309" s="32">
        <v>1068.72</v>
      </c>
      <c r="Z309" s="32">
        <v>0.75670000000000004</v>
      </c>
      <c r="AA309" s="32">
        <v>1.7910999999999999</v>
      </c>
      <c r="AB309" s="32">
        <v>4.3087</v>
      </c>
    </row>
    <row r="310" spans="1:28" ht="15" customHeight="1" x14ac:dyDescent="0.2">
      <c r="A310" s="33">
        <v>41274</v>
      </c>
      <c r="B310" s="32">
        <v>4.9104999999999999</v>
      </c>
      <c r="C310" s="32">
        <v>0.96419999999999995</v>
      </c>
      <c r="D310" s="32">
        <v>2.0489999999999999</v>
      </c>
      <c r="E310" s="32">
        <v>479.8</v>
      </c>
      <c r="F310" s="32">
        <v>6.3160999999999996</v>
      </c>
      <c r="G310" s="32">
        <v>1770</v>
      </c>
      <c r="H310" s="32">
        <v>19</v>
      </c>
      <c r="I310" s="32">
        <v>40.299999999999997</v>
      </c>
      <c r="J310" s="32">
        <v>7.7519</v>
      </c>
      <c r="K310" s="32">
        <v>220.26</v>
      </c>
      <c r="L310" s="32">
        <v>54.988999999999997</v>
      </c>
      <c r="M310" s="32">
        <v>9612.5499999999993</v>
      </c>
      <c r="N310" s="32">
        <v>3.7351000000000001</v>
      </c>
      <c r="O310" s="32">
        <v>3.1116999999999999</v>
      </c>
      <c r="P310" s="32">
        <v>13.0206</v>
      </c>
      <c r="Q310" s="32">
        <v>1.2201</v>
      </c>
      <c r="R310" s="32">
        <v>97.5</v>
      </c>
      <c r="S310" s="32">
        <v>2.5550000000000002</v>
      </c>
      <c r="T310" s="32">
        <v>41.13</v>
      </c>
      <c r="U310" s="32">
        <v>3.0872000000000002</v>
      </c>
      <c r="V310" s="32">
        <v>30.485800000000001</v>
      </c>
      <c r="W310" s="32">
        <v>3.7551999999999999</v>
      </c>
      <c r="X310" s="32">
        <v>8.4875000000000007</v>
      </c>
      <c r="Y310" s="32">
        <v>1067.5999999999999</v>
      </c>
      <c r="Z310" s="32">
        <v>0.75670000000000004</v>
      </c>
      <c r="AA310" s="32">
        <v>1.7917000000000001</v>
      </c>
      <c r="AB310" s="32">
        <v>4.2961999999999998</v>
      </c>
    </row>
    <row r="311" spans="1:28" ht="15" customHeight="1" x14ac:dyDescent="0.2">
      <c r="A311" s="33">
        <v>41275</v>
      </c>
      <c r="B311" s="32">
        <v>4.9157999999999999</v>
      </c>
      <c r="C311" s="32">
        <v>0.96309999999999996</v>
      </c>
      <c r="D311" s="32">
        <v>2.0497999999999998</v>
      </c>
      <c r="E311" s="32">
        <v>479.8</v>
      </c>
      <c r="F311" s="32">
        <v>6.3117999999999999</v>
      </c>
      <c r="G311" s="32">
        <v>1772.66</v>
      </c>
      <c r="H311" s="32">
        <v>19.040099999999999</v>
      </c>
      <c r="I311" s="32">
        <v>40.418399999999998</v>
      </c>
      <c r="J311" s="32">
        <v>7.7512999999999996</v>
      </c>
      <c r="K311" s="32">
        <v>220.98599999999999</v>
      </c>
      <c r="L311" s="32">
        <v>54.878999999999998</v>
      </c>
      <c r="M311" s="32">
        <v>9661.84</v>
      </c>
      <c r="N311" s="32">
        <v>3.7353000000000001</v>
      </c>
      <c r="O311" s="32">
        <v>3.0703</v>
      </c>
      <c r="P311" s="32">
        <v>12.999499999999999</v>
      </c>
      <c r="Q311" s="32">
        <v>1.2145999999999999</v>
      </c>
      <c r="R311" s="32">
        <v>98.017600000000002</v>
      </c>
      <c r="S311" s="32">
        <v>2.5954000000000002</v>
      </c>
      <c r="T311" s="32">
        <v>41.162599999999998</v>
      </c>
      <c r="U311" s="32">
        <v>3.0935999999999999</v>
      </c>
      <c r="V311" s="32">
        <v>30.496099999999998</v>
      </c>
      <c r="W311" s="32">
        <v>3.7509999999999999</v>
      </c>
      <c r="X311" s="32">
        <v>8.4861000000000004</v>
      </c>
      <c r="Y311" s="32">
        <v>1068.95</v>
      </c>
      <c r="Z311" s="32">
        <v>0.75739999999999996</v>
      </c>
      <c r="AA311" s="32">
        <v>1.7881</v>
      </c>
      <c r="AB311" s="32">
        <v>4.3</v>
      </c>
    </row>
    <row r="312" spans="1:28" ht="15" customHeight="1" x14ac:dyDescent="0.2">
      <c r="A312" s="33">
        <v>41276</v>
      </c>
      <c r="B312" s="32">
        <v>4.9244000000000003</v>
      </c>
      <c r="C312" s="32">
        <v>0.96319999999999995</v>
      </c>
      <c r="D312" s="32">
        <v>2.0539000000000001</v>
      </c>
      <c r="E312" s="32">
        <v>479.8</v>
      </c>
      <c r="F312" s="32">
        <v>6.3106999999999998</v>
      </c>
      <c r="G312" s="32">
        <v>1768</v>
      </c>
      <c r="H312" s="32">
        <v>19.0715</v>
      </c>
      <c r="I312" s="32">
        <v>40.548200000000001</v>
      </c>
      <c r="J312" s="32">
        <v>7.7510000000000003</v>
      </c>
      <c r="K312" s="32">
        <v>221.857</v>
      </c>
      <c r="L312" s="32">
        <v>54.805999999999997</v>
      </c>
      <c r="M312" s="32">
        <v>9671.18</v>
      </c>
      <c r="N312" s="32">
        <v>3.7334999999999998</v>
      </c>
      <c r="O312" s="32">
        <v>3.0640999999999998</v>
      </c>
      <c r="P312" s="32">
        <v>12.9274</v>
      </c>
      <c r="Q312" s="32">
        <v>1.2102999999999999</v>
      </c>
      <c r="R312" s="32">
        <v>97.449200000000005</v>
      </c>
      <c r="S312" s="32">
        <v>2.6059000000000001</v>
      </c>
      <c r="T312" s="32">
        <v>41.205599999999997</v>
      </c>
      <c r="U312" s="32">
        <v>3.1042999999999998</v>
      </c>
      <c r="V312" s="32">
        <v>30.6021</v>
      </c>
      <c r="W312" s="32">
        <v>3.7509000000000001</v>
      </c>
      <c r="X312" s="32">
        <v>8.484</v>
      </c>
      <c r="Y312" s="32">
        <v>1065.8699999999999</v>
      </c>
      <c r="Z312" s="32">
        <v>0.75780000000000003</v>
      </c>
      <c r="AA312" s="32">
        <v>1.7859</v>
      </c>
      <c r="AB312" s="32">
        <v>4.2999000000000001</v>
      </c>
    </row>
    <row r="313" spans="1:28" ht="15" customHeight="1" x14ac:dyDescent="0.2">
      <c r="A313" s="33">
        <v>41277</v>
      </c>
      <c r="B313" s="32">
        <v>4.9225000000000003</v>
      </c>
      <c r="C313" s="32">
        <v>0.95540000000000003</v>
      </c>
      <c r="D313" s="32">
        <v>2.0482999999999998</v>
      </c>
      <c r="E313" s="32">
        <v>479.8</v>
      </c>
      <c r="F313" s="32">
        <v>6.2998000000000003</v>
      </c>
      <c r="G313" s="32">
        <v>1766.64</v>
      </c>
      <c r="H313" s="32">
        <v>19.025700000000001</v>
      </c>
      <c r="I313" s="32">
        <v>40.455100000000002</v>
      </c>
      <c r="J313" s="32">
        <v>7.7512999999999996</v>
      </c>
      <c r="K313" s="32">
        <v>220.358</v>
      </c>
      <c r="L313" s="32">
        <v>54.425699999999999</v>
      </c>
      <c r="M313" s="32">
        <v>9689.92</v>
      </c>
      <c r="N313" s="32">
        <v>3.7263000000000002</v>
      </c>
      <c r="O313" s="32">
        <v>3.0428000000000002</v>
      </c>
      <c r="P313" s="32">
        <v>12.811299999999999</v>
      </c>
      <c r="Q313" s="32">
        <v>1.1996</v>
      </c>
      <c r="R313" s="32">
        <v>98.030799999999999</v>
      </c>
      <c r="S313" s="32">
        <v>2.5928</v>
      </c>
      <c r="T313" s="32">
        <v>41.005600000000001</v>
      </c>
      <c r="U313" s="32">
        <v>3.0777000000000001</v>
      </c>
      <c r="V313" s="32">
        <v>30.323399999999999</v>
      </c>
      <c r="W313" s="32">
        <v>3.7507999999999999</v>
      </c>
      <c r="X313" s="32">
        <v>8.4757999999999996</v>
      </c>
      <c r="Y313" s="32">
        <v>1065.08</v>
      </c>
      <c r="Z313" s="32">
        <v>0.75560000000000005</v>
      </c>
      <c r="AA313" s="32">
        <v>1.7806</v>
      </c>
      <c r="AB313" s="32">
        <v>4.3003</v>
      </c>
    </row>
    <row r="314" spans="1:28" ht="15" customHeight="1" x14ac:dyDescent="0.2">
      <c r="A314" s="33">
        <v>41278</v>
      </c>
      <c r="B314" s="32">
        <v>4.9283999999999999</v>
      </c>
      <c r="C314" s="32">
        <v>0.9526</v>
      </c>
      <c r="D314" s="32">
        <v>2.0476000000000001</v>
      </c>
      <c r="E314" s="32">
        <v>479.8</v>
      </c>
      <c r="F314" s="32">
        <v>6.3005000000000004</v>
      </c>
      <c r="G314" s="32">
        <v>1765.11</v>
      </c>
      <c r="H314" s="32">
        <v>19.239999999999998</v>
      </c>
      <c r="I314" s="32">
        <v>40.668399999999998</v>
      </c>
      <c r="J314" s="32">
        <v>7.7514000000000003</v>
      </c>
      <c r="K314" s="32">
        <v>221.43</v>
      </c>
      <c r="L314" s="32">
        <v>54.430900000000001</v>
      </c>
      <c r="M314" s="32">
        <v>9689.92</v>
      </c>
      <c r="N314" s="32">
        <v>3.7401</v>
      </c>
      <c r="O314" s="32">
        <v>3.0360999999999998</v>
      </c>
      <c r="P314" s="32">
        <v>12.7646</v>
      </c>
      <c r="Q314" s="32">
        <v>1.2010000000000001</v>
      </c>
      <c r="R314" s="32">
        <v>97.850999999999999</v>
      </c>
      <c r="S314" s="32">
        <v>2.6193</v>
      </c>
      <c r="T314" s="32">
        <v>40.889000000000003</v>
      </c>
      <c r="U314" s="32">
        <v>3.1095000000000002</v>
      </c>
      <c r="V314" s="32">
        <v>30.240500000000001</v>
      </c>
      <c r="W314" s="32">
        <v>3.7507000000000001</v>
      </c>
      <c r="X314" s="32">
        <v>8.5372000000000003</v>
      </c>
      <c r="Y314" s="32">
        <v>1064.17</v>
      </c>
      <c r="Z314" s="32">
        <v>0.76149999999999995</v>
      </c>
      <c r="AA314" s="32">
        <v>1.7810999999999999</v>
      </c>
      <c r="AB314" s="32">
        <v>4.2998000000000003</v>
      </c>
    </row>
    <row r="315" spans="1:28" ht="15" customHeight="1" x14ac:dyDescent="0.2">
      <c r="A315" s="33">
        <v>41279</v>
      </c>
      <c r="B315" s="32">
        <v>4.9283000000000001</v>
      </c>
      <c r="C315" s="32">
        <v>0.95750000000000002</v>
      </c>
      <c r="D315" s="32">
        <v>2.0453999999999999</v>
      </c>
      <c r="E315" s="32">
        <v>479.8</v>
      </c>
      <c r="F315" s="32">
        <v>6.3047000000000004</v>
      </c>
      <c r="G315" s="32">
        <v>1765.33</v>
      </c>
      <c r="H315" s="32">
        <v>19.436699999999998</v>
      </c>
      <c r="I315" s="32">
        <v>40.9129</v>
      </c>
      <c r="J315" s="32">
        <v>7.7514000000000003</v>
      </c>
      <c r="K315" s="32">
        <v>222.56200000000001</v>
      </c>
      <c r="L315" s="32">
        <v>54.901200000000003</v>
      </c>
      <c r="M315" s="32">
        <v>9689.92</v>
      </c>
      <c r="N315" s="32">
        <v>3.7759999999999998</v>
      </c>
      <c r="O315" s="32">
        <v>3.0489000000000002</v>
      </c>
      <c r="P315" s="32">
        <v>12.7966</v>
      </c>
      <c r="Q315" s="32">
        <v>1.2109000000000001</v>
      </c>
      <c r="R315" s="32">
        <v>97.751599999999996</v>
      </c>
      <c r="S315" s="32">
        <v>2.6048</v>
      </c>
      <c r="T315" s="32">
        <v>40.962899999999998</v>
      </c>
      <c r="U315" s="32">
        <v>3.1524000000000001</v>
      </c>
      <c r="V315" s="32">
        <v>30.387699999999999</v>
      </c>
      <c r="W315" s="32">
        <v>3.7507000000000001</v>
      </c>
      <c r="X315" s="32">
        <v>8.6105999999999998</v>
      </c>
      <c r="Y315" s="32">
        <v>1064.6199999999999</v>
      </c>
      <c r="Z315" s="32">
        <v>0.76719999999999999</v>
      </c>
      <c r="AA315" s="32">
        <v>1.7867</v>
      </c>
      <c r="AB315" s="32">
        <v>4.3002000000000002</v>
      </c>
    </row>
    <row r="316" spans="1:28" ht="15" customHeight="1" x14ac:dyDescent="0.2">
      <c r="A316" s="33">
        <v>41280</v>
      </c>
      <c r="B316" s="32">
        <v>4.9469000000000003</v>
      </c>
      <c r="C316" s="32">
        <v>0.95440000000000003</v>
      </c>
      <c r="D316" s="32">
        <v>2.0396000000000001</v>
      </c>
      <c r="E316" s="32">
        <v>473.45</v>
      </c>
      <c r="F316" s="32">
        <v>6.3079999999999998</v>
      </c>
      <c r="G316" s="32">
        <v>1773</v>
      </c>
      <c r="H316" s="32">
        <v>19.440100000000001</v>
      </c>
      <c r="I316" s="32">
        <v>40.532699999999998</v>
      </c>
      <c r="J316" s="32">
        <v>7.7515999999999998</v>
      </c>
      <c r="K316" s="32">
        <v>222.28299999999999</v>
      </c>
      <c r="L316" s="32">
        <v>54.972999999999999</v>
      </c>
      <c r="M316" s="32">
        <v>9689.92</v>
      </c>
      <c r="N316" s="32">
        <v>3.7839</v>
      </c>
      <c r="O316" s="32">
        <v>3.0695000000000001</v>
      </c>
      <c r="P316" s="32">
        <v>12.747199999999999</v>
      </c>
      <c r="Q316" s="32">
        <v>1.2027000000000001</v>
      </c>
      <c r="R316" s="32">
        <v>98.148200000000003</v>
      </c>
      <c r="S316" s="32">
        <v>2.5969000000000002</v>
      </c>
      <c r="T316" s="32">
        <v>40.98</v>
      </c>
      <c r="U316" s="32">
        <v>3.1495000000000002</v>
      </c>
      <c r="V316" s="32">
        <v>30.357700000000001</v>
      </c>
      <c r="W316" s="32">
        <v>3.7551000000000001</v>
      </c>
      <c r="X316" s="32">
        <v>8.5678999999999998</v>
      </c>
      <c r="Y316" s="32">
        <v>1069.98</v>
      </c>
      <c r="Z316" s="32">
        <v>0.76519999999999999</v>
      </c>
      <c r="AA316" s="32">
        <v>1.7834000000000001</v>
      </c>
      <c r="AB316" s="32">
        <v>4.2999000000000001</v>
      </c>
    </row>
    <row r="317" spans="1:28" ht="15" customHeight="1" x14ac:dyDescent="0.2">
      <c r="A317" s="33">
        <v>41281</v>
      </c>
      <c r="B317" s="32">
        <v>4.9301000000000004</v>
      </c>
      <c r="C317" s="32">
        <v>0.95450000000000002</v>
      </c>
      <c r="D317" s="32">
        <v>2.0354999999999999</v>
      </c>
      <c r="E317" s="32">
        <v>474.3</v>
      </c>
      <c r="F317" s="32">
        <v>6.3079999999999998</v>
      </c>
      <c r="G317" s="32">
        <v>1773</v>
      </c>
      <c r="H317" s="32">
        <v>19.438400000000001</v>
      </c>
      <c r="I317" s="32">
        <v>40.5</v>
      </c>
      <c r="J317" s="32">
        <v>7.7515999999999998</v>
      </c>
      <c r="K317" s="32">
        <v>222.297</v>
      </c>
      <c r="L317" s="32">
        <v>54.972999999999999</v>
      </c>
      <c r="M317" s="32">
        <v>9784.74</v>
      </c>
      <c r="N317" s="32">
        <v>3.7907000000000002</v>
      </c>
      <c r="O317" s="32">
        <v>3.0937999999999999</v>
      </c>
      <c r="P317" s="32">
        <v>12.7476</v>
      </c>
      <c r="Q317" s="32">
        <v>1.2028000000000001</v>
      </c>
      <c r="R317" s="32">
        <v>97.65</v>
      </c>
      <c r="S317" s="32">
        <v>2.5470000000000002</v>
      </c>
      <c r="T317" s="32">
        <v>40.92</v>
      </c>
      <c r="U317" s="32">
        <v>3.1490999999999998</v>
      </c>
      <c r="V317" s="32">
        <v>30.370999999999999</v>
      </c>
      <c r="W317" s="32">
        <v>3.7549999999999999</v>
      </c>
      <c r="X317" s="32">
        <v>8.5685000000000002</v>
      </c>
      <c r="Y317" s="32">
        <v>1078.75</v>
      </c>
      <c r="Z317" s="32">
        <v>0.76519999999999999</v>
      </c>
      <c r="AA317" s="32">
        <v>1.7829999999999999</v>
      </c>
      <c r="AB317" s="32">
        <v>4.3085000000000004</v>
      </c>
    </row>
    <row r="318" spans="1:28" ht="15" customHeight="1" x14ac:dyDescent="0.2">
      <c r="A318" s="33">
        <v>41282</v>
      </c>
      <c r="B318" s="32">
        <v>4.9337</v>
      </c>
      <c r="C318" s="32">
        <v>0.95369999999999999</v>
      </c>
      <c r="D318" s="32">
        <v>2.0337999999999998</v>
      </c>
      <c r="E318" s="32">
        <v>474.3</v>
      </c>
      <c r="F318" s="32">
        <v>6.3032000000000004</v>
      </c>
      <c r="G318" s="32">
        <v>1772.76</v>
      </c>
      <c r="H318" s="32">
        <v>19.511199999999999</v>
      </c>
      <c r="I318" s="32">
        <v>40.636099999999999</v>
      </c>
      <c r="J318" s="32">
        <v>7.7511000000000001</v>
      </c>
      <c r="K318" s="32">
        <v>222.98</v>
      </c>
      <c r="L318" s="32">
        <v>55.151699999999998</v>
      </c>
      <c r="M318" s="32">
        <v>9737.1</v>
      </c>
      <c r="N318" s="32">
        <v>3.7850999999999999</v>
      </c>
      <c r="O318" s="32">
        <v>3.0646</v>
      </c>
      <c r="P318" s="32">
        <v>12.760199999999999</v>
      </c>
      <c r="Q318" s="32">
        <v>1.2009000000000001</v>
      </c>
      <c r="R318" s="32">
        <v>97.888199999999998</v>
      </c>
      <c r="S318" s="32">
        <v>2.5628000000000002</v>
      </c>
      <c r="T318" s="32">
        <v>40.969000000000001</v>
      </c>
      <c r="U318" s="32">
        <v>3.1560999999999999</v>
      </c>
      <c r="V318" s="32">
        <v>30.396599999999999</v>
      </c>
      <c r="W318" s="32">
        <v>3.7507000000000001</v>
      </c>
      <c r="X318" s="32">
        <v>8.5876000000000001</v>
      </c>
      <c r="Y318" s="32">
        <v>1070.32</v>
      </c>
      <c r="Z318" s="32">
        <v>0.76559999999999995</v>
      </c>
      <c r="AA318" s="32">
        <v>1.7825</v>
      </c>
      <c r="AB318" s="32">
        <v>4.3030999999999997</v>
      </c>
    </row>
    <row r="319" spans="1:28" ht="15" customHeight="1" x14ac:dyDescent="0.2">
      <c r="A319" s="33">
        <v>41283</v>
      </c>
      <c r="B319" s="32">
        <v>4.9329000000000001</v>
      </c>
      <c r="C319" s="32">
        <v>0.95309999999999995</v>
      </c>
      <c r="D319" s="32">
        <v>2.0327999999999999</v>
      </c>
      <c r="E319" s="32">
        <v>474.3</v>
      </c>
      <c r="F319" s="32">
        <v>6.2949999999999999</v>
      </c>
      <c r="G319" s="32">
        <v>1772.11</v>
      </c>
      <c r="H319" s="32">
        <v>19.515599999999999</v>
      </c>
      <c r="I319" s="32">
        <v>40.779000000000003</v>
      </c>
      <c r="J319" s="32">
        <v>7.7515000000000001</v>
      </c>
      <c r="K319" s="32">
        <v>222.92500000000001</v>
      </c>
      <c r="L319" s="32">
        <v>55.206600000000002</v>
      </c>
      <c r="M319" s="32">
        <v>9718.17</v>
      </c>
      <c r="N319" s="32">
        <v>3.7774999999999999</v>
      </c>
      <c r="O319" s="32">
        <v>3.0457999999999998</v>
      </c>
      <c r="P319" s="32">
        <v>12.7773</v>
      </c>
      <c r="Q319" s="32">
        <v>1.1962999999999999</v>
      </c>
      <c r="R319" s="32">
        <v>98.068799999999996</v>
      </c>
      <c r="S319" s="32">
        <v>2.5821000000000001</v>
      </c>
      <c r="T319" s="32">
        <v>40.962699999999998</v>
      </c>
      <c r="U319" s="32">
        <v>3.1465999999999998</v>
      </c>
      <c r="V319" s="32">
        <v>30.340299999999999</v>
      </c>
      <c r="W319" s="32">
        <v>3.7507000000000001</v>
      </c>
      <c r="X319" s="32">
        <v>8.5817999999999994</v>
      </c>
      <c r="Y319" s="32">
        <v>1064.51</v>
      </c>
      <c r="Z319" s="32">
        <v>0.7631</v>
      </c>
      <c r="AA319" s="32">
        <v>1.7802</v>
      </c>
      <c r="AB319" s="32">
        <v>4.3003</v>
      </c>
    </row>
    <row r="320" spans="1:28" ht="15" customHeight="1" x14ac:dyDescent="0.2">
      <c r="A320" s="33">
        <v>41284</v>
      </c>
      <c r="B320" s="32">
        <v>4.9358000000000004</v>
      </c>
      <c r="C320" s="32">
        <v>0.95179999999999998</v>
      </c>
      <c r="D320" s="32">
        <v>2.0428000000000002</v>
      </c>
      <c r="E320" s="32">
        <v>474.3</v>
      </c>
      <c r="F320" s="32">
        <v>6.2885999999999997</v>
      </c>
      <c r="G320" s="32">
        <v>1772.4</v>
      </c>
      <c r="H320" s="32">
        <v>19.569700000000001</v>
      </c>
      <c r="I320" s="32">
        <v>40.866999999999997</v>
      </c>
      <c r="J320" s="32">
        <v>7.7519</v>
      </c>
      <c r="K320" s="32">
        <v>222.81200000000001</v>
      </c>
      <c r="L320" s="32">
        <v>54.9786</v>
      </c>
      <c r="M320" s="32">
        <v>9718.17</v>
      </c>
      <c r="N320" s="32">
        <v>3.7806000000000002</v>
      </c>
      <c r="O320" s="32">
        <v>3.0442</v>
      </c>
      <c r="P320" s="32">
        <v>12.781000000000001</v>
      </c>
      <c r="Q320" s="32">
        <v>1.1931</v>
      </c>
      <c r="R320" s="32">
        <v>98.4315</v>
      </c>
      <c r="S320" s="32">
        <v>2.5929000000000002</v>
      </c>
      <c r="T320" s="32">
        <v>40.907699999999998</v>
      </c>
      <c r="U320" s="32">
        <v>3.1408</v>
      </c>
      <c r="V320" s="32">
        <v>30.397200000000002</v>
      </c>
      <c r="W320" s="32">
        <v>3.7507000000000001</v>
      </c>
      <c r="X320" s="32">
        <v>8.5914999999999999</v>
      </c>
      <c r="Y320" s="32">
        <v>1062.7</v>
      </c>
      <c r="Z320" s="32">
        <v>0.76519999999999999</v>
      </c>
      <c r="AA320" s="32">
        <v>1.7782</v>
      </c>
      <c r="AB320" s="32">
        <v>4.3000999999999996</v>
      </c>
    </row>
    <row r="321" spans="1:28" ht="15" customHeight="1" x14ac:dyDescent="0.2">
      <c r="A321" s="33">
        <v>41285</v>
      </c>
      <c r="B321" s="32">
        <v>4.9398999999999997</v>
      </c>
      <c r="C321" s="32">
        <v>0.94740000000000002</v>
      </c>
      <c r="D321" s="32">
        <v>2.0406</v>
      </c>
      <c r="E321" s="32">
        <v>472.32900000000001</v>
      </c>
      <c r="F321" s="32">
        <v>6.2760999999999996</v>
      </c>
      <c r="G321" s="32">
        <v>1769.56</v>
      </c>
      <c r="H321" s="32">
        <v>19.540800000000001</v>
      </c>
      <c r="I321" s="32">
        <v>40.944299999999998</v>
      </c>
      <c r="J321" s="32">
        <v>7.7518000000000002</v>
      </c>
      <c r="K321" s="32">
        <v>221.999</v>
      </c>
      <c r="L321" s="32">
        <v>54.721299999999999</v>
      </c>
      <c r="M321" s="32">
        <v>9708.74</v>
      </c>
      <c r="N321" s="32">
        <v>3.7751000000000001</v>
      </c>
      <c r="O321" s="32">
        <v>3.0339999999999998</v>
      </c>
      <c r="P321" s="32">
        <v>12.685</v>
      </c>
      <c r="Q321" s="32">
        <v>1.1881999999999999</v>
      </c>
      <c r="R321" s="32">
        <v>98.481700000000004</v>
      </c>
      <c r="S321" s="32">
        <v>2.5964999999999998</v>
      </c>
      <c r="T321" s="32">
        <v>40.8065</v>
      </c>
      <c r="U321" s="32">
        <v>3.1122999999999998</v>
      </c>
      <c r="V321" s="32">
        <v>30.322299999999998</v>
      </c>
      <c r="W321" s="32">
        <v>3.7507999999999999</v>
      </c>
      <c r="X321" s="32">
        <v>8.6220999999999997</v>
      </c>
      <c r="Y321" s="32">
        <v>1060.9000000000001</v>
      </c>
      <c r="Z321" s="32">
        <v>0.76249999999999996</v>
      </c>
      <c r="AA321" s="32">
        <v>1.7745</v>
      </c>
      <c r="AB321" s="32">
        <v>4.3</v>
      </c>
    </row>
    <row r="322" spans="1:28" ht="15" customHeight="1" x14ac:dyDescent="0.2">
      <c r="A322" s="33">
        <v>41286</v>
      </c>
      <c r="B322" s="32">
        <v>4.9425999999999997</v>
      </c>
      <c r="C322" s="32">
        <v>0.94630000000000003</v>
      </c>
      <c r="D322" s="32">
        <v>2.0339</v>
      </c>
      <c r="E322" s="32">
        <v>472.16899999999998</v>
      </c>
      <c r="F322" s="32">
        <v>6.2718999999999996</v>
      </c>
      <c r="G322" s="32">
        <v>1764</v>
      </c>
      <c r="H322" s="32">
        <v>19.293199999999999</v>
      </c>
      <c r="I322" s="32">
        <v>40.558700000000002</v>
      </c>
      <c r="J322" s="32">
        <v>7.7523</v>
      </c>
      <c r="K322" s="32">
        <v>222.12899999999999</v>
      </c>
      <c r="L322" s="32">
        <v>54.677199999999999</v>
      </c>
      <c r="M322" s="32">
        <v>9671.18</v>
      </c>
      <c r="N322" s="32">
        <v>3.7450999999999999</v>
      </c>
      <c r="O322" s="32">
        <v>3.0236000000000001</v>
      </c>
      <c r="P322" s="32">
        <v>12.626899999999999</v>
      </c>
      <c r="Q322" s="32">
        <v>1.1893</v>
      </c>
      <c r="R322" s="32">
        <v>97.642300000000006</v>
      </c>
      <c r="S322" s="32">
        <v>2.5735000000000001</v>
      </c>
      <c r="T322" s="32">
        <v>40.713000000000001</v>
      </c>
      <c r="U322" s="32">
        <v>3.0857999999999999</v>
      </c>
      <c r="V322" s="32">
        <v>30.274999999999999</v>
      </c>
      <c r="W322" s="32">
        <v>3.7507999999999999</v>
      </c>
      <c r="X322" s="32">
        <v>8.6973000000000003</v>
      </c>
      <c r="Y322" s="32">
        <v>1057.08</v>
      </c>
      <c r="Z322" s="32">
        <v>0.75249999999999995</v>
      </c>
      <c r="AA322" s="32">
        <v>1.7703</v>
      </c>
      <c r="AB322" s="32">
        <v>4.3000999999999996</v>
      </c>
    </row>
    <row r="323" spans="1:28" ht="15" customHeight="1" x14ac:dyDescent="0.2">
      <c r="A323" s="33">
        <v>41287</v>
      </c>
      <c r="B323" s="32">
        <v>4.9564000000000004</v>
      </c>
      <c r="C323" s="32">
        <v>0.94940000000000002</v>
      </c>
      <c r="D323" s="32">
        <v>2.0356999999999998</v>
      </c>
      <c r="E323" s="32">
        <v>472.95</v>
      </c>
      <c r="F323" s="32">
        <v>6.2771999999999997</v>
      </c>
      <c r="G323" s="32">
        <v>1764</v>
      </c>
      <c r="H323" s="32">
        <v>19.2682</v>
      </c>
      <c r="I323" s="32">
        <v>40.668799999999997</v>
      </c>
      <c r="J323" s="32">
        <v>7.7523</v>
      </c>
      <c r="K323" s="32">
        <v>222.03200000000001</v>
      </c>
      <c r="L323" s="32">
        <v>54.976999999999997</v>
      </c>
      <c r="M323" s="32">
        <v>9661.84</v>
      </c>
      <c r="N323" s="32">
        <v>3.7435999999999998</v>
      </c>
      <c r="O323" s="32">
        <v>3.0375999999999999</v>
      </c>
      <c r="P323" s="32">
        <v>12.660299999999999</v>
      </c>
      <c r="Q323" s="32">
        <v>1.196</v>
      </c>
      <c r="R323" s="32">
        <v>97.611199999999997</v>
      </c>
      <c r="S323" s="32">
        <v>2.5916999999999999</v>
      </c>
      <c r="T323" s="32">
        <v>40.713799999999999</v>
      </c>
      <c r="U323" s="32">
        <v>3.0817999999999999</v>
      </c>
      <c r="V323" s="32">
        <v>30.569700000000001</v>
      </c>
      <c r="W323" s="32">
        <v>3.7551999999999999</v>
      </c>
      <c r="X323" s="32">
        <v>8.7265999999999995</v>
      </c>
      <c r="Y323" s="32">
        <v>1062.25</v>
      </c>
      <c r="Z323" s="32">
        <v>0.74960000000000004</v>
      </c>
      <c r="AA323" s="32">
        <v>1.7719</v>
      </c>
      <c r="AB323" s="32">
        <v>4.2996999999999996</v>
      </c>
    </row>
    <row r="324" spans="1:28" ht="15" customHeight="1" x14ac:dyDescent="0.2">
      <c r="A324" s="33">
        <v>41288</v>
      </c>
      <c r="B324" s="32">
        <v>4.9436</v>
      </c>
      <c r="C324" s="32">
        <v>0.94940000000000002</v>
      </c>
      <c r="D324" s="32">
        <v>2.0356999999999998</v>
      </c>
      <c r="E324" s="32">
        <v>473.2</v>
      </c>
      <c r="F324" s="32">
        <v>6.2771999999999997</v>
      </c>
      <c r="G324" s="32">
        <v>1764</v>
      </c>
      <c r="H324" s="32">
        <v>19.261500000000002</v>
      </c>
      <c r="I324" s="32">
        <v>40.67</v>
      </c>
      <c r="J324" s="32">
        <v>7.7523999999999997</v>
      </c>
      <c r="K324" s="32">
        <v>222.13499999999999</v>
      </c>
      <c r="L324" s="32">
        <v>54.978000000000002</v>
      </c>
      <c r="M324" s="32">
        <v>9661.84</v>
      </c>
      <c r="N324" s="32">
        <v>3.7437</v>
      </c>
      <c r="O324" s="32">
        <v>3.0592999999999999</v>
      </c>
      <c r="P324" s="32">
        <v>12.660299999999999</v>
      </c>
      <c r="Q324" s="32">
        <v>1.1959</v>
      </c>
      <c r="R324" s="32">
        <v>97.863</v>
      </c>
      <c r="S324" s="32">
        <v>2.5933000000000002</v>
      </c>
      <c r="T324" s="32">
        <v>40.725999999999999</v>
      </c>
      <c r="U324" s="32">
        <v>3.08</v>
      </c>
      <c r="V324" s="32">
        <v>30.873000000000001</v>
      </c>
      <c r="W324" s="32">
        <v>3.7549999999999999</v>
      </c>
      <c r="X324" s="32">
        <v>8.7272999999999996</v>
      </c>
      <c r="Y324" s="32">
        <v>1069.18</v>
      </c>
      <c r="Z324" s="32">
        <v>0.74950000000000006</v>
      </c>
      <c r="AA324" s="32">
        <v>1.7715000000000001</v>
      </c>
      <c r="AB324" s="32">
        <v>4.2996999999999996</v>
      </c>
    </row>
    <row r="325" spans="1:28" ht="15" customHeight="1" x14ac:dyDescent="0.2">
      <c r="A325" s="33">
        <v>41289</v>
      </c>
      <c r="B325" s="32">
        <v>4.9420999999999999</v>
      </c>
      <c r="C325" s="32">
        <v>0.94740000000000002</v>
      </c>
      <c r="D325" s="32">
        <v>2.0341</v>
      </c>
      <c r="E325" s="32">
        <v>473.18599999999998</v>
      </c>
      <c r="F325" s="32">
        <v>6.2750000000000004</v>
      </c>
      <c r="G325" s="32">
        <v>1762.91</v>
      </c>
      <c r="H325" s="32">
        <v>19.1721</v>
      </c>
      <c r="I325" s="32">
        <v>40.639899999999997</v>
      </c>
      <c r="J325" s="32">
        <v>7.7526000000000002</v>
      </c>
      <c r="K325" s="32">
        <v>221.66</v>
      </c>
      <c r="L325" s="32">
        <v>54.673000000000002</v>
      </c>
      <c r="M325" s="32">
        <v>9652.51</v>
      </c>
      <c r="N325" s="32">
        <v>3.7334000000000001</v>
      </c>
      <c r="O325" s="32">
        <v>3.0318000000000001</v>
      </c>
      <c r="P325" s="32">
        <v>12.646100000000001</v>
      </c>
      <c r="Q325" s="32">
        <v>1.1906000000000001</v>
      </c>
      <c r="R325" s="32">
        <v>97.796499999999995</v>
      </c>
      <c r="S325" s="32">
        <v>2.5787</v>
      </c>
      <c r="T325" s="32">
        <v>40.747199999999999</v>
      </c>
      <c r="U325" s="32">
        <v>3.0804</v>
      </c>
      <c r="V325" s="32">
        <v>30.3034</v>
      </c>
      <c r="W325" s="32">
        <v>3.7507999999999999</v>
      </c>
      <c r="X325" s="32">
        <v>8.7202999999999999</v>
      </c>
      <c r="Y325" s="32">
        <v>1060.9000000000001</v>
      </c>
      <c r="Z325" s="32">
        <v>0.748</v>
      </c>
      <c r="AA325" s="32">
        <v>1.77</v>
      </c>
      <c r="AB325" s="32">
        <v>4.3005000000000004</v>
      </c>
    </row>
    <row r="326" spans="1:28" ht="15" customHeight="1" x14ac:dyDescent="0.2">
      <c r="A326" s="33">
        <v>41290</v>
      </c>
      <c r="B326" s="32">
        <v>4.9543999999999997</v>
      </c>
      <c r="C326" s="32">
        <v>0.9476</v>
      </c>
      <c r="D326" s="32">
        <v>2.0371999999999999</v>
      </c>
      <c r="E326" s="32">
        <v>474.78399999999999</v>
      </c>
      <c r="F326" s="32">
        <v>6.2755000000000001</v>
      </c>
      <c r="G326" s="32">
        <v>1763.41</v>
      </c>
      <c r="H326" s="32">
        <v>19.177600000000002</v>
      </c>
      <c r="I326" s="32">
        <v>40.689900000000002</v>
      </c>
      <c r="J326" s="32">
        <v>7.7527999999999997</v>
      </c>
      <c r="K326" s="32">
        <v>220.69399999999999</v>
      </c>
      <c r="L326" s="32">
        <v>54.5837</v>
      </c>
      <c r="M326" s="32">
        <v>9699.32</v>
      </c>
      <c r="N326" s="32">
        <v>3.7322000000000002</v>
      </c>
      <c r="O326" s="32">
        <v>3.0135999999999998</v>
      </c>
      <c r="P326" s="32">
        <v>12.633599999999999</v>
      </c>
      <c r="Q326" s="32">
        <v>1.1897</v>
      </c>
      <c r="R326" s="32">
        <v>97.850499999999997</v>
      </c>
      <c r="S326" s="32">
        <v>2.5642</v>
      </c>
      <c r="T326" s="32">
        <v>40.698799999999999</v>
      </c>
      <c r="U326" s="32">
        <v>3.0834999999999999</v>
      </c>
      <c r="V326" s="32">
        <v>30.270600000000002</v>
      </c>
      <c r="W326" s="32">
        <v>3.7507999999999999</v>
      </c>
      <c r="X326" s="32">
        <v>8.7532999999999994</v>
      </c>
      <c r="Y326" s="32">
        <v>1057.8699999999999</v>
      </c>
      <c r="Z326" s="32">
        <v>0.749</v>
      </c>
      <c r="AA326" s="32">
        <v>1.7706999999999999</v>
      </c>
      <c r="AB326" s="32">
        <v>4.3003999999999998</v>
      </c>
    </row>
    <row r="327" spans="1:28" ht="15" customHeight="1" x14ac:dyDescent="0.2">
      <c r="A327" s="33">
        <v>41291</v>
      </c>
      <c r="B327" s="32">
        <v>4.9520999999999997</v>
      </c>
      <c r="C327" s="32">
        <v>0.94720000000000004</v>
      </c>
      <c r="D327" s="32">
        <v>2.0392999999999999</v>
      </c>
      <c r="E327" s="32">
        <v>475.68</v>
      </c>
      <c r="F327" s="32">
        <v>6.2195</v>
      </c>
      <c r="G327" s="32">
        <v>1765.4</v>
      </c>
      <c r="H327" s="32">
        <v>19.2636</v>
      </c>
      <c r="I327" s="32">
        <v>40.884</v>
      </c>
      <c r="J327" s="32">
        <v>7.7526999999999999</v>
      </c>
      <c r="K327" s="32">
        <v>222.048</v>
      </c>
      <c r="L327" s="32">
        <v>54.789099999999998</v>
      </c>
      <c r="M327" s="32">
        <v>9699.32</v>
      </c>
      <c r="N327" s="32">
        <v>3.7313999999999998</v>
      </c>
      <c r="O327" s="32">
        <v>3.0202</v>
      </c>
      <c r="P327" s="32">
        <v>12.639699999999999</v>
      </c>
      <c r="Q327" s="32">
        <v>1.1907000000000001</v>
      </c>
      <c r="R327" s="32">
        <v>98.480400000000003</v>
      </c>
      <c r="S327" s="32">
        <v>2.5895999999999999</v>
      </c>
      <c r="T327" s="32">
        <v>40.780299999999997</v>
      </c>
      <c r="U327" s="32">
        <v>3.1015999999999999</v>
      </c>
      <c r="V327" s="32">
        <v>30.358599999999999</v>
      </c>
      <c r="W327" s="32">
        <v>3.7507000000000001</v>
      </c>
      <c r="X327" s="32">
        <v>8.8292000000000002</v>
      </c>
      <c r="Y327" s="32">
        <v>1059.8800000000001</v>
      </c>
      <c r="Z327" s="32">
        <v>0.75239999999999996</v>
      </c>
      <c r="AA327" s="32">
        <v>1.7695000000000001</v>
      </c>
      <c r="AB327" s="32">
        <v>4.3</v>
      </c>
    </row>
    <row r="328" spans="1:28" ht="15" customHeight="1" x14ac:dyDescent="0.2">
      <c r="A328" s="33">
        <v>41292</v>
      </c>
      <c r="B328" s="32">
        <v>4.9518000000000004</v>
      </c>
      <c r="C328" s="32">
        <v>0.94940000000000002</v>
      </c>
      <c r="D328" s="32">
        <v>2.0436000000000001</v>
      </c>
      <c r="E328" s="32">
        <v>474.428</v>
      </c>
      <c r="F328" s="32">
        <v>6.2218999999999998</v>
      </c>
      <c r="G328" s="32">
        <v>1776.49</v>
      </c>
      <c r="H328" s="32">
        <v>19.1768</v>
      </c>
      <c r="I328" s="32">
        <v>40.590699999999998</v>
      </c>
      <c r="J328" s="32">
        <v>7.7526999999999999</v>
      </c>
      <c r="K328" s="32">
        <v>220.40100000000001</v>
      </c>
      <c r="L328" s="32">
        <v>54.455800000000004</v>
      </c>
      <c r="M328" s="32">
        <v>9689.92</v>
      </c>
      <c r="N328" s="32">
        <v>3.726</v>
      </c>
      <c r="O328" s="32">
        <v>3.0194000000000001</v>
      </c>
      <c r="P328" s="32">
        <v>12.608599999999999</v>
      </c>
      <c r="Q328" s="32">
        <v>1.1903999999999999</v>
      </c>
      <c r="R328" s="32">
        <v>98.003699999999995</v>
      </c>
      <c r="S328" s="32">
        <v>2.5931000000000002</v>
      </c>
      <c r="T328" s="32">
        <v>40.732100000000003</v>
      </c>
      <c r="U328" s="32">
        <v>3.0912000000000002</v>
      </c>
      <c r="V328" s="32">
        <v>30.2986</v>
      </c>
      <c r="W328" s="32">
        <v>3.7507000000000001</v>
      </c>
      <c r="X328" s="32">
        <v>8.7973999999999997</v>
      </c>
      <c r="Y328" s="32">
        <v>1059.21</v>
      </c>
      <c r="Z328" s="32">
        <v>0.75039999999999996</v>
      </c>
      <c r="AA328" s="32">
        <v>1.7607999999999999</v>
      </c>
      <c r="AB328" s="32">
        <v>4.3002000000000002</v>
      </c>
    </row>
    <row r="329" spans="1:28" ht="15" customHeight="1" x14ac:dyDescent="0.2">
      <c r="A329" s="33">
        <v>41293</v>
      </c>
      <c r="B329" s="32">
        <v>4.9528999999999996</v>
      </c>
      <c r="C329" s="32">
        <v>0.95099999999999996</v>
      </c>
      <c r="D329" s="32">
        <v>2.0428999999999999</v>
      </c>
      <c r="E329" s="32">
        <v>472.30099999999999</v>
      </c>
      <c r="F329" s="32">
        <v>6.2762000000000002</v>
      </c>
      <c r="G329" s="32">
        <v>1767.3</v>
      </c>
      <c r="H329" s="32">
        <v>19.191199999999998</v>
      </c>
      <c r="I329" s="32">
        <v>40.809699999999999</v>
      </c>
      <c r="J329" s="32">
        <v>7.7526999999999999</v>
      </c>
      <c r="K329" s="32">
        <v>219.36699999999999</v>
      </c>
      <c r="L329" s="32">
        <v>53.9163</v>
      </c>
      <c r="M329" s="32">
        <v>9671.18</v>
      </c>
      <c r="N329" s="32">
        <v>3.7275</v>
      </c>
      <c r="O329" s="32">
        <v>3.0156999999999998</v>
      </c>
      <c r="P329" s="32">
        <v>12.613</v>
      </c>
      <c r="Q329" s="32">
        <v>1.1964999999999999</v>
      </c>
      <c r="R329" s="32">
        <v>98.502700000000004</v>
      </c>
      <c r="S329" s="32">
        <v>2.5581999999999998</v>
      </c>
      <c r="T329" s="32">
        <v>40.695999999999998</v>
      </c>
      <c r="U329" s="32">
        <v>3.0960000000000001</v>
      </c>
      <c r="V329" s="32">
        <v>30.255099999999999</v>
      </c>
      <c r="W329" s="32">
        <v>3.7507000000000001</v>
      </c>
      <c r="X329" s="32">
        <v>8.8584999999999994</v>
      </c>
      <c r="Y329" s="32">
        <v>1058.76</v>
      </c>
      <c r="Z329" s="32">
        <v>0.74890000000000001</v>
      </c>
      <c r="AA329" s="32">
        <v>1.7581</v>
      </c>
      <c r="AB329" s="32">
        <v>4.3</v>
      </c>
    </row>
    <row r="330" spans="1:28" ht="15" customHeight="1" x14ac:dyDescent="0.2">
      <c r="A330" s="33">
        <v>41294</v>
      </c>
      <c r="B330" s="32">
        <v>4.9949000000000003</v>
      </c>
      <c r="C330" s="32">
        <v>0.9516</v>
      </c>
      <c r="D330" s="32">
        <v>2.0438000000000001</v>
      </c>
      <c r="E330" s="32">
        <v>472.05</v>
      </c>
      <c r="F330" s="32">
        <v>6.2808999999999999</v>
      </c>
      <c r="G330" s="32">
        <v>1771</v>
      </c>
      <c r="H330" s="32">
        <v>19.258700000000001</v>
      </c>
      <c r="I330" s="32">
        <v>41.048499999999997</v>
      </c>
      <c r="J330" s="32">
        <v>7.7530999999999999</v>
      </c>
      <c r="K330" s="32">
        <v>220.41200000000001</v>
      </c>
      <c r="L330" s="32">
        <v>53.786000000000001</v>
      </c>
      <c r="M330" s="32">
        <v>9661.84</v>
      </c>
      <c r="N330" s="32">
        <v>3.7353999999999998</v>
      </c>
      <c r="O330" s="32">
        <v>3.0407000000000002</v>
      </c>
      <c r="P330" s="32">
        <v>12.6678</v>
      </c>
      <c r="Q330" s="32">
        <v>1.1952</v>
      </c>
      <c r="R330" s="32">
        <v>99.115399999999994</v>
      </c>
      <c r="S330" s="32">
        <v>2.6105999999999998</v>
      </c>
      <c r="T330" s="32">
        <v>40.655999999999999</v>
      </c>
      <c r="U330" s="32">
        <v>3.1198999999999999</v>
      </c>
      <c r="V330" s="32">
        <v>30.2926</v>
      </c>
      <c r="W330" s="32">
        <v>3.7551999999999999</v>
      </c>
      <c r="X330" s="32">
        <v>8.8864999999999998</v>
      </c>
      <c r="Y330" s="32">
        <v>1068.3800000000001</v>
      </c>
      <c r="Z330" s="32">
        <v>0.75080000000000002</v>
      </c>
      <c r="AA330" s="32">
        <v>1.7619</v>
      </c>
      <c r="AB330" s="32">
        <v>4.2996999999999996</v>
      </c>
    </row>
    <row r="331" spans="1:28" ht="15" customHeight="1" x14ac:dyDescent="0.2">
      <c r="A331" s="33">
        <v>41295</v>
      </c>
      <c r="B331" s="32">
        <v>4.9923000000000002</v>
      </c>
      <c r="C331" s="32">
        <v>0.9516</v>
      </c>
      <c r="D331" s="32">
        <v>2.0569999999999999</v>
      </c>
      <c r="E331" s="32">
        <v>472.9</v>
      </c>
      <c r="F331" s="32">
        <v>6.2808999999999999</v>
      </c>
      <c r="G331" s="32">
        <v>1771</v>
      </c>
      <c r="H331" s="32">
        <v>19.2577</v>
      </c>
      <c r="I331" s="32">
        <v>41.052</v>
      </c>
      <c r="J331" s="32">
        <v>7.7530999999999999</v>
      </c>
      <c r="K331" s="32">
        <v>220.51400000000001</v>
      </c>
      <c r="L331" s="32">
        <v>53.786499999999997</v>
      </c>
      <c r="M331" s="32">
        <v>9861.93</v>
      </c>
      <c r="N331" s="32">
        <v>3.7360000000000002</v>
      </c>
      <c r="O331" s="32">
        <v>3.081</v>
      </c>
      <c r="P331" s="32">
        <v>12.667899999999999</v>
      </c>
      <c r="Q331" s="32">
        <v>1.1951000000000001</v>
      </c>
      <c r="R331" s="32">
        <v>99.125100000000003</v>
      </c>
      <c r="S331" s="32">
        <v>2.6113</v>
      </c>
      <c r="T331" s="32">
        <v>41.25</v>
      </c>
      <c r="U331" s="32">
        <v>3.1366999999999998</v>
      </c>
      <c r="V331" s="32">
        <v>30.700299999999999</v>
      </c>
      <c r="W331" s="32">
        <v>3.7551000000000001</v>
      </c>
      <c r="X331" s="32">
        <v>8.8870000000000005</v>
      </c>
      <c r="Y331" s="32">
        <v>1083.78</v>
      </c>
      <c r="Z331" s="32">
        <v>0.75090000000000001</v>
      </c>
      <c r="AA331" s="32">
        <v>1.7623</v>
      </c>
      <c r="AB331" s="32">
        <v>4.2996999999999996</v>
      </c>
    </row>
    <row r="332" spans="1:28" ht="15" customHeight="1" x14ac:dyDescent="0.2">
      <c r="A332" s="33">
        <v>41296</v>
      </c>
      <c r="B332" s="32">
        <v>4.9817</v>
      </c>
      <c r="C332" s="32">
        <v>0.95109999999999995</v>
      </c>
      <c r="D332" s="32">
        <v>2.0449999999999999</v>
      </c>
      <c r="E332" s="32">
        <v>472.298</v>
      </c>
      <c r="F332" s="32">
        <v>6.2788000000000004</v>
      </c>
      <c r="G332" s="32">
        <v>1771</v>
      </c>
      <c r="H332" s="32">
        <v>19.240200000000002</v>
      </c>
      <c r="I332" s="32">
        <v>41.040100000000002</v>
      </c>
      <c r="J332" s="32">
        <v>7.7531999999999996</v>
      </c>
      <c r="K332" s="32">
        <v>220.13499999999999</v>
      </c>
      <c r="L332" s="32">
        <v>53.750700000000002</v>
      </c>
      <c r="M332" s="32">
        <v>9794.32</v>
      </c>
      <c r="N332" s="32">
        <v>3.7393999999999998</v>
      </c>
      <c r="O332" s="32">
        <v>3.0541</v>
      </c>
      <c r="P332" s="32">
        <v>12.6844</v>
      </c>
      <c r="Q332" s="32">
        <v>1.1963999999999999</v>
      </c>
      <c r="R332" s="32">
        <v>98.922700000000006</v>
      </c>
      <c r="S332" s="32">
        <v>2.6051000000000002</v>
      </c>
      <c r="T332" s="32">
        <v>41.140700000000002</v>
      </c>
      <c r="U332" s="32">
        <v>3.1280000000000001</v>
      </c>
      <c r="V332" s="32">
        <v>30.291</v>
      </c>
      <c r="W332" s="32">
        <v>3.7507000000000001</v>
      </c>
      <c r="X332" s="32">
        <v>8.8836999999999993</v>
      </c>
      <c r="Y332" s="32">
        <v>1072.27</v>
      </c>
      <c r="Z332" s="32">
        <v>0.751</v>
      </c>
      <c r="AA332" s="32">
        <v>1.7625</v>
      </c>
      <c r="AB332" s="32">
        <v>4.2999000000000001</v>
      </c>
    </row>
    <row r="333" spans="1:28" ht="15" customHeight="1" x14ac:dyDescent="0.2">
      <c r="A333" s="33">
        <v>41297</v>
      </c>
      <c r="B333" s="32">
        <v>4.9592000000000001</v>
      </c>
      <c r="C333" s="32">
        <v>0.94820000000000004</v>
      </c>
      <c r="D333" s="32">
        <v>2.0457999999999998</v>
      </c>
      <c r="E333" s="32">
        <v>472.54700000000003</v>
      </c>
      <c r="F333" s="32">
        <v>6.2785000000000002</v>
      </c>
      <c r="G333" s="32">
        <v>1771</v>
      </c>
      <c r="H333" s="32">
        <v>19.227399999999999</v>
      </c>
      <c r="I333" s="32">
        <v>40.921500000000002</v>
      </c>
      <c r="J333" s="32">
        <v>7.7534999999999998</v>
      </c>
      <c r="K333" s="32">
        <v>220.53200000000001</v>
      </c>
      <c r="L333" s="32">
        <v>53.644799999999996</v>
      </c>
      <c r="M333" s="32">
        <v>9661.84</v>
      </c>
      <c r="N333" s="32">
        <v>3.7385000000000002</v>
      </c>
      <c r="O333" s="32">
        <v>3.0436000000000001</v>
      </c>
      <c r="P333" s="32">
        <v>12.682700000000001</v>
      </c>
      <c r="Q333" s="32">
        <v>1.1908000000000001</v>
      </c>
      <c r="R333" s="32">
        <v>98.529799999999994</v>
      </c>
      <c r="S333" s="32">
        <v>2.5912000000000002</v>
      </c>
      <c r="T333" s="32">
        <v>40.743899999999996</v>
      </c>
      <c r="U333" s="32">
        <v>3.1326000000000001</v>
      </c>
      <c r="V333" s="32">
        <v>30.250499999999999</v>
      </c>
      <c r="W333" s="32">
        <v>3.7507000000000001</v>
      </c>
      <c r="X333" s="32">
        <v>8.8549000000000007</v>
      </c>
      <c r="Y333" s="32">
        <v>1064.74</v>
      </c>
      <c r="Z333" s="32">
        <v>0.75060000000000004</v>
      </c>
      <c r="AA333" s="32">
        <v>1.7668999999999999</v>
      </c>
      <c r="AB333" s="32">
        <v>4.3</v>
      </c>
    </row>
    <row r="334" spans="1:28" ht="15" customHeight="1" x14ac:dyDescent="0.2">
      <c r="A334" s="33">
        <v>41298</v>
      </c>
      <c r="B334" s="32">
        <v>4.9615</v>
      </c>
      <c r="C334" s="32">
        <v>0.94789999999999996</v>
      </c>
      <c r="D334" s="32">
        <v>2.0430000000000001</v>
      </c>
      <c r="E334" s="32">
        <v>471.75200000000001</v>
      </c>
      <c r="F334" s="32">
        <v>6.2792000000000003</v>
      </c>
      <c r="G334" s="32">
        <v>1773.86</v>
      </c>
      <c r="H334" s="32">
        <v>19.2393</v>
      </c>
      <c r="I334" s="32">
        <v>40.869199999999999</v>
      </c>
      <c r="J334" s="32">
        <v>7.7534999999999998</v>
      </c>
      <c r="K334" s="32">
        <v>221.065</v>
      </c>
      <c r="L334" s="32">
        <v>53.6554</v>
      </c>
      <c r="M334" s="32">
        <v>9661.84</v>
      </c>
      <c r="N334" s="32">
        <v>3.7309999999999999</v>
      </c>
      <c r="O334" s="32">
        <v>3.0442</v>
      </c>
      <c r="P334" s="32">
        <v>12.6487</v>
      </c>
      <c r="Q334" s="32">
        <v>1.1880999999999999</v>
      </c>
      <c r="R334" s="32">
        <v>98.664599999999993</v>
      </c>
      <c r="S334" s="32">
        <v>2.5981000000000001</v>
      </c>
      <c r="T334" s="32">
        <v>40.732300000000002</v>
      </c>
      <c r="U334" s="32">
        <v>3.1335000000000002</v>
      </c>
      <c r="V334" s="32">
        <v>30.221699999999998</v>
      </c>
      <c r="W334" s="32">
        <v>3.7507000000000001</v>
      </c>
      <c r="X334" s="32">
        <v>8.9307999999999996</v>
      </c>
      <c r="Y334" s="32">
        <v>1067.1199999999999</v>
      </c>
      <c r="Z334" s="32">
        <v>0.751</v>
      </c>
      <c r="AA334" s="32">
        <v>1.7706</v>
      </c>
      <c r="AB334" s="32">
        <v>4.3003</v>
      </c>
    </row>
    <row r="335" spans="1:28" ht="15" customHeight="1" x14ac:dyDescent="0.2">
      <c r="A335" s="33">
        <v>41299</v>
      </c>
      <c r="B335" s="32">
        <v>4.9669999999999996</v>
      </c>
      <c r="C335" s="32">
        <v>0.95220000000000005</v>
      </c>
      <c r="D335" s="32">
        <v>2.0358999999999998</v>
      </c>
      <c r="E335" s="32">
        <v>471.57100000000003</v>
      </c>
      <c r="F335" s="32">
        <v>6.2809999999999997</v>
      </c>
      <c r="G335" s="32">
        <v>1781.54</v>
      </c>
      <c r="H335" s="32">
        <v>19.204499999999999</v>
      </c>
      <c r="I335" s="32">
        <v>40.6723</v>
      </c>
      <c r="J335" s="32">
        <v>7.7531999999999996</v>
      </c>
      <c r="K335" s="32">
        <v>221.21299999999999</v>
      </c>
      <c r="L335" s="32">
        <v>53.674999999999997</v>
      </c>
      <c r="M335" s="32">
        <v>9652.51</v>
      </c>
      <c r="N335" s="32">
        <v>3.7235</v>
      </c>
      <c r="O335" s="32">
        <v>3.0442999999999998</v>
      </c>
      <c r="P335" s="32">
        <v>12.680400000000001</v>
      </c>
      <c r="Q335" s="32">
        <v>1.1891</v>
      </c>
      <c r="R335" s="32">
        <v>98.009799999999998</v>
      </c>
      <c r="S335" s="32">
        <v>2.6011000000000002</v>
      </c>
      <c r="T335" s="32">
        <v>40.741700000000002</v>
      </c>
      <c r="U335" s="32">
        <v>3.137</v>
      </c>
      <c r="V335" s="32">
        <v>30.151199999999999</v>
      </c>
      <c r="W335" s="32">
        <v>3.7507999999999999</v>
      </c>
      <c r="X335" s="32">
        <v>9.0601000000000003</v>
      </c>
      <c r="Y335" s="32">
        <v>1069.18</v>
      </c>
      <c r="Z335" s="32">
        <v>0.75</v>
      </c>
      <c r="AA335" s="32">
        <v>1.7714000000000001</v>
      </c>
      <c r="AB335" s="32">
        <v>4.2999000000000001</v>
      </c>
    </row>
    <row r="336" spans="1:28" ht="15" customHeight="1" x14ac:dyDescent="0.2">
      <c r="A336" s="33">
        <v>41300</v>
      </c>
      <c r="B336" s="32">
        <v>4.9663000000000004</v>
      </c>
      <c r="C336" s="32">
        <v>0.95789999999999997</v>
      </c>
      <c r="D336" s="32">
        <v>2.0318999999999998</v>
      </c>
      <c r="E336" s="32">
        <v>471.779</v>
      </c>
      <c r="F336" s="32">
        <v>6.2872000000000003</v>
      </c>
      <c r="G336" s="32">
        <v>1780.26</v>
      </c>
      <c r="H336" s="32">
        <v>19.077400000000001</v>
      </c>
      <c r="I336" s="32">
        <v>40.819200000000002</v>
      </c>
      <c r="J336" s="32">
        <v>7.7541000000000002</v>
      </c>
      <c r="K336" s="32">
        <v>221.166</v>
      </c>
      <c r="L336" s="32">
        <v>53.763199999999998</v>
      </c>
      <c r="M336" s="32">
        <v>9680.5400000000009</v>
      </c>
      <c r="N336" s="32">
        <v>3.7174999999999998</v>
      </c>
      <c r="O336" s="32">
        <v>3.0501</v>
      </c>
      <c r="P336" s="32">
        <v>12.6629</v>
      </c>
      <c r="Q336" s="32">
        <v>1.1946000000000001</v>
      </c>
      <c r="R336" s="32">
        <v>98.388000000000005</v>
      </c>
      <c r="S336" s="32">
        <v>2.5916999999999999</v>
      </c>
      <c r="T336" s="32">
        <v>40.803600000000003</v>
      </c>
      <c r="U336" s="32">
        <v>3.1181000000000001</v>
      </c>
      <c r="V336" s="32">
        <v>30.063199999999998</v>
      </c>
      <c r="W336" s="32">
        <v>3.7507999999999999</v>
      </c>
      <c r="X336" s="32">
        <v>9.0233000000000008</v>
      </c>
      <c r="Y336" s="32">
        <v>1075.04</v>
      </c>
      <c r="Z336" s="32">
        <v>0.74550000000000005</v>
      </c>
      <c r="AA336" s="32">
        <v>1.7685999999999999</v>
      </c>
      <c r="AB336" s="32">
        <v>4.3002000000000002</v>
      </c>
    </row>
    <row r="337" spans="1:28" ht="15" customHeight="1" x14ac:dyDescent="0.2">
      <c r="A337" s="33">
        <v>41301</v>
      </c>
      <c r="B337" s="32">
        <v>4.9816000000000003</v>
      </c>
      <c r="C337" s="32">
        <v>0.95960000000000001</v>
      </c>
      <c r="D337" s="32">
        <v>2.0327999999999999</v>
      </c>
      <c r="E337" s="32">
        <v>472.75</v>
      </c>
      <c r="F337" s="32">
        <v>6.2952000000000004</v>
      </c>
      <c r="G337" s="32">
        <v>1781</v>
      </c>
      <c r="H337" s="32">
        <v>19.0184</v>
      </c>
      <c r="I337" s="32">
        <v>40.874600000000001</v>
      </c>
      <c r="J337" s="32">
        <v>7.7546999999999997</v>
      </c>
      <c r="K337" s="32">
        <v>221.583</v>
      </c>
      <c r="L337" s="32">
        <v>53.951999999999998</v>
      </c>
      <c r="M337" s="32">
        <v>9708.74</v>
      </c>
      <c r="N337" s="32">
        <v>3.7212000000000001</v>
      </c>
      <c r="O337" s="32">
        <v>3.0649000000000002</v>
      </c>
      <c r="P337" s="32">
        <v>12.7097</v>
      </c>
      <c r="Q337" s="32">
        <v>1.1946000000000001</v>
      </c>
      <c r="R337" s="32">
        <v>98.694800000000001</v>
      </c>
      <c r="S337" s="32">
        <v>2.6067999999999998</v>
      </c>
      <c r="T337" s="32">
        <v>40.895699999999998</v>
      </c>
      <c r="U337" s="32">
        <v>3.1059999999999999</v>
      </c>
      <c r="V337" s="32">
        <v>30.3127</v>
      </c>
      <c r="W337" s="32">
        <v>3.7553000000000001</v>
      </c>
      <c r="X337" s="32">
        <v>8.9513999999999996</v>
      </c>
      <c r="Y337" s="32">
        <v>1080.8499999999999</v>
      </c>
      <c r="Z337" s="32">
        <v>0.74280000000000002</v>
      </c>
      <c r="AA337" s="32">
        <v>1.7684</v>
      </c>
      <c r="AB337" s="32">
        <v>4.2996999999999996</v>
      </c>
    </row>
    <row r="338" spans="1:28" ht="15" customHeight="1" x14ac:dyDescent="0.2">
      <c r="A338" s="33">
        <v>41302</v>
      </c>
      <c r="B338" s="32">
        <v>4.9672000000000001</v>
      </c>
      <c r="C338" s="32">
        <v>0.95960000000000001</v>
      </c>
      <c r="D338" s="32">
        <v>2.0329999999999999</v>
      </c>
      <c r="E338" s="32">
        <v>472.75</v>
      </c>
      <c r="F338" s="32">
        <v>6.2952000000000004</v>
      </c>
      <c r="G338" s="32">
        <v>1781</v>
      </c>
      <c r="H338" s="32">
        <v>19.021599999999999</v>
      </c>
      <c r="I338" s="32">
        <v>40.880000000000003</v>
      </c>
      <c r="J338" s="32">
        <v>7.7546999999999997</v>
      </c>
      <c r="K338" s="32">
        <v>221.36199999999999</v>
      </c>
      <c r="L338" s="32">
        <v>53.949100000000001</v>
      </c>
      <c r="M338" s="32">
        <v>9920.6299999999992</v>
      </c>
      <c r="N338" s="32">
        <v>3.7219000000000002</v>
      </c>
      <c r="O338" s="32">
        <v>3.0495999999999999</v>
      </c>
      <c r="P338" s="32">
        <v>12.7096</v>
      </c>
      <c r="Q338" s="32">
        <v>1.1947000000000001</v>
      </c>
      <c r="R338" s="32">
        <v>98.721000000000004</v>
      </c>
      <c r="S338" s="32">
        <v>2.6078000000000001</v>
      </c>
      <c r="T338" s="32">
        <v>40.837699999999998</v>
      </c>
      <c r="U338" s="32">
        <v>3.1532</v>
      </c>
      <c r="V338" s="32">
        <v>30.239899999999999</v>
      </c>
      <c r="W338" s="32">
        <v>3.7551000000000001</v>
      </c>
      <c r="X338" s="32">
        <v>8.9521999999999995</v>
      </c>
      <c r="Y338" s="32">
        <v>1077.24</v>
      </c>
      <c r="Z338" s="32">
        <v>0.74280000000000002</v>
      </c>
      <c r="AA338" s="32">
        <v>1.7695000000000001</v>
      </c>
      <c r="AB338" s="32">
        <v>4.2996999999999996</v>
      </c>
    </row>
    <row r="339" spans="1:28" ht="15" customHeight="1" x14ac:dyDescent="0.2">
      <c r="A339" s="33">
        <v>41303</v>
      </c>
      <c r="B339" s="32">
        <v>4.9683000000000002</v>
      </c>
      <c r="C339" s="32">
        <v>0.96079999999999999</v>
      </c>
      <c r="D339" s="32">
        <v>2.0226000000000002</v>
      </c>
      <c r="E339" s="32">
        <v>473.01</v>
      </c>
      <c r="F339" s="32">
        <v>6.2960000000000003</v>
      </c>
      <c r="G339" s="32">
        <v>1781.23</v>
      </c>
      <c r="H339" s="32">
        <v>19.061299999999999</v>
      </c>
      <c r="I339" s="32">
        <v>40.888399999999997</v>
      </c>
      <c r="J339" s="32">
        <v>7.7565</v>
      </c>
      <c r="K339" s="32">
        <v>221.61199999999999</v>
      </c>
      <c r="L339" s="32">
        <v>53.961599999999997</v>
      </c>
      <c r="M339" s="32">
        <v>9784.74</v>
      </c>
      <c r="N339" s="32">
        <v>3.7277</v>
      </c>
      <c r="O339" s="32">
        <v>3.0478999999999998</v>
      </c>
      <c r="P339" s="32">
        <v>12.7371</v>
      </c>
      <c r="Q339" s="32">
        <v>1.2007000000000001</v>
      </c>
      <c r="R339" s="32">
        <v>98.473299999999995</v>
      </c>
      <c r="S339" s="32">
        <v>2.5941000000000001</v>
      </c>
      <c r="T339" s="32">
        <v>40.950400000000002</v>
      </c>
      <c r="U339" s="32">
        <v>3.113</v>
      </c>
      <c r="V339" s="32">
        <v>30.122199999999999</v>
      </c>
      <c r="W339" s="32">
        <v>3.7507999999999999</v>
      </c>
      <c r="X339" s="32">
        <v>9.0116999999999994</v>
      </c>
      <c r="Y339" s="32">
        <v>1086.72</v>
      </c>
      <c r="Z339" s="32">
        <v>0.74339999999999995</v>
      </c>
      <c r="AA339" s="32">
        <v>1.7698</v>
      </c>
      <c r="AB339" s="32">
        <v>4.3002000000000002</v>
      </c>
    </row>
    <row r="340" spans="1:28" ht="15" customHeight="1" x14ac:dyDescent="0.2">
      <c r="A340" s="33">
        <v>41304</v>
      </c>
      <c r="B340" s="32">
        <v>4.9756999999999998</v>
      </c>
      <c r="C340" s="32">
        <v>0.95740000000000003</v>
      </c>
      <c r="D340" s="32">
        <v>1.9964999999999999</v>
      </c>
      <c r="E340" s="32">
        <v>473.86200000000002</v>
      </c>
      <c r="F340" s="32">
        <v>6.2964000000000002</v>
      </c>
      <c r="G340" s="32">
        <v>1781.74</v>
      </c>
      <c r="H340" s="32">
        <v>19.098500000000001</v>
      </c>
      <c r="I340" s="32">
        <v>41.156100000000002</v>
      </c>
      <c r="J340" s="32">
        <v>7.7584</v>
      </c>
      <c r="K340" s="32">
        <v>221.33699999999999</v>
      </c>
      <c r="L340" s="32">
        <v>53.799799999999998</v>
      </c>
      <c r="M340" s="32">
        <v>9727.6299999999992</v>
      </c>
      <c r="N340" s="32">
        <v>3.7320000000000002</v>
      </c>
      <c r="O340" s="32">
        <v>3.0767000000000002</v>
      </c>
      <c r="P340" s="32">
        <v>12.7455</v>
      </c>
      <c r="Q340" s="32">
        <v>1.1962999999999999</v>
      </c>
      <c r="R340" s="32">
        <v>98.793899999999994</v>
      </c>
      <c r="S340" s="32">
        <v>2.6124999999999998</v>
      </c>
      <c r="T340" s="32">
        <v>40.923400000000001</v>
      </c>
      <c r="U340" s="32">
        <v>3.1236000000000002</v>
      </c>
      <c r="V340" s="32">
        <v>30.1721</v>
      </c>
      <c r="W340" s="32">
        <v>3.7507999999999999</v>
      </c>
      <c r="X340" s="32">
        <v>9.0765999999999991</v>
      </c>
      <c r="Y340" s="32">
        <v>1086.96</v>
      </c>
      <c r="Z340" s="32">
        <v>0.74319999999999997</v>
      </c>
      <c r="AA340" s="32">
        <v>1.7726999999999999</v>
      </c>
      <c r="AB340" s="32">
        <v>4.2999000000000001</v>
      </c>
    </row>
    <row r="341" spans="1:28" ht="15" customHeight="1" x14ac:dyDescent="0.2">
      <c r="A341" s="33">
        <v>41305</v>
      </c>
      <c r="B341" s="32">
        <v>4.9771000000000001</v>
      </c>
      <c r="C341" s="32">
        <v>0.95740000000000003</v>
      </c>
      <c r="D341" s="32">
        <v>1.9896</v>
      </c>
      <c r="E341" s="32">
        <v>472.10199999999998</v>
      </c>
      <c r="F341" s="32">
        <v>6.2885999999999997</v>
      </c>
      <c r="G341" s="32">
        <v>1777.04</v>
      </c>
      <c r="H341" s="32">
        <v>18.9666</v>
      </c>
      <c r="I341" s="32">
        <v>40.888300000000001</v>
      </c>
      <c r="J341" s="32">
        <v>7.7584999999999997</v>
      </c>
      <c r="K341" s="32">
        <v>218.70099999999999</v>
      </c>
      <c r="L341" s="32">
        <v>53.439399999999999</v>
      </c>
      <c r="M341" s="32">
        <v>9737.1</v>
      </c>
      <c r="N341" s="32">
        <v>3.7317999999999998</v>
      </c>
      <c r="O341" s="32">
        <v>3.0830000000000002</v>
      </c>
      <c r="P341" s="32">
        <v>12.724399999999999</v>
      </c>
      <c r="Q341" s="32">
        <v>1.1979</v>
      </c>
      <c r="R341" s="32">
        <v>98.370500000000007</v>
      </c>
      <c r="S341" s="32">
        <v>2.5991</v>
      </c>
      <c r="T341" s="32">
        <v>40.770099999999999</v>
      </c>
      <c r="U341" s="32">
        <v>3.1000999999999999</v>
      </c>
      <c r="V341" s="32">
        <v>30.047899999999998</v>
      </c>
      <c r="W341" s="32">
        <v>3.7507999999999999</v>
      </c>
      <c r="X341" s="32">
        <v>9.0433000000000003</v>
      </c>
      <c r="Y341" s="32">
        <v>1086.25</v>
      </c>
      <c r="Z341" s="32">
        <v>0.73950000000000005</v>
      </c>
      <c r="AA341" s="32">
        <v>1.7684</v>
      </c>
      <c r="AB341" s="32">
        <v>4.3</v>
      </c>
    </row>
    <row r="342" spans="1:28" ht="15" customHeight="1" x14ac:dyDescent="0.2">
      <c r="A342" s="33">
        <v>41306</v>
      </c>
      <c r="B342" s="32">
        <v>4.9813999999999998</v>
      </c>
      <c r="C342" s="32">
        <v>0.96</v>
      </c>
      <c r="D342" s="32">
        <v>1.9901</v>
      </c>
      <c r="E342" s="32">
        <v>472.12099999999998</v>
      </c>
      <c r="F342" s="32">
        <v>6.2878999999999996</v>
      </c>
      <c r="G342" s="32">
        <v>1777.06</v>
      </c>
      <c r="H342" s="32">
        <v>18.905100000000001</v>
      </c>
      <c r="I342" s="32">
        <v>41.091500000000003</v>
      </c>
      <c r="J342" s="32">
        <v>7.7572000000000001</v>
      </c>
      <c r="K342" s="32">
        <v>216.23500000000001</v>
      </c>
      <c r="L342" s="32">
        <v>53.279600000000002</v>
      </c>
      <c r="M342" s="32">
        <v>9737.1</v>
      </c>
      <c r="N342" s="32">
        <v>3.7284999999999999</v>
      </c>
      <c r="O342" s="32">
        <v>3.1057000000000001</v>
      </c>
      <c r="P342" s="32">
        <v>12.7242</v>
      </c>
      <c r="Q342" s="32">
        <v>1.1942999999999999</v>
      </c>
      <c r="R342" s="32">
        <v>98.080699999999993</v>
      </c>
      <c r="S342" s="32">
        <v>2.5867</v>
      </c>
      <c r="T342" s="32">
        <v>40.787799999999997</v>
      </c>
      <c r="U342" s="32">
        <v>3.0960000000000001</v>
      </c>
      <c r="V342" s="32">
        <v>30.054200000000002</v>
      </c>
      <c r="W342" s="32">
        <v>3.7507999999999999</v>
      </c>
      <c r="X342" s="32">
        <v>8.9975000000000005</v>
      </c>
      <c r="Y342" s="32">
        <v>1089.21</v>
      </c>
      <c r="Z342" s="32">
        <v>0.73709999999999998</v>
      </c>
      <c r="AA342" s="32">
        <v>1.7646999999999999</v>
      </c>
      <c r="AB342" s="32">
        <v>4.3013000000000003</v>
      </c>
    </row>
    <row r="343" spans="1:28" ht="15" customHeight="1" x14ac:dyDescent="0.2">
      <c r="A343" s="33">
        <v>41307</v>
      </c>
      <c r="B343" s="32">
        <v>4.9833999999999996</v>
      </c>
      <c r="C343" s="32">
        <v>0.96130000000000004</v>
      </c>
      <c r="D343" s="32">
        <v>1.9908999999999999</v>
      </c>
      <c r="E343" s="32">
        <v>472.15300000000002</v>
      </c>
      <c r="F343" s="32">
        <v>6.2910000000000004</v>
      </c>
      <c r="G343" s="32">
        <v>1777</v>
      </c>
      <c r="H343" s="32">
        <v>18.845500000000001</v>
      </c>
      <c r="I343" s="32">
        <v>41.043199999999999</v>
      </c>
      <c r="J343" s="32">
        <v>7.7565999999999997</v>
      </c>
      <c r="K343" s="32">
        <v>214.49299999999999</v>
      </c>
      <c r="L343" s="32">
        <v>53.264000000000003</v>
      </c>
      <c r="M343" s="32">
        <v>9746.59</v>
      </c>
      <c r="N343" s="32">
        <v>3.6949999999999998</v>
      </c>
      <c r="O343" s="32">
        <v>3.11</v>
      </c>
      <c r="P343" s="32">
        <v>12.7036</v>
      </c>
      <c r="Q343" s="32">
        <v>1.1870000000000001</v>
      </c>
      <c r="R343" s="32">
        <v>98.412899999999993</v>
      </c>
      <c r="S343" s="32">
        <v>2.6065</v>
      </c>
      <c r="T343" s="32">
        <v>40.801400000000001</v>
      </c>
      <c r="U343" s="32">
        <v>3.0718999999999999</v>
      </c>
      <c r="V343" s="32">
        <v>29.973400000000002</v>
      </c>
      <c r="W343" s="32">
        <v>3.7507000000000001</v>
      </c>
      <c r="X343" s="32">
        <v>8.9351000000000003</v>
      </c>
      <c r="Y343" s="32">
        <v>1095.29</v>
      </c>
      <c r="Z343" s="32">
        <v>0.73350000000000004</v>
      </c>
      <c r="AA343" s="32">
        <v>1.7543</v>
      </c>
      <c r="AB343" s="32">
        <v>4.3009000000000004</v>
      </c>
    </row>
    <row r="344" spans="1:28" ht="15" customHeight="1" x14ac:dyDescent="0.2">
      <c r="A344" s="33">
        <v>41308</v>
      </c>
      <c r="B344" s="32">
        <v>4.9889999999999999</v>
      </c>
      <c r="C344" s="32">
        <v>0.96109999999999995</v>
      </c>
      <c r="D344" s="32">
        <v>2.0078999999999998</v>
      </c>
      <c r="E344" s="32">
        <v>472.5</v>
      </c>
      <c r="F344" s="32">
        <v>6.2968000000000002</v>
      </c>
      <c r="G344" s="32">
        <v>1781</v>
      </c>
      <c r="H344" s="32">
        <v>18.855599999999999</v>
      </c>
      <c r="I344" s="32">
        <v>41.280999999999999</v>
      </c>
      <c r="J344" s="32">
        <v>7.7568000000000001</v>
      </c>
      <c r="K344" s="32">
        <v>214.696</v>
      </c>
      <c r="L344" s="32">
        <v>53.213000000000001</v>
      </c>
      <c r="M344" s="32">
        <v>9710</v>
      </c>
      <c r="N344" s="32">
        <v>3.6779000000000002</v>
      </c>
      <c r="O344" s="32">
        <v>3.1095000000000002</v>
      </c>
      <c r="P344" s="32">
        <v>12.6119</v>
      </c>
      <c r="Q344" s="32">
        <v>1.1834</v>
      </c>
      <c r="R344" s="32">
        <v>98.885000000000005</v>
      </c>
      <c r="S344" s="32">
        <v>2.6427999999999998</v>
      </c>
      <c r="T344" s="32">
        <v>40.750999999999998</v>
      </c>
      <c r="U344" s="32">
        <v>3.0608</v>
      </c>
      <c r="V344" s="32">
        <v>29.904</v>
      </c>
      <c r="W344" s="32">
        <v>3.7553000000000001</v>
      </c>
      <c r="X344" s="32">
        <v>8.8568999999999996</v>
      </c>
      <c r="Y344" s="32">
        <v>1096.1300000000001</v>
      </c>
      <c r="Z344" s="32">
        <v>0.73319999999999996</v>
      </c>
      <c r="AA344" s="32">
        <v>1.7496</v>
      </c>
      <c r="AB344" s="32">
        <v>4.2961999999999998</v>
      </c>
    </row>
    <row r="345" spans="1:28" ht="15" customHeight="1" x14ac:dyDescent="0.2">
      <c r="A345" s="33">
        <v>41309</v>
      </c>
      <c r="B345" s="32">
        <v>5.0355999999999996</v>
      </c>
      <c r="C345" s="32">
        <v>0.96099999999999997</v>
      </c>
      <c r="D345" s="32">
        <v>1.9896</v>
      </c>
      <c r="E345" s="32">
        <v>472.65</v>
      </c>
      <c r="F345" s="32">
        <v>6.2968000000000002</v>
      </c>
      <c r="G345" s="32">
        <v>1777</v>
      </c>
      <c r="H345" s="32">
        <v>18.834700000000002</v>
      </c>
      <c r="I345" s="32">
        <v>41.281999999999996</v>
      </c>
      <c r="J345" s="32">
        <v>7.7567000000000004</v>
      </c>
      <c r="K345" s="32">
        <v>214.68799999999999</v>
      </c>
      <c r="L345" s="32">
        <v>53.215200000000003</v>
      </c>
      <c r="M345" s="32">
        <v>9737.1</v>
      </c>
      <c r="N345" s="32">
        <v>3.6812999999999998</v>
      </c>
      <c r="O345" s="32">
        <v>3.1648999999999998</v>
      </c>
      <c r="P345" s="32">
        <v>12.612500000000001</v>
      </c>
      <c r="Q345" s="32">
        <v>1.1832</v>
      </c>
      <c r="R345" s="32">
        <v>98.867000000000004</v>
      </c>
      <c r="S345" s="32">
        <v>2.6421999999999999</v>
      </c>
      <c r="T345" s="32">
        <v>40.783999999999999</v>
      </c>
      <c r="U345" s="32">
        <v>3.0594000000000001</v>
      </c>
      <c r="V345" s="32">
        <v>29.717500000000001</v>
      </c>
      <c r="W345" s="32">
        <v>3.7553000000000001</v>
      </c>
      <c r="X345" s="32">
        <v>8.8575999999999997</v>
      </c>
      <c r="Y345" s="32">
        <v>1113.5899999999999</v>
      </c>
      <c r="Z345" s="32">
        <v>0.73319999999999996</v>
      </c>
      <c r="AA345" s="32">
        <v>1.7493000000000001</v>
      </c>
      <c r="AB345" s="32">
        <v>4.2996999999999996</v>
      </c>
    </row>
    <row r="346" spans="1:28" ht="15" customHeight="1" x14ac:dyDescent="0.2">
      <c r="A346" s="33">
        <v>41310</v>
      </c>
      <c r="B346" s="32">
        <v>4.9980000000000002</v>
      </c>
      <c r="C346" s="32">
        <v>0.95920000000000005</v>
      </c>
      <c r="D346" s="32">
        <v>1.9919</v>
      </c>
      <c r="E346" s="32">
        <v>473.02199999999999</v>
      </c>
      <c r="F346" s="32">
        <v>6.2960000000000003</v>
      </c>
      <c r="G346" s="32">
        <v>1788</v>
      </c>
      <c r="H346" s="32">
        <v>18.912400000000002</v>
      </c>
      <c r="I346" s="32">
        <v>40.875900000000001</v>
      </c>
      <c r="J346" s="32">
        <v>7.7550999999999997</v>
      </c>
      <c r="K346" s="32">
        <v>215.62</v>
      </c>
      <c r="L346" s="32">
        <v>53.219499999999996</v>
      </c>
      <c r="M346" s="32">
        <v>9718.17</v>
      </c>
      <c r="N346" s="32">
        <v>3.6888999999999998</v>
      </c>
      <c r="O346" s="32">
        <v>3.1133999999999999</v>
      </c>
      <c r="P346" s="32">
        <v>12.6492</v>
      </c>
      <c r="Q346" s="32">
        <v>1.1823999999999999</v>
      </c>
      <c r="R346" s="32">
        <v>98.568700000000007</v>
      </c>
      <c r="S346" s="32">
        <v>2.6202999999999999</v>
      </c>
      <c r="T346" s="32">
        <v>40.747500000000002</v>
      </c>
      <c r="U346" s="32">
        <v>3.0693999999999999</v>
      </c>
      <c r="V346" s="32">
        <v>29.9907</v>
      </c>
      <c r="W346" s="32">
        <v>3.7509000000000001</v>
      </c>
      <c r="X346" s="32">
        <v>8.8935999999999993</v>
      </c>
      <c r="Y346" s="32">
        <v>1096.01</v>
      </c>
      <c r="Z346" s="32">
        <v>0.73570000000000002</v>
      </c>
      <c r="AA346" s="32">
        <v>1.7544999999999999</v>
      </c>
      <c r="AB346" s="32">
        <v>4.3010000000000002</v>
      </c>
    </row>
    <row r="347" spans="1:28" ht="15" customHeight="1" x14ac:dyDescent="0.2">
      <c r="A347" s="33">
        <v>41311</v>
      </c>
      <c r="B347" s="32">
        <v>4.9866000000000001</v>
      </c>
      <c r="C347" s="32">
        <v>0.96060000000000001</v>
      </c>
      <c r="D347" s="32">
        <v>1.9938</v>
      </c>
      <c r="E347" s="32">
        <v>472.76799999999997</v>
      </c>
      <c r="F347" s="32">
        <v>6.2949999999999999</v>
      </c>
      <c r="G347" s="32">
        <v>1788.38</v>
      </c>
      <c r="H347" s="32">
        <v>18.984100000000002</v>
      </c>
      <c r="I347" s="32">
        <v>41.183300000000003</v>
      </c>
      <c r="J347" s="32">
        <v>7.7542999999999997</v>
      </c>
      <c r="K347" s="32">
        <v>216.66399999999999</v>
      </c>
      <c r="L347" s="32">
        <v>53.282699999999998</v>
      </c>
      <c r="M347" s="32">
        <v>9708.74</v>
      </c>
      <c r="N347" s="32">
        <v>3.6947000000000001</v>
      </c>
      <c r="O347" s="32">
        <v>3.0931000000000002</v>
      </c>
      <c r="P347" s="32">
        <v>12.6814</v>
      </c>
      <c r="Q347" s="32">
        <v>1.1860999999999999</v>
      </c>
      <c r="R347" s="32">
        <v>98.935000000000002</v>
      </c>
      <c r="S347" s="32">
        <v>2.6301000000000001</v>
      </c>
      <c r="T347" s="32">
        <v>40.749699999999997</v>
      </c>
      <c r="U347" s="32">
        <v>3.0893000000000002</v>
      </c>
      <c r="V347" s="32">
        <v>30.0642</v>
      </c>
      <c r="W347" s="32">
        <v>3.7507000000000001</v>
      </c>
      <c r="X347" s="32">
        <v>8.8938000000000006</v>
      </c>
      <c r="Y347" s="32">
        <v>1088.1400000000001</v>
      </c>
      <c r="Z347" s="32">
        <v>0.73939999999999995</v>
      </c>
      <c r="AA347" s="32">
        <v>1.762</v>
      </c>
      <c r="AB347" s="32">
        <v>4.3018000000000001</v>
      </c>
    </row>
    <row r="348" spans="1:28" ht="15" customHeight="1" x14ac:dyDescent="0.2">
      <c r="A348" s="33">
        <v>41312</v>
      </c>
      <c r="B348" s="32">
        <v>4.9874000000000001</v>
      </c>
      <c r="C348" s="32">
        <v>0.96750000000000003</v>
      </c>
      <c r="D348" s="32">
        <v>1.9881</v>
      </c>
      <c r="E348" s="32">
        <v>473.351</v>
      </c>
      <c r="F348" s="32">
        <v>6.2965</v>
      </c>
      <c r="G348" s="32">
        <v>1793</v>
      </c>
      <c r="H348" s="32">
        <v>18.894300000000001</v>
      </c>
      <c r="I348" s="32">
        <v>40.970300000000002</v>
      </c>
      <c r="J348" s="32">
        <v>7.7542999999999997</v>
      </c>
      <c r="K348" s="32">
        <v>217.369</v>
      </c>
      <c r="L348" s="32">
        <v>53.141100000000002</v>
      </c>
      <c r="M348" s="32">
        <v>9727.6299999999992</v>
      </c>
      <c r="N348" s="32">
        <v>3.6928999999999998</v>
      </c>
      <c r="O348" s="32">
        <v>3.0989</v>
      </c>
      <c r="P348" s="32">
        <v>12.6569</v>
      </c>
      <c r="Q348" s="32">
        <v>1.1860999999999999</v>
      </c>
      <c r="R348" s="32">
        <v>98.651300000000006</v>
      </c>
      <c r="S348" s="32">
        <v>2.621</v>
      </c>
      <c r="T348" s="32">
        <v>40.795499999999997</v>
      </c>
      <c r="U348" s="32">
        <v>3.0876999999999999</v>
      </c>
      <c r="V348" s="32">
        <v>30.032599999999999</v>
      </c>
      <c r="W348" s="32">
        <v>3.7507000000000001</v>
      </c>
      <c r="X348" s="32">
        <v>8.8780999999999999</v>
      </c>
      <c r="Y348" s="32">
        <v>1089.92</v>
      </c>
      <c r="Z348" s="32">
        <v>0.73809999999999998</v>
      </c>
      <c r="AA348" s="32">
        <v>1.7649999999999999</v>
      </c>
      <c r="AB348" s="32">
        <v>4.3007999999999997</v>
      </c>
    </row>
    <row r="349" spans="1:28" ht="15" customHeight="1" x14ac:dyDescent="0.2">
      <c r="A349" s="33">
        <v>41313</v>
      </c>
      <c r="B349" s="32">
        <v>4.9917999999999996</v>
      </c>
      <c r="C349" s="32">
        <v>0.96960000000000002</v>
      </c>
      <c r="D349" s="32">
        <v>1.9836</v>
      </c>
      <c r="E349" s="32">
        <v>472.928</v>
      </c>
      <c r="F349" s="32">
        <v>6.2972000000000001</v>
      </c>
      <c r="G349" s="32">
        <v>1793.42</v>
      </c>
      <c r="H349" s="32">
        <v>18.766999999999999</v>
      </c>
      <c r="I349" s="32">
        <v>41.122399999999999</v>
      </c>
      <c r="J349" s="32">
        <v>7.7550999999999997</v>
      </c>
      <c r="K349" s="32">
        <v>217.93799999999999</v>
      </c>
      <c r="L349" s="32">
        <v>53.298699999999997</v>
      </c>
      <c r="M349" s="32">
        <v>9727.6299999999992</v>
      </c>
      <c r="N349" s="32">
        <v>3.6941999999999999</v>
      </c>
      <c r="O349" s="32">
        <v>3.0975999999999999</v>
      </c>
      <c r="P349" s="32">
        <v>12.695499999999999</v>
      </c>
      <c r="Q349" s="32">
        <v>1.1969000000000001</v>
      </c>
      <c r="R349" s="32">
        <v>98.795000000000002</v>
      </c>
      <c r="S349" s="32">
        <v>2.6217999999999999</v>
      </c>
      <c r="T349" s="32">
        <v>40.798699999999997</v>
      </c>
      <c r="U349" s="32">
        <v>3.0992999999999999</v>
      </c>
      <c r="V349" s="32">
        <v>30.125800000000002</v>
      </c>
      <c r="W349" s="32">
        <v>3.7507000000000001</v>
      </c>
      <c r="X349" s="32">
        <v>8.9099000000000004</v>
      </c>
      <c r="Y349" s="32">
        <v>1090.6300000000001</v>
      </c>
      <c r="Z349" s="32">
        <v>0.74109999999999998</v>
      </c>
      <c r="AA349" s="32">
        <v>1.7708999999999999</v>
      </c>
      <c r="AB349" s="32">
        <v>4.3000999999999996</v>
      </c>
    </row>
    <row r="350" spans="1:28" ht="15" customHeight="1" x14ac:dyDescent="0.2">
      <c r="A350" s="33">
        <v>41314</v>
      </c>
      <c r="B350" s="32">
        <v>4.9984999999999999</v>
      </c>
      <c r="C350" s="32">
        <v>0.97040000000000004</v>
      </c>
      <c r="D350" s="32">
        <v>1.9696</v>
      </c>
      <c r="E350" s="32">
        <v>472.642</v>
      </c>
      <c r="F350" s="32">
        <v>6.2953999999999999</v>
      </c>
      <c r="G350" s="32">
        <v>1791</v>
      </c>
      <c r="H350" s="32">
        <v>18.861599999999999</v>
      </c>
      <c r="I350" s="32">
        <v>41.275100000000002</v>
      </c>
      <c r="J350" s="32">
        <v>7.7557</v>
      </c>
      <c r="K350" s="32">
        <v>218.2</v>
      </c>
      <c r="L350" s="32">
        <v>53.654299999999999</v>
      </c>
      <c r="M350" s="32">
        <v>9699.32</v>
      </c>
      <c r="N350" s="32">
        <v>3.6981999999999999</v>
      </c>
      <c r="O350" s="32">
        <v>3.1012</v>
      </c>
      <c r="P350" s="32">
        <v>12.733599999999999</v>
      </c>
      <c r="Q350" s="32">
        <v>1.1972</v>
      </c>
      <c r="R350" s="32">
        <v>99.503799999999998</v>
      </c>
      <c r="S350" s="32">
        <v>2.6398000000000001</v>
      </c>
      <c r="T350" s="32">
        <v>40.809100000000001</v>
      </c>
      <c r="U350" s="32">
        <v>3.1105999999999998</v>
      </c>
      <c r="V350" s="32">
        <v>30.198699999999999</v>
      </c>
      <c r="W350" s="32">
        <v>3.7507000000000001</v>
      </c>
      <c r="X350" s="32">
        <v>8.9148999999999994</v>
      </c>
      <c r="Y350" s="32">
        <v>1096.01</v>
      </c>
      <c r="Z350" s="32">
        <v>0.74670000000000003</v>
      </c>
      <c r="AA350" s="32">
        <v>1.7725</v>
      </c>
      <c r="AB350" s="32">
        <v>4.3000999999999996</v>
      </c>
    </row>
    <row r="351" spans="1:28" ht="15" customHeight="1" x14ac:dyDescent="0.2">
      <c r="A351" s="33">
        <v>41315</v>
      </c>
      <c r="B351" s="32">
        <v>5.0423999999999998</v>
      </c>
      <c r="C351" s="32">
        <v>0.96940000000000004</v>
      </c>
      <c r="D351" s="32">
        <v>1.9754</v>
      </c>
      <c r="E351" s="32">
        <v>472.642</v>
      </c>
      <c r="F351" s="32">
        <v>6.2968000000000002</v>
      </c>
      <c r="G351" s="32">
        <v>1791</v>
      </c>
      <c r="H351" s="32">
        <v>18.899000000000001</v>
      </c>
      <c r="I351" s="32">
        <v>41.188000000000002</v>
      </c>
      <c r="J351" s="32">
        <v>7.7557</v>
      </c>
      <c r="K351" s="32">
        <v>217.90899999999999</v>
      </c>
      <c r="L351" s="32">
        <v>53.920999999999999</v>
      </c>
      <c r="M351" s="32">
        <v>9689.92</v>
      </c>
      <c r="N351" s="32">
        <v>3.6949000000000001</v>
      </c>
      <c r="O351" s="32">
        <v>3.1280999999999999</v>
      </c>
      <c r="P351" s="32">
        <v>12.7281</v>
      </c>
      <c r="Q351" s="32">
        <v>1.1976</v>
      </c>
      <c r="R351" s="32">
        <v>99.474999999999994</v>
      </c>
      <c r="S351" s="32">
        <v>2.6473</v>
      </c>
      <c r="T351" s="32">
        <v>40.816499999999998</v>
      </c>
      <c r="U351" s="32">
        <v>3.1084000000000001</v>
      </c>
      <c r="V351" s="32">
        <v>30.191199999999998</v>
      </c>
      <c r="W351" s="32">
        <v>3.7553000000000001</v>
      </c>
      <c r="X351" s="32">
        <v>8.8879999999999999</v>
      </c>
      <c r="Y351" s="32">
        <v>1106.56</v>
      </c>
      <c r="Z351" s="32">
        <v>0.74850000000000005</v>
      </c>
      <c r="AA351" s="32">
        <v>1.7725</v>
      </c>
      <c r="AB351" s="32">
        <v>4.3000999999999996</v>
      </c>
    </row>
    <row r="352" spans="1:28" ht="15" customHeight="1" x14ac:dyDescent="0.2">
      <c r="A352" s="33">
        <v>41316</v>
      </c>
      <c r="B352" s="32">
        <v>5.0038</v>
      </c>
      <c r="C352" s="32">
        <v>0.96950000000000003</v>
      </c>
      <c r="D352" s="32">
        <v>1.9744999999999999</v>
      </c>
      <c r="E352" s="32">
        <v>473.7</v>
      </c>
      <c r="F352" s="32">
        <v>6.2968000000000002</v>
      </c>
      <c r="G352" s="32">
        <v>1793</v>
      </c>
      <c r="H352" s="32">
        <v>18.900700000000001</v>
      </c>
      <c r="I352" s="32">
        <v>40.65</v>
      </c>
      <c r="J352" s="32">
        <v>7.7557</v>
      </c>
      <c r="K352" s="32">
        <v>217.982</v>
      </c>
      <c r="L352" s="32">
        <v>53.920999999999999</v>
      </c>
      <c r="M352" s="32">
        <v>9689.92</v>
      </c>
      <c r="N352" s="32">
        <v>3.6970000000000001</v>
      </c>
      <c r="O352" s="32">
        <v>3.1741000000000001</v>
      </c>
      <c r="P352" s="32">
        <v>12.7279</v>
      </c>
      <c r="Q352" s="32">
        <v>1.1976</v>
      </c>
      <c r="R352" s="32">
        <v>98.02</v>
      </c>
      <c r="S352" s="32">
        <v>2.5825</v>
      </c>
      <c r="T352" s="32">
        <v>40.799999999999997</v>
      </c>
      <c r="U352" s="32">
        <v>3.1065999999999998</v>
      </c>
      <c r="V352" s="32">
        <v>30.184899999999999</v>
      </c>
      <c r="W352" s="32">
        <v>3.7553000000000001</v>
      </c>
      <c r="X352" s="32">
        <v>8.8879999999999999</v>
      </c>
      <c r="Y352" s="32">
        <v>1123.22</v>
      </c>
      <c r="Z352" s="32">
        <v>0.74850000000000005</v>
      </c>
      <c r="AA352" s="32">
        <v>1.7716000000000001</v>
      </c>
      <c r="AB352" s="32">
        <v>4.3000999999999996</v>
      </c>
    </row>
    <row r="353" spans="1:28" ht="15" customHeight="1" x14ac:dyDescent="0.2">
      <c r="A353" s="33">
        <v>41317</v>
      </c>
      <c r="B353" s="32">
        <v>4.9988999999999999</v>
      </c>
      <c r="C353" s="32">
        <v>0.97170000000000001</v>
      </c>
      <c r="D353" s="32">
        <v>1.9731000000000001</v>
      </c>
      <c r="E353" s="32">
        <v>472.86900000000003</v>
      </c>
      <c r="F353" s="32">
        <v>6.2958999999999996</v>
      </c>
      <c r="G353" s="32">
        <v>1786</v>
      </c>
      <c r="H353" s="32">
        <v>18.872900000000001</v>
      </c>
      <c r="I353" s="32">
        <v>40.942700000000002</v>
      </c>
      <c r="J353" s="32">
        <v>7.7556000000000003</v>
      </c>
      <c r="K353" s="32">
        <v>217.47300000000001</v>
      </c>
      <c r="L353" s="32">
        <v>53.893099999999997</v>
      </c>
      <c r="M353" s="32">
        <v>9652.51</v>
      </c>
      <c r="N353" s="32">
        <v>3.6981000000000002</v>
      </c>
      <c r="O353" s="32">
        <v>3.1154000000000002</v>
      </c>
      <c r="P353" s="32">
        <v>12.759600000000001</v>
      </c>
      <c r="Q353" s="32">
        <v>1.1986000000000001</v>
      </c>
      <c r="R353" s="32">
        <v>98.592200000000005</v>
      </c>
      <c r="S353" s="32">
        <v>2.5992999999999999</v>
      </c>
      <c r="T353" s="32">
        <v>40.813200000000002</v>
      </c>
      <c r="U353" s="32">
        <v>3.1040999999999999</v>
      </c>
      <c r="V353" s="32">
        <v>30.1846</v>
      </c>
      <c r="W353" s="32">
        <v>3.7509000000000001</v>
      </c>
      <c r="X353" s="32">
        <v>8.9001999999999999</v>
      </c>
      <c r="Y353" s="32">
        <v>1102.05</v>
      </c>
      <c r="Z353" s="32">
        <v>0.74719999999999998</v>
      </c>
      <c r="AA353" s="32">
        <v>1.7736000000000001</v>
      </c>
      <c r="AB353" s="32">
        <v>6.3051000000000004</v>
      </c>
    </row>
    <row r="354" spans="1:28" ht="15" customHeight="1" x14ac:dyDescent="0.2">
      <c r="A354" s="33">
        <v>41318</v>
      </c>
      <c r="B354" s="32">
        <v>4.9991000000000003</v>
      </c>
      <c r="C354" s="32">
        <v>0.97409999999999997</v>
      </c>
      <c r="D354" s="32">
        <v>1.9734</v>
      </c>
      <c r="E354" s="32">
        <v>472.339</v>
      </c>
      <c r="F354" s="32">
        <v>6.2957000000000001</v>
      </c>
      <c r="G354" s="32">
        <v>1785</v>
      </c>
      <c r="H354" s="32">
        <v>18.866199999999999</v>
      </c>
      <c r="I354" s="32">
        <v>41.124400000000001</v>
      </c>
      <c r="J354" s="32">
        <v>7.7556000000000003</v>
      </c>
      <c r="K354" s="32">
        <v>217.01900000000001</v>
      </c>
      <c r="L354" s="32">
        <v>54.041400000000003</v>
      </c>
      <c r="M354" s="32">
        <v>9661.84</v>
      </c>
      <c r="N354" s="32">
        <v>3.6991000000000001</v>
      </c>
      <c r="O354" s="32">
        <v>3.1015000000000001</v>
      </c>
      <c r="P354" s="32">
        <v>12.747</v>
      </c>
      <c r="Q354" s="32">
        <v>1.1949000000000001</v>
      </c>
      <c r="R354" s="32">
        <v>98.907200000000003</v>
      </c>
      <c r="S354" s="32">
        <v>2.6255000000000002</v>
      </c>
      <c r="T354" s="32">
        <v>40.821300000000001</v>
      </c>
      <c r="U354" s="32">
        <v>3.1063999999999998</v>
      </c>
      <c r="V354" s="32">
        <v>30.1433</v>
      </c>
      <c r="W354" s="32">
        <v>3.7505999999999999</v>
      </c>
      <c r="X354" s="32">
        <v>8.9428999999999998</v>
      </c>
      <c r="Y354" s="32">
        <v>1094.57</v>
      </c>
      <c r="Z354" s="32">
        <v>0.74539999999999995</v>
      </c>
      <c r="AA354" s="32">
        <v>1.7755000000000001</v>
      </c>
      <c r="AB354" s="32">
        <v>6.3056000000000001</v>
      </c>
    </row>
    <row r="355" spans="1:28" ht="15" customHeight="1" x14ac:dyDescent="0.2">
      <c r="A355" s="33">
        <v>41319</v>
      </c>
      <c r="B355" s="32">
        <v>5.0057</v>
      </c>
      <c r="C355" s="32">
        <v>0.96730000000000005</v>
      </c>
      <c r="D355" s="32">
        <v>1.9685999999999999</v>
      </c>
      <c r="E355" s="32">
        <v>471.303</v>
      </c>
      <c r="F355" s="32">
        <v>6.2945000000000002</v>
      </c>
      <c r="G355" s="32">
        <v>1779.1</v>
      </c>
      <c r="H355" s="32">
        <v>18.875699999999998</v>
      </c>
      <c r="I355" s="32">
        <v>40.852899999999998</v>
      </c>
      <c r="J355" s="32">
        <v>7.7560000000000002</v>
      </c>
      <c r="K355" s="32">
        <v>215.548</v>
      </c>
      <c r="L355" s="32">
        <v>53.883699999999997</v>
      </c>
      <c r="M355" s="32">
        <v>9671.18</v>
      </c>
      <c r="N355" s="32">
        <v>3.6857000000000002</v>
      </c>
      <c r="O355" s="32">
        <v>3.0935000000000001</v>
      </c>
      <c r="P355" s="32">
        <v>12.688599999999999</v>
      </c>
      <c r="Q355" s="32">
        <v>1.1890000000000001</v>
      </c>
      <c r="R355" s="32">
        <v>98.376999999999995</v>
      </c>
      <c r="S355" s="32">
        <v>2.5842000000000001</v>
      </c>
      <c r="T355" s="32">
        <v>40.764200000000002</v>
      </c>
      <c r="U355" s="32">
        <v>3.0924999999999998</v>
      </c>
      <c r="V355" s="32">
        <v>30.069500000000001</v>
      </c>
      <c r="W355" s="32">
        <v>3.7505999999999999</v>
      </c>
      <c r="X355" s="32">
        <v>8.8932000000000002</v>
      </c>
      <c r="Y355" s="32">
        <v>1087.55</v>
      </c>
      <c r="Z355" s="32">
        <v>0.74309999999999998</v>
      </c>
      <c r="AA355" s="32">
        <v>1.7650999999999999</v>
      </c>
      <c r="AB355" s="32">
        <v>6.2991000000000001</v>
      </c>
    </row>
    <row r="356" spans="1:28" ht="15" customHeight="1" x14ac:dyDescent="0.2">
      <c r="A356" s="33">
        <v>41320</v>
      </c>
      <c r="B356" s="32">
        <v>5.0077999999999996</v>
      </c>
      <c r="C356" s="32">
        <v>0.96609999999999996</v>
      </c>
      <c r="D356" s="32">
        <v>1.9655</v>
      </c>
      <c r="E356" s="32">
        <v>471.35</v>
      </c>
      <c r="F356" s="32">
        <v>6.2907999999999999</v>
      </c>
      <c r="G356" s="32">
        <v>1784</v>
      </c>
      <c r="H356" s="32">
        <v>18.969200000000001</v>
      </c>
      <c r="I356" s="32">
        <v>41.161799999999999</v>
      </c>
      <c r="J356" s="32">
        <v>7.7553999999999998</v>
      </c>
      <c r="K356" s="32">
        <v>217.755</v>
      </c>
      <c r="L356" s="32">
        <v>53.924900000000001</v>
      </c>
      <c r="M356" s="32">
        <v>9689.92</v>
      </c>
      <c r="N356" s="32">
        <v>3.6856</v>
      </c>
      <c r="O356" s="32">
        <v>3.0920999999999998</v>
      </c>
      <c r="P356" s="32">
        <v>12.6972</v>
      </c>
      <c r="Q356" s="32">
        <v>1.1800999999999999</v>
      </c>
      <c r="R356" s="32">
        <v>99.131799999999998</v>
      </c>
      <c r="S356" s="32">
        <v>2.5880999999999998</v>
      </c>
      <c r="T356" s="32">
        <v>40.753100000000003</v>
      </c>
      <c r="U356" s="32">
        <v>3.1150000000000002</v>
      </c>
      <c r="V356" s="32">
        <v>30.1158</v>
      </c>
      <c r="W356" s="32">
        <v>3.7505999999999999</v>
      </c>
      <c r="X356" s="32">
        <v>8.8582999999999998</v>
      </c>
      <c r="Y356" s="32">
        <v>1086.1300000000001</v>
      </c>
      <c r="Z356" s="32">
        <v>0.74690000000000001</v>
      </c>
      <c r="AA356" s="32">
        <v>1.7676000000000001</v>
      </c>
      <c r="AB356" s="32">
        <v>6.2987000000000002</v>
      </c>
    </row>
    <row r="357" spans="1:28" ht="15" customHeight="1" x14ac:dyDescent="0.2">
      <c r="A357" s="33">
        <v>41321</v>
      </c>
      <c r="B357" s="32">
        <v>5.01</v>
      </c>
      <c r="C357" s="32">
        <v>0.96709999999999996</v>
      </c>
      <c r="D357" s="32">
        <v>1.962</v>
      </c>
      <c r="E357" s="32">
        <v>471.62</v>
      </c>
      <c r="F357" s="32">
        <v>6.2892999999999999</v>
      </c>
      <c r="G357" s="32">
        <v>1787.5</v>
      </c>
      <c r="H357" s="32">
        <v>19.019300000000001</v>
      </c>
      <c r="I357" s="32">
        <v>41.190800000000003</v>
      </c>
      <c r="J357" s="32">
        <v>7.7546999999999997</v>
      </c>
      <c r="K357" s="32">
        <v>218.92400000000001</v>
      </c>
      <c r="L357" s="32">
        <v>54.159300000000002</v>
      </c>
      <c r="M357" s="32">
        <v>9699.32</v>
      </c>
      <c r="N357" s="32">
        <v>3.6890000000000001</v>
      </c>
      <c r="O357" s="32">
        <v>3.0971000000000002</v>
      </c>
      <c r="P357" s="32">
        <v>12.6967</v>
      </c>
      <c r="Q357" s="32">
        <v>1.1777</v>
      </c>
      <c r="R357" s="32">
        <v>98.502300000000005</v>
      </c>
      <c r="S357" s="32">
        <v>2.617</v>
      </c>
      <c r="T357" s="32">
        <v>40.728099999999998</v>
      </c>
      <c r="U357" s="32">
        <v>3.1337999999999999</v>
      </c>
      <c r="V357" s="32">
        <v>30.139800000000001</v>
      </c>
      <c r="W357" s="32">
        <v>3.7505999999999999</v>
      </c>
      <c r="X357" s="32">
        <v>8.8155000000000001</v>
      </c>
      <c r="Y357" s="32">
        <v>1080.3800000000001</v>
      </c>
      <c r="Z357" s="32">
        <v>0.749</v>
      </c>
      <c r="AA357" s="32">
        <v>1.7688999999999999</v>
      </c>
      <c r="AB357" s="32">
        <v>6.2973999999999997</v>
      </c>
    </row>
    <row r="358" spans="1:28" ht="15" customHeight="1" x14ac:dyDescent="0.2">
      <c r="A358" s="33">
        <v>41322</v>
      </c>
      <c r="B358" s="32">
        <v>5.0444000000000004</v>
      </c>
      <c r="C358" s="32">
        <v>0.97070000000000001</v>
      </c>
      <c r="D358" s="32">
        <v>1.9704999999999999</v>
      </c>
      <c r="E358" s="32">
        <v>471.62</v>
      </c>
      <c r="F358" s="32">
        <v>6.2923999999999998</v>
      </c>
      <c r="G358" s="32">
        <v>1787.5</v>
      </c>
      <c r="H358" s="32">
        <v>19.046900000000001</v>
      </c>
      <c r="I358" s="32">
        <v>41.197699999999998</v>
      </c>
      <c r="J358" s="32">
        <v>7.7549999999999999</v>
      </c>
      <c r="K358" s="32">
        <v>219.36099999999999</v>
      </c>
      <c r="L358" s="32">
        <v>54.509</v>
      </c>
      <c r="M358" s="32">
        <v>9689.92</v>
      </c>
      <c r="N358" s="32">
        <v>3.6981999999999999</v>
      </c>
      <c r="O358" s="32">
        <v>3.1034999999999999</v>
      </c>
      <c r="P358" s="32">
        <v>12.6966</v>
      </c>
      <c r="Q358" s="32">
        <v>1.1843999999999999</v>
      </c>
      <c r="R358" s="32">
        <v>99.007599999999996</v>
      </c>
      <c r="S358" s="32">
        <v>2.6229</v>
      </c>
      <c r="T358" s="32">
        <v>40.713500000000003</v>
      </c>
      <c r="U358" s="32">
        <v>3.137</v>
      </c>
      <c r="V358" s="32">
        <v>30.1204</v>
      </c>
      <c r="W358" s="32">
        <v>3.7551999999999999</v>
      </c>
      <c r="X358" s="32">
        <v>8.8611000000000004</v>
      </c>
      <c r="Y358" s="32">
        <v>1082.25</v>
      </c>
      <c r="Z358" s="32">
        <v>0.74860000000000004</v>
      </c>
      <c r="AA358" s="32">
        <v>1.7690999999999999</v>
      </c>
      <c r="AB358" s="32">
        <v>6.2973999999999997</v>
      </c>
    </row>
    <row r="359" spans="1:28" ht="15" customHeight="1" x14ac:dyDescent="0.2">
      <c r="A359" s="33">
        <v>41323</v>
      </c>
      <c r="B359" s="32">
        <v>5.0206999999999997</v>
      </c>
      <c r="C359" s="32">
        <v>0.97070000000000001</v>
      </c>
      <c r="D359" s="32">
        <v>1.9702999999999999</v>
      </c>
      <c r="E359" s="32">
        <v>472.2</v>
      </c>
      <c r="F359" s="32">
        <v>6.2923999999999998</v>
      </c>
      <c r="G359" s="32">
        <v>1789</v>
      </c>
      <c r="H359" s="32">
        <v>19.052800000000001</v>
      </c>
      <c r="I359" s="32">
        <v>40.799999999999997</v>
      </c>
      <c r="J359" s="32">
        <v>7.7549999999999999</v>
      </c>
      <c r="K359" s="32">
        <v>219.517</v>
      </c>
      <c r="L359" s="32">
        <v>54.509</v>
      </c>
      <c r="M359" s="32">
        <v>9675</v>
      </c>
      <c r="N359" s="32">
        <v>3.6951999999999998</v>
      </c>
      <c r="O359" s="32">
        <v>3.1496</v>
      </c>
      <c r="P359" s="32">
        <v>12.6967</v>
      </c>
      <c r="Q359" s="32">
        <v>1.1843999999999999</v>
      </c>
      <c r="R359" s="32">
        <v>98.22</v>
      </c>
      <c r="S359" s="32">
        <v>2.57</v>
      </c>
      <c r="T359" s="32">
        <v>40.700000000000003</v>
      </c>
      <c r="U359" s="32">
        <v>3.1366000000000001</v>
      </c>
      <c r="V359" s="32">
        <v>29.991</v>
      </c>
      <c r="W359" s="32">
        <v>3.7551999999999999</v>
      </c>
      <c r="X359" s="32">
        <v>8.8611000000000004</v>
      </c>
      <c r="Y359" s="32">
        <v>1097.45</v>
      </c>
      <c r="Z359" s="32">
        <v>0.74860000000000004</v>
      </c>
      <c r="AA359" s="32">
        <v>1.7695000000000001</v>
      </c>
      <c r="AB359" s="32">
        <v>6.2911999999999999</v>
      </c>
    </row>
    <row r="360" spans="1:28" ht="15" customHeight="1" x14ac:dyDescent="0.2">
      <c r="A360" s="33">
        <v>41324</v>
      </c>
      <c r="B360" s="32">
        <v>5.0260999999999996</v>
      </c>
      <c r="C360" s="32">
        <v>0.97130000000000005</v>
      </c>
      <c r="D360" s="32">
        <v>1.9692000000000001</v>
      </c>
      <c r="E360" s="32">
        <v>472.2</v>
      </c>
      <c r="F360" s="32">
        <v>6.2915999999999999</v>
      </c>
      <c r="G360" s="32">
        <v>1793</v>
      </c>
      <c r="H360" s="32">
        <v>19.040600000000001</v>
      </c>
      <c r="I360" s="32">
        <v>41.155500000000004</v>
      </c>
      <c r="J360" s="32">
        <v>7.7546999999999997</v>
      </c>
      <c r="K360" s="32">
        <v>219.06100000000001</v>
      </c>
      <c r="L360" s="32">
        <v>54.427199999999999</v>
      </c>
      <c r="M360" s="32">
        <v>9737.1</v>
      </c>
      <c r="N360" s="32">
        <v>3.6905000000000001</v>
      </c>
      <c r="O360" s="32">
        <v>3.1101000000000001</v>
      </c>
      <c r="P360" s="32">
        <v>12.6919</v>
      </c>
      <c r="Q360" s="32">
        <v>1.1842999999999999</v>
      </c>
      <c r="R360" s="32">
        <v>98.888999999999996</v>
      </c>
      <c r="S360" s="32">
        <v>2.6109</v>
      </c>
      <c r="T360" s="32">
        <v>40.758499999999998</v>
      </c>
      <c r="U360" s="32">
        <v>3.1400999999999999</v>
      </c>
      <c r="V360" s="32">
        <v>30.144300000000001</v>
      </c>
      <c r="W360" s="32">
        <v>3.7509000000000001</v>
      </c>
      <c r="X360" s="32">
        <v>8.8678000000000008</v>
      </c>
      <c r="Y360" s="32">
        <v>1086.3699999999999</v>
      </c>
      <c r="Z360" s="32">
        <v>0.74929999999999997</v>
      </c>
      <c r="AA360" s="32">
        <v>1.7682</v>
      </c>
      <c r="AB360" s="32">
        <v>6.2976000000000001</v>
      </c>
    </row>
    <row r="361" spans="1:28" ht="15" customHeight="1" x14ac:dyDescent="0.2">
      <c r="A361" s="33">
        <v>41325</v>
      </c>
      <c r="B361" s="32">
        <v>5.0179</v>
      </c>
      <c r="C361" s="32">
        <v>0.96779999999999999</v>
      </c>
      <c r="D361" s="32">
        <v>1.9623999999999999</v>
      </c>
      <c r="E361" s="32">
        <v>472.45800000000003</v>
      </c>
      <c r="F361" s="32">
        <v>6.2914000000000003</v>
      </c>
      <c r="G361" s="32">
        <v>1801</v>
      </c>
      <c r="H361" s="32">
        <v>19.014199999999999</v>
      </c>
      <c r="I361" s="32">
        <v>41.174900000000001</v>
      </c>
      <c r="J361" s="32">
        <v>7.7548000000000004</v>
      </c>
      <c r="K361" s="32">
        <v>218.11600000000001</v>
      </c>
      <c r="L361" s="32">
        <v>54.362900000000003</v>
      </c>
      <c r="M361" s="32">
        <v>9727.6299999999992</v>
      </c>
      <c r="N361" s="32">
        <v>3.6886000000000001</v>
      </c>
      <c r="O361" s="32">
        <v>3.1038999999999999</v>
      </c>
      <c r="P361" s="32">
        <v>12.688800000000001</v>
      </c>
      <c r="Q361" s="32">
        <v>1.1834</v>
      </c>
      <c r="R361" s="32">
        <v>98.995599999999996</v>
      </c>
      <c r="S361" s="32">
        <v>2.6158999999999999</v>
      </c>
      <c r="T361" s="32">
        <v>40.752299999999998</v>
      </c>
      <c r="U361" s="32">
        <v>3.1305999999999998</v>
      </c>
      <c r="V361" s="32">
        <v>30.133199999999999</v>
      </c>
      <c r="W361" s="32">
        <v>3.7507000000000001</v>
      </c>
      <c r="X361" s="32">
        <v>8.8958999999999993</v>
      </c>
      <c r="Y361" s="32">
        <v>1082.1300000000001</v>
      </c>
      <c r="Z361" s="32">
        <v>0.74870000000000003</v>
      </c>
      <c r="AA361" s="32">
        <v>1.7716000000000001</v>
      </c>
      <c r="AB361" s="32">
        <v>6.2977999999999996</v>
      </c>
    </row>
    <row r="362" spans="1:28" ht="15" customHeight="1" x14ac:dyDescent="0.2">
      <c r="A362" s="33">
        <v>41326</v>
      </c>
      <c r="B362" s="32">
        <v>5.0254000000000003</v>
      </c>
      <c r="C362" s="32">
        <v>0.96850000000000003</v>
      </c>
      <c r="D362" s="32">
        <v>1.9591000000000001</v>
      </c>
      <c r="E362" s="32">
        <v>473.209</v>
      </c>
      <c r="F362" s="32">
        <v>6.2884000000000002</v>
      </c>
      <c r="G362" s="32">
        <v>1792</v>
      </c>
      <c r="H362" s="32">
        <v>18.978100000000001</v>
      </c>
      <c r="I362" s="32">
        <v>41.196399999999997</v>
      </c>
      <c r="J362" s="32">
        <v>7.7545999999999999</v>
      </c>
      <c r="K362" s="32">
        <v>217.739</v>
      </c>
      <c r="L362" s="32">
        <v>54.212400000000002</v>
      </c>
      <c r="M362" s="32">
        <v>9718.17</v>
      </c>
      <c r="N362" s="32">
        <v>3.6722999999999999</v>
      </c>
      <c r="O362" s="32">
        <v>3.0996000000000001</v>
      </c>
      <c r="P362" s="32">
        <v>12.6569</v>
      </c>
      <c r="Q362" s="32">
        <v>1.1906000000000001</v>
      </c>
      <c r="R362" s="32">
        <v>98.4114</v>
      </c>
      <c r="S362" s="32">
        <v>2.6156000000000001</v>
      </c>
      <c r="T362" s="32">
        <v>40.742600000000003</v>
      </c>
      <c r="U362" s="32">
        <v>3.1141000000000001</v>
      </c>
      <c r="V362" s="32">
        <v>30.1173</v>
      </c>
      <c r="W362" s="32">
        <v>3.7507000000000001</v>
      </c>
      <c r="X362" s="32">
        <v>8.8696000000000002</v>
      </c>
      <c r="Y362" s="32">
        <v>1080.26</v>
      </c>
      <c r="Z362" s="32">
        <v>0.74709999999999999</v>
      </c>
      <c r="AA362" s="32">
        <v>1.7789999999999999</v>
      </c>
      <c r="AB362" s="32">
        <v>6.2979000000000003</v>
      </c>
    </row>
    <row r="363" spans="1:28" ht="15" customHeight="1" x14ac:dyDescent="0.2">
      <c r="A363" s="33">
        <v>41327</v>
      </c>
      <c r="B363" s="32">
        <v>5.0290999999999997</v>
      </c>
      <c r="C363" s="32">
        <v>0.97599999999999998</v>
      </c>
      <c r="D363" s="32">
        <v>1.968</v>
      </c>
      <c r="E363" s="32">
        <v>473.77800000000002</v>
      </c>
      <c r="F363" s="32">
        <v>6.2918000000000003</v>
      </c>
      <c r="G363" s="32">
        <v>1800.72</v>
      </c>
      <c r="H363" s="32">
        <v>19.244499999999999</v>
      </c>
      <c r="I363" s="32">
        <v>41.330800000000004</v>
      </c>
      <c r="J363" s="32">
        <v>7.7557</v>
      </c>
      <c r="K363" s="32">
        <v>221.01599999999999</v>
      </c>
      <c r="L363" s="32">
        <v>54.578699999999998</v>
      </c>
      <c r="M363" s="32">
        <v>9727.6299999999992</v>
      </c>
      <c r="N363" s="32">
        <v>3.6871</v>
      </c>
      <c r="O363" s="32">
        <v>3.1112000000000002</v>
      </c>
      <c r="P363" s="32">
        <v>12.7568</v>
      </c>
      <c r="Q363" s="32">
        <v>1.1983999999999999</v>
      </c>
      <c r="R363" s="32">
        <v>99.441299999999998</v>
      </c>
      <c r="S363" s="32">
        <v>2.637</v>
      </c>
      <c r="T363" s="32">
        <v>40.860599999999998</v>
      </c>
      <c r="U363" s="32">
        <v>3.1524000000000001</v>
      </c>
      <c r="V363" s="32">
        <v>30.361499999999999</v>
      </c>
      <c r="W363" s="32">
        <v>3.7507000000000001</v>
      </c>
      <c r="X363" s="32">
        <v>8.9158000000000008</v>
      </c>
      <c r="Y363" s="32">
        <v>1086.8399999999999</v>
      </c>
      <c r="Z363" s="32">
        <v>0.75580000000000003</v>
      </c>
      <c r="AA363" s="32">
        <v>1.7905</v>
      </c>
      <c r="AB363" s="32">
        <v>6.2972999999999999</v>
      </c>
    </row>
    <row r="364" spans="1:28" ht="15" customHeight="1" x14ac:dyDescent="0.2">
      <c r="A364" s="33">
        <v>41328</v>
      </c>
      <c r="B364" s="32">
        <v>5.0323000000000002</v>
      </c>
      <c r="C364" s="32">
        <v>0.97040000000000004</v>
      </c>
      <c r="D364" s="32">
        <v>1.974</v>
      </c>
      <c r="E364" s="32">
        <v>473.52100000000002</v>
      </c>
      <c r="F364" s="32">
        <v>6.2915999999999999</v>
      </c>
      <c r="G364" s="32">
        <v>1807</v>
      </c>
      <c r="H364" s="32">
        <v>19.338200000000001</v>
      </c>
      <c r="I364" s="32">
        <v>41.376399999999997</v>
      </c>
      <c r="J364" s="32">
        <v>7.7563000000000004</v>
      </c>
      <c r="K364" s="32">
        <v>222.53</v>
      </c>
      <c r="L364" s="32">
        <v>54.497799999999998</v>
      </c>
      <c r="M364" s="32">
        <v>9737.1</v>
      </c>
      <c r="N364" s="32">
        <v>3.7113999999999998</v>
      </c>
      <c r="O364" s="32">
        <v>3.1057999999999999</v>
      </c>
      <c r="P364" s="32">
        <v>12.7401</v>
      </c>
      <c r="Q364" s="32">
        <v>1.1950000000000001</v>
      </c>
      <c r="R364" s="32">
        <v>99.297499999999999</v>
      </c>
      <c r="S364" s="32">
        <v>2.6444000000000001</v>
      </c>
      <c r="T364" s="32">
        <v>40.853200000000001</v>
      </c>
      <c r="U364" s="32">
        <v>3.1572</v>
      </c>
      <c r="V364" s="32">
        <v>30.435700000000001</v>
      </c>
      <c r="W364" s="32">
        <v>3.7507000000000001</v>
      </c>
      <c r="X364" s="32">
        <v>8.8849</v>
      </c>
      <c r="Y364" s="32">
        <v>1086.96</v>
      </c>
      <c r="Z364" s="32">
        <v>0.75800000000000001</v>
      </c>
      <c r="AA364" s="32">
        <v>1.7959000000000001</v>
      </c>
      <c r="AB364" s="32">
        <v>6.2911999999999999</v>
      </c>
    </row>
    <row r="365" spans="1:28" ht="15" customHeight="1" x14ac:dyDescent="0.2">
      <c r="A365" s="33">
        <v>41329</v>
      </c>
      <c r="B365" s="32">
        <v>5.0514999999999999</v>
      </c>
      <c r="C365" s="32">
        <v>0.96930000000000005</v>
      </c>
      <c r="D365" s="32">
        <v>1.9833000000000001</v>
      </c>
      <c r="E365" s="32">
        <v>473.52100000000002</v>
      </c>
      <c r="F365" s="32">
        <v>6.2949999999999999</v>
      </c>
      <c r="G365" s="32">
        <v>1807</v>
      </c>
      <c r="H365" s="32">
        <v>19.375900000000001</v>
      </c>
      <c r="I365" s="32">
        <v>41.176200000000001</v>
      </c>
      <c r="J365" s="32">
        <v>7.7569999999999997</v>
      </c>
      <c r="K365" s="32">
        <v>223.01</v>
      </c>
      <c r="L365" s="32">
        <v>54.44</v>
      </c>
      <c r="M365" s="32">
        <v>9737.1</v>
      </c>
      <c r="N365" s="32">
        <v>3.7166999999999999</v>
      </c>
      <c r="O365" s="32">
        <v>3.1253000000000002</v>
      </c>
      <c r="P365" s="32">
        <v>12.7117</v>
      </c>
      <c r="Q365" s="32">
        <v>1.1941999999999999</v>
      </c>
      <c r="R365" s="32">
        <v>99.143000000000001</v>
      </c>
      <c r="S365" s="32">
        <v>2.6436999999999999</v>
      </c>
      <c r="T365" s="32">
        <v>40.846299999999999</v>
      </c>
      <c r="U365" s="32">
        <v>3.1568000000000001</v>
      </c>
      <c r="V365" s="32">
        <v>30.396799999999999</v>
      </c>
      <c r="W365" s="32">
        <v>3.7551999999999999</v>
      </c>
      <c r="X365" s="32">
        <v>8.8711000000000002</v>
      </c>
      <c r="Y365" s="32">
        <v>1094.21</v>
      </c>
      <c r="Z365" s="32">
        <v>0.75819999999999999</v>
      </c>
      <c r="AA365" s="32">
        <v>1.8022</v>
      </c>
      <c r="AB365" s="32">
        <v>6.2911999999999999</v>
      </c>
    </row>
    <row r="366" spans="1:28" ht="15" customHeight="1" x14ac:dyDescent="0.2">
      <c r="A366" s="33">
        <v>41330</v>
      </c>
      <c r="B366" s="32">
        <v>5.0720999999999998</v>
      </c>
      <c r="C366" s="32">
        <v>0.96930000000000005</v>
      </c>
      <c r="D366" s="32">
        <v>1.9750000000000001</v>
      </c>
      <c r="E366" s="32">
        <v>474.7</v>
      </c>
      <c r="F366" s="32">
        <v>6.2949999999999999</v>
      </c>
      <c r="G366" s="32">
        <v>1807</v>
      </c>
      <c r="H366" s="32">
        <v>19.380400000000002</v>
      </c>
      <c r="I366" s="32">
        <v>40.68</v>
      </c>
      <c r="J366" s="32">
        <v>7.7569999999999997</v>
      </c>
      <c r="K366" s="32">
        <v>222.988</v>
      </c>
      <c r="L366" s="32">
        <v>54.44</v>
      </c>
      <c r="M366" s="32">
        <v>9718</v>
      </c>
      <c r="N366" s="32">
        <v>3.7143999999999999</v>
      </c>
      <c r="O366" s="32">
        <v>3.1511999999999998</v>
      </c>
      <c r="P366" s="32">
        <v>12.712</v>
      </c>
      <c r="Q366" s="32">
        <v>1.1941999999999999</v>
      </c>
      <c r="R366" s="32">
        <v>98.25</v>
      </c>
      <c r="S366" s="32">
        <v>2.5859999999999999</v>
      </c>
      <c r="T366" s="32">
        <v>40.74</v>
      </c>
      <c r="U366" s="32">
        <v>3.1562000000000001</v>
      </c>
      <c r="V366" s="32">
        <v>30.403300000000002</v>
      </c>
      <c r="W366" s="32">
        <v>3.7551999999999999</v>
      </c>
      <c r="X366" s="32">
        <v>8.8712</v>
      </c>
      <c r="Y366" s="32">
        <v>1104.24</v>
      </c>
      <c r="Z366" s="32">
        <v>0.75819999999999999</v>
      </c>
      <c r="AA366" s="32">
        <v>1.8008999999999999</v>
      </c>
      <c r="AB366" s="32">
        <v>6.2911999999999999</v>
      </c>
    </row>
    <row r="367" spans="1:28" ht="15" customHeight="1" x14ac:dyDescent="0.2">
      <c r="A367" s="33">
        <v>41331</v>
      </c>
      <c r="B367" s="32">
        <v>5.0515999999999996</v>
      </c>
      <c r="C367" s="32">
        <v>0.9718</v>
      </c>
      <c r="D367" s="32">
        <v>1.9746999999999999</v>
      </c>
      <c r="E367" s="32">
        <v>473.44799999999998</v>
      </c>
      <c r="F367" s="32">
        <v>6.2919999999999998</v>
      </c>
      <c r="G367" s="32">
        <v>1807.19</v>
      </c>
      <c r="H367" s="32">
        <v>19.344100000000001</v>
      </c>
      <c r="I367" s="32">
        <v>41.120100000000001</v>
      </c>
      <c r="J367" s="32">
        <v>7.7565999999999997</v>
      </c>
      <c r="K367" s="32">
        <v>222.72200000000001</v>
      </c>
      <c r="L367" s="32">
        <v>54.128700000000002</v>
      </c>
      <c r="M367" s="32">
        <v>9737.1</v>
      </c>
      <c r="N367" s="32">
        <v>3.7170000000000001</v>
      </c>
      <c r="O367" s="32">
        <v>3.1223999999999998</v>
      </c>
      <c r="P367" s="32">
        <v>12.710800000000001</v>
      </c>
      <c r="Q367" s="32">
        <v>1.1938</v>
      </c>
      <c r="R367" s="32">
        <v>98.515699999999995</v>
      </c>
      <c r="S367" s="32">
        <v>2.6004</v>
      </c>
      <c r="T367" s="32">
        <v>40.801099999999998</v>
      </c>
      <c r="U367" s="32">
        <v>3.1511999999999998</v>
      </c>
      <c r="V367" s="32">
        <v>30.403400000000001</v>
      </c>
      <c r="W367" s="32">
        <v>3.7509000000000001</v>
      </c>
      <c r="X367" s="32">
        <v>8.8691999999999993</v>
      </c>
      <c r="Y367" s="32">
        <v>1094.0899999999999</v>
      </c>
      <c r="Z367" s="32">
        <v>0.75719999999999998</v>
      </c>
      <c r="AA367" s="32">
        <v>1.8022</v>
      </c>
      <c r="AB367" s="32">
        <v>6.2977999999999996</v>
      </c>
    </row>
    <row r="368" spans="1:28" ht="15" customHeight="1" x14ac:dyDescent="0.2">
      <c r="A368" s="33">
        <v>41332</v>
      </c>
      <c r="B368" s="32">
        <v>5.0382999999999996</v>
      </c>
      <c r="C368" s="32">
        <v>0.97519999999999996</v>
      </c>
      <c r="D368" s="32">
        <v>1.9858</v>
      </c>
      <c r="E368" s="32">
        <v>473.71499999999997</v>
      </c>
      <c r="F368" s="32">
        <v>6.2919999999999998</v>
      </c>
      <c r="G368" s="32">
        <v>1814.45</v>
      </c>
      <c r="H368" s="32">
        <v>19.5501</v>
      </c>
      <c r="I368" s="32">
        <v>41.540100000000002</v>
      </c>
      <c r="J368" s="32">
        <v>7.758</v>
      </c>
      <c r="K368" s="32">
        <v>225.696</v>
      </c>
      <c r="L368" s="32">
        <v>54.1843</v>
      </c>
      <c r="M368" s="32">
        <v>9737.1</v>
      </c>
      <c r="N368" s="32">
        <v>3.7351000000000001</v>
      </c>
      <c r="O368" s="32">
        <v>3.1051000000000002</v>
      </c>
      <c r="P368" s="32">
        <v>12.817600000000001</v>
      </c>
      <c r="Q368" s="32">
        <v>1.2041999999999999</v>
      </c>
      <c r="R368" s="32">
        <v>99.953800000000001</v>
      </c>
      <c r="S368" s="32">
        <v>2.6566000000000001</v>
      </c>
      <c r="T368" s="32">
        <v>40.854599999999998</v>
      </c>
      <c r="U368" s="32">
        <v>3.1879</v>
      </c>
      <c r="V368" s="32">
        <v>30.6234</v>
      </c>
      <c r="W368" s="32">
        <v>3.7507000000000001</v>
      </c>
      <c r="X368" s="32">
        <v>8.8409999999999993</v>
      </c>
      <c r="Y368" s="32">
        <v>1090.1600000000001</v>
      </c>
      <c r="Z368" s="32">
        <v>0.76519999999999999</v>
      </c>
      <c r="AA368" s="32">
        <v>1.8099000000000001</v>
      </c>
      <c r="AB368" s="32">
        <v>6.2976000000000001</v>
      </c>
    </row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customHeight="1" x14ac:dyDescent="0.2"/>
    <row r="999" ht="15" customHeight="1" x14ac:dyDescent="0.2"/>
    <row r="1000" ht="15" customHeight="1" x14ac:dyDescent="0.2"/>
    <row r="1001" ht="15" customHeight="1" x14ac:dyDescent="0.2"/>
    <row r="1002" ht="15" customHeight="1" x14ac:dyDescent="0.2"/>
    <row r="1003" ht="15" customHeight="1" x14ac:dyDescent="0.2"/>
    <row r="1004" ht="15" customHeight="1" x14ac:dyDescent="0.2"/>
    <row r="1005" ht="15" customHeight="1" x14ac:dyDescent="0.2"/>
    <row r="1006" ht="15" customHeight="1" x14ac:dyDescent="0.2"/>
    <row r="1007" ht="15" customHeight="1" x14ac:dyDescent="0.2"/>
    <row r="1008" ht="15" customHeight="1" x14ac:dyDescent="0.2"/>
    <row r="1009" ht="15" customHeight="1" x14ac:dyDescent="0.2"/>
    <row r="1010" ht="15" customHeight="1" x14ac:dyDescent="0.2"/>
    <row r="1011" ht="15" customHeight="1" x14ac:dyDescent="0.2"/>
    <row r="1012" ht="15" customHeight="1" x14ac:dyDescent="0.2"/>
    <row r="1013" ht="15" customHeight="1" x14ac:dyDescent="0.2"/>
    <row r="1014" ht="15" customHeight="1" x14ac:dyDescent="0.2"/>
    <row r="1015" ht="15" customHeight="1" x14ac:dyDescent="0.2"/>
    <row r="1016" ht="15" customHeight="1" x14ac:dyDescent="0.2"/>
    <row r="1017" ht="15" customHeight="1" x14ac:dyDescent="0.2"/>
    <row r="1018" ht="15" customHeight="1" x14ac:dyDescent="0.2"/>
    <row r="1019" ht="15" customHeight="1" x14ac:dyDescent="0.2"/>
    <row r="1020" ht="15" customHeight="1" x14ac:dyDescent="0.2"/>
    <row r="1021" ht="15" customHeight="1" x14ac:dyDescent="0.2"/>
    <row r="1022" ht="15" customHeight="1" x14ac:dyDescent="0.2"/>
    <row r="1023" ht="15" customHeight="1" x14ac:dyDescent="0.2"/>
    <row r="1024" ht="15" customHeight="1" x14ac:dyDescent="0.2"/>
    <row r="1025" ht="15" customHeight="1" x14ac:dyDescent="0.2"/>
    <row r="1026" ht="15" customHeight="1" x14ac:dyDescent="0.2"/>
    <row r="1027" ht="15" customHeight="1" x14ac:dyDescent="0.2"/>
    <row r="1028" ht="15" customHeight="1" x14ac:dyDescent="0.2"/>
    <row r="1029" ht="15" customHeight="1" x14ac:dyDescent="0.2"/>
    <row r="1030" ht="15" customHeight="1" x14ac:dyDescent="0.2"/>
    <row r="1031" ht="15" customHeight="1" x14ac:dyDescent="0.2"/>
    <row r="1032" ht="15" customHeight="1" x14ac:dyDescent="0.2"/>
    <row r="1033" ht="15" customHeight="1" x14ac:dyDescent="0.2"/>
    <row r="1034" ht="15" customHeight="1" x14ac:dyDescent="0.2"/>
    <row r="1035" ht="15" customHeight="1" x14ac:dyDescent="0.2"/>
    <row r="1036" ht="15" customHeight="1" x14ac:dyDescent="0.2"/>
    <row r="1037" ht="15" customHeight="1" x14ac:dyDescent="0.2"/>
    <row r="1038" ht="15" customHeight="1" x14ac:dyDescent="0.2"/>
    <row r="1039" ht="15" customHeight="1" x14ac:dyDescent="0.2"/>
    <row r="1040" ht="15" customHeight="1" x14ac:dyDescent="0.2"/>
    <row r="1041" ht="15" customHeight="1" x14ac:dyDescent="0.2"/>
    <row r="1042" ht="15" customHeight="1" x14ac:dyDescent="0.2"/>
    <row r="1043" ht="15" customHeight="1" x14ac:dyDescent="0.2"/>
    <row r="1044" ht="15" customHeight="1" x14ac:dyDescent="0.2"/>
    <row r="1045" ht="15" customHeight="1" x14ac:dyDescent="0.2"/>
    <row r="1046" ht="15" customHeight="1" x14ac:dyDescent="0.2"/>
    <row r="1047" ht="15" customHeight="1" x14ac:dyDescent="0.2"/>
    <row r="1048" ht="15" customHeight="1" x14ac:dyDescent="0.2"/>
    <row r="1049" ht="15" customHeight="1" x14ac:dyDescent="0.2"/>
    <row r="1050" ht="15" customHeight="1" x14ac:dyDescent="0.2"/>
    <row r="1051" ht="15" customHeight="1" x14ac:dyDescent="0.2"/>
    <row r="1052" ht="15" customHeight="1" x14ac:dyDescent="0.2"/>
    <row r="1053" ht="15" customHeight="1" x14ac:dyDescent="0.2"/>
    <row r="1054" ht="15" customHeight="1" x14ac:dyDescent="0.2"/>
    <row r="1055" ht="15" customHeight="1" x14ac:dyDescent="0.2"/>
    <row r="1056" ht="15" customHeight="1" x14ac:dyDescent="0.2"/>
    <row r="1057" ht="15" customHeight="1" x14ac:dyDescent="0.2"/>
    <row r="1058" ht="15" customHeight="1" x14ac:dyDescent="0.2"/>
    <row r="1059" ht="15" customHeight="1" x14ac:dyDescent="0.2"/>
    <row r="1060" ht="15" customHeight="1" x14ac:dyDescent="0.2"/>
    <row r="1061" ht="15" customHeight="1" x14ac:dyDescent="0.2"/>
    <row r="1062" ht="15" customHeight="1" x14ac:dyDescent="0.2"/>
    <row r="1063" ht="15" customHeight="1" x14ac:dyDescent="0.2"/>
    <row r="1064" ht="15" customHeight="1" x14ac:dyDescent="0.2"/>
    <row r="1065" ht="15" customHeight="1" x14ac:dyDescent="0.2"/>
    <row r="1066" ht="15" customHeight="1" x14ac:dyDescent="0.2"/>
    <row r="1067" ht="15" customHeight="1" x14ac:dyDescent="0.2"/>
    <row r="1068" ht="15" customHeight="1" x14ac:dyDescent="0.2"/>
    <row r="1069" ht="15" customHeight="1" x14ac:dyDescent="0.2"/>
    <row r="1070" ht="15" customHeight="1" x14ac:dyDescent="0.2"/>
    <row r="1071" ht="15" customHeight="1" x14ac:dyDescent="0.2"/>
    <row r="1072" ht="15" customHeight="1" x14ac:dyDescent="0.2"/>
    <row r="1073" ht="15" customHeight="1" x14ac:dyDescent="0.2"/>
    <row r="1074" ht="15" customHeight="1" x14ac:dyDescent="0.2"/>
    <row r="1075" ht="15" customHeight="1" x14ac:dyDescent="0.2"/>
    <row r="1076" ht="15" customHeight="1" x14ac:dyDescent="0.2"/>
    <row r="1077" ht="15" customHeight="1" x14ac:dyDescent="0.2"/>
    <row r="1078" ht="15" customHeight="1" x14ac:dyDescent="0.2"/>
    <row r="1079" ht="15" customHeight="1" x14ac:dyDescent="0.2"/>
    <row r="1080" ht="15" customHeight="1" x14ac:dyDescent="0.2"/>
    <row r="1081" ht="15" customHeight="1" x14ac:dyDescent="0.2"/>
    <row r="1082" ht="15" customHeight="1" x14ac:dyDescent="0.2"/>
    <row r="1083" ht="15" customHeight="1" x14ac:dyDescent="0.2"/>
    <row r="1084" ht="15" customHeight="1" x14ac:dyDescent="0.2"/>
    <row r="1085" ht="15" customHeight="1" x14ac:dyDescent="0.2"/>
    <row r="1086" ht="15" customHeight="1" x14ac:dyDescent="0.2"/>
    <row r="1087" ht="15" customHeight="1" x14ac:dyDescent="0.2"/>
    <row r="1088" ht="15" customHeight="1" x14ac:dyDescent="0.2"/>
    <row r="1089" ht="15" customHeight="1" x14ac:dyDescent="0.2"/>
    <row r="1090" ht="15" customHeight="1" x14ac:dyDescent="0.2"/>
    <row r="1091" ht="15" customHeight="1" x14ac:dyDescent="0.2"/>
    <row r="1092" ht="15" customHeight="1" x14ac:dyDescent="0.2"/>
    <row r="1093" ht="15" customHeight="1" x14ac:dyDescent="0.2"/>
    <row r="1094" ht="15" customHeight="1" x14ac:dyDescent="0.2"/>
    <row r="1095" ht="15" customHeight="1" x14ac:dyDescent="0.2"/>
    <row r="1096" ht="15" customHeight="1" x14ac:dyDescent="0.2"/>
    <row r="1097" ht="15" customHeight="1" x14ac:dyDescent="0.2"/>
    <row r="1098" ht="15" customHeight="1" x14ac:dyDescent="0.2"/>
    <row r="1099" ht="15" customHeight="1" x14ac:dyDescent="0.2"/>
    <row r="1100" ht="15" customHeight="1" x14ac:dyDescent="0.2"/>
    <row r="1101" ht="15" customHeight="1" x14ac:dyDescent="0.2"/>
    <row r="1102" ht="15" customHeight="1" x14ac:dyDescent="0.2"/>
    <row r="1103" ht="15" customHeight="1" x14ac:dyDescent="0.2"/>
    <row r="1104" ht="15" customHeight="1" x14ac:dyDescent="0.2"/>
    <row r="1105" ht="15" customHeight="1" x14ac:dyDescent="0.2"/>
    <row r="1106" ht="15" customHeight="1" x14ac:dyDescent="0.2"/>
    <row r="1107" ht="15" customHeight="1" x14ac:dyDescent="0.2"/>
    <row r="1108" ht="15" customHeight="1" x14ac:dyDescent="0.2"/>
    <row r="1109" ht="15" customHeight="1" x14ac:dyDescent="0.2"/>
    <row r="1110" ht="15" customHeight="1" x14ac:dyDescent="0.2"/>
    <row r="1111" ht="15" customHeight="1" x14ac:dyDescent="0.2"/>
    <row r="1112" ht="15" customHeight="1" x14ac:dyDescent="0.2"/>
    <row r="1113" ht="15" customHeight="1" x14ac:dyDescent="0.2"/>
    <row r="1114" ht="15" customHeight="1" x14ac:dyDescent="0.2"/>
    <row r="1115" ht="15" customHeight="1" x14ac:dyDescent="0.2"/>
    <row r="1116" ht="15" customHeight="1" x14ac:dyDescent="0.2"/>
    <row r="1117" ht="15" customHeight="1" x14ac:dyDescent="0.2"/>
    <row r="1118" ht="15" customHeight="1" x14ac:dyDescent="0.2"/>
    <row r="1119" ht="15" customHeight="1" x14ac:dyDescent="0.2"/>
    <row r="1120" ht="15" customHeight="1" x14ac:dyDescent="0.2"/>
    <row r="1121" ht="15" customHeight="1" x14ac:dyDescent="0.2"/>
    <row r="1122" ht="15" customHeight="1" x14ac:dyDescent="0.2"/>
    <row r="1123" ht="15" customHeight="1" x14ac:dyDescent="0.2"/>
    <row r="1124" ht="15" customHeight="1" x14ac:dyDescent="0.2"/>
    <row r="1125" ht="15" customHeight="1" x14ac:dyDescent="0.2"/>
    <row r="1126" ht="15" customHeight="1" x14ac:dyDescent="0.2"/>
    <row r="1127" ht="15" customHeight="1" x14ac:dyDescent="0.2"/>
    <row r="1128" ht="15" customHeight="1" x14ac:dyDescent="0.2"/>
    <row r="1129" ht="15" customHeight="1" x14ac:dyDescent="0.2"/>
    <row r="1130" ht="15" customHeight="1" x14ac:dyDescent="0.2"/>
    <row r="1131" ht="15" customHeight="1" x14ac:dyDescent="0.2"/>
    <row r="1132" ht="15" customHeight="1" x14ac:dyDescent="0.2"/>
    <row r="1133" ht="15" customHeight="1" x14ac:dyDescent="0.2"/>
    <row r="1134" ht="15" customHeight="1" x14ac:dyDescent="0.2"/>
    <row r="1135" ht="15" customHeight="1" x14ac:dyDescent="0.2"/>
    <row r="1136" ht="15" customHeight="1" x14ac:dyDescent="0.2"/>
    <row r="1137" ht="15" customHeight="1" x14ac:dyDescent="0.2"/>
    <row r="1138" ht="15" customHeight="1" x14ac:dyDescent="0.2"/>
    <row r="1139" ht="15" customHeight="1" x14ac:dyDescent="0.2"/>
    <row r="1140" ht="15" customHeight="1" x14ac:dyDescent="0.2"/>
    <row r="1141" ht="15" customHeight="1" x14ac:dyDescent="0.2"/>
    <row r="1142" ht="15" customHeight="1" x14ac:dyDescent="0.2"/>
    <row r="1143" ht="15" customHeight="1" x14ac:dyDescent="0.2"/>
    <row r="1144" ht="15" customHeight="1" x14ac:dyDescent="0.2"/>
    <row r="1145" ht="15" customHeight="1" x14ac:dyDescent="0.2"/>
    <row r="1146" ht="15" customHeight="1" x14ac:dyDescent="0.2"/>
    <row r="1147" ht="15" customHeight="1" x14ac:dyDescent="0.2"/>
    <row r="1148" ht="15" customHeight="1" x14ac:dyDescent="0.2"/>
    <row r="1149" ht="15" customHeight="1" x14ac:dyDescent="0.2"/>
    <row r="1150" ht="15" customHeight="1" x14ac:dyDescent="0.2"/>
    <row r="1151" ht="15" customHeight="1" x14ac:dyDescent="0.2"/>
    <row r="1152" ht="15" customHeight="1" x14ac:dyDescent="0.2"/>
    <row r="1153" ht="15" customHeight="1" x14ac:dyDescent="0.2"/>
    <row r="1154" ht="15" customHeight="1" x14ac:dyDescent="0.2"/>
    <row r="1155" ht="15" customHeight="1" x14ac:dyDescent="0.2"/>
    <row r="1156" ht="15" customHeight="1" x14ac:dyDescent="0.2"/>
    <row r="1157" ht="15" customHeight="1" x14ac:dyDescent="0.2"/>
    <row r="1158" ht="15" customHeight="1" x14ac:dyDescent="0.2"/>
    <row r="1159" ht="15" customHeight="1" x14ac:dyDescent="0.2"/>
    <row r="1160" ht="15" customHeight="1" x14ac:dyDescent="0.2"/>
    <row r="1161" ht="15" customHeight="1" x14ac:dyDescent="0.2"/>
    <row r="1162" ht="15" customHeight="1" x14ac:dyDescent="0.2"/>
    <row r="1163" ht="15" customHeight="1" x14ac:dyDescent="0.2"/>
    <row r="1164" ht="15" customHeight="1" x14ac:dyDescent="0.2"/>
    <row r="1165" ht="15" customHeight="1" x14ac:dyDescent="0.2"/>
    <row r="1166" ht="15" customHeight="1" x14ac:dyDescent="0.2"/>
    <row r="1167" ht="15" customHeight="1" x14ac:dyDescent="0.2"/>
    <row r="1168" ht="15" customHeight="1" x14ac:dyDescent="0.2"/>
    <row r="1169" ht="15" customHeight="1" x14ac:dyDescent="0.2"/>
    <row r="1170" ht="15" customHeight="1" x14ac:dyDescent="0.2"/>
    <row r="1171" ht="15" customHeight="1" x14ac:dyDescent="0.2"/>
    <row r="1172" ht="15" customHeight="1" x14ac:dyDescent="0.2"/>
    <row r="1173" ht="15" customHeight="1" x14ac:dyDescent="0.2"/>
    <row r="1174" ht="15" customHeight="1" x14ac:dyDescent="0.2"/>
    <row r="1175" ht="15" customHeight="1" x14ac:dyDescent="0.2"/>
    <row r="1176" ht="15" customHeight="1" x14ac:dyDescent="0.2"/>
    <row r="1177" ht="15" customHeight="1" x14ac:dyDescent="0.2"/>
    <row r="1178" ht="15" customHeight="1" x14ac:dyDescent="0.2"/>
    <row r="1179" ht="15" customHeight="1" x14ac:dyDescent="0.2"/>
    <row r="1180" ht="15" customHeight="1" x14ac:dyDescent="0.2"/>
    <row r="1181" ht="15" customHeight="1" x14ac:dyDescent="0.2"/>
    <row r="1182" ht="15" customHeight="1" x14ac:dyDescent="0.2"/>
    <row r="1183" ht="15" customHeight="1" x14ac:dyDescent="0.2"/>
    <row r="1184" ht="15" customHeight="1" x14ac:dyDescent="0.2"/>
    <row r="1185" ht="15" customHeight="1" x14ac:dyDescent="0.2"/>
    <row r="1186" ht="15" customHeight="1" x14ac:dyDescent="0.2"/>
    <row r="1187" ht="15" customHeight="1" x14ac:dyDescent="0.2"/>
    <row r="1188" ht="15" customHeight="1" x14ac:dyDescent="0.2"/>
    <row r="1189" ht="15" customHeight="1" x14ac:dyDescent="0.2"/>
    <row r="1190" ht="15" customHeight="1" x14ac:dyDescent="0.2"/>
    <row r="1191" ht="15" customHeight="1" x14ac:dyDescent="0.2"/>
    <row r="1192" ht="15" customHeight="1" x14ac:dyDescent="0.2"/>
    <row r="1193" ht="15" customHeight="1" x14ac:dyDescent="0.2"/>
    <row r="1194" ht="15" customHeight="1" x14ac:dyDescent="0.2"/>
    <row r="1195" ht="15" customHeight="1" x14ac:dyDescent="0.2"/>
    <row r="1196" ht="15" customHeight="1" x14ac:dyDescent="0.2"/>
    <row r="1197" ht="15" customHeight="1" x14ac:dyDescent="0.2"/>
    <row r="1198" ht="15" customHeight="1" x14ac:dyDescent="0.2"/>
    <row r="1199" ht="15" customHeight="1" x14ac:dyDescent="0.2"/>
    <row r="1200" ht="15" customHeight="1" x14ac:dyDescent="0.2"/>
    <row r="1201" ht="15" customHeight="1" x14ac:dyDescent="0.2"/>
    <row r="1202" ht="15" customHeight="1" x14ac:dyDescent="0.2"/>
    <row r="1203" ht="15" customHeight="1" x14ac:dyDescent="0.2"/>
    <row r="1204" ht="15" customHeight="1" x14ac:dyDescent="0.2"/>
    <row r="1205" ht="15" customHeight="1" x14ac:dyDescent="0.2"/>
    <row r="1206" ht="15" customHeight="1" x14ac:dyDescent="0.2"/>
    <row r="1207" ht="15" customHeight="1" x14ac:dyDescent="0.2"/>
    <row r="1208" ht="15" customHeight="1" x14ac:dyDescent="0.2"/>
    <row r="1209" ht="15" customHeight="1" x14ac:dyDescent="0.2"/>
    <row r="1210" ht="15" customHeight="1" x14ac:dyDescent="0.2"/>
    <row r="1211" ht="15" customHeight="1" x14ac:dyDescent="0.2"/>
    <row r="1212" ht="15" customHeight="1" x14ac:dyDescent="0.2"/>
    <row r="1213" ht="15" customHeight="1" x14ac:dyDescent="0.2"/>
    <row r="1214" ht="15" customHeight="1" x14ac:dyDescent="0.2"/>
    <row r="1215" ht="15" customHeight="1" x14ac:dyDescent="0.2"/>
    <row r="1216" ht="15" customHeight="1" x14ac:dyDescent="0.2"/>
    <row r="1217" ht="15" customHeight="1" x14ac:dyDescent="0.2"/>
    <row r="1218" ht="15" customHeight="1" x14ac:dyDescent="0.2"/>
    <row r="1219" ht="15" customHeight="1" x14ac:dyDescent="0.2"/>
    <row r="1220" ht="15" customHeight="1" x14ac:dyDescent="0.2"/>
    <row r="1221" ht="15" customHeight="1" x14ac:dyDescent="0.2"/>
    <row r="1222" ht="15" customHeight="1" x14ac:dyDescent="0.2"/>
    <row r="1223" ht="15" customHeight="1" x14ac:dyDescent="0.2"/>
    <row r="1224" ht="15" customHeight="1" x14ac:dyDescent="0.2"/>
    <row r="1225" ht="15" customHeight="1" x14ac:dyDescent="0.2"/>
    <row r="1226" ht="15" customHeight="1" x14ac:dyDescent="0.2"/>
    <row r="1227" ht="15" customHeight="1" x14ac:dyDescent="0.2"/>
    <row r="1228" ht="15" customHeight="1" x14ac:dyDescent="0.2"/>
    <row r="1229" ht="15" customHeight="1" x14ac:dyDescent="0.2"/>
    <row r="1230" ht="15" customHeight="1" x14ac:dyDescent="0.2"/>
    <row r="1231" ht="15" customHeight="1" x14ac:dyDescent="0.2"/>
    <row r="1232" ht="15" customHeight="1" x14ac:dyDescent="0.2"/>
    <row r="1233" ht="15" customHeight="1" x14ac:dyDescent="0.2"/>
    <row r="1234" ht="15" customHeight="1" x14ac:dyDescent="0.2"/>
    <row r="1235" ht="15" customHeight="1" x14ac:dyDescent="0.2"/>
    <row r="1236" ht="15" customHeight="1" x14ac:dyDescent="0.2"/>
    <row r="1237" ht="15" customHeight="1" x14ac:dyDescent="0.2"/>
    <row r="1238" ht="15" customHeight="1" x14ac:dyDescent="0.2"/>
    <row r="1239" ht="15" customHeight="1" x14ac:dyDescent="0.2"/>
    <row r="1240" ht="15" customHeight="1" x14ac:dyDescent="0.2"/>
    <row r="1241" ht="15" customHeight="1" x14ac:dyDescent="0.2"/>
    <row r="1242" ht="15" customHeight="1" x14ac:dyDescent="0.2"/>
    <row r="1243" ht="15" customHeight="1" x14ac:dyDescent="0.2"/>
    <row r="1244" ht="15" customHeight="1" x14ac:dyDescent="0.2"/>
    <row r="1245" ht="15" customHeight="1" x14ac:dyDescent="0.2"/>
    <row r="1246" ht="15" customHeight="1" x14ac:dyDescent="0.2"/>
    <row r="1247" ht="15" customHeight="1" x14ac:dyDescent="0.2"/>
    <row r="1248" ht="15" customHeight="1" x14ac:dyDescent="0.2"/>
    <row r="1249" ht="15" customHeight="1" x14ac:dyDescent="0.2"/>
    <row r="1250" ht="15" customHeight="1" x14ac:dyDescent="0.2"/>
    <row r="1251" ht="15" customHeight="1" x14ac:dyDescent="0.2"/>
    <row r="1252" ht="15" customHeight="1" x14ac:dyDescent="0.2"/>
    <row r="1253" ht="15" customHeight="1" x14ac:dyDescent="0.2"/>
    <row r="1254" ht="15" customHeight="1" x14ac:dyDescent="0.2"/>
    <row r="1255" ht="15" customHeight="1" x14ac:dyDescent="0.2"/>
    <row r="1256" ht="15" customHeight="1" x14ac:dyDescent="0.2"/>
    <row r="1257" ht="15" customHeight="1" x14ac:dyDescent="0.2"/>
    <row r="1258" ht="15" customHeight="1" x14ac:dyDescent="0.2"/>
    <row r="1259" ht="15" customHeight="1" x14ac:dyDescent="0.2"/>
    <row r="1260" ht="15" customHeight="1" x14ac:dyDescent="0.2"/>
    <row r="1261" ht="15" customHeight="1" x14ac:dyDescent="0.2"/>
    <row r="1262" ht="15" customHeight="1" x14ac:dyDescent="0.2"/>
    <row r="1263" ht="15" customHeight="1" x14ac:dyDescent="0.2"/>
    <row r="1264" ht="15" customHeight="1" x14ac:dyDescent="0.2"/>
    <row r="1265" ht="15" customHeight="1" x14ac:dyDescent="0.2"/>
    <row r="1266" ht="15" customHeight="1" x14ac:dyDescent="0.2"/>
    <row r="1267" ht="15" customHeight="1" x14ac:dyDescent="0.2"/>
    <row r="1268" ht="15" customHeight="1" x14ac:dyDescent="0.2"/>
    <row r="1269" ht="15" customHeight="1" x14ac:dyDescent="0.2"/>
    <row r="1270" ht="15" customHeight="1" x14ac:dyDescent="0.2"/>
    <row r="1271" ht="15" customHeight="1" x14ac:dyDescent="0.2"/>
    <row r="1272" ht="15" customHeight="1" x14ac:dyDescent="0.2"/>
    <row r="1273" ht="15" customHeight="1" x14ac:dyDescent="0.2"/>
    <row r="1274" ht="15" customHeight="1" x14ac:dyDescent="0.2"/>
    <row r="1275" ht="15" customHeight="1" x14ac:dyDescent="0.2"/>
    <row r="1276" ht="15" customHeight="1" x14ac:dyDescent="0.2"/>
    <row r="1277" ht="15" customHeight="1" x14ac:dyDescent="0.2"/>
    <row r="1278" ht="15" customHeight="1" x14ac:dyDescent="0.2"/>
    <row r="1279" ht="15" customHeight="1" x14ac:dyDescent="0.2"/>
    <row r="1280" ht="15" customHeight="1" x14ac:dyDescent="0.2"/>
    <row r="1281" ht="15" customHeight="1" x14ac:dyDescent="0.2"/>
    <row r="1282" ht="15" customHeight="1" x14ac:dyDescent="0.2"/>
    <row r="1283" ht="15" customHeight="1" x14ac:dyDescent="0.2"/>
    <row r="1284" ht="15" customHeight="1" x14ac:dyDescent="0.2"/>
    <row r="1285" ht="15" customHeight="1" x14ac:dyDescent="0.2"/>
    <row r="1286" ht="15" customHeight="1" x14ac:dyDescent="0.2"/>
    <row r="1287" ht="15" customHeight="1" x14ac:dyDescent="0.2"/>
    <row r="1288" ht="15" customHeight="1" x14ac:dyDescent="0.2"/>
    <row r="1289" ht="15" customHeight="1" x14ac:dyDescent="0.2"/>
    <row r="1290" ht="15" customHeight="1" x14ac:dyDescent="0.2"/>
    <row r="1291" ht="15" customHeight="1" x14ac:dyDescent="0.2"/>
    <row r="1292" ht="15" customHeight="1" x14ac:dyDescent="0.2"/>
    <row r="1293" ht="15" customHeight="1" x14ac:dyDescent="0.2"/>
    <row r="1294" ht="15" customHeight="1" x14ac:dyDescent="0.2"/>
    <row r="1295" ht="15" customHeight="1" x14ac:dyDescent="0.2"/>
    <row r="1296" ht="15" customHeight="1" x14ac:dyDescent="0.2"/>
    <row r="1297" ht="15" customHeight="1" x14ac:dyDescent="0.2"/>
    <row r="1298" ht="15" customHeight="1" x14ac:dyDescent="0.2"/>
    <row r="1299" ht="15" customHeight="1" x14ac:dyDescent="0.2"/>
    <row r="1300" ht="15" customHeight="1" x14ac:dyDescent="0.2"/>
    <row r="1301" ht="15" customHeight="1" x14ac:dyDescent="0.2"/>
    <row r="1302" ht="15" customHeight="1" x14ac:dyDescent="0.2"/>
    <row r="1303" ht="15" customHeight="1" x14ac:dyDescent="0.2"/>
    <row r="1304" ht="15" customHeight="1" x14ac:dyDescent="0.2"/>
    <row r="1305" ht="15" customHeight="1" x14ac:dyDescent="0.2"/>
    <row r="1306" ht="15" customHeight="1" x14ac:dyDescent="0.2"/>
    <row r="1307" ht="15" customHeight="1" x14ac:dyDescent="0.2"/>
    <row r="1308" ht="15" customHeight="1" x14ac:dyDescent="0.2"/>
    <row r="1309" ht="15" customHeight="1" x14ac:dyDescent="0.2"/>
    <row r="1310" ht="15" customHeight="1" x14ac:dyDescent="0.2"/>
    <row r="1311" ht="15" customHeight="1" x14ac:dyDescent="0.2"/>
    <row r="1312" ht="15" customHeight="1" x14ac:dyDescent="0.2"/>
    <row r="1313" ht="15" customHeight="1" x14ac:dyDescent="0.2"/>
    <row r="1314" ht="15" customHeight="1" x14ac:dyDescent="0.2"/>
    <row r="1315" ht="15" customHeight="1" x14ac:dyDescent="0.2"/>
    <row r="1316" ht="15" customHeight="1" x14ac:dyDescent="0.2"/>
    <row r="1317" ht="15" customHeight="1" x14ac:dyDescent="0.2"/>
    <row r="1318" ht="15" customHeight="1" x14ac:dyDescent="0.2"/>
    <row r="1319" ht="15" customHeight="1" x14ac:dyDescent="0.2"/>
    <row r="1320" ht="15" customHeight="1" x14ac:dyDescent="0.2"/>
    <row r="1321" ht="15" customHeight="1" x14ac:dyDescent="0.2"/>
    <row r="1322" ht="15" customHeight="1" x14ac:dyDescent="0.2"/>
    <row r="1323" ht="15" customHeight="1" x14ac:dyDescent="0.2"/>
    <row r="1324" ht="15" customHeight="1" x14ac:dyDescent="0.2"/>
    <row r="1325" ht="15" customHeight="1" x14ac:dyDescent="0.2"/>
    <row r="1326" ht="15" customHeight="1" x14ac:dyDescent="0.2"/>
    <row r="1327" ht="15" customHeight="1" x14ac:dyDescent="0.2"/>
    <row r="1328" ht="15" customHeight="1" x14ac:dyDescent="0.2"/>
    <row r="1329" ht="15" customHeight="1" x14ac:dyDescent="0.2"/>
    <row r="1330" ht="15" customHeight="1" x14ac:dyDescent="0.2"/>
    <row r="1331" ht="15" customHeight="1" x14ac:dyDescent="0.2"/>
    <row r="1332" ht="15" customHeight="1" x14ac:dyDescent="0.2"/>
    <row r="1333" ht="15" customHeight="1" x14ac:dyDescent="0.2"/>
    <row r="1334" ht="15" customHeight="1" x14ac:dyDescent="0.2"/>
    <row r="1335" ht="15" customHeight="1" x14ac:dyDescent="0.2"/>
    <row r="1336" ht="15" customHeight="1" x14ac:dyDescent="0.2"/>
    <row r="1337" ht="15" customHeight="1" x14ac:dyDescent="0.2"/>
    <row r="1338" ht="15" customHeight="1" x14ac:dyDescent="0.2"/>
    <row r="1339" ht="15" customHeight="1" x14ac:dyDescent="0.2"/>
    <row r="1340" ht="15" customHeight="1" x14ac:dyDescent="0.2"/>
    <row r="1341" ht="15" customHeight="1" x14ac:dyDescent="0.2"/>
    <row r="1342" ht="15" customHeight="1" x14ac:dyDescent="0.2"/>
    <row r="1343" ht="15" customHeight="1" x14ac:dyDescent="0.2"/>
    <row r="1344" ht="15" customHeight="1" x14ac:dyDescent="0.2"/>
    <row r="1345" ht="15" customHeight="1" x14ac:dyDescent="0.2"/>
    <row r="1346" ht="15" customHeight="1" x14ac:dyDescent="0.2"/>
    <row r="1347" ht="15" customHeight="1" x14ac:dyDescent="0.2"/>
    <row r="1348" ht="15" customHeight="1" x14ac:dyDescent="0.2"/>
    <row r="1349" ht="15" customHeight="1" x14ac:dyDescent="0.2"/>
    <row r="1350" ht="15" customHeight="1" x14ac:dyDescent="0.2"/>
    <row r="1351" ht="15" customHeight="1" x14ac:dyDescent="0.2"/>
    <row r="1352" ht="15" customHeight="1" x14ac:dyDescent="0.2"/>
    <row r="1353" ht="15" customHeight="1" x14ac:dyDescent="0.2"/>
    <row r="1354" ht="15" customHeight="1" x14ac:dyDescent="0.2"/>
    <row r="1355" ht="15" customHeight="1" x14ac:dyDescent="0.2"/>
    <row r="1356" ht="15" customHeight="1" x14ac:dyDescent="0.2"/>
    <row r="1357" ht="15" customHeight="1" x14ac:dyDescent="0.2"/>
    <row r="1358" ht="15" customHeight="1" x14ac:dyDescent="0.2"/>
    <row r="1359" ht="15" customHeight="1" x14ac:dyDescent="0.2"/>
    <row r="1360" ht="15" customHeight="1" x14ac:dyDescent="0.2"/>
    <row r="1361" ht="15" customHeight="1" x14ac:dyDescent="0.2"/>
    <row r="1362" ht="15" customHeight="1" x14ac:dyDescent="0.2"/>
    <row r="1363" ht="15" customHeight="1" x14ac:dyDescent="0.2"/>
    <row r="1364" ht="15" customHeight="1" x14ac:dyDescent="0.2"/>
    <row r="1365" ht="15" customHeight="1" x14ac:dyDescent="0.2"/>
    <row r="1366" ht="15" customHeight="1" x14ac:dyDescent="0.2"/>
    <row r="1367" ht="15" customHeight="1" x14ac:dyDescent="0.2"/>
    <row r="1368" ht="15" customHeight="1" x14ac:dyDescent="0.2"/>
    <row r="1369" ht="15" customHeight="1" x14ac:dyDescent="0.2"/>
    <row r="1370" ht="15" customHeight="1" x14ac:dyDescent="0.2"/>
    <row r="1371" ht="15" customHeight="1" x14ac:dyDescent="0.2"/>
    <row r="1372" ht="15" customHeight="1" x14ac:dyDescent="0.2"/>
    <row r="1373" ht="15" customHeight="1" x14ac:dyDescent="0.2"/>
    <row r="1374" ht="15" customHeight="1" x14ac:dyDescent="0.2"/>
    <row r="1375" ht="15" customHeight="1" x14ac:dyDescent="0.2"/>
    <row r="1376" ht="15" customHeight="1" x14ac:dyDescent="0.2"/>
    <row r="1377" ht="15" customHeight="1" x14ac:dyDescent="0.2"/>
    <row r="1378" ht="15" customHeight="1" x14ac:dyDescent="0.2"/>
    <row r="1379" ht="15" customHeight="1" x14ac:dyDescent="0.2"/>
    <row r="1380" ht="15" customHeight="1" x14ac:dyDescent="0.2"/>
    <row r="1381" ht="15" customHeight="1" x14ac:dyDescent="0.2"/>
    <row r="1382" ht="15" customHeight="1" x14ac:dyDescent="0.2"/>
    <row r="1383" ht="15" customHeight="1" x14ac:dyDescent="0.2"/>
    <row r="1384" ht="15" customHeight="1" x14ac:dyDescent="0.2"/>
    <row r="1385" ht="15" customHeight="1" x14ac:dyDescent="0.2"/>
    <row r="1386" ht="15" customHeight="1" x14ac:dyDescent="0.2"/>
    <row r="1387" ht="15" customHeight="1" x14ac:dyDescent="0.2"/>
    <row r="1388" ht="15" customHeight="1" x14ac:dyDescent="0.2"/>
    <row r="1389" ht="15" customHeight="1" x14ac:dyDescent="0.2"/>
    <row r="1390" ht="15" customHeight="1" x14ac:dyDescent="0.2"/>
    <row r="1391" ht="15" customHeight="1" x14ac:dyDescent="0.2"/>
    <row r="1392" ht="15" customHeight="1" x14ac:dyDescent="0.2"/>
    <row r="1393" ht="15" customHeight="1" x14ac:dyDescent="0.2"/>
    <row r="1394" ht="15" customHeight="1" x14ac:dyDescent="0.2"/>
    <row r="1395" ht="15" customHeight="1" x14ac:dyDescent="0.2"/>
    <row r="1396" ht="15" customHeight="1" x14ac:dyDescent="0.2"/>
    <row r="1397" ht="15" customHeight="1" x14ac:dyDescent="0.2"/>
    <row r="1398" ht="15" customHeight="1" x14ac:dyDescent="0.2"/>
    <row r="1399" ht="15" customHeight="1" x14ac:dyDescent="0.2"/>
    <row r="1400" ht="15" customHeight="1" x14ac:dyDescent="0.2"/>
    <row r="1401" ht="15" customHeight="1" x14ac:dyDescent="0.2"/>
    <row r="1402" ht="15" customHeight="1" x14ac:dyDescent="0.2"/>
    <row r="1403" ht="15" customHeight="1" x14ac:dyDescent="0.2"/>
    <row r="1404" ht="15" customHeight="1" x14ac:dyDescent="0.2"/>
    <row r="1405" ht="15" customHeight="1" x14ac:dyDescent="0.2"/>
    <row r="1406" ht="15" customHeight="1" x14ac:dyDescent="0.2"/>
    <row r="1407" ht="15" customHeight="1" x14ac:dyDescent="0.2"/>
    <row r="1408" ht="15" customHeight="1" x14ac:dyDescent="0.2"/>
    <row r="1409" ht="15" customHeight="1" x14ac:dyDescent="0.2"/>
    <row r="1410" ht="15" customHeight="1" x14ac:dyDescent="0.2"/>
    <row r="1411" ht="15" customHeight="1" x14ac:dyDescent="0.2"/>
    <row r="1412" ht="15" customHeight="1" x14ac:dyDescent="0.2"/>
    <row r="1413" ht="15" customHeight="1" x14ac:dyDescent="0.2"/>
    <row r="1414" ht="15" customHeight="1" x14ac:dyDescent="0.2"/>
    <row r="1415" ht="15" customHeight="1" x14ac:dyDescent="0.2"/>
    <row r="1416" ht="15" customHeight="1" x14ac:dyDescent="0.2"/>
    <row r="1417" ht="15" customHeight="1" x14ac:dyDescent="0.2"/>
    <row r="1418" ht="15" customHeight="1" x14ac:dyDescent="0.2"/>
    <row r="1419" ht="15" customHeight="1" x14ac:dyDescent="0.2"/>
    <row r="1420" ht="15" customHeight="1" x14ac:dyDescent="0.2"/>
    <row r="1421" ht="15" customHeight="1" x14ac:dyDescent="0.2"/>
    <row r="1422" ht="15" customHeight="1" x14ac:dyDescent="0.2"/>
    <row r="1423" ht="15" customHeight="1" x14ac:dyDescent="0.2"/>
    <row r="1424" ht="15" customHeight="1" x14ac:dyDescent="0.2"/>
    <row r="1425" ht="15" customHeight="1" x14ac:dyDescent="0.2"/>
    <row r="1426" ht="15" customHeight="1" x14ac:dyDescent="0.2"/>
    <row r="1427" ht="15" customHeight="1" x14ac:dyDescent="0.2"/>
    <row r="1428" ht="15" customHeight="1" x14ac:dyDescent="0.2"/>
    <row r="1429" ht="15" customHeight="1" x14ac:dyDescent="0.2"/>
    <row r="1430" ht="15" customHeight="1" x14ac:dyDescent="0.2"/>
    <row r="1431" ht="15" customHeight="1" x14ac:dyDescent="0.2"/>
    <row r="1432" ht="15" customHeight="1" x14ac:dyDescent="0.2"/>
    <row r="1433" ht="15" customHeight="1" x14ac:dyDescent="0.2"/>
    <row r="1434" ht="15" customHeight="1" x14ac:dyDescent="0.2"/>
    <row r="1435" ht="15" customHeight="1" x14ac:dyDescent="0.2"/>
    <row r="1436" ht="15" customHeight="1" x14ac:dyDescent="0.2"/>
    <row r="1437" ht="15" customHeight="1" x14ac:dyDescent="0.2"/>
    <row r="1438" ht="15" customHeight="1" x14ac:dyDescent="0.2"/>
    <row r="1439" ht="15" customHeight="1" x14ac:dyDescent="0.2"/>
    <row r="1440" ht="15" customHeight="1" x14ac:dyDescent="0.2"/>
    <row r="1441" ht="15" customHeight="1" x14ac:dyDescent="0.2"/>
    <row r="1442" ht="15" customHeight="1" x14ac:dyDescent="0.2"/>
    <row r="1443" ht="15" customHeight="1" x14ac:dyDescent="0.2"/>
    <row r="1444" ht="15" customHeight="1" x14ac:dyDescent="0.2"/>
    <row r="1445" ht="15" customHeight="1" x14ac:dyDescent="0.2"/>
    <row r="1446" ht="15" customHeight="1" x14ac:dyDescent="0.2"/>
    <row r="1447" ht="15" customHeight="1" x14ac:dyDescent="0.2"/>
    <row r="1448" ht="15" customHeight="1" x14ac:dyDescent="0.2"/>
    <row r="1449" ht="15" customHeight="1" x14ac:dyDescent="0.2"/>
    <row r="1450" ht="15" customHeight="1" x14ac:dyDescent="0.2"/>
    <row r="1451" ht="15" customHeight="1" x14ac:dyDescent="0.2"/>
    <row r="1452" ht="15" customHeight="1" x14ac:dyDescent="0.2"/>
    <row r="1453" ht="15" customHeight="1" x14ac:dyDescent="0.2"/>
    <row r="1454" ht="15" customHeight="1" x14ac:dyDescent="0.2"/>
    <row r="1455" ht="15" customHeight="1" x14ac:dyDescent="0.2"/>
    <row r="1456" ht="15" customHeight="1" x14ac:dyDescent="0.2"/>
    <row r="1457" ht="15" customHeight="1" x14ac:dyDescent="0.2"/>
    <row r="1458" ht="15" customHeight="1" x14ac:dyDescent="0.2"/>
    <row r="1459" ht="15" customHeight="1" x14ac:dyDescent="0.2"/>
    <row r="1460" ht="15" customHeight="1" x14ac:dyDescent="0.2"/>
    <row r="1461" ht="15" customHeight="1" x14ac:dyDescent="0.2"/>
    <row r="1462" ht="15" customHeight="1" x14ac:dyDescent="0.2"/>
    <row r="1463" ht="15" customHeight="1" x14ac:dyDescent="0.2"/>
    <row r="1464" ht="15" customHeight="1" x14ac:dyDescent="0.2"/>
    <row r="1465" ht="15" customHeight="1" x14ac:dyDescent="0.2"/>
    <row r="1466" ht="15" customHeight="1" x14ac:dyDescent="0.2"/>
    <row r="1467" ht="15" customHeight="1" x14ac:dyDescent="0.2"/>
    <row r="1468" ht="15" customHeight="1" x14ac:dyDescent="0.2"/>
    <row r="1469" ht="15" customHeight="1" x14ac:dyDescent="0.2"/>
    <row r="1470" ht="15" customHeight="1" x14ac:dyDescent="0.2"/>
    <row r="1471" ht="15" customHeight="1" x14ac:dyDescent="0.2"/>
    <row r="1472" ht="15" customHeight="1" x14ac:dyDescent="0.2"/>
    <row r="1473" ht="15" customHeight="1" x14ac:dyDescent="0.2"/>
    <row r="1474" ht="15" customHeight="1" x14ac:dyDescent="0.2"/>
    <row r="1475" ht="15" customHeight="1" x14ac:dyDescent="0.2"/>
    <row r="1476" ht="15" customHeight="1" x14ac:dyDescent="0.2"/>
    <row r="1477" ht="15" customHeight="1" x14ac:dyDescent="0.2"/>
    <row r="1478" ht="15" customHeight="1" x14ac:dyDescent="0.2"/>
    <row r="1479" ht="15" customHeight="1" x14ac:dyDescent="0.2"/>
    <row r="1480" ht="15" customHeight="1" x14ac:dyDescent="0.2"/>
    <row r="1481" ht="15" customHeight="1" x14ac:dyDescent="0.2"/>
    <row r="1482" ht="15" customHeight="1" x14ac:dyDescent="0.2"/>
    <row r="1483" ht="15" customHeight="1" x14ac:dyDescent="0.2"/>
    <row r="1484" ht="15" customHeight="1" x14ac:dyDescent="0.2"/>
    <row r="1485" ht="15" customHeight="1" x14ac:dyDescent="0.2"/>
    <row r="1486" ht="15" customHeight="1" x14ac:dyDescent="0.2"/>
    <row r="1487" ht="15" customHeight="1" x14ac:dyDescent="0.2"/>
    <row r="1488" ht="15" customHeight="1" x14ac:dyDescent="0.2"/>
    <row r="1489" ht="15" customHeight="1" x14ac:dyDescent="0.2"/>
    <row r="1490" ht="15" customHeight="1" x14ac:dyDescent="0.2"/>
    <row r="1491" ht="15" customHeight="1" x14ac:dyDescent="0.2"/>
    <row r="1492" ht="15" customHeight="1" x14ac:dyDescent="0.2"/>
    <row r="1493" ht="15" customHeight="1" x14ac:dyDescent="0.2"/>
    <row r="1494" ht="15" customHeight="1" x14ac:dyDescent="0.2"/>
    <row r="1495" ht="15" customHeight="1" x14ac:dyDescent="0.2"/>
    <row r="1496" ht="15" customHeight="1" x14ac:dyDescent="0.2"/>
    <row r="1497" ht="15" customHeight="1" x14ac:dyDescent="0.2"/>
    <row r="1498" ht="15" customHeight="1" x14ac:dyDescent="0.2"/>
    <row r="1499" ht="15" customHeight="1" x14ac:dyDescent="0.2"/>
    <row r="1500" ht="15" customHeight="1" x14ac:dyDescent="0.2"/>
    <row r="1501" ht="15" customHeight="1" x14ac:dyDescent="0.2"/>
    <row r="1502" ht="15" customHeight="1" x14ac:dyDescent="0.2"/>
    <row r="1503" ht="15" customHeight="1" x14ac:dyDescent="0.2"/>
    <row r="1504" ht="15" customHeight="1" x14ac:dyDescent="0.2"/>
    <row r="1505" ht="15" customHeight="1" x14ac:dyDescent="0.2"/>
    <row r="1506" ht="15" customHeight="1" x14ac:dyDescent="0.2"/>
    <row r="1507" ht="15" customHeight="1" x14ac:dyDescent="0.2"/>
    <row r="1508" ht="15" customHeight="1" x14ac:dyDescent="0.2"/>
    <row r="1509" ht="15" customHeight="1" x14ac:dyDescent="0.2"/>
    <row r="1510" ht="15" customHeight="1" x14ac:dyDescent="0.2"/>
    <row r="1511" ht="15" customHeight="1" x14ac:dyDescent="0.2"/>
    <row r="1512" ht="15" customHeight="1" x14ac:dyDescent="0.2"/>
    <row r="1513" ht="15" customHeight="1" x14ac:dyDescent="0.2"/>
    <row r="1514" ht="15" customHeight="1" x14ac:dyDescent="0.2"/>
    <row r="1515" ht="15" customHeight="1" x14ac:dyDescent="0.2"/>
    <row r="1516" ht="15" customHeight="1" x14ac:dyDescent="0.2"/>
    <row r="1517" ht="15" customHeight="1" x14ac:dyDescent="0.2"/>
    <row r="1518" ht="15" customHeight="1" x14ac:dyDescent="0.2"/>
    <row r="1519" ht="15" customHeight="1" x14ac:dyDescent="0.2"/>
    <row r="1520" ht="15" customHeight="1" x14ac:dyDescent="0.2"/>
    <row r="1521" ht="15" customHeight="1" x14ac:dyDescent="0.2"/>
    <row r="1522" ht="15" customHeight="1" x14ac:dyDescent="0.2"/>
    <row r="1523" ht="15" customHeight="1" x14ac:dyDescent="0.2"/>
    <row r="1524" ht="15" customHeight="1" x14ac:dyDescent="0.2"/>
    <row r="1525" ht="15" customHeight="1" x14ac:dyDescent="0.2"/>
    <row r="1526" ht="15" customHeight="1" x14ac:dyDescent="0.2"/>
    <row r="1527" ht="15" customHeight="1" x14ac:dyDescent="0.2"/>
    <row r="1528" ht="15" customHeight="1" x14ac:dyDescent="0.2"/>
    <row r="1529" ht="15" customHeight="1" x14ac:dyDescent="0.2"/>
    <row r="1530" ht="15" customHeight="1" x14ac:dyDescent="0.2"/>
    <row r="1531" ht="15" customHeight="1" x14ac:dyDescent="0.2"/>
    <row r="1532" ht="15" customHeight="1" x14ac:dyDescent="0.2"/>
    <row r="1533" ht="15" customHeight="1" x14ac:dyDescent="0.2"/>
    <row r="1534" ht="15" customHeight="1" x14ac:dyDescent="0.2"/>
    <row r="1535" ht="15" customHeight="1" x14ac:dyDescent="0.2"/>
    <row r="1536" ht="15" customHeight="1" x14ac:dyDescent="0.2"/>
    <row r="1537" ht="15" customHeight="1" x14ac:dyDescent="0.2"/>
    <row r="1538" ht="15" customHeight="1" x14ac:dyDescent="0.2"/>
    <row r="1539" ht="15" customHeight="1" x14ac:dyDescent="0.2"/>
    <row r="1540" ht="15" customHeight="1" x14ac:dyDescent="0.2"/>
    <row r="1541" ht="15" customHeight="1" x14ac:dyDescent="0.2"/>
    <row r="1542" ht="15" customHeight="1" x14ac:dyDescent="0.2"/>
    <row r="1543" ht="15" customHeight="1" x14ac:dyDescent="0.2"/>
    <row r="1544" ht="15" customHeight="1" x14ac:dyDescent="0.2"/>
    <row r="1545" ht="15" customHeight="1" x14ac:dyDescent="0.2"/>
    <row r="1546" ht="15" customHeight="1" x14ac:dyDescent="0.2"/>
    <row r="1547" ht="15" customHeight="1" x14ac:dyDescent="0.2"/>
    <row r="1548" ht="15" customHeight="1" x14ac:dyDescent="0.2"/>
    <row r="1549" ht="15" customHeight="1" x14ac:dyDescent="0.2"/>
    <row r="1550" ht="15" customHeight="1" x14ac:dyDescent="0.2"/>
    <row r="1551" ht="15" customHeight="1" x14ac:dyDescent="0.2"/>
    <row r="1552" ht="15" customHeight="1" x14ac:dyDescent="0.2"/>
    <row r="1553" ht="15" customHeight="1" x14ac:dyDescent="0.2"/>
    <row r="1554" ht="15" customHeight="1" x14ac:dyDescent="0.2"/>
    <row r="1555" ht="15" customHeight="1" x14ac:dyDescent="0.2"/>
    <row r="1556" ht="15" customHeight="1" x14ac:dyDescent="0.2"/>
    <row r="1557" ht="15" customHeight="1" x14ac:dyDescent="0.2"/>
    <row r="1558" ht="15" customHeight="1" x14ac:dyDescent="0.2"/>
    <row r="1559" ht="15" customHeight="1" x14ac:dyDescent="0.2"/>
    <row r="1560" ht="15" customHeight="1" x14ac:dyDescent="0.2"/>
    <row r="1561" ht="15" customHeight="1" x14ac:dyDescent="0.2"/>
    <row r="1562" ht="15" customHeight="1" x14ac:dyDescent="0.2"/>
    <row r="1563" ht="15" customHeight="1" x14ac:dyDescent="0.2"/>
    <row r="1564" ht="15" customHeight="1" x14ac:dyDescent="0.2"/>
    <row r="1565" ht="15" customHeight="1" x14ac:dyDescent="0.2"/>
    <row r="1566" ht="15" customHeight="1" x14ac:dyDescent="0.2"/>
    <row r="1567" ht="15" customHeight="1" x14ac:dyDescent="0.2"/>
    <row r="1568" ht="15" customHeight="1" x14ac:dyDescent="0.2"/>
    <row r="1569" ht="15" customHeight="1" x14ac:dyDescent="0.2"/>
    <row r="1570" ht="15" customHeight="1" x14ac:dyDescent="0.2"/>
    <row r="1571" ht="15" customHeight="1" x14ac:dyDescent="0.2"/>
    <row r="1572" ht="15" customHeight="1" x14ac:dyDescent="0.2"/>
    <row r="1573" ht="15" customHeight="1" x14ac:dyDescent="0.2"/>
    <row r="1574" ht="15" customHeight="1" x14ac:dyDescent="0.2"/>
    <row r="1575" ht="15" customHeight="1" x14ac:dyDescent="0.2"/>
    <row r="1576" ht="15" customHeight="1" x14ac:dyDescent="0.2"/>
    <row r="1577" ht="15" customHeight="1" x14ac:dyDescent="0.2"/>
    <row r="1578" ht="15" customHeight="1" x14ac:dyDescent="0.2"/>
    <row r="1579" ht="15" customHeight="1" x14ac:dyDescent="0.2"/>
    <row r="1580" ht="15" customHeight="1" x14ac:dyDescent="0.2"/>
    <row r="1581" ht="15" customHeight="1" x14ac:dyDescent="0.2"/>
    <row r="1582" ht="15" customHeight="1" x14ac:dyDescent="0.2"/>
    <row r="1583" ht="15" customHeight="1" x14ac:dyDescent="0.2"/>
    <row r="1584" ht="15" customHeight="1" x14ac:dyDescent="0.2"/>
    <row r="1585" ht="15" customHeight="1" x14ac:dyDescent="0.2"/>
    <row r="1586" ht="15" customHeight="1" x14ac:dyDescent="0.2"/>
    <row r="1587" ht="15" customHeight="1" x14ac:dyDescent="0.2"/>
    <row r="1588" ht="15" customHeight="1" x14ac:dyDescent="0.2"/>
    <row r="1589" ht="15" customHeight="1" x14ac:dyDescent="0.2"/>
    <row r="1590" ht="15" customHeight="1" x14ac:dyDescent="0.2"/>
    <row r="1591" ht="15" customHeight="1" x14ac:dyDescent="0.2"/>
    <row r="1592" ht="15" customHeight="1" x14ac:dyDescent="0.2"/>
    <row r="1593" ht="15" customHeight="1" x14ac:dyDescent="0.2"/>
    <row r="1594" ht="15" customHeight="1" x14ac:dyDescent="0.2"/>
    <row r="1595" ht="15" customHeight="1" x14ac:dyDescent="0.2"/>
    <row r="1596" ht="15" customHeight="1" x14ac:dyDescent="0.2"/>
    <row r="1597" ht="15" customHeight="1" x14ac:dyDescent="0.2"/>
    <row r="1598" ht="15" customHeight="1" x14ac:dyDescent="0.2"/>
    <row r="1599" ht="15" customHeight="1" x14ac:dyDescent="0.2"/>
    <row r="1600" ht="15" customHeight="1" x14ac:dyDescent="0.2"/>
    <row r="1601" ht="15" customHeight="1" x14ac:dyDescent="0.2"/>
    <row r="1602" ht="15" customHeight="1" x14ac:dyDescent="0.2"/>
    <row r="1603" ht="15" customHeight="1" x14ac:dyDescent="0.2"/>
    <row r="1604" ht="15" customHeight="1" x14ac:dyDescent="0.2"/>
    <row r="1605" ht="15" customHeight="1" x14ac:dyDescent="0.2"/>
    <row r="1606" ht="15" customHeight="1" x14ac:dyDescent="0.2"/>
    <row r="1607" ht="15" customHeight="1" x14ac:dyDescent="0.2"/>
    <row r="1608" ht="15" customHeight="1" x14ac:dyDescent="0.2"/>
    <row r="1609" ht="15" customHeight="1" x14ac:dyDescent="0.2"/>
    <row r="1610" ht="15" customHeight="1" x14ac:dyDescent="0.2"/>
    <row r="1611" ht="15" customHeight="1" x14ac:dyDescent="0.2"/>
    <row r="1612" ht="15" customHeight="1" x14ac:dyDescent="0.2"/>
    <row r="1613" ht="15" customHeight="1" x14ac:dyDescent="0.2"/>
    <row r="1614" ht="15" customHeight="1" x14ac:dyDescent="0.2"/>
    <row r="1615" ht="15" customHeight="1" x14ac:dyDescent="0.2"/>
    <row r="1616" ht="15" customHeight="1" x14ac:dyDescent="0.2"/>
    <row r="1617" ht="15" customHeight="1" x14ac:dyDescent="0.2"/>
    <row r="1618" ht="15" customHeight="1" x14ac:dyDescent="0.2"/>
    <row r="1619" ht="15" customHeight="1" x14ac:dyDescent="0.2"/>
    <row r="1620" ht="15" customHeight="1" x14ac:dyDescent="0.2"/>
    <row r="1621" ht="15" customHeight="1" x14ac:dyDescent="0.2"/>
    <row r="1622" ht="15" customHeight="1" x14ac:dyDescent="0.2"/>
    <row r="1623" ht="15" customHeight="1" x14ac:dyDescent="0.2"/>
    <row r="1624" ht="15" customHeight="1" x14ac:dyDescent="0.2"/>
    <row r="1625" ht="15" customHeight="1" x14ac:dyDescent="0.2"/>
    <row r="1626" ht="15" customHeight="1" x14ac:dyDescent="0.2"/>
    <row r="1627" ht="15" customHeight="1" x14ac:dyDescent="0.2"/>
    <row r="1628" ht="15" customHeight="1" x14ac:dyDescent="0.2"/>
    <row r="1629" ht="15" customHeight="1" x14ac:dyDescent="0.2"/>
    <row r="1630" ht="15" customHeight="1" x14ac:dyDescent="0.2"/>
    <row r="1631" ht="15" customHeight="1" x14ac:dyDescent="0.2"/>
    <row r="1632" ht="15" customHeight="1" x14ac:dyDescent="0.2"/>
    <row r="1633" ht="15" customHeight="1" x14ac:dyDescent="0.2"/>
    <row r="1634" ht="15" customHeight="1" x14ac:dyDescent="0.2"/>
    <row r="1635" ht="15" customHeight="1" x14ac:dyDescent="0.2"/>
    <row r="1636" ht="15" customHeight="1" x14ac:dyDescent="0.2"/>
    <row r="1637" ht="15" customHeight="1" x14ac:dyDescent="0.2"/>
    <row r="1638" ht="15" customHeight="1" x14ac:dyDescent="0.2"/>
    <row r="1639" ht="15" customHeight="1" x14ac:dyDescent="0.2"/>
    <row r="1640" ht="15" customHeight="1" x14ac:dyDescent="0.2"/>
    <row r="1641" ht="15" customHeight="1" x14ac:dyDescent="0.2"/>
    <row r="1642" ht="15" customHeight="1" x14ac:dyDescent="0.2"/>
    <row r="1643" ht="15" customHeight="1" x14ac:dyDescent="0.2"/>
    <row r="1644" ht="15" customHeight="1" x14ac:dyDescent="0.2"/>
    <row r="1645" ht="15" customHeight="1" x14ac:dyDescent="0.2"/>
    <row r="1646" ht="15" customHeight="1" x14ac:dyDescent="0.2"/>
    <row r="1647" ht="15" customHeight="1" x14ac:dyDescent="0.2"/>
    <row r="1648" ht="15" customHeight="1" x14ac:dyDescent="0.2"/>
    <row r="1649" ht="15" customHeight="1" x14ac:dyDescent="0.2"/>
    <row r="1650" ht="15" customHeight="1" x14ac:dyDescent="0.2"/>
    <row r="1651" ht="15" customHeight="1" x14ac:dyDescent="0.2"/>
    <row r="1652" ht="15" customHeight="1" x14ac:dyDescent="0.2"/>
    <row r="1653" ht="15" customHeight="1" x14ac:dyDescent="0.2"/>
    <row r="1654" ht="15" customHeight="1" x14ac:dyDescent="0.2"/>
    <row r="1655" ht="15" customHeight="1" x14ac:dyDescent="0.2"/>
    <row r="1656" ht="15" customHeight="1" x14ac:dyDescent="0.2"/>
    <row r="1657" ht="15" customHeight="1" x14ac:dyDescent="0.2"/>
    <row r="1658" ht="15" customHeight="1" x14ac:dyDescent="0.2"/>
    <row r="1659" ht="15" customHeight="1" x14ac:dyDescent="0.2"/>
    <row r="1660" ht="15" customHeight="1" x14ac:dyDescent="0.2"/>
    <row r="1661" ht="15" customHeight="1" x14ac:dyDescent="0.2"/>
    <row r="1662" ht="15" customHeight="1" x14ac:dyDescent="0.2"/>
    <row r="1663" ht="15" customHeight="1" x14ac:dyDescent="0.2"/>
    <row r="1664" ht="15" customHeight="1" x14ac:dyDescent="0.2"/>
    <row r="1665" ht="15" customHeight="1" x14ac:dyDescent="0.2"/>
    <row r="1666" ht="15" customHeight="1" x14ac:dyDescent="0.2"/>
    <row r="1667" ht="15" customHeight="1" x14ac:dyDescent="0.2"/>
    <row r="1668" ht="15" customHeight="1" x14ac:dyDescent="0.2"/>
    <row r="1669" ht="15" customHeight="1" x14ac:dyDescent="0.2"/>
    <row r="1670" ht="15" customHeight="1" x14ac:dyDescent="0.2"/>
    <row r="1671" ht="15" customHeight="1" x14ac:dyDescent="0.2"/>
    <row r="1672" ht="15" customHeight="1" x14ac:dyDescent="0.2"/>
    <row r="1673" ht="15" customHeight="1" x14ac:dyDescent="0.2"/>
    <row r="1674" ht="15" customHeight="1" x14ac:dyDescent="0.2"/>
    <row r="1675" ht="15" customHeight="1" x14ac:dyDescent="0.2"/>
    <row r="1676" ht="15" customHeight="1" x14ac:dyDescent="0.2"/>
    <row r="1677" ht="15" customHeight="1" x14ac:dyDescent="0.2"/>
    <row r="1678" ht="15" customHeight="1" x14ac:dyDescent="0.2"/>
    <row r="1679" ht="15" customHeight="1" x14ac:dyDescent="0.2"/>
    <row r="1680" ht="15" customHeight="1" x14ac:dyDescent="0.2"/>
    <row r="1681" ht="15" customHeight="1" x14ac:dyDescent="0.2"/>
    <row r="1682" ht="15" customHeight="1" x14ac:dyDescent="0.2"/>
    <row r="1683" ht="15" customHeight="1" x14ac:dyDescent="0.2"/>
    <row r="1684" ht="15" customHeight="1" x14ac:dyDescent="0.2"/>
    <row r="1685" ht="15" customHeight="1" x14ac:dyDescent="0.2"/>
    <row r="1686" ht="15" customHeight="1" x14ac:dyDescent="0.2"/>
    <row r="1687" ht="15" customHeight="1" x14ac:dyDescent="0.2"/>
    <row r="1688" ht="15" customHeight="1" x14ac:dyDescent="0.2"/>
    <row r="1689" ht="15" customHeight="1" x14ac:dyDescent="0.2"/>
    <row r="1690" ht="15" customHeight="1" x14ac:dyDescent="0.2"/>
    <row r="1691" ht="15" customHeight="1" x14ac:dyDescent="0.2"/>
    <row r="1692" ht="15" customHeight="1" x14ac:dyDescent="0.2"/>
    <row r="1693" ht="15" customHeight="1" x14ac:dyDescent="0.2"/>
    <row r="1694" ht="15" customHeight="1" x14ac:dyDescent="0.2"/>
    <row r="1695" ht="15" customHeight="1" x14ac:dyDescent="0.2"/>
    <row r="1696" ht="15" customHeight="1" x14ac:dyDescent="0.2"/>
    <row r="1697" ht="15" customHeight="1" x14ac:dyDescent="0.2"/>
    <row r="1698" ht="15" customHeight="1" x14ac:dyDescent="0.2"/>
    <row r="1699" ht="15" customHeight="1" x14ac:dyDescent="0.2"/>
    <row r="1700" ht="15" customHeight="1" x14ac:dyDescent="0.2"/>
    <row r="1701" ht="15" customHeight="1" x14ac:dyDescent="0.2"/>
    <row r="1702" ht="15" customHeight="1" x14ac:dyDescent="0.2"/>
    <row r="1703" ht="15" customHeight="1" x14ac:dyDescent="0.2"/>
    <row r="1704" ht="15" customHeight="1" x14ac:dyDescent="0.2"/>
    <row r="1705" ht="15" customHeight="1" x14ac:dyDescent="0.2"/>
    <row r="1706" ht="15" customHeight="1" x14ac:dyDescent="0.2"/>
    <row r="1707" ht="15" customHeight="1" x14ac:dyDescent="0.2"/>
    <row r="1708" ht="15" customHeight="1" x14ac:dyDescent="0.2"/>
    <row r="1709" ht="15" customHeight="1" x14ac:dyDescent="0.2"/>
    <row r="1710" ht="15" customHeight="1" x14ac:dyDescent="0.2"/>
    <row r="1711" ht="15" customHeight="1" x14ac:dyDescent="0.2"/>
    <row r="1712" ht="15" customHeight="1" x14ac:dyDescent="0.2"/>
    <row r="1713" ht="15" customHeight="1" x14ac:dyDescent="0.2"/>
    <row r="1714" ht="15" customHeight="1" x14ac:dyDescent="0.2"/>
    <row r="1715" ht="15" customHeight="1" x14ac:dyDescent="0.2"/>
    <row r="1716" ht="15" customHeight="1" x14ac:dyDescent="0.2"/>
    <row r="1717" ht="15" customHeight="1" x14ac:dyDescent="0.2"/>
    <row r="1718" ht="15" customHeight="1" x14ac:dyDescent="0.2"/>
    <row r="1719" ht="15" customHeight="1" x14ac:dyDescent="0.2"/>
    <row r="1720" ht="15" customHeight="1" x14ac:dyDescent="0.2"/>
    <row r="1721" ht="15" customHeight="1" x14ac:dyDescent="0.2"/>
    <row r="1722" ht="15" customHeight="1" x14ac:dyDescent="0.2"/>
    <row r="1723" ht="15" customHeight="1" x14ac:dyDescent="0.2"/>
    <row r="1724" ht="15" customHeight="1" x14ac:dyDescent="0.2"/>
    <row r="1725" ht="15" customHeight="1" x14ac:dyDescent="0.2"/>
    <row r="1726" ht="15" customHeight="1" x14ac:dyDescent="0.2"/>
    <row r="1727" ht="15" customHeight="1" x14ac:dyDescent="0.2"/>
    <row r="1728" ht="15" customHeight="1" x14ac:dyDescent="0.2"/>
    <row r="1729" ht="15" customHeight="1" x14ac:dyDescent="0.2"/>
    <row r="1730" ht="15" customHeight="1" x14ac:dyDescent="0.2"/>
    <row r="1731" ht="15" customHeight="1" x14ac:dyDescent="0.2"/>
    <row r="1732" ht="15" customHeight="1" x14ac:dyDescent="0.2"/>
    <row r="1733" ht="15" customHeight="1" x14ac:dyDescent="0.2"/>
    <row r="1734" ht="15" customHeight="1" x14ac:dyDescent="0.2"/>
    <row r="1735" ht="15" customHeight="1" x14ac:dyDescent="0.2"/>
    <row r="1736" ht="15" customHeight="1" x14ac:dyDescent="0.2"/>
    <row r="1737" ht="15" customHeight="1" x14ac:dyDescent="0.2"/>
    <row r="1738" ht="15" customHeight="1" x14ac:dyDescent="0.2"/>
    <row r="1739" ht="15" customHeight="1" x14ac:dyDescent="0.2"/>
    <row r="1740" ht="15" customHeight="1" x14ac:dyDescent="0.2"/>
    <row r="1741" ht="15" customHeight="1" x14ac:dyDescent="0.2"/>
    <row r="1742" ht="15" customHeight="1" x14ac:dyDescent="0.2"/>
    <row r="1743" ht="15" customHeight="1" x14ac:dyDescent="0.2"/>
    <row r="1744" ht="15" customHeight="1" x14ac:dyDescent="0.2"/>
    <row r="1745" ht="15" customHeight="1" x14ac:dyDescent="0.2"/>
    <row r="1746" ht="15" customHeight="1" x14ac:dyDescent="0.2"/>
    <row r="1747" ht="15" customHeight="1" x14ac:dyDescent="0.2"/>
    <row r="1748" ht="15" customHeight="1" x14ac:dyDescent="0.2"/>
    <row r="1749" ht="15" customHeight="1" x14ac:dyDescent="0.2"/>
    <row r="1750" ht="15" customHeight="1" x14ac:dyDescent="0.2"/>
    <row r="1751" ht="15" customHeight="1" x14ac:dyDescent="0.2"/>
    <row r="1752" ht="15" customHeight="1" x14ac:dyDescent="0.2"/>
    <row r="1753" ht="15" customHeight="1" x14ac:dyDescent="0.2"/>
    <row r="1754" ht="15" customHeight="1" x14ac:dyDescent="0.2"/>
    <row r="1755" ht="15" customHeight="1" x14ac:dyDescent="0.2"/>
    <row r="1756" ht="15" customHeight="1" x14ac:dyDescent="0.2"/>
    <row r="1757" ht="15" customHeight="1" x14ac:dyDescent="0.2"/>
    <row r="1758" ht="15" customHeight="1" x14ac:dyDescent="0.2"/>
    <row r="1759" ht="15" customHeight="1" x14ac:dyDescent="0.2"/>
    <row r="1760" ht="15" customHeight="1" x14ac:dyDescent="0.2"/>
    <row r="1761" ht="15" customHeight="1" x14ac:dyDescent="0.2"/>
    <row r="1762" ht="15" customHeight="1" x14ac:dyDescent="0.2"/>
    <row r="1763" ht="15" customHeight="1" x14ac:dyDescent="0.2"/>
    <row r="1764" ht="15" customHeight="1" x14ac:dyDescent="0.2"/>
    <row r="1765" ht="15" customHeight="1" x14ac:dyDescent="0.2"/>
    <row r="1766" ht="15" customHeight="1" x14ac:dyDescent="0.2"/>
    <row r="1767" ht="15" customHeight="1" x14ac:dyDescent="0.2"/>
    <row r="1768" ht="15" customHeight="1" x14ac:dyDescent="0.2"/>
    <row r="1769" ht="15" customHeight="1" x14ac:dyDescent="0.2"/>
    <row r="1770" ht="15" customHeight="1" x14ac:dyDescent="0.2"/>
    <row r="1771" ht="15" customHeight="1" x14ac:dyDescent="0.2"/>
    <row r="1772" ht="15" customHeight="1" x14ac:dyDescent="0.2"/>
    <row r="1773" ht="15" customHeight="1" x14ac:dyDescent="0.2"/>
    <row r="1774" ht="15" customHeight="1" x14ac:dyDescent="0.2"/>
    <row r="1775" ht="15" customHeight="1" x14ac:dyDescent="0.2"/>
    <row r="1776" ht="15" customHeight="1" x14ac:dyDescent="0.2"/>
    <row r="1777" ht="15" customHeight="1" x14ac:dyDescent="0.2"/>
    <row r="1778" ht="15" customHeight="1" x14ac:dyDescent="0.2"/>
    <row r="1779" ht="15" customHeight="1" x14ac:dyDescent="0.2"/>
    <row r="1780" ht="15" customHeight="1" x14ac:dyDescent="0.2"/>
    <row r="1781" ht="15" customHeight="1" x14ac:dyDescent="0.2"/>
    <row r="1782" ht="15" customHeight="1" x14ac:dyDescent="0.2"/>
    <row r="1783" ht="15" customHeight="1" x14ac:dyDescent="0.2"/>
    <row r="1784" ht="15" customHeight="1" x14ac:dyDescent="0.2"/>
    <row r="1785" ht="15" customHeight="1" x14ac:dyDescent="0.2"/>
    <row r="1786" ht="15" customHeight="1" x14ac:dyDescent="0.2"/>
    <row r="1787" ht="15" customHeight="1" x14ac:dyDescent="0.2"/>
    <row r="1788" ht="15" customHeight="1" x14ac:dyDescent="0.2"/>
    <row r="1789" ht="15" customHeight="1" x14ac:dyDescent="0.2"/>
    <row r="1790" ht="15" customHeight="1" x14ac:dyDescent="0.2"/>
    <row r="1791" ht="15" customHeight="1" x14ac:dyDescent="0.2"/>
    <row r="1792" ht="15" customHeight="1" x14ac:dyDescent="0.2"/>
    <row r="1793" ht="15" customHeight="1" x14ac:dyDescent="0.2"/>
    <row r="1794" ht="15" customHeight="1" x14ac:dyDescent="0.2"/>
    <row r="1795" ht="15" customHeight="1" x14ac:dyDescent="0.2"/>
    <row r="1796" ht="15" customHeight="1" x14ac:dyDescent="0.2"/>
    <row r="1797" ht="15" customHeight="1" x14ac:dyDescent="0.2"/>
    <row r="1798" ht="15" customHeight="1" x14ac:dyDescent="0.2"/>
    <row r="1799" ht="15" customHeight="1" x14ac:dyDescent="0.2"/>
    <row r="1800" ht="15" customHeight="1" x14ac:dyDescent="0.2"/>
    <row r="1801" ht="15" customHeight="1" x14ac:dyDescent="0.2"/>
    <row r="1802" ht="15" customHeight="1" x14ac:dyDescent="0.2"/>
    <row r="1803" ht="15" customHeight="1" x14ac:dyDescent="0.2"/>
    <row r="1804" ht="15" customHeight="1" x14ac:dyDescent="0.2"/>
    <row r="1805" ht="15" customHeight="1" x14ac:dyDescent="0.2"/>
    <row r="1806" ht="15" customHeight="1" x14ac:dyDescent="0.2"/>
    <row r="1807" ht="15" customHeight="1" x14ac:dyDescent="0.2"/>
    <row r="1808" ht="15" customHeight="1" x14ac:dyDescent="0.2"/>
    <row r="1809" ht="15" customHeight="1" x14ac:dyDescent="0.2"/>
    <row r="1810" ht="15" customHeight="1" x14ac:dyDescent="0.2"/>
    <row r="1811" ht="15" customHeight="1" x14ac:dyDescent="0.2"/>
    <row r="1812" ht="15" customHeight="1" x14ac:dyDescent="0.2"/>
    <row r="1813" ht="15" customHeight="1" x14ac:dyDescent="0.2"/>
    <row r="1814" ht="15" customHeight="1" x14ac:dyDescent="0.2"/>
    <row r="1815" ht="15" customHeight="1" x14ac:dyDescent="0.2"/>
    <row r="1816" ht="15" customHeight="1" x14ac:dyDescent="0.2"/>
    <row r="1817" ht="15" customHeight="1" x14ac:dyDescent="0.2"/>
    <row r="1818" ht="15" customHeight="1" x14ac:dyDescent="0.2"/>
    <row r="1819" ht="15" customHeight="1" x14ac:dyDescent="0.2"/>
    <row r="1820" ht="15" customHeight="1" x14ac:dyDescent="0.2"/>
    <row r="1821" ht="15" customHeight="1" x14ac:dyDescent="0.2"/>
    <row r="1822" ht="15" customHeight="1" x14ac:dyDescent="0.2"/>
    <row r="1823" ht="15" customHeight="1" x14ac:dyDescent="0.2"/>
    <row r="1824" ht="15" customHeight="1" x14ac:dyDescent="0.2"/>
    <row r="1825" ht="15" customHeight="1" x14ac:dyDescent="0.2"/>
    <row r="1826" ht="15" customHeight="1" x14ac:dyDescent="0.2"/>
    <row r="1827" ht="15" customHeight="1" x14ac:dyDescent="0.2"/>
    <row r="1828" ht="15" customHeight="1" x14ac:dyDescent="0.2"/>
    <row r="1829" ht="15" customHeight="1" x14ac:dyDescent="0.2"/>
    <row r="1830" ht="15" customHeight="1" x14ac:dyDescent="0.2"/>
    <row r="1831" ht="15" customHeight="1" x14ac:dyDescent="0.2"/>
    <row r="1832" ht="15" customHeight="1" x14ac:dyDescent="0.2"/>
    <row r="1833" ht="15" customHeight="1" x14ac:dyDescent="0.2"/>
    <row r="1834" ht="15" customHeight="1" x14ac:dyDescent="0.2"/>
    <row r="1835" ht="15" customHeight="1" x14ac:dyDescent="0.2"/>
    <row r="1836" ht="15" customHeight="1" x14ac:dyDescent="0.2"/>
    <row r="1837" ht="15" customHeight="1" x14ac:dyDescent="0.2"/>
    <row r="1838" ht="15" customHeight="1" x14ac:dyDescent="0.2"/>
    <row r="1839" ht="15" customHeight="1" x14ac:dyDescent="0.2"/>
    <row r="1840" ht="15" customHeight="1" x14ac:dyDescent="0.2"/>
    <row r="1841" ht="15" customHeight="1" x14ac:dyDescent="0.2"/>
    <row r="1842" ht="15" customHeight="1" x14ac:dyDescent="0.2"/>
    <row r="1843" ht="15" customHeight="1" x14ac:dyDescent="0.2"/>
    <row r="1844" ht="15" customHeight="1" x14ac:dyDescent="0.2"/>
    <row r="1845" ht="15" customHeight="1" x14ac:dyDescent="0.2"/>
    <row r="1846" ht="15" customHeight="1" x14ac:dyDescent="0.2"/>
    <row r="1847" ht="15" customHeight="1" x14ac:dyDescent="0.2"/>
    <row r="1848" ht="15" customHeight="1" x14ac:dyDescent="0.2"/>
    <row r="1849" ht="15" customHeight="1" x14ac:dyDescent="0.2"/>
    <row r="1850" ht="15" customHeight="1" x14ac:dyDescent="0.2"/>
    <row r="1851" ht="15" customHeight="1" x14ac:dyDescent="0.2"/>
    <row r="1852" ht="15" customHeight="1" x14ac:dyDescent="0.2"/>
    <row r="1853" ht="15" customHeight="1" x14ac:dyDescent="0.2"/>
    <row r="1854" ht="15" customHeight="1" x14ac:dyDescent="0.2"/>
    <row r="1855" ht="15" customHeight="1" x14ac:dyDescent="0.2"/>
    <row r="1856" ht="15" customHeight="1" x14ac:dyDescent="0.2"/>
    <row r="1857" ht="15" customHeight="1" x14ac:dyDescent="0.2"/>
    <row r="1858" ht="15" customHeight="1" x14ac:dyDescent="0.2"/>
    <row r="1859" ht="15" customHeight="1" x14ac:dyDescent="0.2"/>
    <row r="1860" ht="15" customHeight="1" x14ac:dyDescent="0.2"/>
    <row r="1861" ht="15" customHeight="1" x14ac:dyDescent="0.2"/>
    <row r="1862" ht="15" customHeight="1" x14ac:dyDescent="0.2"/>
    <row r="1863" ht="15" customHeight="1" x14ac:dyDescent="0.2"/>
    <row r="1864" ht="15" customHeight="1" x14ac:dyDescent="0.2"/>
    <row r="1865" ht="15" customHeight="1" x14ac:dyDescent="0.2"/>
    <row r="1866" ht="15" customHeight="1" x14ac:dyDescent="0.2"/>
    <row r="1867" ht="15" customHeight="1" x14ac:dyDescent="0.2"/>
    <row r="1868" ht="15" customHeight="1" x14ac:dyDescent="0.2"/>
    <row r="1869" ht="15" customHeight="1" x14ac:dyDescent="0.2"/>
    <row r="1870" ht="15" customHeight="1" x14ac:dyDescent="0.2"/>
    <row r="1871" ht="15" customHeight="1" x14ac:dyDescent="0.2"/>
    <row r="1872" ht="15" customHeight="1" x14ac:dyDescent="0.2"/>
    <row r="1873" ht="15" customHeight="1" x14ac:dyDescent="0.2"/>
    <row r="1874" ht="15" customHeight="1" x14ac:dyDescent="0.2"/>
    <row r="1875" ht="15" customHeight="1" x14ac:dyDescent="0.2"/>
    <row r="1876" ht="15" customHeight="1" x14ac:dyDescent="0.2"/>
    <row r="1877" ht="15" customHeight="1" x14ac:dyDescent="0.2"/>
    <row r="1878" ht="15" customHeight="1" x14ac:dyDescent="0.2"/>
    <row r="1879" ht="15" customHeight="1" x14ac:dyDescent="0.2"/>
    <row r="1880" ht="15" customHeight="1" x14ac:dyDescent="0.2"/>
    <row r="1881" ht="15" customHeight="1" x14ac:dyDescent="0.2"/>
    <row r="1882" ht="15" customHeight="1" x14ac:dyDescent="0.2"/>
    <row r="1883" ht="15" customHeight="1" x14ac:dyDescent="0.2"/>
    <row r="1884" ht="15" customHeight="1" x14ac:dyDescent="0.2"/>
    <row r="1885" ht="15" customHeight="1" x14ac:dyDescent="0.2"/>
    <row r="1886" ht="15" customHeight="1" x14ac:dyDescent="0.2"/>
    <row r="1887" ht="15" customHeight="1" x14ac:dyDescent="0.2"/>
    <row r="1888" ht="15" customHeight="1" x14ac:dyDescent="0.2"/>
    <row r="1889" ht="15" customHeight="1" x14ac:dyDescent="0.2"/>
    <row r="1890" ht="15" customHeight="1" x14ac:dyDescent="0.2"/>
    <row r="1891" ht="15" customHeight="1" x14ac:dyDescent="0.2"/>
    <row r="1892" ht="15" customHeight="1" x14ac:dyDescent="0.2"/>
    <row r="1893" ht="15" customHeight="1" x14ac:dyDescent="0.2"/>
    <row r="1894" ht="15" customHeight="1" x14ac:dyDescent="0.2"/>
    <row r="1895" ht="15" customHeight="1" x14ac:dyDescent="0.2"/>
    <row r="1896" ht="15" customHeight="1" x14ac:dyDescent="0.2"/>
    <row r="1897" ht="15" customHeight="1" x14ac:dyDescent="0.2"/>
    <row r="1898" ht="15" customHeight="1" x14ac:dyDescent="0.2"/>
    <row r="1899" ht="15" customHeight="1" x14ac:dyDescent="0.2"/>
    <row r="1900" ht="15" customHeight="1" x14ac:dyDescent="0.2"/>
    <row r="1901" ht="15" customHeight="1" x14ac:dyDescent="0.2"/>
    <row r="1902" ht="15" customHeight="1" x14ac:dyDescent="0.2"/>
    <row r="1903" ht="15" customHeight="1" x14ac:dyDescent="0.2"/>
    <row r="1904" ht="15" customHeight="1" x14ac:dyDescent="0.2"/>
    <row r="1905" ht="15" customHeight="1" x14ac:dyDescent="0.2"/>
    <row r="1906" ht="15" customHeight="1" x14ac:dyDescent="0.2"/>
    <row r="1907" ht="15" customHeight="1" x14ac:dyDescent="0.2"/>
    <row r="1908" ht="15" customHeight="1" x14ac:dyDescent="0.2"/>
    <row r="1909" ht="15" customHeight="1" x14ac:dyDescent="0.2"/>
    <row r="1910" ht="15" customHeight="1" x14ac:dyDescent="0.2"/>
    <row r="1911" ht="15" customHeight="1" x14ac:dyDescent="0.2"/>
    <row r="1912" ht="15" customHeight="1" x14ac:dyDescent="0.2"/>
    <row r="1913" ht="15" customHeight="1" x14ac:dyDescent="0.2"/>
    <row r="1914" ht="15" customHeight="1" x14ac:dyDescent="0.2"/>
    <row r="1915" ht="15" customHeight="1" x14ac:dyDescent="0.2"/>
    <row r="1916" ht="15" customHeight="1" x14ac:dyDescent="0.2"/>
    <row r="1917" ht="15" customHeight="1" x14ac:dyDescent="0.2"/>
    <row r="1918" ht="15" customHeight="1" x14ac:dyDescent="0.2"/>
    <row r="1919" ht="15" customHeight="1" x14ac:dyDescent="0.2"/>
    <row r="1920" ht="15" customHeight="1" x14ac:dyDescent="0.2"/>
    <row r="1921" ht="15" customHeight="1" x14ac:dyDescent="0.2"/>
    <row r="1922" ht="15" customHeight="1" x14ac:dyDescent="0.2"/>
    <row r="1923" ht="15" customHeight="1" x14ac:dyDescent="0.2"/>
    <row r="1924" ht="15" customHeight="1" x14ac:dyDescent="0.2"/>
    <row r="1925" ht="15" customHeight="1" x14ac:dyDescent="0.2"/>
    <row r="1926" ht="15" customHeight="1" x14ac:dyDescent="0.2"/>
    <row r="1927" ht="15" customHeight="1" x14ac:dyDescent="0.2"/>
    <row r="1928" ht="15" customHeight="1" x14ac:dyDescent="0.2"/>
    <row r="1929" ht="15" customHeight="1" x14ac:dyDescent="0.2"/>
    <row r="1930" ht="15" customHeight="1" x14ac:dyDescent="0.2"/>
    <row r="1931" ht="15" customHeight="1" x14ac:dyDescent="0.2"/>
    <row r="1932" ht="15" customHeight="1" x14ac:dyDescent="0.2"/>
    <row r="1933" ht="15" customHeight="1" x14ac:dyDescent="0.2"/>
    <row r="1934" ht="15" customHeight="1" x14ac:dyDescent="0.2"/>
    <row r="1935" ht="15" customHeight="1" x14ac:dyDescent="0.2"/>
    <row r="1936" ht="15" customHeight="1" x14ac:dyDescent="0.2"/>
    <row r="1937" ht="15" customHeight="1" x14ac:dyDescent="0.2"/>
    <row r="1938" ht="15" customHeight="1" x14ac:dyDescent="0.2"/>
    <row r="1939" ht="15" customHeight="1" x14ac:dyDescent="0.2"/>
    <row r="1940" ht="15" customHeight="1" x14ac:dyDescent="0.2"/>
    <row r="1941" ht="15" customHeight="1" x14ac:dyDescent="0.2"/>
    <row r="1942" ht="15" customHeight="1" x14ac:dyDescent="0.2"/>
    <row r="1943" ht="15" customHeight="1" x14ac:dyDescent="0.2"/>
    <row r="1944" ht="15" customHeight="1" x14ac:dyDescent="0.2"/>
    <row r="1945" ht="15" customHeight="1" x14ac:dyDescent="0.2"/>
    <row r="1946" ht="15" customHeight="1" x14ac:dyDescent="0.2"/>
    <row r="1947" ht="15" customHeight="1" x14ac:dyDescent="0.2"/>
    <row r="1948" ht="15" customHeight="1" x14ac:dyDescent="0.2"/>
    <row r="1949" ht="15" customHeight="1" x14ac:dyDescent="0.2"/>
    <row r="1950" ht="15" customHeight="1" x14ac:dyDescent="0.2"/>
    <row r="1951" ht="15" customHeight="1" x14ac:dyDescent="0.2"/>
    <row r="1952" ht="15" customHeight="1" x14ac:dyDescent="0.2"/>
    <row r="1953" ht="15" customHeight="1" x14ac:dyDescent="0.2"/>
    <row r="1954" ht="15" customHeight="1" x14ac:dyDescent="0.2"/>
    <row r="1955" ht="15" customHeight="1" x14ac:dyDescent="0.2"/>
    <row r="1956" ht="15" customHeight="1" x14ac:dyDescent="0.2"/>
    <row r="1957" ht="15" customHeight="1" x14ac:dyDescent="0.2"/>
    <row r="1958" ht="15" customHeight="1" x14ac:dyDescent="0.2"/>
    <row r="1959" ht="15" customHeight="1" x14ac:dyDescent="0.2"/>
    <row r="1960" ht="15" customHeight="1" x14ac:dyDescent="0.2"/>
    <row r="1961" ht="15" customHeight="1" x14ac:dyDescent="0.2"/>
    <row r="1962" ht="15" customHeight="1" x14ac:dyDescent="0.2"/>
    <row r="1963" ht="15" customHeight="1" x14ac:dyDescent="0.2"/>
    <row r="1964" ht="15" customHeight="1" x14ac:dyDescent="0.2"/>
    <row r="1965" ht="15" customHeight="1" x14ac:dyDescent="0.2"/>
    <row r="1966" ht="15" customHeight="1" x14ac:dyDescent="0.2"/>
    <row r="1967" ht="15" customHeight="1" x14ac:dyDescent="0.2"/>
    <row r="1968" ht="15" customHeight="1" x14ac:dyDescent="0.2"/>
    <row r="1969" ht="15" customHeight="1" x14ac:dyDescent="0.2"/>
    <row r="1970" ht="15" customHeight="1" x14ac:dyDescent="0.2"/>
    <row r="1971" ht="15" customHeight="1" x14ac:dyDescent="0.2"/>
    <row r="1972" ht="15" customHeight="1" x14ac:dyDescent="0.2"/>
    <row r="1973" ht="15" customHeight="1" x14ac:dyDescent="0.2"/>
    <row r="1974" ht="15" customHeight="1" x14ac:dyDescent="0.2"/>
    <row r="1975" ht="15" customHeight="1" x14ac:dyDescent="0.2"/>
    <row r="1976" ht="15" customHeight="1" x14ac:dyDescent="0.2"/>
    <row r="1977" ht="15" customHeight="1" x14ac:dyDescent="0.2"/>
    <row r="1978" ht="15" customHeight="1" x14ac:dyDescent="0.2"/>
    <row r="1979" ht="15" customHeight="1" x14ac:dyDescent="0.2"/>
    <row r="1980" ht="15" customHeight="1" x14ac:dyDescent="0.2"/>
    <row r="1981" ht="15" customHeight="1" x14ac:dyDescent="0.2"/>
    <row r="1982" ht="15" customHeight="1" x14ac:dyDescent="0.2"/>
    <row r="1983" ht="15" customHeight="1" x14ac:dyDescent="0.2"/>
    <row r="1984" ht="15" customHeight="1" x14ac:dyDescent="0.2"/>
    <row r="1985" ht="15" customHeight="1" x14ac:dyDescent="0.2"/>
    <row r="1986" ht="15" customHeight="1" x14ac:dyDescent="0.2"/>
    <row r="1987" ht="15" customHeight="1" x14ac:dyDescent="0.2"/>
    <row r="1988" ht="15" customHeight="1" x14ac:dyDescent="0.2"/>
    <row r="1989" ht="15" customHeight="1" x14ac:dyDescent="0.2"/>
    <row r="1990" ht="15" customHeight="1" x14ac:dyDescent="0.2"/>
    <row r="1991" ht="15" customHeight="1" x14ac:dyDescent="0.2"/>
    <row r="1992" ht="15" customHeight="1" x14ac:dyDescent="0.2"/>
    <row r="1993" ht="15" customHeight="1" x14ac:dyDescent="0.2"/>
    <row r="1994" ht="15" customHeight="1" x14ac:dyDescent="0.2"/>
    <row r="1995" ht="15" customHeight="1" x14ac:dyDescent="0.2"/>
    <row r="1996" ht="15" customHeight="1" x14ac:dyDescent="0.2"/>
    <row r="1997" ht="15" customHeight="1" x14ac:dyDescent="0.2"/>
    <row r="1998" ht="15" customHeight="1" x14ac:dyDescent="0.2"/>
    <row r="1999" ht="15" customHeight="1" x14ac:dyDescent="0.2"/>
    <row r="2000" ht="15" customHeight="1" x14ac:dyDescent="0.2"/>
    <row r="2001" ht="15" customHeight="1" x14ac:dyDescent="0.2"/>
    <row r="2002" ht="15" customHeight="1" x14ac:dyDescent="0.2"/>
    <row r="2003" ht="15" customHeight="1" x14ac:dyDescent="0.2"/>
    <row r="2004" ht="15" customHeight="1" x14ac:dyDescent="0.2"/>
    <row r="2005" ht="15" customHeight="1" x14ac:dyDescent="0.2"/>
    <row r="2006" ht="15" customHeight="1" x14ac:dyDescent="0.2"/>
    <row r="2007" ht="15" customHeight="1" x14ac:dyDescent="0.2"/>
    <row r="2008" ht="15" customHeight="1" x14ac:dyDescent="0.2"/>
    <row r="2009" ht="15" customHeight="1" x14ac:dyDescent="0.2"/>
    <row r="2010" ht="15" customHeight="1" x14ac:dyDescent="0.2"/>
    <row r="2011" ht="15" customHeight="1" x14ac:dyDescent="0.2"/>
    <row r="2012" ht="15" customHeight="1" x14ac:dyDescent="0.2"/>
    <row r="2013" ht="15" customHeight="1" x14ac:dyDescent="0.2"/>
    <row r="2014" ht="15" customHeight="1" x14ac:dyDescent="0.2"/>
    <row r="2015" ht="15" customHeight="1" x14ac:dyDescent="0.2"/>
    <row r="2016" ht="15" customHeight="1" x14ac:dyDescent="0.2"/>
    <row r="2017" ht="15" customHeight="1" x14ac:dyDescent="0.2"/>
    <row r="2018" ht="15" customHeight="1" x14ac:dyDescent="0.2"/>
    <row r="2019" ht="15" customHeight="1" x14ac:dyDescent="0.2"/>
    <row r="2020" ht="15" customHeight="1" x14ac:dyDescent="0.2"/>
    <row r="2021" ht="15" customHeight="1" x14ac:dyDescent="0.2"/>
    <row r="2022" ht="15" customHeight="1" x14ac:dyDescent="0.2"/>
    <row r="2023" ht="15" customHeight="1" x14ac:dyDescent="0.2"/>
    <row r="2024" ht="15" customHeight="1" x14ac:dyDescent="0.2"/>
    <row r="2025" ht="15" customHeight="1" x14ac:dyDescent="0.2"/>
    <row r="2026" ht="15" customHeight="1" x14ac:dyDescent="0.2"/>
    <row r="2027" ht="15" customHeight="1" x14ac:dyDescent="0.2"/>
    <row r="2028" ht="15" customHeight="1" x14ac:dyDescent="0.2"/>
    <row r="2029" ht="15" customHeight="1" x14ac:dyDescent="0.2"/>
    <row r="2030" ht="15" customHeight="1" x14ac:dyDescent="0.2"/>
    <row r="2031" ht="15" customHeight="1" x14ac:dyDescent="0.2"/>
    <row r="2032" ht="15" customHeight="1" x14ac:dyDescent="0.2"/>
    <row r="2033" ht="15" customHeight="1" x14ac:dyDescent="0.2"/>
    <row r="2034" ht="15" customHeight="1" x14ac:dyDescent="0.2"/>
    <row r="2035" ht="15" customHeight="1" x14ac:dyDescent="0.2"/>
    <row r="2036" ht="15" customHeight="1" x14ac:dyDescent="0.2"/>
    <row r="2037" ht="15" customHeight="1" x14ac:dyDescent="0.2"/>
    <row r="2038" ht="15" customHeight="1" x14ac:dyDescent="0.2"/>
    <row r="2039" ht="15" customHeight="1" x14ac:dyDescent="0.2"/>
    <row r="2040" ht="15" customHeight="1" x14ac:dyDescent="0.2"/>
    <row r="2041" ht="15" customHeight="1" x14ac:dyDescent="0.2"/>
    <row r="2042" ht="15" customHeight="1" x14ac:dyDescent="0.2"/>
    <row r="2043" ht="15" customHeight="1" x14ac:dyDescent="0.2"/>
    <row r="2044" ht="15" customHeight="1" x14ac:dyDescent="0.2"/>
    <row r="2045" ht="15" customHeight="1" x14ac:dyDescent="0.2"/>
    <row r="2046" ht="15" customHeight="1" x14ac:dyDescent="0.2"/>
    <row r="2047" ht="15" customHeight="1" x14ac:dyDescent="0.2"/>
    <row r="2048" ht="15" customHeight="1" x14ac:dyDescent="0.2"/>
    <row r="2049" ht="15" customHeight="1" x14ac:dyDescent="0.2"/>
    <row r="2050" ht="15" customHeight="1" x14ac:dyDescent="0.2"/>
    <row r="2051" ht="15" customHeight="1" x14ac:dyDescent="0.2"/>
    <row r="2052" ht="15" customHeight="1" x14ac:dyDescent="0.2"/>
    <row r="2053" ht="15" customHeight="1" x14ac:dyDescent="0.2"/>
    <row r="2054" ht="15" customHeight="1" x14ac:dyDescent="0.2"/>
    <row r="2055" ht="15" customHeight="1" x14ac:dyDescent="0.2"/>
    <row r="2056" ht="15" customHeight="1" x14ac:dyDescent="0.2"/>
    <row r="2057" ht="15" customHeight="1" x14ac:dyDescent="0.2"/>
    <row r="2058" ht="15" customHeight="1" x14ac:dyDescent="0.2"/>
    <row r="2059" ht="15" customHeight="1" x14ac:dyDescent="0.2"/>
    <row r="2060" ht="15" customHeight="1" x14ac:dyDescent="0.2"/>
    <row r="2061" ht="15" customHeight="1" x14ac:dyDescent="0.2"/>
    <row r="2062" ht="15" customHeight="1" x14ac:dyDescent="0.2"/>
    <row r="2063" ht="15" customHeight="1" x14ac:dyDescent="0.2"/>
    <row r="2064" ht="15" customHeight="1" x14ac:dyDescent="0.2"/>
    <row r="2065" ht="15" customHeight="1" x14ac:dyDescent="0.2"/>
    <row r="2066" ht="15" customHeight="1" x14ac:dyDescent="0.2"/>
    <row r="2067" ht="15" customHeight="1" x14ac:dyDescent="0.2"/>
    <row r="2068" ht="15" customHeight="1" x14ac:dyDescent="0.2"/>
    <row r="2069" ht="15" customHeight="1" x14ac:dyDescent="0.2"/>
    <row r="2070" ht="15" customHeight="1" x14ac:dyDescent="0.2"/>
    <row r="2071" ht="15" customHeight="1" x14ac:dyDescent="0.2"/>
    <row r="2072" ht="15" customHeight="1" x14ac:dyDescent="0.2"/>
    <row r="2073" ht="15" customHeight="1" x14ac:dyDescent="0.2"/>
    <row r="2074" ht="15" customHeight="1" x14ac:dyDescent="0.2"/>
    <row r="2075" ht="15" customHeight="1" x14ac:dyDescent="0.2"/>
    <row r="2076" ht="15" customHeight="1" x14ac:dyDescent="0.2"/>
    <row r="2077" ht="15" customHeight="1" x14ac:dyDescent="0.2"/>
    <row r="2078" ht="15" customHeight="1" x14ac:dyDescent="0.2"/>
    <row r="2079" ht="15" customHeight="1" x14ac:dyDescent="0.2"/>
    <row r="2080" ht="15" customHeight="1" x14ac:dyDescent="0.2"/>
    <row r="2081" ht="15" customHeight="1" x14ac:dyDescent="0.2"/>
    <row r="2082" ht="15" customHeight="1" x14ac:dyDescent="0.2"/>
    <row r="2083" ht="15" customHeight="1" x14ac:dyDescent="0.2"/>
    <row r="2084" ht="15" customHeight="1" x14ac:dyDescent="0.2"/>
    <row r="2085" ht="15" customHeight="1" x14ac:dyDescent="0.2"/>
    <row r="2086" ht="15" customHeight="1" x14ac:dyDescent="0.2"/>
    <row r="2087" ht="15" customHeight="1" x14ac:dyDescent="0.2"/>
    <row r="2088" ht="15" customHeight="1" x14ac:dyDescent="0.2"/>
    <row r="2089" ht="15" customHeight="1" x14ac:dyDescent="0.2"/>
    <row r="2090" ht="15" customHeight="1" x14ac:dyDescent="0.2"/>
    <row r="2091" ht="15" customHeight="1" x14ac:dyDescent="0.2"/>
    <row r="2092" ht="15" customHeight="1" x14ac:dyDescent="0.2"/>
    <row r="2093" ht="15" customHeight="1" x14ac:dyDescent="0.2"/>
    <row r="2094" ht="15" customHeight="1" x14ac:dyDescent="0.2"/>
    <row r="2095" ht="15" customHeight="1" x14ac:dyDescent="0.2"/>
    <row r="2096" ht="15" customHeight="1" x14ac:dyDescent="0.2"/>
    <row r="2097" ht="15" customHeight="1" x14ac:dyDescent="0.2"/>
    <row r="2098" ht="15" customHeight="1" x14ac:dyDescent="0.2"/>
    <row r="2099" ht="15" customHeight="1" x14ac:dyDescent="0.2"/>
    <row r="2100" ht="15" customHeight="1" x14ac:dyDescent="0.2"/>
    <row r="2101" ht="15" customHeight="1" x14ac:dyDescent="0.2"/>
    <row r="2102" ht="15" customHeight="1" x14ac:dyDescent="0.2"/>
    <row r="2103" ht="15" customHeight="1" x14ac:dyDescent="0.2"/>
    <row r="2104" ht="15" customHeight="1" x14ac:dyDescent="0.2"/>
    <row r="2105" ht="15" customHeight="1" x14ac:dyDescent="0.2"/>
    <row r="2106" ht="15" customHeight="1" x14ac:dyDescent="0.2"/>
    <row r="2107" ht="15" customHeight="1" x14ac:dyDescent="0.2"/>
    <row r="2108" ht="15" customHeight="1" x14ac:dyDescent="0.2"/>
    <row r="2109" ht="15" customHeight="1" x14ac:dyDescent="0.2"/>
    <row r="2110" ht="15" customHeight="1" x14ac:dyDescent="0.2"/>
    <row r="2111" ht="15" customHeight="1" x14ac:dyDescent="0.2"/>
    <row r="2112" ht="15" customHeight="1" x14ac:dyDescent="0.2"/>
    <row r="2113" ht="15" customHeight="1" x14ac:dyDescent="0.2"/>
    <row r="2114" ht="15" customHeight="1" x14ac:dyDescent="0.2"/>
    <row r="2115" ht="15" customHeight="1" x14ac:dyDescent="0.2"/>
    <row r="2116" ht="15" customHeight="1" x14ac:dyDescent="0.2"/>
    <row r="2117" ht="15" customHeight="1" x14ac:dyDescent="0.2"/>
    <row r="2118" ht="15" customHeight="1" x14ac:dyDescent="0.2"/>
    <row r="2119" ht="15" customHeight="1" x14ac:dyDescent="0.2"/>
    <row r="2120" ht="15" customHeight="1" x14ac:dyDescent="0.2"/>
    <row r="2121" ht="15" customHeight="1" x14ac:dyDescent="0.2"/>
    <row r="2122" ht="15" customHeight="1" x14ac:dyDescent="0.2"/>
    <row r="2123" ht="15" customHeight="1" x14ac:dyDescent="0.2"/>
    <row r="2124" ht="15" customHeight="1" x14ac:dyDescent="0.2"/>
    <row r="2125" ht="15" customHeight="1" x14ac:dyDescent="0.2"/>
    <row r="2126" ht="15" customHeight="1" x14ac:dyDescent="0.2"/>
    <row r="2127" ht="15" customHeight="1" x14ac:dyDescent="0.2"/>
    <row r="2128" ht="15" customHeight="1" x14ac:dyDescent="0.2"/>
    <row r="2129" ht="15" customHeight="1" x14ac:dyDescent="0.2"/>
    <row r="2130" ht="15" customHeight="1" x14ac:dyDescent="0.2"/>
    <row r="2131" ht="15" customHeight="1" x14ac:dyDescent="0.2"/>
    <row r="2132" ht="15" customHeight="1" x14ac:dyDescent="0.2"/>
    <row r="2133" ht="15" customHeight="1" x14ac:dyDescent="0.2"/>
    <row r="2134" ht="15" customHeight="1" x14ac:dyDescent="0.2"/>
    <row r="2135" ht="15" customHeight="1" x14ac:dyDescent="0.2"/>
    <row r="2136" ht="15" customHeight="1" x14ac:dyDescent="0.2"/>
    <row r="2137" ht="15" customHeight="1" x14ac:dyDescent="0.2"/>
    <row r="2138" ht="15" customHeight="1" x14ac:dyDescent="0.2"/>
    <row r="2139" ht="15" customHeight="1" x14ac:dyDescent="0.2"/>
    <row r="2140" ht="15" customHeight="1" x14ac:dyDescent="0.2"/>
    <row r="2141" ht="15" customHeight="1" x14ac:dyDescent="0.2"/>
    <row r="2142" ht="15" customHeight="1" x14ac:dyDescent="0.2"/>
    <row r="2143" ht="15" customHeight="1" x14ac:dyDescent="0.2"/>
    <row r="2144" ht="15" customHeight="1" x14ac:dyDescent="0.2"/>
    <row r="2145" ht="15" customHeight="1" x14ac:dyDescent="0.2"/>
    <row r="2146" ht="15" customHeight="1" x14ac:dyDescent="0.2"/>
    <row r="2147" ht="15" customHeight="1" x14ac:dyDescent="0.2"/>
    <row r="2148" ht="15" customHeight="1" x14ac:dyDescent="0.2"/>
    <row r="2149" ht="15" customHeight="1" x14ac:dyDescent="0.2"/>
    <row r="2150" ht="15" customHeight="1" x14ac:dyDescent="0.2"/>
    <row r="2151" ht="15" customHeight="1" x14ac:dyDescent="0.2"/>
    <row r="2152" ht="15" customHeight="1" x14ac:dyDescent="0.2"/>
    <row r="2153" ht="15" customHeight="1" x14ac:dyDescent="0.2"/>
    <row r="2154" ht="15" customHeight="1" x14ac:dyDescent="0.2"/>
    <row r="2155" ht="15" customHeight="1" x14ac:dyDescent="0.2"/>
    <row r="2156" ht="15" customHeight="1" x14ac:dyDescent="0.2"/>
    <row r="2157" ht="15" customHeight="1" x14ac:dyDescent="0.2"/>
    <row r="2158" ht="15" customHeight="1" x14ac:dyDescent="0.2"/>
    <row r="2159" ht="15" customHeight="1" x14ac:dyDescent="0.2"/>
    <row r="2160" ht="15" customHeight="1" x14ac:dyDescent="0.2"/>
    <row r="2161" ht="15" customHeight="1" x14ac:dyDescent="0.2"/>
    <row r="2162" ht="15" customHeight="1" x14ac:dyDescent="0.2"/>
    <row r="2163" ht="15" customHeight="1" x14ac:dyDescent="0.2"/>
    <row r="2164" ht="15" customHeight="1" x14ac:dyDescent="0.2"/>
    <row r="2165" ht="15" customHeight="1" x14ac:dyDescent="0.2"/>
    <row r="2166" ht="15" customHeight="1" x14ac:dyDescent="0.2"/>
    <row r="2167" ht="15" customHeight="1" x14ac:dyDescent="0.2"/>
    <row r="2168" ht="15" customHeight="1" x14ac:dyDescent="0.2"/>
    <row r="2169" ht="15" customHeight="1" x14ac:dyDescent="0.2"/>
    <row r="2170" ht="15" customHeight="1" x14ac:dyDescent="0.2"/>
    <row r="2171" ht="15" customHeight="1" x14ac:dyDescent="0.2"/>
    <row r="2172" ht="15" customHeight="1" x14ac:dyDescent="0.2"/>
    <row r="2173" ht="15" customHeight="1" x14ac:dyDescent="0.2"/>
    <row r="2174" ht="15" customHeight="1" x14ac:dyDescent="0.2"/>
    <row r="2175" ht="15" customHeight="1" x14ac:dyDescent="0.2"/>
    <row r="2176" ht="15" customHeight="1" x14ac:dyDescent="0.2"/>
    <row r="2177" ht="15" customHeight="1" x14ac:dyDescent="0.2"/>
    <row r="2178" ht="15" customHeight="1" x14ac:dyDescent="0.2"/>
    <row r="2179" ht="15" customHeight="1" x14ac:dyDescent="0.2"/>
    <row r="2180" ht="15" customHeight="1" x14ac:dyDescent="0.2"/>
    <row r="2181" ht="15" customHeight="1" x14ac:dyDescent="0.2"/>
    <row r="2182" ht="15" customHeight="1" x14ac:dyDescent="0.2"/>
    <row r="2183" ht="15" customHeight="1" x14ac:dyDescent="0.2"/>
    <row r="2184" ht="15" customHeight="1" x14ac:dyDescent="0.2"/>
    <row r="2185" ht="15" customHeight="1" x14ac:dyDescent="0.2"/>
    <row r="2186" ht="15" customHeight="1" x14ac:dyDescent="0.2"/>
    <row r="2187" ht="15" customHeight="1" x14ac:dyDescent="0.2"/>
    <row r="2188" ht="15" customHeight="1" x14ac:dyDescent="0.2"/>
    <row r="2189" ht="15" customHeight="1" x14ac:dyDescent="0.2"/>
    <row r="2190" ht="15" customHeight="1" x14ac:dyDescent="0.2"/>
    <row r="2191" ht="15" customHeight="1" x14ac:dyDescent="0.2"/>
    <row r="2192" ht="15" customHeight="1" x14ac:dyDescent="0.2"/>
    <row r="2193" ht="15" customHeight="1" x14ac:dyDescent="0.2"/>
    <row r="2194" ht="15" customHeight="1" x14ac:dyDescent="0.2"/>
    <row r="2195" ht="15" customHeight="1" x14ac:dyDescent="0.2"/>
    <row r="2196" ht="15" customHeight="1" x14ac:dyDescent="0.2"/>
    <row r="2197" ht="15" customHeight="1" x14ac:dyDescent="0.2"/>
    <row r="2198" ht="15" customHeight="1" x14ac:dyDescent="0.2"/>
    <row r="2199" ht="15" customHeight="1" x14ac:dyDescent="0.2"/>
    <row r="2200" ht="15" customHeight="1" x14ac:dyDescent="0.2"/>
    <row r="2201" ht="15" customHeight="1" x14ac:dyDescent="0.2"/>
    <row r="2202" ht="15" customHeight="1" x14ac:dyDescent="0.2"/>
    <row r="2203" ht="15" customHeight="1" x14ac:dyDescent="0.2"/>
    <row r="2204" ht="15" customHeight="1" x14ac:dyDescent="0.2"/>
    <row r="2205" ht="15" customHeight="1" x14ac:dyDescent="0.2"/>
    <row r="2206" ht="15" customHeight="1" x14ac:dyDescent="0.2"/>
    <row r="2207" ht="15" customHeight="1" x14ac:dyDescent="0.2"/>
    <row r="2208" ht="15" customHeight="1" x14ac:dyDescent="0.2"/>
    <row r="2209" ht="15" customHeight="1" x14ac:dyDescent="0.2"/>
    <row r="2210" ht="15" customHeight="1" x14ac:dyDescent="0.2"/>
    <row r="2211" ht="15" customHeight="1" x14ac:dyDescent="0.2"/>
    <row r="2212" ht="15" customHeight="1" x14ac:dyDescent="0.2"/>
    <row r="2213" ht="15" customHeight="1" x14ac:dyDescent="0.2"/>
    <row r="2214" ht="15" customHeight="1" x14ac:dyDescent="0.2"/>
    <row r="2215" ht="15" customHeight="1" x14ac:dyDescent="0.2"/>
    <row r="2216" ht="15" customHeight="1" x14ac:dyDescent="0.2"/>
    <row r="2217" ht="15" customHeight="1" x14ac:dyDescent="0.2"/>
    <row r="2218" ht="15" customHeight="1" x14ac:dyDescent="0.2"/>
    <row r="2219" ht="15" customHeight="1" x14ac:dyDescent="0.2"/>
    <row r="2220" ht="15" customHeight="1" x14ac:dyDescent="0.2"/>
    <row r="2221" ht="15" customHeight="1" x14ac:dyDescent="0.2"/>
    <row r="2222" ht="15" customHeight="1" x14ac:dyDescent="0.2"/>
    <row r="2223" ht="15" customHeight="1" x14ac:dyDescent="0.2"/>
    <row r="2224" ht="15" customHeight="1" x14ac:dyDescent="0.2"/>
    <row r="2225" ht="15" customHeight="1" x14ac:dyDescent="0.2"/>
    <row r="2226" ht="15" customHeight="1" x14ac:dyDescent="0.2"/>
    <row r="2227" ht="15" customHeight="1" x14ac:dyDescent="0.2"/>
    <row r="2228" ht="15" customHeight="1" x14ac:dyDescent="0.2"/>
    <row r="2229" ht="15" customHeight="1" x14ac:dyDescent="0.2"/>
    <row r="2230" ht="15" customHeight="1" x14ac:dyDescent="0.2"/>
    <row r="2231" ht="15" customHeight="1" x14ac:dyDescent="0.2"/>
    <row r="2232" ht="15" customHeight="1" x14ac:dyDescent="0.2"/>
    <row r="2233" ht="15" customHeight="1" x14ac:dyDescent="0.2"/>
    <row r="2234" ht="15" customHeight="1" x14ac:dyDescent="0.2"/>
    <row r="2235" ht="15" customHeight="1" x14ac:dyDescent="0.2"/>
    <row r="2236" ht="15" customHeight="1" x14ac:dyDescent="0.2"/>
    <row r="2237" ht="15" customHeight="1" x14ac:dyDescent="0.2"/>
    <row r="2238" ht="15" customHeight="1" x14ac:dyDescent="0.2"/>
    <row r="2239" ht="15" customHeight="1" x14ac:dyDescent="0.2"/>
    <row r="2240" ht="15" customHeight="1" x14ac:dyDescent="0.2"/>
    <row r="2241" ht="15" customHeight="1" x14ac:dyDescent="0.2"/>
    <row r="2242" ht="15" customHeight="1" x14ac:dyDescent="0.2"/>
    <row r="2243" ht="15" customHeight="1" x14ac:dyDescent="0.2"/>
    <row r="2244" ht="15" customHeight="1" x14ac:dyDescent="0.2"/>
    <row r="2245" ht="15" customHeight="1" x14ac:dyDescent="0.2"/>
    <row r="2246" ht="15" customHeight="1" x14ac:dyDescent="0.2"/>
    <row r="2247" ht="15" customHeight="1" x14ac:dyDescent="0.2"/>
    <row r="2248" ht="15" customHeight="1" x14ac:dyDescent="0.2"/>
    <row r="2249" ht="15" customHeight="1" x14ac:dyDescent="0.2"/>
    <row r="2250" ht="15" customHeight="1" x14ac:dyDescent="0.2"/>
    <row r="2251" ht="15" customHeight="1" x14ac:dyDescent="0.2"/>
    <row r="2252" ht="15" customHeight="1" x14ac:dyDescent="0.2"/>
    <row r="2253" ht="15" customHeight="1" x14ac:dyDescent="0.2"/>
    <row r="2254" ht="15" customHeight="1" x14ac:dyDescent="0.2"/>
    <row r="2255" ht="15" customHeight="1" x14ac:dyDescent="0.2"/>
    <row r="2256" ht="15" customHeight="1" x14ac:dyDescent="0.2"/>
    <row r="2257" ht="15" customHeight="1" x14ac:dyDescent="0.2"/>
    <row r="2258" ht="15" customHeight="1" x14ac:dyDescent="0.2"/>
    <row r="2259" ht="15" customHeight="1" x14ac:dyDescent="0.2"/>
    <row r="2260" ht="15" customHeight="1" x14ac:dyDescent="0.2"/>
    <row r="2261" ht="15" customHeight="1" x14ac:dyDescent="0.2"/>
    <row r="2262" ht="15" customHeight="1" x14ac:dyDescent="0.2"/>
    <row r="2263" ht="15" customHeight="1" x14ac:dyDescent="0.2"/>
    <row r="2264" ht="15" customHeight="1" x14ac:dyDescent="0.2"/>
    <row r="2265" ht="15" customHeight="1" x14ac:dyDescent="0.2"/>
    <row r="2266" ht="15" customHeight="1" x14ac:dyDescent="0.2"/>
    <row r="2267" ht="15" customHeight="1" x14ac:dyDescent="0.2"/>
    <row r="2268" ht="15" customHeight="1" x14ac:dyDescent="0.2"/>
    <row r="2269" ht="15" customHeight="1" x14ac:dyDescent="0.2"/>
    <row r="2270" ht="15" customHeight="1" x14ac:dyDescent="0.2"/>
    <row r="2271" ht="15" customHeight="1" x14ac:dyDescent="0.2"/>
    <row r="2272" ht="15" customHeight="1" x14ac:dyDescent="0.2"/>
    <row r="2273" ht="15" customHeight="1" x14ac:dyDescent="0.2"/>
    <row r="2274" ht="15" customHeight="1" x14ac:dyDescent="0.2"/>
    <row r="2275" ht="15" customHeight="1" x14ac:dyDescent="0.2"/>
    <row r="2276" ht="15" customHeight="1" x14ac:dyDescent="0.2"/>
    <row r="2277" ht="15" customHeight="1" x14ac:dyDescent="0.2"/>
    <row r="2278" ht="15" customHeight="1" x14ac:dyDescent="0.2"/>
    <row r="2279" ht="15" customHeight="1" x14ac:dyDescent="0.2"/>
    <row r="2280" ht="15" customHeight="1" x14ac:dyDescent="0.2"/>
    <row r="2281" ht="15" customHeight="1" x14ac:dyDescent="0.2"/>
    <row r="2282" ht="15" customHeight="1" x14ac:dyDescent="0.2"/>
    <row r="2283" ht="15" customHeight="1" x14ac:dyDescent="0.2"/>
    <row r="2284" ht="15" customHeight="1" x14ac:dyDescent="0.2"/>
    <row r="2285" ht="15" customHeight="1" x14ac:dyDescent="0.2"/>
    <row r="2286" ht="15" customHeight="1" x14ac:dyDescent="0.2"/>
    <row r="2287" ht="15" customHeight="1" x14ac:dyDescent="0.2"/>
    <row r="2288" ht="15" customHeight="1" x14ac:dyDescent="0.2"/>
    <row r="2289" ht="15" customHeight="1" x14ac:dyDescent="0.2"/>
    <row r="2290" ht="15" customHeight="1" x14ac:dyDescent="0.2"/>
    <row r="2291" ht="15" customHeight="1" x14ac:dyDescent="0.2"/>
    <row r="2292" ht="15" customHeight="1" x14ac:dyDescent="0.2"/>
    <row r="2293" ht="15" customHeight="1" x14ac:dyDescent="0.2"/>
    <row r="2294" ht="15" customHeight="1" x14ac:dyDescent="0.2"/>
    <row r="2295" ht="15" customHeight="1" x14ac:dyDescent="0.2"/>
    <row r="2296" ht="15" customHeight="1" x14ac:dyDescent="0.2"/>
    <row r="2297" ht="15" customHeight="1" x14ac:dyDescent="0.2"/>
    <row r="2298" ht="15" customHeight="1" x14ac:dyDescent="0.2"/>
    <row r="2299" ht="15" customHeight="1" x14ac:dyDescent="0.2"/>
    <row r="2300" ht="15" customHeight="1" x14ac:dyDescent="0.2"/>
    <row r="2301" ht="15" customHeight="1" x14ac:dyDescent="0.2"/>
    <row r="2302" ht="15" customHeight="1" x14ac:dyDescent="0.2"/>
    <row r="2303" ht="15" customHeight="1" x14ac:dyDescent="0.2"/>
    <row r="2304" ht="15" customHeight="1" x14ac:dyDescent="0.2"/>
    <row r="2305" ht="15" customHeight="1" x14ac:dyDescent="0.2"/>
    <row r="2306" ht="15" customHeight="1" x14ac:dyDescent="0.2"/>
    <row r="2307" ht="15" customHeight="1" x14ac:dyDescent="0.2"/>
    <row r="2308" ht="15" customHeight="1" x14ac:dyDescent="0.2"/>
    <row r="2309" ht="15" customHeight="1" x14ac:dyDescent="0.2"/>
    <row r="2310" ht="15" customHeight="1" x14ac:dyDescent="0.2"/>
    <row r="2311" ht="15" customHeight="1" x14ac:dyDescent="0.2"/>
    <row r="2312" ht="15" customHeight="1" x14ac:dyDescent="0.2"/>
    <row r="2313" ht="15" customHeight="1" x14ac:dyDescent="0.2"/>
    <row r="2314" ht="15" customHeight="1" x14ac:dyDescent="0.2"/>
    <row r="2315" ht="15" customHeight="1" x14ac:dyDescent="0.2"/>
    <row r="2316" ht="15" customHeight="1" x14ac:dyDescent="0.2"/>
    <row r="2317" ht="15" customHeight="1" x14ac:dyDescent="0.2"/>
    <row r="2318" ht="15" customHeight="1" x14ac:dyDescent="0.2"/>
    <row r="2319" ht="15" customHeight="1" x14ac:dyDescent="0.2"/>
    <row r="2320" ht="15" customHeight="1" x14ac:dyDescent="0.2"/>
    <row r="2321" ht="15" customHeight="1" x14ac:dyDescent="0.2"/>
    <row r="2322" ht="15" customHeight="1" x14ac:dyDescent="0.2"/>
    <row r="2323" ht="15" customHeight="1" x14ac:dyDescent="0.2"/>
    <row r="2324" ht="15" customHeight="1" x14ac:dyDescent="0.2"/>
    <row r="2325" ht="15" customHeight="1" x14ac:dyDescent="0.2"/>
    <row r="2326" ht="15" customHeight="1" x14ac:dyDescent="0.2"/>
    <row r="2327" ht="15" customHeight="1" x14ac:dyDescent="0.2"/>
    <row r="2328" ht="15" customHeight="1" x14ac:dyDescent="0.2"/>
    <row r="2329" ht="15" customHeight="1" x14ac:dyDescent="0.2"/>
    <row r="2330" ht="15" customHeight="1" x14ac:dyDescent="0.2"/>
    <row r="2331" ht="15" customHeight="1" x14ac:dyDescent="0.2"/>
    <row r="2332" ht="15" customHeight="1" x14ac:dyDescent="0.2"/>
    <row r="2333" ht="15" customHeight="1" x14ac:dyDescent="0.2"/>
    <row r="2334" ht="15" customHeight="1" x14ac:dyDescent="0.2"/>
    <row r="2335" ht="15" customHeight="1" x14ac:dyDescent="0.2"/>
    <row r="2336" ht="15" customHeight="1" x14ac:dyDescent="0.2"/>
    <row r="2337" ht="15" customHeight="1" x14ac:dyDescent="0.2"/>
    <row r="2338" ht="15" customHeight="1" x14ac:dyDescent="0.2"/>
    <row r="2339" ht="15" customHeight="1" x14ac:dyDescent="0.2"/>
    <row r="2340" ht="15" customHeight="1" x14ac:dyDescent="0.2"/>
    <row r="2341" ht="15" customHeight="1" x14ac:dyDescent="0.2"/>
    <row r="2342" ht="15" customHeight="1" x14ac:dyDescent="0.2"/>
    <row r="2343" ht="15" customHeight="1" x14ac:dyDescent="0.2"/>
    <row r="2344" ht="15" customHeight="1" x14ac:dyDescent="0.2"/>
    <row r="2345" ht="15" customHeight="1" x14ac:dyDescent="0.2"/>
    <row r="2346" ht="15" customHeight="1" x14ac:dyDescent="0.2"/>
    <row r="2347" ht="15" customHeight="1" x14ac:dyDescent="0.2"/>
    <row r="2348" ht="15" customHeight="1" x14ac:dyDescent="0.2"/>
    <row r="2349" ht="15" customHeight="1" x14ac:dyDescent="0.2"/>
    <row r="2350" ht="15" customHeight="1" x14ac:dyDescent="0.2"/>
    <row r="2351" ht="15" customHeight="1" x14ac:dyDescent="0.2"/>
    <row r="2352" ht="15" customHeight="1" x14ac:dyDescent="0.2"/>
    <row r="2353" ht="15" customHeight="1" x14ac:dyDescent="0.2"/>
    <row r="2354" ht="15" customHeight="1" x14ac:dyDescent="0.2"/>
    <row r="2355" ht="15" customHeight="1" x14ac:dyDescent="0.2"/>
    <row r="2356" ht="15" customHeight="1" x14ac:dyDescent="0.2"/>
    <row r="2357" ht="15" customHeight="1" x14ac:dyDescent="0.2"/>
    <row r="2358" ht="15" customHeight="1" x14ac:dyDescent="0.2"/>
    <row r="2359" ht="15" customHeight="1" x14ac:dyDescent="0.2"/>
    <row r="2360" ht="15" customHeight="1" x14ac:dyDescent="0.2"/>
    <row r="2361" ht="15" customHeight="1" x14ac:dyDescent="0.2"/>
    <row r="2362" ht="15" customHeight="1" x14ac:dyDescent="0.2"/>
    <row r="2363" ht="15" customHeight="1" x14ac:dyDescent="0.2"/>
    <row r="2364" ht="15" customHeight="1" x14ac:dyDescent="0.2"/>
    <row r="2365" ht="15" customHeight="1" x14ac:dyDescent="0.2"/>
    <row r="2366" ht="15" customHeight="1" x14ac:dyDescent="0.2"/>
    <row r="2367" ht="15" customHeight="1" x14ac:dyDescent="0.2"/>
    <row r="2368" ht="15" customHeight="1" x14ac:dyDescent="0.2"/>
    <row r="2369" ht="15" customHeight="1" x14ac:dyDescent="0.2"/>
    <row r="2370" ht="15" customHeight="1" x14ac:dyDescent="0.2"/>
    <row r="2371" ht="15" customHeight="1" x14ac:dyDescent="0.2"/>
    <row r="2372" ht="15" customHeight="1" x14ac:dyDescent="0.2"/>
    <row r="2373" ht="15" customHeight="1" x14ac:dyDescent="0.2"/>
    <row r="2374" ht="15" customHeight="1" x14ac:dyDescent="0.2"/>
    <row r="2375" ht="15" customHeight="1" x14ac:dyDescent="0.2"/>
    <row r="2376" ht="15" customHeight="1" x14ac:dyDescent="0.2"/>
    <row r="2377" ht="15" customHeight="1" x14ac:dyDescent="0.2"/>
    <row r="2378" ht="15" customHeight="1" x14ac:dyDescent="0.2"/>
    <row r="2379" ht="15" customHeight="1" x14ac:dyDescent="0.2"/>
    <row r="2380" ht="15" customHeight="1" x14ac:dyDescent="0.2"/>
    <row r="2381" ht="15" customHeight="1" x14ac:dyDescent="0.2"/>
    <row r="2382" ht="15" customHeight="1" x14ac:dyDescent="0.2"/>
    <row r="2383" ht="15" customHeight="1" x14ac:dyDescent="0.2"/>
    <row r="2384" ht="15" customHeight="1" x14ac:dyDescent="0.2"/>
    <row r="2385" ht="15" customHeight="1" x14ac:dyDescent="0.2"/>
    <row r="2386" ht="15" customHeight="1" x14ac:dyDescent="0.2"/>
    <row r="2387" ht="15" customHeight="1" x14ac:dyDescent="0.2"/>
    <row r="2388" ht="15" customHeight="1" x14ac:dyDescent="0.2"/>
    <row r="2389" ht="15" customHeight="1" x14ac:dyDescent="0.2"/>
    <row r="2390" ht="15" customHeight="1" x14ac:dyDescent="0.2"/>
    <row r="2391" ht="15" customHeight="1" x14ac:dyDescent="0.2"/>
    <row r="2392" ht="15" customHeight="1" x14ac:dyDescent="0.2"/>
    <row r="2393" ht="15" customHeight="1" x14ac:dyDescent="0.2"/>
    <row r="2394" ht="15" customHeight="1" x14ac:dyDescent="0.2"/>
    <row r="2395" ht="15" customHeight="1" x14ac:dyDescent="0.2"/>
    <row r="2396" ht="15" customHeight="1" x14ac:dyDescent="0.2"/>
    <row r="2397" ht="15" customHeight="1" x14ac:dyDescent="0.2"/>
    <row r="2398" ht="15" customHeight="1" x14ac:dyDescent="0.2"/>
    <row r="2399" ht="15" customHeight="1" x14ac:dyDescent="0.2"/>
    <row r="2400" ht="15" customHeight="1" x14ac:dyDescent="0.2"/>
    <row r="2401" ht="15" customHeight="1" x14ac:dyDescent="0.2"/>
    <row r="2402" ht="15" customHeight="1" x14ac:dyDescent="0.2"/>
    <row r="2403" ht="15" customHeight="1" x14ac:dyDescent="0.2"/>
    <row r="2404" ht="15" customHeight="1" x14ac:dyDescent="0.2"/>
    <row r="2405" ht="15" customHeight="1" x14ac:dyDescent="0.2"/>
    <row r="2406" ht="15" customHeight="1" x14ac:dyDescent="0.2"/>
    <row r="2407" ht="15" customHeight="1" x14ac:dyDescent="0.2"/>
    <row r="2408" ht="15" customHeight="1" x14ac:dyDescent="0.2"/>
    <row r="2409" ht="15" customHeight="1" x14ac:dyDescent="0.2"/>
    <row r="2410" ht="15" customHeight="1" x14ac:dyDescent="0.2"/>
    <row r="2411" ht="15" customHeight="1" x14ac:dyDescent="0.2"/>
    <row r="2412" ht="15" customHeight="1" x14ac:dyDescent="0.2"/>
    <row r="2413" ht="15" customHeight="1" x14ac:dyDescent="0.2"/>
    <row r="2414" ht="15" customHeight="1" x14ac:dyDescent="0.2"/>
    <row r="2415" ht="15" customHeight="1" x14ac:dyDescent="0.2"/>
    <row r="2416" ht="15" customHeight="1" x14ac:dyDescent="0.2"/>
    <row r="2417" ht="15" customHeight="1" x14ac:dyDescent="0.2"/>
    <row r="2418" ht="15" customHeight="1" x14ac:dyDescent="0.2"/>
    <row r="2419" ht="15" customHeight="1" x14ac:dyDescent="0.2"/>
    <row r="2420" ht="15" customHeight="1" x14ac:dyDescent="0.2"/>
    <row r="2421" ht="15" customHeight="1" x14ac:dyDescent="0.2"/>
    <row r="2422" ht="15" customHeight="1" x14ac:dyDescent="0.2"/>
    <row r="2423" ht="15" customHeight="1" x14ac:dyDescent="0.2"/>
    <row r="2424" ht="15" customHeight="1" x14ac:dyDescent="0.2"/>
    <row r="2425" ht="15" customHeight="1" x14ac:dyDescent="0.2"/>
    <row r="2426" ht="15" customHeight="1" x14ac:dyDescent="0.2"/>
    <row r="2427" ht="15" customHeight="1" x14ac:dyDescent="0.2"/>
    <row r="2428" ht="15" customHeight="1" x14ac:dyDescent="0.2"/>
    <row r="2429" ht="15" customHeight="1" x14ac:dyDescent="0.2"/>
    <row r="2430" ht="15" customHeight="1" x14ac:dyDescent="0.2"/>
    <row r="2431" ht="15" customHeight="1" x14ac:dyDescent="0.2"/>
    <row r="2432" ht="15" customHeight="1" x14ac:dyDescent="0.2"/>
    <row r="2433" ht="15" customHeight="1" x14ac:dyDescent="0.2"/>
    <row r="2434" ht="15" customHeight="1" x14ac:dyDescent="0.2"/>
    <row r="2435" ht="15" customHeight="1" x14ac:dyDescent="0.2"/>
    <row r="2436" ht="15" customHeight="1" x14ac:dyDescent="0.2"/>
    <row r="2437" ht="15" customHeight="1" x14ac:dyDescent="0.2"/>
    <row r="2438" ht="15" customHeight="1" x14ac:dyDescent="0.2"/>
    <row r="2439" ht="15" customHeight="1" x14ac:dyDescent="0.2"/>
    <row r="2440" ht="15" customHeight="1" x14ac:dyDescent="0.2"/>
    <row r="2441" ht="15" customHeight="1" x14ac:dyDescent="0.2"/>
    <row r="2442" ht="15" customHeight="1" x14ac:dyDescent="0.2"/>
    <row r="2443" ht="15" customHeight="1" x14ac:dyDescent="0.2"/>
    <row r="2444" ht="15" customHeight="1" x14ac:dyDescent="0.2"/>
    <row r="2445" ht="15" customHeight="1" x14ac:dyDescent="0.2"/>
    <row r="2446" ht="15" customHeight="1" x14ac:dyDescent="0.2"/>
    <row r="2447" ht="15" customHeight="1" x14ac:dyDescent="0.2"/>
    <row r="2448" ht="15" customHeight="1" x14ac:dyDescent="0.2"/>
    <row r="2449" ht="15" customHeight="1" x14ac:dyDescent="0.2"/>
    <row r="2450" ht="15" customHeight="1" x14ac:dyDescent="0.2"/>
    <row r="2451" ht="15" customHeight="1" x14ac:dyDescent="0.2"/>
    <row r="2452" ht="15" customHeight="1" x14ac:dyDescent="0.2"/>
    <row r="2453" ht="15" customHeight="1" x14ac:dyDescent="0.2"/>
    <row r="2454" ht="15" customHeight="1" x14ac:dyDescent="0.2"/>
    <row r="2455" ht="15" customHeight="1" x14ac:dyDescent="0.2"/>
    <row r="2456" ht="15" customHeight="1" x14ac:dyDescent="0.2"/>
    <row r="2457" ht="15" customHeight="1" x14ac:dyDescent="0.2"/>
    <row r="2458" ht="15" customHeight="1" x14ac:dyDescent="0.2"/>
    <row r="2459" ht="15" customHeight="1" x14ac:dyDescent="0.2"/>
    <row r="2460" ht="15" customHeight="1" x14ac:dyDescent="0.2"/>
    <row r="2461" ht="15" customHeight="1" x14ac:dyDescent="0.2"/>
    <row r="2462" ht="15" customHeight="1" x14ac:dyDescent="0.2"/>
    <row r="2463" ht="15" customHeight="1" x14ac:dyDescent="0.2"/>
    <row r="2464" ht="15" customHeight="1" x14ac:dyDescent="0.2"/>
    <row r="2465" ht="15" customHeight="1" x14ac:dyDescent="0.2"/>
    <row r="2466" ht="15" customHeight="1" x14ac:dyDescent="0.2"/>
    <row r="2467" ht="15" customHeight="1" x14ac:dyDescent="0.2"/>
    <row r="2468" ht="15" customHeight="1" x14ac:dyDescent="0.2"/>
    <row r="2469" ht="15" customHeight="1" x14ac:dyDescent="0.2"/>
    <row r="2470" ht="15" customHeight="1" x14ac:dyDescent="0.2"/>
    <row r="2471" ht="15" customHeight="1" x14ac:dyDescent="0.2"/>
    <row r="2472" ht="15" customHeight="1" x14ac:dyDescent="0.2"/>
    <row r="2473" ht="15" customHeight="1" x14ac:dyDescent="0.2"/>
    <row r="2474" ht="15" customHeight="1" x14ac:dyDescent="0.2"/>
    <row r="2475" ht="15" customHeight="1" x14ac:dyDescent="0.2"/>
    <row r="2476" ht="15" customHeight="1" x14ac:dyDescent="0.2"/>
    <row r="2477" ht="15" customHeight="1" x14ac:dyDescent="0.2"/>
    <row r="2478" ht="15" customHeight="1" x14ac:dyDescent="0.2"/>
    <row r="2479" ht="15" customHeight="1" x14ac:dyDescent="0.2"/>
    <row r="2480" ht="15" customHeight="1" x14ac:dyDescent="0.2"/>
    <row r="2481" ht="15" customHeight="1" x14ac:dyDescent="0.2"/>
    <row r="2482" ht="15" customHeight="1" x14ac:dyDescent="0.2"/>
    <row r="2483" ht="15" customHeight="1" x14ac:dyDescent="0.2"/>
    <row r="2484" ht="15" customHeight="1" x14ac:dyDescent="0.2"/>
    <row r="2485" ht="15" customHeight="1" x14ac:dyDescent="0.2"/>
    <row r="2486" ht="15" customHeight="1" x14ac:dyDescent="0.2"/>
    <row r="2487" ht="15" customHeight="1" x14ac:dyDescent="0.2"/>
    <row r="2488" ht="15" customHeight="1" x14ac:dyDescent="0.2"/>
    <row r="2489" ht="15" customHeight="1" x14ac:dyDescent="0.2"/>
    <row r="2490" ht="15" customHeight="1" x14ac:dyDescent="0.2"/>
    <row r="2491" ht="15" customHeight="1" x14ac:dyDescent="0.2"/>
    <row r="2492" ht="15" customHeight="1" x14ac:dyDescent="0.2"/>
    <row r="2493" ht="15" customHeight="1" x14ac:dyDescent="0.2"/>
    <row r="2494" ht="15" customHeight="1" x14ac:dyDescent="0.2"/>
    <row r="2495" ht="15" customHeight="1" x14ac:dyDescent="0.2"/>
    <row r="2496" ht="15" customHeight="1" x14ac:dyDescent="0.2"/>
    <row r="2497" ht="15" customHeight="1" x14ac:dyDescent="0.2"/>
    <row r="2498" ht="15" customHeight="1" x14ac:dyDescent="0.2"/>
    <row r="2499" ht="15" customHeight="1" x14ac:dyDescent="0.2"/>
    <row r="2500" ht="15" customHeight="1" x14ac:dyDescent="0.2"/>
    <row r="2501" ht="15" customHeight="1" x14ac:dyDescent="0.2"/>
    <row r="2502" ht="15" customHeight="1" x14ac:dyDescent="0.2"/>
    <row r="2503" ht="15" customHeight="1" x14ac:dyDescent="0.2"/>
    <row r="2504" ht="15" customHeight="1" x14ac:dyDescent="0.2"/>
    <row r="2505" ht="15" customHeight="1" x14ac:dyDescent="0.2"/>
    <row r="2506" ht="15" customHeight="1" x14ac:dyDescent="0.2"/>
    <row r="2507" ht="15" customHeight="1" x14ac:dyDescent="0.2"/>
    <row r="2508" ht="15" customHeight="1" x14ac:dyDescent="0.2"/>
    <row r="2509" ht="15" customHeight="1" x14ac:dyDescent="0.2"/>
    <row r="2510" ht="15" customHeight="1" x14ac:dyDescent="0.2"/>
    <row r="2511" ht="15" customHeight="1" x14ac:dyDescent="0.2"/>
    <row r="2512" ht="15" customHeight="1" x14ac:dyDescent="0.2"/>
    <row r="2513" ht="15" customHeight="1" x14ac:dyDescent="0.2"/>
    <row r="2514" ht="15" customHeight="1" x14ac:dyDescent="0.2"/>
    <row r="2515" ht="15" customHeight="1" x14ac:dyDescent="0.2"/>
    <row r="2516" ht="15" customHeight="1" x14ac:dyDescent="0.2"/>
    <row r="2517" ht="15" customHeight="1" x14ac:dyDescent="0.2"/>
    <row r="2518" ht="15" customHeight="1" x14ac:dyDescent="0.2"/>
    <row r="2519" ht="15" customHeight="1" x14ac:dyDescent="0.2"/>
    <row r="2520" ht="15" customHeight="1" x14ac:dyDescent="0.2"/>
    <row r="2521" ht="15" customHeight="1" x14ac:dyDescent="0.2"/>
    <row r="2522" ht="15" customHeight="1" x14ac:dyDescent="0.2"/>
    <row r="2523" ht="15" customHeight="1" x14ac:dyDescent="0.2"/>
    <row r="2524" ht="15" customHeight="1" x14ac:dyDescent="0.2"/>
    <row r="2525" ht="15" customHeight="1" x14ac:dyDescent="0.2"/>
    <row r="2526" ht="15" customHeight="1" x14ac:dyDescent="0.2"/>
    <row r="2527" ht="15" customHeight="1" x14ac:dyDescent="0.2"/>
    <row r="2528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  <row r="2536" ht="15" customHeight="1" x14ac:dyDescent="0.2"/>
    <row r="2537" ht="15" customHeight="1" x14ac:dyDescent="0.2"/>
    <row r="2538" ht="15" customHeight="1" x14ac:dyDescent="0.2"/>
    <row r="2539" ht="15" customHeight="1" x14ac:dyDescent="0.2"/>
    <row r="2540" ht="15" customHeight="1" x14ac:dyDescent="0.2"/>
    <row r="2541" ht="15" customHeight="1" x14ac:dyDescent="0.2"/>
    <row r="2542" ht="15" customHeight="1" x14ac:dyDescent="0.2"/>
    <row r="2543" ht="15" customHeight="1" x14ac:dyDescent="0.2"/>
    <row r="2544" ht="15" customHeight="1" x14ac:dyDescent="0.2"/>
    <row r="2545" ht="15" customHeight="1" x14ac:dyDescent="0.2"/>
    <row r="2546" ht="15" customHeight="1" x14ac:dyDescent="0.2"/>
    <row r="2547" ht="15" customHeight="1" x14ac:dyDescent="0.2"/>
    <row r="2548" ht="15" customHeight="1" x14ac:dyDescent="0.2"/>
    <row r="2549" ht="15" customHeight="1" x14ac:dyDescent="0.2"/>
    <row r="2550" ht="15" customHeight="1" x14ac:dyDescent="0.2"/>
    <row r="2551" ht="15" customHeight="1" x14ac:dyDescent="0.2"/>
    <row r="2552" ht="15" customHeight="1" x14ac:dyDescent="0.2"/>
    <row r="2553" ht="15" customHeight="1" x14ac:dyDescent="0.2"/>
    <row r="2554" ht="15" customHeight="1" x14ac:dyDescent="0.2"/>
    <row r="2555" ht="15" customHeight="1" x14ac:dyDescent="0.2"/>
    <row r="2556" ht="15" customHeight="1" x14ac:dyDescent="0.2"/>
    <row r="2557" ht="15" customHeight="1" x14ac:dyDescent="0.2"/>
    <row r="2558" ht="15" customHeight="1" x14ac:dyDescent="0.2"/>
    <row r="2559" ht="15" customHeight="1" x14ac:dyDescent="0.2"/>
    <row r="2560" ht="15" customHeight="1" x14ac:dyDescent="0.2"/>
    <row r="2561" ht="15" customHeight="1" x14ac:dyDescent="0.2"/>
    <row r="2562" ht="15" customHeight="1" x14ac:dyDescent="0.2"/>
    <row r="2563" ht="15" customHeight="1" x14ac:dyDescent="0.2"/>
    <row r="2564" ht="15" customHeight="1" x14ac:dyDescent="0.2"/>
    <row r="2565" ht="15" customHeight="1" x14ac:dyDescent="0.2"/>
    <row r="2566" ht="15" customHeight="1" x14ac:dyDescent="0.2"/>
    <row r="2567" ht="15" customHeight="1" x14ac:dyDescent="0.2"/>
    <row r="2568" ht="15" customHeight="1" x14ac:dyDescent="0.2"/>
    <row r="2569" ht="15" customHeight="1" x14ac:dyDescent="0.2"/>
    <row r="2570" ht="15" customHeight="1" x14ac:dyDescent="0.2"/>
    <row r="2571" ht="15" customHeight="1" x14ac:dyDescent="0.2"/>
    <row r="2572" ht="15" customHeight="1" x14ac:dyDescent="0.2"/>
    <row r="2573" ht="15" customHeight="1" x14ac:dyDescent="0.2"/>
    <row r="2574" ht="15" customHeight="1" x14ac:dyDescent="0.2"/>
    <row r="2575" ht="15" customHeight="1" x14ac:dyDescent="0.2"/>
    <row r="2576" ht="15" customHeight="1" x14ac:dyDescent="0.2"/>
    <row r="2577" ht="15" customHeight="1" x14ac:dyDescent="0.2"/>
    <row r="2578" ht="15" customHeight="1" x14ac:dyDescent="0.2"/>
    <row r="2579" ht="15" customHeight="1" x14ac:dyDescent="0.2"/>
    <row r="2580" ht="15" customHeight="1" x14ac:dyDescent="0.2"/>
    <row r="2581" ht="15" customHeight="1" x14ac:dyDescent="0.2"/>
    <row r="2582" ht="15" customHeight="1" x14ac:dyDescent="0.2"/>
    <row r="2583" ht="15" customHeight="1" x14ac:dyDescent="0.2"/>
    <row r="2584" ht="15" customHeight="1" x14ac:dyDescent="0.2"/>
    <row r="2585" ht="15" customHeight="1" x14ac:dyDescent="0.2"/>
    <row r="2586" ht="15" customHeight="1" x14ac:dyDescent="0.2"/>
    <row r="2587" ht="15" customHeight="1" x14ac:dyDescent="0.2"/>
    <row r="2588" ht="15" customHeight="1" x14ac:dyDescent="0.2"/>
    <row r="2589" ht="15" customHeight="1" x14ac:dyDescent="0.2"/>
    <row r="2590" ht="15" customHeight="1" x14ac:dyDescent="0.2"/>
    <row r="2591" ht="15" customHeight="1" x14ac:dyDescent="0.2"/>
    <row r="2592" ht="15" customHeight="1" x14ac:dyDescent="0.2"/>
    <row r="2593" ht="15" customHeight="1" x14ac:dyDescent="0.2"/>
    <row r="2594" ht="15" customHeight="1" x14ac:dyDescent="0.2"/>
    <row r="2595" ht="15" customHeight="1" x14ac:dyDescent="0.2"/>
    <row r="2596" ht="15" customHeight="1" x14ac:dyDescent="0.2"/>
    <row r="2597" ht="15" customHeight="1" x14ac:dyDescent="0.2"/>
    <row r="2598" ht="15" customHeight="1" x14ac:dyDescent="0.2"/>
    <row r="2599" ht="15" customHeight="1" x14ac:dyDescent="0.2"/>
    <row r="2600" ht="15" customHeight="1" x14ac:dyDescent="0.2"/>
    <row r="2601" ht="15" customHeight="1" x14ac:dyDescent="0.2"/>
    <row r="2602" ht="15" customHeight="1" x14ac:dyDescent="0.2"/>
    <row r="2603" ht="15" customHeight="1" x14ac:dyDescent="0.2"/>
    <row r="2604" ht="15" customHeight="1" x14ac:dyDescent="0.2"/>
    <row r="2605" ht="15" customHeight="1" x14ac:dyDescent="0.2"/>
    <row r="2606" ht="15" customHeight="1" x14ac:dyDescent="0.2"/>
    <row r="2607" ht="15" customHeight="1" x14ac:dyDescent="0.2"/>
    <row r="2608" ht="15" customHeight="1" x14ac:dyDescent="0.2"/>
    <row r="2609" ht="15" customHeight="1" x14ac:dyDescent="0.2"/>
    <row r="2610" ht="15" customHeight="1" x14ac:dyDescent="0.2"/>
    <row r="2611" ht="15" customHeight="1" x14ac:dyDescent="0.2"/>
    <row r="2612" ht="15" customHeight="1" x14ac:dyDescent="0.2"/>
    <row r="2613" ht="15" customHeight="1" x14ac:dyDescent="0.2"/>
    <row r="2614" ht="15" customHeight="1" x14ac:dyDescent="0.2"/>
    <row r="2615" ht="15" customHeight="1" x14ac:dyDescent="0.2"/>
    <row r="2616" ht="15" customHeight="1" x14ac:dyDescent="0.2"/>
    <row r="2617" ht="15" customHeight="1" x14ac:dyDescent="0.2"/>
    <row r="2618" ht="15" customHeight="1" x14ac:dyDescent="0.2"/>
    <row r="2619" ht="15" customHeight="1" x14ac:dyDescent="0.2"/>
    <row r="2620" ht="15" customHeight="1" x14ac:dyDescent="0.2"/>
    <row r="2621" ht="15" customHeight="1" x14ac:dyDescent="0.2"/>
    <row r="2622" ht="15" customHeight="1" x14ac:dyDescent="0.2"/>
    <row r="2623" ht="15" customHeight="1" x14ac:dyDescent="0.2"/>
    <row r="2624" ht="15" customHeight="1" x14ac:dyDescent="0.2"/>
    <row r="2625" ht="15" customHeight="1" x14ac:dyDescent="0.2"/>
    <row r="2626" ht="15" customHeight="1" x14ac:dyDescent="0.2"/>
    <row r="2627" ht="15" customHeight="1" x14ac:dyDescent="0.2"/>
    <row r="2628" ht="15" customHeight="1" x14ac:dyDescent="0.2"/>
    <row r="2629" ht="15" customHeight="1" x14ac:dyDescent="0.2"/>
    <row r="2630" ht="15" customHeight="1" x14ac:dyDescent="0.2"/>
    <row r="2631" ht="15" customHeight="1" x14ac:dyDescent="0.2"/>
    <row r="2632" ht="15" customHeight="1" x14ac:dyDescent="0.2"/>
    <row r="2633" ht="15" customHeight="1" x14ac:dyDescent="0.2"/>
    <row r="2634" ht="15" customHeight="1" x14ac:dyDescent="0.2"/>
    <row r="2635" ht="15" customHeight="1" x14ac:dyDescent="0.2"/>
    <row r="2636" ht="15" customHeight="1" x14ac:dyDescent="0.2"/>
    <row r="2637" ht="15" customHeight="1" x14ac:dyDescent="0.2"/>
    <row r="2638" ht="15" customHeight="1" x14ac:dyDescent="0.2"/>
    <row r="2639" ht="15" customHeight="1" x14ac:dyDescent="0.2"/>
    <row r="2640" ht="15" customHeight="1" x14ac:dyDescent="0.2"/>
    <row r="2641" ht="15" customHeight="1" x14ac:dyDescent="0.2"/>
    <row r="2642" ht="15" customHeight="1" x14ac:dyDescent="0.2"/>
    <row r="2643" ht="15" customHeight="1" x14ac:dyDescent="0.2"/>
    <row r="2644" ht="15" customHeight="1" x14ac:dyDescent="0.2"/>
    <row r="2645" ht="15" customHeight="1" x14ac:dyDescent="0.2"/>
    <row r="2646" ht="15" customHeight="1" x14ac:dyDescent="0.2"/>
    <row r="2647" ht="15" customHeight="1" x14ac:dyDescent="0.2"/>
    <row r="2648" ht="15" customHeight="1" x14ac:dyDescent="0.2"/>
    <row r="2649" ht="15" customHeight="1" x14ac:dyDescent="0.2"/>
    <row r="2650" ht="15" customHeight="1" x14ac:dyDescent="0.2"/>
    <row r="2651" ht="15" customHeight="1" x14ac:dyDescent="0.2"/>
    <row r="2652" ht="15" customHeight="1" x14ac:dyDescent="0.2"/>
    <row r="2653" ht="15" customHeight="1" x14ac:dyDescent="0.2"/>
    <row r="2654" ht="15" customHeight="1" x14ac:dyDescent="0.2"/>
    <row r="2655" ht="15" customHeight="1" x14ac:dyDescent="0.2"/>
    <row r="2656" ht="15" customHeight="1" x14ac:dyDescent="0.2"/>
    <row r="2657" ht="15" customHeight="1" x14ac:dyDescent="0.2"/>
    <row r="2658" ht="15" customHeight="1" x14ac:dyDescent="0.2"/>
    <row r="2659" ht="15" customHeight="1" x14ac:dyDescent="0.2"/>
    <row r="2660" ht="15" customHeight="1" x14ac:dyDescent="0.2"/>
    <row r="2661" ht="15" customHeight="1" x14ac:dyDescent="0.2"/>
    <row r="2662" ht="15" customHeight="1" x14ac:dyDescent="0.2"/>
    <row r="2663" ht="15" customHeight="1" x14ac:dyDescent="0.2"/>
    <row r="2664" ht="15" customHeight="1" x14ac:dyDescent="0.2"/>
    <row r="2665" ht="15" customHeight="1" x14ac:dyDescent="0.2"/>
    <row r="2666" ht="15" customHeight="1" x14ac:dyDescent="0.2"/>
    <row r="2667" ht="15" customHeight="1" x14ac:dyDescent="0.2"/>
    <row r="2668" ht="15" customHeight="1" x14ac:dyDescent="0.2"/>
    <row r="2669" ht="15" customHeight="1" x14ac:dyDescent="0.2"/>
    <row r="2670" ht="15" customHeight="1" x14ac:dyDescent="0.2"/>
    <row r="2671" ht="15" customHeight="1" x14ac:dyDescent="0.2"/>
    <row r="2672" ht="15" customHeight="1" x14ac:dyDescent="0.2"/>
    <row r="2673" ht="15" customHeight="1" x14ac:dyDescent="0.2"/>
    <row r="2674" ht="15" customHeight="1" x14ac:dyDescent="0.2"/>
    <row r="2675" ht="15" customHeight="1" x14ac:dyDescent="0.2"/>
    <row r="2676" ht="15" customHeight="1" x14ac:dyDescent="0.2"/>
    <row r="2677" ht="15" customHeight="1" x14ac:dyDescent="0.2"/>
    <row r="2678" ht="15" customHeight="1" x14ac:dyDescent="0.2"/>
    <row r="2679" ht="15" customHeight="1" x14ac:dyDescent="0.2"/>
    <row r="2680" ht="15" customHeight="1" x14ac:dyDescent="0.2"/>
    <row r="2681" ht="15" customHeight="1" x14ac:dyDescent="0.2"/>
    <row r="2682" ht="15" customHeight="1" x14ac:dyDescent="0.2"/>
    <row r="2683" ht="15" customHeight="1" x14ac:dyDescent="0.2"/>
    <row r="2684" ht="15" customHeight="1" x14ac:dyDescent="0.2"/>
    <row r="2685" ht="15" customHeight="1" x14ac:dyDescent="0.2"/>
    <row r="2686" ht="15" customHeight="1" x14ac:dyDescent="0.2"/>
    <row r="2687" ht="15" customHeight="1" x14ac:dyDescent="0.2"/>
    <row r="2688" ht="15" customHeight="1" x14ac:dyDescent="0.2"/>
    <row r="2689" ht="15" customHeight="1" x14ac:dyDescent="0.2"/>
    <row r="2690" ht="15" customHeight="1" x14ac:dyDescent="0.2"/>
    <row r="2691" ht="15" customHeight="1" x14ac:dyDescent="0.2"/>
    <row r="2692" ht="15" customHeight="1" x14ac:dyDescent="0.2"/>
    <row r="2693" ht="15" customHeight="1" x14ac:dyDescent="0.2"/>
    <row r="2694" ht="15" customHeight="1" x14ac:dyDescent="0.2"/>
    <row r="2695" ht="15" customHeight="1" x14ac:dyDescent="0.2"/>
    <row r="2696" ht="15" customHeight="1" x14ac:dyDescent="0.2"/>
    <row r="2697" ht="15" customHeight="1" x14ac:dyDescent="0.2"/>
    <row r="2698" ht="15" customHeight="1" x14ac:dyDescent="0.2"/>
    <row r="2699" ht="15" customHeight="1" x14ac:dyDescent="0.2"/>
    <row r="2700" ht="15" customHeight="1" x14ac:dyDescent="0.2"/>
    <row r="2701" ht="15" customHeight="1" x14ac:dyDescent="0.2"/>
    <row r="2702" ht="15" customHeight="1" x14ac:dyDescent="0.2"/>
    <row r="2703" ht="15" customHeight="1" x14ac:dyDescent="0.2"/>
    <row r="2704" ht="15" customHeight="1" x14ac:dyDescent="0.2"/>
    <row r="2705" ht="15" customHeight="1" x14ac:dyDescent="0.2"/>
    <row r="2706" ht="15" customHeight="1" x14ac:dyDescent="0.2"/>
    <row r="2707" ht="15" customHeight="1" x14ac:dyDescent="0.2"/>
    <row r="2708" ht="15" customHeight="1" x14ac:dyDescent="0.2"/>
    <row r="2709" ht="15" customHeight="1" x14ac:dyDescent="0.2"/>
    <row r="2710" ht="15" customHeight="1" x14ac:dyDescent="0.2"/>
    <row r="2711" ht="15" customHeight="1" x14ac:dyDescent="0.2"/>
    <row r="2712" ht="15" customHeight="1" x14ac:dyDescent="0.2"/>
    <row r="2713" ht="15" customHeight="1" x14ac:dyDescent="0.2"/>
    <row r="2714" ht="15" customHeight="1" x14ac:dyDescent="0.2"/>
    <row r="2715" ht="15" customHeight="1" x14ac:dyDescent="0.2"/>
    <row r="2716" ht="15" customHeight="1" x14ac:dyDescent="0.2"/>
    <row r="2717" ht="15" customHeight="1" x14ac:dyDescent="0.2"/>
    <row r="2718" ht="15" customHeight="1" x14ac:dyDescent="0.2"/>
    <row r="2719" ht="15" customHeight="1" x14ac:dyDescent="0.2"/>
    <row r="2720" ht="15" customHeight="1" x14ac:dyDescent="0.2"/>
    <row r="2721" ht="15" customHeight="1" x14ac:dyDescent="0.2"/>
    <row r="2722" ht="15" customHeight="1" x14ac:dyDescent="0.2"/>
    <row r="2723" ht="15" customHeight="1" x14ac:dyDescent="0.2"/>
    <row r="2724" ht="15" customHeight="1" x14ac:dyDescent="0.2"/>
    <row r="2725" ht="15" customHeight="1" x14ac:dyDescent="0.2"/>
    <row r="2726" ht="15" customHeight="1" x14ac:dyDescent="0.2"/>
    <row r="2727" ht="15" customHeight="1" x14ac:dyDescent="0.2"/>
    <row r="2728" ht="15" customHeight="1" x14ac:dyDescent="0.2"/>
    <row r="2729" ht="15" customHeight="1" x14ac:dyDescent="0.2"/>
    <row r="2730" ht="15" customHeight="1" x14ac:dyDescent="0.2"/>
    <row r="2731" ht="15" customHeight="1" x14ac:dyDescent="0.2"/>
    <row r="2732" ht="15" customHeight="1" x14ac:dyDescent="0.2"/>
    <row r="2733" ht="15" customHeight="1" x14ac:dyDescent="0.2"/>
    <row r="2734" ht="15" customHeight="1" x14ac:dyDescent="0.2"/>
    <row r="2735" ht="15" customHeight="1" x14ac:dyDescent="0.2"/>
    <row r="2736" ht="15" customHeight="1" x14ac:dyDescent="0.2"/>
    <row r="2737" ht="15" customHeight="1" x14ac:dyDescent="0.2"/>
    <row r="2738" ht="15" customHeight="1" x14ac:dyDescent="0.2"/>
    <row r="2739" ht="15" customHeight="1" x14ac:dyDescent="0.2"/>
    <row r="2740" ht="15" customHeight="1" x14ac:dyDescent="0.2"/>
    <row r="2741" ht="15" customHeight="1" x14ac:dyDescent="0.2"/>
    <row r="2742" ht="15" customHeight="1" x14ac:dyDescent="0.2"/>
    <row r="2743" ht="15" customHeight="1" x14ac:dyDescent="0.2"/>
    <row r="2744" ht="15" customHeight="1" x14ac:dyDescent="0.2"/>
    <row r="2745" ht="15" customHeight="1" x14ac:dyDescent="0.2"/>
    <row r="2746" ht="15" customHeight="1" x14ac:dyDescent="0.2"/>
    <row r="2747" ht="15" customHeight="1" x14ac:dyDescent="0.2"/>
    <row r="2748" ht="15" customHeight="1" x14ac:dyDescent="0.2"/>
    <row r="2749" ht="15" customHeight="1" x14ac:dyDescent="0.2"/>
    <row r="2750" ht="15" customHeight="1" x14ac:dyDescent="0.2"/>
    <row r="2751" ht="15" customHeight="1" x14ac:dyDescent="0.2"/>
    <row r="2752" ht="15" customHeight="1" x14ac:dyDescent="0.2"/>
    <row r="2753" ht="15" customHeight="1" x14ac:dyDescent="0.2"/>
    <row r="2754" ht="15" customHeight="1" x14ac:dyDescent="0.2"/>
    <row r="2755" ht="15" customHeight="1" x14ac:dyDescent="0.2"/>
    <row r="2756" ht="15" customHeight="1" x14ac:dyDescent="0.2"/>
    <row r="2757" ht="15" customHeight="1" x14ac:dyDescent="0.2"/>
    <row r="2758" ht="15" customHeight="1" x14ac:dyDescent="0.2"/>
    <row r="2759" ht="15" customHeight="1" x14ac:dyDescent="0.2"/>
    <row r="2760" ht="15" customHeight="1" x14ac:dyDescent="0.2"/>
    <row r="2761" ht="15" customHeight="1" x14ac:dyDescent="0.2"/>
    <row r="2762" ht="15" customHeight="1" x14ac:dyDescent="0.2"/>
    <row r="2763" ht="15" customHeight="1" x14ac:dyDescent="0.2"/>
    <row r="2764" ht="15" customHeight="1" x14ac:dyDescent="0.2"/>
    <row r="2765" ht="15" customHeight="1" x14ac:dyDescent="0.2"/>
    <row r="2766" ht="15" customHeight="1" x14ac:dyDescent="0.2"/>
    <row r="2767" ht="15" customHeight="1" x14ac:dyDescent="0.2"/>
    <row r="2768" ht="15" customHeight="1" x14ac:dyDescent="0.2"/>
    <row r="2769" ht="15" customHeight="1" x14ac:dyDescent="0.2"/>
    <row r="2770" ht="15" customHeight="1" x14ac:dyDescent="0.2"/>
    <row r="2771" ht="15" customHeight="1" x14ac:dyDescent="0.2"/>
    <row r="2772" ht="15" customHeight="1" x14ac:dyDescent="0.2"/>
    <row r="2773" ht="15" customHeight="1" x14ac:dyDescent="0.2"/>
    <row r="2774" ht="15" customHeight="1" x14ac:dyDescent="0.2"/>
    <row r="2775" ht="15" customHeight="1" x14ac:dyDescent="0.2"/>
    <row r="2776" ht="15" customHeight="1" x14ac:dyDescent="0.2"/>
    <row r="2777" ht="15" customHeight="1" x14ac:dyDescent="0.2"/>
    <row r="2778" ht="15" customHeight="1" x14ac:dyDescent="0.2"/>
    <row r="2779" ht="15" customHeight="1" x14ac:dyDescent="0.2"/>
    <row r="2780" ht="15" customHeight="1" x14ac:dyDescent="0.2"/>
    <row r="2781" ht="15" customHeight="1" x14ac:dyDescent="0.2"/>
    <row r="2782" ht="15" customHeight="1" x14ac:dyDescent="0.2"/>
    <row r="2783" ht="15" customHeight="1" x14ac:dyDescent="0.2"/>
    <row r="2784" ht="15" customHeight="1" x14ac:dyDescent="0.2"/>
    <row r="2785" ht="15" customHeight="1" x14ac:dyDescent="0.2"/>
    <row r="2786" ht="15" customHeight="1" x14ac:dyDescent="0.2"/>
    <row r="2787" ht="15" customHeight="1" x14ac:dyDescent="0.2"/>
    <row r="2788" ht="15" customHeight="1" x14ac:dyDescent="0.2"/>
    <row r="2789" ht="15" customHeight="1" x14ac:dyDescent="0.2"/>
    <row r="2790" ht="15" customHeight="1" x14ac:dyDescent="0.2"/>
    <row r="2791" ht="15" customHeight="1" x14ac:dyDescent="0.2"/>
    <row r="2792" ht="15" customHeight="1" x14ac:dyDescent="0.2"/>
    <row r="2793" ht="15" customHeight="1" x14ac:dyDescent="0.2"/>
    <row r="2794" ht="15" customHeight="1" x14ac:dyDescent="0.2"/>
    <row r="2795" ht="15" customHeight="1" x14ac:dyDescent="0.2"/>
    <row r="2796" ht="15" customHeight="1" x14ac:dyDescent="0.2"/>
    <row r="2797" ht="15" customHeight="1" x14ac:dyDescent="0.2"/>
    <row r="2798" ht="15" customHeight="1" x14ac:dyDescent="0.2"/>
    <row r="2799" ht="15" customHeight="1" x14ac:dyDescent="0.2"/>
    <row r="2800" ht="15" customHeight="1" x14ac:dyDescent="0.2"/>
    <row r="2801" ht="15" customHeight="1" x14ac:dyDescent="0.2"/>
    <row r="2802" ht="15" customHeight="1" x14ac:dyDescent="0.2"/>
    <row r="2803" ht="15" customHeight="1" x14ac:dyDescent="0.2"/>
    <row r="2804" ht="15" customHeight="1" x14ac:dyDescent="0.2"/>
    <row r="2805" ht="15" customHeight="1" x14ac:dyDescent="0.2"/>
    <row r="2806" ht="15" customHeight="1" x14ac:dyDescent="0.2"/>
    <row r="2807" ht="15" customHeight="1" x14ac:dyDescent="0.2"/>
    <row r="2808" ht="15" customHeight="1" x14ac:dyDescent="0.2"/>
    <row r="2809" ht="15" customHeight="1" x14ac:dyDescent="0.2"/>
    <row r="2810" ht="15" customHeight="1" x14ac:dyDescent="0.2"/>
    <row r="2811" ht="15" customHeight="1" x14ac:dyDescent="0.2"/>
    <row r="2812" ht="15" customHeight="1" x14ac:dyDescent="0.2"/>
    <row r="2813" ht="15" customHeight="1" x14ac:dyDescent="0.2"/>
    <row r="2814" ht="15" customHeight="1" x14ac:dyDescent="0.2"/>
    <row r="2815" ht="15" customHeight="1" x14ac:dyDescent="0.2"/>
    <row r="2816" ht="15" customHeight="1" x14ac:dyDescent="0.2"/>
    <row r="2817" ht="15" customHeight="1" x14ac:dyDescent="0.2"/>
    <row r="2818" ht="15" customHeight="1" x14ac:dyDescent="0.2"/>
    <row r="2819" ht="15" customHeight="1" x14ac:dyDescent="0.2"/>
    <row r="2820" ht="15" customHeight="1" x14ac:dyDescent="0.2"/>
    <row r="2821" ht="15" customHeight="1" x14ac:dyDescent="0.2"/>
    <row r="2822" ht="15" customHeight="1" x14ac:dyDescent="0.2"/>
    <row r="2823" ht="15" customHeight="1" x14ac:dyDescent="0.2"/>
    <row r="2824" ht="15" customHeight="1" x14ac:dyDescent="0.2"/>
    <row r="2825" ht="15" customHeight="1" x14ac:dyDescent="0.2"/>
    <row r="2826" ht="15" customHeight="1" x14ac:dyDescent="0.2"/>
    <row r="2827" ht="15" customHeight="1" x14ac:dyDescent="0.2"/>
    <row r="2828" ht="15" customHeight="1" x14ac:dyDescent="0.2"/>
    <row r="2829" ht="15" customHeight="1" x14ac:dyDescent="0.2"/>
    <row r="2830" ht="15" customHeight="1" x14ac:dyDescent="0.2"/>
    <row r="2831" ht="15" customHeight="1" x14ac:dyDescent="0.2"/>
    <row r="2832" ht="15" customHeight="1" x14ac:dyDescent="0.2"/>
    <row r="2833" ht="15" customHeight="1" x14ac:dyDescent="0.2"/>
    <row r="2834" ht="15" customHeight="1" x14ac:dyDescent="0.2"/>
    <row r="2835" ht="15" customHeight="1" x14ac:dyDescent="0.2"/>
    <row r="2836" ht="15" customHeight="1" x14ac:dyDescent="0.2"/>
    <row r="2837" ht="15" customHeight="1" x14ac:dyDescent="0.2"/>
    <row r="2838" ht="15" customHeight="1" x14ac:dyDescent="0.2"/>
    <row r="2839" ht="15" customHeight="1" x14ac:dyDescent="0.2"/>
    <row r="2840" ht="15" customHeight="1" x14ac:dyDescent="0.2"/>
    <row r="2841" ht="15" customHeight="1" x14ac:dyDescent="0.2"/>
    <row r="2842" ht="15" customHeight="1" x14ac:dyDescent="0.2"/>
    <row r="2843" ht="15" customHeight="1" x14ac:dyDescent="0.2"/>
    <row r="2844" ht="15" customHeight="1" x14ac:dyDescent="0.2"/>
    <row r="2845" ht="15" customHeight="1" x14ac:dyDescent="0.2"/>
    <row r="2846" ht="15" customHeight="1" x14ac:dyDescent="0.2"/>
    <row r="2847" ht="15" customHeight="1" x14ac:dyDescent="0.2"/>
    <row r="2848" ht="15" customHeight="1" x14ac:dyDescent="0.2"/>
    <row r="2849" ht="15" customHeight="1" x14ac:dyDescent="0.2"/>
    <row r="2850" ht="15" customHeight="1" x14ac:dyDescent="0.2"/>
    <row r="2851" ht="15" customHeight="1" x14ac:dyDescent="0.2"/>
    <row r="2852" ht="15" customHeight="1" x14ac:dyDescent="0.2"/>
    <row r="2853" ht="15" customHeight="1" x14ac:dyDescent="0.2"/>
    <row r="2854" ht="15" customHeight="1" x14ac:dyDescent="0.2"/>
    <row r="2855" ht="15" customHeight="1" x14ac:dyDescent="0.2"/>
    <row r="2856" ht="15" customHeight="1" x14ac:dyDescent="0.2"/>
    <row r="2857" ht="15" customHeight="1" x14ac:dyDescent="0.2"/>
    <row r="2858" ht="15" customHeight="1" x14ac:dyDescent="0.2"/>
    <row r="2859" ht="15" customHeight="1" x14ac:dyDescent="0.2"/>
    <row r="2860" ht="15" customHeight="1" x14ac:dyDescent="0.2"/>
    <row r="2861" ht="15" customHeight="1" x14ac:dyDescent="0.2"/>
    <row r="2862" ht="15" customHeight="1" x14ac:dyDescent="0.2"/>
    <row r="2863" ht="15" customHeight="1" x14ac:dyDescent="0.2"/>
    <row r="2864" ht="15" customHeight="1" x14ac:dyDescent="0.2"/>
    <row r="2865" ht="15" customHeight="1" x14ac:dyDescent="0.2"/>
    <row r="2866" ht="15" customHeight="1" x14ac:dyDescent="0.2"/>
    <row r="2867" ht="15" customHeight="1" x14ac:dyDescent="0.2"/>
    <row r="2868" ht="15" customHeight="1" x14ac:dyDescent="0.2"/>
    <row r="2869" ht="15" customHeight="1" x14ac:dyDescent="0.2"/>
    <row r="2870" ht="15" customHeight="1" x14ac:dyDescent="0.2"/>
    <row r="2871" ht="15" customHeight="1" x14ac:dyDescent="0.2"/>
    <row r="2872" ht="15" customHeight="1" x14ac:dyDescent="0.2"/>
    <row r="2873" ht="15" customHeight="1" x14ac:dyDescent="0.2"/>
    <row r="2874" ht="15" customHeight="1" x14ac:dyDescent="0.2"/>
    <row r="2875" ht="15" customHeight="1" x14ac:dyDescent="0.2"/>
    <row r="2876" ht="15" customHeight="1" x14ac:dyDescent="0.2"/>
    <row r="2877" ht="15" customHeight="1" x14ac:dyDescent="0.2"/>
    <row r="2878" ht="15" customHeight="1" x14ac:dyDescent="0.2"/>
    <row r="2879" ht="15" customHeight="1" x14ac:dyDescent="0.2"/>
    <row r="2880" ht="15" customHeight="1" x14ac:dyDescent="0.2"/>
    <row r="2881" ht="15" customHeight="1" x14ac:dyDescent="0.2"/>
    <row r="2882" ht="15" customHeight="1" x14ac:dyDescent="0.2"/>
    <row r="2883" ht="15" customHeight="1" x14ac:dyDescent="0.2"/>
    <row r="2884" ht="15" customHeight="1" x14ac:dyDescent="0.2"/>
    <row r="2885" ht="15" customHeight="1" x14ac:dyDescent="0.2"/>
    <row r="2886" ht="15" customHeight="1" x14ac:dyDescent="0.2"/>
    <row r="2887" ht="15" customHeight="1" x14ac:dyDescent="0.2"/>
    <row r="2888" ht="15" customHeight="1" x14ac:dyDescent="0.2"/>
    <row r="2889" ht="15" customHeight="1" x14ac:dyDescent="0.2"/>
    <row r="2890" ht="15" customHeight="1" x14ac:dyDescent="0.2"/>
    <row r="2891" ht="15" customHeight="1" x14ac:dyDescent="0.2"/>
    <row r="2892" ht="15" customHeight="1" x14ac:dyDescent="0.2"/>
    <row r="2893" ht="15" customHeight="1" x14ac:dyDescent="0.2"/>
    <row r="2894" ht="15" customHeight="1" x14ac:dyDescent="0.2"/>
    <row r="2895" ht="15" customHeight="1" x14ac:dyDescent="0.2"/>
    <row r="2896" ht="15" customHeight="1" x14ac:dyDescent="0.2"/>
    <row r="2897" ht="15" customHeight="1" x14ac:dyDescent="0.2"/>
    <row r="2898" ht="15" customHeight="1" x14ac:dyDescent="0.2"/>
    <row r="2899" ht="15" customHeight="1" x14ac:dyDescent="0.2"/>
    <row r="2900" ht="15" customHeight="1" x14ac:dyDescent="0.2"/>
    <row r="2901" ht="15" customHeight="1" x14ac:dyDescent="0.2"/>
    <row r="2902" ht="15" customHeight="1" x14ac:dyDescent="0.2"/>
    <row r="2903" ht="15" customHeight="1" x14ac:dyDescent="0.2"/>
    <row r="2904" ht="15" customHeight="1" x14ac:dyDescent="0.2"/>
    <row r="2905" ht="15" customHeight="1" x14ac:dyDescent="0.2"/>
    <row r="2906" ht="15" customHeight="1" x14ac:dyDescent="0.2"/>
    <row r="2907" ht="15" customHeight="1" x14ac:dyDescent="0.2"/>
    <row r="2908" ht="15" customHeight="1" x14ac:dyDescent="0.2"/>
    <row r="2909" ht="15" customHeight="1" x14ac:dyDescent="0.2"/>
    <row r="2910" ht="15" customHeight="1" x14ac:dyDescent="0.2"/>
    <row r="2911" ht="15" customHeight="1" x14ac:dyDescent="0.2"/>
    <row r="2912" ht="15" customHeight="1" x14ac:dyDescent="0.2"/>
    <row r="2913" ht="15" customHeight="1" x14ac:dyDescent="0.2"/>
    <row r="2914" ht="15" customHeight="1" x14ac:dyDescent="0.2"/>
    <row r="2915" ht="15" customHeight="1" x14ac:dyDescent="0.2"/>
    <row r="2916" ht="15" customHeight="1" x14ac:dyDescent="0.2"/>
    <row r="2917" ht="15" customHeight="1" x14ac:dyDescent="0.2"/>
    <row r="2918" ht="15" customHeight="1" x14ac:dyDescent="0.2"/>
    <row r="2919" ht="15" customHeight="1" x14ac:dyDescent="0.2"/>
    <row r="2920" ht="15" customHeight="1" x14ac:dyDescent="0.2"/>
    <row r="2921" ht="15" customHeight="1" x14ac:dyDescent="0.2"/>
    <row r="2922" ht="15" customHeight="1" x14ac:dyDescent="0.2"/>
    <row r="2923" ht="15" customHeight="1" x14ac:dyDescent="0.2"/>
    <row r="2924" ht="15" customHeight="1" x14ac:dyDescent="0.2"/>
    <row r="2925" ht="15" customHeight="1" x14ac:dyDescent="0.2"/>
    <row r="2926" ht="15" customHeight="1" x14ac:dyDescent="0.2"/>
    <row r="2927" ht="15" customHeight="1" x14ac:dyDescent="0.2"/>
    <row r="2928" ht="15" customHeight="1" x14ac:dyDescent="0.2"/>
    <row r="2929" ht="15" customHeight="1" x14ac:dyDescent="0.2"/>
    <row r="2930" ht="15" customHeight="1" x14ac:dyDescent="0.2"/>
    <row r="2931" ht="15" customHeight="1" x14ac:dyDescent="0.2"/>
    <row r="2932" ht="15" customHeight="1" x14ac:dyDescent="0.2"/>
    <row r="2933" ht="15" customHeight="1" x14ac:dyDescent="0.2"/>
    <row r="2934" ht="15" customHeight="1" x14ac:dyDescent="0.2"/>
    <row r="2935" ht="15" customHeight="1" x14ac:dyDescent="0.2"/>
    <row r="2936" ht="15" customHeight="1" x14ac:dyDescent="0.2"/>
    <row r="2937" ht="15" customHeight="1" x14ac:dyDescent="0.2"/>
    <row r="2938" ht="15" customHeight="1" x14ac:dyDescent="0.2"/>
    <row r="2939" ht="15" customHeight="1" x14ac:dyDescent="0.2"/>
    <row r="2940" ht="15" customHeight="1" x14ac:dyDescent="0.2"/>
    <row r="2941" ht="15" customHeight="1" x14ac:dyDescent="0.2"/>
    <row r="2942" ht="15" customHeight="1" x14ac:dyDescent="0.2"/>
    <row r="2943" ht="15" customHeight="1" x14ac:dyDescent="0.2"/>
    <row r="2944" ht="15" customHeight="1" x14ac:dyDescent="0.2"/>
    <row r="2945" ht="15" customHeight="1" x14ac:dyDescent="0.2"/>
    <row r="2946" ht="15" customHeight="1" x14ac:dyDescent="0.2"/>
    <row r="2947" ht="15" customHeight="1" x14ac:dyDescent="0.2"/>
    <row r="2948" ht="15" customHeight="1" x14ac:dyDescent="0.2"/>
    <row r="2949" ht="15" customHeight="1" x14ac:dyDescent="0.2"/>
    <row r="2950" ht="15" customHeight="1" x14ac:dyDescent="0.2"/>
    <row r="2951" ht="15" customHeight="1" x14ac:dyDescent="0.2"/>
    <row r="2952" ht="15" customHeight="1" x14ac:dyDescent="0.2"/>
    <row r="2953" ht="15" customHeight="1" x14ac:dyDescent="0.2"/>
    <row r="2954" ht="15" customHeight="1" x14ac:dyDescent="0.2"/>
    <row r="2955" ht="15" customHeight="1" x14ac:dyDescent="0.2"/>
    <row r="2956" ht="15" customHeight="1" x14ac:dyDescent="0.2"/>
    <row r="2957" ht="15" customHeight="1" x14ac:dyDescent="0.2"/>
    <row r="2958" ht="15" customHeight="1" x14ac:dyDescent="0.2"/>
    <row r="2959" ht="15" customHeight="1" x14ac:dyDescent="0.2"/>
    <row r="2960" ht="15" customHeight="1" x14ac:dyDescent="0.2"/>
    <row r="2961" ht="15" customHeight="1" x14ac:dyDescent="0.2"/>
    <row r="2962" ht="15" customHeight="1" x14ac:dyDescent="0.2"/>
    <row r="2963" ht="15" customHeight="1" x14ac:dyDescent="0.2"/>
    <row r="2964" ht="15" customHeight="1" x14ac:dyDescent="0.2"/>
    <row r="2965" ht="15" customHeight="1" x14ac:dyDescent="0.2"/>
    <row r="2966" ht="15" customHeight="1" x14ac:dyDescent="0.2"/>
    <row r="2967" ht="15" customHeight="1" x14ac:dyDescent="0.2"/>
    <row r="2968" ht="15" customHeight="1" x14ac:dyDescent="0.2"/>
    <row r="2969" ht="15" customHeight="1" x14ac:dyDescent="0.2"/>
    <row r="2970" ht="15" customHeight="1" x14ac:dyDescent="0.2"/>
    <row r="2971" ht="15" customHeight="1" x14ac:dyDescent="0.2"/>
    <row r="2972" ht="15" customHeight="1" x14ac:dyDescent="0.2"/>
    <row r="2973" ht="15" customHeight="1" x14ac:dyDescent="0.2"/>
    <row r="2974" ht="15" customHeight="1" x14ac:dyDescent="0.2"/>
    <row r="2975" ht="15" customHeight="1" x14ac:dyDescent="0.2"/>
    <row r="2976" ht="15" customHeight="1" x14ac:dyDescent="0.2"/>
    <row r="2977" ht="15" customHeight="1" x14ac:dyDescent="0.2"/>
    <row r="2978" ht="15" customHeight="1" x14ac:dyDescent="0.2"/>
    <row r="2979" ht="15" customHeight="1" x14ac:dyDescent="0.2"/>
    <row r="2980" ht="15" customHeight="1" x14ac:dyDescent="0.2"/>
    <row r="2981" ht="15" customHeight="1" x14ac:dyDescent="0.2"/>
    <row r="2982" ht="15" customHeight="1" x14ac:dyDescent="0.2"/>
    <row r="2983" ht="15" customHeight="1" x14ac:dyDescent="0.2"/>
    <row r="2984" ht="15" customHeight="1" x14ac:dyDescent="0.2"/>
    <row r="2985" ht="15" customHeight="1" x14ac:dyDescent="0.2"/>
    <row r="2986" ht="15" customHeight="1" x14ac:dyDescent="0.2"/>
    <row r="2987" ht="15" customHeight="1" x14ac:dyDescent="0.2"/>
    <row r="2988" ht="15" customHeight="1" x14ac:dyDescent="0.2"/>
    <row r="2989" ht="15" customHeight="1" x14ac:dyDescent="0.2"/>
    <row r="2990" ht="15" customHeight="1" x14ac:dyDescent="0.2"/>
    <row r="2991" ht="15" customHeight="1" x14ac:dyDescent="0.2"/>
    <row r="2992" ht="15" customHeight="1" x14ac:dyDescent="0.2"/>
    <row r="2993" ht="15" customHeight="1" x14ac:dyDescent="0.2"/>
    <row r="2994" ht="15" customHeight="1" x14ac:dyDescent="0.2"/>
    <row r="2995" ht="15" customHeight="1" x14ac:dyDescent="0.2"/>
    <row r="2996" ht="15" customHeight="1" x14ac:dyDescent="0.2"/>
    <row r="2997" ht="15" customHeight="1" x14ac:dyDescent="0.2"/>
    <row r="2998" ht="15" customHeight="1" x14ac:dyDescent="0.2"/>
    <row r="2999" ht="15" customHeight="1" x14ac:dyDescent="0.2"/>
    <row r="3000" ht="15" customHeight="1" x14ac:dyDescent="0.2"/>
    <row r="3001" ht="15" customHeight="1" x14ac:dyDescent="0.2"/>
    <row r="3002" ht="15" customHeight="1" x14ac:dyDescent="0.2"/>
    <row r="3003" ht="15" customHeight="1" x14ac:dyDescent="0.2"/>
    <row r="3004" ht="15" customHeight="1" x14ac:dyDescent="0.2"/>
    <row r="3005" ht="15" customHeight="1" x14ac:dyDescent="0.2"/>
    <row r="3006" ht="15" customHeight="1" x14ac:dyDescent="0.2"/>
    <row r="3007" ht="15" customHeight="1" x14ac:dyDescent="0.2"/>
    <row r="3008" ht="15" customHeight="1" x14ac:dyDescent="0.2"/>
    <row r="3009" ht="15" customHeight="1" x14ac:dyDescent="0.2"/>
    <row r="3010" ht="15" customHeight="1" x14ac:dyDescent="0.2"/>
    <row r="3011" ht="15" customHeight="1" x14ac:dyDescent="0.2"/>
    <row r="3012" ht="15" customHeight="1" x14ac:dyDescent="0.2"/>
    <row r="3013" ht="15" customHeight="1" x14ac:dyDescent="0.2"/>
    <row r="3014" ht="15" customHeight="1" x14ac:dyDescent="0.2"/>
    <row r="3015" ht="15" customHeight="1" x14ac:dyDescent="0.2"/>
    <row r="3016" ht="15" customHeight="1" x14ac:dyDescent="0.2"/>
    <row r="3017" ht="15" customHeight="1" x14ac:dyDescent="0.2"/>
    <row r="3018" ht="15" customHeight="1" x14ac:dyDescent="0.2"/>
    <row r="3019" ht="15" customHeight="1" x14ac:dyDescent="0.2"/>
    <row r="3020" ht="15" customHeight="1" x14ac:dyDescent="0.2"/>
    <row r="3021" ht="15" customHeight="1" x14ac:dyDescent="0.2"/>
    <row r="3022" ht="15" customHeight="1" x14ac:dyDescent="0.2"/>
    <row r="3023" ht="15" customHeight="1" x14ac:dyDescent="0.2"/>
    <row r="3024" ht="15" customHeight="1" x14ac:dyDescent="0.2"/>
    <row r="3025" ht="15" customHeight="1" x14ac:dyDescent="0.2"/>
    <row r="3026" ht="15" customHeight="1" x14ac:dyDescent="0.2"/>
    <row r="3027" ht="15" customHeight="1" x14ac:dyDescent="0.2"/>
    <row r="3028" ht="15" customHeight="1" x14ac:dyDescent="0.2"/>
    <row r="3029" ht="15" customHeight="1" x14ac:dyDescent="0.2"/>
    <row r="3030" ht="15" customHeight="1" x14ac:dyDescent="0.2"/>
    <row r="3031" ht="15" customHeight="1" x14ac:dyDescent="0.2"/>
    <row r="3032" ht="15" customHeight="1" x14ac:dyDescent="0.2"/>
    <row r="3033" ht="15" customHeight="1" x14ac:dyDescent="0.2"/>
    <row r="3034" ht="15" customHeight="1" x14ac:dyDescent="0.2"/>
    <row r="3035" ht="15" customHeight="1" x14ac:dyDescent="0.2"/>
    <row r="3036" ht="15" customHeight="1" x14ac:dyDescent="0.2"/>
    <row r="3037" ht="15" customHeight="1" x14ac:dyDescent="0.2"/>
    <row r="3038" ht="15" customHeight="1" x14ac:dyDescent="0.2"/>
    <row r="3039" ht="15" customHeight="1" x14ac:dyDescent="0.2"/>
    <row r="3040" ht="15" customHeight="1" x14ac:dyDescent="0.2"/>
    <row r="3041" ht="15" customHeight="1" x14ac:dyDescent="0.2"/>
    <row r="3042" ht="15" customHeight="1" x14ac:dyDescent="0.2"/>
    <row r="3043" ht="15" customHeight="1" x14ac:dyDescent="0.2"/>
    <row r="3044" ht="15" customHeight="1" x14ac:dyDescent="0.2"/>
    <row r="3045" ht="15" customHeight="1" x14ac:dyDescent="0.2"/>
    <row r="3046" ht="15" customHeight="1" x14ac:dyDescent="0.2"/>
    <row r="3047" ht="15" customHeight="1" x14ac:dyDescent="0.2"/>
    <row r="3048" ht="15" customHeight="1" x14ac:dyDescent="0.2"/>
    <row r="3049" ht="15" customHeight="1" x14ac:dyDescent="0.2"/>
    <row r="3050" ht="15" customHeight="1" x14ac:dyDescent="0.2"/>
    <row r="3051" ht="15" customHeight="1" x14ac:dyDescent="0.2"/>
    <row r="3052" ht="15" customHeight="1" x14ac:dyDescent="0.2"/>
    <row r="3053" ht="15" customHeight="1" x14ac:dyDescent="0.2"/>
    <row r="3054" ht="15" customHeight="1" x14ac:dyDescent="0.2"/>
    <row r="3055" ht="15" customHeight="1" x14ac:dyDescent="0.2"/>
    <row r="3056" ht="15" customHeight="1" x14ac:dyDescent="0.2"/>
    <row r="3057" ht="15" customHeight="1" x14ac:dyDescent="0.2"/>
    <row r="3058" ht="15" customHeight="1" x14ac:dyDescent="0.2"/>
    <row r="3059" ht="15" customHeight="1" x14ac:dyDescent="0.2"/>
    <row r="3060" ht="15" customHeight="1" x14ac:dyDescent="0.2"/>
    <row r="3061" ht="15" customHeight="1" x14ac:dyDescent="0.2"/>
    <row r="3062" ht="15" customHeight="1" x14ac:dyDescent="0.2"/>
    <row r="3063" ht="15" customHeight="1" x14ac:dyDescent="0.2"/>
    <row r="3064" ht="15" customHeight="1" x14ac:dyDescent="0.2"/>
    <row r="3065" ht="15" customHeight="1" x14ac:dyDescent="0.2"/>
    <row r="3066" ht="15" customHeight="1" x14ac:dyDescent="0.2"/>
    <row r="3067" ht="15" customHeight="1" x14ac:dyDescent="0.2"/>
    <row r="3068" ht="15" customHeight="1" x14ac:dyDescent="0.2"/>
    <row r="3069" ht="15" customHeight="1" x14ac:dyDescent="0.2"/>
    <row r="3070" ht="15" customHeight="1" x14ac:dyDescent="0.2"/>
    <row r="3071" ht="15" customHeight="1" x14ac:dyDescent="0.2"/>
    <row r="3072" ht="15" customHeight="1" x14ac:dyDescent="0.2"/>
    <row r="3073" ht="15" customHeight="1" x14ac:dyDescent="0.2"/>
    <row r="3074" ht="15" customHeight="1" x14ac:dyDescent="0.2"/>
    <row r="3075" ht="15" customHeight="1" x14ac:dyDescent="0.2"/>
    <row r="3076" ht="15" customHeight="1" x14ac:dyDescent="0.2"/>
    <row r="3077" ht="15" customHeight="1" x14ac:dyDescent="0.2"/>
    <row r="3078" ht="15" customHeight="1" x14ac:dyDescent="0.2"/>
    <row r="3079" ht="15" customHeight="1" x14ac:dyDescent="0.2"/>
    <row r="3080" ht="15" customHeight="1" x14ac:dyDescent="0.2"/>
    <row r="3081" ht="15" customHeight="1" x14ac:dyDescent="0.2"/>
    <row r="3082" ht="15" customHeight="1" x14ac:dyDescent="0.2"/>
    <row r="3083" ht="15" customHeight="1" x14ac:dyDescent="0.2"/>
    <row r="3084" ht="15" customHeight="1" x14ac:dyDescent="0.2"/>
    <row r="3085" ht="15" customHeight="1" x14ac:dyDescent="0.2"/>
    <row r="3086" ht="15" customHeight="1" x14ac:dyDescent="0.2"/>
    <row r="3087" ht="15" customHeight="1" x14ac:dyDescent="0.2"/>
    <row r="3088" ht="15" customHeight="1" x14ac:dyDescent="0.2"/>
    <row r="3089" ht="15" customHeight="1" x14ac:dyDescent="0.2"/>
    <row r="3090" ht="15" customHeight="1" x14ac:dyDescent="0.2"/>
    <row r="3091" ht="15" customHeight="1" x14ac:dyDescent="0.2"/>
    <row r="3092" ht="15" customHeight="1" x14ac:dyDescent="0.2"/>
    <row r="3093" ht="15" customHeight="1" x14ac:dyDescent="0.2"/>
    <row r="3094" ht="15" customHeight="1" x14ac:dyDescent="0.2"/>
    <row r="3095" ht="15" customHeight="1" x14ac:dyDescent="0.2"/>
    <row r="3096" ht="15" customHeight="1" x14ac:dyDescent="0.2"/>
    <row r="3097" ht="15" customHeight="1" x14ac:dyDescent="0.2"/>
    <row r="3098" ht="15" customHeight="1" x14ac:dyDescent="0.2"/>
    <row r="3099" ht="15" customHeight="1" x14ac:dyDescent="0.2"/>
    <row r="3100" ht="15" customHeight="1" x14ac:dyDescent="0.2"/>
    <row r="3101" ht="15" customHeight="1" x14ac:dyDescent="0.2"/>
    <row r="3102" ht="15" customHeight="1" x14ac:dyDescent="0.2"/>
    <row r="3103" ht="15" customHeight="1" x14ac:dyDescent="0.2"/>
    <row r="3104" ht="15" customHeight="1" x14ac:dyDescent="0.2"/>
    <row r="3105" ht="15" customHeight="1" x14ac:dyDescent="0.2"/>
    <row r="3106" ht="15" customHeight="1" x14ac:dyDescent="0.2"/>
    <row r="3107" ht="15" customHeight="1" x14ac:dyDescent="0.2"/>
    <row r="3108" ht="15" customHeight="1" x14ac:dyDescent="0.2"/>
    <row r="3109" ht="15" customHeight="1" x14ac:dyDescent="0.2"/>
    <row r="3110" ht="15" customHeight="1" x14ac:dyDescent="0.2"/>
    <row r="3111" ht="15" customHeight="1" x14ac:dyDescent="0.2"/>
    <row r="3112" ht="15" customHeight="1" x14ac:dyDescent="0.2"/>
    <row r="3113" ht="15" customHeight="1" x14ac:dyDescent="0.2"/>
    <row r="3114" ht="15" customHeight="1" x14ac:dyDescent="0.2"/>
    <row r="3115" ht="15" customHeight="1" x14ac:dyDescent="0.2"/>
    <row r="3116" ht="15" customHeight="1" x14ac:dyDescent="0.2"/>
    <row r="3117" ht="15" customHeight="1" x14ac:dyDescent="0.2"/>
    <row r="3118" ht="15" customHeight="1" x14ac:dyDescent="0.2"/>
    <row r="3119" ht="15" customHeight="1" x14ac:dyDescent="0.2"/>
    <row r="3120" ht="15" customHeight="1" x14ac:dyDescent="0.2"/>
    <row r="3121" ht="15" customHeight="1" x14ac:dyDescent="0.2"/>
    <row r="3122" ht="15" customHeight="1" x14ac:dyDescent="0.2"/>
    <row r="3123" ht="15" customHeight="1" x14ac:dyDescent="0.2"/>
    <row r="3124" ht="15" customHeight="1" x14ac:dyDescent="0.2"/>
    <row r="3125" ht="15" customHeight="1" x14ac:dyDescent="0.2"/>
    <row r="3126" ht="15" customHeight="1" x14ac:dyDescent="0.2"/>
    <row r="3127" ht="15" customHeight="1" x14ac:dyDescent="0.2"/>
    <row r="3128" ht="15" customHeight="1" x14ac:dyDescent="0.2"/>
    <row r="3129" ht="15" customHeight="1" x14ac:dyDescent="0.2"/>
    <row r="3130" ht="15" customHeight="1" x14ac:dyDescent="0.2"/>
    <row r="3131" ht="15" customHeight="1" x14ac:dyDescent="0.2"/>
    <row r="3132" ht="15" customHeight="1" x14ac:dyDescent="0.2"/>
    <row r="3133" ht="15" customHeight="1" x14ac:dyDescent="0.2"/>
    <row r="3134" ht="15" customHeight="1" x14ac:dyDescent="0.2"/>
    <row r="3135" ht="15" customHeight="1" x14ac:dyDescent="0.2"/>
    <row r="3136" ht="15" customHeight="1" x14ac:dyDescent="0.2"/>
    <row r="3137" ht="15" customHeight="1" x14ac:dyDescent="0.2"/>
    <row r="3138" ht="15" customHeight="1" x14ac:dyDescent="0.2"/>
    <row r="3139" ht="15" customHeight="1" x14ac:dyDescent="0.2"/>
    <row r="3140" ht="15" customHeight="1" x14ac:dyDescent="0.2"/>
    <row r="3141" ht="15" customHeight="1" x14ac:dyDescent="0.2"/>
    <row r="3142" ht="15" customHeight="1" x14ac:dyDescent="0.2"/>
    <row r="3143" ht="15" customHeight="1" x14ac:dyDescent="0.2"/>
    <row r="3144" ht="15" customHeight="1" x14ac:dyDescent="0.2"/>
    <row r="3145" ht="15" customHeight="1" x14ac:dyDescent="0.2"/>
    <row r="3146" ht="15" customHeight="1" x14ac:dyDescent="0.2"/>
    <row r="3147" ht="15" customHeight="1" x14ac:dyDescent="0.2"/>
    <row r="3148" ht="15" customHeight="1" x14ac:dyDescent="0.2"/>
    <row r="3149" ht="15" customHeight="1" x14ac:dyDescent="0.2"/>
    <row r="3150" ht="15" customHeight="1" x14ac:dyDescent="0.2"/>
    <row r="3151" ht="15" customHeight="1" x14ac:dyDescent="0.2"/>
    <row r="3152" ht="15" customHeight="1" x14ac:dyDescent="0.2"/>
    <row r="3153" ht="15" customHeight="1" x14ac:dyDescent="0.2"/>
    <row r="3154" ht="15" customHeight="1" x14ac:dyDescent="0.2"/>
    <row r="3155" ht="15" customHeight="1" x14ac:dyDescent="0.2"/>
    <row r="3156" ht="15" customHeight="1" x14ac:dyDescent="0.2"/>
    <row r="3157" ht="15" customHeight="1" x14ac:dyDescent="0.2"/>
    <row r="3158" ht="15" customHeight="1" x14ac:dyDescent="0.2"/>
    <row r="3159" ht="15" customHeight="1" x14ac:dyDescent="0.2"/>
    <row r="3160" ht="15" customHeight="1" x14ac:dyDescent="0.2"/>
    <row r="3161" ht="15" customHeight="1" x14ac:dyDescent="0.2"/>
    <row r="3162" ht="15" customHeight="1" x14ac:dyDescent="0.2"/>
    <row r="3163" ht="15" customHeight="1" x14ac:dyDescent="0.2"/>
    <row r="3164" ht="15" customHeight="1" x14ac:dyDescent="0.2"/>
    <row r="3165" ht="15" customHeight="1" x14ac:dyDescent="0.2"/>
    <row r="3166" ht="15" customHeight="1" x14ac:dyDescent="0.2"/>
    <row r="3167" ht="15" customHeight="1" x14ac:dyDescent="0.2"/>
    <row r="3168" ht="15" customHeight="1" x14ac:dyDescent="0.2"/>
    <row r="3169" ht="15" customHeight="1" x14ac:dyDescent="0.2"/>
    <row r="3170" ht="15" customHeight="1" x14ac:dyDescent="0.2"/>
    <row r="3171" ht="15" customHeight="1" x14ac:dyDescent="0.2"/>
    <row r="3172" ht="15" customHeight="1" x14ac:dyDescent="0.2"/>
    <row r="3173" ht="15" customHeight="1" x14ac:dyDescent="0.2"/>
    <row r="3174" ht="15" customHeight="1" x14ac:dyDescent="0.2"/>
    <row r="3175" ht="15" customHeight="1" x14ac:dyDescent="0.2"/>
    <row r="3176" ht="15" customHeight="1" x14ac:dyDescent="0.2"/>
    <row r="3177" ht="15" customHeight="1" x14ac:dyDescent="0.2"/>
    <row r="3178" ht="15" customHeight="1" x14ac:dyDescent="0.2"/>
    <row r="3179" ht="15" customHeight="1" x14ac:dyDescent="0.2"/>
    <row r="3180" ht="15" customHeight="1" x14ac:dyDescent="0.2"/>
    <row r="3181" ht="15" customHeight="1" x14ac:dyDescent="0.2"/>
    <row r="3182" ht="15" customHeight="1" x14ac:dyDescent="0.2"/>
    <row r="3183" ht="15" customHeight="1" x14ac:dyDescent="0.2"/>
    <row r="3184" ht="15" customHeight="1" x14ac:dyDescent="0.2"/>
    <row r="3185" ht="15" customHeight="1" x14ac:dyDescent="0.2"/>
    <row r="3186" ht="15" customHeight="1" x14ac:dyDescent="0.2"/>
    <row r="3187" ht="15" customHeight="1" x14ac:dyDescent="0.2"/>
    <row r="3188" ht="15" customHeight="1" x14ac:dyDescent="0.2"/>
    <row r="3189" ht="15" customHeight="1" x14ac:dyDescent="0.2"/>
    <row r="3190" ht="15" customHeight="1" x14ac:dyDescent="0.2"/>
    <row r="3191" ht="15" customHeight="1" x14ac:dyDescent="0.2"/>
    <row r="3192" ht="15" customHeight="1" x14ac:dyDescent="0.2"/>
    <row r="3193" ht="15" customHeight="1" x14ac:dyDescent="0.2"/>
    <row r="3194" ht="15" customHeight="1" x14ac:dyDescent="0.2"/>
    <row r="3195" ht="15" customHeight="1" x14ac:dyDescent="0.2"/>
    <row r="3196" ht="15" customHeight="1" x14ac:dyDescent="0.2"/>
    <row r="3197" ht="15" customHeight="1" x14ac:dyDescent="0.2"/>
    <row r="3198" ht="15" customHeight="1" x14ac:dyDescent="0.2"/>
    <row r="3199" ht="15" customHeight="1" x14ac:dyDescent="0.2"/>
    <row r="3200" ht="15" customHeight="1" x14ac:dyDescent="0.2"/>
    <row r="3201" ht="15" customHeight="1" x14ac:dyDescent="0.2"/>
    <row r="3202" ht="15" customHeight="1" x14ac:dyDescent="0.2"/>
    <row r="3203" ht="15" customHeight="1" x14ac:dyDescent="0.2"/>
    <row r="3204" ht="15" customHeight="1" x14ac:dyDescent="0.2"/>
    <row r="3205" ht="15" customHeight="1" x14ac:dyDescent="0.2"/>
    <row r="3206" ht="15" customHeight="1" x14ac:dyDescent="0.2"/>
    <row r="3207" ht="15" customHeight="1" x14ac:dyDescent="0.2"/>
    <row r="3208" ht="15" customHeight="1" x14ac:dyDescent="0.2"/>
    <row r="3209" ht="15" customHeight="1" x14ac:dyDescent="0.2"/>
    <row r="3210" ht="15" customHeight="1" x14ac:dyDescent="0.2"/>
    <row r="3211" ht="15" customHeight="1" x14ac:dyDescent="0.2"/>
    <row r="3212" ht="15" customHeight="1" x14ac:dyDescent="0.2"/>
    <row r="3213" ht="15" customHeight="1" x14ac:dyDescent="0.2"/>
    <row r="3214" ht="15" customHeight="1" x14ac:dyDescent="0.2"/>
    <row r="3215" ht="15" customHeight="1" x14ac:dyDescent="0.2"/>
    <row r="3216" ht="15" customHeight="1" x14ac:dyDescent="0.2"/>
    <row r="3217" ht="15" customHeight="1" x14ac:dyDescent="0.2"/>
    <row r="3218" ht="15" customHeight="1" x14ac:dyDescent="0.2"/>
    <row r="3219" ht="15" customHeight="1" x14ac:dyDescent="0.2"/>
    <row r="3220" ht="15" customHeight="1" x14ac:dyDescent="0.2"/>
    <row r="3221" ht="15" customHeight="1" x14ac:dyDescent="0.2"/>
    <row r="3222" ht="15" customHeight="1" x14ac:dyDescent="0.2"/>
    <row r="3223" ht="15" customHeight="1" x14ac:dyDescent="0.2"/>
    <row r="3224" ht="15" customHeight="1" x14ac:dyDescent="0.2"/>
    <row r="3225" ht="15" customHeight="1" x14ac:dyDescent="0.2"/>
    <row r="3226" ht="15" customHeight="1" x14ac:dyDescent="0.2"/>
    <row r="3227" ht="15" customHeight="1" x14ac:dyDescent="0.2"/>
    <row r="3228" ht="15" customHeight="1" x14ac:dyDescent="0.2"/>
    <row r="3229" ht="15" customHeight="1" x14ac:dyDescent="0.2"/>
    <row r="3230" ht="15" customHeight="1" x14ac:dyDescent="0.2"/>
    <row r="3231" ht="15" customHeight="1" x14ac:dyDescent="0.2"/>
    <row r="3232" ht="15" customHeight="1" x14ac:dyDescent="0.2"/>
    <row r="3233" ht="15" customHeight="1" x14ac:dyDescent="0.2"/>
    <row r="3234" ht="15" customHeight="1" x14ac:dyDescent="0.2"/>
    <row r="3235" ht="15" customHeight="1" x14ac:dyDescent="0.2"/>
    <row r="3236" ht="15" customHeight="1" x14ac:dyDescent="0.2"/>
    <row r="3237" ht="15" customHeight="1" x14ac:dyDescent="0.2"/>
    <row r="3238" ht="15" customHeight="1" x14ac:dyDescent="0.2"/>
    <row r="3239" ht="15" customHeight="1" x14ac:dyDescent="0.2"/>
    <row r="3240" ht="15" customHeight="1" x14ac:dyDescent="0.2"/>
    <row r="3241" ht="15" customHeight="1" x14ac:dyDescent="0.2"/>
    <row r="3242" ht="15" customHeight="1" x14ac:dyDescent="0.2"/>
    <row r="3243" ht="15" customHeight="1" x14ac:dyDescent="0.2"/>
    <row r="3244" ht="15" customHeight="1" x14ac:dyDescent="0.2"/>
    <row r="3245" ht="15" customHeight="1" x14ac:dyDescent="0.2"/>
    <row r="3246" ht="15" customHeight="1" x14ac:dyDescent="0.2"/>
    <row r="3247" ht="15" customHeight="1" x14ac:dyDescent="0.2"/>
    <row r="3248" ht="15" customHeight="1" x14ac:dyDescent="0.2"/>
    <row r="3249" ht="15" customHeight="1" x14ac:dyDescent="0.2"/>
    <row r="3250" ht="15" customHeight="1" x14ac:dyDescent="0.2"/>
    <row r="3251" ht="15" customHeight="1" x14ac:dyDescent="0.2"/>
    <row r="3252" ht="15" customHeight="1" x14ac:dyDescent="0.2"/>
    <row r="3253" ht="15" customHeight="1" x14ac:dyDescent="0.2"/>
    <row r="3254" ht="15" customHeight="1" x14ac:dyDescent="0.2"/>
    <row r="3255" ht="15" customHeight="1" x14ac:dyDescent="0.2"/>
    <row r="3256" ht="15" customHeight="1" x14ac:dyDescent="0.2"/>
    <row r="3257" ht="15" customHeight="1" x14ac:dyDescent="0.2"/>
    <row r="3258" ht="15" customHeight="1" x14ac:dyDescent="0.2"/>
    <row r="3259" ht="15" customHeight="1" x14ac:dyDescent="0.2"/>
    <row r="3260" ht="15" customHeight="1" x14ac:dyDescent="0.2"/>
    <row r="3261" ht="15" customHeight="1" x14ac:dyDescent="0.2"/>
    <row r="3262" ht="15" customHeight="1" x14ac:dyDescent="0.2"/>
    <row r="3263" ht="15" customHeight="1" x14ac:dyDescent="0.2"/>
    <row r="3264" ht="15" customHeight="1" x14ac:dyDescent="0.2"/>
    <row r="3265" ht="15" customHeight="1" x14ac:dyDescent="0.2"/>
    <row r="3266" ht="15" customHeight="1" x14ac:dyDescent="0.2"/>
    <row r="3267" ht="15" customHeight="1" x14ac:dyDescent="0.2"/>
    <row r="3268" ht="15" customHeight="1" x14ac:dyDescent="0.2"/>
    <row r="3269" ht="15" customHeight="1" x14ac:dyDescent="0.2"/>
    <row r="3270" ht="15" customHeight="1" x14ac:dyDescent="0.2"/>
    <row r="3271" ht="15" customHeight="1" x14ac:dyDescent="0.2"/>
    <row r="3272" ht="15" customHeight="1" x14ac:dyDescent="0.2"/>
    <row r="3273" ht="15" customHeight="1" x14ac:dyDescent="0.2"/>
    <row r="3274" ht="15" customHeight="1" x14ac:dyDescent="0.2"/>
    <row r="3275" ht="15" customHeight="1" x14ac:dyDescent="0.2"/>
    <row r="3276" ht="15" customHeight="1" x14ac:dyDescent="0.2"/>
    <row r="3277" ht="15" customHeight="1" x14ac:dyDescent="0.2"/>
    <row r="3278" ht="15" customHeight="1" x14ac:dyDescent="0.2"/>
    <row r="3279" ht="15" customHeight="1" x14ac:dyDescent="0.2"/>
    <row r="3280" ht="15" customHeight="1" x14ac:dyDescent="0.2"/>
    <row r="3281" ht="15" customHeight="1" x14ac:dyDescent="0.2"/>
    <row r="3282" ht="15" customHeight="1" x14ac:dyDescent="0.2"/>
    <row r="3283" ht="15" customHeight="1" x14ac:dyDescent="0.2"/>
    <row r="3284" ht="15" customHeight="1" x14ac:dyDescent="0.2"/>
    <row r="3285" ht="15" customHeight="1" x14ac:dyDescent="0.2"/>
    <row r="3286" ht="15" customHeight="1" x14ac:dyDescent="0.2"/>
    <row r="3287" ht="15" customHeight="1" x14ac:dyDescent="0.2"/>
    <row r="3288" ht="15" customHeight="1" x14ac:dyDescent="0.2"/>
    <row r="3289" ht="15" customHeight="1" x14ac:dyDescent="0.2"/>
    <row r="3290" ht="15" customHeight="1" x14ac:dyDescent="0.2"/>
    <row r="3291" ht="15" customHeight="1" x14ac:dyDescent="0.2"/>
    <row r="3292" ht="15" customHeight="1" x14ac:dyDescent="0.2"/>
    <row r="3293" ht="15" customHeight="1" x14ac:dyDescent="0.2"/>
    <row r="3294" ht="15" customHeight="1" x14ac:dyDescent="0.2"/>
    <row r="3295" ht="15" customHeight="1" x14ac:dyDescent="0.2"/>
    <row r="3296" ht="15" customHeight="1" x14ac:dyDescent="0.2"/>
    <row r="3297" ht="15" customHeight="1" x14ac:dyDescent="0.2"/>
    <row r="3298" ht="15" customHeight="1" x14ac:dyDescent="0.2"/>
    <row r="3299" ht="15" customHeight="1" x14ac:dyDescent="0.2"/>
    <row r="3300" ht="15" customHeight="1" x14ac:dyDescent="0.2"/>
    <row r="3301" ht="15" customHeight="1" x14ac:dyDescent="0.2"/>
    <row r="3302" ht="15" customHeight="1" x14ac:dyDescent="0.2"/>
    <row r="3303" ht="15" customHeight="1" x14ac:dyDescent="0.2"/>
    <row r="3304" ht="15" customHeight="1" x14ac:dyDescent="0.2"/>
    <row r="3305" ht="15" customHeight="1" x14ac:dyDescent="0.2"/>
    <row r="3306" ht="15" customHeight="1" x14ac:dyDescent="0.2"/>
    <row r="3307" ht="15" customHeight="1" x14ac:dyDescent="0.2"/>
    <row r="3308" ht="15" customHeight="1" x14ac:dyDescent="0.2"/>
    <row r="3309" ht="15" customHeight="1" x14ac:dyDescent="0.2"/>
    <row r="3310" ht="15" customHeight="1" x14ac:dyDescent="0.2"/>
    <row r="3311" ht="15" customHeight="1" x14ac:dyDescent="0.2"/>
    <row r="3312" ht="15" customHeight="1" x14ac:dyDescent="0.2"/>
    <row r="3313" ht="15" customHeight="1" x14ac:dyDescent="0.2"/>
    <row r="3314" ht="15" customHeight="1" x14ac:dyDescent="0.2"/>
    <row r="3315" ht="15" customHeight="1" x14ac:dyDescent="0.2"/>
    <row r="3316" ht="15" customHeight="1" x14ac:dyDescent="0.2"/>
    <row r="3317" ht="15" customHeight="1" x14ac:dyDescent="0.2"/>
    <row r="3318" ht="15" customHeight="1" x14ac:dyDescent="0.2"/>
    <row r="3319" ht="15" customHeight="1" x14ac:dyDescent="0.2"/>
    <row r="3320" ht="15" customHeight="1" x14ac:dyDescent="0.2"/>
    <row r="3321" ht="15" customHeight="1" x14ac:dyDescent="0.2"/>
    <row r="3322" ht="15" customHeight="1" x14ac:dyDescent="0.2"/>
    <row r="3323" ht="15" customHeight="1" x14ac:dyDescent="0.2"/>
    <row r="3324" ht="15" customHeight="1" x14ac:dyDescent="0.2"/>
    <row r="3325" ht="15" customHeight="1" x14ac:dyDescent="0.2"/>
    <row r="3326" ht="15" customHeight="1" x14ac:dyDescent="0.2"/>
    <row r="3327" ht="15" customHeight="1" x14ac:dyDescent="0.2"/>
    <row r="3328" ht="15" customHeight="1" x14ac:dyDescent="0.2"/>
    <row r="3329" ht="15" customHeight="1" x14ac:dyDescent="0.2"/>
    <row r="3330" ht="15" customHeight="1" x14ac:dyDescent="0.2"/>
    <row r="3331" ht="15" customHeight="1" x14ac:dyDescent="0.2"/>
    <row r="3332" ht="15" customHeight="1" x14ac:dyDescent="0.2"/>
    <row r="3333" ht="15" customHeight="1" x14ac:dyDescent="0.2"/>
    <row r="3334" ht="15" customHeight="1" x14ac:dyDescent="0.2"/>
    <row r="3335" ht="15" customHeight="1" x14ac:dyDescent="0.2"/>
    <row r="3336" ht="15" customHeight="1" x14ac:dyDescent="0.2"/>
    <row r="3337" ht="15" customHeight="1" x14ac:dyDescent="0.2"/>
    <row r="3338" ht="15" customHeight="1" x14ac:dyDescent="0.2"/>
    <row r="3339" ht="15" customHeight="1" x14ac:dyDescent="0.2"/>
    <row r="3340" ht="15" customHeight="1" x14ac:dyDescent="0.2"/>
    <row r="3341" ht="15" customHeight="1" x14ac:dyDescent="0.2"/>
    <row r="3342" ht="15" customHeight="1" x14ac:dyDescent="0.2"/>
    <row r="3343" ht="15" customHeight="1" x14ac:dyDescent="0.2"/>
    <row r="3344" ht="15" customHeight="1" x14ac:dyDescent="0.2"/>
    <row r="3345" ht="15" customHeight="1" x14ac:dyDescent="0.2"/>
    <row r="3346" ht="15" customHeight="1" x14ac:dyDescent="0.2"/>
    <row r="3347" ht="15" customHeight="1" x14ac:dyDescent="0.2"/>
    <row r="3348" ht="15" customHeight="1" x14ac:dyDescent="0.2"/>
    <row r="3349" ht="15" customHeight="1" x14ac:dyDescent="0.2"/>
    <row r="3350" ht="15" customHeight="1" x14ac:dyDescent="0.2"/>
    <row r="3351" ht="15" customHeight="1" x14ac:dyDescent="0.2"/>
    <row r="3352" ht="15" customHeight="1" x14ac:dyDescent="0.2"/>
    <row r="3353" ht="15" customHeight="1" x14ac:dyDescent="0.2"/>
    <row r="3354" ht="15" customHeight="1" x14ac:dyDescent="0.2"/>
    <row r="3355" ht="15" customHeight="1" x14ac:dyDescent="0.2"/>
    <row r="3356" ht="15" customHeight="1" x14ac:dyDescent="0.2"/>
    <row r="3357" ht="15" customHeight="1" x14ac:dyDescent="0.2"/>
    <row r="3358" ht="15" customHeight="1" x14ac:dyDescent="0.2"/>
    <row r="3359" ht="15" customHeight="1" x14ac:dyDescent="0.2"/>
    <row r="3360" ht="15" customHeight="1" x14ac:dyDescent="0.2"/>
    <row r="3361" ht="15" customHeight="1" x14ac:dyDescent="0.2"/>
    <row r="3362" ht="15" customHeight="1" x14ac:dyDescent="0.2"/>
    <row r="3363" ht="15" customHeight="1" x14ac:dyDescent="0.2"/>
    <row r="3364" ht="15" customHeight="1" x14ac:dyDescent="0.2"/>
    <row r="3365" ht="15" customHeight="1" x14ac:dyDescent="0.2"/>
    <row r="3366" ht="15" customHeight="1" x14ac:dyDescent="0.2"/>
    <row r="3367" ht="15" customHeight="1" x14ac:dyDescent="0.2"/>
    <row r="3368" ht="15" customHeight="1" x14ac:dyDescent="0.2"/>
    <row r="3369" ht="15" customHeight="1" x14ac:dyDescent="0.2"/>
    <row r="3370" ht="15" customHeight="1" x14ac:dyDescent="0.2"/>
    <row r="3371" ht="15" customHeight="1" x14ac:dyDescent="0.2"/>
    <row r="3372" ht="15" customHeight="1" x14ac:dyDescent="0.2"/>
    <row r="3373" ht="15" customHeight="1" x14ac:dyDescent="0.2"/>
    <row r="3374" ht="15" customHeight="1" x14ac:dyDescent="0.2"/>
    <row r="3375" ht="15" customHeight="1" x14ac:dyDescent="0.2"/>
    <row r="3376" ht="15" customHeight="1" x14ac:dyDescent="0.2"/>
    <row r="3377" ht="15" customHeight="1" x14ac:dyDescent="0.2"/>
    <row r="3378" ht="15" customHeight="1" x14ac:dyDescent="0.2"/>
    <row r="3379" ht="15" customHeight="1" x14ac:dyDescent="0.2"/>
    <row r="3380" ht="15" customHeight="1" x14ac:dyDescent="0.2"/>
    <row r="3381" ht="15" customHeight="1" x14ac:dyDescent="0.2"/>
    <row r="3382" ht="15" customHeight="1" x14ac:dyDescent="0.2"/>
    <row r="3383" ht="15" customHeight="1" x14ac:dyDescent="0.2"/>
    <row r="3384" ht="15" customHeight="1" x14ac:dyDescent="0.2"/>
    <row r="3385" ht="15" customHeight="1" x14ac:dyDescent="0.2"/>
    <row r="3386" ht="15" customHeight="1" x14ac:dyDescent="0.2"/>
    <row r="3387" ht="15" customHeight="1" x14ac:dyDescent="0.2"/>
    <row r="3388" ht="15" customHeight="1" x14ac:dyDescent="0.2"/>
    <row r="3389" ht="15" customHeight="1" x14ac:dyDescent="0.2"/>
    <row r="3390" ht="15" customHeight="1" x14ac:dyDescent="0.2"/>
    <row r="3391" ht="15" customHeight="1" x14ac:dyDescent="0.2"/>
    <row r="3392" ht="15" customHeight="1" x14ac:dyDescent="0.2"/>
    <row r="3393" ht="15" customHeight="1" x14ac:dyDescent="0.2"/>
    <row r="3394" ht="15" customHeight="1" x14ac:dyDescent="0.2"/>
    <row r="3395" ht="15" customHeight="1" x14ac:dyDescent="0.2"/>
    <row r="3396" ht="15" customHeight="1" x14ac:dyDescent="0.2"/>
    <row r="3397" ht="15" customHeight="1" x14ac:dyDescent="0.2"/>
    <row r="3398" ht="15" customHeight="1" x14ac:dyDescent="0.2"/>
    <row r="3399" ht="15" customHeight="1" x14ac:dyDescent="0.2"/>
    <row r="3400" ht="15" customHeight="1" x14ac:dyDescent="0.2"/>
    <row r="3401" ht="15" customHeight="1" x14ac:dyDescent="0.2"/>
    <row r="3402" ht="15" customHeight="1" x14ac:dyDescent="0.2"/>
    <row r="3403" ht="15" customHeight="1" x14ac:dyDescent="0.2"/>
    <row r="3404" ht="15" customHeight="1" x14ac:dyDescent="0.2"/>
    <row r="3405" ht="15" customHeight="1" x14ac:dyDescent="0.2"/>
    <row r="3406" ht="15" customHeight="1" x14ac:dyDescent="0.2"/>
    <row r="3407" ht="15" customHeight="1" x14ac:dyDescent="0.2"/>
    <row r="3408" ht="15" customHeight="1" x14ac:dyDescent="0.2"/>
    <row r="3409" ht="15" customHeight="1" x14ac:dyDescent="0.2"/>
    <row r="3410" ht="15" customHeight="1" x14ac:dyDescent="0.2"/>
    <row r="3411" ht="15" customHeight="1" x14ac:dyDescent="0.2"/>
    <row r="3412" ht="15" customHeight="1" x14ac:dyDescent="0.2"/>
    <row r="3413" ht="15" customHeight="1" x14ac:dyDescent="0.2"/>
    <row r="3414" ht="15" customHeight="1" x14ac:dyDescent="0.2"/>
    <row r="3415" ht="15" customHeight="1" x14ac:dyDescent="0.2"/>
    <row r="3416" ht="15" customHeight="1" x14ac:dyDescent="0.2"/>
    <row r="3417" ht="15" customHeight="1" x14ac:dyDescent="0.2"/>
    <row r="3418" ht="15" customHeight="1" x14ac:dyDescent="0.2"/>
    <row r="3419" ht="15" customHeight="1" x14ac:dyDescent="0.2"/>
    <row r="3420" ht="15" customHeight="1" x14ac:dyDescent="0.2"/>
    <row r="3421" ht="15" customHeight="1" x14ac:dyDescent="0.2"/>
    <row r="3422" ht="15" customHeight="1" x14ac:dyDescent="0.2"/>
    <row r="3423" ht="15" customHeight="1" x14ac:dyDescent="0.2"/>
    <row r="3424" ht="15" customHeight="1" x14ac:dyDescent="0.2"/>
    <row r="3425" ht="15" customHeight="1" x14ac:dyDescent="0.2"/>
    <row r="3426" ht="15" customHeight="1" x14ac:dyDescent="0.2"/>
    <row r="3427" ht="15" customHeight="1" x14ac:dyDescent="0.2"/>
    <row r="3428" ht="15" customHeight="1" x14ac:dyDescent="0.2"/>
    <row r="3429" ht="15" customHeight="1" x14ac:dyDescent="0.2"/>
    <row r="3430" ht="15" customHeight="1" x14ac:dyDescent="0.2"/>
    <row r="3431" ht="15" customHeight="1" x14ac:dyDescent="0.2"/>
    <row r="3432" ht="15" customHeight="1" x14ac:dyDescent="0.2"/>
    <row r="3433" ht="15" customHeight="1" x14ac:dyDescent="0.2"/>
    <row r="3434" ht="15" customHeight="1" x14ac:dyDescent="0.2"/>
    <row r="3435" ht="15" customHeight="1" x14ac:dyDescent="0.2"/>
    <row r="3436" ht="15" customHeight="1" x14ac:dyDescent="0.2"/>
    <row r="3437" ht="15" customHeight="1" x14ac:dyDescent="0.2"/>
    <row r="3438" ht="15" customHeight="1" x14ac:dyDescent="0.2"/>
    <row r="3439" ht="15" customHeight="1" x14ac:dyDescent="0.2"/>
    <row r="3440" ht="15" customHeight="1" x14ac:dyDescent="0.2"/>
    <row r="3441" ht="15" customHeight="1" x14ac:dyDescent="0.2"/>
    <row r="3442" ht="15" customHeight="1" x14ac:dyDescent="0.2"/>
    <row r="3443" ht="15" customHeight="1" x14ac:dyDescent="0.2"/>
    <row r="3444" ht="15" customHeight="1" x14ac:dyDescent="0.2"/>
    <row r="3445" ht="15" customHeight="1" x14ac:dyDescent="0.2"/>
    <row r="3446" ht="15" customHeight="1" x14ac:dyDescent="0.2"/>
    <row r="3447" ht="15" customHeight="1" x14ac:dyDescent="0.2"/>
    <row r="3448" ht="15" customHeight="1" x14ac:dyDescent="0.2"/>
    <row r="3449" ht="15" customHeight="1" x14ac:dyDescent="0.2"/>
    <row r="3450" ht="15" customHeight="1" x14ac:dyDescent="0.2"/>
    <row r="3451" ht="15" customHeight="1" x14ac:dyDescent="0.2"/>
    <row r="3452" ht="15" customHeight="1" x14ac:dyDescent="0.2"/>
    <row r="3453" ht="15" customHeight="1" x14ac:dyDescent="0.2"/>
    <row r="3454" ht="15" customHeight="1" x14ac:dyDescent="0.2"/>
    <row r="3455" ht="15" customHeight="1" x14ac:dyDescent="0.2"/>
    <row r="3456" ht="15" customHeight="1" x14ac:dyDescent="0.2"/>
    <row r="3457" ht="15" customHeight="1" x14ac:dyDescent="0.2"/>
    <row r="3458" ht="15" customHeight="1" x14ac:dyDescent="0.2"/>
    <row r="3459" ht="15" customHeight="1" x14ac:dyDescent="0.2"/>
    <row r="3460" ht="15" customHeight="1" x14ac:dyDescent="0.2"/>
    <row r="3461" ht="15" customHeight="1" x14ac:dyDescent="0.2"/>
    <row r="3462" ht="15" customHeight="1" x14ac:dyDescent="0.2"/>
    <row r="3463" ht="15" customHeight="1" x14ac:dyDescent="0.2"/>
    <row r="3464" ht="15" customHeight="1" x14ac:dyDescent="0.2"/>
    <row r="3465" ht="15" customHeight="1" x14ac:dyDescent="0.2"/>
    <row r="3466" ht="15" customHeight="1" x14ac:dyDescent="0.2"/>
    <row r="3467" ht="15" customHeight="1" x14ac:dyDescent="0.2"/>
    <row r="3468" ht="15" customHeight="1" x14ac:dyDescent="0.2"/>
    <row r="3469" ht="15" customHeight="1" x14ac:dyDescent="0.2"/>
    <row r="3470" ht="15" customHeight="1" x14ac:dyDescent="0.2"/>
    <row r="3471" ht="15" customHeight="1" x14ac:dyDescent="0.2"/>
    <row r="3472" ht="15" customHeight="1" x14ac:dyDescent="0.2"/>
    <row r="3473" ht="15" customHeight="1" x14ac:dyDescent="0.2"/>
    <row r="3474" ht="15" customHeight="1" x14ac:dyDescent="0.2"/>
    <row r="3475" ht="15" customHeight="1" x14ac:dyDescent="0.2"/>
    <row r="3476" ht="15" customHeight="1" x14ac:dyDescent="0.2"/>
    <row r="3477" ht="15" customHeight="1" x14ac:dyDescent="0.2"/>
    <row r="3478" ht="15" customHeight="1" x14ac:dyDescent="0.2"/>
    <row r="3479" ht="15" customHeight="1" x14ac:dyDescent="0.2"/>
    <row r="3480" ht="15" customHeight="1" x14ac:dyDescent="0.2"/>
    <row r="3481" ht="15" customHeight="1" x14ac:dyDescent="0.2"/>
    <row r="3482" ht="15" customHeight="1" x14ac:dyDescent="0.2"/>
    <row r="3483" ht="15" customHeight="1" x14ac:dyDescent="0.2"/>
    <row r="3484" ht="15" customHeight="1" x14ac:dyDescent="0.2"/>
    <row r="3485" ht="15" customHeight="1" x14ac:dyDescent="0.2"/>
    <row r="3486" ht="15" customHeight="1" x14ac:dyDescent="0.2"/>
    <row r="3487" ht="15" customHeight="1" x14ac:dyDescent="0.2"/>
    <row r="3488" ht="15" customHeight="1" x14ac:dyDescent="0.2"/>
    <row r="3489" ht="15" customHeight="1" x14ac:dyDescent="0.2"/>
    <row r="3490" ht="15" customHeight="1" x14ac:dyDescent="0.2"/>
    <row r="3491" ht="15" customHeight="1" x14ac:dyDescent="0.2"/>
    <row r="3492" ht="15" customHeight="1" x14ac:dyDescent="0.2"/>
    <row r="3493" ht="15" customHeight="1" x14ac:dyDescent="0.2"/>
    <row r="3494" ht="15" customHeight="1" x14ac:dyDescent="0.2"/>
    <row r="3495" ht="15" customHeight="1" x14ac:dyDescent="0.2"/>
    <row r="3496" ht="15" customHeight="1" x14ac:dyDescent="0.2"/>
    <row r="3497" ht="15" customHeight="1" x14ac:dyDescent="0.2"/>
    <row r="3498" ht="15" customHeight="1" x14ac:dyDescent="0.2"/>
    <row r="3499" ht="15" customHeight="1" x14ac:dyDescent="0.2"/>
    <row r="3500" ht="15" customHeight="1" x14ac:dyDescent="0.2"/>
    <row r="3501" ht="15" customHeight="1" x14ac:dyDescent="0.2"/>
    <row r="3502" ht="15" customHeight="1" x14ac:dyDescent="0.2"/>
    <row r="3503" ht="15" customHeight="1" x14ac:dyDescent="0.2"/>
    <row r="3504" ht="15" customHeight="1" x14ac:dyDescent="0.2"/>
    <row r="3505" ht="15" customHeight="1" x14ac:dyDescent="0.2"/>
    <row r="3506" ht="15" customHeight="1" x14ac:dyDescent="0.2"/>
    <row r="3507" ht="15" customHeight="1" x14ac:dyDescent="0.2"/>
    <row r="3508" ht="15" customHeight="1" x14ac:dyDescent="0.2"/>
    <row r="3509" ht="15" customHeight="1" x14ac:dyDescent="0.2"/>
    <row r="3510" ht="15" customHeight="1" x14ac:dyDescent="0.2"/>
    <row r="3511" ht="15" customHeight="1" x14ac:dyDescent="0.2"/>
    <row r="3512" ht="15" customHeight="1" x14ac:dyDescent="0.2"/>
    <row r="3513" ht="15" customHeight="1" x14ac:dyDescent="0.2"/>
    <row r="3514" ht="15" customHeight="1" x14ac:dyDescent="0.2"/>
    <row r="3515" ht="15" customHeight="1" x14ac:dyDescent="0.2"/>
    <row r="3516" ht="15" customHeight="1" x14ac:dyDescent="0.2"/>
    <row r="3517" ht="15" customHeight="1" x14ac:dyDescent="0.2"/>
    <row r="3518" ht="15" customHeight="1" x14ac:dyDescent="0.2"/>
    <row r="3519" ht="15" customHeight="1" x14ac:dyDescent="0.2"/>
    <row r="3520" ht="15" customHeight="1" x14ac:dyDescent="0.2"/>
    <row r="3521" ht="15" customHeight="1" x14ac:dyDescent="0.2"/>
    <row r="3522" ht="15" customHeight="1" x14ac:dyDescent="0.2"/>
    <row r="3523" ht="15" customHeight="1" x14ac:dyDescent="0.2"/>
    <row r="3524" ht="15" customHeight="1" x14ac:dyDescent="0.2"/>
    <row r="3525" ht="15" customHeight="1" x14ac:dyDescent="0.2"/>
    <row r="3526" ht="15" customHeight="1" x14ac:dyDescent="0.2"/>
    <row r="3527" ht="15" customHeight="1" x14ac:dyDescent="0.2"/>
    <row r="3528" ht="15" customHeight="1" x14ac:dyDescent="0.2"/>
    <row r="3529" ht="15" customHeight="1" x14ac:dyDescent="0.2"/>
    <row r="3530" ht="15" customHeight="1" x14ac:dyDescent="0.2"/>
    <row r="3531" ht="15" customHeight="1" x14ac:dyDescent="0.2"/>
    <row r="3532" ht="15" customHeight="1" x14ac:dyDescent="0.2"/>
    <row r="3533" ht="15" customHeight="1" x14ac:dyDescent="0.2"/>
    <row r="3534" ht="15" customHeight="1" x14ac:dyDescent="0.2"/>
    <row r="3535" ht="15" customHeight="1" x14ac:dyDescent="0.2"/>
    <row r="3536" ht="15" customHeight="1" x14ac:dyDescent="0.2"/>
    <row r="3537" ht="15" customHeight="1" x14ac:dyDescent="0.2"/>
    <row r="3538" ht="15" customHeight="1" x14ac:dyDescent="0.2"/>
    <row r="3539" ht="15" customHeight="1" x14ac:dyDescent="0.2"/>
    <row r="3540" ht="15" customHeight="1" x14ac:dyDescent="0.2"/>
    <row r="3541" ht="15" customHeight="1" x14ac:dyDescent="0.2"/>
    <row r="3542" ht="15" customHeight="1" x14ac:dyDescent="0.2"/>
    <row r="3543" ht="15" customHeight="1" x14ac:dyDescent="0.2"/>
    <row r="3544" ht="15" customHeight="1" x14ac:dyDescent="0.2"/>
    <row r="3545" ht="15" customHeight="1" x14ac:dyDescent="0.2"/>
    <row r="3546" ht="15" customHeight="1" x14ac:dyDescent="0.2"/>
    <row r="3547" ht="15" customHeight="1" x14ac:dyDescent="0.2"/>
    <row r="3548" ht="15" customHeight="1" x14ac:dyDescent="0.2"/>
    <row r="3549" ht="15" customHeight="1" x14ac:dyDescent="0.2"/>
    <row r="3550" ht="15" customHeight="1" x14ac:dyDescent="0.2"/>
    <row r="3551" ht="15" customHeight="1" x14ac:dyDescent="0.2"/>
    <row r="3552" ht="15" customHeight="1" x14ac:dyDescent="0.2"/>
    <row r="3553" ht="15" customHeight="1" x14ac:dyDescent="0.2"/>
    <row r="3554" ht="15" customHeight="1" x14ac:dyDescent="0.2"/>
    <row r="3555" ht="15" customHeight="1" x14ac:dyDescent="0.2"/>
    <row r="3556" ht="15" customHeight="1" x14ac:dyDescent="0.2"/>
    <row r="3557" ht="15" customHeight="1" x14ac:dyDescent="0.2"/>
    <row r="3558" ht="15" customHeight="1" x14ac:dyDescent="0.2"/>
    <row r="3559" ht="15" customHeight="1" x14ac:dyDescent="0.2"/>
    <row r="3560" ht="15" customHeight="1" x14ac:dyDescent="0.2"/>
    <row r="3561" ht="15" customHeight="1" x14ac:dyDescent="0.2"/>
    <row r="3562" ht="15" customHeight="1" x14ac:dyDescent="0.2"/>
    <row r="3563" ht="15" customHeight="1" x14ac:dyDescent="0.2"/>
    <row r="3564" ht="15" customHeight="1" x14ac:dyDescent="0.2"/>
    <row r="3565" ht="15" customHeight="1" x14ac:dyDescent="0.2"/>
    <row r="3566" ht="15" customHeight="1" x14ac:dyDescent="0.2"/>
    <row r="3567" ht="15" customHeight="1" x14ac:dyDescent="0.2"/>
    <row r="3568" ht="15" customHeight="1" x14ac:dyDescent="0.2"/>
    <row r="3569" ht="15" customHeight="1" x14ac:dyDescent="0.2"/>
    <row r="3570" ht="15" customHeight="1" x14ac:dyDescent="0.2"/>
    <row r="3571" ht="15" customHeight="1" x14ac:dyDescent="0.2"/>
    <row r="3572" ht="15" customHeight="1" x14ac:dyDescent="0.2"/>
    <row r="3573" ht="15" customHeight="1" x14ac:dyDescent="0.2"/>
    <row r="3574" ht="15" customHeight="1" x14ac:dyDescent="0.2"/>
    <row r="3575" ht="15" customHeight="1" x14ac:dyDescent="0.2"/>
    <row r="3576" ht="15" customHeight="1" x14ac:dyDescent="0.2"/>
    <row r="3577" ht="15" customHeight="1" x14ac:dyDescent="0.2"/>
    <row r="3578" ht="15" customHeight="1" x14ac:dyDescent="0.2"/>
    <row r="3579" ht="15" customHeight="1" x14ac:dyDescent="0.2"/>
    <row r="3580" ht="15" customHeight="1" x14ac:dyDescent="0.2"/>
    <row r="3581" ht="15" customHeight="1" x14ac:dyDescent="0.2"/>
    <row r="3582" ht="15" customHeight="1" x14ac:dyDescent="0.2"/>
    <row r="3583" ht="15" customHeight="1" x14ac:dyDescent="0.2"/>
    <row r="3584" ht="15" customHeight="1" x14ac:dyDescent="0.2"/>
    <row r="3585" ht="15" customHeight="1" x14ac:dyDescent="0.2"/>
    <row r="3586" ht="15" customHeight="1" x14ac:dyDescent="0.2"/>
    <row r="3587" ht="15" customHeight="1" x14ac:dyDescent="0.2"/>
    <row r="3588" ht="15" customHeight="1" x14ac:dyDescent="0.2"/>
    <row r="3589" ht="15" customHeight="1" x14ac:dyDescent="0.2"/>
    <row r="3590" ht="15" customHeight="1" x14ac:dyDescent="0.2"/>
    <row r="3591" ht="15" customHeight="1" x14ac:dyDescent="0.2"/>
    <row r="3592" ht="15" customHeight="1" x14ac:dyDescent="0.2"/>
    <row r="3593" ht="15" customHeight="1" x14ac:dyDescent="0.2"/>
    <row r="3594" ht="15" customHeight="1" x14ac:dyDescent="0.2"/>
    <row r="3595" ht="15" customHeight="1" x14ac:dyDescent="0.2"/>
    <row r="3596" ht="15" customHeight="1" x14ac:dyDescent="0.2"/>
    <row r="3597" ht="15" customHeight="1" x14ac:dyDescent="0.2"/>
    <row r="3598" ht="15" customHeight="1" x14ac:dyDescent="0.2"/>
    <row r="3599" ht="15" customHeight="1" x14ac:dyDescent="0.2"/>
    <row r="3600" ht="15" customHeight="1" x14ac:dyDescent="0.2"/>
    <row r="3601" ht="15" customHeight="1" x14ac:dyDescent="0.2"/>
    <row r="3602" ht="15" customHeight="1" x14ac:dyDescent="0.2"/>
    <row r="3603" ht="15" customHeight="1" x14ac:dyDescent="0.2"/>
    <row r="3604" ht="15" customHeight="1" x14ac:dyDescent="0.2"/>
    <row r="3605" ht="15" customHeight="1" x14ac:dyDescent="0.2"/>
    <row r="3606" ht="15" customHeight="1" x14ac:dyDescent="0.2"/>
    <row r="3607" ht="15" customHeight="1" x14ac:dyDescent="0.2"/>
    <row r="3608" ht="15" customHeight="1" x14ac:dyDescent="0.2"/>
    <row r="3609" ht="15" customHeight="1" x14ac:dyDescent="0.2"/>
    <row r="3610" ht="15" customHeight="1" x14ac:dyDescent="0.2"/>
    <row r="3611" ht="15" customHeight="1" x14ac:dyDescent="0.2"/>
    <row r="3612" ht="15" customHeight="1" x14ac:dyDescent="0.2"/>
    <row r="3613" ht="15" customHeight="1" x14ac:dyDescent="0.2"/>
    <row r="3614" ht="15" customHeight="1" x14ac:dyDescent="0.2"/>
    <row r="3615" ht="15" customHeight="1" x14ac:dyDescent="0.2"/>
    <row r="3616" ht="15" customHeight="1" x14ac:dyDescent="0.2"/>
    <row r="3617" ht="15" customHeight="1" x14ac:dyDescent="0.2"/>
    <row r="3618" ht="15" customHeight="1" x14ac:dyDescent="0.2"/>
    <row r="3619" ht="15" customHeight="1" x14ac:dyDescent="0.2"/>
    <row r="3620" ht="15" customHeight="1" x14ac:dyDescent="0.2"/>
    <row r="3621" ht="15" customHeight="1" x14ac:dyDescent="0.2"/>
    <row r="3622" ht="15" customHeight="1" x14ac:dyDescent="0.2"/>
    <row r="3623" ht="15" customHeight="1" x14ac:dyDescent="0.2"/>
    <row r="3624" ht="15" customHeight="1" x14ac:dyDescent="0.2"/>
    <row r="3625" ht="15" customHeight="1" x14ac:dyDescent="0.2"/>
    <row r="3626" ht="15" customHeight="1" x14ac:dyDescent="0.2"/>
    <row r="3627" ht="15" customHeight="1" x14ac:dyDescent="0.2"/>
    <row r="3628" ht="15" customHeight="1" x14ac:dyDescent="0.2"/>
    <row r="3629" ht="15" customHeight="1" x14ac:dyDescent="0.2"/>
    <row r="3630" ht="15" customHeight="1" x14ac:dyDescent="0.2"/>
    <row r="3631" ht="15" customHeight="1" x14ac:dyDescent="0.2"/>
    <row r="3632" ht="15" customHeight="1" x14ac:dyDescent="0.2"/>
    <row r="3633" ht="15" customHeight="1" x14ac:dyDescent="0.2"/>
    <row r="3634" ht="15" customHeight="1" x14ac:dyDescent="0.2"/>
    <row r="3635" ht="15" customHeight="1" x14ac:dyDescent="0.2"/>
    <row r="3636" ht="15" customHeight="1" x14ac:dyDescent="0.2"/>
    <row r="3637" ht="15" customHeight="1" x14ac:dyDescent="0.2"/>
    <row r="3638" ht="15" customHeight="1" x14ac:dyDescent="0.2"/>
    <row r="3639" ht="15" customHeight="1" x14ac:dyDescent="0.2"/>
    <row r="3640" ht="15" customHeight="1" x14ac:dyDescent="0.2"/>
    <row r="3641" ht="15" customHeight="1" x14ac:dyDescent="0.2"/>
    <row r="3642" ht="15" customHeight="1" x14ac:dyDescent="0.2"/>
    <row r="3643" ht="15" customHeight="1" x14ac:dyDescent="0.2"/>
    <row r="3644" ht="15" customHeight="1" x14ac:dyDescent="0.2"/>
    <row r="3645" ht="15" customHeight="1" x14ac:dyDescent="0.2"/>
    <row r="3646" ht="15" customHeight="1" x14ac:dyDescent="0.2"/>
    <row r="3647" ht="15" customHeight="1" x14ac:dyDescent="0.2"/>
    <row r="3648" ht="15" customHeight="1" x14ac:dyDescent="0.2"/>
    <row r="3649" ht="15" customHeight="1" x14ac:dyDescent="0.2"/>
    <row r="3650" ht="15" customHeight="1" x14ac:dyDescent="0.2"/>
    <row r="3651" ht="15" customHeight="1" x14ac:dyDescent="0.2"/>
    <row r="3652" ht="15" customHeight="1" x14ac:dyDescent="0.2"/>
    <row r="3653" ht="15" customHeight="1" x14ac:dyDescent="0.2"/>
    <row r="3654" ht="15" customHeight="1" x14ac:dyDescent="0.2"/>
    <row r="3655" ht="15" customHeigh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AB60"/>
  <sheetViews>
    <sheetView workbookViewId="0">
      <selection activeCell="B35" sqref="B35"/>
    </sheetView>
  </sheetViews>
  <sheetFormatPr defaultRowHeight="12.75" x14ac:dyDescent="0.2"/>
  <cols>
    <col min="1" max="29" width="15.625" customWidth="1"/>
  </cols>
  <sheetData>
    <row r="1" spans="1:28" ht="15" customHeight="1" x14ac:dyDescent="0.2">
      <c r="A1" s="41"/>
      <c r="B1" s="31" t="s">
        <v>327</v>
      </c>
      <c r="C1" s="31" t="s">
        <v>328</v>
      </c>
      <c r="D1" s="31" t="s">
        <v>329</v>
      </c>
      <c r="E1" s="31" t="s">
        <v>330</v>
      </c>
      <c r="F1" s="31" t="s">
        <v>331</v>
      </c>
      <c r="G1" s="31" t="s">
        <v>332</v>
      </c>
      <c r="H1" s="31" t="s">
        <v>333</v>
      </c>
      <c r="I1" s="31" t="s">
        <v>334</v>
      </c>
      <c r="J1" s="31" t="s">
        <v>335</v>
      </c>
      <c r="K1" s="31" t="s">
        <v>336</v>
      </c>
      <c r="L1" s="31" t="s">
        <v>337</v>
      </c>
      <c r="M1" s="31" t="s">
        <v>338</v>
      </c>
      <c r="N1" s="31" t="s">
        <v>339</v>
      </c>
      <c r="O1" s="31" t="s">
        <v>340</v>
      </c>
      <c r="P1" s="31" t="s">
        <v>341</v>
      </c>
      <c r="Q1" s="31" t="s">
        <v>342</v>
      </c>
      <c r="R1" s="31" t="s">
        <v>343</v>
      </c>
      <c r="S1" s="31" t="s">
        <v>344</v>
      </c>
      <c r="T1" s="31" t="s">
        <v>345</v>
      </c>
      <c r="U1" s="31" t="s">
        <v>346</v>
      </c>
      <c r="V1" s="31" t="s">
        <v>347</v>
      </c>
      <c r="W1" s="31" t="s">
        <v>348</v>
      </c>
      <c r="X1" s="31" t="s">
        <v>349</v>
      </c>
      <c r="Y1" s="31" t="s">
        <v>350</v>
      </c>
      <c r="Z1" s="31" t="s">
        <v>351</v>
      </c>
      <c r="AA1" s="31" t="s">
        <v>352</v>
      </c>
      <c r="AB1" s="31" t="s">
        <v>353</v>
      </c>
    </row>
    <row r="2" spans="1:28" ht="15" customHeight="1" x14ac:dyDescent="0.2">
      <c r="A2" s="41" t="s">
        <v>394</v>
      </c>
      <c r="B2" s="32">
        <v>-1.5610955500195846E-2</v>
      </c>
      <c r="C2" s="32">
        <v>-1.5901232911378609E-2</v>
      </c>
      <c r="D2" s="32">
        <v>-1.7119805321362418E-2</v>
      </c>
      <c r="E2" s="32">
        <v>-1.7014013616346843E-2</v>
      </c>
      <c r="F2" s="32">
        <v>-1.2545079066617341E-2</v>
      </c>
      <c r="G2" s="32">
        <v>-1.8422743632979664E-2</v>
      </c>
      <c r="H2" s="32">
        <v>-1.817614505936678E-2</v>
      </c>
      <c r="I2" s="32">
        <v>-1.8583648916294437E-2</v>
      </c>
      <c r="J2" s="32">
        <v>-1.0179848192590671E-2</v>
      </c>
      <c r="K2" s="32">
        <v>-2.0107045067268858E-2</v>
      </c>
      <c r="L2" s="32">
        <v>-1.7199855492670942E-2</v>
      </c>
      <c r="M2" s="32">
        <v>-1.6490782780378802E-2</v>
      </c>
      <c r="N2" s="32">
        <v>-1.4734766155772164E-2</v>
      </c>
      <c r="O2" s="32">
        <v>-1.9807626730288415E-2</v>
      </c>
      <c r="P2" s="32">
        <v>-1.7292882083430244E-2</v>
      </c>
      <c r="Q2" s="32">
        <v>-1.6870055459124695E-2</v>
      </c>
      <c r="R2" s="32">
        <v>-1.7774773388353395E-2</v>
      </c>
      <c r="S2" s="32">
        <v>-2.251458319985394E-2</v>
      </c>
      <c r="T2" s="32">
        <v>-1.5520360895200562E-2</v>
      </c>
      <c r="U2" s="32">
        <v>-2.2164691762640118E-2</v>
      </c>
      <c r="V2" s="32">
        <v>-2.2685853121675432E-2</v>
      </c>
      <c r="W2" s="32">
        <v>-1.0830218635382678E-2</v>
      </c>
      <c r="X2" s="32">
        <v>-1.9418125708346275E-2</v>
      </c>
      <c r="Y2" s="32">
        <v>-1.9764783364877532E-2</v>
      </c>
      <c r="Z2" s="32">
        <v>-1.5640471908674094E-2</v>
      </c>
      <c r="AA2" s="32">
        <v>-1.4670481141275102E-2</v>
      </c>
      <c r="AB2" s="32">
        <v>-4.8824140087984205E-2</v>
      </c>
    </row>
    <row r="3" spans="1:28" ht="15" customHeight="1" x14ac:dyDescent="0.2">
      <c r="A3" s="41" t="s">
        <v>395</v>
      </c>
      <c r="B3" s="32">
        <v>-1.4694514552811471E-2</v>
      </c>
      <c r="C3" s="32">
        <v>-1.5804330777134619E-2</v>
      </c>
      <c r="D3" s="32">
        <v>-1.7471548073677536E-2</v>
      </c>
      <c r="E3" s="32">
        <v>-1.7213257064718088E-2</v>
      </c>
      <c r="F3" s="32">
        <v>-1.2004038646852015E-2</v>
      </c>
      <c r="G3" s="32">
        <v>-1.8004368284052882E-2</v>
      </c>
      <c r="H3" s="32">
        <v>-1.7966771569413332E-2</v>
      </c>
      <c r="I3" s="32">
        <v>-1.8145044950646415E-2</v>
      </c>
      <c r="J3" s="32">
        <v>-1.0180851042895015E-2</v>
      </c>
      <c r="K3" s="32">
        <v>-2.0315939839650774E-2</v>
      </c>
      <c r="L3" s="32">
        <v>-1.7274665057434122E-2</v>
      </c>
      <c r="M3" s="32">
        <v>-1.5142493635652041E-2</v>
      </c>
      <c r="N3" s="32">
        <v>-1.4827362658974733E-2</v>
      </c>
      <c r="O3" s="32">
        <v>-1.9743746382456566E-2</v>
      </c>
      <c r="P3" s="32">
        <v>-1.691926593597029E-2</v>
      </c>
      <c r="Q3" s="32">
        <v>-1.6575651103063457E-2</v>
      </c>
      <c r="R3" s="32">
        <v>-1.7375492623654627E-2</v>
      </c>
      <c r="S3" s="32">
        <v>-2.1942842805398266E-2</v>
      </c>
      <c r="T3" s="32">
        <v>-1.4544799640912563E-2</v>
      </c>
      <c r="U3" s="32">
        <v>-2.2920857491336065E-2</v>
      </c>
      <c r="V3" s="32">
        <v>-2.2806378855532002E-2</v>
      </c>
      <c r="W3" s="32">
        <v>-1.0797669502625385E-2</v>
      </c>
      <c r="X3" s="32">
        <v>-1.9113998108078699E-2</v>
      </c>
      <c r="Y3" s="32">
        <v>-1.9678997761339224E-2</v>
      </c>
      <c r="Z3" s="32">
        <v>-1.5500704637459443E-2</v>
      </c>
      <c r="AA3" s="32">
        <v>-1.4462110740836875E-2</v>
      </c>
      <c r="AB3" s="32">
        <v>0.42378081962299147</v>
      </c>
    </row>
    <row r="4" spans="1:28" ht="15" customHeight="1" x14ac:dyDescent="0.2">
      <c r="A4" s="41" t="s">
        <v>396</v>
      </c>
      <c r="B4" s="32">
        <v>-1.7138678292838511E-2</v>
      </c>
      <c r="C4" s="32">
        <v>-1.7430930838972489E-2</v>
      </c>
      <c r="D4" s="32">
        <v>-1.9033941446214148E-2</v>
      </c>
      <c r="E4" s="32">
        <v>-1.8786536134803151E-2</v>
      </c>
      <c r="F4" s="32">
        <v>-1.318858677784906E-2</v>
      </c>
      <c r="G4" s="32">
        <v>-2.056788617804935E-2</v>
      </c>
      <c r="H4" s="32">
        <v>-2.0290431993215653E-2</v>
      </c>
      <c r="I4" s="32">
        <v>-2.0803540064277416E-2</v>
      </c>
      <c r="J4" s="32">
        <v>-1.0225726326322539E-2</v>
      </c>
      <c r="K4" s="32">
        <v>-2.2707539535105046E-2</v>
      </c>
      <c r="L4" s="32">
        <v>-1.9089375347859629E-2</v>
      </c>
      <c r="M4" s="32">
        <v>-1.8190724143335984E-2</v>
      </c>
      <c r="N4" s="32">
        <v>-1.5931491163386009E-2</v>
      </c>
      <c r="O4" s="32">
        <v>-2.232407796424201E-2</v>
      </c>
      <c r="P4" s="32">
        <v>-1.9142423843740517E-2</v>
      </c>
      <c r="Q4" s="32">
        <v>-1.8621772281484452E-2</v>
      </c>
      <c r="R4" s="32">
        <v>-1.9811769801056974E-2</v>
      </c>
      <c r="S4" s="32">
        <v>-2.5681410246573378E-2</v>
      </c>
      <c r="T4" s="32">
        <v>-1.6889885123794645E-2</v>
      </c>
      <c r="U4" s="32">
        <v>-2.5282206022318544E-2</v>
      </c>
      <c r="V4" s="32">
        <v>-2.5949990697760467E-2</v>
      </c>
      <c r="W4" s="32">
        <v>-1.1040993359361619E-2</v>
      </c>
      <c r="X4" s="32">
        <v>-2.191595598284506E-2</v>
      </c>
      <c r="Y4" s="32">
        <v>-2.2227536273817128E-2</v>
      </c>
      <c r="Z4" s="32">
        <v>-1.7094789080191602E-2</v>
      </c>
      <c r="AA4" s="32">
        <v>-1.5873769760986173E-2</v>
      </c>
      <c r="AB4" s="32">
        <v>-5.9009936100875252E-2</v>
      </c>
    </row>
    <row r="5" spans="1:28" ht="15" customHeight="1" x14ac:dyDescent="0.2">
      <c r="A5" s="41" t="s">
        <v>397</v>
      </c>
      <c r="B5" s="32">
        <v>-0.97044648054433957</v>
      </c>
      <c r="C5" s="32">
        <v>-0.9733656126228688</v>
      </c>
      <c r="D5" s="32">
        <v>-0.97036123002895658</v>
      </c>
      <c r="E5" s="32">
        <v>-0.97498878999958938</v>
      </c>
      <c r="F5" s="32">
        <v>-0.97454467219037899</v>
      </c>
      <c r="G5" s="32">
        <v>-0.97427838509394804</v>
      </c>
      <c r="H5" s="32">
        <v>-0.97325984499365026</v>
      </c>
      <c r="I5" s="32">
        <v>-0.97307689434838729</v>
      </c>
      <c r="J5" s="32">
        <v>-0.97447339478772321</v>
      </c>
      <c r="K5" s="32">
        <v>-0.97357435222612265</v>
      </c>
      <c r="L5" s="32">
        <v>-0.97209201295018932</v>
      </c>
      <c r="M5" s="32">
        <v>-0.9727505301682976</v>
      </c>
      <c r="N5" s="32">
        <v>-0.97489056156561082</v>
      </c>
      <c r="O5" s="32">
        <v>-0.97377579558708049</v>
      </c>
      <c r="P5" s="32">
        <v>-0.97468625107180795</v>
      </c>
      <c r="Q5" s="32">
        <v>-0.97431482337403985</v>
      </c>
      <c r="R5" s="32">
        <v>-0.97228804948675429</v>
      </c>
      <c r="S5" s="32">
        <v>-0.97539791068337434</v>
      </c>
      <c r="T5" s="32">
        <v>-0.97577811922081825</v>
      </c>
      <c r="U5" s="32">
        <v>-0.9738735544912025</v>
      </c>
      <c r="V5" s="32">
        <v>-0.9731479555496344</v>
      </c>
      <c r="W5" s="32">
        <v>-0.97448342200659055</v>
      </c>
      <c r="X5" s="32">
        <v>-0.97027260030320595</v>
      </c>
      <c r="Y5" s="32">
        <v>-0.97535168901291669</v>
      </c>
      <c r="Z5" s="32">
        <v>-0.97379134961686564</v>
      </c>
      <c r="AA5" s="32">
        <v>-0.97387299768555469</v>
      </c>
      <c r="AB5" s="32">
        <v>-0.97004153330279208</v>
      </c>
    </row>
    <row r="6" spans="1:28" ht="15" customHeight="1" x14ac:dyDescent="0.2">
      <c r="A6" s="41" t="s">
        <v>398</v>
      </c>
      <c r="B6" s="32">
        <v>-0.97044648054433957</v>
      </c>
      <c r="C6" s="32">
        <v>-0.9733656126228688</v>
      </c>
      <c r="D6" s="32">
        <v>-0.97036123002895658</v>
      </c>
      <c r="E6" s="32">
        <v>-0.97498878999958938</v>
      </c>
      <c r="F6" s="32">
        <v>-0.97454467219037899</v>
      </c>
      <c r="G6" s="32">
        <v>-0.97427838509394804</v>
      </c>
      <c r="H6" s="32">
        <v>-0.97325984499365026</v>
      </c>
      <c r="I6" s="32">
        <v>-0.97307689434838729</v>
      </c>
      <c r="J6" s="32">
        <v>-0.97447339478772321</v>
      </c>
      <c r="K6" s="32">
        <v>-0.97357435222612265</v>
      </c>
      <c r="L6" s="32">
        <v>-0.97209201295018932</v>
      </c>
      <c r="M6" s="32">
        <v>-0.9727505301682976</v>
      </c>
      <c r="N6" s="32">
        <v>-0.97489056156561082</v>
      </c>
      <c r="O6" s="32">
        <v>-0.97377579558708049</v>
      </c>
      <c r="P6" s="32">
        <v>-0.97468625107180795</v>
      </c>
      <c r="Q6" s="32">
        <v>-0.97431482337403985</v>
      </c>
      <c r="R6" s="32">
        <v>-0.97228804948675429</v>
      </c>
      <c r="S6" s="32">
        <v>-0.97539791068337434</v>
      </c>
      <c r="T6" s="32">
        <v>-0.97577811922081825</v>
      </c>
      <c r="U6" s="32">
        <v>-0.9738735544912025</v>
      </c>
      <c r="V6" s="32">
        <v>-0.9731479555496344</v>
      </c>
      <c r="W6" s="32">
        <v>-0.97448342200659055</v>
      </c>
      <c r="X6" s="32">
        <v>-0.97027260030320595</v>
      </c>
      <c r="Y6" s="32">
        <v>-0.97535168901291669</v>
      </c>
      <c r="Z6" s="32">
        <v>-0.97379134961686564</v>
      </c>
      <c r="AA6" s="32">
        <v>-0.97387299768555469</v>
      </c>
      <c r="AB6" s="32">
        <v>-0.97004153330279208</v>
      </c>
    </row>
    <row r="7" spans="1:28" ht="15" customHeight="1" x14ac:dyDescent="0.2">
      <c r="A7" s="41" t="s">
        <v>399</v>
      </c>
      <c r="B7" s="32">
        <v>0.97044648054433957</v>
      </c>
      <c r="C7" s="32">
        <v>0.9733656126228688</v>
      </c>
      <c r="D7" s="32">
        <v>0.97036123002895658</v>
      </c>
      <c r="E7" s="32">
        <v>0.97498878999958938</v>
      </c>
      <c r="F7" s="32">
        <v>0.97454467219037899</v>
      </c>
      <c r="G7" s="32">
        <v>0.97427838509394804</v>
      </c>
      <c r="H7" s="32">
        <v>0.97325984499365026</v>
      </c>
      <c r="I7" s="32">
        <v>0.97307689434838729</v>
      </c>
      <c r="J7" s="32">
        <v>0.97447339478772321</v>
      </c>
      <c r="K7" s="32">
        <v>0.97357435222612265</v>
      </c>
      <c r="L7" s="32">
        <v>0.97209201295018932</v>
      </c>
      <c r="M7" s="32">
        <v>0.9727505301682976</v>
      </c>
      <c r="N7" s="32">
        <v>0.97489056156561082</v>
      </c>
      <c r="O7" s="32">
        <v>0.97377579558708049</v>
      </c>
      <c r="P7" s="32">
        <v>0.97468625107180795</v>
      </c>
      <c r="Q7" s="32">
        <v>0.97431482337403985</v>
      </c>
      <c r="R7" s="32">
        <v>0.97228804948675429</v>
      </c>
      <c r="S7" s="32">
        <v>0.97539791068337434</v>
      </c>
      <c r="T7" s="32">
        <v>0.97577811922081825</v>
      </c>
      <c r="U7" s="32">
        <v>0.9738735544912025</v>
      </c>
      <c r="V7" s="32">
        <v>0.9731479555496344</v>
      </c>
      <c r="W7" s="32">
        <v>0.97448342200659055</v>
      </c>
      <c r="X7" s="32">
        <v>0.97027260030320595</v>
      </c>
      <c r="Y7" s="32">
        <v>0.97535168901291669</v>
      </c>
      <c r="Z7" s="32">
        <v>0.97379134961686564</v>
      </c>
      <c r="AA7" s="32">
        <v>0.97387299768555469</v>
      </c>
      <c r="AB7" s="32">
        <v>0.97004153330279208</v>
      </c>
    </row>
    <row r="8" spans="1:28" ht="15" customHeight="1" x14ac:dyDescent="0.2">
      <c r="A8" s="41" t="s">
        <v>400</v>
      </c>
      <c r="B8" s="32">
        <v>1.2139325847477308E-2</v>
      </c>
      <c r="C8" s="32">
        <v>1.2382883456468425E-2</v>
      </c>
      <c r="D8" s="32">
        <v>1.2114458944507085E-2</v>
      </c>
      <c r="E8" s="32">
        <v>1.2549355215137562E-2</v>
      </c>
      <c r="F8" s="32">
        <v>1.2511986479343319E-2</v>
      </c>
      <c r="G8" s="32">
        <v>1.2551314128137342E-2</v>
      </c>
      <c r="H8" s="32">
        <v>1.2396222253237926E-2</v>
      </c>
      <c r="I8" s="32">
        <v>1.2445995137148037E-2</v>
      </c>
      <c r="J8" s="32">
        <v>1.2499254303122475E-2</v>
      </c>
      <c r="K8" s="32">
        <v>1.2454053617461517E-2</v>
      </c>
      <c r="L8" s="32">
        <v>1.2272217925078575E-2</v>
      </c>
      <c r="M8" s="32">
        <v>1.2369350668251131E-2</v>
      </c>
      <c r="N8" s="32">
        <v>1.2523998603368214E-2</v>
      </c>
      <c r="O8" s="32">
        <v>1.2483221882954114E-2</v>
      </c>
      <c r="P8" s="32">
        <v>1.2546263592209663E-2</v>
      </c>
      <c r="Q8" s="32">
        <v>1.248570293002964E-2</v>
      </c>
      <c r="R8" s="32">
        <v>1.2301751458883636E-2</v>
      </c>
      <c r="S8" s="32">
        <v>1.2849759430596885E-2</v>
      </c>
      <c r="T8" s="32">
        <v>1.2657997873008406E-2</v>
      </c>
      <c r="U8" s="32">
        <v>1.2508046278778787E-2</v>
      </c>
      <c r="V8" s="32">
        <v>1.2638779087488465E-2</v>
      </c>
      <c r="W8" s="32">
        <v>1.2500528669626408E-2</v>
      </c>
      <c r="X8" s="32">
        <v>1.2161164630508781E-2</v>
      </c>
      <c r="Y8" s="32">
        <v>1.2634805496732902E-2</v>
      </c>
      <c r="Z8" s="32">
        <v>1.2415723032448381E-2</v>
      </c>
      <c r="AA8" s="32">
        <v>1.2433876700114361E-2</v>
      </c>
      <c r="AB8" s="32">
        <v>1.2468753320800991E-2</v>
      </c>
    </row>
    <row r="9" spans="1:28" ht="15" customHeight="1" x14ac:dyDescent="0.2">
      <c r="A9" s="41" t="s">
        <v>401</v>
      </c>
      <c r="B9" s="32">
        <v>4.2071836647555893E-5</v>
      </c>
      <c r="C9" s="32">
        <v>3.126921402027036E-6</v>
      </c>
      <c r="D9" s="32">
        <v>2.9425847730276425E-5</v>
      </c>
      <c r="E9" s="32">
        <v>1.2668480676696513E-5</v>
      </c>
      <c r="F9" s="32">
        <v>0</v>
      </c>
      <c r="G9" s="32">
        <v>7.2672383480745908E-5</v>
      </c>
      <c r="H9" s="32">
        <v>4.2719589642642826E-5</v>
      </c>
      <c r="I9" s="32">
        <v>1.0068721252222041E-4</v>
      </c>
      <c r="J9" s="32">
        <v>0</v>
      </c>
      <c r="K9" s="32">
        <v>8.3549845268238374E-5</v>
      </c>
      <c r="L9" s="32">
        <v>1.0235600274176721E-5</v>
      </c>
      <c r="M9" s="32">
        <v>7.0187568800738739E-5</v>
      </c>
      <c r="N9" s="32">
        <v>0</v>
      </c>
      <c r="O9" s="32">
        <v>8.1310120344127735E-5</v>
      </c>
      <c r="P9" s="32">
        <v>3.3885597733124415E-5</v>
      </c>
      <c r="Q9" s="32">
        <v>1.1075171731597286E-5</v>
      </c>
      <c r="R9" s="32">
        <v>4.537540013935512E-5</v>
      </c>
      <c r="S9" s="32">
        <v>3.010192613876307E-4</v>
      </c>
      <c r="T9" s="32">
        <v>2.8608384978279759E-5</v>
      </c>
      <c r="U9" s="32">
        <v>1.1508354763280249E-4</v>
      </c>
      <c r="V9" s="32">
        <v>3.0182047555796655E-4</v>
      </c>
      <c r="W9" s="32">
        <v>0</v>
      </c>
      <c r="X9" s="32">
        <v>7.5454668184935482E-5</v>
      </c>
      <c r="Y9" s="32">
        <v>6.4359944811528071E-5</v>
      </c>
      <c r="Z9" s="32">
        <v>0</v>
      </c>
      <c r="AA9" s="32">
        <v>0</v>
      </c>
      <c r="AB9" s="32">
        <v>1.2398038970500502E-3</v>
      </c>
    </row>
    <row r="10" spans="1:28" ht="15" customHeight="1" x14ac:dyDescent="0.2">
      <c r="A10" s="41" t="s">
        <v>402</v>
      </c>
      <c r="B10" s="32">
        <v>1.5942693844649998E-4</v>
      </c>
      <c r="C10" s="32">
        <v>1.6661961710537156E-4</v>
      </c>
      <c r="D10" s="32">
        <v>1.6689419005996837E-4</v>
      </c>
      <c r="E10" s="32">
        <v>1.750966633334718E-4</v>
      </c>
      <c r="F10" s="32">
        <v>1.589149594943074E-4</v>
      </c>
      <c r="G10" s="32">
        <v>1.8158245140514773E-4</v>
      </c>
      <c r="H10" s="32">
        <v>1.7794163441902145E-4</v>
      </c>
      <c r="I10" s="32">
        <v>1.7930578928122072E-4</v>
      </c>
      <c r="J10" s="32">
        <v>1.5624337976443933E-4</v>
      </c>
      <c r="K10" s="32">
        <v>1.9095448581517169E-4</v>
      </c>
      <c r="L10" s="32">
        <v>1.707171556451148E-4</v>
      </c>
      <c r="M10" s="32">
        <v>1.6727562936529977E-4</v>
      </c>
      <c r="N10" s="32">
        <v>1.6503030203618099E-4</v>
      </c>
      <c r="O10" s="32">
        <v>1.8966486215223947E-4</v>
      </c>
      <c r="P10" s="32">
        <v>1.7597949828826969E-4</v>
      </c>
      <c r="Q10" s="32">
        <v>1.7309731831024615E-4</v>
      </c>
      <c r="R10" s="32">
        <v>1.7378096597010022E-4</v>
      </c>
      <c r="S10" s="32">
        <v>2.1215328277048208E-4</v>
      </c>
      <c r="T10" s="32">
        <v>1.7012036371370166E-4</v>
      </c>
      <c r="U10" s="32">
        <v>2.0867035718894158E-4</v>
      </c>
      <c r="V10" s="32">
        <v>2.1058974294994477E-4</v>
      </c>
      <c r="W10" s="32">
        <v>1.5651695702336677E-4</v>
      </c>
      <c r="X10" s="32">
        <v>1.8142465353908864E-4</v>
      </c>
      <c r="Y10" s="32">
        <v>1.9242396910174137E-4</v>
      </c>
      <c r="Z10" s="32">
        <v>1.6623026776777075E-4</v>
      </c>
      <c r="AA10" s="32">
        <v>1.6287102304518534E-4</v>
      </c>
      <c r="AB10" s="32">
        <v>1.5607865174839631E-4</v>
      </c>
    </row>
    <row r="11" spans="1:28" ht="15" customHeight="1" x14ac:dyDescent="0.2">
      <c r="A11" s="41" t="s">
        <v>403</v>
      </c>
      <c r="B11" s="32">
        <v>2.2309112115284649E-6</v>
      </c>
      <c r="C11" s="32">
        <v>2.3919644657503635E-6</v>
      </c>
      <c r="D11" s="32">
        <v>2.6091483151400744E-6</v>
      </c>
      <c r="E11" s="32">
        <v>2.6760180181649861E-6</v>
      </c>
      <c r="F11" s="32">
        <v>2.0473333960606309E-6</v>
      </c>
      <c r="G11" s="32">
        <v>2.9218326192641328E-6</v>
      </c>
      <c r="H11" s="32">
        <v>2.8327028062963402E-6</v>
      </c>
      <c r="I11" s="32">
        <v>3.0623956675526388E-6</v>
      </c>
      <c r="J11" s="32">
        <v>1.953226553582703E-6</v>
      </c>
      <c r="K11" s="32">
        <v>3.4178847106955285E-6</v>
      </c>
      <c r="L11" s="32">
        <v>2.6048652352496075E-6</v>
      </c>
      <c r="M11" s="32">
        <v>2.428307489440118E-6</v>
      </c>
      <c r="N11" s="32">
        <v>2.2780104586809997E-6</v>
      </c>
      <c r="O11" s="32">
        <v>3.257228214341685E-6</v>
      </c>
      <c r="P11" s="32">
        <v>2.6783350816145778E-6</v>
      </c>
      <c r="Q11" s="32">
        <v>2.5840057735548585E-6</v>
      </c>
      <c r="R11" s="32">
        <v>2.6882796838806591E-6</v>
      </c>
      <c r="S11" s="32">
        <v>4.0956252334333274E-6</v>
      </c>
      <c r="T11" s="32">
        <v>2.4031938919124054E-6</v>
      </c>
      <c r="U11" s="32">
        <v>4.1591688868736178E-6</v>
      </c>
      <c r="V11" s="32">
        <v>4.2622117015367059E-6</v>
      </c>
      <c r="W11" s="32">
        <v>1.9628785539696421E-6</v>
      </c>
      <c r="X11" s="32">
        <v>3.0256653631195421E-6</v>
      </c>
      <c r="Y11" s="32">
        <v>3.2966111787214713E-6</v>
      </c>
      <c r="Z11" s="32">
        <v>2.3617628396744559E-6</v>
      </c>
      <c r="AA11" s="32">
        <v>2.2269358097795481E-6</v>
      </c>
      <c r="AB11" s="32">
        <v>1.9560802006787863E-6</v>
      </c>
    </row>
    <row r="12" spans="1:28" ht="15" customHeight="1" x14ac:dyDescent="0.2">
      <c r="A12" s="41" t="s">
        <v>404</v>
      </c>
      <c r="B12" s="32">
        <v>-2.6250185674167286</v>
      </c>
      <c r="C12" s="32">
        <v>-2.6987988251568504</v>
      </c>
      <c r="D12" s="32">
        <v>-2.0924290720082261</v>
      </c>
      <c r="E12" s="32">
        <v>-2.3660752688271489</v>
      </c>
      <c r="F12" s="32">
        <v>-6.5012437193457258</v>
      </c>
      <c r="G12" s="32">
        <v>-1.9437715559122619</v>
      </c>
      <c r="H12" s="32">
        <v>-1.9474067037441265</v>
      </c>
      <c r="I12" s="32">
        <v>-1.8532225354577621</v>
      </c>
      <c r="J12" s="32">
        <v>-91.07345633745841</v>
      </c>
      <c r="K12" s="32">
        <v>-1.5860370667718033</v>
      </c>
      <c r="L12" s="32">
        <v>-2.1588203604440039</v>
      </c>
      <c r="M12" s="32">
        <v>-2.4087126486219117</v>
      </c>
      <c r="N12" s="32">
        <v>-3.5000687840970781</v>
      </c>
      <c r="O12" s="32">
        <v>-1.6442221010422882</v>
      </c>
      <c r="P12" s="32">
        <v>-2.2620543931306787</v>
      </c>
      <c r="Q12" s="32">
        <v>-2.3793741820772261</v>
      </c>
      <c r="R12" s="32">
        <v>-2.0013738265212813</v>
      </c>
      <c r="S12" s="32">
        <v>-1.3259196889439573</v>
      </c>
      <c r="T12" s="32">
        <v>-3.0906049726083133</v>
      </c>
      <c r="U12" s="32">
        <v>-1.3260132771722253</v>
      </c>
      <c r="V12" s="32">
        <v>-1.2592800912742852</v>
      </c>
      <c r="W12" s="32">
        <v>-19.825966966674812</v>
      </c>
      <c r="X12" s="32">
        <v>-1.6035824974967494</v>
      </c>
      <c r="Y12" s="32">
        <v>-1.7086684217829908</v>
      </c>
      <c r="Z12" s="32">
        <v>-2.849018069858404</v>
      </c>
      <c r="AA12" s="32">
        <v>-3.4496807413091402</v>
      </c>
      <c r="AB12" s="32">
        <v>-0.35809392301856235</v>
      </c>
    </row>
    <row r="13" spans="1:28" ht="15" customHeight="1" x14ac:dyDescent="0.2">
      <c r="A13" s="41" t="s">
        <v>405</v>
      </c>
      <c r="B13" s="32">
        <v>-9.889524258407778E-3</v>
      </c>
      <c r="C13" s="32">
        <v>-1.0150098181960575E-2</v>
      </c>
      <c r="D13" s="32">
        <v>-9.8777989063832741E-3</v>
      </c>
      <c r="E13" s="32">
        <v>-1.0294156032773455E-2</v>
      </c>
      <c r="F13" s="32">
        <v>-1.0273501836340038E-2</v>
      </c>
      <c r="G13" s="32">
        <v>-1.0242084703228096E-2</v>
      </c>
      <c r="H13" s="32">
        <v>-1.0124226037147889E-2</v>
      </c>
      <c r="I13" s="32">
        <v>-1.0117708047336367E-2</v>
      </c>
      <c r="J13" s="32">
        <v>-1.0261187587682272E-2</v>
      </c>
      <c r="K13" s="32">
        <v>-1.013841803620223E-2</v>
      </c>
      <c r="L13" s="32">
        <v>-1.0042241058207883E-2</v>
      </c>
      <c r="M13" s="32">
        <v>-1.0073665133603082E-2</v>
      </c>
      <c r="N13" s="32">
        <v>-1.0282178327042455E-2</v>
      </c>
      <c r="O13" s="32">
        <v>-1.0168574539933143E-2</v>
      </c>
      <c r="P13" s="32">
        <v>-1.0272411233323984E-2</v>
      </c>
      <c r="Q13" s="32">
        <v>-1.0237581856505029E-2</v>
      </c>
      <c r="R13" s="32">
        <v>-1.0034450247428594E-2</v>
      </c>
      <c r="S13" s="32">
        <v>-1.0302195708179177E-2</v>
      </c>
      <c r="T13" s="32">
        <v>-1.0380832782065893E-2</v>
      </c>
      <c r="U13" s="32">
        <v>-1.0158364692749559E-2</v>
      </c>
      <c r="V13" s="32">
        <v>-1.0108389537102341E-2</v>
      </c>
      <c r="W13" s="32">
        <v>-1.0262389737768869E-2</v>
      </c>
      <c r="X13" s="32">
        <v>-9.8793987991913721E-3</v>
      </c>
      <c r="Y13" s="32">
        <v>-1.032493783048952E-2</v>
      </c>
      <c r="Z13" s="32">
        <v>-1.0182595107616857E-2</v>
      </c>
      <c r="AA13" s="32">
        <v>-1.0200382107032988E-2</v>
      </c>
      <c r="AB13" s="32">
        <v>-8.9985316340328077E-3</v>
      </c>
    </row>
    <row r="14" spans="1:28" ht="15" customHeight="1" x14ac:dyDescent="0.2">
      <c r="A14" s="41" t="s">
        <v>406</v>
      </c>
      <c r="B14" s="32">
        <v>-9.889524258407778E-3</v>
      </c>
      <c r="C14" s="32">
        <v>-1.0150098181960575E-2</v>
      </c>
      <c r="D14" s="32">
        <v>-9.8777989063832741E-3</v>
      </c>
      <c r="E14" s="32">
        <v>-1.0294156032773455E-2</v>
      </c>
      <c r="F14" s="32">
        <v>-1.0273501836340038E-2</v>
      </c>
      <c r="G14" s="32">
        <v>-1.0242084703228096E-2</v>
      </c>
      <c r="H14" s="32">
        <v>-1.0124226037147889E-2</v>
      </c>
      <c r="I14" s="32">
        <v>-1.0117708047336367E-2</v>
      </c>
      <c r="J14" s="32">
        <v>-1.0261187587682272E-2</v>
      </c>
      <c r="K14" s="32">
        <v>-1.013841803620223E-2</v>
      </c>
      <c r="L14" s="32">
        <v>-1.0042241058207883E-2</v>
      </c>
      <c r="M14" s="32">
        <v>-1.0073665133603082E-2</v>
      </c>
      <c r="N14" s="32">
        <v>-1.0282178327042455E-2</v>
      </c>
      <c r="O14" s="32">
        <v>-1.0168574539933143E-2</v>
      </c>
      <c r="P14" s="32">
        <v>-1.0272411233323984E-2</v>
      </c>
      <c r="Q14" s="32">
        <v>-1.0237581856505029E-2</v>
      </c>
      <c r="R14" s="32">
        <v>-1.0034450247428594E-2</v>
      </c>
      <c r="S14" s="32">
        <v>-1.0302195708179177E-2</v>
      </c>
      <c r="T14" s="32">
        <v>-1.0380832782065893E-2</v>
      </c>
      <c r="U14" s="32">
        <v>-1.0158364692749559E-2</v>
      </c>
      <c r="V14" s="32">
        <v>-1.0108389537102341E-2</v>
      </c>
      <c r="W14" s="32">
        <v>-1.0262389737768869E-2</v>
      </c>
      <c r="X14" s="32">
        <v>-9.8793987991913721E-3</v>
      </c>
      <c r="Y14" s="32">
        <v>-1.032493783048952E-2</v>
      </c>
      <c r="Z14" s="32">
        <v>-1.0182595107616857E-2</v>
      </c>
      <c r="AA14" s="32">
        <v>-1.0200382107032988E-2</v>
      </c>
      <c r="AB14" s="32">
        <v>-8.9985316340328077E-3</v>
      </c>
    </row>
    <row r="15" spans="1:28" ht="15" customHeight="1" x14ac:dyDescent="0.2">
      <c r="A15" s="41" t="s">
        <v>407</v>
      </c>
      <c r="B15" s="32">
        <v>-9.889524258407778E-3</v>
      </c>
      <c r="C15" s="32">
        <v>-1.0150098181960575E-2</v>
      </c>
      <c r="D15" s="32">
        <v>-9.8777989063832741E-3</v>
      </c>
      <c r="E15" s="32">
        <v>-1.0294156032773455E-2</v>
      </c>
      <c r="F15" s="32">
        <v>-1.0273501836340038E-2</v>
      </c>
      <c r="G15" s="32">
        <v>-1.0242084703228096E-2</v>
      </c>
      <c r="H15" s="32">
        <v>-1.0124226037147889E-2</v>
      </c>
      <c r="I15" s="32">
        <v>-1.0117708047336367E-2</v>
      </c>
      <c r="J15" s="32">
        <v>-1.0261187587682272E-2</v>
      </c>
      <c r="K15" s="32">
        <v>-1.013841803620223E-2</v>
      </c>
      <c r="L15" s="32">
        <v>-1.0042241058207883E-2</v>
      </c>
      <c r="M15" s="32">
        <v>-1.0073665133603082E-2</v>
      </c>
      <c r="N15" s="32">
        <v>-1.0282178327042455E-2</v>
      </c>
      <c r="O15" s="32">
        <v>-1.0168574539933143E-2</v>
      </c>
      <c r="P15" s="32">
        <v>-1.0272411233323984E-2</v>
      </c>
      <c r="Q15" s="32">
        <v>-1.0237581856505029E-2</v>
      </c>
      <c r="R15" s="32">
        <v>-1.0034450247428594E-2</v>
      </c>
      <c r="S15" s="32">
        <v>-1.0302195708179177E-2</v>
      </c>
      <c r="T15" s="32">
        <v>-1.0380832782065893E-2</v>
      </c>
      <c r="U15" s="32">
        <v>-1.0158364692749559E-2</v>
      </c>
      <c r="V15" s="32">
        <v>-1.0108389537102341E-2</v>
      </c>
      <c r="W15" s="32">
        <v>-1.0262389737768869E-2</v>
      </c>
      <c r="X15" s="32">
        <v>-9.8793987991913721E-3</v>
      </c>
      <c r="Y15" s="32">
        <v>-1.032493783048952E-2</v>
      </c>
      <c r="Z15" s="32">
        <v>-1.0182595107616857E-2</v>
      </c>
      <c r="AA15" s="32">
        <v>-1.0200382107032988E-2</v>
      </c>
      <c r="AB15" s="32">
        <v>-8.9985316340328077E-3</v>
      </c>
    </row>
    <row r="16" spans="1:28" ht="15" customHeight="1" x14ac:dyDescent="0.2">
      <c r="A16" s="41" t="s">
        <v>408</v>
      </c>
      <c r="B16" s="32">
        <v>-0.61477684762532925</v>
      </c>
      <c r="C16" s="32">
        <v>-0.6213201573820456</v>
      </c>
      <c r="D16" s="32">
        <v>-0.55987979517596331</v>
      </c>
      <c r="E16" s="32">
        <v>-0.58990705901502549</v>
      </c>
      <c r="F16" s="32">
        <v>-0.79808077941774935</v>
      </c>
      <c r="G16" s="32">
        <v>-0.54164797293238831</v>
      </c>
      <c r="H16" s="32">
        <v>-0.5421117971611582</v>
      </c>
      <c r="I16" s="32">
        <v>-0.52978335788474973</v>
      </c>
      <c r="J16" s="32">
        <v>-0.98225966772277384</v>
      </c>
      <c r="K16" s="32">
        <v>-0.49089777931919348</v>
      </c>
      <c r="L16" s="32">
        <v>-0.56756188032882215</v>
      </c>
      <c r="M16" s="32">
        <v>-0.59422061584060237</v>
      </c>
      <c r="N16" s="32">
        <v>-0.68029573712925151</v>
      </c>
      <c r="O16" s="32">
        <v>-0.49990399644742034</v>
      </c>
      <c r="P16" s="32">
        <v>-0.5789883922281629</v>
      </c>
      <c r="Q16" s="32">
        <v>-0.59126229800880026</v>
      </c>
      <c r="R16" s="32">
        <v>-0.54888891383205585</v>
      </c>
      <c r="S16" s="32">
        <v>-0.44632139444954883</v>
      </c>
      <c r="T16" s="32">
        <v>-0.65265167198286167</v>
      </c>
      <c r="U16" s="32">
        <v>-0.44633883642907729</v>
      </c>
      <c r="V16" s="32">
        <v>-0.43361642866900313</v>
      </c>
      <c r="W16" s="32">
        <v>-0.92339120809198361</v>
      </c>
      <c r="X16" s="32">
        <v>-0.49364753871191924</v>
      </c>
      <c r="Y16" s="32">
        <v>-0.5095145930016477</v>
      </c>
      <c r="Z16" s="32">
        <v>-0.63397850719255622</v>
      </c>
      <c r="AA16" s="32">
        <v>-0.67713366756360494</v>
      </c>
      <c r="AB16" s="32">
        <v>-0.1787834748962448</v>
      </c>
    </row>
    <row r="17" spans="1:28" ht="15" customHeight="1" x14ac:dyDescent="0.2">
      <c r="A17" s="41" t="s">
        <v>409</v>
      </c>
      <c r="B17" s="32">
        <v>-0.5599763206267756</v>
      </c>
      <c r="C17" s="32">
        <v>-0.56679454621992575</v>
      </c>
      <c r="D17" s="32">
        <v>-0.50357584233733266</v>
      </c>
      <c r="E17" s="32">
        <v>-0.53424892499832466</v>
      </c>
      <c r="F17" s="32">
        <v>-0.75914020569352647</v>
      </c>
      <c r="G17" s="32">
        <v>-0.48515640636450025</v>
      </c>
      <c r="H17" s="32">
        <v>-0.48562310880763249</v>
      </c>
      <c r="I17" s="32">
        <v>-0.47325156652215777</v>
      </c>
      <c r="J17" s="32">
        <v>-0.97785272009312685</v>
      </c>
      <c r="K17" s="32">
        <v>-0.4346795810675031</v>
      </c>
      <c r="L17" s="32">
        <v>-0.51138301525926511</v>
      </c>
      <c r="M17" s="32">
        <v>-0.53869010503576531</v>
      </c>
      <c r="N17" s="32">
        <v>-0.62919399700672562</v>
      </c>
      <c r="O17" s="32">
        <v>-0.44355300041822515</v>
      </c>
      <c r="P17" s="32">
        <v>-0.52304651052591133</v>
      </c>
      <c r="Q17" s="32">
        <v>-0.53564331082577477</v>
      </c>
      <c r="R17" s="32">
        <v>-0.49245353427353644</v>
      </c>
      <c r="S17" s="32">
        <v>-0.39128459351448508</v>
      </c>
      <c r="T17" s="32">
        <v>-0.59973110614942438</v>
      </c>
      <c r="U17" s="32">
        <v>-0.39130140472760433</v>
      </c>
      <c r="V17" s="32">
        <v>-0.37907368547840775</v>
      </c>
      <c r="W17" s="32">
        <v>-0.90576348921964633</v>
      </c>
      <c r="X17" s="32">
        <v>-0.43738497968453194</v>
      </c>
      <c r="Y17" s="32">
        <v>-0.45306170813828656</v>
      </c>
      <c r="Z17" s="32">
        <v>-0.5800436019382097</v>
      </c>
      <c r="AA17" s="32">
        <v>-0.62580450955823608</v>
      </c>
      <c r="AB17" s="32">
        <v>-0.14792338376420294</v>
      </c>
    </row>
    <row r="18" spans="1:28" ht="15" customHeight="1" x14ac:dyDescent="0.2">
      <c r="A18" s="41" t="s">
        <v>410</v>
      </c>
      <c r="B18" s="32">
        <v>-0.65311813985671785</v>
      </c>
      <c r="C18" s="32">
        <v>-0.62512969858617173</v>
      </c>
      <c r="D18" s="32">
        <v>-0.54860811740073989</v>
      </c>
      <c r="E18" s="32">
        <v>-0.58307888488070647</v>
      </c>
      <c r="F18" s="32">
        <v>-0.834051503322079</v>
      </c>
      <c r="G18" s="32">
        <v>-0.55423448283353216</v>
      </c>
      <c r="H18" s="32">
        <v>-0.54842922811852601</v>
      </c>
      <c r="I18" s="32">
        <v>-0.54258933782773677</v>
      </c>
      <c r="J18" s="32">
        <v>-0.98216291162619895</v>
      </c>
      <c r="K18" s="32">
        <v>-0.48585021663279826</v>
      </c>
      <c r="L18" s="32">
        <v>-0.56510400012666462</v>
      </c>
      <c r="M18" s="32">
        <v>-0.64713007878562256</v>
      </c>
      <c r="N18" s="32">
        <v>-0.67604730752982756</v>
      </c>
      <c r="O18" s="32">
        <v>-0.50152142206447381</v>
      </c>
      <c r="P18" s="32">
        <v>-0.59177378217043131</v>
      </c>
      <c r="Q18" s="32">
        <v>-0.60176385809993882</v>
      </c>
      <c r="R18" s="32">
        <v>-0.56150212659076504</v>
      </c>
      <c r="S18" s="32">
        <v>-0.45795069756125928</v>
      </c>
      <c r="T18" s="32">
        <v>-0.69642688370470651</v>
      </c>
      <c r="U18" s="32">
        <v>-0.43161398891317304</v>
      </c>
      <c r="V18" s="32">
        <v>-0.43132487951038168</v>
      </c>
      <c r="W18" s="32">
        <v>-0.92617473309354015</v>
      </c>
      <c r="X18" s="32">
        <v>-0.50150208805724938</v>
      </c>
      <c r="Y18" s="32">
        <v>-0.51173569274475006</v>
      </c>
      <c r="Z18" s="32">
        <v>-0.63969498576765949</v>
      </c>
      <c r="AA18" s="32">
        <v>-0.68688982390819864</v>
      </c>
      <c r="AB18" s="32">
        <v>2.0597792584186342E-2</v>
      </c>
    </row>
    <row r="19" spans="1:28" ht="15" customHeight="1" x14ac:dyDescent="0.2">
      <c r="A19" s="41" t="s">
        <v>411</v>
      </c>
      <c r="B19" s="32">
        <v>3.4657473714900656E-3</v>
      </c>
      <c r="C19" s="32">
        <v>2.5251965045295098E-4</v>
      </c>
      <c r="D19" s="32">
        <v>2.4289857157523851E-3</v>
      </c>
      <c r="E19" s="32">
        <v>1.0094925563518401E-3</v>
      </c>
      <c r="F19" s="32">
        <v>0</v>
      </c>
      <c r="G19" s="32">
        <v>5.7900218844678646E-3</v>
      </c>
      <c r="H19" s="32">
        <v>3.4461780992579702E-3</v>
      </c>
      <c r="I19" s="32">
        <v>8.0899286407155532E-3</v>
      </c>
      <c r="J19" s="32">
        <v>0</v>
      </c>
      <c r="K19" s="32">
        <v>6.7086466651384274E-3</v>
      </c>
      <c r="L19" s="32">
        <v>8.3404648912402564E-4</v>
      </c>
      <c r="M19" s="32">
        <v>5.6743131214552567E-3</v>
      </c>
      <c r="N19" s="32">
        <v>0</v>
      </c>
      <c r="O19" s="32">
        <v>6.5135524391469008E-3</v>
      </c>
      <c r="P19" s="32">
        <v>2.7008517304040192E-3</v>
      </c>
      <c r="Q19" s="32">
        <v>8.8702829097111915E-4</v>
      </c>
      <c r="R19" s="32">
        <v>3.6885316933132758E-3</v>
      </c>
      <c r="S19" s="32">
        <v>2.342606202189795E-2</v>
      </c>
      <c r="T19" s="32">
        <v>2.2601034749171159E-3</v>
      </c>
      <c r="U19" s="32">
        <v>9.2007612594185717E-3</v>
      </c>
      <c r="V19" s="32">
        <v>2.3880508826738523E-2</v>
      </c>
      <c r="W19" s="32">
        <v>0</v>
      </c>
      <c r="X19" s="32">
        <v>6.2045593886330538E-3</v>
      </c>
      <c r="Y19" s="32">
        <v>5.0938611463524483E-3</v>
      </c>
      <c r="Z19" s="32">
        <v>0</v>
      </c>
      <c r="AA19" s="32">
        <v>0</v>
      </c>
      <c r="AB19" s="32">
        <v>9.9432867517055448E-2</v>
      </c>
    </row>
    <row r="20" spans="1:28" ht="15" customHeight="1" x14ac:dyDescent="0.2">
      <c r="A20" s="41" t="s">
        <v>412</v>
      </c>
      <c r="B20" s="32">
        <v>-0.95808920453685009</v>
      </c>
      <c r="C20" s="32">
        <v>-0.95906719843617583</v>
      </c>
      <c r="D20" s="32">
        <v>-0.93546433615217339</v>
      </c>
      <c r="E20" s="32">
        <v>-0.94742281496152525</v>
      </c>
      <c r="F20" s="32">
        <v>-0.9925305327593763</v>
      </c>
      <c r="G20" s="32">
        <v>-0.92604134928483073</v>
      </c>
      <c r="H20" s="32">
        <v>-0.92608601428587112</v>
      </c>
      <c r="I20" s="32">
        <v>-0.92194448529813622</v>
      </c>
      <c r="J20" s="32">
        <v>-0.99996152841296748</v>
      </c>
      <c r="K20" s="32">
        <v>-0.89520490582940626</v>
      </c>
      <c r="L20" s="32">
        <v>-0.93847369195600683</v>
      </c>
      <c r="M20" s="32">
        <v>-0.95095337574778782</v>
      </c>
      <c r="N20" s="32">
        <v>-0.97490245326382574</v>
      </c>
      <c r="O20" s="32">
        <v>-0.90052380400457299</v>
      </c>
      <c r="P20" s="32">
        <v>-0.94321091574912796</v>
      </c>
      <c r="Q20" s="32">
        <v>-0.94816173685528271</v>
      </c>
      <c r="R20" s="32">
        <v>-0.92973884061311296</v>
      </c>
      <c r="S20" s="32">
        <v>-0.8615396091967773</v>
      </c>
      <c r="T20" s="32">
        <v>-0.96828723318001342</v>
      </c>
      <c r="U20" s="32">
        <v>-0.85791599311122646</v>
      </c>
      <c r="V20" s="32">
        <v>-0.85013814005161903</v>
      </c>
      <c r="W20" s="32">
        <v>-0.99918908810211748</v>
      </c>
      <c r="X20" s="32">
        <v>-0.89727179539588409</v>
      </c>
      <c r="Y20" s="32">
        <v>-0.90619380105094371</v>
      </c>
      <c r="Z20" s="32">
        <v>-0.96297932642262052</v>
      </c>
      <c r="AA20" s="32">
        <v>-0.97428192206679776</v>
      </c>
      <c r="AB20" s="32">
        <v>-0.8988089189647942</v>
      </c>
    </row>
    <row r="21" spans="1:28" ht="15" customHeight="1" x14ac:dyDescent="0.2">
      <c r="A21" s="41" t="s">
        <v>413</v>
      </c>
      <c r="B21" s="32">
        <v>-0.92581889018740327</v>
      </c>
      <c r="C21" s="32">
        <v>-0.92567925111351701</v>
      </c>
      <c r="D21" s="32">
        <v>-0.87783910177280644</v>
      </c>
      <c r="E21" s="32">
        <v>-0.90299725363419325</v>
      </c>
      <c r="F21" s="32">
        <v>-0.98536411672351598</v>
      </c>
      <c r="G21" s="32">
        <v>-0.87286860274572764</v>
      </c>
      <c r="H21" s="32">
        <v>-0.87308482985897951</v>
      </c>
      <c r="I21" s="32">
        <v>-0.85012246526601898</v>
      </c>
      <c r="J21" s="32">
        <v>-0.99992301407300865</v>
      </c>
      <c r="K21" s="32">
        <v>-0.82123651167441902</v>
      </c>
      <c r="L21" s="32">
        <v>-0.89118034430251947</v>
      </c>
      <c r="M21" s="32">
        <v>-0.91504194211117607</v>
      </c>
      <c r="N21" s="32">
        <v>-0.95182645773120411</v>
      </c>
      <c r="O21" s="32">
        <v>-0.83664118783991215</v>
      </c>
      <c r="P21" s="32">
        <v>-0.90098636604388971</v>
      </c>
      <c r="Q21" s="32">
        <v>-0.90906813564880284</v>
      </c>
      <c r="R21" s="32">
        <v>-0.88146267650961085</v>
      </c>
      <c r="S21" s="32">
        <v>-0.7843201819579706</v>
      </c>
      <c r="T21" s="32">
        <v>-0.94287203100714245</v>
      </c>
      <c r="U21" s="32">
        <v>-0.77061884483413123</v>
      </c>
      <c r="V21" s="32">
        <v>-0.7609038275833333</v>
      </c>
      <c r="W21" s="32">
        <v>-0.99838313725143968</v>
      </c>
      <c r="X21" s="32">
        <v>-0.83560020231517207</v>
      </c>
      <c r="Y21" s="32">
        <v>-0.8446201321441883</v>
      </c>
      <c r="Z21" s="32">
        <v>-0.93230909479981849</v>
      </c>
      <c r="AA21" s="32">
        <v>-0.95214697085536715</v>
      </c>
      <c r="AB21" s="32">
        <v>-0.89786334090948661</v>
      </c>
    </row>
    <row r="22" spans="1:28" ht="15" customHeight="1" x14ac:dyDescent="0.2">
      <c r="A22" s="41" t="s">
        <v>414</v>
      </c>
      <c r="B22" s="32">
        <v>3.4657473714945208E-3</v>
      </c>
      <c r="C22" s="32">
        <v>2.525196504591376E-4</v>
      </c>
      <c r="D22" s="32">
        <v>2.4289857157566708E-3</v>
      </c>
      <c r="E22" s="32">
        <v>1.0094925563598478E-3</v>
      </c>
      <c r="F22" s="32">
        <v>4.8849813083506888E-15</v>
      </c>
      <c r="G22" s="32">
        <v>5.7900218844756379E-3</v>
      </c>
      <c r="H22" s="32">
        <v>3.446178099261954E-3</v>
      </c>
      <c r="I22" s="32">
        <v>8.0899286407203341E-3</v>
      </c>
      <c r="J22" s="32">
        <v>6.5503158452884236E-15</v>
      </c>
      <c r="K22" s="32">
        <v>6.7086466651427035E-3</v>
      </c>
      <c r="L22" s="32">
        <v>8.340464891286592E-4</v>
      </c>
      <c r="M22" s="32">
        <v>5.6743131214632703E-3</v>
      </c>
      <c r="N22" s="32">
        <v>3.3306690738754696E-15</v>
      </c>
      <c r="O22" s="32">
        <v>6.5135524391515265E-3</v>
      </c>
      <c r="P22" s="32">
        <v>2.7008517304085711E-3</v>
      </c>
      <c r="Q22" s="32">
        <v>8.870282909766436E-4</v>
      </c>
      <c r="R22" s="32">
        <v>3.6885316933177315E-3</v>
      </c>
      <c r="S22" s="32">
        <v>2.342606202190245E-2</v>
      </c>
      <c r="T22" s="32">
        <v>2.2601034749214488E-3</v>
      </c>
      <c r="U22" s="32">
        <v>9.2007612594217081E-3</v>
      </c>
      <c r="V22" s="32">
        <v>2.3880508826741753E-2</v>
      </c>
      <c r="W22" s="32">
        <v>6.6613381477509392E-15</v>
      </c>
      <c r="X22" s="32">
        <v>6.2045593886381756E-3</v>
      </c>
      <c r="Y22" s="32">
        <v>5.093861146357237E-3</v>
      </c>
      <c r="Z22" s="32">
        <v>5.440092820663267E-15</v>
      </c>
      <c r="AA22" s="32">
        <v>3.9968028886505635E-15</v>
      </c>
      <c r="AB22" s="32">
        <v>9.9432867517061596E-2</v>
      </c>
    </row>
    <row r="23" spans="1:28" ht="15" customHeight="1" x14ac:dyDescent="0.2">
      <c r="A23" s="42" t="s">
        <v>415</v>
      </c>
      <c r="B23" s="43">
        <v>3.3320431621073759E-3</v>
      </c>
      <c r="C23" s="43">
        <v>2.4224448520272313E-4</v>
      </c>
      <c r="D23" s="43">
        <v>2.2777621618644763E-3</v>
      </c>
      <c r="E23" s="43">
        <v>9.5738275018146198E-4</v>
      </c>
      <c r="F23" s="43">
        <v>0</v>
      </c>
      <c r="G23" s="43">
        <v>5.3930254134487215E-3</v>
      </c>
      <c r="H23" s="43">
        <v>3.2024937041272602E-3</v>
      </c>
      <c r="I23" s="43">
        <v>7.5192956620980028E-3</v>
      </c>
      <c r="J23" s="43">
        <v>0</v>
      </c>
      <c r="K23" s="43">
        <v>6.0461750582494001E-3</v>
      </c>
      <c r="L23" s="43">
        <v>7.8338406664159169E-4</v>
      </c>
      <c r="M23" s="43">
        <v>5.4268005836572543E-3</v>
      </c>
      <c r="N23" s="43">
        <v>0</v>
      </c>
      <c r="O23" s="43">
        <v>5.9040654600621299E-3</v>
      </c>
      <c r="P23" s="43">
        <v>2.5543718134695081E-3</v>
      </c>
      <c r="Q23" s="43">
        <v>8.4179297919464058E-4</v>
      </c>
      <c r="R23" s="43">
        <v>3.4420673546339091E-3</v>
      </c>
      <c r="S23" s="43">
        <v>2.0666617789484851E-2</v>
      </c>
      <c r="T23" s="43">
        <v>2.1933866211523408E-3</v>
      </c>
      <c r="U23" s="43">
        <v>7.966780680298987E-3</v>
      </c>
      <c r="V23" s="43">
        <v>2.07984079213989E-2</v>
      </c>
      <c r="W23" s="43">
        <v>0</v>
      </c>
      <c r="X23" s="43">
        <v>5.6019336724410411E-3</v>
      </c>
      <c r="Y23" s="43">
        <v>4.6396591738367896E-3</v>
      </c>
      <c r="Z23" s="43">
        <v>0</v>
      </c>
      <c r="AA23" s="43">
        <v>0</v>
      </c>
      <c r="AB23" s="43">
        <v>9.9238740721272534E-2</v>
      </c>
    </row>
    <row r="24" spans="1:28" ht="15" customHeight="1" x14ac:dyDescent="0.2">
      <c r="A24" s="41"/>
      <c r="B24" s="31" t="s">
        <v>327</v>
      </c>
      <c r="C24" s="31" t="s">
        <v>328</v>
      </c>
      <c r="D24" s="31" t="s">
        <v>329</v>
      </c>
      <c r="E24" s="31" t="s">
        <v>330</v>
      </c>
      <c r="F24" s="31" t="s">
        <v>331</v>
      </c>
      <c r="G24" s="31" t="s">
        <v>332</v>
      </c>
      <c r="H24" s="31" t="s">
        <v>333</v>
      </c>
      <c r="I24" s="31" t="s">
        <v>334</v>
      </c>
      <c r="J24" s="31" t="s">
        <v>335</v>
      </c>
      <c r="K24" s="31" t="s">
        <v>336</v>
      </c>
      <c r="L24" s="31" t="s">
        <v>337</v>
      </c>
      <c r="M24" s="31" t="s">
        <v>338</v>
      </c>
      <c r="N24" s="31" t="s">
        <v>339</v>
      </c>
      <c r="O24" s="31" t="s">
        <v>340</v>
      </c>
      <c r="P24" s="31" t="s">
        <v>341</v>
      </c>
      <c r="Q24" s="31" t="s">
        <v>342</v>
      </c>
      <c r="R24" s="31" t="s">
        <v>343</v>
      </c>
      <c r="S24" s="31" t="s">
        <v>344</v>
      </c>
      <c r="T24" s="31" t="s">
        <v>345</v>
      </c>
      <c r="U24" s="31" t="s">
        <v>346</v>
      </c>
      <c r="V24" s="31" t="s">
        <v>347</v>
      </c>
      <c r="W24" s="31" t="s">
        <v>348</v>
      </c>
      <c r="X24" s="31" t="s">
        <v>349</v>
      </c>
      <c r="Y24" s="31" t="s">
        <v>350</v>
      </c>
      <c r="Z24" s="31" t="s">
        <v>351</v>
      </c>
      <c r="AA24" s="31" t="s">
        <v>352</v>
      </c>
      <c r="AB24" s="31" t="s">
        <v>353</v>
      </c>
    </row>
    <row r="25" spans="1:28" ht="15" customHeight="1" x14ac:dyDescent="0.2">
      <c r="A25" s="41" t="s">
        <v>355</v>
      </c>
      <c r="B25" s="32">
        <v>-1.3076274666608878E-2</v>
      </c>
      <c r="C25" s="32">
        <v>-1.0815551008476976E-2</v>
      </c>
      <c r="D25" s="32">
        <v>-3.0809901465993716E-2</v>
      </c>
      <c r="E25" s="32">
        <v>-1.7752079529316345E-2</v>
      </c>
      <c r="F25" s="32">
        <v>-9.6912575150299718E-3</v>
      </c>
      <c r="G25" s="32">
        <v>-2.0091193286762676E-2</v>
      </c>
      <c r="H25" s="32">
        <v>-2.2838011250156831E-2</v>
      </c>
      <c r="I25" s="32">
        <v>-4.2732140928100626E-2</v>
      </c>
      <c r="J25" s="32">
        <v>-4.1218522573571725E-4</v>
      </c>
      <c r="K25" s="32">
        <v>-3.1579713308593549E-2</v>
      </c>
      <c r="L25" s="32">
        <v>-1.5535523864527057E-2</v>
      </c>
      <c r="M25" s="32">
        <v>-1.6143987418816397E-2</v>
      </c>
      <c r="N25" s="32">
        <v>-1.0693857249440386E-2</v>
      </c>
      <c r="O25" s="32">
        <v>-1.8493431208846611E-2</v>
      </c>
      <c r="P25" s="32">
        <v>-1.566589684372599E-2</v>
      </c>
      <c r="Q25" s="32">
        <v>-1.2486257264017642E-2</v>
      </c>
      <c r="R25" s="32">
        <v>-1.4626790650917321E-2</v>
      </c>
      <c r="S25" s="32">
        <v>-2.4477769803195715E-2</v>
      </c>
      <c r="T25" s="32">
        <v>-1.3426849006591524E-2</v>
      </c>
      <c r="U25" s="32">
        <v>-3.3031031785124454E-2</v>
      </c>
      <c r="V25" s="32">
        <v>-2.8082609231425026E-2</v>
      </c>
      <c r="W25" s="32">
        <v>-1.1717709720372449E-3</v>
      </c>
      <c r="X25" s="32">
        <v>-1.66927676537586E-2</v>
      </c>
      <c r="Y25" s="32">
        <v>-2.0662768031188938E-2</v>
      </c>
      <c r="Z25" s="32">
        <v>-1.3114754098360715E-2</v>
      </c>
      <c r="AA25" s="32">
        <v>-9.8923320762966949E-3</v>
      </c>
      <c r="AB25" s="32">
        <v>-2.901107062455055E-3</v>
      </c>
    </row>
    <row r="26" spans="1:28" ht="15" customHeight="1" x14ac:dyDescent="0.2">
      <c r="A26" s="41" t="s">
        <v>354</v>
      </c>
      <c r="B26" s="32">
        <v>-3.5575834114057181E-4</v>
      </c>
      <c r="C26" s="32">
        <v>-1.7674653296160803E-3</v>
      </c>
      <c r="D26" s="32">
        <v>-1.4682840633183092E-3</v>
      </c>
      <c r="E26" s="32">
        <v>-1.3314581521211566E-3</v>
      </c>
      <c r="F26" s="32">
        <v>-4.244074589184188E-4</v>
      </c>
      <c r="G26" s="32">
        <v>-1.7236152652017334E-3</v>
      </c>
      <c r="H26" s="32">
        <v>-2.2606718461630204E-3</v>
      </c>
      <c r="I26" s="32">
        <v>-2.1758252879476025E-3</v>
      </c>
      <c r="J26" s="32">
        <v>-3.8665897655776327E-5</v>
      </c>
      <c r="K26" s="32">
        <v>-2.6911057867544663E-3</v>
      </c>
      <c r="L26" s="32">
        <v>-2.1289816841071341E-3</v>
      </c>
      <c r="M26" s="32">
        <v>-9.6222613663610179E-4</v>
      </c>
      <c r="N26" s="32">
        <v>-1.2695628964251859E-3</v>
      </c>
      <c r="O26" s="32">
        <v>-2.5724859832418345E-3</v>
      </c>
      <c r="P26" s="32">
        <v>-2.4314030890007221E-3</v>
      </c>
      <c r="Q26" s="32">
        <v>-2.3722938254165382E-3</v>
      </c>
      <c r="R26" s="32">
        <v>-2.4965820640733827E-3</v>
      </c>
      <c r="S26" s="32">
        <v>-3.8219209827178025E-3</v>
      </c>
      <c r="T26" s="32">
        <v>-1.1887735993437731E-3</v>
      </c>
      <c r="U26" s="32">
        <v>-3.7369641484270022E-3</v>
      </c>
      <c r="V26" s="32">
        <v>-2.8046942022218746E-3</v>
      </c>
      <c r="W26" s="32">
        <v>-2.6661512111197938E-5</v>
      </c>
      <c r="X26" s="32">
        <v>-3.2263222536615399E-3</v>
      </c>
      <c r="Y26" s="32">
        <v>-2.848207789070939E-3</v>
      </c>
      <c r="Z26" s="32">
        <v>-1.995786397885474E-3</v>
      </c>
      <c r="AA26" s="32">
        <v>-1.3943087977862367E-3</v>
      </c>
      <c r="AB26" s="32">
        <v>-4.6512709597990032E-5</v>
      </c>
    </row>
    <row r="27" spans="1:28" ht="15" customHeight="1" x14ac:dyDescent="0.2">
      <c r="A27" s="41" t="s">
        <v>357</v>
      </c>
      <c r="B27" s="32">
        <v>4.2984292843750715E-4</v>
      </c>
      <c r="C27" s="32">
        <v>0</v>
      </c>
      <c r="D27" s="32">
        <v>2.1529279745147178E-4</v>
      </c>
      <c r="E27" s="32">
        <v>0</v>
      </c>
      <c r="F27" s="32">
        <v>0</v>
      </c>
      <c r="G27" s="32">
        <v>0</v>
      </c>
      <c r="H27" s="32">
        <v>1.0325787729958957E-4</v>
      </c>
      <c r="I27" s="32">
        <v>1.1112637137733472E-4</v>
      </c>
      <c r="J27" s="32">
        <v>0</v>
      </c>
      <c r="K27" s="32">
        <v>1.0685238185115242E-4</v>
      </c>
      <c r="L27" s="32">
        <v>0</v>
      </c>
      <c r="M27" s="32">
        <v>0</v>
      </c>
      <c r="N27" s="32">
        <v>8.9156487922625871E-5</v>
      </c>
      <c r="O27" s="32">
        <v>1.3138906646359416E-4</v>
      </c>
      <c r="P27" s="32">
        <v>1.5474526011916012E-5</v>
      </c>
      <c r="Q27" s="32">
        <v>0</v>
      </c>
      <c r="R27" s="32">
        <v>1.2831698696502691E-4</v>
      </c>
      <c r="S27" s="32">
        <v>1.70316255546199E-4</v>
      </c>
      <c r="T27" s="32">
        <v>-1.2352724425779282E-4</v>
      </c>
      <c r="U27" s="32">
        <v>3.1682152417999987E-5</v>
      </c>
      <c r="V27" s="32">
        <v>-1.2734475241155119E-4</v>
      </c>
      <c r="W27" s="32">
        <v>0</v>
      </c>
      <c r="X27" s="32">
        <v>6.9430319003971341E-5</v>
      </c>
      <c r="Y27" s="32">
        <v>-2.2187539736057138E-4</v>
      </c>
      <c r="Z27" s="32">
        <v>0</v>
      </c>
      <c r="AA27" s="32">
        <v>0</v>
      </c>
      <c r="AB27" s="32">
        <v>0</v>
      </c>
    </row>
    <row r="28" spans="1:28" ht="15" customHeight="1" x14ac:dyDescent="0.2">
      <c r="A28" s="41" t="s">
        <v>356</v>
      </c>
      <c r="B28" s="32">
        <v>4.0274598917026792E-4</v>
      </c>
      <c r="C28" s="32">
        <v>1.2024346493363151E-4</v>
      </c>
      <c r="D28" s="32">
        <v>4.14966903223212E-4</v>
      </c>
      <c r="E28" s="32">
        <v>-3.6686734460820132E-5</v>
      </c>
      <c r="F28" s="32">
        <v>-1.1986479343299071E-5</v>
      </c>
      <c r="G28" s="32">
        <v>2.1358255343449036E-5</v>
      </c>
      <c r="H28" s="32">
        <v>1.4649733640472752E-4</v>
      </c>
      <c r="I28" s="32">
        <v>1.5469207537420262E-4</v>
      </c>
      <c r="J28" s="32">
        <v>7.4569687755680623E-7</v>
      </c>
      <c r="K28" s="32">
        <v>1.2949622780673769E-4</v>
      </c>
      <c r="L28" s="32">
        <v>2.380176751956188E-4</v>
      </c>
      <c r="M28" s="32">
        <v>2.0083690054965329E-4</v>
      </c>
      <c r="N28" s="32">
        <v>-2.3998603368203487E-5</v>
      </c>
      <c r="O28" s="32">
        <v>9.8088237390032463E-5</v>
      </c>
      <c r="P28" s="32">
        <v>-1.237799447652235E-5</v>
      </c>
      <c r="Q28" s="32">
        <v>2.5372241701982481E-5</v>
      </c>
      <c r="R28" s="32">
        <v>2.4362394125573218E-4</v>
      </c>
      <c r="S28" s="32">
        <v>-4.8740169209237148E-5</v>
      </c>
      <c r="T28" s="32">
        <v>-1.2938948803010761E-4</v>
      </c>
      <c r="U28" s="32">
        <v>1.0703726885401906E-4</v>
      </c>
      <c r="V28" s="32">
        <v>1.6304138806951042E-4</v>
      </c>
      <c r="W28" s="32">
        <v>-5.2866962638373308E-7</v>
      </c>
      <c r="X28" s="32">
        <v>4.142900376761763E-4</v>
      </c>
      <c r="Y28" s="32">
        <v>-7.044555192135292E-5</v>
      </c>
      <c r="Z28" s="32">
        <v>8.4276967551641729E-5</v>
      </c>
      <c r="AA28" s="32">
        <v>6.61232998856578E-5</v>
      </c>
      <c r="AB28" s="32">
        <v>1.2710505762490922E-3</v>
      </c>
    </row>
    <row r="29" spans="1:28" ht="15" customHeight="1" x14ac:dyDescent="0.2">
      <c r="A29" s="41" t="s">
        <v>359</v>
      </c>
      <c r="B29" s="32">
        <v>1.1911990033577347E-3</v>
      </c>
      <c r="C29" s="32">
        <v>2.404126014227792E-3</v>
      </c>
      <c r="D29" s="32">
        <v>2.2814702597842573E-3</v>
      </c>
      <c r="E29" s="32">
        <v>1.4509313371493526E-3</v>
      </c>
      <c r="F29" s="32">
        <v>3.808844908577691E-4</v>
      </c>
      <c r="G29" s="32">
        <v>1.5829756701662423E-3</v>
      </c>
      <c r="H29" s="32">
        <v>2.3745425640639972E-3</v>
      </c>
      <c r="I29" s="32">
        <v>2.4333618704487914E-3</v>
      </c>
      <c r="J29" s="32">
        <v>5.157031777142107E-5</v>
      </c>
      <c r="K29" s="32">
        <v>3.2118424689878133E-3</v>
      </c>
      <c r="L29" s="32">
        <v>3.1323199001652147E-3</v>
      </c>
      <c r="M29" s="32">
        <v>9.734953089414744E-4</v>
      </c>
      <c r="N29" s="32">
        <v>1.5376121803433729E-3</v>
      </c>
      <c r="O29" s="32">
        <v>2.8255998225679702E-3</v>
      </c>
      <c r="P29" s="32">
        <v>2.2223848756902087E-3</v>
      </c>
      <c r="Q29" s="32">
        <v>2.1888002469099277E-3</v>
      </c>
      <c r="R29" s="32">
        <v>2.9895928682653339E-3</v>
      </c>
      <c r="S29" s="32">
        <v>3.0192500755640284E-3</v>
      </c>
      <c r="T29" s="32">
        <v>9.1454525089351701E-4</v>
      </c>
      <c r="U29" s="32">
        <v>4.3323570388379973E-3</v>
      </c>
      <c r="V29" s="32">
        <v>3.4355510618104268E-3</v>
      </c>
      <c r="W29" s="32">
        <v>2.6660978991177586E-5</v>
      </c>
      <c r="X29" s="32">
        <v>3.9432426575622403E-3</v>
      </c>
      <c r="Y29" s="32">
        <v>2.7227446044753023E-3</v>
      </c>
      <c r="Z29" s="32">
        <v>1.7761187152808833E-3</v>
      </c>
      <c r="AA29" s="32">
        <v>1.4320907934742277E-3</v>
      </c>
      <c r="AB29" s="32">
        <v>4.6512439175194764E-5</v>
      </c>
    </row>
    <row r="30" spans="1:28" ht="15" customHeight="1" x14ac:dyDescent="0.2">
      <c r="A30" s="42" t="s">
        <v>358</v>
      </c>
      <c r="B30" s="43">
        <v>1.9983237019718381E-2</v>
      </c>
      <c r="C30" s="43">
        <v>1.3644453233141896E-2</v>
      </c>
      <c r="D30" s="43">
        <v>1.635263106511764E-2</v>
      </c>
      <c r="E30" s="43">
        <v>1.4184397163120588E-2</v>
      </c>
      <c r="F30" s="43">
        <v>9.3871487720851299E-3</v>
      </c>
      <c r="G30" s="43">
        <v>2.2123398780556025E-2</v>
      </c>
      <c r="H30" s="43">
        <v>1.9818038977166053E-2</v>
      </c>
      <c r="I30" s="43">
        <v>2.7981691682176457E-2</v>
      </c>
      <c r="J30" s="43">
        <v>4.2488540969265465E-4</v>
      </c>
      <c r="K30" s="43">
        <v>2.701448677630558E-2</v>
      </c>
      <c r="L30" s="43">
        <v>1.5833028932750626E-2</v>
      </c>
      <c r="M30" s="43">
        <v>2.1824665198573623E-2</v>
      </c>
      <c r="N30" s="43">
        <v>1.1748565727113913E-2</v>
      </c>
      <c r="O30" s="43">
        <v>1.9153848655328209E-2</v>
      </c>
      <c r="P30" s="43">
        <v>1.7524308969736779E-2</v>
      </c>
      <c r="Q30" s="43">
        <v>1.6553512853764607E-2</v>
      </c>
      <c r="R30" s="43">
        <v>1.7635496477334422E-2</v>
      </c>
      <c r="S30" s="43">
        <v>2.6374045801526691E-2</v>
      </c>
      <c r="T30" s="43">
        <v>1.7058066156203644E-2</v>
      </c>
      <c r="U30" s="43">
        <v>1.9403733301878612E-2</v>
      </c>
      <c r="V30" s="43">
        <v>2.7279153318374716E-2</v>
      </c>
      <c r="W30" s="43">
        <v>1.2264704313975638E-3</v>
      </c>
      <c r="X30" s="43">
        <v>1.9886231715811276E-2</v>
      </c>
      <c r="Y30" s="43">
        <v>1.8601757660191565E-2</v>
      </c>
      <c r="Z30" s="43">
        <v>1.1645027439432631E-2</v>
      </c>
      <c r="AA30" s="43">
        <v>1.0885023520402548E-2</v>
      </c>
      <c r="AB30" s="43">
        <v>0.46626822632031839</v>
      </c>
    </row>
    <row r="31" spans="1:28" ht="15" customHeight="1" x14ac:dyDescent="0.2">
      <c r="A31" s="41"/>
      <c r="B31" s="31" t="s">
        <v>327</v>
      </c>
      <c r="C31" s="31" t="s">
        <v>328</v>
      </c>
      <c r="D31" s="31" t="s">
        <v>329</v>
      </c>
      <c r="E31" s="31" t="s">
        <v>330</v>
      </c>
      <c r="F31" s="31" t="s">
        <v>331</v>
      </c>
      <c r="G31" s="31" t="s">
        <v>332</v>
      </c>
      <c r="H31" s="31" t="s">
        <v>333</v>
      </c>
      <c r="I31" s="31" t="s">
        <v>334</v>
      </c>
      <c r="J31" s="31" t="s">
        <v>335</v>
      </c>
      <c r="K31" s="31" t="s">
        <v>336</v>
      </c>
      <c r="L31" s="31" t="s">
        <v>337</v>
      </c>
      <c r="M31" s="31" t="s">
        <v>338</v>
      </c>
      <c r="N31" s="31" t="s">
        <v>339</v>
      </c>
      <c r="O31" s="31" t="s">
        <v>340</v>
      </c>
      <c r="P31" s="31" t="s">
        <v>341</v>
      </c>
      <c r="Q31" s="31" t="s">
        <v>342</v>
      </c>
      <c r="R31" s="31" t="s">
        <v>343</v>
      </c>
      <c r="S31" s="31" t="s">
        <v>344</v>
      </c>
      <c r="T31" s="31" t="s">
        <v>345</v>
      </c>
      <c r="U31" s="31" t="s">
        <v>346</v>
      </c>
      <c r="V31" s="31" t="s">
        <v>347</v>
      </c>
      <c r="W31" s="31" t="s">
        <v>348</v>
      </c>
      <c r="X31" s="31" t="s">
        <v>349</v>
      </c>
      <c r="Y31" s="31" t="s">
        <v>350</v>
      </c>
      <c r="Z31" s="31" t="s">
        <v>351</v>
      </c>
      <c r="AA31" s="31" t="s">
        <v>352</v>
      </c>
      <c r="AB31" s="31" t="s">
        <v>353</v>
      </c>
    </row>
    <row r="32" spans="1:28" ht="15" customHeight="1" x14ac:dyDescent="0.2">
      <c r="A32" s="41" t="s">
        <v>375</v>
      </c>
      <c r="B32" s="32">
        <v>366</v>
      </c>
      <c r="C32" s="32">
        <v>366</v>
      </c>
      <c r="D32" s="32">
        <v>366</v>
      </c>
      <c r="E32" s="32">
        <v>366</v>
      </c>
      <c r="F32" s="32">
        <v>366</v>
      </c>
      <c r="G32" s="32">
        <v>366</v>
      </c>
      <c r="H32" s="32">
        <v>366</v>
      </c>
      <c r="I32" s="32">
        <v>366</v>
      </c>
      <c r="J32" s="32">
        <v>366</v>
      </c>
      <c r="K32" s="32">
        <v>366</v>
      </c>
      <c r="L32" s="32">
        <v>366</v>
      </c>
      <c r="M32" s="32">
        <v>366</v>
      </c>
      <c r="N32" s="32">
        <v>366</v>
      </c>
      <c r="O32" s="32">
        <v>366</v>
      </c>
      <c r="P32" s="32">
        <v>366</v>
      </c>
      <c r="Q32" s="32">
        <v>366</v>
      </c>
      <c r="R32" s="32">
        <v>366</v>
      </c>
      <c r="S32" s="32">
        <v>366</v>
      </c>
      <c r="T32" s="32">
        <v>366</v>
      </c>
      <c r="U32" s="32">
        <v>366</v>
      </c>
      <c r="V32" s="32">
        <v>366</v>
      </c>
      <c r="W32" s="32">
        <v>366</v>
      </c>
      <c r="X32" s="32">
        <v>366</v>
      </c>
      <c r="Y32" s="32">
        <v>366</v>
      </c>
      <c r="Z32" s="32">
        <v>366</v>
      </c>
      <c r="AA32" s="32">
        <v>366</v>
      </c>
      <c r="AB32" s="32">
        <v>366</v>
      </c>
    </row>
    <row r="33" spans="1:28" ht="15" customHeight="1" x14ac:dyDescent="0.2">
      <c r="A33" s="41" t="s">
        <v>376</v>
      </c>
      <c r="B33" s="32">
        <v>-1.3076274666608878E-2</v>
      </c>
      <c r="C33" s="32">
        <v>-1.0815551008476976E-2</v>
      </c>
      <c r="D33" s="32">
        <v>-3.0809901465993716E-2</v>
      </c>
      <c r="E33" s="32">
        <v>-1.7752079529316345E-2</v>
      </c>
      <c r="F33" s="32">
        <v>-9.6912575150299718E-3</v>
      </c>
      <c r="G33" s="32">
        <v>-2.0091193286762676E-2</v>
      </c>
      <c r="H33" s="32">
        <v>-2.2838011250156831E-2</v>
      </c>
      <c r="I33" s="32">
        <v>-4.2732140928100626E-2</v>
      </c>
      <c r="J33" s="32">
        <v>-4.1218522573571725E-4</v>
      </c>
      <c r="K33" s="32">
        <v>-3.1579713308593549E-2</v>
      </c>
      <c r="L33" s="32">
        <v>-1.5535523864527057E-2</v>
      </c>
      <c r="M33" s="32">
        <v>-1.6143987418816397E-2</v>
      </c>
      <c r="N33" s="32">
        <v>-1.0693857249440386E-2</v>
      </c>
      <c r="O33" s="32">
        <v>-1.8493431208846611E-2</v>
      </c>
      <c r="P33" s="32">
        <v>-1.566589684372599E-2</v>
      </c>
      <c r="Q33" s="32">
        <v>-1.2486257264017642E-2</v>
      </c>
      <c r="R33" s="32">
        <v>-1.4626790650917321E-2</v>
      </c>
      <c r="S33" s="32">
        <v>-2.4477769803195715E-2</v>
      </c>
      <c r="T33" s="32">
        <v>-1.3426849006591524E-2</v>
      </c>
      <c r="U33" s="32">
        <v>-3.3031031785124454E-2</v>
      </c>
      <c r="V33" s="32">
        <v>-2.8082609231425026E-2</v>
      </c>
      <c r="W33" s="32">
        <v>-1.1717709720372449E-3</v>
      </c>
      <c r="X33" s="32">
        <v>-1.66927676537586E-2</v>
      </c>
      <c r="Y33" s="32">
        <v>-2.0662768031188938E-2</v>
      </c>
      <c r="Z33" s="32">
        <v>-1.3114754098360715E-2</v>
      </c>
      <c r="AA33" s="32">
        <v>-9.8923320762966949E-3</v>
      </c>
      <c r="AB33" s="32">
        <v>-2.901107062455055E-3</v>
      </c>
    </row>
    <row r="34" spans="1:28" ht="15" customHeight="1" x14ac:dyDescent="0.2">
      <c r="A34" s="41" t="s">
        <v>377</v>
      </c>
      <c r="B34" s="32">
        <v>1.9983237019718381E-2</v>
      </c>
      <c r="C34" s="32">
        <v>1.3644453233141896E-2</v>
      </c>
      <c r="D34" s="32">
        <v>1.635263106511764E-2</v>
      </c>
      <c r="E34" s="32">
        <v>1.4184397163120588E-2</v>
      </c>
      <c r="F34" s="32">
        <v>9.3871487720851299E-3</v>
      </c>
      <c r="G34" s="32">
        <v>2.2123398780556025E-2</v>
      </c>
      <c r="H34" s="32">
        <v>1.9818038977166053E-2</v>
      </c>
      <c r="I34" s="32">
        <v>2.7981691682176457E-2</v>
      </c>
      <c r="J34" s="32">
        <v>4.2488540969265465E-4</v>
      </c>
      <c r="K34" s="32">
        <v>2.701448677630558E-2</v>
      </c>
      <c r="L34" s="32">
        <v>1.5833028932750626E-2</v>
      </c>
      <c r="M34" s="32">
        <v>2.1824665198573623E-2</v>
      </c>
      <c r="N34" s="32">
        <v>1.1748565727113913E-2</v>
      </c>
      <c r="O34" s="32">
        <v>1.9153848655328209E-2</v>
      </c>
      <c r="P34" s="32">
        <v>1.7524308969736779E-2</v>
      </c>
      <c r="Q34" s="32">
        <v>1.6553512853764607E-2</v>
      </c>
      <c r="R34" s="32">
        <v>1.7635496477334422E-2</v>
      </c>
      <c r="S34" s="32">
        <v>2.6374045801526691E-2</v>
      </c>
      <c r="T34" s="32">
        <v>1.7058066156203644E-2</v>
      </c>
      <c r="U34" s="32">
        <v>1.9403733301878612E-2</v>
      </c>
      <c r="V34" s="32">
        <v>2.7279153318374716E-2</v>
      </c>
      <c r="W34" s="32">
        <v>1.2264704313975638E-3</v>
      </c>
      <c r="X34" s="32">
        <v>1.9886231715811276E-2</v>
      </c>
      <c r="Y34" s="32">
        <v>1.8601757660191565E-2</v>
      </c>
      <c r="Z34" s="32">
        <v>1.1645027439432631E-2</v>
      </c>
      <c r="AA34" s="32">
        <v>1.0885023520402548E-2</v>
      </c>
      <c r="AB34" s="32">
        <v>0.46626822632031839</v>
      </c>
    </row>
    <row r="35" spans="1:28" ht="15" customHeight="1" x14ac:dyDescent="0.2">
      <c r="A35" s="41" t="s">
        <v>356</v>
      </c>
      <c r="B35" s="32">
        <v>4.0274598917026792E-4</v>
      </c>
      <c r="C35" s="32">
        <v>1.2024346493363151E-4</v>
      </c>
      <c r="D35" s="32">
        <v>4.14966903223212E-4</v>
      </c>
      <c r="E35" s="32">
        <v>-3.6686734460820132E-5</v>
      </c>
      <c r="F35" s="32">
        <v>-1.1986479343299071E-5</v>
      </c>
      <c r="G35" s="32">
        <v>2.1358255343449036E-5</v>
      </c>
      <c r="H35" s="32">
        <v>1.4649733640472752E-4</v>
      </c>
      <c r="I35" s="32">
        <v>1.5469207537420262E-4</v>
      </c>
      <c r="J35" s="32">
        <v>7.4569687755680623E-7</v>
      </c>
      <c r="K35" s="32">
        <v>1.2949622780673769E-4</v>
      </c>
      <c r="L35" s="32">
        <v>2.380176751956188E-4</v>
      </c>
      <c r="M35" s="32">
        <v>2.0083690054965329E-4</v>
      </c>
      <c r="N35" s="32">
        <v>-2.3998603368203487E-5</v>
      </c>
      <c r="O35" s="32">
        <v>9.8088237390032463E-5</v>
      </c>
      <c r="P35" s="32">
        <v>-1.237799447652235E-5</v>
      </c>
      <c r="Q35" s="32">
        <v>2.5372241701982481E-5</v>
      </c>
      <c r="R35" s="32">
        <v>2.4362394125573218E-4</v>
      </c>
      <c r="S35" s="32">
        <v>-4.8740169209237148E-5</v>
      </c>
      <c r="T35" s="32">
        <v>-1.2938948803010761E-4</v>
      </c>
      <c r="U35" s="32">
        <v>1.0703726885401906E-4</v>
      </c>
      <c r="V35" s="32">
        <v>1.6304138806951042E-4</v>
      </c>
      <c r="W35" s="32">
        <v>-5.2866962638373308E-7</v>
      </c>
      <c r="X35" s="32">
        <v>4.142900376761763E-4</v>
      </c>
      <c r="Y35" s="32">
        <v>-7.044555192135292E-5</v>
      </c>
      <c r="Z35" s="32">
        <v>8.4276967551641729E-5</v>
      </c>
      <c r="AA35" s="32">
        <v>6.61232998856578E-5</v>
      </c>
      <c r="AB35" s="32">
        <v>1.2710505762490922E-3</v>
      </c>
    </row>
    <row r="36" spans="1:28" ht="15" customHeight="1" x14ac:dyDescent="0.2">
      <c r="A36" s="41" t="s">
        <v>378</v>
      </c>
      <c r="B36" s="32">
        <v>2.175127896575832E-3</v>
      </c>
      <c r="C36" s="32">
        <v>2.6691885722931728E-3</v>
      </c>
      <c r="D36" s="32">
        <v>2.958721440122259E-3</v>
      </c>
      <c r="E36" s="32">
        <v>2.6110439919079052E-3</v>
      </c>
      <c r="F36" s="32">
        <v>8.0143789675428043E-4</v>
      </c>
      <c r="G36" s="32">
        <v>3.1659560136773697E-3</v>
      </c>
      <c r="H36" s="32">
        <v>3.5611866769503313E-3</v>
      </c>
      <c r="I36" s="32">
        <v>3.3424890270306556E-3</v>
      </c>
      <c r="J36" s="32">
        <v>7.1304191591712243E-5</v>
      </c>
      <c r="K36" s="32">
        <v>4.3277591563614676E-3</v>
      </c>
      <c r="L36" s="32">
        <v>3.3192786797513365E-3</v>
      </c>
      <c r="M36" s="32">
        <v>2.4111817868910303E-3</v>
      </c>
      <c r="N36" s="32">
        <v>2.0130746455043992E-3</v>
      </c>
      <c r="O36" s="32">
        <v>4.3190586927694431E-3</v>
      </c>
      <c r="P36" s="32">
        <v>3.1098254505261495E-3</v>
      </c>
      <c r="Q36" s="32">
        <v>3.0643978422475425E-3</v>
      </c>
      <c r="R36" s="32">
        <v>3.5793237632404983E-3</v>
      </c>
      <c r="S36" s="32">
        <v>5.3099076975222969E-3</v>
      </c>
      <c r="T36" s="32">
        <v>1.9593408316196203E-3</v>
      </c>
      <c r="U36" s="32">
        <v>5.5568555953101869E-3</v>
      </c>
      <c r="V36" s="32">
        <v>5.2573190705444599E-3</v>
      </c>
      <c r="W36" s="32">
        <v>2.5027423827744447E-4</v>
      </c>
      <c r="X36" s="32">
        <v>4.4746137495681026E-3</v>
      </c>
      <c r="Y36" s="32">
        <v>4.2551250853277685E-3</v>
      </c>
      <c r="Z36" s="32">
        <v>2.5067177160983676E-3</v>
      </c>
      <c r="AA36" s="32">
        <v>2.0668727842859664E-3</v>
      </c>
      <c r="AB36" s="32">
        <v>2.5512376918620729E-3</v>
      </c>
    </row>
    <row r="37" spans="1:28" ht="15" customHeight="1" x14ac:dyDescent="0.2">
      <c r="A37" s="41" t="s">
        <v>379</v>
      </c>
      <c r="B37" s="32">
        <v>1.3366854466322427E-5</v>
      </c>
      <c r="C37" s="32">
        <v>1.3401439808923634E-5</v>
      </c>
      <c r="D37" s="32">
        <v>2.0983877523922229E-5</v>
      </c>
      <c r="E37" s="32">
        <v>1.7993830534489491E-5</v>
      </c>
      <c r="F37" s="32">
        <v>2.3716337085586603E-6</v>
      </c>
      <c r="G37" s="32">
        <v>2.635435649442296E-5</v>
      </c>
      <c r="H37" s="32">
        <v>2.560164995429835E-5</v>
      </c>
      <c r="I37" s="32">
        <v>2.8223018621671927E-5</v>
      </c>
      <c r="J37" s="32">
        <v>1.2054566288304164E-8</v>
      </c>
      <c r="K37" s="32">
        <v>3.8730399072752658E-5</v>
      </c>
      <c r="L37" s="32">
        <v>2.044763213007301E-5</v>
      </c>
      <c r="M37" s="32">
        <v>1.6550380621833736E-5</v>
      </c>
      <c r="N37" s="32">
        <v>8.2021713231739368E-6</v>
      </c>
      <c r="O37" s="32">
        <v>3.626746000784415E-5</v>
      </c>
      <c r="P37" s="32">
        <v>1.9591531493991395E-5</v>
      </c>
      <c r="Q37" s="32">
        <v>1.7573890046140745E-5</v>
      </c>
      <c r="R37" s="32">
        <v>2.3764059541590403E-5</v>
      </c>
      <c r="S37" s="32">
        <v>5.7436609354563448E-5</v>
      </c>
      <c r="T37" s="32">
        <v>1.0741861369455171E-5</v>
      </c>
      <c r="U37" s="32">
        <v>5.566176850512583E-5</v>
      </c>
      <c r="V37" s="32">
        <v>6.102067585447576E-5</v>
      </c>
      <c r="W37" s="32">
        <v>2.5443518130701756E-7</v>
      </c>
      <c r="X37" s="32">
        <v>3.5732709913156726E-5</v>
      </c>
      <c r="Y37" s="32">
        <v>3.4736158271438619E-5</v>
      </c>
      <c r="Z37" s="32">
        <v>1.2113185484505863E-5</v>
      </c>
      <c r="AA37" s="32">
        <v>8.2923900549678505E-6</v>
      </c>
      <c r="AB37" s="32">
        <v>5.9419644950361029E-4</v>
      </c>
    </row>
    <row r="38" spans="1:28" ht="15" customHeight="1" x14ac:dyDescent="0.2">
      <c r="A38" s="41" t="s">
        <v>380</v>
      </c>
      <c r="B38" s="32">
        <v>3.6560709055381336E-3</v>
      </c>
      <c r="C38" s="32">
        <v>3.6607977011743811E-3</v>
      </c>
      <c r="D38" s="32">
        <v>4.5808162508358952E-3</v>
      </c>
      <c r="E38" s="32">
        <v>4.241913546324287E-3</v>
      </c>
      <c r="F38" s="32">
        <v>1.5400109442983386E-3</v>
      </c>
      <c r="G38" s="32">
        <v>5.1336494323651434E-3</v>
      </c>
      <c r="H38" s="32">
        <v>5.0598073040678485E-3</v>
      </c>
      <c r="I38" s="32">
        <v>5.3125341054596469E-3</v>
      </c>
      <c r="J38" s="32">
        <v>1.0979328890375843E-4</v>
      </c>
      <c r="K38" s="32">
        <v>6.2233752154881887E-3</v>
      </c>
      <c r="L38" s="32">
        <v>4.5219058072977379E-3</v>
      </c>
      <c r="M38" s="32">
        <v>4.0682159015757429E-3</v>
      </c>
      <c r="N38" s="32">
        <v>2.8639433170322935E-3</v>
      </c>
      <c r="O38" s="32">
        <v>6.0222470895708148E-3</v>
      </c>
      <c r="P38" s="32">
        <v>4.4262322006410138E-3</v>
      </c>
      <c r="Q38" s="32">
        <v>4.192122379671274E-3</v>
      </c>
      <c r="R38" s="32">
        <v>4.8748394375189835E-3</v>
      </c>
      <c r="S38" s="32">
        <v>7.5786944360201943E-3</v>
      </c>
      <c r="T38" s="32">
        <v>3.277477897630306E-3</v>
      </c>
      <c r="U38" s="32">
        <v>7.4606815040668926E-3</v>
      </c>
      <c r="V38" s="32">
        <v>7.8115731997130868E-3</v>
      </c>
      <c r="W38" s="32">
        <v>5.0441568305021754E-4</v>
      </c>
      <c r="X38" s="32">
        <v>5.977684326991241E-3</v>
      </c>
      <c r="Y38" s="32">
        <v>5.8937389042473384E-3</v>
      </c>
      <c r="Z38" s="32">
        <v>3.4804001902806899E-3</v>
      </c>
      <c r="AA38" s="32">
        <v>2.8796510300673327E-3</v>
      </c>
      <c r="AB38" s="32">
        <v>2.4376145091125675E-2</v>
      </c>
    </row>
    <row r="39" spans="1:28" ht="15" customHeight="1" x14ac:dyDescent="0.2">
      <c r="A39" s="41" t="s">
        <v>381</v>
      </c>
      <c r="B39" s="32">
        <v>3.6610757961845373E-3</v>
      </c>
      <c r="C39" s="32">
        <v>3.6658090624543905E-3</v>
      </c>
      <c r="D39" s="32">
        <v>4.5870870494607177E-3</v>
      </c>
      <c r="E39" s="32">
        <v>4.2477204122137562E-3</v>
      </c>
      <c r="F39" s="32">
        <v>1.5421191053733338E-3</v>
      </c>
      <c r="G39" s="32">
        <v>5.1406770187248712E-3</v>
      </c>
      <c r="H39" s="32">
        <v>5.0667338060157111E-3</v>
      </c>
      <c r="I39" s="32">
        <v>5.3198065717055395E-3</v>
      </c>
      <c r="J39" s="32">
        <v>1.0994358779534719E-4</v>
      </c>
      <c r="K39" s="32">
        <v>6.2318945558428509E-3</v>
      </c>
      <c r="L39" s="32">
        <v>4.5280959618826996E-3</v>
      </c>
      <c r="M39" s="32">
        <v>4.0737849882371922E-3</v>
      </c>
      <c r="N39" s="32">
        <v>2.8678638436001815E-3</v>
      </c>
      <c r="O39" s="32">
        <v>6.0304911003976475E-3</v>
      </c>
      <c r="P39" s="32">
        <v>4.432291385135013E-3</v>
      </c>
      <c r="Q39" s="32">
        <v>4.1978610851364263E-3</v>
      </c>
      <c r="R39" s="32">
        <v>4.8815127321387899E-3</v>
      </c>
      <c r="S39" s="32">
        <v>7.5890691081408395E-3</v>
      </c>
      <c r="T39" s="32">
        <v>3.2819645224517221E-3</v>
      </c>
      <c r="U39" s="32">
        <v>7.4708946252125845E-3</v>
      </c>
      <c r="V39" s="32">
        <v>7.8222666656362228E-3</v>
      </c>
      <c r="W39" s="32">
        <v>5.0510619081093223E-4</v>
      </c>
      <c r="X39" s="32">
        <v>5.9858673346922112E-3</v>
      </c>
      <c r="Y39" s="32">
        <v>5.9018069968736408E-3</v>
      </c>
      <c r="Z39" s="32">
        <v>3.4851646007114864E-3</v>
      </c>
      <c r="AA39" s="32">
        <v>2.8835930593325361E-3</v>
      </c>
      <c r="AB39" s="32">
        <v>2.4409514230760564E-2</v>
      </c>
    </row>
    <row r="40" spans="1:28" ht="15" customHeight="1" x14ac:dyDescent="0.2">
      <c r="A40" s="41" t="s">
        <v>382</v>
      </c>
      <c r="B40" s="32">
        <v>1.911058876395451E-4</v>
      </c>
      <c r="C40" s="32">
        <v>1.9135296120542902E-4</v>
      </c>
      <c r="D40" s="32">
        <v>2.3944310117278604E-4</v>
      </c>
      <c r="E40" s="32">
        <v>2.2172837302814673E-4</v>
      </c>
      <c r="F40" s="32">
        <v>8.0497661584993127E-5</v>
      </c>
      <c r="G40" s="32">
        <v>2.683401544855938E-4</v>
      </c>
      <c r="H40" s="32">
        <v>2.6448036460786694E-4</v>
      </c>
      <c r="I40" s="32">
        <v>2.7769060613713341E-4</v>
      </c>
      <c r="J40" s="32">
        <v>5.7389871462926213E-6</v>
      </c>
      <c r="K40" s="32">
        <v>3.253010336501557E-4</v>
      </c>
      <c r="L40" s="32">
        <v>2.3636380296044961E-4</v>
      </c>
      <c r="M40" s="32">
        <v>2.1264905169160307E-4</v>
      </c>
      <c r="N40" s="32">
        <v>1.4970071530115485E-4</v>
      </c>
      <c r="O40" s="32">
        <v>3.1478789809403319E-4</v>
      </c>
      <c r="P40" s="32">
        <v>2.3136286342831031E-4</v>
      </c>
      <c r="Q40" s="32">
        <v>2.1912574705461354E-4</v>
      </c>
      <c r="R40" s="32">
        <v>2.5481193934071233E-4</v>
      </c>
      <c r="S40" s="32">
        <v>3.9614470418246496E-4</v>
      </c>
      <c r="T40" s="32">
        <v>1.7131651410175224E-4</v>
      </c>
      <c r="U40" s="32">
        <v>3.8997606941126341E-4</v>
      </c>
      <c r="V40" s="32">
        <v>4.0831747216147648E-4</v>
      </c>
      <c r="W40" s="32">
        <v>2.6366230124968189E-5</v>
      </c>
      <c r="X40" s="32">
        <v>3.1245856517941721E-4</v>
      </c>
      <c r="Y40" s="32">
        <v>3.0807066764098337E-4</v>
      </c>
      <c r="Z40" s="32">
        <v>1.8192343225535275E-4</v>
      </c>
      <c r="AA40" s="32">
        <v>1.5052177061433309E-4</v>
      </c>
      <c r="AB40" s="32">
        <v>1.2741615152521892E-3</v>
      </c>
    </row>
    <row r="41" spans="1:28" ht="15" customHeight="1" x14ac:dyDescent="0.2">
      <c r="A41" s="41" t="s">
        <v>383</v>
      </c>
      <c r="B41" s="32">
        <v>7.7730664617733426E-4</v>
      </c>
      <c r="C41" s="32">
        <v>4.9528837723136223E-4</v>
      </c>
      <c r="D41" s="32">
        <v>8.8426675786845254E-4</v>
      </c>
      <c r="E41" s="32">
        <v>3.9789289102500937E-4</v>
      </c>
      <c r="F41" s="32">
        <v>1.4578603820298075E-4</v>
      </c>
      <c r="G41" s="32">
        <v>5.4729529374112663E-4</v>
      </c>
      <c r="H41" s="32">
        <v>6.6486932565416824E-4</v>
      </c>
      <c r="I41" s="32">
        <v>6.9895566224808094E-4</v>
      </c>
      <c r="J41" s="32">
        <v>1.1993904992028635E-5</v>
      </c>
      <c r="K41" s="32">
        <v>7.6707453789469447E-4</v>
      </c>
      <c r="L41" s="32">
        <v>7.012822162470215E-4</v>
      </c>
      <c r="M41" s="32">
        <v>6.1762138321179124E-4</v>
      </c>
      <c r="N41" s="32">
        <v>2.6940940708194391E-4</v>
      </c>
      <c r="O41" s="32">
        <v>7.150611804234016E-4</v>
      </c>
      <c r="P41" s="32">
        <v>4.4108488520302466E-4</v>
      </c>
      <c r="Q41" s="32">
        <v>4.5485081401445846E-4</v>
      </c>
      <c r="R41" s="32">
        <v>7.4304616519433285E-4</v>
      </c>
      <c r="S41" s="32">
        <v>7.2768918365466722E-4</v>
      </c>
      <c r="T41" s="32">
        <v>2.0638470956627479E-4</v>
      </c>
      <c r="U41" s="32">
        <v>8.7137631973258686E-4</v>
      </c>
      <c r="V41" s="32">
        <v>9.6332892776443966E-4</v>
      </c>
      <c r="W41" s="32">
        <v>5.1148191826648877E-5</v>
      </c>
      <c r="X41" s="32">
        <v>1.0266975720888945E-3</v>
      </c>
      <c r="Y41" s="32">
        <v>5.3336186134818298E-4</v>
      </c>
      <c r="Z41" s="32">
        <v>4.4084034271604517E-4</v>
      </c>
      <c r="AA41" s="32">
        <v>3.6114054917894985E-4</v>
      </c>
      <c r="AB41" s="32">
        <v>3.7683612566303632E-3</v>
      </c>
    </row>
    <row r="42" spans="1:28" ht="15" customHeight="1" x14ac:dyDescent="0.2">
      <c r="A42" s="41" t="s">
        <v>384</v>
      </c>
      <c r="B42" s="32">
        <v>2.8185332163201582E-5</v>
      </c>
      <c r="C42" s="32">
        <v>-2.5480144736409919E-4</v>
      </c>
      <c r="D42" s="32">
        <v>-5.4332951422028598E-5</v>
      </c>
      <c r="E42" s="32">
        <v>-4.7126635994664966E-4</v>
      </c>
      <c r="F42" s="32">
        <v>-1.6975899688957888E-4</v>
      </c>
      <c r="G42" s="32">
        <v>-5.0457878305422855E-4</v>
      </c>
      <c r="H42" s="32">
        <v>-3.718746528447132E-4</v>
      </c>
      <c r="I42" s="32">
        <v>-3.8957151149967564E-4</v>
      </c>
      <c r="J42" s="32">
        <v>-1.0502511236915024E-5</v>
      </c>
      <c r="K42" s="32">
        <v>-5.0808208228121914E-4</v>
      </c>
      <c r="L42" s="32">
        <v>-2.2524686585578385E-4</v>
      </c>
      <c r="M42" s="32">
        <v>-2.1594758211248462E-4</v>
      </c>
      <c r="N42" s="32">
        <v>-3.1740661381835091E-4</v>
      </c>
      <c r="O42" s="32">
        <v>-5.1888470564333679E-4</v>
      </c>
      <c r="P42" s="32">
        <v>-4.6584087415606933E-4</v>
      </c>
      <c r="Q42" s="32">
        <v>-4.0410633061049346E-4</v>
      </c>
      <c r="R42" s="32">
        <v>-2.5579828268286844E-4</v>
      </c>
      <c r="S42" s="32">
        <v>-8.251695220731415E-4</v>
      </c>
      <c r="T42" s="32">
        <v>-4.6516368562649004E-4</v>
      </c>
      <c r="U42" s="32">
        <v>-6.5730178202454874E-4</v>
      </c>
      <c r="V42" s="32">
        <v>-6.3724615162541888E-4</v>
      </c>
      <c r="W42" s="32">
        <v>-5.2205531079416344E-5</v>
      </c>
      <c r="X42" s="32">
        <v>-1.9811749673654191E-4</v>
      </c>
      <c r="Y42" s="32">
        <v>-6.7425296519088888E-4</v>
      </c>
      <c r="Z42" s="32">
        <v>-2.7228640761276174E-4</v>
      </c>
      <c r="AA42" s="32">
        <v>-2.2889394940763422E-4</v>
      </c>
      <c r="AB42" s="32">
        <v>-1.2262601041321791E-3</v>
      </c>
    </row>
    <row r="43" spans="1:28" ht="15" customHeight="1" x14ac:dyDescent="0.2">
      <c r="A43" s="41" t="s">
        <v>385</v>
      </c>
      <c r="B43" s="32">
        <v>0.50763382914198374</v>
      </c>
      <c r="C43" s="32">
        <v>3.4666901380327693E-2</v>
      </c>
      <c r="D43" s="32">
        <v>-0.88644744018642052</v>
      </c>
      <c r="E43" s="32">
        <v>-0.4024826901213871</v>
      </c>
      <c r="F43" s="32">
        <v>5.3109515954425326E-2</v>
      </c>
      <c r="G43" s="32">
        <v>6.0838806509096559E-2</v>
      </c>
      <c r="H43" s="32">
        <v>-1.1397921447424856E-4</v>
      </c>
      <c r="I43" s="32">
        <v>-0.80587923466846056</v>
      </c>
      <c r="J43" s="32">
        <v>-0.22206000784077984</v>
      </c>
      <c r="K43" s="32">
        <v>-0.34271998004496773</v>
      </c>
      <c r="L43" s="32">
        <v>-0.11862482865195612</v>
      </c>
      <c r="M43" s="32">
        <v>0.67137738488551923</v>
      </c>
      <c r="N43" s="32">
        <v>-0.26753542629763222</v>
      </c>
      <c r="O43" s="32">
        <v>-1.1649283069274629E-2</v>
      </c>
      <c r="P43" s="32">
        <v>0.1668784436540402</v>
      </c>
      <c r="Q43" s="32">
        <v>0.18077923543972102</v>
      </c>
      <c r="R43" s="32">
        <v>0.21379727809479582</v>
      </c>
      <c r="S43" s="32">
        <v>0.1457034597072005</v>
      </c>
      <c r="T43" s="32">
        <v>0.49546174114570013</v>
      </c>
      <c r="U43" s="32">
        <v>-0.45734181599033308</v>
      </c>
      <c r="V43" s="32">
        <v>-0.22392713159836339</v>
      </c>
      <c r="W43" s="32">
        <v>7.7317037426255508E-2</v>
      </c>
      <c r="X43" s="32">
        <v>0.15488746737466363</v>
      </c>
      <c r="Y43" s="32">
        <v>-1.4019237853633008E-2</v>
      </c>
      <c r="Z43" s="32">
        <v>4.915260790802143E-2</v>
      </c>
      <c r="AA43" s="32">
        <v>0.16047847689795783</v>
      </c>
      <c r="AB43" s="32">
        <v>18.965762498394795</v>
      </c>
    </row>
    <row r="44" spans="1:28" ht="15" customHeight="1" x14ac:dyDescent="0.2">
      <c r="A44" s="42" t="s">
        <v>386</v>
      </c>
      <c r="B44" s="43">
        <v>5.0307377541732263</v>
      </c>
      <c r="C44" s="43">
        <v>0.82223583511052667</v>
      </c>
      <c r="D44" s="43">
        <v>7.9498450882793206</v>
      </c>
      <c r="E44" s="43">
        <v>3.1909514517785924</v>
      </c>
      <c r="F44" s="43">
        <v>16.658090752290807</v>
      </c>
      <c r="G44" s="43">
        <v>3.1779438783600922</v>
      </c>
      <c r="H44" s="43">
        <v>2.0520615996659943</v>
      </c>
      <c r="I44" s="43">
        <v>14.83785309321285</v>
      </c>
      <c r="J44" s="43">
        <v>2.629337420148163</v>
      </c>
      <c r="K44" s="43">
        <v>3.0548087383276652</v>
      </c>
      <c r="L44" s="43">
        <v>0.83801884608037824</v>
      </c>
      <c r="M44" s="43">
        <v>6.5463437983189916</v>
      </c>
      <c r="N44" s="43">
        <v>2.0996589213625172</v>
      </c>
      <c r="O44" s="43">
        <v>0.68957994912870646</v>
      </c>
      <c r="P44" s="43">
        <v>1.8061793459538618</v>
      </c>
      <c r="Q44" s="43">
        <v>0.90315534804104358</v>
      </c>
      <c r="R44" s="43">
        <v>1.0046444584398817</v>
      </c>
      <c r="S44" s="43">
        <v>1.6661660649571421</v>
      </c>
      <c r="T44" s="43">
        <v>7.5421727153410707</v>
      </c>
      <c r="U44" s="43">
        <v>1.2249627328188963</v>
      </c>
      <c r="V44" s="43">
        <v>2.3429240317300217</v>
      </c>
      <c r="W44" s="43">
        <v>2.1029044703405342</v>
      </c>
      <c r="X44" s="43">
        <v>0.31706832984286287</v>
      </c>
      <c r="Y44" s="43">
        <v>0.91853675024343495</v>
      </c>
      <c r="Z44" s="43">
        <v>1.295344915078491</v>
      </c>
      <c r="AA44" s="43">
        <v>1.3011765552723351</v>
      </c>
      <c r="AB44" s="43">
        <v>358.79294032056731</v>
      </c>
    </row>
    <row r="45" spans="1:28" ht="15" customHeight="1" x14ac:dyDescent="0.2">
      <c r="A45" s="41"/>
      <c r="B45" s="31" t="s">
        <v>327</v>
      </c>
      <c r="C45" s="31" t="s">
        <v>328</v>
      </c>
      <c r="D45" s="31" t="s">
        <v>329</v>
      </c>
      <c r="E45" s="31" t="s">
        <v>330</v>
      </c>
      <c r="F45" s="31" t="s">
        <v>331</v>
      </c>
      <c r="G45" s="31" t="s">
        <v>332</v>
      </c>
      <c r="H45" s="31" t="s">
        <v>333</v>
      </c>
      <c r="I45" s="31" t="s">
        <v>334</v>
      </c>
      <c r="J45" s="31" t="s">
        <v>335</v>
      </c>
      <c r="K45" s="31" t="s">
        <v>336</v>
      </c>
      <c r="L45" s="31" t="s">
        <v>337</v>
      </c>
      <c r="M45" s="31" t="s">
        <v>338</v>
      </c>
      <c r="N45" s="31" t="s">
        <v>339</v>
      </c>
      <c r="O45" s="31" t="s">
        <v>340</v>
      </c>
      <c r="P45" s="31" t="s">
        <v>341</v>
      </c>
      <c r="Q45" s="31" t="s">
        <v>342</v>
      </c>
      <c r="R45" s="31" t="s">
        <v>343</v>
      </c>
      <c r="S45" s="31" t="s">
        <v>344</v>
      </c>
      <c r="T45" s="31" t="s">
        <v>345</v>
      </c>
      <c r="U45" s="31" t="s">
        <v>346</v>
      </c>
      <c r="V45" s="31" t="s">
        <v>347</v>
      </c>
      <c r="W45" s="31" t="s">
        <v>348</v>
      </c>
      <c r="X45" s="31" t="s">
        <v>349</v>
      </c>
      <c r="Y45" s="31" t="s">
        <v>350</v>
      </c>
      <c r="Z45" s="31" t="s">
        <v>351</v>
      </c>
      <c r="AA45" s="31" t="s">
        <v>352</v>
      </c>
      <c r="AB45" s="31" t="s">
        <v>353</v>
      </c>
    </row>
    <row r="46" spans="1:28" ht="15" customHeight="1" x14ac:dyDescent="0.2">
      <c r="A46" s="41" t="s">
        <v>360</v>
      </c>
      <c r="B46" s="32">
        <v>0.50763382914198374</v>
      </c>
      <c r="C46" s="32">
        <v>3.4666901380327693E-2</v>
      </c>
      <c r="D46" s="32">
        <v>-0.88644744018642052</v>
      </c>
      <c r="E46" s="32">
        <v>-0.4024826901213871</v>
      </c>
      <c r="F46" s="32">
        <v>5.3109515954425326E-2</v>
      </c>
      <c r="G46" s="32">
        <v>6.0838806509096559E-2</v>
      </c>
      <c r="H46" s="32">
        <v>-1.1397921447424856E-4</v>
      </c>
      <c r="I46" s="32">
        <v>-0.80587923466846056</v>
      </c>
      <c r="J46" s="32">
        <v>-0.22206000784077984</v>
      </c>
      <c r="K46" s="32">
        <v>-0.34271998004496773</v>
      </c>
      <c r="L46" s="32">
        <v>-0.11862482865195612</v>
      </c>
      <c r="M46" s="32">
        <v>0.67137738488551923</v>
      </c>
      <c r="N46" s="32">
        <v>-0.26753542629763222</v>
      </c>
      <c r="O46" s="32">
        <v>-1.1649283069274629E-2</v>
      </c>
      <c r="P46" s="32">
        <v>0.1668784436540402</v>
      </c>
      <c r="Q46" s="32">
        <v>0.18077923543972102</v>
      </c>
      <c r="R46" s="32">
        <v>0.21379727809479582</v>
      </c>
      <c r="S46" s="32">
        <v>0.1457034597072005</v>
      </c>
      <c r="T46" s="32">
        <v>0.49546174114570013</v>
      </c>
      <c r="U46" s="32">
        <v>-0.45734181599033308</v>
      </c>
      <c r="V46" s="32">
        <v>-0.22392713159836339</v>
      </c>
      <c r="W46" s="32">
        <v>7.7317037426255508E-2</v>
      </c>
      <c r="X46" s="32">
        <v>0.15488746737466363</v>
      </c>
      <c r="Y46" s="32">
        <v>-1.4019237853633008E-2</v>
      </c>
      <c r="Z46" s="32">
        <v>4.915260790802143E-2</v>
      </c>
      <c r="AA46" s="32">
        <v>0.16047847689795783</v>
      </c>
      <c r="AB46" s="32">
        <v>18.965762498394795</v>
      </c>
    </row>
    <row r="47" spans="1:28" ht="15" customHeight="1" x14ac:dyDescent="0.2">
      <c r="A47" s="41" t="s">
        <v>361</v>
      </c>
      <c r="B47" s="32">
        <v>-1.567282688438602E-2</v>
      </c>
      <c r="C47" s="32">
        <v>0.15261818144081846</v>
      </c>
      <c r="D47" s="32">
        <v>0.10203351169055759</v>
      </c>
      <c r="E47" s="32">
        <v>4.2939058492317585E-2</v>
      </c>
      <c r="F47" s="32">
        <v>-5.404619786991028E-2</v>
      </c>
      <c r="G47" s="32">
        <v>-4.2533109714655376E-2</v>
      </c>
      <c r="H47" s="32">
        <v>-1.9987217094810699E-2</v>
      </c>
      <c r="I47" s="32">
        <v>7.6551110931227986E-3</v>
      </c>
      <c r="J47" s="32">
        <v>0.14300710700856059</v>
      </c>
      <c r="K47" s="32">
        <v>5.2013316944184144E-2</v>
      </c>
      <c r="L47" s="32">
        <v>0.19070152128465087</v>
      </c>
      <c r="M47" s="32">
        <v>5.8216910966805658E-3</v>
      </c>
      <c r="N47" s="32">
        <v>3.1966765740964728E-2</v>
      </c>
      <c r="O47" s="32">
        <v>-1.7903186330701332E-3</v>
      </c>
      <c r="P47" s="32">
        <v>-5.1563858765164484E-2</v>
      </c>
      <c r="Q47" s="32">
        <v>-4.0230167498609914E-2</v>
      </c>
      <c r="R47" s="32">
        <v>4.3085908338167347E-2</v>
      </c>
      <c r="S47" s="32">
        <v>-0.16712101020513209</v>
      </c>
      <c r="T47" s="32">
        <v>-1.2919515237361564E-2</v>
      </c>
      <c r="U47" s="32">
        <v>6.5932260375834648E-2</v>
      </c>
      <c r="V47" s="32">
        <v>0.14190890372783763</v>
      </c>
      <c r="W47" s="32">
        <v>-9.9980329000049909E-6</v>
      </c>
      <c r="X47" s="32">
        <v>8.0626896199491718E-2</v>
      </c>
      <c r="Y47" s="32">
        <v>5.7133428477010764E-2</v>
      </c>
      <c r="Z47" s="32">
        <v>-5.8237860183123435E-2</v>
      </c>
      <c r="AA47" s="32">
        <v>1.3367535080608227E-2</v>
      </c>
      <c r="AB47" s="32">
        <v>-2.9069858939653624E-6</v>
      </c>
    </row>
    <row r="48" spans="1:28" ht="15" customHeight="1" x14ac:dyDescent="0.2">
      <c r="A48" s="41" t="s">
        <v>362</v>
      </c>
      <c r="B48" s="32">
        <v>-7.4114917263211179E-3</v>
      </c>
      <c r="C48" s="32">
        <v>3.2846246842609603E-2</v>
      </c>
      <c r="D48" s="32">
        <v>4.3589197828073592E-2</v>
      </c>
      <c r="E48" s="32">
        <v>-8.6486285163944465E-3</v>
      </c>
      <c r="F48" s="32">
        <v>-7.7833728310030704E-3</v>
      </c>
      <c r="G48" s="32">
        <v>4.1604429022355331E-3</v>
      </c>
      <c r="H48" s="32">
        <v>8.5456730872686491E-3</v>
      </c>
      <c r="I48" s="32">
        <v>8.2005504589788506E-3</v>
      </c>
      <c r="J48" s="32">
        <v>6.7918256662341378E-3</v>
      </c>
      <c r="K48" s="32">
        <v>3.6385153026337303E-3</v>
      </c>
      <c r="L48" s="32">
        <v>5.2636584072912523E-2</v>
      </c>
      <c r="M48" s="32">
        <v>4.9367316142651892E-2</v>
      </c>
      <c r="N48" s="32">
        <v>-3.9510241218071368E-2</v>
      </c>
      <c r="O48" s="32">
        <v>-5.5296351309183723E-3</v>
      </c>
      <c r="P48" s="32">
        <v>-6.2926026529753045E-3</v>
      </c>
      <c r="Q48" s="32">
        <v>6.0523618835698319E-3</v>
      </c>
      <c r="R48" s="32">
        <v>2.3653487621202549E-2</v>
      </c>
      <c r="S48" s="32">
        <v>-2.8904242888366065E-2</v>
      </c>
      <c r="T48" s="32">
        <v>-1.7886447919460652E-3</v>
      </c>
      <c r="U48" s="32">
        <v>1.0100299335247354E-2</v>
      </c>
      <c r="V48" s="32">
        <v>3.7173835929967002E-2</v>
      </c>
      <c r="W48" s="32">
        <v>-1.048083245919023E-3</v>
      </c>
      <c r="X48" s="32">
        <v>5.7691189398384281E-2</v>
      </c>
      <c r="Y48" s="32">
        <v>2.5693341340603016E-2</v>
      </c>
      <c r="Z48" s="32">
        <v>2.421473478452054E-2</v>
      </c>
      <c r="AA48" s="32">
        <v>2.2962261466838805E-2</v>
      </c>
      <c r="AB48" s="32">
        <v>5.2143215077589442E-2</v>
      </c>
    </row>
    <row r="49" spans="1:28" ht="15" customHeight="1" x14ac:dyDescent="0.2">
      <c r="A49" s="41" t="s">
        <v>363</v>
      </c>
      <c r="B49" s="32">
        <v>5.0307377541732263</v>
      </c>
      <c r="C49" s="32">
        <v>0.82223583511052667</v>
      </c>
      <c r="D49" s="32">
        <v>7.9498450882793206</v>
      </c>
      <c r="E49" s="32">
        <v>3.1909514517785924</v>
      </c>
      <c r="F49" s="32">
        <v>16.658090752290807</v>
      </c>
      <c r="G49" s="32">
        <v>3.1779438783600922</v>
      </c>
      <c r="H49" s="32">
        <v>2.0520615996659943</v>
      </c>
      <c r="I49" s="32">
        <v>14.83785309321285</v>
      </c>
      <c r="J49" s="32">
        <v>2.629337420148163</v>
      </c>
      <c r="K49" s="32">
        <v>3.0548087383276652</v>
      </c>
      <c r="L49" s="32">
        <v>0.83801884608037824</v>
      </c>
      <c r="M49" s="32">
        <v>6.5463437983189916</v>
      </c>
      <c r="N49" s="32">
        <v>2.0996589213625172</v>
      </c>
      <c r="O49" s="32">
        <v>0.68957994912870646</v>
      </c>
      <c r="P49" s="32">
        <v>1.8061793459538618</v>
      </c>
      <c r="Q49" s="32">
        <v>0.90315534804104358</v>
      </c>
      <c r="R49" s="32">
        <v>1.0046444584398817</v>
      </c>
      <c r="S49" s="32">
        <v>1.6661660649571421</v>
      </c>
      <c r="T49" s="32">
        <v>7.5421727153410707</v>
      </c>
      <c r="U49" s="32">
        <v>1.2249627328188963</v>
      </c>
      <c r="V49" s="32">
        <v>2.3429240317300217</v>
      </c>
      <c r="W49" s="32">
        <v>2.1029044703405342</v>
      </c>
      <c r="X49" s="32">
        <v>0.31706832984286287</v>
      </c>
      <c r="Y49" s="32">
        <v>0.91853675024343495</v>
      </c>
      <c r="Z49" s="32">
        <v>1.295344915078491</v>
      </c>
      <c r="AA49" s="32">
        <v>1.3011765552723351</v>
      </c>
      <c r="AB49" s="32">
        <v>358.79294032056731</v>
      </c>
    </row>
    <row r="50" spans="1:28" ht="15" customHeight="1" x14ac:dyDescent="0.2">
      <c r="A50" s="41" t="s">
        <v>364</v>
      </c>
      <c r="B50" s="32">
        <v>5.9113806484028329E-2</v>
      </c>
      <c r="C50" s="32">
        <v>0.10151842898033517</v>
      </c>
      <c r="D50" s="32">
        <v>0.24988438270202984</v>
      </c>
      <c r="E50" s="32">
        <v>2.8016222030004582E-2</v>
      </c>
      <c r="F50" s="32">
        <v>8.6340586262050129E-2</v>
      </c>
      <c r="G50" s="32">
        <v>5.9215171948452543E-2</v>
      </c>
      <c r="H50" s="32">
        <v>-5.8885903317637253E-2</v>
      </c>
      <c r="I50" s="32">
        <v>6.1220332351633149E-2</v>
      </c>
      <c r="J50" s="32">
        <v>-1.5455414987723941E-4</v>
      </c>
      <c r="K50" s="32">
        <v>-2.2471585859238617E-2</v>
      </c>
      <c r="L50" s="32">
        <v>-3.5175106872092174E-2</v>
      </c>
      <c r="M50" s="32">
        <v>-0.42979902359006428</v>
      </c>
      <c r="N50" s="32">
        <v>-0.15963091503329688</v>
      </c>
      <c r="O50" s="32">
        <v>-1.733290673158517E-2</v>
      </c>
      <c r="P50" s="32">
        <v>-3.5562422086585069E-2</v>
      </c>
      <c r="Q50" s="32">
        <v>-3.1119489064875969E-2</v>
      </c>
      <c r="R50" s="32">
        <v>4.7945985346912613E-2</v>
      </c>
      <c r="S50" s="32">
        <v>4.069804731644544E-2</v>
      </c>
      <c r="T50" s="32">
        <v>-9.7505053474864489E-3</v>
      </c>
      <c r="U50" s="32">
        <v>3.1607074799856361E-2</v>
      </c>
      <c r="V50" s="32">
        <v>0.315289264583967</v>
      </c>
      <c r="W50" s="32">
        <v>6.5306557488032421E-4</v>
      </c>
      <c r="X50" s="32">
        <v>0.1588234765286734</v>
      </c>
      <c r="Y50" s="32">
        <v>4.8916720393300493E-2</v>
      </c>
      <c r="Z50" s="32">
        <v>8.3758037935283122E-2</v>
      </c>
      <c r="AA50" s="32">
        <v>5.8010595470163226E-2</v>
      </c>
      <c r="AB50" s="32">
        <v>9.4377927158442496E-2</v>
      </c>
    </row>
    <row r="51" spans="1:28" ht="15" customHeight="1" x14ac:dyDescent="0.2">
      <c r="A51" s="41" t="s">
        <v>365</v>
      </c>
      <c r="B51" s="32">
        <v>5.7336520489854458E-2</v>
      </c>
      <c r="C51" s="32">
        <v>-5.2048534637795713E-2</v>
      </c>
      <c r="D51" s="32">
        <v>0.22954878001644624</v>
      </c>
      <c r="E51" s="32">
        <v>-0.91257153145829173</v>
      </c>
      <c r="F51" s="32">
        <v>-0.17240569886406912</v>
      </c>
      <c r="G51" s="32">
        <v>2.5698564963895727E-2</v>
      </c>
      <c r="H51" s="32">
        <v>6.0377331719758523E-2</v>
      </c>
      <c r="I51" s="32">
        <v>0.14876938773465992</v>
      </c>
      <c r="J51" s="32">
        <v>-0.26399705317733763</v>
      </c>
      <c r="K51" s="32">
        <v>2.354714180710165E-2</v>
      </c>
      <c r="L51" s="32">
        <v>4.4768183961345432E-3</v>
      </c>
      <c r="M51" s="32">
        <v>0.41965151426106767</v>
      </c>
      <c r="N51" s="32">
        <v>-0.32789434666326939</v>
      </c>
      <c r="O51" s="32">
        <v>0.13156101389045671</v>
      </c>
      <c r="P51" s="32">
        <v>-0.23180171388304174</v>
      </c>
      <c r="Q51" s="32">
        <v>-6.8512047465812149E-3</v>
      </c>
      <c r="R51" s="32">
        <v>0.28972041102332863</v>
      </c>
      <c r="S51" s="32">
        <v>0.11967474315671867</v>
      </c>
      <c r="T51" s="32">
        <v>-0.76106446780689041</v>
      </c>
      <c r="U51" s="32">
        <v>-0.41325354886847754</v>
      </c>
      <c r="V51" s="32">
        <v>-0.6288093821356201</v>
      </c>
      <c r="W51" s="32">
        <v>1.0251345029199435</v>
      </c>
      <c r="X51" s="32">
        <v>0.3039003473367799</v>
      </c>
      <c r="Y51" s="32">
        <v>0.18296184820351166</v>
      </c>
      <c r="Z51" s="32">
        <v>0.25029794345282491</v>
      </c>
      <c r="AA51" s="32">
        <v>8.6964908433708993E-2</v>
      </c>
      <c r="AB51" s="32">
        <v>0.2877801419577683</v>
      </c>
    </row>
    <row r="52" spans="1:28" ht="15" customHeight="1" x14ac:dyDescent="0.2">
      <c r="A52" s="41" t="s">
        <v>366</v>
      </c>
      <c r="B52" s="32">
        <v>4.1937110029888638</v>
      </c>
      <c r="C52" s="32">
        <v>1.8900105762140729</v>
      </c>
      <c r="D52" s="32">
        <v>2.1172998281926398</v>
      </c>
      <c r="E52" s="32">
        <v>2.7094682697374837</v>
      </c>
      <c r="F52" s="32">
        <v>2.2192476571359685</v>
      </c>
      <c r="G52" s="32">
        <v>2.5710405537997034</v>
      </c>
      <c r="H52" s="32">
        <v>2.2429984450686029</v>
      </c>
      <c r="I52" s="32">
        <v>2.0131849240638751</v>
      </c>
      <c r="J52" s="32">
        <v>2.001467103536875</v>
      </c>
      <c r="K52" s="32">
        <v>2.1777619523641185</v>
      </c>
      <c r="L52" s="32">
        <v>1.8778531567818695</v>
      </c>
      <c r="M52" s="32">
        <v>2.9070730700576508</v>
      </c>
      <c r="N52" s="32">
        <v>2.0570479833727542</v>
      </c>
      <c r="O52" s="32">
        <v>2.5051349667098153</v>
      </c>
      <c r="P52" s="32">
        <v>1.8585114829948641</v>
      </c>
      <c r="Q52" s="32">
        <v>1.9870732089407321</v>
      </c>
      <c r="R52" s="32">
        <v>1.9717186722030657</v>
      </c>
      <c r="S52" s="32">
        <v>2.1835052185407506</v>
      </c>
      <c r="T52" s="32">
        <v>2.313214172738828</v>
      </c>
      <c r="U52" s="32">
        <v>1.97066903912404</v>
      </c>
      <c r="V52" s="32">
        <v>2.2972366753740117</v>
      </c>
      <c r="W52" s="32">
        <v>6.9992769481864912</v>
      </c>
      <c r="X52" s="32">
        <v>1.8473117211227683</v>
      </c>
      <c r="Y52" s="32">
        <v>2.4139125689583927</v>
      </c>
      <c r="Z52" s="32">
        <v>2.0274211387353698</v>
      </c>
      <c r="AA52" s="32">
        <v>2.1262415259288776</v>
      </c>
      <c r="AB52" s="32">
        <v>3.0927828128517452</v>
      </c>
    </row>
    <row r="53" spans="1:28" ht="15" customHeight="1" x14ac:dyDescent="0.2">
      <c r="A53" s="41" t="s">
        <v>367</v>
      </c>
      <c r="B53" s="32">
        <v>2.5905341030157838</v>
      </c>
      <c r="C53" s="32">
        <v>1.9863320636892292</v>
      </c>
      <c r="D53" s="32">
        <v>2.3605939987251809</v>
      </c>
      <c r="E53" s="32">
        <v>2.6055455830599419</v>
      </c>
      <c r="F53" s="32">
        <v>3.2833779330104327</v>
      </c>
      <c r="G53" s="32">
        <v>2.6599764669366754</v>
      </c>
      <c r="H53" s="32">
        <v>2.1050504921285835</v>
      </c>
      <c r="I53" s="32">
        <v>2.0763563951013779</v>
      </c>
      <c r="J53" s="32">
        <v>2.7022299397258274</v>
      </c>
      <c r="K53" s="32">
        <v>1.9645085268414983</v>
      </c>
      <c r="L53" s="32">
        <v>1.8240352981351342</v>
      </c>
      <c r="M53" s="32">
        <v>3.1589141776686591</v>
      </c>
      <c r="N53" s="32">
        <v>2.1165268143352725</v>
      </c>
      <c r="O53" s="32">
        <v>1.914468202142849</v>
      </c>
      <c r="P53" s="32">
        <v>2.1321849701064575</v>
      </c>
      <c r="Q53" s="32">
        <v>1.9978093643283554</v>
      </c>
      <c r="R53" s="32">
        <v>1.839036121401014</v>
      </c>
      <c r="S53" s="32">
        <v>2.1970237978101976</v>
      </c>
      <c r="T53" s="32">
        <v>2.8222829930130429</v>
      </c>
      <c r="U53" s="32">
        <v>1.9738394481152977</v>
      </c>
      <c r="V53" s="32">
        <v>2.6782675525859112</v>
      </c>
      <c r="W53" s="32">
        <v>6.2828583158838871</v>
      </c>
      <c r="X53" s="32">
        <v>1.8734431179515805</v>
      </c>
      <c r="Y53" s="32">
        <v>1.8013437353056545</v>
      </c>
      <c r="Z53" s="32">
        <v>1.8280026333744752</v>
      </c>
      <c r="AA53" s="32">
        <v>2.0372814217859241</v>
      </c>
      <c r="AB53" s="32">
        <v>6.9232734742705135</v>
      </c>
    </row>
    <row r="54" spans="1:28" ht="15" customHeight="1" x14ac:dyDescent="0.2">
      <c r="A54" s="41" t="s">
        <v>368</v>
      </c>
      <c r="B54" s="32">
        <v>10.86395137143518</v>
      </c>
      <c r="C54" s="32">
        <v>3.7541886082457685</v>
      </c>
      <c r="D54" s="32">
        <v>4.9980852679334022</v>
      </c>
      <c r="E54" s="32">
        <v>7.0596430826555636</v>
      </c>
      <c r="F54" s="32">
        <v>7.286628785325342</v>
      </c>
      <c r="G54" s="32">
        <v>6.8389073686470487</v>
      </c>
      <c r="H54" s="32">
        <v>4.7216249806353101</v>
      </c>
      <c r="I54" s="32">
        <v>4.180089391601709</v>
      </c>
      <c r="J54" s="32">
        <v>5.4084243305536761</v>
      </c>
      <c r="K54" s="32">
        <v>4.2782319248502994</v>
      </c>
      <c r="L54" s="32">
        <v>3.4252704426846203</v>
      </c>
      <c r="M54" s="32">
        <v>9.1831943365238686</v>
      </c>
      <c r="N54" s="32">
        <v>4.3537972151827322</v>
      </c>
      <c r="O54" s="32">
        <v>4.7960012358421258</v>
      </c>
      <c r="P54" s="32">
        <v>3.9626902508119124</v>
      </c>
      <c r="Q54" s="32">
        <v>3.9697934644277897</v>
      </c>
      <c r="R54" s="32">
        <v>3.6260618594222835</v>
      </c>
      <c r="S54" s="32">
        <v>4.7972129277767852</v>
      </c>
      <c r="T54" s="32">
        <v>6.5285450189175291</v>
      </c>
      <c r="U54" s="32">
        <v>3.8897842886024989</v>
      </c>
      <c r="V54" s="32">
        <v>6.1526144482645497</v>
      </c>
      <c r="W54" s="32">
        <v>43.975465379087893</v>
      </c>
      <c r="X54" s="32">
        <v>3.4608334306487394</v>
      </c>
      <c r="Y54" s="32">
        <v>4.348286283668779</v>
      </c>
      <c r="Z54" s="32">
        <v>3.7061311805673331</v>
      </c>
      <c r="AA54" s="32">
        <v>4.3317523590046569</v>
      </c>
      <c r="AB54" s="32">
        <v>21.412181209896232</v>
      </c>
    </row>
    <row r="55" spans="1:28" ht="15" customHeight="1" x14ac:dyDescent="0.2">
      <c r="A55" s="41" t="s">
        <v>369</v>
      </c>
      <c r="B55" s="32">
        <v>0.88402467574326982</v>
      </c>
      <c r="C55" s="32">
        <v>0.98506685220688484</v>
      </c>
      <c r="D55" s="32">
        <v>0.9611277571944119</v>
      </c>
      <c r="E55" s="32">
        <v>0.91290770086703876</v>
      </c>
      <c r="F55" s="32">
        <v>0.8939826822564737</v>
      </c>
      <c r="G55" s="32">
        <v>0.91458701670103837</v>
      </c>
      <c r="H55" s="32">
        <v>0.98000800742556082</v>
      </c>
      <c r="I55" s="32">
        <v>0.97176614755098178</v>
      </c>
      <c r="J55" s="32">
        <v>0.94575356665633514</v>
      </c>
      <c r="K55" s="32">
        <v>0.97859401373911914</v>
      </c>
      <c r="L55" s="32">
        <v>0.9829975701406245</v>
      </c>
      <c r="M55" s="32">
        <v>0.90341821658550137</v>
      </c>
      <c r="N55" s="32">
        <v>0.97817673463286448</v>
      </c>
      <c r="O55" s="32">
        <v>0.9746236684141828</v>
      </c>
      <c r="P55" s="32">
        <v>0.98042657672263056</v>
      </c>
      <c r="Q55" s="32">
        <v>0.9870436724315349</v>
      </c>
      <c r="R55" s="32">
        <v>0.98941461884727877</v>
      </c>
      <c r="S55" s="32">
        <v>0.97764170054023392</v>
      </c>
      <c r="T55" s="32">
        <v>0.94259231669784016</v>
      </c>
      <c r="U55" s="32">
        <v>0.99282772663901175</v>
      </c>
      <c r="V55" s="32">
        <v>0.96194220285266274</v>
      </c>
      <c r="W55" s="32">
        <v>0.64568122983848864</v>
      </c>
      <c r="X55" s="32">
        <v>0.98509105421703802</v>
      </c>
      <c r="Y55" s="32">
        <v>0.97989685173369567</v>
      </c>
      <c r="Z55" s="32">
        <v>0.9837701056703273</v>
      </c>
      <c r="AA55" s="32">
        <v>0.98275181413747437</v>
      </c>
      <c r="AB55" s="32">
        <v>6.9101147785594591E-2</v>
      </c>
    </row>
    <row r="56" spans="1:28" ht="15" customHeight="1" x14ac:dyDescent="0.2">
      <c r="A56" s="41" t="s">
        <v>370</v>
      </c>
      <c r="B56" s="32">
        <v>6.0009696719607367E-88</v>
      </c>
      <c r="C56" s="32">
        <v>5.5625315828963578E-3</v>
      </c>
      <c r="D56" s="32">
        <v>2.0175268445970579E-220</v>
      </c>
      <c r="E56" s="32">
        <v>1.3678532792404319E-36</v>
      </c>
      <c r="F56" s="32">
        <v>0</v>
      </c>
      <c r="G56" s="32">
        <v>3.2143689439289452E-34</v>
      </c>
      <c r="H56" s="32">
        <v>1.1361498688500484E-14</v>
      </c>
      <c r="I56" s="32">
        <v>0</v>
      </c>
      <c r="J56" s="32">
        <v>2.8385009258067613E-24</v>
      </c>
      <c r="K56" s="32">
        <v>3.4815053534648389E-33</v>
      </c>
      <c r="L56" s="32">
        <v>3.0762536481241986E-3</v>
      </c>
      <c r="M56" s="32">
        <v>1.307787259852627E-148</v>
      </c>
      <c r="N56" s="32">
        <v>2.8376887837961396E-16</v>
      </c>
      <c r="O56" s="32">
        <v>2.6516638187912694E-2</v>
      </c>
      <c r="P56" s="32">
        <v>6.7310439999083258E-12</v>
      </c>
      <c r="Q56" s="32">
        <v>7.3443607875574583E-4</v>
      </c>
      <c r="R56" s="32">
        <v>1.1277392671958719E-4</v>
      </c>
      <c r="S56" s="32">
        <v>3.35522018144636E-10</v>
      </c>
      <c r="T56" s="32">
        <v>2.3769327819245934E-192</v>
      </c>
      <c r="U56" s="32">
        <v>1.8215438995828564E-8</v>
      </c>
      <c r="V56" s="32">
        <v>1.4389087488952619E-19</v>
      </c>
      <c r="W56" s="32">
        <v>1.8910263381187744E-15</v>
      </c>
      <c r="X56" s="32">
        <v>0.22351921970706923</v>
      </c>
      <c r="Y56" s="32">
        <v>1.597554315118095E-3</v>
      </c>
      <c r="Z56" s="32">
        <v>2.5797565366265064E-6</v>
      </c>
      <c r="AA56" s="32">
        <v>1.1280019449707501E-6</v>
      </c>
      <c r="AB56" s="32">
        <v>0</v>
      </c>
    </row>
    <row r="57" spans="1:28" ht="15" customHeight="1" x14ac:dyDescent="0.2">
      <c r="A57" s="41" t="s">
        <v>371</v>
      </c>
      <c r="B57" s="32">
        <v>3.6560709055381336E-3</v>
      </c>
      <c r="C57" s="32">
        <v>3.6607977011743811E-3</v>
      </c>
      <c r="D57" s="32">
        <v>4.5808162508358952E-3</v>
      </c>
      <c r="E57" s="32">
        <v>4.241913546324287E-3</v>
      </c>
      <c r="F57" s="32">
        <v>1.5400109442983386E-3</v>
      </c>
      <c r="G57" s="32">
        <v>5.1336494323651434E-3</v>
      </c>
      <c r="H57" s="32">
        <v>5.0598073040678485E-3</v>
      </c>
      <c r="I57" s="32">
        <v>5.3125341054596469E-3</v>
      </c>
      <c r="J57" s="32">
        <v>1.0979328890375843E-4</v>
      </c>
      <c r="K57" s="32">
        <v>6.2233752154881887E-3</v>
      </c>
      <c r="L57" s="32">
        <v>4.5219058072977379E-3</v>
      </c>
      <c r="M57" s="32">
        <v>4.0682159015757429E-3</v>
      </c>
      <c r="N57" s="32">
        <v>2.8639433170322935E-3</v>
      </c>
      <c r="O57" s="32">
        <v>6.0222470895708148E-3</v>
      </c>
      <c r="P57" s="32">
        <v>4.4262322006410138E-3</v>
      </c>
      <c r="Q57" s="32">
        <v>4.192122379671274E-3</v>
      </c>
      <c r="R57" s="32">
        <v>4.8748394375189835E-3</v>
      </c>
      <c r="S57" s="32">
        <v>7.5786944360201943E-3</v>
      </c>
      <c r="T57" s="32">
        <v>3.277477897630306E-3</v>
      </c>
      <c r="U57" s="32">
        <v>7.4606815040668926E-3</v>
      </c>
      <c r="V57" s="32">
        <v>7.8115731997130868E-3</v>
      </c>
      <c r="W57" s="32">
        <v>5.0441568305021754E-4</v>
      </c>
      <c r="X57" s="32">
        <v>5.977684326991241E-3</v>
      </c>
      <c r="Y57" s="32">
        <v>5.8937389042473384E-3</v>
      </c>
      <c r="Z57" s="32">
        <v>3.4804001902806899E-3</v>
      </c>
      <c r="AA57" s="32">
        <v>2.8796510300673327E-3</v>
      </c>
      <c r="AB57" s="32">
        <v>2.4376145091125675E-2</v>
      </c>
    </row>
    <row r="58" spans="1:28" ht="15" customHeight="1" x14ac:dyDescent="0.2">
      <c r="A58" s="41" t="s">
        <v>372</v>
      </c>
      <c r="B58" s="32">
        <v>1.5469573444983065E-3</v>
      </c>
      <c r="C58" s="32">
        <v>4.1715913438438723E-3</v>
      </c>
      <c r="D58" s="32">
        <v>3.7497543231025665E-3</v>
      </c>
      <c r="E58" s="32">
        <v>2.7823894892705092E-3</v>
      </c>
      <c r="F58" s="32">
        <v>8.052919497761879E-4</v>
      </c>
      <c r="G58" s="32">
        <v>3.3065909353679757E-3</v>
      </c>
      <c r="H58" s="32">
        <v>4.6352144102270176E-3</v>
      </c>
      <c r="I58" s="32">
        <v>4.6091871583963939E-3</v>
      </c>
      <c r="J58" s="32">
        <v>9.0236215427197397E-5</v>
      </c>
      <c r="K58" s="32">
        <v>5.9029482557422797E-3</v>
      </c>
      <c r="L58" s="32">
        <v>5.2613015842723487E-3</v>
      </c>
      <c r="M58" s="32">
        <v>1.9357214455775762E-3</v>
      </c>
      <c r="N58" s="32">
        <v>2.8071750767685588E-3</v>
      </c>
      <c r="O58" s="32">
        <v>5.3980858058098047E-3</v>
      </c>
      <c r="P58" s="32">
        <v>4.6537879646909308E-3</v>
      </c>
      <c r="Q58" s="32">
        <v>4.5610940723264659E-3</v>
      </c>
      <c r="R58" s="32">
        <v>5.4861749323387166E-3</v>
      </c>
      <c r="S58" s="32">
        <v>6.8411710582818308E-3</v>
      </c>
      <c r="T58" s="32">
        <v>2.1033188502372901E-3</v>
      </c>
      <c r="U58" s="32">
        <v>8.0693211872649995E-3</v>
      </c>
      <c r="V58" s="32">
        <v>6.2402452640323014E-3</v>
      </c>
      <c r="W58" s="32">
        <v>5.3322491102375524E-5</v>
      </c>
      <c r="X58" s="32">
        <v>7.1695649112237803E-3</v>
      </c>
      <c r="Y58" s="32">
        <v>5.5709523935462413E-3</v>
      </c>
      <c r="Z58" s="32">
        <v>3.7719051131663572E-3</v>
      </c>
      <c r="AA58" s="32">
        <v>2.8263995912604645E-3</v>
      </c>
      <c r="AB58" s="32">
        <v>9.3025148773184796E-5</v>
      </c>
    </row>
    <row r="59" spans="1:28" ht="15" customHeight="1" x14ac:dyDescent="0.2">
      <c r="A59" s="41" t="s">
        <v>373</v>
      </c>
      <c r="B59" s="32">
        <v>4.0274598917026792E-4</v>
      </c>
      <c r="C59" s="32">
        <v>1.2024346493363151E-4</v>
      </c>
      <c r="D59" s="32">
        <v>4.14966903223212E-4</v>
      </c>
      <c r="E59" s="32">
        <v>-3.6686734460820132E-5</v>
      </c>
      <c r="F59" s="32">
        <v>-1.1986479343299071E-5</v>
      </c>
      <c r="G59" s="32">
        <v>2.1358255343449036E-5</v>
      </c>
      <c r="H59" s="32">
        <v>1.4649733640472752E-4</v>
      </c>
      <c r="I59" s="32">
        <v>1.5469207537420262E-4</v>
      </c>
      <c r="J59" s="32">
        <v>7.4569687755680623E-7</v>
      </c>
      <c r="K59" s="32">
        <v>1.2949622780673769E-4</v>
      </c>
      <c r="L59" s="32">
        <v>2.380176751956188E-4</v>
      </c>
      <c r="M59" s="32">
        <v>2.0083690054965329E-4</v>
      </c>
      <c r="N59" s="32">
        <v>-2.3998603368203487E-5</v>
      </c>
      <c r="O59" s="32">
        <v>9.8088237390032463E-5</v>
      </c>
      <c r="P59" s="32">
        <v>-1.237799447652235E-5</v>
      </c>
      <c r="Q59" s="32">
        <v>2.5372241701982481E-5</v>
      </c>
      <c r="R59" s="32">
        <v>2.4362394125573218E-4</v>
      </c>
      <c r="S59" s="32">
        <v>-4.8740169209237148E-5</v>
      </c>
      <c r="T59" s="32">
        <v>-1.2938948803010761E-4</v>
      </c>
      <c r="U59" s="32">
        <v>1.0703726885401906E-4</v>
      </c>
      <c r="V59" s="32">
        <v>1.6304138806951042E-4</v>
      </c>
      <c r="W59" s="32">
        <v>-5.2866962638373308E-7</v>
      </c>
      <c r="X59" s="32">
        <v>4.142900376761763E-4</v>
      </c>
      <c r="Y59" s="32">
        <v>-7.044555192135292E-5</v>
      </c>
      <c r="Z59" s="32">
        <v>8.4276967551641729E-5</v>
      </c>
      <c r="AA59" s="32">
        <v>6.61232998856578E-5</v>
      </c>
      <c r="AB59" s="32">
        <v>1.2710505762490922E-3</v>
      </c>
    </row>
    <row r="60" spans="1:28" ht="15" customHeight="1" x14ac:dyDescent="0.2">
      <c r="A60" s="41" t="s">
        <v>374</v>
      </c>
      <c r="B60" s="32">
        <v>4.2984292843750715E-4</v>
      </c>
      <c r="C60" s="32">
        <v>0</v>
      </c>
      <c r="D60" s="32">
        <v>2.1529279745147178E-4</v>
      </c>
      <c r="E60" s="32">
        <v>0</v>
      </c>
      <c r="F60" s="32">
        <v>0</v>
      </c>
      <c r="G60" s="32">
        <v>0</v>
      </c>
      <c r="H60" s="32">
        <v>1.0325787729958957E-4</v>
      </c>
      <c r="I60" s="32">
        <v>1.1112637137733472E-4</v>
      </c>
      <c r="J60" s="32">
        <v>0</v>
      </c>
      <c r="K60" s="32">
        <v>1.0685238185115242E-4</v>
      </c>
      <c r="L60" s="32">
        <v>0</v>
      </c>
      <c r="M60" s="32">
        <v>0</v>
      </c>
      <c r="N60" s="32">
        <v>8.9156487922625871E-5</v>
      </c>
      <c r="O60" s="32">
        <v>1.3138906646359416E-4</v>
      </c>
      <c r="P60" s="32">
        <v>1.5474526011916012E-5</v>
      </c>
      <c r="Q60" s="32">
        <v>0</v>
      </c>
      <c r="R60" s="32">
        <v>1.2831698696502691E-4</v>
      </c>
      <c r="S60" s="32">
        <v>1.70316255546199E-4</v>
      </c>
      <c r="T60" s="32">
        <v>-1.2352724425779282E-4</v>
      </c>
      <c r="U60" s="32">
        <v>3.1682152417999987E-5</v>
      </c>
      <c r="V60" s="32">
        <v>-1.2734475241155119E-4</v>
      </c>
      <c r="W60" s="32">
        <v>0</v>
      </c>
      <c r="X60" s="32">
        <v>6.9430319003971341E-5</v>
      </c>
      <c r="Y60" s="32">
        <v>-2.2187539736057138E-4</v>
      </c>
      <c r="Z60" s="32">
        <v>0</v>
      </c>
      <c r="AA60" s="32">
        <v>0</v>
      </c>
      <c r="AB60" s="3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C133"/>
  <sheetViews>
    <sheetView workbookViewId="0">
      <selection activeCell="C9" sqref="C9"/>
    </sheetView>
  </sheetViews>
  <sheetFormatPr defaultColWidth="9" defaultRowHeight="13.5" x14ac:dyDescent="0.25"/>
  <cols>
    <col min="1" max="3" width="15.625" style="18" customWidth="1"/>
    <col min="4" max="16384" width="9" style="18"/>
  </cols>
  <sheetData>
    <row r="1" spans="1:3" x14ac:dyDescent="0.25">
      <c r="A1" s="39" t="s">
        <v>39</v>
      </c>
      <c r="B1" s="39" t="s">
        <v>67</v>
      </c>
      <c r="C1" s="39" t="s">
        <v>68</v>
      </c>
    </row>
    <row r="2" spans="1:3" x14ac:dyDescent="0.25">
      <c r="A2" s="30" t="s">
        <v>69</v>
      </c>
      <c r="B2" s="30" t="s">
        <v>70</v>
      </c>
      <c r="C2" s="40" t="s">
        <v>71</v>
      </c>
    </row>
    <row r="3" spans="1:3" x14ac:dyDescent="0.25">
      <c r="A3" s="30" t="s">
        <v>72</v>
      </c>
      <c r="B3" s="30" t="s">
        <v>73</v>
      </c>
      <c r="C3" s="40" t="s">
        <v>74</v>
      </c>
    </row>
    <row r="4" spans="1:3" x14ac:dyDescent="0.25">
      <c r="A4" s="30" t="s">
        <v>75</v>
      </c>
      <c r="B4" s="30" t="s">
        <v>76</v>
      </c>
      <c r="C4" s="40" t="s">
        <v>77</v>
      </c>
    </row>
    <row r="5" spans="1:3" x14ac:dyDescent="0.25">
      <c r="A5" s="30" t="s">
        <v>40</v>
      </c>
      <c r="B5" s="30" t="s">
        <v>78</v>
      </c>
      <c r="C5" s="40" t="s">
        <v>12</v>
      </c>
    </row>
    <row r="6" spans="1:3" x14ac:dyDescent="0.25">
      <c r="A6" s="30" t="s">
        <v>79</v>
      </c>
      <c r="B6" s="30" t="s">
        <v>80</v>
      </c>
      <c r="C6" s="40" t="s">
        <v>81</v>
      </c>
    </row>
    <row r="7" spans="1:3" x14ac:dyDescent="0.25">
      <c r="A7" s="30" t="s">
        <v>41</v>
      </c>
      <c r="B7" s="30" t="s">
        <v>73</v>
      </c>
      <c r="C7" s="40" t="s">
        <v>13</v>
      </c>
    </row>
    <row r="8" spans="1:3" x14ac:dyDescent="0.25">
      <c r="A8" s="30" t="s">
        <v>82</v>
      </c>
      <c r="B8" s="30" t="s">
        <v>83</v>
      </c>
      <c r="C8" s="40" t="s">
        <v>84</v>
      </c>
    </row>
    <row r="9" spans="1:3" x14ac:dyDescent="0.25">
      <c r="A9" s="30" t="s">
        <v>85</v>
      </c>
      <c r="B9" s="30" t="s">
        <v>73</v>
      </c>
      <c r="C9" s="40" t="s">
        <v>86</v>
      </c>
    </row>
    <row r="10" spans="1:3" x14ac:dyDescent="0.25">
      <c r="A10" s="30" t="s">
        <v>87</v>
      </c>
      <c r="B10" s="30" t="s">
        <v>73</v>
      </c>
      <c r="C10" s="40" t="s">
        <v>88</v>
      </c>
    </row>
    <row r="11" spans="1:3" x14ac:dyDescent="0.25">
      <c r="A11" s="30" t="s">
        <v>89</v>
      </c>
      <c r="B11" s="30" t="s">
        <v>90</v>
      </c>
      <c r="C11" s="40" t="s">
        <v>91</v>
      </c>
    </row>
    <row r="12" spans="1:3" x14ac:dyDescent="0.25">
      <c r="A12" s="30" t="s">
        <v>92</v>
      </c>
      <c r="B12" s="30" t="s">
        <v>93</v>
      </c>
      <c r="C12" s="40" t="s">
        <v>36</v>
      </c>
    </row>
    <row r="13" spans="1:3" x14ac:dyDescent="0.25">
      <c r="A13" s="30" t="s">
        <v>94</v>
      </c>
      <c r="B13" s="30" t="s">
        <v>73</v>
      </c>
      <c r="C13" s="40" t="s">
        <v>95</v>
      </c>
    </row>
    <row r="14" spans="1:3" x14ac:dyDescent="0.25">
      <c r="A14" s="30" t="s">
        <v>96</v>
      </c>
      <c r="B14" s="30" t="s">
        <v>73</v>
      </c>
      <c r="C14" s="40" t="s">
        <v>97</v>
      </c>
    </row>
    <row r="15" spans="1:3" x14ac:dyDescent="0.25">
      <c r="A15" s="30" t="s">
        <v>98</v>
      </c>
      <c r="B15" s="30" t="s">
        <v>99</v>
      </c>
      <c r="C15" s="40" t="s">
        <v>100</v>
      </c>
    </row>
    <row r="16" spans="1:3" x14ac:dyDescent="0.25">
      <c r="A16" s="30" t="s">
        <v>101</v>
      </c>
      <c r="B16" s="30" t="s">
        <v>102</v>
      </c>
      <c r="C16" s="40" t="s">
        <v>103</v>
      </c>
    </row>
    <row r="17" spans="1:3" x14ac:dyDescent="0.25">
      <c r="A17" s="30" t="s">
        <v>104</v>
      </c>
      <c r="B17" s="30" t="s">
        <v>105</v>
      </c>
      <c r="C17" s="40" t="s">
        <v>106</v>
      </c>
    </row>
    <row r="18" spans="1:3" x14ac:dyDescent="0.25">
      <c r="A18" s="30" t="s">
        <v>107</v>
      </c>
      <c r="B18" s="30" t="s">
        <v>108</v>
      </c>
      <c r="C18" s="40" t="s">
        <v>109</v>
      </c>
    </row>
    <row r="19" spans="1:3" x14ac:dyDescent="0.25">
      <c r="A19" s="30" t="s">
        <v>42</v>
      </c>
      <c r="B19" s="30" t="s">
        <v>110</v>
      </c>
      <c r="C19" s="40" t="s">
        <v>14</v>
      </c>
    </row>
    <row r="20" spans="1:3" x14ac:dyDescent="0.25">
      <c r="A20" s="30" t="s">
        <v>111</v>
      </c>
      <c r="B20" s="30" t="s">
        <v>112</v>
      </c>
      <c r="C20" s="40" t="s">
        <v>113</v>
      </c>
    </row>
    <row r="21" spans="1:3" x14ac:dyDescent="0.25">
      <c r="A21" s="30" t="s">
        <v>114</v>
      </c>
      <c r="B21" s="30" t="s">
        <v>73</v>
      </c>
      <c r="C21" s="40" t="s">
        <v>115</v>
      </c>
    </row>
    <row r="22" spans="1:3" x14ac:dyDescent="0.25">
      <c r="A22" s="30" t="s">
        <v>116</v>
      </c>
      <c r="B22" s="30" t="s">
        <v>117</v>
      </c>
      <c r="C22" s="40" t="s">
        <v>118</v>
      </c>
    </row>
    <row r="23" spans="1:3" x14ac:dyDescent="0.25">
      <c r="A23" s="30" t="s">
        <v>119</v>
      </c>
      <c r="B23" s="30" t="s">
        <v>73</v>
      </c>
      <c r="C23" s="40" t="s">
        <v>120</v>
      </c>
    </row>
    <row r="24" spans="1:3" x14ac:dyDescent="0.25">
      <c r="A24" s="30" t="s">
        <v>121</v>
      </c>
      <c r="B24" s="30" t="s">
        <v>73</v>
      </c>
      <c r="C24" s="40" t="s">
        <v>122</v>
      </c>
    </row>
    <row r="25" spans="1:3" x14ac:dyDescent="0.25">
      <c r="A25" s="30" t="s">
        <v>43</v>
      </c>
      <c r="B25" s="30" t="s">
        <v>78</v>
      </c>
      <c r="C25" s="40" t="s">
        <v>15</v>
      </c>
    </row>
    <row r="26" spans="1:3" x14ac:dyDescent="0.25">
      <c r="A26" s="30" t="s">
        <v>44</v>
      </c>
      <c r="B26" s="30" t="s">
        <v>123</v>
      </c>
      <c r="C26" s="40" t="s">
        <v>16</v>
      </c>
    </row>
    <row r="27" spans="1:3" x14ac:dyDescent="0.25">
      <c r="A27" s="30" t="s">
        <v>45</v>
      </c>
      <c r="B27" s="30" t="s">
        <v>78</v>
      </c>
      <c r="C27" s="40" t="s">
        <v>17</v>
      </c>
    </row>
    <row r="28" spans="1:3" x14ac:dyDescent="0.25">
      <c r="A28" s="30" t="s">
        <v>124</v>
      </c>
      <c r="B28" s="30" t="s">
        <v>125</v>
      </c>
      <c r="C28" s="40" t="s">
        <v>126</v>
      </c>
    </row>
    <row r="29" spans="1:3" x14ac:dyDescent="0.25">
      <c r="A29" s="18" t="s">
        <v>127</v>
      </c>
      <c r="B29" s="18" t="s">
        <v>128</v>
      </c>
      <c r="C29" s="40" t="s">
        <v>129</v>
      </c>
    </row>
    <row r="30" spans="1:3" x14ac:dyDescent="0.25">
      <c r="A30" s="18" t="s">
        <v>130</v>
      </c>
      <c r="B30" s="18" t="s">
        <v>78</v>
      </c>
      <c r="C30" s="40" t="s">
        <v>131</v>
      </c>
    </row>
    <row r="31" spans="1:3" x14ac:dyDescent="0.25">
      <c r="A31" s="18" t="s">
        <v>132</v>
      </c>
      <c r="B31" s="18" t="s">
        <v>93</v>
      </c>
      <c r="C31" s="40" t="s">
        <v>36</v>
      </c>
    </row>
    <row r="32" spans="1:3" x14ac:dyDescent="0.25">
      <c r="A32" s="18" t="s">
        <v>46</v>
      </c>
      <c r="B32" s="18" t="s">
        <v>133</v>
      </c>
      <c r="C32" s="40" t="s">
        <v>18</v>
      </c>
    </row>
    <row r="33" spans="1:3" x14ac:dyDescent="0.25">
      <c r="A33" s="18" t="s">
        <v>134</v>
      </c>
      <c r="B33" s="18" t="s">
        <v>135</v>
      </c>
      <c r="C33" s="40" t="s">
        <v>136</v>
      </c>
    </row>
    <row r="34" spans="1:3" x14ac:dyDescent="0.25">
      <c r="A34" s="18" t="s">
        <v>47</v>
      </c>
      <c r="B34" s="18" t="s">
        <v>78</v>
      </c>
      <c r="C34" s="40" t="s">
        <v>19</v>
      </c>
    </row>
    <row r="35" spans="1:3" x14ac:dyDescent="0.25">
      <c r="A35" s="18" t="s">
        <v>137</v>
      </c>
      <c r="B35" s="18" t="s">
        <v>73</v>
      </c>
      <c r="C35" s="40" t="s">
        <v>138</v>
      </c>
    </row>
    <row r="36" spans="1:3" x14ac:dyDescent="0.25">
      <c r="A36" s="18" t="s">
        <v>139</v>
      </c>
      <c r="B36" s="18" t="s">
        <v>112</v>
      </c>
      <c r="C36" s="40" t="s">
        <v>140</v>
      </c>
    </row>
    <row r="37" spans="1:3" x14ac:dyDescent="0.25">
      <c r="A37" s="18" t="s">
        <v>141</v>
      </c>
      <c r="B37" s="18" t="s">
        <v>142</v>
      </c>
      <c r="C37" s="40" t="s">
        <v>143</v>
      </c>
    </row>
    <row r="38" spans="1:3" x14ac:dyDescent="0.25">
      <c r="A38" s="18" t="s">
        <v>144</v>
      </c>
      <c r="B38" s="18" t="s">
        <v>112</v>
      </c>
      <c r="C38" s="40" t="s">
        <v>113</v>
      </c>
    </row>
    <row r="39" spans="1:3" x14ac:dyDescent="0.25">
      <c r="A39" s="18" t="s">
        <v>145</v>
      </c>
      <c r="B39" s="18" t="s">
        <v>146</v>
      </c>
      <c r="C39" s="40" t="s">
        <v>147</v>
      </c>
    </row>
    <row r="40" spans="1:3" x14ac:dyDescent="0.25">
      <c r="A40" s="18" t="s">
        <v>148</v>
      </c>
      <c r="B40" s="18" t="s">
        <v>148</v>
      </c>
      <c r="C40" s="40" t="s">
        <v>36</v>
      </c>
    </row>
    <row r="41" spans="1:3" x14ac:dyDescent="0.25">
      <c r="A41" s="18" t="s">
        <v>149</v>
      </c>
      <c r="B41" s="18" t="s">
        <v>112</v>
      </c>
      <c r="C41" s="40" t="s">
        <v>150</v>
      </c>
    </row>
    <row r="42" spans="1:3" x14ac:dyDescent="0.25">
      <c r="A42" s="18" t="s">
        <v>151</v>
      </c>
      <c r="B42" s="18" t="s">
        <v>73</v>
      </c>
      <c r="C42" s="40" t="s">
        <v>152</v>
      </c>
    </row>
    <row r="43" spans="1:3" x14ac:dyDescent="0.25">
      <c r="A43" s="18" t="s">
        <v>153</v>
      </c>
      <c r="B43" s="18" t="s">
        <v>93</v>
      </c>
      <c r="C43" s="40" t="s">
        <v>36</v>
      </c>
    </row>
    <row r="44" spans="1:3" x14ac:dyDescent="0.25">
      <c r="A44" s="18" t="s">
        <v>154</v>
      </c>
      <c r="B44" s="18" t="s">
        <v>155</v>
      </c>
      <c r="C44" s="40" t="s">
        <v>156</v>
      </c>
    </row>
    <row r="45" spans="1:3" x14ac:dyDescent="0.25">
      <c r="A45" s="18" t="s">
        <v>157</v>
      </c>
      <c r="B45" s="18" t="s">
        <v>112</v>
      </c>
      <c r="C45" s="40" t="s">
        <v>158</v>
      </c>
    </row>
    <row r="46" spans="1:3" x14ac:dyDescent="0.25">
      <c r="A46" s="18" t="s">
        <v>159</v>
      </c>
      <c r="B46" s="18" t="s">
        <v>93</v>
      </c>
      <c r="C46" s="40" t="s">
        <v>36</v>
      </c>
    </row>
    <row r="47" spans="1:3" x14ac:dyDescent="0.25">
      <c r="A47" s="18" t="s">
        <v>160</v>
      </c>
      <c r="B47" s="18" t="s">
        <v>161</v>
      </c>
      <c r="C47" s="40" t="s">
        <v>162</v>
      </c>
    </row>
    <row r="48" spans="1:3" x14ac:dyDescent="0.25">
      <c r="A48" s="18" t="s">
        <v>163</v>
      </c>
      <c r="B48" s="18" t="s">
        <v>112</v>
      </c>
      <c r="C48" s="40" t="s">
        <v>164</v>
      </c>
    </row>
    <row r="49" spans="1:3" x14ac:dyDescent="0.25">
      <c r="A49" s="18" t="s">
        <v>165</v>
      </c>
      <c r="B49" s="18" t="s">
        <v>73</v>
      </c>
      <c r="C49" s="40" t="s">
        <v>166</v>
      </c>
    </row>
    <row r="50" spans="1:3" x14ac:dyDescent="0.25">
      <c r="A50" s="18" t="s">
        <v>167</v>
      </c>
      <c r="B50" s="18" t="s">
        <v>93</v>
      </c>
      <c r="C50" s="40" t="s">
        <v>36</v>
      </c>
    </row>
    <row r="51" spans="1:3" x14ac:dyDescent="0.25">
      <c r="A51" s="18" t="s">
        <v>168</v>
      </c>
      <c r="B51" s="18" t="s">
        <v>169</v>
      </c>
      <c r="C51" s="40" t="s">
        <v>170</v>
      </c>
    </row>
    <row r="52" spans="1:3" x14ac:dyDescent="0.25">
      <c r="A52" s="18" t="s">
        <v>48</v>
      </c>
      <c r="B52" s="18" t="s">
        <v>73</v>
      </c>
      <c r="C52" s="40" t="s">
        <v>20</v>
      </c>
    </row>
    <row r="53" spans="1:3" x14ac:dyDescent="0.25">
      <c r="A53" s="18" t="s">
        <v>49</v>
      </c>
      <c r="B53" s="18" t="s">
        <v>171</v>
      </c>
      <c r="C53" s="40" t="s">
        <v>21</v>
      </c>
    </row>
    <row r="54" spans="1:3" x14ac:dyDescent="0.25">
      <c r="A54" s="18" t="s">
        <v>172</v>
      </c>
      <c r="B54" s="18" t="s">
        <v>173</v>
      </c>
      <c r="C54" s="40" t="s">
        <v>174</v>
      </c>
    </row>
    <row r="55" spans="1:3" x14ac:dyDescent="0.25">
      <c r="A55" s="18" t="s">
        <v>50</v>
      </c>
      <c r="B55" s="18" t="s">
        <v>175</v>
      </c>
      <c r="C55" s="40" t="s">
        <v>22</v>
      </c>
    </row>
    <row r="56" spans="1:3" x14ac:dyDescent="0.25">
      <c r="A56" s="18" t="s">
        <v>51</v>
      </c>
      <c r="B56" s="18" t="s">
        <v>176</v>
      </c>
      <c r="C56" s="40" t="s">
        <v>23</v>
      </c>
    </row>
    <row r="57" spans="1:3" x14ac:dyDescent="0.25">
      <c r="A57" s="18" t="s">
        <v>177</v>
      </c>
      <c r="B57" s="18" t="s">
        <v>178</v>
      </c>
      <c r="C57" s="40" t="s">
        <v>179</v>
      </c>
    </row>
    <row r="58" spans="1:3" x14ac:dyDescent="0.25">
      <c r="A58" s="18" t="s">
        <v>180</v>
      </c>
      <c r="B58" s="18" t="s">
        <v>93</v>
      </c>
      <c r="C58" s="40" t="s">
        <v>36</v>
      </c>
    </row>
    <row r="59" spans="1:3" x14ac:dyDescent="0.25">
      <c r="A59" s="18" t="s">
        <v>181</v>
      </c>
      <c r="B59" s="18" t="s">
        <v>112</v>
      </c>
      <c r="C59" s="40" t="s">
        <v>182</v>
      </c>
    </row>
    <row r="60" spans="1:3" x14ac:dyDescent="0.25">
      <c r="A60" s="18" t="s">
        <v>52</v>
      </c>
      <c r="B60" s="18" t="s">
        <v>183</v>
      </c>
      <c r="C60" s="40" t="s">
        <v>24</v>
      </c>
    </row>
    <row r="61" spans="1:3" x14ac:dyDescent="0.25">
      <c r="A61" s="18" t="s">
        <v>184</v>
      </c>
      <c r="B61" s="18" t="s">
        <v>93</v>
      </c>
      <c r="C61" s="40" t="s">
        <v>36</v>
      </c>
    </row>
    <row r="62" spans="1:3" x14ac:dyDescent="0.25">
      <c r="A62" s="18" t="s">
        <v>185</v>
      </c>
      <c r="B62" s="18" t="s">
        <v>73</v>
      </c>
      <c r="C62" s="40" t="s">
        <v>186</v>
      </c>
    </row>
    <row r="63" spans="1:3" x14ac:dyDescent="0.25">
      <c r="A63" s="18" t="s">
        <v>187</v>
      </c>
      <c r="B63" s="18" t="s">
        <v>188</v>
      </c>
      <c r="C63" s="40" t="s">
        <v>189</v>
      </c>
    </row>
    <row r="64" spans="1:3" x14ac:dyDescent="0.25">
      <c r="A64" s="18" t="s">
        <v>190</v>
      </c>
      <c r="B64" s="18" t="s">
        <v>112</v>
      </c>
      <c r="C64" s="40" t="s">
        <v>191</v>
      </c>
    </row>
    <row r="65" spans="1:3" x14ac:dyDescent="0.25">
      <c r="A65" s="18" t="s">
        <v>192</v>
      </c>
      <c r="B65" s="18" t="s">
        <v>193</v>
      </c>
      <c r="C65" s="40" t="s">
        <v>194</v>
      </c>
    </row>
    <row r="66" spans="1:3" x14ac:dyDescent="0.25">
      <c r="A66" s="18" t="s">
        <v>195</v>
      </c>
      <c r="B66" s="18" t="s">
        <v>196</v>
      </c>
      <c r="C66" s="40" t="s">
        <v>197</v>
      </c>
    </row>
    <row r="67" spans="1:3" x14ac:dyDescent="0.25">
      <c r="A67" s="18" t="s">
        <v>198</v>
      </c>
      <c r="B67" s="18" t="s">
        <v>196</v>
      </c>
      <c r="C67" s="40" t="s">
        <v>35</v>
      </c>
    </row>
    <row r="68" spans="1:3" x14ac:dyDescent="0.25">
      <c r="A68" s="18" t="s">
        <v>199</v>
      </c>
      <c r="B68" s="18" t="s">
        <v>200</v>
      </c>
      <c r="C68" s="40" t="s">
        <v>201</v>
      </c>
    </row>
    <row r="69" spans="1:3" x14ac:dyDescent="0.25">
      <c r="A69" s="18" t="s">
        <v>202</v>
      </c>
      <c r="B69" s="18" t="s">
        <v>203</v>
      </c>
      <c r="C69" s="40" t="s">
        <v>204</v>
      </c>
    </row>
    <row r="70" spans="1:3" x14ac:dyDescent="0.25">
      <c r="A70" s="18" t="s">
        <v>205</v>
      </c>
      <c r="B70" s="18" t="s">
        <v>206</v>
      </c>
      <c r="C70" s="40" t="s">
        <v>207</v>
      </c>
    </row>
    <row r="71" spans="1:3" x14ac:dyDescent="0.25">
      <c r="A71" s="18" t="s">
        <v>208</v>
      </c>
      <c r="B71" s="18" t="s">
        <v>112</v>
      </c>
      <c r="C71" s="40" t="s">
        <v>209</v>
      </c>
    </row>
    <row r="72" spans="1:3" x14ac:dyDescent="0.25">
      <c r="A72" s="18" t="s">
        <v>210</v>
      </c>
      <c r="B72" s="18" t="s">
        <v>73</v>
      </c>
      <c r="C72" s="40" t="s">
        <v>211</v>
      </c>
    </row>
    <row r="73" spans="1:3" x14ac:dyDescent="0.25">
      <c r="A73" s="18" t="s">
        <v>212</v>
      </c>
      <c r="B73" s="18" t="s">
        <v>213</v>
      </c>
      <c r="C73" s="40" t="s">
        <v>214</v>
      </c>
    </row>
    <row r="74" spans="1:3" x14ac:dyDescent="0.25">
      <c r="A74" s="18" t="s">
        <v>215</v>
      </c>
      <c r="B74" s="18" t="s">
        <v>216</v>
      </c>
      <c r="C74" s="40" t="s">
        <v>217</v>
      </c>
    </row>
    <row r="75" spans="1:3" x14ac:dyDescent="0.25">
      <c r="A75" s="18" t="s">
        <v>218</v>
      </c>
      <c r="B75" s="18" t="s">
        <v>93</v>
      </c>
      <c r="C75" s="40" t="s">
        <v>36</v>
      </c>
    </row>
    <row r="76" spans="1:3" x14ac:dyDescent="0.25">
      <c r="A76" s="18" t="s">
        <v>219</v>
      </c>
      <c r="B76" s="18" t="s">
        <v>220</v>
      </c>
      <c r="C76" s="40" t="s">
        <v>221</v>
      </c>
    </row>
    <row r="77" spans="1:3" x14ac:dyDescent="0.25">
      <c r="A77" s="18" t="s">
        <v>53</v>
      </c>
      <c r="B77" s="18" t="s">
        <v>222</v>
      </c>
      <c r="C77" s="40" t="s">
        <v>25</v>
      </c>
    </row>
    <row r="78" spans="1:3" x14ac:dyDescent="0.25">
      <c r="A78" s="18" t="s">
        <v>223</v>
      </c>
      <c r="B78" s="18" t="s">
        <v>93</v>
      </c>
      <c r="C78" s="40" t="s">
        <v>36</v>
      </c>
    </row>
    <row r="79" spans="1:3" x14ac:dyDescent="0.25">
      <c r="A79" s="18" t="s">
        <v>224</v>
      </c>
      <c r="B79" s="18" t="s">
        <v>225</v>
      </c>
      <c r="C79" s="40" t="s">
        <v>226</v>
      </c>
    </row>
    <row r="80" spans="1:3" x14ac:dyDescent="0.25">
      <c r="A80" s="18" t="s">
        <v>54</v>
      </c>
      <c r="B80" s="18" t="s">
        <v>78</v>
      </c>
      <c r="C80" s="40" t="s">
        <v>26</v>
      </c>
    </row>
    <row r="81" spans="1:3" x14ac:dyDescent="0.25">
      <c r="A81" s="18" t="s">
        <v>227</v>
      </c>
      <c r="B81" s="18" t="s">
        <v>228</v>
      </c>
      <c r="C81" s="40" t="s">
        <v>229</v>
      </c>
    </row>
    <row r="82" spans="1:3" x14ac:dyDescent="0.25">
      <c r="A82" s="18" t="s">
        <v>230</v>
      </c>
      <c r="B82" s="18" t="s">
        <v>231</v>
      </c>
      <c r="C82" s="40" t="s">
        <v>232</v>
      </c>
    </row>
    <row r="83" spans="1:3" x14ac:dyDescent="0.25">
      <c r="A83" s="18" t="s">
        <v>233</v>
      </c>
      <c r="B83" s="18" t="s">
        <v>73</v>
      </c>
      <c r="C83" s="40" t="s">
        <v>234</v>
      </c>
    </row>
    <row r="84" spans="1:3" x14ac:dyDescent="0.25">
      <c r="A84" s="18" t="s">
        <v>235</v>
      </c>
      <c r="B84" s="18" t="s">
        <v>225</v>
      </c>
      <c r="C84" s="40" t="s">
        <v>236</v>
      </c>
    </row>
    <row r="85" spans="1:3" x14ac:dyDescent="0.25">
      <c r="A85" s="18" t="s">
        <v>237</v>
      </c>
      <c r="B85" s="18" t="s">
        <v>80</v>
      </c>
      <c r="C85" s="40" t="s">
        <v>238</v>
      </c>
    </row>
    <row r="86" spans="1:3" x14ac:dyDescent="0.25">
      <c r="A86" s="18" t="s">
        <v>239</v>
      </c>
      <c r="B86" s="18" t="s">
        <v>93</v>
      </c>
      <c r="C86" s="40" t="s">
        <v>36</v>
      </c>
    </row>
    <row r="87" spans="1:3" x14ac:dyDescent="0.25">
      <c r="A87" s="18" t="s">
        <v>55</v>
      </c>
      <c r="B87" s="18" t="s">
        <v>73</v>
      </c>
      <c r="C87" s="40" t="s">
        <v>27</v>
      </c>
    </row>
    <row r="88" spans="1:3" x14ac:dyDescent="0.25">
      <c r="A88" s="18" t="s">
        <v>240</v>
      </c>
      <c r="B88" s="18" t="s">
        <v>241</v>
      </c>
      <c r="C88" s="40" t="s">
        <v>242</v>
      </c>
    </row>
    <row r="89" spans="1:3" x14ac:dyDescent="0.25">
      <c r="A89" s="18" t="s">
        <v>243</v>
      </c>
      <c r="B89" s="18" t="s">
        <v>244</v>
      </c>
      <c r="C89" s="40" t="s">
        <v>245</v>
      </c>
    </row>
    <row r="90" spans="1:3" x14ac:dyDescent="0.25">
      <c r="A90" s="18" t="s">
        <v>246</v>
      </c>
      <c r="B90" s="18" t="s">
        <v>196</v>
      </c>
      <c r="C90" s="40" t="s">
        <v>197</v>
      </c>
    </row>
    <row r="91" spans="1:3" x14ac:dyDescent="0.25">
      <c r="A91" s="18" t="s">
        <v>247</v>
      </c>
      <c r="B91" s="18" t="s">
        <v>248</v>
      </c>
      <c r="C91" s="40" t="s">
        <v>249</v>
      </c>
    </row>
    <row r="92" spans="1:3" x14ac:dyDescent="0.25">
      <c r="A92" s="18" t="s">
        <v>250</v>
      </c>
      <c r="B92" s="18" t="s">
        <v>178</v>
      </c>
      <c r="C92" s="40" t="s">
        <v>251</v>
      </c>
    </row>
    <row r="93" spans="1:3" x14ac:dyDescent="0.25">
      <c r="A93" s="18" t="s">
        <v>56</v>
      </c>
      <c r="B93" s="18" t="s">
        <v>225</v>
      </c>
      <c r="C93" s="40" t="s">
        <v>28</v>
      </c>
    </row>
    <row r="94" spans="1:3" x14ac:dyDescent="0.25">
      <c r="A94" s="18" t="s">
        <v>252</v>
      </c>
      <c r="B94" s="18" t="s">
        <v>253</v>
      </c>
      <c r="C94" s="40" t="s">
        <v>254</v>
      </c>
    </row>
    <row r="95" spans="1:3" x14ac:dyDescent="0.25">
      <c r="A95" s="18" t="s">
        <v>255</v>
      </c>
      <c r="B95" s="18" t="s">
        <v>256</v>
      </c>
      <c r="C95" s="40" t="s">
        <v>257</v>
      </c>
    </row>
    <row r="96" spans="1:3" x14ac:dyDescent="0.25">
      <c r="A96" s="18" t="s">
        <v>57</v>
      </c>
      <c r="B96" s="18" t="s">
        <v>258</v>
      </c>
      <c r="C96" s="40" t="s">
        <v>29</v>
      </c>
    </row>
    <row r="97" spans="1:3" x14ac:dyDescent="0.25">
      <c r="A97" s="18" t="s">
        <v>58</v>
      </c>
      <c r="B97" s="18" t="s">
        <v>78</v>
      </c>
      <c r="C97" s="40" t="s">
        <v>30</v>
      </c>
    </row>
    <row r="98" spans="1:3" x14ac:dyDescent="0.25">
      <c r="A98" s="18" t="s">
        <v>59</v>
      </c>
      <c r="B98" s="18" t="s">
        <v>259</v>
      </c>
      <c r="C98" s="40" t="s">
        <v>31</v>
      </c>
    </row>
    <row r="99" spans="1:3" x14ac:dyDescent="0.25">
      <c r="A99" s="18" t="s">
        <v>260</v>
      </c>
      <c r="B99" s="18" t="s">
        <v>178</v>
      </c>
      <c r="C99" s="40" t="s">
        <v>261</v>
      </c>
    </row>
    <row r="100" spans="1:3" x14ac:dyDescent="0.25">
      <c r="A100" s="18" t="s">
        <v>262</v>
      </c>
      <c r="B100" s="18" t="s">
        <v>263</v>
      </c>
      <c r="C100" s="40" t="s">
        <v>264</v>
      </c>
    </row>
    <row r="101" spans="1:3" x14ac:dyDescent="0.25">
      <c r="A101" s="18" t="s">
        <v>60</v>
      </c>
      <c r="B101" s="18" t="s">
        <v>90</v>
      </c>
      <c r="C101" s="40" t="s">
        <v>32</v>
      </c>
    </row>
    <row r="102" spans="1:3" x14ac:dyDescent="0.25">
      <c r="A102" s="18" t="s">
        <v>265</v>
      </c>
      <c r="B102" s="18" t="s">
        <v>112</v>
      </c>
      <c r="C102" s="40" t="s">
        <v>266</v>
      </c>
    </row>
    <row r="103" spans="1:3" x14ac:dyDescent="0.25">
      <c r="A103" s="18" t="s">
        <v>61</v>
      </c>
      <c r="B103" s="18" t="s">
        <v>267</v>
      </c>
      <c r="C103" s="40" t="s">
        <v>33</v>
      </c>
    </row>
    <row r="104" spans="1:3" x14ac:dyDescent="0.25">
      <c r="A104" s="18" t="s">
        <v>268</v>
      </c>
      <c r="B104" s="18" t="s">
        <v>269</v>
      </c>
      <c r="C104" s="40" t="s">
        <v>270</v>
      </c>
    </row>
    <row r="105" spans="1:3" x14ac:dyDescent="0.25">
      <c r="A105" s="18" t="s">
        <v>271</v>
      </c>
      <c r="B105" s="18" t="s">
        <v>225</v>
      </c>
      <c r="C105" s="40" t="s">
        <v>272</v>
      </c>
    </row>
    <row r="106" spans="1:3" x14ac:dyDescent="0.25">
      <c r="A106" s="18" t="s">
        <v>273</v>
      </c>
      <c r="B106" s="18" t="s">
        <v>73</v>
      </c>
      <c r="C106" s="40" t="s">
        <v>274</v>
      </c>
    </row>
    <row r="107" spans="1:3" x14ac:dyDescent="0.25">
      <c r="A107" s="18" t="s">
        <v>275</v>
      </c>
      <c r="B107" s="18" t="s">
        <v>93</v>
      </c>
      <c r="C107" s="40" t="s">
        <v>36</v>
      </c>
    </row>
    <row r="108" spans="1:3" x14ac:dyDescent="0.25">
      <c r="A108" s="18" t="s">
        <v>276</v>
      </c>
      <c r="B108" s="18" t="s">
        <v>73</v>
      </c>
      <c r="C108" s="40" t="s">
        <v>277</v>
      </c>
    </row>
    <row r="109" spans="1:3" x14ac:dyDescent="0.25">
      <c r="A109" s="18" t="s">
        <v>278</v>
      </c>
      <c r="B109" s="18" t="s">
        <v>279</v>
      </c>
      <c r="C109" s="40" t="s">
        <v>280</v>
      </c>
    </row>
    <row r="110" spans="1:3" x14ac:dyDescent="0.25">
      <c r="A110" s="18" t="s">
        <v>62</v>
      </c>
      <c r="B110" s="18" t="s">
        <v>281</v>
      </c>
      <c r="C110" s="40" t="s">
        <v>34</v>
      </c>
    </row>
    <row r="111" spans="1:3" x14ac:dyDescent="0.25">
      <c r="A111" s="18" t="s">
        <v>63</v>
      </c>
      <c r="B111" s="18" t="s">
        <v>196</v>
      </c>
      <c r="C111" s="40" t="s">
        <v>35</v>
      </c>
    </row>
    <row r="112" spans="1:3" x14ac:dyDescent="0.25">
      <c r="A112" s="18" t="s">
        <v>64</v>
      </c>
      <c r="B112" s="18" t="s">
        <v>93</v>
      </c>
      <c r="C112" s="40" t="s">
        <v>36</v>
      </c>
    </row>
    <row r="113" spans="1:3" x14ac:dyDescent="0.25">
      <c r="A113" s="18" t="s">
        <v>282</v>
      </c>
      <c r="B113" s="18" t="s">
        <v>225</v>
      </c>
      <c r="C113" s="40" t="s">
        <v>283</v>
      </c>
    </row>
    <row r="114" spans="1:3" x14ac:dyDescent="0.25">
      <c r="A114" s="18" t="s">
        <v>284</v>
      </c>
      <c r="B114" s="18" t="s">
        <v>285</v>
      </c>
      <c r="C114" s="40" t="s">
        <v>286</v>
      </c>
    </row>
    <row r="115" spans="1:3" x14ac:dyDescent="0.25">
      <c r="A115" s="18" t="s">
        <v>287</v>
      </c>
      <c r="B115" s="18" t="s">
        <v>288</v>
      </c>
      <c r="C115" s="40" t="s">
        <v>214</v>
      </c>
    </row>
    <row r="116" spans="1:3" x14ac:dyDescent="0.25">
      <c r="A116" s="18" t="s">
        <v>289</v>
      </c>
      <c r="B116" s="18" t="s">
        <v>73</v>
      </c>
      <c r="C116" s="40" t="s">
        <v>290</v>
      </c>
    </row>
    <row r="117" spans="1:3" x14ac:dyDescent="0.25">
      <c r="A117" s="18" t="s">
        <v>291</v>
      </c>
      <c r="B117" s="18" t="s">
        <v>112</v>
      </c>
      <c r="C117" s="40" t="s">
        <v>292</v>
      </c>
    </row>
    <row r="118" spans="1:3" x14ac:dyDescent="0.25">
      <c r="A118" s="18" t="s">
        <v>293</v>
      </c>
      <c r="B118" s="18" t="s">
        <v>294</v>
      </c>
      <c r="C118" s="40" t="s">
        <v>295</v>
      </c>
    </row>
    <row r="119" spans="1:3" x14ac:dyDescent="0.25">
      <c r="A119" s="18" t="s">
        <v>296</v>
      </c>
      <c r="B119" s="18" t="s">
        <v>297</v>
      </c>
      <c r="C119" s="40" t="s">
        <v>298</v>
      </c>
    </row>
    <row r="120" spans="1:3" x14ac:dyDescent="0.25">
      <c r="A120" s="18" t="s">
        <v>299</v>
      </c>
      <c r="B120" s="18" t="s">
        <v>73</v>
      </c>
      <c r="C120" s="40" t="s">
        <v>300</v>
      </c>
    </row>
    <row r="121" spans="1:3" x14ac:dyDescent="0.25">
      <c r="A121" s="18" t="s">
        <v>65</v>
      </c>
      <c r="B121" s="18" t="s">
        <v>301</v>
      </c>
      <c r="C121" s="40" t="s">
        <v>37</v>
      </c>
    </row>
    <row r="122" spans="1:3" x14ac:dyDescent="0.25">
      <c r="A122" s="18" t="s">
        <v>65</v>
      </c>
      <c r="B122" s="18" t="s">
        <v>302</v>
      </c>
      <c r="C122" s="40" t="s">
        <v>303</v>
      </c>
    </row>
    <row r="123" spans="1:3" x14ac:dyDescent="0.25">
      <c r="A123" s="18" t="s">
        <v>304</v>
      </c>
      <c r="B123" s="18" t="s">
        <v>73</v>
      </c>
      <c r="C123" s="40" t="s">
        <v>305</v>
      </c>
    </row>
    <row r="124" spans="1:3" x14ac:dyDescent="0.25">
      <c r="A124" s="18" t="s">
        <v>306</v>
      </c>
      <c r="B124" s="18" t="s">
        <v>307</v>
      </c>
      <c r="C124" s="40" t="s">
        <v>308</v>
      </c>
    </row>
    <row r="125" spans="1:3" x14ac:dyDescent="0.25">
      <c r="A125" s="18" t="s">
        <v>309</v>
      </c>
      <c r="B125" s="18" t="s">
        <v>112</v>
      </c>
      <c r="C125" s="40" t="s">
        <v>113</v>
      </c>
    </row>
    <row r="126" spans="1:3" x14ac:dyDescent="0.25">
      <c r="A126" s="18" t="s">
        <v>310</v>
      </c>
      <c r="B126" s="18" t="s">
        <v>73</v>
      </c>
      <c r="C126" s="40" t="s">
        <v>74</v>
      </c>
    </row>
    <row r="127" spans="1:3" x14ac:dyDescent="0.25">
      <c r="A127" s="18" t="s">
        <v>311</v>
      </c>
      <c r="B127" s="18" t="s">
        <v>78</v>
      </c>
      <c r="C127" s="40" t="s">
        <v>312</v>
      </c>
    </row>
    <row r="128" spans="1:3" x14ac:dyDescent="0.25">
      <c r="A128" s="18" t="s">
        <v>313</v>
      </c>
      <c r="B128" s="18" t="s">
        <v>314</v>
      </c>
      <c r="C128" s="40" t="s">
        <v>315</v>
      </c>
    </row>
    <row r="129" spans="1:3" x14ac:dyDescent="0.25">
      <c r="A129" s="18" t="s">
        <v>316</v>
      </c>
      <c r="B129" s="18" t="s">
        <v>93</v>
      </c>
      <c r="C129" s="40" t="s">
        <v>36</v>
      </c>
    </row>
    <row r="130" spans="1:3" x14ac:dyDescent="0.25">
      <c r="A130" s="18" t="s">
        <v>66</v>
      </c>
      <c r="B130" s="18" t="s">
        <v>317</v>
      </c>
      <c r="C130" s="40" t="s">
        <v>38</v>
      </c>
    </row>
    <row r="131" spans="1:3" x14ac:dyDescent="0.25">
      <c r="A131" s="18" t="s">
        <v>318</v>
      </c>
      <c r="B131" s="18" t="s">
        <v>319</v>
      </c>
      <c r="C131" s="40" t="s">
        <v>320</v>
      </c>
    </row>
    <row r="132" spans="1:3" x14ac:dyDescent="0.25">
      <c r="A132" s="18" t="s">
        <v>321</v>
      </c>
      <c r="B132" s="18" t="s">
        <v>178</v>
      </c>
      <c r="C132" s="40" t="s">
        <v>322</v>
      </c>
    </row>
    <row r="133" spans="1:3" x14ac:dyDescent="0.25">
      <c r="A133" s="18" t="s">
        <v>323</v>
      </c>
      <c r="B133" s="18" t="s">
        <v>324</v>
      </c>
      <c r="C133" s="40" t="s">
        <v>325</v>
      </c>
    </row>
  </sheetData>
  <autoFilter ref="A1:C13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CONTROL</vt:lpstr>
      <vt:lpstr>DATA</vt:lpstr>
      <vt:lpstr>MOMENTS</vt:lpstr>
      <vt:lpstr>GUIDELINES</vt:lpstr>
      <vt:lpstr>TREND_CHART</vt:lpstr>
      <vt:lpstr>HIST_DATA</vt:lpstr>
      <vt:lpstr>INDEX</vt:lpstr>
      <vt:lpstr>INPUTS</vt:lpstr>
      <vt:lpstr>NO_PERIODS</vt:lpstr>
      <vt:lpstr>PARAMETERS</vt:lpstr>
      <vt:lpstr>POSITION</vt:lpstr>
    </vt:vector>
  </TitlesOfParts>
  <Company>ProcessTrends.com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Fermin</dc:creator>
  <cp:lastModifiedBy>Windows User</cp:lastModifiedBy>
  <dcterms:created xsi:type="dcterms:W3CDTF">2006-06-22T15:34:45Z</dcterms:created>
  <dcterms:modified xsi:type="dcterms:W3CDTF">2013-02-28T03:52:23Z</dcterms:modified>
</cp:coreProperties>
</file>