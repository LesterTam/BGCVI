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/>
  </bookViews>
  <sheets>
    <sheet name="MODEL" sheetId="21" r:id="rId1"/>
    <sheet name="MOVING_VOLATILITY_CAGR_CHART" sheetId="18" r:id="rId2"/>
  </sheets>
  <definedNames>
    <definedName name="CAGR_AXIS">MODEL!$Q$7:$Q$66</definedName>
    <definedName name="DATE_AXIS">MODEL!$G$7:$G$66</definedName>
    <definedName name="INPUTS">MODEL!$C$5:$C$8</definedName>
    <definedName name="POSITION">MODEL!$G$5</definedName>
    <definedName name="VOLATILITY_AXIS">MODEL!$P$7:$P$66</definedName>
  </definedNames>
  <calcPr calcId="145621"/>
</workbook>
</file>

<file path=xl/calcChain.xml><?xml version="1.0" encoding="utf-8"?>
<calcChain xmlns="http://schemas.openxmlformats.org/spreadsheetml/2006/main">
  <c r="C10" i="21" l="1"/>
  <c r="C7" i="21" l="1"/>
  <c r="C6" i="21" s="1"/>
</calcChain>
</file>

<file path=xl/connections.xml><?xml version="1.0" encoding="utf-8"?>
<connections xmlns="http://schemas.openxmlformats.org/spreadsheetml/2006/main">
  <connection id="1" name="Connection" type="4" refreshedVersion="3" background="1">
    <webPr xl2000="1" url="http://chart.yahoo.com/table.csv?s=GE&amp;a=4&amp;b=27&amp;c=2007&amp;d=4&amp;e=26&amp;f=2009&amp;g=d&amp;q=q&amp;y=0&amp;z=GE&amp;x=.csv" htmlFormat="all"/>
  </connection>
</connections>
</file>

<file path=xl/sharedStrings.xml><?xml version="1.0" encoding="utf-8"?>
<sst xmlns="http://schemas.openxmlformats.org/spreadsheetml/2006/main" count="18" uniqueCount="18">
  <si>
    <t>TICKER</t>
  </si>
  <si>
    <t>START DATE</t>
  </si>
  <si>
    <t>END DATE</t>
  </si>
  <si>
    <t>Correlation, Volatility and the Market</t>
  </si>
  <si>
    <t>NO MONTHS</t>
  </si>
  <si>
    <t>DATE</t>
  </si>
  <si>
    <t>OPEN</t>
  </si>
  <si>
    <t>HIGH</t>
  </si>
  <si>
    <t>LOW</t>
  </si>
  <si>
    <t>CLOSE</t>
  </si>
  <si>
    <t>VOLUME</t>
  </si>
  <si>
    <t>ADJ.CLOSE</t>
  </si>
  <si>
    <t>RETURN</t>
  </si>
  <si>
    <t>CAGR</t>
  </si>
  <si>
    <t>CORRELATION VOLAT &amp; CAGR</t>
  </si>
  <si>
    <t>AAPL</t>
  </si>
  <si>
    <t>MEAN*</t>
  </si>
  <si>
    <t>VOLATILITY*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</si>
</sst>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[$-409]d\-mmm\-yy;@"/>
    <numFmt numFmtId="166" formatCode="0.0000"/>
    <numFmt numFmtId="167" formatCode="0.00000000000"/>
    <numFmt numFmtId="168" formatCode="0.0000000000"/>
    <numFmt numFmtId="169" formatCode="#,##0.000"/>
  </numFmts>
  <fonts count="10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theme="1"/>
      <name val="Courier New"/>
      <family val="3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28">
    <xf numFmtId="0" fontId="0" fillId="0" borderId="0" xfId="0"/>
    <xf numFmtId="0" fontId="4" fillId="0" borderId="0" xfId="8" applyFont="1" applyAlignment="1">
      <alignment horizontal="left" vertical="center"/>
    </xf>
    <xf numFmtId="0" fontId="5" fillId="0" borderId="0" xfId="8" applyFont="1" applyAlignment="1">
      <alignment horizontal="center" vertical="center"/>
    </xf>
    <xf numFmtId="0" fontId="5" fillId="0" borderId="0" xfId="8" quotePrefix="1" applyFont="1" applyAlignment="1">
      <alignment horizontal="center" vertical="center"/>
    </xf>
    <xf numFmtId="0" fontId="5" fillId="0" borderId="0" xfId="8" applyFont="1" applyBorder="1" applyAlignment="1">
      <alignment horizontal="center" vertical="center"/>
    </xf>
    <xf numFmtId="4" fontId="5" fillId="0" borderId="0" xfId="8" applyNumberFormat="1" applyFont="1" applyBorder="1" applyAlignment="1">
      <alignment horizontal="center" vertical="center"/>
    </xf>
    <xf numFmtId="0" fontId="6" fillId="2" borderId="2" xfId="8" applyFont="1" applyFill="1" applyBorder="1" applyAlignment="1">
      <alignment horizontal="center" vertical="center"/>
    </xf>
    <xf numFmtId="49" fontId="7" fillId="0" borderId="2" xfId="8" applyNumberFormat="1" applyFont="1" applyBorder="1" applyAlignment="1">
      <alignment horizontal="center" vertical="center"/>
    </xf>
    <xf numFmtId="0" fontId="7" fillId="0" borderId="0" xfId="8" applyFont="1" applyBorder="1" applyAlignment="1">
      <alignment horizontal="center" vertical="center"/>
    </xf>
    <xf numFmtId="0" fontId="5" fillId="0" borderId="0" xfId="8" applyFont="1"/>
    <xf numFmtId="0" fontId="1" fillId="0" borderId="0" xfId="8"/>
    <xf numFmtId="165" fontId="7" fillId="0" borderId="2" xfId="8" applyNumberFormat="1" applyFont="1" applyBorder="1" applyAlignment="1">
      <alignment horizontal="center" vertical="center"/>
    </xf>
    <xf numFmtId="14" fontId="7" fillId="0" borderId="0" xfId="8" applyNumberFormat="1" applyFont="1" applyBorder="1" applyAlignment="1">
      <alignment horizontal="center" vertical="center"/>
    </xf>
    <xf numFmtId="166" fontId="5" fillId="0" borderId="0" xfId="8" applyNumberFormat="1" applyFont="1" applyAlignment="1">
      <alignment horizontal="center" vertical="center"/>
    </xf>
    <xf numFmtId="167" fontId="5" fillId="0" borderId="0" xfId="8" applyNumberFormat="1" applyFont="1" applyAlignment="1">
      <alignment horizontal="center" vertical="center"/>
    </xf>
    <xf numFmtId="0" fontId="7" fillId="0" borderId="0" xfId="9" applyNumberFormat="1" applyFont="1" applyBorder="1" applyAlignment="1">
      <alignment horizontal="right" vertical="center"/>
    </xf>
    <xf numFmtId="44" fontId="7" fillId="0" borderId="0" xfId="9" applyNumberFormat="1" applyFont="1" applyBorder="1" applyAlignment="1">
      <alignment horizontal="center" vertical="center"/>
    </xf>
    <xf numFmtId="164" fontId="5" fillId="0" borderId="0" xfId="10" applyFont="1"/>
    <xf numFmtId="168" fontId="5" fillId="0" borderId="0" xfId="8" applyNumberFormat="1" applyFont="1" applyAlignment="1">
      <alignment horizontal="center" vertical="center"/>
    </xf>
    <xf numFmtId="165" fontId="6" fillId="3" borderId="2" xfId="0" applyNumberFormat="1" applyFont="1" applyFill="1" applyBorder="1" applyAlignment="1">
      <alignment horizontal="center" vertical="center" wrapText="1"/>
    </xf>
    <xf numFmtId="165" fontId="5" fillId="0" borderId="2" xfId="0" applyNumberFormat="1" applyFont="1" applyBorder="1"/>
    <xf numFmtId="44" fontId="7" fillId="0" borderId="0" xfId="9" applyNumberFormat="1" applyFont="1" applyBorder="1" applyAlignment="1">
      <alignment horizontal="left" vertical="center"/>
    </xf>
    <xf numFmtId="3" fontId="7" fillId="0" borderId="2" xfId="9" applyNumberFormat="1" applyFont="1" applyBorder="1" applyAlignment="1">
      <alignment horizontal="center" vertical="center"/>
    </xf>
    <xf numFmtId="169" fontId="6" fillId="3" borderId="2" xfId="0" applyNumberFormat="1" applyFont="1" applyFill="1" applyBorder="1" applyAlignment="1">
      <alignment horizontal="center" vertical="center" wrapText="1"/>
    </xf>
    <xf numFmtId="169" fontId="5" fillId="0" borderId="2" xfId="0" applyNumberFormat="1" applyFont="1" applyBorder="1"/>
    <xf numFmtId="10" fontId="5" fillId="0" borderId="2" xfId="0" applyNumberFormat="1" applyFont="1" applyBorder="1"/>
    <xf numFmtId="10" fontId="6" fillId="3" borderId="2" xfId="0" applyNumberFormat="1" applyFont="1" applyFill="1" applyBorder="1" applyAlignment="1">
      <alignment horizontal="center" vertical="center" wrapText="1"/>
    </xf>
    <xf numFmtId="10" fontId="8" fillId="0" borderId="2" xfId="11" applyNumberFormat="1" applyFont="1" applyBorder="1" applyAlignment="1">
      <alignment horizontal="right" vertical="center"/>
    </xf>
  </cellXfs>
  <cellStyles count="12">
    <cellStyle name="Comma 2" xfId="10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8"/>
    <cellStyle name="Percent" xfId="11" builtinId="5"/>
    <cellStyle name="Percent 2" xfId="9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60918184656504E-2"/>
          <c:y val="4.9438256493873463E-2"/>
          <c:w val="0.79215219663279701"/>
          <c:h val="0.73221005535127071"/>
        </c:manualLayout>
      </c:layout>
      <c:lineChart>
        <c:grouping val="standard"/>
        <c:varyColors val="0"/>
        <c:ser>
          <c:idx val="1"/>
          <c:order val="0"/>
          <c:tx>
            <c:strRef>
              <c:f>MODEL!$P$5</c:f>
              <c:strCache>
                <c:ptCount val="1"/>
                <c:pt idx="0">
                  <c:v>VOLATILITY*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[0]!DATE_AXIS</c:f>
              <c:numCache>
                <c:formatCode>[$-409]d\-mmm\-yy;@</c:formatCode>
                <c:ptCount val="60"/>
                <c:pt idx="0">
                  <c:v>39539</c:v>
                </c:pt>
                <c:pt idx="1">
                  <c:v>39569</c:v>
                </c:pt>
                <c:pt idx="2">
                  <c:v>39600</c:v>
                </c:pt>
                <c:pt idx="3">
                  <c:v>39630</c:v>
                </c:pt>
                <c:pt idx="4">
                  <c:v>39661</c:v>
                </c:pt>
                <c:pt idx="5">
                  <c:v>39692</c:v>
                </c:pt>
                <c:pt idx="6">
                  <c:v>39722</c:v>
                </c:pt>
                <c:pt idx="7">
                  <c:v>39753</c:v>
                </c:pt>
                <c:pt idx="8">
                  <c:v>39783</c:v>
                </c:pt>
                <c:pt idx="9">
                  <c:v>39814</c:v>
                </c:pt>
                <c:pt idx="10">
                  <c:v>39845</c:v>
                </c:pt>
                <c:pt idx="11">
                  <c:v>39873</c:v>
                </c:pt>
                <c:pt idx="12">
                  <c:v>39904</c:v>
                </c:pt>
                <c:pt idx="13">
                  <c:v>39934</c:v>
                </c:pt>
                <c:pt idx="14">
                  <c:v>39965</c:v>
                </c:pt>
                <c:pt idx="15">
                  <c:v>39995</c:v>
                </c:pt>
                <c:pt idx="16">
                  <c:v>40026</c:v>
                </c:pt>
                <c:pt idx="17">
                  <c:v>40057</c:v>
                </c:pt>
                <c:pt idx="18">
                  <c:v>40087</c:v>
                </c:pt>
                <c:pt idx="19">
                  <c:v>40118</c:v>
                </c:pt>
                <c:pt idx="20">
                  <c:v>40148</c:v>
                </c:pt>
                <c:pt idx="21">
                  <c:v>40179</c:v>
                </c:pt>
                <c:pt idx="22">
                  <c:v>40210</c:v>
                </c:pt>
                <c:pt idx="23">
                  <c:v>40238</c:v>
                </c:pt>
                <c:pt idx="24">
                  <c:v>40269</c:v>
                </c:pt>
                <c:pt idx="25">
                  <c:v>40299</c:v>
                </c:pt>
                <c:pt idx="26">
                  <c:v>40330</c:v>
                </c:pt>
                <c:pt idx="27">
                  <c:v>40360</c:v>
                </c:pt>
                <c:pt idx="28">
                  <c:v>40391</c:v>
                </c:pt>
                <c:pt idx="29">
                  <c:v>40422</c:v>
                </c:pt>
                <c:pt idx="30">
                  <c:v>40452</c:v>
                </c:pt>
                <c:pt idx="31">
                  <c:v>40483</c:v>
                </c:pt>
                <c:pt idx="32">
                  <c:v>40513</c:v>
                </c:pt>
                <c:pt idx="33">
                  <c:v>40544</c:v>
                </c:pt>
                <c:pt idx="34">
                  <c:v>40575</c:v>
                </c:pt>
                <c:pt idx="35">
                  <c:v>40603</c:v>
                </c:pt>
                <c:pt idx="36">
                  <c:v>40634</c:v>
                </c:pt>
                <c:pt idx="37">
                  <c:v>40664</c:v>
                </c:pt>
                <c:pt idx="38">
                  <c:v>40695</c:v>
                </c:pt>
                <c:pt idx="39">
                  <c:v>40725</c:v>
                </c:pt>
                <c:pt idx="40">
                  <c:v>40756</c:v>
                </c:pt>
                <c:pt idx="41">
                  <c:v>40787</c:v>
                </c:pt>
                <c:pt idx="42">
                  <c:v>40817</c:v>
                </c:pt>
                <c:pt idx="43">
                  <c:v>40848</c:v>
                </c:pt>
                <c:pt idx="44">
                  <c:v>40878</c:v>
                </c:pt>
                <c:pt idx="45">
                  <c:v>40909</c:v>
                </c:pt>
                <c:pt idx="46">
                  <c:v>40940</c:v>
                </c:pt>
                <c:pt idx="47">
                  <c:v>40969</c:v>
                </c:pt>
                <c:pt idx="48">
                  <c:v>41000</c:v>
                </c:pt>
                <c:pt idx="49">
                  <c:v>41030</c:v>
                </c:pt>
                <c:pt idx="50">
                  <c:v>41061</c:v>
                </c:pt>
                <c:pt idx="51">
                  <c:v>41091</c:v>
                </c:pt>
                <c:pt idx="52">
                  <c:v>41122</c:v>
                </c:pt>
                <c:pt idx="53">
                  <c:v>41153</c:v>
                </c:pt>
                <c:pt idx="54">
                  <c:v>41183</c:v>
                </c:pt>
                <c:pt idx="55">
                  <c:v>41214</c:v>
                </c:pt>
                <c:pt idx="56">
                  <c:v>41244</c:v>
                </c:pt>
                <c:pt idx="57">
                  <c:v>41275</c:v>
                </c:pt>
                <c:pt idx="58">
                  <c:v>41306</c:v>
                </c:pt>
                <c:pt idx="59">
                  <c:v>41334</c:v>
                </c:pt>
              </c:numCache>
            </c:numRef>
          </c:cat>
          <c:val>
            <c:numRef>
              <c:f>[0]!VOLATILITY_AXIS</c:f>
              <c:numCache>
                <c:formatCode>0.00%</c:formatCode>
                <c:ptCount val="60"/>
                <c:pt idx="0">
                  <c:v>0.15289620504307902</c:v>
                </c:pt>
                <c:pt idx="1">
                  <c:v>0.15836847158852527</c:v>
                </c:pt>
                <c:pt idx="2">
                  <c:v>0.17332235068233881</c:v>
                </c:pt>
                <c:pt idx="3">
                  <c:v>0.17655362510448422</c:v>
                </c:pt>
                <c:pt idx="4">
                  <c:v>0.1794600649912978</c:v>
                </c:pt>
                <c:pt idx="5">
                  <c:v>0.26200516337376545</c:v>
                </c:pt>
                <c:pt idx="6">
                  <c:v>0.26379963386881927</c:v>
                </c:pt>
                <c:pt idx="7">
                  <c:v>0.27504298546060174</c:v>
                </c:pt>
                <c:pt idx="8">
                  <c:v>0.2782355413199199</c:v>
                </c:pt>
                <c:pt idx="9">
                  <c:v>0.28040041708801683</c:v>
                </c:pt>
                <c:pt idx="10">
                  <c:v>0.28039933402703621</c:v>
                </c:pt>
                <c:pt idx="11">
                  <c:v>0.29843305370393791</c:v>
                </c:pt>
                <c:pt idx="12">
                  <c:v>0.3182959176198627</c:v>
                </c:pt>
                <c:pt idx="13">
                  <c:v>0.32096982990703715</c:v>
                </c:pt>
                <c:pt idx="14">
                  <c:v>0.3217710367925391</c:v>
                </c:pt>
                <c:pt idx="15">
                  <c:v>0.33095081194263509</c:v>
                </c:pt>
                <c:pt idx="16">
                  <c:v>0.33099679421781397</c:v>
                </c:pt>
                <c:pt idx="17">
                  <c:v>0.33457287435878752</c:v>
                </c:pt>
                <c:pt idx="18">
                  <c:v>0.3344403229178789</c:v>
                </c:pt>
                <c:pt idx="19">
                  <c:v>0.33518257514204075</c:v>
                </c:pt>
                <c:pt idx="20">
                  <c:v>0.33559681483411591</c:v>
                </c:pt>
                <c:pt idx="21">
                  <c:v>0.34094199175698819</c:v>
                </c:pt>
                <c:pt idx="22">
                  <c:v>0.34183098517289001</c:v>
                </c:pt>
                <c:pt idx="23">
                  <c:v>0.34921648985517234</c:v>
                </c:pt>
                <c:pt idx="24">
                  <c:v>0.35237306900662857</c:v>
                </c:pt>
                <c:pt idx="25">
                  <c:v>0.35287900480239387</c:v>
                </c:pt>
                <c:pt idx="26">
                  <c:v>0.35356618247622656</c:v>
                </c:pt>
                <c:pt idx="27">
                  <c:v>0.35326990409197617</c:v>
                </c:pt>
                <c:pt idx="28">
                  <c:v>0.35591945251701573</c:v>
                </c:pt>
                <c:pt idx="29">
                  <c:v>0.36449645300334993</c:v>
                </c:pt>
                <c:pt idx="30">
                  <c:v>0.36453082768434975</c:v>
                </c:pt>
                <c:pt idx="31">
                  <c:v>0.36410641629478796</c:v>
                </c:pt>
                <c:pt idx="32">
                  <c:v>0.36366132435988191</c:v>
                </c:pt>
                <c:pt idx="33">
                  <c:v>0.36332840670539246</c:v>
                </c:pt>
                <c:pt idx="34">
                  <c:v>0.36281866600019297</c:v>
                </c:pt>
                <c:pt idx="35">
                  <c:v>0.36331099834437025</c:v>
                </c:pt>
                <c:pt idx="36">
                  <c:v>0.35426540689627467</c:v>
                </c:pt>
                <c:pt idx="37">
                  <c:v>0.3387385060904069</c:v>
                </c:pt>
                <c:pt idx="38">
                  <c:v>0.33843655908593123</c:v>
                </c:pt>
                <c:pt idx="39">
                  <c:v>0.33860874447816264</c:v>
                </c:pt>
                <c:pt idx="40">
                  <c:v>0.33647611596332311</c:v>
                </c:pt>
                <c:pt idx="41">
                  <c:v>0.33644144301053791</c:v>
                </c:pt>
                <c:pt idx="42">
                  <c:v>0.26639014601734912</c:v>
                </c:pt>
                <c:pt idx="43">
                  <c:v>0.2666588372315819</c:v>
                </c:pt>
                <c:pt idx="44">
                  <c:v>0.2466205131044277</c:v>
                </c:pt>
                <c:pt idx="45">
                  <c:v>0.2406475090989075</c:v>
                </c:pt>
                <c:pt idx="46">
                  <c:v>0.25311545282491887</c:v>
                </c:pt>
                <c:pt idx="47">
                  <c:v>0.25228200356019576</c:v>
                </c:pt>
                <c:pt idx="48">
                  <c:v>0.24621514180101078</c:v>
                </c:pt>
                <c:pt idx="49">
                  <c:v>0.23324550091963445</c:v>
                </c:pt>
                <c:pt idx="50">
                  <c:v>0.23307564222363622</c:v>
                </c:pt>
                <c:pt idx="51">
                  <c:v>0.23305499071049426</c:v>
                </c:pt>
                <c:pt idx="52">
                  <c:v>0.2271298676101102</c:v>
                </c:pt>
                <c:pt idx="53">
                  <c:v>0.22805567900445575</c:v>
                </c:pt>
                <c:pt idx="54">
                  <c:v>0.23971525864166698</c:v>
                </c:pt>
                <c:pt idx="55">
                  <c:v>0.24097398761422464</c:v>
                </c:pt>
                <c:pt idx="56">
                  <c:v>0.25030547579362983</c:v>
                </c:pt>
                <c:pt idx="57">
                  <c:v>0.26813185788170907</c:v>
                </c:pt>
                <c:pt idx="58">
                  <c:v>0.26178171157292057</c:v>
                </c:pt>
                <c:pt idx="59">
                  <c:v>0.26210916937845552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51744"/>
        <c:axId val="100757440"/>
      </c:lineChart>
      <c:lineChart>
        <c:grouping val="standard"/>
        <c:varyColors val="0"/>
        <c:ser>
          <c:idx val="0"/>
          <c:order val="1"/>
          <c:tx>
            <c:strRef>
              <c:f>MODEL!$Q$5</c:f>
              <c:strCache>
                <c:ptCount val="1"/>
                <c:pt idx="0">
                  <c:v>CAGR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multiLvlStrRef>
              <c:f>[0]!MIN_DATE_AXIS</c:f>
            </c:multiLvlStrRef>
          </c:cat>
          <c:val>
            <c:numRef>
              <c:f>[0]!CAGR_AXIS</c:f>
              <c:numCache>
                <c:formatCode>0.00%</c:formatCode>
                <c:ptCount val="60"/>
                <c:pt idx="0">
                  <c:v>6.6253466625996182E-2</c:v>
                </c:pt>
                <c:pt idx="1">
                  <c:v>9.5664542299470856E-2</c:v>
                </c:pt>
                <c:pt idx="2">
                  <c:v>5.2772682585725761E-2</c:v>
                </c:pt>
                <c:pt idx="3">
                  <c:v>3.4683485483828269E-2</c:v>
                </c:pt>
                <c:pt idx="4">
                  <c:v>5.7135810796005382E-2</c:v>
                </c:pt>
                <c:pt idx="5">
                  <c:v>-7.4750430595342254E-2</c:v>
                </c:pt>
                <c:pt idx="6">
                  <c:v>-9.1518238240378968E-2</c:v>
                </c:pt>
                <c:pt idx="7">
                  <c:v>-0.13563880711884491</c:v>
                </c:pt>
                <c:pt idx="8">
                  <c:v>-0.15901321742154972</c:v>
                </c:pt>
                <c:pt idx="9">
                  <c:v>-0.14359955914112443</c:v>
                </c:pt>
                <c:pt idx="10">
                  <c:v>-0.14621084716386601</c:v>
                </c:pt>
                <c:pt idx="11">
                  <c:v>-9.8541156512135131E-2</c:v>
                </c:pt>
                <c:pt idx="12">
                  <c:v>-4.2848859942943962E-2</c:v>
                </c:pt>
                <c:pt idx="13">
                  <c:v>-1.8196780488220154E-2</c:v>
                </c:pt>
                <c:pt idx="14">
                  <c:v>-2.4812238642686335E-3</c:v>
                </c:pt>
                <c:pt idx="15">
                  <c:v>4.4217360510284465E-2</c:v>
                </c:pt>
                <c:pt idx="16">
                  <c:v>5.4386585464855308E-2</c:v>
                </c:pt>
                <c:pt idx="17">
                  <c:v>8.9046736914978331E-2</c:v>
                </c:pt>
                <c:pt idx="18">
                  <c:v>9.5193085897762098E-2</c:v>
                </c:pt>
                <c:pt idx="19">
                  <c:v>0.11685133576308449</c:v>
                </c:pt>
                <c:pt idx="20">
                  <c:v>0.13664342081072856</c:v>
                </c:pt>
                <c:pt idx="21">
                  <c:v>0.10204810795603225</c:v>
                </c:pt>
                <c:pt idx="22">
                  <c:v>0.12555189154863355</c:v>
                </c:pt>
                <c:pt idx="23">
                  <c:v>0.17871002100160616</c:v>
                </c:pt>
                <c:pt idx="24">
                  <c:v>0.22080864184208182</c:v>
                </c:pt>
                <c:pt idx="25">
                  <c:v>0.21420928943534889</c:v>
                </c:pt>
                <c:pt idx="26">
                  <c:v>0.20572411803356849</c:v>
                </c:pt>
                <c:pt idx="27">
                  <c:v>0.21480058111870903</c:v>
                </c:pt>
                <c:pt idx="28">
                  <c:v>0.19209644828286443</c:v>
                </c:pt>
                <c:pt idx="29">
                  <c:v>0.25515117322198089</c:v>
                </c:pt>
                <c:pt idx="30">
                  <c:v>0.2800600434731273</c:v>
                </c:pt>
                <c:pt idx="31">
                  <c:v>0.29431540146946045</c:v>
                </c:pt>
                <c:pt idx="32">
                  <c:v>0.30995529055305715</c:v>
                </c:pt>
                <c:pt idx="33">
                  <c:v>0.33225305170221864</c:v>
                </c:pt>
                <c:pt idx="34">
                  <c:v>0.35019187531986806</c:v>
                </c:pt>
                <c:pt idx="35">
                  <c:v>0.34417841677301508</c:v>
                </c:pt>
                <c:pt idx="36">
                  <c:v>0.26261027171982954</c:v>
                </c:pt>
                <c:pt idx="37">
                  <c:v>0.22601736112190496</c:v>
                </c:pt>
                <c:pt idx="38">
                  <c:v>0.26092564022290521</c:v>
                </c:pt>
                <c:pt idx="39">
                  <c:v>0.34930707109063608</c:v>
                </c:pt>
                <c:pt idx="40">
                  <c:v>0.31424621921289897</c:v>
                </c:pt>
                <c:pt idx="41">
                  <c:v>0.49699989259526167</c:v>
                </c:pt>
                <c:pt idx="42">
                  <c:v>0.55527835945476323</c:v>
                </c:pt>
                <c:pt idx="43">
                  <c:v>0.60368910760632688</c:v>
                </c:pt>
                <c:pt idx="44">
                  <c:v>0.68040897403437106</c:v>
                </c:pt>
                <c:pt idx="45">
                  <c:v>0.71731158843499809</c:v>
                </c:pt>
                <c:pt idx="46">
                  <c:v>0.82453460281640112</c:v>
                </c:pt>
                <c:pt idx="47">
                  <c:v>0.7866860036618557</c:v>
                </c:pt>
                <c:pt idx="48">
                  <c:v>0.66803579255133894</c:v>
                </c:pt>
                <c:pt idx="49">
                  <c:v>0.62033021412360112</c:v>
                </c:pt>
                <c:pt idx="50">
                  <c:v>0.60055218366325236</c:v>
                </c:pt>
                <c:pt idx="51">
                  <c:v>0.55197845308729376</c:v>
                </c:pt>
                <c:pt idx="52">
                  <c:v>0.58367343028369301</c:v>
                </c:pt>
                <c:pt idx="53">
                  <c:v>0.53469825707932084</c:v>
                </c:pt>
                <c:pt idx="54">
                  <c:v>0.46925980590497995</c:v>
                </c:pt>
                <c:pt idx="55">
                  <c:v>0.43480062063035985</c:v>
                </c:pt>
                <c:pt idx="56">
                  <c:v>0.36581612118009832</c:v>
                </c:pt>
                <c:pt idx="57">
                  <c:v>0.33749098456975113</c:v>
                </c:pt>
                <c:pt idx="58">
                  <c:v>0.29843001630521493</c:v>
                </c:pt>
                <c:pt idx="59">
                  <c:v>0.23074205135171377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41152"/>
        <c:axId val="100758016"/>
      </c:lineChart>
      <c:catAx>
        <c:axId val="101151744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5744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00757440"/>
        <c:scaling>
          <c:orientation val="minMax"/>
          <c:max val="0.65615548983182959"/>
          <c:min val="3.0579241008615806E-2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151744"/>
        <c:crosses val="autoZero"/>
        <c:crossBetween val="between"/>
      </c:valAx>
      <c:valAx>
        <c:axId val="100758016"/>
        <c:scaling>
          <c:orientation val="minMax"/>
          <c:max val="0.98944152337968128"/>
          <c:min val="-0.12721057393723978"/>
        </c:scaling>
        <c:delete val="0"/>
        <c:axPos val="r"/>
        <c:numFmt formatCode="0.00%" sourceLinked="0"/>
        <c:majorTickMark val="out"/>
        <c:minorTickMark val="none"/>
        <c:tickLblPos val="nextTo"/>
        <c:crossAx val="169841152"/>
        <c:crosses val="max"/>
        <c:crossBetween val="between"/>
      </c:valAx>
      <c:catAx>
        <c:axId val="169841152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100758016"/>
        <c:crosses val="autoZero"/>
        <c:auto val="0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rgb="FF0070C0"/>
  </sheetPr>
  <sheetViews>
    <sheetView zoomScale="120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190501</xdr:colOff>
      <xdr:row>4</xdr:row>
      <xdr:rowOff>1</xdr:rowOff>
    </xdr:from>
    <xdr:to>
      <xdr:col>4</xdr:col>
      <xdr:colOff>942975</xdr:colOff>
      <xdr:row>6</xdr:row>
      <xdr:rowOff>171451</xdr:rowOff>
    </xdr:to>
    <xdr:sp macro="[0]!REFRESH_ASSET_MOVING_RETURN_VOLATILITY_CAGR" textlink="">
      <xdr:nvSpPr>
        <xdr:cNvPr id="2" name="AutoShape 2"/>
        <xdr:cNvSpPr>
          <a:spLocks noChangeArrowheads="1"/>
        </xdr:cNvSpPr>
      </xdr:nvSpPr>
      <xdr:spPr bwMode="auto">
        <a:xfrm>
          <a:off x="4000501" y="9429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3625" cy="63023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0.72382</cdr:x>
      <cdr:y>0.90827</cdr:y>
    </cdr:from>
    <cdr:to>
      <cdr:x>0.89659</cdr:x>
      <cdr:y>0.97302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270625" y="5726340"/>
          <a:ext cx="1496747" cy="40823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AC760"/>
  <sheetViews>
    <sheetView showGridLines="0" tabSelected="1" workbookViewId="0">
      <selection activeCell="B3" sqref="B3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5" width="15.7109375" style="2"/>
    <col min="6" max="6" width="3.7109375" style="2" customWidth="1"/>
    <col min="7" max="24" width="15.7109375" style="4" customWidth="1"/>
    <col min="25" max="28" width="15.7109375" style="2"/>
    <col min="29" max="29" width="16" style="2" bestFit="1" customWidth="1"/>
    <col min="30" max="16384" width="15.7109375" style="2"/>
  </cols>
  <sheetData>
    <row r="2" spans="2:29" ht="29.25" x14ac:dyDescent="0.2">
      <c r="B2" s="1" t="s">
        <v>3</v>
      </c>
      <c r="D2" s="3"/>
      <c r="T2" s="5"/>
    </row>
    <row r="4" spans="2:29" ht="15" customHeight="1" x14ac:dyDescent="0.2">
      <c r="G4"/>
      <c r="H4"/>
      <c r="I4"/>
      <c r="J4"/>
      <c r="K4"/>
      <c r="L4"/>
      <c r="M4"/>
      <c r="N4"/>
      <c r="O4" s="2"/>
      <c r="P4" s="2"/>
      <c r="Q4" s="2"/>
      <c r="R4" s="2"/>
      <c r="S4" s="2"/>
      <c r="T4" s="2"/>
      <c r="U4" s="2"/>
      <c r="V4" s="2"/>
      <c r="W4" s="2"/>
      <c r="X4" s="2"/>
    </row>
    <row r="5" spans="2:29" ht="15" customHeight="1" x14ac:dyDescent="0.25">
      <c r="B5" s="6" t="s">
        <v>0</v>
      </c>
      <c r="C5" s="7" t="s">
        <v>15</v>
      </c>
      <c r="D5" s="8"/>
      <c r="E5" s="8"/>
      <c r="F5" s="9"/>
      <c r="G5" s="19" t="s">
        <v>5</v>
      </c>
      <c r="H5" s="23" t="s">
        <v>6</v>
      </c>
      <c r="I5" s="23" t="s">
        <v>7</v>
      </c>
      <c r="J5" s="23" t="s">
        <v>8</v>
      </c>
      <c r="K5" s="23" t="s">
        <v>9</v>
      </c>
      <c r="L5" s="23" t="s">
        <v>10</v>
      </c>
      <c r="M5" s="23" t="s">
        <v>11</v>
      </c>
      <c r="N5" s="26" t="s">
        <v>12</v>
      </c>
      <c r="O5" s="26" t="s">
        <v>16</v>
      </c>
      <c r="P5" s="26" t="s">
        <v>17</v>
      </c>
      <c r="Q5" s="26" t="s">
        <v>13</v>
      </c>
      <c r="R5"/>
      <c r="S5"/>
      <c r="T5"/>
      <c r="U5"/>
      <c r="V5"/>
      <c r="W5" s="10"/>
      <c r="X5" s="10"/>
      <c r="Y5" s="10"/>
      <c r="Z5" s="10"/>
      <c r="AA5" s="10"/>
    </row>
    <row r="6" spans="2:29" ht="15" customHeight="1" x14ac:dyDescent="0.25">
      <c r="B6" s="6" t="s">
        <v>1</v>
      </c>
      <c r="C6" s="11">
        <f ca="1">DATE(YEAR(C7)-5,MONTH(C7),DAY(C7))</f>
        <v>39517</v>
      </c>
      <c r="D6" s="12"/>
      <c r="E6" s="12"/>
      <c r="F6" s="9"/>
      <c r="G6" s="20">
        <v>39508</v>
      </c>
      <c r="H6" s="24">
        <v>120.20342717770035</v>
      </c>
      <c r="I6" s="24">
        <v>143.6173756097561</v>
      </c>
      <c r="J6" s="24">
        <v>117.63144041811847</v>
      </c>
      <c r="K6" s="24">
        <v>141.41</v>
      </c>
      <c r="L6" s="24">
        <v>39025.9</v>
      </c>
      <c r="M6" s="24">
        <v>141.41</v>
      </c>
      <c r="N6" s="25">
        <v>0.17642236432202002</v>
      </c>
      <c r="O6" s="25"/>
      <c r="P6" s="25"/>
      <c r="Q6" s="25"/>
      <c r="R6"/>
      <c r="S6"/>
      <c r="T6"/>
      <c r="U6"/>
      <c r="V6"/>
      <c r="W6" s="10"/>
      <c r="X6" s="10"/>
      <c r="Y6" s="10"/>
      <c r="Z6" s="10"/>
      <c r="AA6" s="10"/>
    </row>
    <row r="7" spans="2:29" ht="15" customHeight="1" x14ac:dyDescent="0.25">
      <c r="B7" s="6" t="s">
        <v>2</v>
      </c>
      <c r="C7" s="11">
        <f ca="1">TODAY()</f>
        <v>41343</v>
      </c>
      <c r="D7" s="12"/>
      <c r="E7" s="12"/>
      <c r="F7" s="9"/>
      <c r="G7" s="20">
        <v>39539</v>
      </c>
      <c r="H7" s="24">
        <v>144.17215291750503</v>
      </c>
      <c r="I7" s="24">
        <v>177.38200632365621</v>
      </c>
      <c r="J7" s="24">
        <v>141.52127737855704</v>
      </c>
      <c r="K7" s="24">
        <v>171.42</v>
      </c>
      <c r="L7" s="24">
        <v>38841.699999999997</v>
      </c>
      <c r="M7" s="24">
        <v>171.42</v>
      </c>
      <c r="N7" s="25">
        <v>0.2122197864366028</v>
      </c>
      <c r="O7" s="25">
        <v>2.3318529045517367</v>
      </c>
      <c r="P7" s="25">
        <v>0.15289620504307902</v>
      </c>
      <c r="Q7" s="25">
        <v>6.6253466625996182E-2</v>
      </c>
      <c r="R7"/>
      <c r="S7"/>
      <c r="T7"/>
      <c r="U7"/>
      <c r="V7"/>
      <c r="W7" s="10"/>
      <c r="X7" s="10"/>
      <c r="Y7" s="10"/>
      <c r="Z7" s="10"/>
      <c r="AA7" s="10"/>
    </row>
    <row r="8" spans="2:29" ht="15" customHeight="1" x14ac:dyDescent="0.25">
      <c r="B8" s="6" t="s">
        <v>4</v>
      </c>
      <c r="C8" s="22">
        <v>36</v>
      </c>
      <c r="D8" s="12"/>
      <c r="E8" s="12"/>
      <c r="F8" s="9"/>
      <c r="G8" s="20">
        <v>39569</v>
      </c>
      <c r="H8" s="24">
        <v>172.41091390728477</v>
      </c>
      <c r="I8" s="24">
        <v>189.4391523178808</v>
      </c>
      <c r="J8" s="24">
        <v>169.49403973509934</v>
      </c>
      <c r="K8" s="24">
        <v>186</v>
      </c>
      <c r="L8" s="24">
        <v>32650.3</v>
      </c>
      <c r="M8" s="24">
        <v>186</v>
      </c>
      <c r="N8" s="25">
        <v>8.5054252712635628E-2</v>
      </c>
      <c r="O8" s="25">
        <v>1.8947856138850345</v>
      </c>
      <c r="P8" s="25">
        <v>0.15836847158852527</v>
      </c>
      <c r="Q8" s="25">
        <v>9.5664542299470856E-2</v>
      </c>
      <c r="R8"/>
      <c r="S8"/>
      <c r="T8"/>
      <c r="U8"/>
      <c r="V8"/>
      <c r="W8" s="10"/>
      <c r="X8" s="10"/>
      <c r="Y8" s="10"/>
      <c r="Z8" s="10"/>
      <c r="AA8" s="10"/>
      <c r="AC8" s="13"/>
    </row>
    <row r="9" spans="2:29" ht="15" customHeight="1" x14ac:dyDescent="0.25">
      <c r="F9" s="9"/>
      <c r="G9" s="20">
        <v>39600</v>
      </c>
      <c r="H9" s="24">
        <v>185.85164835164832</v>
      </c>
      <c r="I9" s="24">
        <v>187.18197563306259</v>
      </c>
      <c r="J9" s="24">
        <v>161.7579431438127</v>
      </c>
      <c r="K9" s="24">
        <v>165</v>
      </c>
      <c r="L9" s="24">
        <v>34281.1</v>
      </c>
      <c r="M9" s="24">
        <v>165</v>
      </c>
      <c r="N9" s="25">
        <v>-0.11290322580645162</v>
      </c>
      <c r="O9" s="25">
        <v>1.0823795329944221</v>
      </c>
      <c r="P9" s="25">
        <v>0.17332235068233881</v>
      </c>
      <c r="Q9" s="25">
        <v>5.2772682585725761E-2</v>
      </c>
      <c r="R9"/>
      <c r="S9"/>
      <c r="T9"/>
      <c r="U9"/>
      <c r="V9"/>
      <c r="W9" s="10"/>
      <c r="X9" s="10"/>
      <c r="Y9" s="10"/>
      <c r="Z9" s="10"/>
      <c r="AA9" s="10"/>
      <c r="AC9" s="14"/>
    </row>
    <row r="10" spans="2:29" ht="15" customHeight="1" x14ac:dyDescent="0.25">
      <c r="B10" s="6" t="s">
        <v>14</v>
      </c>
      <c r="C10" s="27">
        <f>IF(POSITION="","",CORREL(VOLATILITY_AXIS,CAGR_AXIS))</f>
        <v>-0.16014320052476735</v>
      </c>
      <c r="F10" s="9"/>
      <c r="G10" s="20">
        <v>39630</v>
      </c>
      <c r="H10" s="24">
        <v>161.84326643598615</v>
      </c>
      <c r="I10" s="24">
        <v>178.28085813148786</v>
      </c>
      <c r="J10" s="24">
        <v>144.40049826989619</v>
      </c>
      <c r="K10" s="24">
        <v>156.63999999999999</v>
      </c>
      <c r="L10" s="24">
        <v>33096.199999999997</v>
      </c>
      <c r="M10" s="24">
        <v>156.63999999999999</v>
      </c>
      <c r="N10" s="25">
        <v>-5.0666666666666665E-2</v>
      </c>
      <c r="O10" s="25">
        <v>0.74430362639553693</v>
      </c>
      <c r="P10" s="25">
        <v>0.17655362510448422</v>
      </c>
      <c r="Q10" s="25">
        <v>3.4683485483828269E-2</v>
      </c>
      <c r="R10"/>
      <c r="S10"/>
      <c r="T10"/>
      <c r="U10"/>
      <c r="V10"/>
      <c r="W10" s="10"/>
      <c r="X10" s="10"/>
      <c r="Y10" s="10"/>
      <c r="Z10" s="10"/>
      <c r="AA10" s="10"/>
    </row>
    <row r="11" spans="2:29" ht="15" customHeight="1" x14ac:dyDescent="0.25">
      <c r="D11" s="15"/>
      <c r="E11" s="15"/>
      <c r="F11" s="9"/>
      <c r="G11" s="20">
        <v>39661</v>
      </c>
      <c r="H11" s="24">
        <v>157.57030614050609</v>
      </c>
      <c r="I11" s="24">
        <v>177.820898955937</v>
      </c>
      <c r="J11" s="24">
        <v>150.68214829233762</v>
      </c>
      <c r="K11" s="24">
        <v>167.06</v>
      </c>
      <c r="L11" s="24">
        <v>23273.8</v>
      </c>
      <c r="M11" s="24">
        <v>167.06</v>
      </c>
      <c r="N11" s="25">
        <v>6.6521961184882544E-2</v>
      </c>
      <c r="O11" s="25">
        <v>0.75329694436604511</v>
      </c>
      <c r="P11" s="25">
        <v>0.1794600649912978</v>
      </c>
      <c r="Q11" s="25">
        <v>5.7135810796005382E-2</v>
      </c>
      <c r="R11"/>
      <c r="S11"/>
      <c r="T11"/>
      <c r="U11"/>
      <c r="V11"/>
      <c r="W11" s="10"/>
      <c r="X11" s="10"/>
      <c r="Y11" s="10"/>
      <c r="Z11" s="10"/>
      <c r="AA11" s="10"/>
    </row>
    <row r="12" spans="2:29" ht="15" customHeight="1" x14ac:dyDescent="0.25">
      <c r="F12" s="9"/>
      <c r="G12" s="20">
        <v>39692</v>
      </c>
      <c r="H12" s="24">
        <v>169.897272567306</v>
      </c>
      <c r="I12" s="24">
        <v>170.9813038887911</v>
      </c>
      <c r="J12" s="24">
        <v>99.129736934717585</v>
      </c>
      <c r="K12" s="24">
        <v>112.01</v>
      </c>
      <c r="L12" s="24">
        <v>43697.599999999999</v>
      </c>
      <c r="M12" s="24">
        <v>112.01</v>
      </c>
      <c r="N12" s="25">
        <v>-0.32952232730755421</v>
      </c>
      <c r="O12" s="25">
        <v>8.0787676929375135E-2</v>
      </c>
      <c r="P12" s="25">
        <v>0.26200516337376545</v>
      </c>
      <c r="Q12" s="25">
        <v>-7.4750430595342254E-2</v>
      </c>
      <c r="R12"/>
      <c r="S12"/>
      <c r="T12"/>
      <c r="U12"/>
      <c r="V12"/>
      <c r="W12" s="10"/>
      <c r="X12" s="10"/>
      <c r="Y12" s="10"/>
      <c r="Z12" s="10"/>
      <c r="AA12" s="10"/>
    </row>
    <row r="13" spans="2:29" ht="15" customHeight="1" x14ac:dyDescent="0.25">
      <c r="F13" s="9"/>
      <c r="G13" s="20">
        <v>39722</v>
      </c>
      <c r="H13" s="24">
        <v>110.29721721349567</v>
      </c>
      <c r="I13" s="24">
        <v>114.71225950367133</v>
      </c>
      <c r="J13" s="24">
        <v>83.767543451993674</v>
      </c>
      <c r="K13" s="24">
        <v>106.02999999999999</v>
      </c>
      <c r="L13" s="24">
        <v>66902.3</v>
      </c>
      <c r="M13" s="24">
        <v>106.03</v>
      </c>
      <c r="N13" s="25">
        <v>-5.3388090349075976E-2</v>
      </c>
      <c r="O13" s="25">
        <v>-9.3929182104107636E-3</v>
      </c>
      <c r="P13" s="25">
        <v>0.26379963386881927</v>
      </c>
      <c r="Q13" s="25">
        <v>-9.1518238240378968E-2</v>
      </c>
      <c r="R13"/>
      <c r="S13"/>
      <c r="T13"/>
      <c r="U13"/>
      <c r="V13"/>
      <c r="W13" s="10"/>
      <c r="X13" s="10"/>
      <c r="Y13" s="10"/>
      <c r="Z13" s="10"/>
      <c r="AA13" s="10"/>
    </row>
    <row r="14" spans="2:29" ht="15" customHeight="1" x14ac:dyDescent="0.25">
      <c r="D14" s="16"/>
      <c r="E14" s="16"/>
      <c r="F14" s="9"/>
      <c r="G14" s="20">
        <v>39753</v>
      </c>
      <c r="H14" s="24">
        <v>104.38683068954354</v>
      </c>
      <c r="I14" s="24">
        <v>110.16146325671737</v>
      </c>
      <c r="J14" s="24">
        <v>77.987102622207829</v>
      </c>
      <c r="K14" s="24">
        <v>91.32</v>
      </c>
      <c r="L14" s="24">
        <v>44957.2</v>
      </c>
      <c r="M14" s="24">
        <v>91.32</v>
      </c>
      <c r="N14" s="25">
        <v>-0.13873432047533718</v>
      </c>
      <c r="O14" s="25">
        <v>-0.19332835459859249</v>
      </c>
      <c r="P14" s="25">
        <v>0.27504298546060174</v>
      </c>
      <c r="Q14" s="25">
        <v>-0.13563880711884491</v>
      </c>
      <c r="R14"/>
      <c r="S14"/>
      <c r="T14"/>
      <c r="U14"/>
      <c r="V14"/>
      <c r="W14" s="10"/>
      <c r="X14" s="10"/>
      <c r="Y14" s="10"/>
      <c r="Z14" s="10"/>
      <c r="AA14" s="10"/>
    </row>
    <row r="15" spans="2:29" ht="15" customHeight="1" x14ac:dyDescent="0.25">
      <c r="E15" s="16"/>
      <c r="F15" s="9"/>
      <c r="G15" s="20">
        <v>39783</v>
      </c>
      <c r="H15" s="24">
        <v>89.97355594610427</v>
      </c>
      <c r="I15" s="24">
        <v>102.09485647334503</v>
      </c>
      <c r="J15" s="24">
        <v>83.321622729935555</v>
      </c>
      <c r="K15" s="24">
        <v>84.109999999999985</v>
      </c>
      <c r="L15" s="24">
        <v>33800.9</v>
      </c>
      <c r="M15" s="24">
        <v>84.11</v>
      </c>
      <c r="N15" s="25">
        <v>-7.8953131844064828E-2</v>
      </c>
      <c r="O15" s="25">
        <v>-0.26873927735161063</v>
      </c>
      <c r="P15" s="25">
        <v>0.2782355413199199</v>
      </c>
      <c r="Q15" s="25">
        <v>-0.15901321742154972</v>
      </c>
      <c r="R15"/>
      <c r="S15"/>
      <c r="T15"/>
      <c r="U15"/>
      <c r="V15"/>
      <c r="W15" s="10"/>
      <c r="X15" s="10"/>
      <c r="Y15" s="10"/>
      <c r="Z15" s="10"/>
      <c r="AA15" s="10"/>
    </row>
    <row r="16" spans="2:29" ht="15" customHeight="1" x14ac:dyDescent="0.25">
      <c r="E16" s="16"/>
      <c r="F16" s="9"/>
      <c r="G16" s="20">
        <v>39814</v>
      </c>
      <c r="H16" s="24">
        <v>84.631771885054917</v>
      </c>
      <c r="I16" s="24">
        <v>95.757676689226656</v>
      </c>
      <c r="J16" s="24">
        <v>77.063397314989459</v>
      </c>
      <c r="K16" s="24">
        <v>88.82</v>
      </c>
      <c r="L16" s="24">
        <v>33487.9</v>
      </c>
      <c r="M16" s="24">
        <v>88.82</v>
      </c>
      <c r="N16" s="25">
        <v>5.5998097729164191E-2</v>
      </c>
      <c r="O16" s="25">
        <v>-0.18321960006964888</v>
      </c>
      <c r="P16" s="25">
        <v>0.28040041708801683</v>
      </c>
      <c r="Q16" s="25">
        <v>-0.14359955914112443</v>
      </c>
      <c r="R16"/>
      <c r="S16"/>
      <c r="T16"/>
      <c r="U16"/>
      <c r="V16"/>
      <c r="W16" s="10"/>
      <c r="X16" s="10"/>
      <c r="Y16" s="10"/>
      <c r="Z16" s="10"/>
      <c r="AA16" s="10"/>
    </row>
    <row r="17" spans="2:27" ht="15" customHeight="1" x14ac:dyDescent="0.25">
      <c r="E17" s="16"/>
      <c r="F17" s="9"/>
      <c r="G17" s="20">
        <v>39845</v>
      </c>
      <c r="H17" s="24">
        <v>87.803056768558946</v>
      </c>
      <c r="I17" s="24">
        <v>101.50072780203784</v>
      </c>
      <c r="J17" s="24">
        <v>85.250756914119364</v>
      </c>
      <c r="K17" s="24">
        <v>88.009999999999991</v>
      </c>
      <c r="L17" s="24">
        <v>27394.9</v>
      </c>
      <c r="M17" s="24">
        <v>88.01</v>
      </c>
      <c r="N17" s="25">
        <v>-9.1195676649403288E-3</v>
      </c>
      <c r="O17" s="25">
        <v>-0.17707086772878533</v>
      </c>
      <c r="P17" s="25">
        <v>0.28039933402703621</v>
      </c>
      <c r="Q17" s="25">
        <v>-0.14621084716386601</v>
      </c>
      <c r="R17"/>
      <c r="S17"/>
      <c r="T17"/>
      <c r="U17"/>
      <c r="V17"/>
      <c r="W17" s="10"/>
      <c r="X17" s="10"/>
      <c r="Y17" s="10"/>
      <c r="Z17" s="10"/>
      <c r="AA17" s="10"/>
    </row>
    <row r="18" spans="2:27" ht="15" customHeight="1" x14ac:dyDescent="0.25">
      <c r="E18" s="16"/>
      <c r="F18" s="9"/>
      <c r="G18" s="20">
        <v>39873</v>
      </c>
      <c r="H18" s="24">
        <v>86.837431506849313</v>
      </c>
      <c r="I18" s="24">
        <v>108.37926369863013</v>
      </c>
      <c r="J18" s="24">
        <v>81.131703767123284</v>
      </c>
      <c r="K18" s="24">
        <v>103.59</v>
      </c>
      <c r="L18" s="24">
        <v>25963.4</v>
      </c>
      <c r="M18" s="24">
        <v>103.59</v>
      </c>
      <c r="N18" s="25">
        <v>0.17702533802976936</v>
      </c>
      <c r="O18" s="25">
        <v>-4.2027414475989794E-5</v>
      </c>
      <c r="P18" s="25">
        <v>0.29843305370393791</v>
      </c>
      <c r="Q18" s="25">
        <v>-9.8541156512135131E-2</v>
      </c>
      <c r="R18"/>
      <c r="S18"/>
      <c r="T18"/>
      <c r="U18"/>
      <c r="V18"/>
      <c r="W18" s="10"/>
      <c r="X18" s="10"/>
      <c r="Y18" s="10"/>
      <c r="Z18" s="10"/>
      <c r="AA18" s="10"/>
    </row>
    <row r="19" spans="2:27" ht="15" customHeight="1" x14ac:dyDescent="0.25">
      <c r="B19" s="21"/>
      <c r="C19" s="16"/>
      <c r="E19" s="16"/>
      <c r="F19" s="9"/>
      <c r="G19" s="20">
        <v>39904</v>
      </c>
      <c r="H19" s="24">
        <v>102.57617420329015</v>
      </c>
      <c r="I19" s="24">
        <v>125.3500754986887</v>
      </c>
      <c r="J19" s="24">
        <v>102.37908288961296</v>
      </c>
      <c r="K19" s="24">
        <v>123.99999999999999</v>
      </c>
      <c r="L19" s="24">
        <v>20952.599999999999</v>
      </c>
      <c r="M19" s="24">
        <v>124</v>
      </c>
      <c r="N19" s="25">
        <v>0.1970267400328217</v>
      </c>
      <c r="O19" s="25">
        <v>0.1688410374289766</v>
      </c>
      <c r="P19" s="25">
        <v>0.3182959176198627</v>
      </c>
      <c r="Q19" s="25">
        <v>-4.2848859942943962E-2</v>
      </c>
      <c r="R19"/>
      <c r="S19"/>
      <c r="T19"/>
      <c r="U19"/>
      <c r="V19"/>
      <c r="W19" s="10"/>
      <c r="X19" s="10"/>
      <c r="Y19" s="10"/>
      <c r="Z19" s="10"/>
      <c r="AA19" s="10"/>
    </row>
    <row r="20" spans="2:27" ht="15" customHeight="1" x14ac:dyDescent="0.25">
      <c r="B20" s="21"/>
      <c r="C20" s="16"/>
      <c r="E20" s="16"/>
      <c r="F20" s="9"/>
      <c r="G20" s="20">
        <v>39934</v>
      </c>
      <c r="H20" s="24">
        <v>123.96593770709079</v>
      </c>
      <c r="I20" s="24">
        <v>133.9186878727634</v>
      </c>
      <c r="J20" s="24">
        <v>117.63953611663354</v>
      </c>
      <c r="K20" s="24">
        <v>133.82999999999998</v>
      </c>
      <c r="L20" s="24">
        <v>17702.900000000001</v>
      </c>
      <c r="M20" s="24">
        <v>133.83000000000001</v>
      </c>
      <c r="N20" s="25">
        <v>7.9274193548387092E-2</v>
      </c>
      <c r="O20" s="25">
        <v>0.22100432310575446</v>
      </c>
      <c r="P20" s="25">
        <v>0.32096982990703715</v>
      </c>
      <c r="Q20" s="25">
        <v>-1.8196780488220154E-2</v>
      </c>
      <c r="R20"/>
      <c r="S20"/>
      <c r="T20"/>
      <c r="U20"/>
      <c r="V20"/>
      <c r="W20" s="10"/>
      <c r="X20" s="10"/>
      <c r="Y20" s="10"/>
      <c r="Z20" s="10"/>
      <c r="AA20" s="10"/>
    </row>
    <row r="21" spans="2:27" ht="15" customHeight="1" x14ac:dyDescent="0.25">
      <c r="B21" s="21"/>
      <c r="C21" s="16"/>
      <c r="E21" s="16"/>
      <c r="F21" s="9"/>
      <c r="G21" s="20">
        <v>39965</v>
      </c>
      <c r="H21" s="24">
        <v>134.48661939198203</v>
      </c>
      <c r="I21" s="24">
        <v>144.27230218352875</v>
      </c>
      <c r="J21" s="24">
        <v>130.94879449554168</v>
      </c>
      <c r="K21" s="24">
        <v>140.35999999999999</v>
      </c>
      <c r="L21" s="24">
        <v>21282.1</v>
      </c>
      <c r="M21" s="24">
        <v>140.36000000000001</v>
      </c>
      <c r="N21" s="25">
        <v>4.87932451617724E-2</v>
      </c>
      <c r="O21" s="25">
        <v>0.24378648678297404</v>
      </c>
      <c r="P21" s="25">
        <v>0.3217710367925391</v>
      </c>
      <c r="Q21" s="25">
        <v>-2.4812238642686335E-3</v>
      </c>
      <c r="R21"/>
      <c r="S21"/>
      <c r="T21"/>
      <c r="U21"/>
      <c r="V21"/>
      <c r="W21" s="10"/>
      <c r="X21" s="10"/>
      <c r="Y21" s="10"/>
      <c r="Z21" s="10"/>
      <c r="AA21" s="10"/>
    </row>
    <row r="22" spans="2:27" ht="15" customHeight="1" x14ac:dyDescent="0.25">
      <c r="B22" s="21"/>
      <c r="C22" s="16"/>
      <c r="E22" s="16"/>
      <c r="F22" s="9"/>
      <c r="G22" s="20">
        <v>39995</v>
      </c>
      <c r="H22" s="24">
        <v>141.40972519738051</v>
      </c>
      <c r="I22" s="24">
        <v>162.59654813636084</v>
      </c>
      <c r="J22" s="24">
        <v>132.46198788175531</v>
      </c>
      <c r="K22" s="24">
        <v>161.01</v>
      </c>
      <c r="L22" s="24">
        <v>18449.099999999999</v>
      </c>
      <c r="M22" s="24">
        <v>161.01</v>
      </c>
      <c r="N22" s="25">
        <v>0.14712168709033913</v>
      </c>
      <c r="O22" s="25">
        <v>0.33329670785950882</v>
      </c>
      <c r="P22" s="25">
        <v>0.33095081194263509</v>
      </c>
      <c r="Q22" s="25">
        <v>4.4217360510284465E-2</v>
      </c>
      <c r="R22"/>
      <c r="S22"/>
      <c r="T22"/>
      <c r="U22"/>
      <c r="V22"/>
      <c r="W22" s="10"/>
      <c r="X22" s="10"/>
      <c r="Y22" s="10"/>
      <c r="Z22" s="10"/>
      <c r="AA22" s="10"/>
    </row>
    <row r="23" spans="2:27" ht="15" customHeight="1" x14ac:dyDescent="0.25">
      <c r="B23" s="21"/>
      <c r="C23" s="16"/>
      <c r="E23" s="16"/>
      <c r="F23" s="9"/>
      <c r="G23" s="20">
        <v>40026</v>
      </c>
      <c r="H23" s="24">
        <v>162.80369538077403</v>
      </c>
      <c r="I23" s="24">
        <v>169.97766125676236</v>
      </c>
      <c r="J23" s="24">
        <v>157.09802746566788</v>
      </c>
      <c r="K23" s="24">
        <v>165.76</v>
      </c>
      <c r="L23" s="24">
        <v>14415.7</v>
      </c>
      <c r="M23" s="24">
        <v>165.76</v>
      </c>
      <c r="N23" s="25">
        <v>2.9501273212843925E-2</v>
      </c>
      <c r="O23" s="25">
        <v>0.33444773956476531</v>
      </c>
      <c r="P23" s="25">
        <v>0.33099679421781397</v>
      </c>
      <c r="Q23" s="25">
        <v>5.4386585464855308E-2</v>
      </c>
      <c r="R23"/>
      <c r="S23"/>
      <c r="T23"/>
      <c r="U23"/>
      <c r="V23"/>
      <c r="W23" s="10"/>
      <c r="X23" s="10"/>
      <c r="Y23" s="10"/>
      <c r="Z23" s="10"/>
      <c r="AA23" s="10"/>
    </row>
    <row r="24" spans="2:27" ht="15" customHeight="1" x14ac:dyDescent="0.25">
      <c r="B24" s="16"/>
      <c r="C24" s="16"/>
      <c r="D24" s="16"/>
      <c r="E24" s="16"/>
      <c r="F24" s="9"/>
      <c r="G24" s="20">
        <v>40057</v>
      </c>
      <c r="H24" s="24">
        <v>165.5428837334772</v>
      </c>
      <c r="I24" s="24">
        <v>186.14828702454813</v>
      </c>
      <c r="J24" s="24">
        <v>161.71940383059075</v>
      </c>
      <c r="K24" s="24">
        <v>182.64999999999998</v>
      </c>
      <c r="L24" s="24">
        <v>17906.3</v>
      </c>
      <c r="M24" s="24">
        <v>182.65</v>
      </c>
      <c r="N24" s="25">
        <v>0.10189430501930502</v>
      </c>
      <c r="O24" s="25">
        <v>0.381199524863023</v>
      </c>
      <c r="P24" s="25">
        <v>0.33457287435878752</v>
      </c>
      <c r="Q24" s="25">
        <v>8.9046736914978331E-2</v>
      </c>
      <c r="R24"/>
      <c r="S24"/>
      <c r="T24"/>
      <c r="U24"/>
      <c r="V24"/>
      <c r="W24" s="10"/>
      <c r="X24" s="10"/>
      <c r="Y24" s="10"/>
      <c r="Z24" s="10"/>
      <c r="AA24" s="10"/>
    </row>
    <row r="25" spans="2:27" ht="15" customHeight="1" x14ac:dyDescent="0.25">
      <c r="B25" s="16"/>
      <c r="C25" s="16"/>
      <c r="D25" s="16"/>
      <c r="E25" s="16"/>
      <c r="F25" s="9"/>
      <c r="G25" s="20">
        <v>40087</v>
      </c>
      <c r="H25" s="24">
        <v>182.65578779840848</v>
      </c>
      <c r="I25" s="24">
        <v>205.67623129973475</v>
      </c>
      <c r="J25" s="24">
        <v>178.07337931034482</v>
      </c>
      <c r="K25" s="24">
        <v>185.76</v>
      </c>
      <c r="L25" s="24">
        <v>22197.5</v>
      </c>
      <c r="M25" s="24">
        <v>185.76</v>
      </c>
      <c r="N25" s="25">
        <v>1.7027101012866138E-2</v>
      </c>
      <c r="O25" s="25">
        <v>0.37235580922759148</v>
      </c>
      <c r="P25" s="25">
        <v>0.3344403229178789</v>
      </c>
      <c r="Q25" s="25">
        <v>9.5193085897762098E-2</v>
      </c>
      <c r="R25"/>
      <c r="S25"/>
      <c r="T25"/>
      <c r="U25"/>
      <c r="V25"/>
      <c r="W25" s="10"/>
      <c r="X25" s="10"/>
      <c r="Y25" s="10"/>
      <c r="Z25" s="10"/>
      <c r="AA25" s="10"/>
    </row>
    <row r="26" spans="2:27" ht="15" customHeight="1" x14ac:dyDescent="0.25">
      <c r="B26" s="16"/>
      <c r="C26" s="16"/>
      <c r="D26" s="16"/>
      <c r="E26" s="16"/>
      <c r="F26" s="9"/>
      <c r="G26" s="20">
        <v>40118</v>
      </c>
      <c r="H26" s="24">
        <v>187.03716672502625</v>
      </c>
      <c r="I26" s="24">
        <v>204.97223750687809</v>
      </c>
      <c r="J26" s="24">
        <v>182.86874093342004</v>
      </c>
      <c r="K26" s="24">
        <v>197</v>
      </c>
      <c r="L26" s="24">
        <v>15856.5</v>
      </c>
      <c r="M26" s="24">
        <v>197</v>
      </c>
      <c r="N26" s="25">
        <v>6.0508182601205857E-2</v>
      </c>
      <c r="O26" s="25">
        <v>0.38920068456029999</v>
      </c>
      <c r="P26" s="25">
        <v>0.33518257514204075</v>
      </c>
      <c r="Q26" s="25">
        <v>0.11685133576308449</v>
      </c>
      <c r="R26"/>
      <c r="S26"/>
      <c r="T26"/>
      <c r="U26"/>
      <c r="V26"/>
      <c r="W26" s="10"/>
      <c r="X26" s="10"/>
      <c r="Y26" s="10"/>
      <c r="Z26" s="10"/>
      <c r="AA26" s="10"/>
    </row>
    <row r="27" spans="2:27" ht="15" customHeight="1" x14ac:dyDescent="0.25">
      <c r="B27" s="16"/>
      <c r="C27" s="16"/>
      <c r="D27" s="16"/>
      <c r="E27" s="16"/>
      <c r="F27" s="9"/>
      <c r="G27" s="20">
        <v>40148</v>
      </c>
      <c r="H27" s="24">
        <v>199.29368575902811</v>
      </c>
      <c r="I27" s="24">
        <v>210.83308973568072</v>
      </c>
      <c r="J27" s="24">
        <v>185.93123333175154</v>
      </c>
      <c r="K27" s="24">
        <v>207.66</v>
      </c>
      <c r="L27" s="24">
        <v>19068.7</v>
      </c>
      <c r="M27" s="24">
        <v>207.66</v>
      </c>
      <c r="N27" s="25">
        <v>5.4111675126903555E-2</v>
      </c>
      <c r="O27" s="25">
        <v>0.40102520351314286</v>
      </c>
      <c r="P27" s="25">
        <v>0.33559681483411591</v>
      </c>
      <c r="Q27" s="25">
        <v>0.13664342081072856</v>
      </c>
      <c r="R27"/>
      <c r="S27"/>
      <c r="T27"/>
      <c r="U27"/>
      <c r="V27"/>
      <c r="W27" s="10"/>
      <c r="X27" s="10"/>
      <c r="Y27" s="10"/>
      <c r="Z27" s="10"/>
      <c r="AA27" s="10"/>
    </row>
    <row r="28" spans="2:27" ht="15" customHeight="1" x14ac:dyDescent="0.25">
      <c r="B28" s="16"/>
      <c r="C28" s="16"/>
      <c r="D28" s="16"/>
      <c r="E28" s="16"/>
      <c r="F28" s="9"/>
      <c r="G28" s="20">
        <v>40179</v>
      </c>
      <c r="H28" s="24">
        <v>210.3295641986879</v>
      </c>
      <c r="I28" s="24">
        <v>212.45818650421742</v>
      </c>
      <c r="J28" s="24">
        <v>187.48629334582944</v>
      </c>
      <c r="K28" s="24">
        <v>189.26999999999998</v>
      </c>
      <c r="L28" s="24">
        <v>30855.1</v>
      </c>
      <c r="M28" s="24">
        <v>189.27</v>
      </c>
      <c r="N28" s="25">
        <v>-8.8558220167581622E-2</v>
      </c>
      <c r="O28" s="25">
        <v>0.33738503631644212</v>
      </c>
      <c r="P28" s="25">
        <v>0.34094199175698819</v>
      </c>
      <c r="Q28" s="25">
        <v>0.10204810795603225</v>
      </c>
      <c r="R28"/>
      <c r="S28"/>
      <c r="T28"/>
      <c r="U28"/>
      <c r="V28"/>
      <c r="W28" s="10"/>
      <c r="X28" s="10"/>
      <c r="Y28" s="10"/>
      <c r="Z28" s="10"/>
      <c r="AA28" s="10"/>
    </row>
    <row r="29" spans="2:27" ht="15" customHeight="1" x14ac:dyDescent="0.25">
      <c r="B29" s="16"/>
      <c r="C29" s="16"/>
      <c r="D29" s="16"/>
      <c r="E29" s="16"/>
      <c r="F29" s="9"/>
      <c r="G29" s="20">
        <v>40210</v>
      </c>
      <c r="H29" s="24">
        <v>189.56840387058938</v>
      </c>
      <c r="I29" s="24">
        <v>202.18199003030006</v>
      </c>
      <c r="J29" s="24">
        <v>188.07054051412373</v>
      </c>
      <c r="K29" s="24">
        <v>201.64</v>
      </c>
      <c r="L29" s="24">
        <v>21209.599999999999</v>
      </c>
      <c r="M29" s="24">
        <v>201.64</v>
      </c>
      <c r="N29" s="25">
        <v>6.5356369208009718E-2</v>
      </c>
      <c r="O29" s="25">
        <v>0.35600551107392842</v>
      </c>
      <c r="P29" s="25">
        <v>0.34183098517289001</v>
      </c>
      <c r="Q29" s="25">
        <v>0.12555189154863355</v>
      </c>
      <c r="R29"/>
      <c r="S29"/>
      <c r="T29"/>
      <c r="U29"/>
      <c r="V29"/>
      <c r="W29" s="10"/>
      <c r="X29" s="10"/>
      <c r="Y29" s="10"/>
      <c r="Z29" s="10"/>
      <c r="AA29" s="10"/>
    </row>
    <row r="30" spans="2:27" ht="15" customHeight="1" x14ac:dyDescent="0.25">
      <c r="B30" s="16"/>
      <c r="C30" s="16"/>
      <c r="D30" s="16"/>
      <c r="E30" s="16"/>
      <c r="F30" s="9"/>
      <c r="G30" s="20">
        <v>40238</v>
      </c>
      <c r="H30" s="24">
        <v>202.75568085106383</v>
      </c>
      <c r="I30" s="24">
        <v>234.02390808510637</v>
      </c>
      <c r="J30" s="24">
        <v>202.46004680851064</v>
      </c>
      <c r="K30" s="24">
        <v>231.57999999999998</v>
      </c>
      <c r="L30" s="24">
        <v>19541.599999999999</v>
      </c>
      <c r="M30" s="24">
        <v>231.58</v>
      </c>
      <c r="N30" s="25">
        <v>0.14848244395953186</v>
      </c>
      <c r="O30" s="25">
        <v>0.41303686373154663</v>
      </c>
      <c r="P30" s="25">
        <v>0.34921648985517234</v>
      </c>
      <c r="Q30" s="25">
        <v>0.17871002100160616</v>
      </c>
      <c r="R30"/>
      <c r="S30"/>
      <c r="T30"/>
      <c r="U30"/>
      <c r="V30"/>
      <c r="W30" s="10"/>
      <c r="X30" s="10"/>
      <c r="Y30" s="10"/>
      <c r="Z30" s="10"/>
      <c r="AA30" s="10"/>
    </row>
    <row r="31" spans="2:27" ht="15" customHeight="1" x14ac:dyDescent="0.25">
      <c r="B31" s="16"/>
      <c r="C31" s="16"/>
      <c r="D31" s="16"/>
      <c r="E31" s="16"/>
      <c r="F31" s="9"/>
      <c r="G31" s="20">
        <v>40269</v>
      </c>
      <c r="H31" s="24">
        <v>233.95464743958024</v>
      </c>
      <c r="I31" s="24">
        <v>268.4945168332759</v>
      </c>
      <c r="J31" s="24">
        <v>229.36247079551111</v>
      </c>
      <c r="K31" s="24">
        <v>257.29000000000002</v>
      </c>
      <c r="L31" s="24">
        <v>21955</v>
      </c>
      <c r="M31" s="24">
        <v>257.29000000000002</v>
      </c>
      <c r="N31" s="25">
        <v>0.1110199499093186</v>
      </c>
      <c r="O31" s="25">
        <v>0.44839080739232651</v>
      </c>
      <c r="P31" s="25">
        <v>0.35237306900662857</v>
      </c>
      <c r="Q31" s="25">
        <v>0.22080864184208182</v>
      </c>
      <c r="R31"/>
      <c r="S31"/>
      <c r="T31"/>
      <c r="U31"/>
      <c r="V31"/>
      <c r="W31" s="10"/>
      <c r="X31" s="10"/>
      <c r="Y31" s="10"/>
      <c r="Z31" s="10"/>
      <c r="AA31" s="10"/>
    </row>
    <row r="32" spans="2:27" ht="15" customHeight="1" x14ac:dyDescent="0.25">
      <c r="B32" s="16"/>
      <c r="C32" s="16"/>
      <c r="D32" s="16"/>
      <c r="E32" s="16"/>
      <c r="F32" s="9"/>
      <c r="G32" s="20">
        <v>40299</v>
      </c>
      <c r="H32" s="24">
        <v>259.99866708190598</v>
      </c>
      <c r="I32" s="24">
        <v>263.97984739956399</v>
      </c>
      <c r="J32" s="24">
        <v>196.3490540330115</v>
      </c>
      <c r="K32" s="24">
        <v>253.14</v>
      </c>
      <c r="L32" s="24">
        <v>33746.9</v>
      </c>
      <c r="M32" s="24">
        <v>253.14</v>
      </c>
      <c r="N32" s="25">
        <v>-1.6129659139492401E-2</v>
      </c>
      <c r="O32" s="25">
        <v>0.42461500305654032</v>
      </c>
      <c r="P32" s="25">
        <v>0.35287900480239387</v>
      </c>
      <c r="Q32" s="25">
        <v>0.21420928943534889</v>
      </c>
      <c r="R32"/>
      <c r="S32"/>
      <c r="T32"/>
      <c r="U32"/>
      <c r="V32"/>
      <c r="W32" s="10"/>
      <c r="X32" s="10"/>
      <c r="Y32" s="10"/>
      <c r="Z32" s="10"/>
      <c r="AA32" s="10"/>
    </row>
    <row r="33" spans="2:27" ht="15" customHeight="1" x14ac:dyDescent="0.25">
      <c r="B33" s="16"/>
      <c r="C33" s="16"/>
      <c r="D33" s="16"/>
      <c r="E33" s="16"/>
      <c r="F33" s="9"/>
      <c r="G33" s="20">
        <v>40330</v>
      </c>
      <c r="H33" s="24">
        <v>255.91126426271222</v>
      </c>
      <c r="I33" s="24">
        <v>274.95013994354548</v>
      </c>
      <c r="J33" s="24">
        <v>238.67576034667829</v>
      </c>
      <c r="K33" s="24">
        <v>247.86999999999998</v>
      </c>
      <c r="L33" s="24">
        <v>28231.599999999999</v>
      </c>
      <c r="M33" s="24">
        <v>247.87</v>
      </c>
      <c r="N33" s="25">
        <v>-2.0818519396381449E-2</v>
      </c>
      <c r="O33" s="25">
        <v>0.40052795892035764</v>
      </c>
      <c r="P33" s="25">
        <v>0.35356618247622656</v>
      </c>
      <c r="Q33" s="25">
        <v>0.20572411803356849</v>
      </c>
      <c r="R33"/>
      <c r="S33"/>
      <c r="T33"/>
      <c r="U33"/>
      <c r="V33"/>
      <c r="W33" s="10"/>
      <c r="X33" s="10"/>
      <c r="Y33" s="10"/>
      <c r="Z33" s="10"/>
      <c r="AA33" s="10"/>
    </row>
    <row r="34" spans="2:27" ht="15" customHeight="1" x14ac:dyDescent="0.25">
      <c r="B34" s="16"/>
      <c r="C34" s="16"/>
      <c r="D34" s="16"/>
      <c r="E34" s="16"/>
      <c r="F34" s="9"/>
      <c r="G34" s="20">
        <v>40360</v>
      </c>
      <c r="H34" s="24">
        <v>250.60288824101067</v>
      </c>
      <c r="I34" s="24">
        <v>262.12293449951409</v>
      </c>
      <c r="J34" s="24">
        <v>236.11660252672496</v>
      </c>
      <c r="K34" s="24">
        <v>253.51</v>
      </c>
      <c r="L34" s="24">
        <v>27411.4</v>
      </c>
      <c r="M34" s="24">
        <v>253.51</v>
      </c>
      <c r="N34" s="25">
        <v>2.2753862912010328E-2</v>
      </c>
      <c r="O34" s="25">
        <v>0.3961320415418671</v>
      </c>
      <c r="P34" s="25">
        <v>0.35326990409197617</v>
      </c>
      <c r="Q34" s="25">
        <v>0.21480058111870903</v>
      </c>
      <c r="R34"/>
      <c r="S34"/>
      <c r="T34"/>
      <c r="U34"/>
      <c r="V34"/>
      <c r="W34" s="10"/>
      <c r="X34" s="10"/>
      <c r="Y34" s="10"/>
      <c r="Z34" s="10"/>
      <c r="AA34" s="10"/>
    </row>
    <row r="35" spans="2:27" ht="15" customHeight="1" x14ac:dyDescent="0.25">
      <c r="B35" s="16"/>
      <c r="C35" s="16"/>
      <c r="D35" s="16"/>
      <c r="E35" s="16"/>
      <c r="F35" s="9"/>
      <c r="G35" s="20">
        <v>40391</v>
      </c>
      <c r="H35" s="24">
        <v>256.64749650349648</v>
      </c>
      <c r="I35" s="24">
        <v>260.43157877416701</v>
      </c>
      <c r="J35" s="24">
        <v>232.12979679144382</v>
      </c>
      <c r="K35" s="24">
        <v>239.55999999999997</v>
      </c>
      <c r="L35" s="24">
        <v>16249.8</v>
      </c>
      <c r="M35" s="24">
        <v>239.56</v>
      </c>
      <c r="N35" s="25">
        <v>-5.5027415092106825E-2</v>
      </c>
      <c r="O35" s="25">
        <v>0.36091667412029566</v>
      </c>
      <c r="P35" s="25">
        <v>0.35591945251701573</v>
      </c>
      <c r="Q35" s="25">
        <v>0.19209644828286443</v>
      </c>
      <c r="R35"/>
      <c r="S35"/>
      <c r="T35"/>
      <c r="U35"/>
      <c r="V35"/>
      <c r="W35" s="10"/>
      <c r="X35" s="10"/>
      <c r="Y35" s="10"/>
      <c r="Z35" s="10"/>
      <c r="AA35" s="10"/>
    </row>
    <row r="36" spans="2:27" ht="15" customHeight="1" x14ac:dyDescent="0.25">
      <c r="B36" s="16"/>
      <c r="C36" s="16"/>
      <c r="D36" s="16"/>
      <c r="E36" s="16"/>
      <c r="F36" s="9"/>
      <c r="G36" s="20">
        <v>40422</v>
      </c>
      <c r="H36" s="24">
        <v>243.86805779735681</v>
      </c>
      <c r="I36" s="24">
        <v>290.44018537444936</v>
      </c>
      <c r="J36" s="24">
        <v>242.69537832599119</v>
      </c>
      <c r="K36" s="24">
        <v>279.62</v>
      </c>
      <c r="L36" s="24">
        <v>21298.1</v>
      </c>
      <c r="M36" s="24">
        <v>279.62</v>
      </c>
      <c r="N36" s="25">
        <v>0.16722324261145433</v>
      </c>
      <c r="O36" s="25">
        <v>0.41400577854665543</v>
      </c>
      <c r="P36" s="25">
        <v>0.36449645300334993</v>
      </c>
      <c r="Q36" s="25">
        <v>0.25515117322198089</v>
      </c>
      <c r="R36"/>
      <c r="S36"/>
      <c r="T36"/>
      <c r="U36"/>
      <c r="V36"/>
      <c r="W36" s="10"/>
      <c r="X36" s="10"/>
      <c r="Y36" s="10"/>
      <c r="Z36" s="10"/>
      <c r="AA36" s="10"/>
    </row>
    <row r="37" spans="2:27" ht="15" customHeight="1" x14ac:dyDescent="0.25">
      <c r="B37" s="16"/>
      <c r="C37" s="16"/>
      <c r="D37" s="16"/>
      <c r="E37" s="16"/>
      <c r="F37" s="9"/>
      <c r="G37" s="20">
        <v>40452</v>
      </c>
      <c r="H37" s="24">
        <v>281.98581301083129</v>
      </c>
      <c r="I37" s="24">
        <v>314.35776463552395</v>
      </c>
      <c r="J37" s="24">
        <v>273.727762642036</v>
      </c>
      <c r="K37" s="24">
        <v>296.59999999999997</v>
      </c>
      <c r="L37" s="24">
        <v>21539.200000000001</v>
      </c>
      <c r="M37" s="24">
        <v>296.60000000000002</v>
      </c>
      <c r="N37" s="25">
        <v>6.0725270009298338E-2</v>
      </c>
      <c r="O37" s="25">
        <v>0.42384007422055814</v>
      </c>
      <c r="P37" s="25">
        <v>0.36453082768434975</v>
      </c>
      <c r="Q37" s="25">
        <v>0.2800600434731273</v>
      </c>
      <c r="R37"/>
      <c r="S37"/>
      <c r="T37"/>
      <c r="U37"/>
      <c r="V37"/>
      <c r="W37" s="10"/>
      <c r="X37" s="10"/>
      <c r="Y37" s="10"/>
      <c r="Z37" s="10"/>
      <c r="AA37" s="10"/>
    </row>
    <row r="38" spans="2:27" ht="15" customHeight="1" x14ac:dyDescent="0.25">
      <c r="B38" s="16"/>
      <c r="C38" s="16"/>
      <c r="D38" s="16"/>
      <c r="E38" s="16"/>
      <c r="F38" s="9"/>
      <c r="G38" s="20">
        <v>40483</v>
      </c>
      <c r="H38" s="24">
        <v>297.82001092720554</v>
      </c>
      <c r="I38" s="24">
        <v>316.62222722159731</v>
      </c>
      <c r="J38" s="24">
        <v>293.42494359633616</v>
      </c>
      <c r="K38" s="24">
        <v>306.61999999999995</v>
      </c>
      <c r="L38" s="24">
        <v>17023.7</v>
      </c>
      <c r="M38" s="24">
        <v>306.62</v>
      </c>
      <c r="N38" s="25">
        <v>3.3782872555630478E-2</v>
      </c>
      <c r="O38" s="25">
        <v>0.42328111653713479</v>
      </c>
      <c r="P38" s="25">
        <v>0.36410641629478796</v>
      </c>
      <c r="Q38" s="25">
        <v>0.29431540146946045</v>
      </c>
      <c r="R38"/>
      <c r="S38"/>
      <c r="T38"/>
      <c r="U38"/>
      <c r="V38"/>
      <c r="W38" s="10"/>
      <c r="X38" s="10"/>
      <c r="Y38" s="10"/>
      <c r="Z38" s="10"/>
      <c r="AA38" s="10"/>
    </row>
    <row r="39" spans="2:27" ht="15" customHeight="1" x14ac:dyDescent="0.25">
      <c r="B39" s="16"/>
      <c r="C39" s="16"/>
      <c r="D39" s="16"/>
      <c r="E39" s="16"/>
      <c r="F39" s="9"/>
      <c r="G39" s="20">
        <v>40513</v>
      </c>
      <c r="H39" s="24">
        <v>310.68599609375002</v>
      </c>
      <c r="I39" s="24">
        <v>321.91038628472222</v>
      </c>
      <c r="J39" s="24">
        <v>310.31152126736112</v>
      </c>
      <c r="K39" s="24">
        <v>317.86999999999995</v>
      </c>
      <c r="L39" s="24">
        <v>11634.3</v>
      </c>
      <c r="M39" s="24">
        <v>317.87</v>
      </c>
      <c r="N39" s="25">
        <v>3.6690365925249498E-2</v>
      </c>
      <c r="O39" s="25">
        <v>0.42378121284789511</v>
      </c>
      <c r="P39" s="25">
        <v>0.36366132435988191</v>
      </c>
      <c r="Q39" s="25">
        <v>0.30995529055305715</v>
      </c>
      <c r="R39"/>
      <c r="S39"/>
      <c r="T39"/>
      <c r="U39"/>
      <c r="V39"/>
      <c r="W39" s="10"/>
      <c r="X39" s="10"/>
      <c r="Y39" s="10"/>
      <c r="Z39" s="10"/>
      <c r="AA39" s="10"/>
    </row>
    <row r="40" spans="2:27" ht="15" customHeight="1" x14ac:dyDescent="0.25">
      <c r="B40" s="16"/>
      <c r="C40" s="16"/>
      <c r="D40" s="16"/>
      <c r="E40" s="16"/>
      <c r="F40" s="9"/>
      <c r="G40" s="20">
        <v>40544</v>
      </c>
      <c r="H40" s="24">
        <v>320.89916067428976</v>
      </c>
      <c r="I40" s="24">
        <v>343.52489685252857</v>
      </c>
      <c r="J40" s="24">
        <v>320.11080749734765</v>
      </c>
      <c r="K40" s="24">
        <v>334.38</v>
      </c>
      <c r="L40" s="24">
        <v>20033.5</v>
      </c>
      <c r="M40" s="24">
        <v>334.38</v>
      </c>
      <c r="N40" s="25">
        <v>5.1939472111240448E-2</v>
      </c>
      <c r="O40" s="25">
        <v>0.42948099720466648</v>
      </c>
      <c r="P40" s="25">
        <v>0.36332840670539246</v>
      </c>
      <c r="Q40" s="25">
        <v>0.33225305170221864</v>
      </c>
      <c r="R40"/>
      <c r="S40"/>
      <c r="T40"/>
      <c r="U40"/>
      <c r="V40"/>
      <c r="W40" s="10"/>
      <c r="X40" s="10"/>
      <c r="Y40" s="10"/>
      <c r="Z40" s="10"/>
      <c r="AA40" s="10"/>
    </row>
    <row r="41" spans="2:27" ht="15" customHeight="1" x14ac:dyDescent="0.25">
      <c r="B41" s="16"/>
      <c r="C41" s="16"/>
      <c r="D41" s="16"/>
      <c r="E41" s="16"/>
      <c r="F41" s="9"/>
      <c r="G41" s="20">
        <v>40575</v>
      </c>
      <c r="H41" s="24">
        <v>336.33331728999741</v>
      </c>
      <c r="I41" s="24">
        <v>359.58988420486395</v>
      </c>
      <c r="J41" s="24">
        <v>332.80541434274227</v>
      </c>
      <c r="K41" s="24">
        <v>348.07</v>
      </c>
      <c r="L41" s="24">
        <v>18231.2</v>
      </c>
      <c r="M41" s="24">
        <v>348.07</v>
      </c>
      <c r="N41" s="25">
        <v>4.0941443866259947E-2</v>
      </c>
      <c r="O41" s="25">
        <v>0.43119811745995662</v>
      </c>
      <c r="P41" s="25">
        <v>0.36281866600019297</v>
      </c>
      <c r="Q41" s="25">
        <v>0.35019187531986806</v>
      </c>
      <c r="R41"/>
      <c r="S41"/>
      <c r="T41"/>
      <c r="U41"/>
      <c r="V41"/>
      <c r="W41" s="10"/>
      <c r="X41" s="10"/>
      <c r="Y41" s="10"/>
      <c r="Z41" s="10"/>
      <c r="AA41" s="10"/>
    </row>
    <row r="42" spans="2:27" ht="15" customHeight="1" x14ac:dyDescent="0.25">
      <c r="B42" s="16"/>
      <c r="C42" s="16"/>
      <c r="D42" s="16"/>
      <c r="E42" s="16"/>
      <c r="F42" s="9"/>
      <c r="G42" s="20">
        <v>40603</v>
      </c>
      <c r="H42" s="24">
        <v>350.29874838598602</v>
      </c>
      <c r="I42" s="24">
        <v>356.40855298269776</v>
      </c>
      <c r="J42" s="24">
        <v>321.51368511663941</v>
      </c>
      <c r="K42" s="24">
        <v>343.44</v>
      </c>
      <c r="L42" s="24">
        <v>17982.099999999999</v>
      </c>
      <c r="M42" s="24">
        <v>343.44</v>
      </c>
      <c r="N42" s="25">
        <v>-1.3301922027178443E-2</v>
      </c>
      <c r="O42" s="25">
        <v>0.41522997741168377</v>
      </c>
      <c r="P42" s="25">
        <v>0.36331099834437025</v>
      </c>
      <c r="Q42" s="25">
        <v>0.34417841677301508</v>
      </c>
      <c r="R42"/>
      <c r="S42"/>
      <c r="T42"/>
      <c r="U42"/>
      <c r="V42"/>
      <c r="W42" s="10"/>
      <c r="X42" s="10"/>
      <c r="Y42" s="10"/>
      <c r="Z42" s="10"/>
      <c r="AA42" s="10"/>
    </row>
    <row r="43" spans="2:27" ht="15" customHeight="1" x14ac:dyDescent="0.25">
      <c r="B43" s="16"/>
      <c r="C43" s="16"/>
      <c r="D43" s="16"/>
      <c r="E43" s="16"/>
      <c r="F43" s="9"/>
      <c r="G43" s="20">
        <v>40634</v>
      </c>
      <c r="H43" s="24">
        <v>346.00575329163451</v>
      </c>
      <c r="I43" s="24">
        <v>349.96731271242112</v>
      </c>
      <c r="J43" s="24">
        <v>315.50568760174792</v>
      </c>
      <c r="K43" s="24">
        <v>345.03999999999996</v>
      </c>
      <c r="L43" s="24">
        <v>18321.7</v>
      </c>
      <c r="M43" s="24">
        <v>345.04</v>
      </c>
      <c r="N43" s="25">
        <v>4.6587467971115773E-3</v>
      </c>
      <c r="O43" s="25">
        <v>0.35952285821441521</v>
      </c>
      <c r="P43" s="25">
        <v>0.35426540689627467</v>
      </c>
      <c r="Q43" s="25">
        <v>0.26261027171982954</v>
      </c>
      <c r="R43"/>
      <c r="S43"/>
      <c r="T43"/>
      <c r="U43"/>
      <c r="V43"/>
      <c r="W43" s="10"/>
      <c r="X43" s="10"/>
      <c r="Y43" s="10"/>
      <c r="Z43" s="10"/>
      <c r="AA43" s="10"/>
    </row>
    <row r="44" spans="2:27" ht="15" customHeight="1" x14ac:dyDescent="0.25">
      <c r="B44" s="16"/>
      <c r="C44" s="16"/>
      <c r="D44" s="16"/>
      <c r="E44" s="16"/>
      <c r="F44" s="9"/>
      <c r="G44" s="20">
        <v>40664</v>
      </c>
      <c r="H44" s="24">
        <v>344.65221458758583</v>
      </c>
      <c r="I44" s="24">
        <v>346.71181065463014</v>
      </c>
      <c r="J44" s="24">
        <v>324.6278164620648</v>
      </c>
      <c r="K44" s="24">
        <v>342.77</v>
      </c>
      <c r="L44" s="24">
        <v>12465.6</v>
      </c>
      <c r="M44" s="24">
        <v>342.77</v>
      </c>
      <c r="N44" s="25">
        <v>-6.5789473684210523E-3</v>
      </c>
      <c r="O44" s="25">
        <v>0.28856110671008339</v>
      </c>
      <c r="P44" s="25">
        <v>0.3387385060904069</v>
      </c>
      <c r="Q44" s="25">
        <v>0.22601736112190496</v>
      </c>
      <c r="R44"/>
      <c r="S44"/>
      <c r="T44"/>
      <c r="U44"/>
      <c r="V44"/>
      <c r="W44" s="10"/>
      <c r="X44" s="10"/>
      <c r="Y44" s="10"/>
      <c r="Z44" s="10"/>
      <c r="AA44" s="10"/>
    </row>
    <row r="45" spans="2:27" ht="15" customHeight="1" x14ac:dyDescent="0.25">
      <c r="B45" s="16"/>
      <c r="C45" s="16"/>
      <c r="D45" s="16"/>
      <c r="E45" s="16"/>
      <c r="F45" s="9"/>
      <c r="G45" s="20">
        <v>40695</v>
      </c>
      <c r="H45" s="24">
        <v>343.79809723835911</v>
      </c>
      <c r="I45" s="24">
        <v>347.01070307146898</v>
      </c>
      <c r="J45" s="24">
        <v>305.98592367503795</v>
      </c>
      <c r="K45" s="24">
        <v>330.78999999999996</v>
      </c>
      <c r="L45" s="24">
        <v>15563.2</v>
      </c>
      <c r="M45" s="24">
        <v>330.79</v>
      </c>
      <c r="N45" s="25">
        <v>-3.4950549931440908E-2</v>
      </c>
      <c r="O45" s="25">
        <v>0.24964063017686935</v>
      </c>
      <c r="P45" s="25">
        <v>0.33843655908593123</v>
      </c>
      <c r="Q45" s="25">
        <v>0.26092564022290521</v>
      </c>
      <c r="R45"/>
      <c r="S45"/>
      <c r="T45"/>
      <c r="U45"/>
      <c r="V45"/>
      <c r="W45" s="10"/>
      <c r="X45" s="10"/>
      <c r="Y45" s="10"/>
      <c r="Z45" s="10"/>
      <c r="AA45" s="10"/>
    </row>
    <row r="46" spans="2:27" ht="15" customHeight="1" x14ac:dyDescent="0.25">
      <c r="B46" s="16"/>
      <c r="C46" s="16"/>
      <c r="D46" s="16"/>
      <c r="E46" s="16"/>
      <c r="F46" s="9"/>
      <c r="G46" s="20">
        <v>40725</v>
      </c>
      <c r="H46" s="24">
        <v>331.06320426142184</v>
      </c>
      <c r="I46" s="24">
        <v>398.61606228231915</v>
      </c>
      <c r="J46" s="24">
        <v>329.33866011063304</v>
      </c>
      <c r="K46" s="24">
        <v>384.8</v>
      </c>
      <c r="L46" s="24">
        <v>20155</v>
      </c>
      <c r="M46" s="24">
        <v>384.8</v>
      </c>
      <c r="N46" s="25">
        <v>0.16327579431058981</v>
      </c>
      <c r="O46" s="25">
        <v>0.33921220426888271</v>
      </c>
      <c r="P46" s="25">
        <v>0.33860874447816264</v>
      </c>
      <c r="Q46" s="25">
        <v>0.34930707109063608</v>
      </c>
      <c r="R46"/>
      <c r="S46"/>
      <c r="T46"/>
      <c r="U46"/>
      <c r="V46"/>
      <c r="W46" s="10"/>
      <c r="X46" s="10"/>
      <c r="Y46" s="10"/>
      <c r="Z46" s="10"/>
      <c r="AA46" s="10"/>
    </row>
    <row r="47" spans="2:27" ht="15" customHeight="1" x14ac:dyDescent="0.25">
      <c r="B47" s="16"/>
      <c r="C47" s="16"/>
      <c r="D47" s="16"/>
      <c r="E47" s="16"/>
      <c r="F47" s="9"/>
      <c r="G47" s="20">
        <v>40756</v>
      </c>
      <c r="H47" s="24">
        <v>391.99155315334042</v>
      </c>
      <c r="I47" s="24">
        <v>393.68652391965281</v>
      </c>
      <c r="J47" s="24">
        <v>347.88289530442012</v>
      </c>
      <c r="K47" s="24">
        <v>379.22999999999996</v>
      </c>
      <c r="L47" s="24">
        <v>25877.599999999999</v>
      </c>
      <c r="M47" s="24">
        <v>379.23</v>
      </c>
      <c r="N47" s="25">
        <v>-1.4475051975051974E-2</v>
      </c>
      <c r="O47" s="25">
        <v>0.35095002524994701</v>
      </c>
      <c r="P47" s="25">
        <v>0.33647611596332311</v>
      </c>
      <c r="Q47" s="25">
        <v>0.31424621921289897</v>
      </c>
      <c r="R47"/>
      <c r="S47"/>
      <c r="T47"/>
      <c r="U47"/>
      <c r="V47"/>
      <c r="W47" s="10"/>
      <c r="X47" s="10"/>
      <c r="Y47" s="10"/>
      <c r="Z47" s="10"/>
      <c r="AA47" s="10"/>
    </row>
    <row r="48" spans="2:27" ht="15" customHeight="1" x14ac:dyDescent="0.25">
      <c r="B48" s="16"/>
      <c r="C48" s="16"/>
      <c r="D48" s="16"/>
      <c r="E48" s="16"/>
      <c r="F48" s="9"/>
      <c r="G48" s="20">
        <v>40787</v>
      </c>
      <c r="H48" s="24">
        <v>380.20450382880523</v>
      </c>
      <c r="I48" s="24">
        <v>416.70539756634844</v>
      </c>
      <c r="J48" s="24">
        <v>361.14599181789572</v>
      </c>
      <c r="K48" s="24">
        <v>375.77</v>
      </c>
      <c r="L48" s="24">
        <v>21301.1</v>
      </c>
      <c r="M48" s="24">
        <v>375.77</v>
      </c>
      <c r="N48" s="25">
        <v>-9.1237507581151296E-3</v>
      </c>
      <c r="O48" s="25">
        <v>0.32641628083600138</v>
      </c>
      <c r="P48" s="25">
        <v>0.33644144301053791</v>
      </c>
      <c r="Q48" s="25">
        <v>0.49699989259526167</v>
      </c>
      <c r="R48"/>
      <c r="S48"/>
      <c r="T48"/>
      <c r="U48"/>
      <c r="V48"/>
      <c r="W48" s="10"/>
      <c r="X48" s="10"/>
      <c r="Y48" s="10"/>
      <c r="Z48" s="10"/>
      <c r="AA48" s="10"/>
    </row>
    <row r="49" spans="2:27" ht="15" customHeight="1" x14ac:dyDescent="0.25">
      <c r="B49" s="16"/>
      <c r="C49" s="16"/>
      <c r="D49" s="16"/>
      <c r="E49" s="16"/>
      <c r="F49" s="9"/>
      <c r="G49" s="20">
        <v>40817</v>
      </c>
      <c r="H49" s="24">
        <v>374.83519269726764</v>
      </c>
      <c r="I49" s="24">
        <v>420.49103957705415</v>
      </c>
      <c r="J49" s="24">
        <v>349.08541331093431</v>
      </c>
      <c r="K49" s="24">
        <v>398.89</v>
      </c>
      <c r="L49" s="24">
        <v>23004.9</v>
      </c>
      <c r="M49" s="24">
        <v>398.89</v>
      </c>
      <c r="N49" s="25">
        <v>6.1526997897650162E-2</v>
      </c>
      <c r="O49" s="25">
        <v>0.45324308901066301</v>
      </c>
      <c r="P49" s="25">
        <v>0.26639014601734912</v>
      </c>
      <c r="Q49" s="25">
        <v>0.55527835945476323</v>
      </c>
      <c r="R49"/>
      <c r="S49"/>
      <c r="T49"/>
      <c r="U49"/>
      <c r="V49"/>
      <c r="W49" s="10"/>
      <c r="X49" s="10"/>
      <c r="Y49" s="10"/>
      <c r="Z49" s="10"/>
      <c r="AA49" s="10"/>
    </row>
    <row r="50" spans="2:27" ht="15" customHeight="1" x14ac:dyDescent="0.25">
      <c r="B50" s="16"/>
      <c r="C50" s="16"/>
      <c r="D50" s="16"/>
      <c r="E50" s="16"/>
      <c r="F50" s="9"/>
      <c r="G50" s="20">
        <v>40848</v>
      </c>
      <c r="H50" s="24">
        <v>391.62873469387756</v>
      </c>
      <c r="I50" s="24">
        <v>402.06467817896385</v>
      </c>
      <c r="J50" s="24">
        <v>358.03465410779694</v>
      </c>
      <c r="K50" s="24">
        <v>376.64</v>
      </c>
      <c r="L50" s="24">
        <v>15936.3</v>
      </c>
      <c r="M50" s="24">
        <v>376.64</v>
      </c>
      <c r="N50" s="25">
        <v>-5.5779788914237009E-2</v>
      </c>
      <c r="O50" s="25">
        <v>0.45246740298952742</v>
      </c>
      <c r="P50" s="25">
        <v>0.2666588372315819</v>
      </c>
      <c r="Q50" s="25">
        <v>0.60368910760632688</v>
      </c>
      <c r="R50"/>
      <c r="S50"/>
      <c r="T50"/>
      <c r="U50"/>
      <c r="V50"/>
      <c r="W50" s="10"/>
      <c r="X50" s="10"/>
      <c r="Y50" s="10"/>
      <c r="Z50" s="10"/>
      <c r="AA50" s="10"/>
    </row>
    <row r="51" spans="2:27" ht="15" customHeight="1" x14ac:dyDescent="0.25">
      <c r="B51" s="16"/>
      <c r="C51" s="16"/>
      <c r="D51" s="16"/>
      <c r="E51" s="16"/>
      <c r="F51" s="9"/>
      <c r="G51" s="20">
        <v>40878</v>
      </c>
      <c r="H51" s="24">
        <v>376.97664049382712</v>
      </c>
      <c r="I51" s="24">
        <v>403.14051827160489</v>
      </c>
      <c r="J51" s="24">
        <v>372.18732049382714</v>
      </c>
      <c r="K51" s="24">
        <v>399.10999999999996</v>
      </c>
      <c r="L51" s="24">
        <v>11030.9</v>
      </c>
      <c r="M51" s="24">
        <v>399.11</v>
      </c>
      <c r="N51" s="25">
        <v>5.9659090909090912E-2</v>
      </c>
      <c r="O51" s="25">
        <v>0.51681121208718073</v>
      </c>
      <c r="P51" s="25">
        <v>0.2466205131044277</v>
      </c>
      <c r="Q51" s="25">
        <v>0.68040897403437106</v>
      </c>
      <c r="R51"/>
      <c r="S51"/>
      <c r="T51"/>
      <c r="U51"/>
      <c r="V51"/>
      <c r="W51" s="10"/>
      <c r="X51" s="10"/>
      <c r="Y51" s="10"/>
      <c r="Z51" s="10"/>
      <c r="AA51" s="10"/>
    </row>
    <row r="52" spans="2:27" ht="15" customHeight="1" x14ac:dyDescent="0.25">
      <c r="B52" s="16"/>
      <c r="C52" s="16"/>
      <c r="D52" s="16"/>
      <c r="E52" s="16"/>
      <c r="F52" s="9"/>
      <c r="G52" s="20">
        <v>40909</v>
      </c>
      <c r="H52" s="24">
        <v>403.4448300035051</v>
      </c>
      <c r="I52" s="24">
        <v>451.57439887837359</v>
      </c>
      <c r="J52" s="24">
        <v>403.05064844023832</v>
      </c>
      <c r="K52" s="24">
        <v>449.83999999999992</v>
      </c>
      <c r="L52" s="24">
        <v>12949.1</v>
      </c>
      <c r="M52" s="24">
        <v>449.84</v>
      </c>
      <c r="N52" s="25">
        <v>0.12710781488812609</v>
      </c>
      <c r="O52" s="25">
        <v>0.5836417894057313</v>
      </c>
      <c r="P52" s="25">
        <v>0.2406475090989075</v>
      </c>
      <c r="Q52" s="25">
        <v>0.71731158843499809</v>
      </c>
      <c r="R52"/>
      <c r="S52"/>
      <c r="T52"/>
      <c r="U52"/>
      <c r="V52"/>
      <c r="W52" s="10"/>
      <c r="X52" s="10"/>
      <c r="Y52" s="10"/>
      <c r="Z52" s="10"/>
      <c r="AA52" s="10"/>
    </row>
    <row r="53" spans="2:27" ht="15" customHeight="1" x14ac:dyDescent="0.25">
      <c r="B53" s="16"/>
      <c r="C53" s="16"/>
      <c r="D53" s="16"/>
      <c r="E53" s="16"/>
      <c r="F53" s="9"/>
      <c r="G53" s="20">
        <v>40940</v>
      </c>
      <c r="H53" s="24">
        <v>451.74224891232211</v>
      </c>
      <c r="I53" s="24">
        <v>539.64480034658209</v>
      </c>
      <c r="J53" s="24">
        <v>447.3766849789838</v>
      </c>
      <c r="K53" s="24">
        <v>534.54999999999995</v>
      </c>
      <c r="L53" s="24">
        <v>22001</v>
      </c>
      <c r="M53" s="24">
        <v>534.54999999999995</v>
      </c>
      <c r="N53" s="25">
        <v>0.18831139960874979</v>
      </c>
      <c r="O53" s="25">
        <v>0.62655421163694669</v>
      </c>
      <c r="P53" s="25">
        <v>0.25311545282491887</v>
      </c>
      <c r="Q53" s="25">
        <v>0.82453460281640112</v>
      </c>
      <c r="R53"/>
      <c r="S53"/>
      <c r="T53"/>
      <c r="U53"/>
      <c r="V53"/>
      <c r="W53" s="10"/>
      <c r="X53" s="10"/>
      <c r="Y53" s="10"/>
      <c r="Z53" s="10"/>
      <c r="AA53" s="10"/>
    </row>
    <row r="54" spans="2:27" ht="15" customHeight="1" x14ac:dyDescent="0.25">
      <c r="B54" s="16"/>
      <c r="C54" s="16"/>
      <c r="D54" s="16"/>
      <c r="E54" s="16"/>
      <c r="F54" s="9"/>
      <c r="G54" s="20">
        <v>40969</v>
      </c>
      <c r="H54" s="24">
        <v>540.19728312901339</v>
      </c>
      <c r="I54" s="24">
        <v>612.41148111083317</v>
      </c>
      <c r="J54" s="24">
        <v>508.71197164540075</v>
      </c>
      <c r="K54" s="24">
        <v>590.82999999999993</v>
      </c>
      <c r="L54" s="24">
        <v>26486</v>
      </c>
      <c r="M54" s="24">
        <v>590.83000000000004</v>
      </c>
      <c r="N54" s="25">
        <v>0.10528481900664111</v>
      </c>
      <c r="O54" s="25">
        <v>0.66365833704394717</v>
      </c>
      <c r="P54" s="25">
        <v>0.25228200356019576</v>
      </c>
      <c r="Q54" s="25">
        <v>0.7866860036618557</v>
      </c>
      <c r="R54"/>
      <c r="S54"/>
      <c r="T54"/>
      <c r="U54"/>
      <c r="V54"/>
      <c r="W54" s="10"/>
      <c r="X54" s="10"/>
      <c r="Y54" s="10"/>
      <c r="Z54" s="10"/>
      <c r="AA54" s="10"/>
    </row>
    <row r="55" spans="2:27" ht="15" customHeight="1" x14ac:dyDescent="0.25">
      <c r="B55" s="16"/>
      <c r="C55" s="16"/>
      <c r="D55" s="16"/>
      <c r="E55" s="16"/>
      <c r="F55" s="9"/>
      <c r="G55" s="20">
        <v>41000</v>
      </c>
      <c r="H55" s="24">
        <v>593.08049368129048</v>
      </c>
      <c r="I55" s="24">
        <v>634.63741908969484</v>
      </c>
      <c r="J55" s="24">
        <v>546.93131614096376</v>
      </c>
      <c r="K55" s="24">
        <v>575.49</v>
      </c>
      <c r="L55" s="24">
        <v>28759.1</v>
      </c>
      <c r="M55" s="24">
        <v>575.49</v>
      </c>
      <c r="N55" s="25">
        <v>-2.5963475111284127E-2</v>
      </c>
      <c r="O55" s="25">
        <v>0.59782412737657964</v>
      </c>
      <c r="P55" s="25">
        <v>0.24621514180101078</v>
      </c>
      <c r="Q55" s="25">
        <v>0.66803579255133894</v>
      </c>
      <c r="R55"/>
      <c r="S55"/>
      <c r="T55"/>
      <c r="U55"/>
      <c r="V55"/>
      <c r="W55" s="10"/>
      <c r="X55" s="10"/>
      <c r="Y55" s="10"/>
      <c r="Z55" s="10"/>
      <c r="AA55" s="10"/>
    </row>
    <row r="56" spans="2:27" ht="15" customHeight="1" x14ac:dyDescent="0.25">
      <c r="B56" s="16"/>
      <c r="C56" s="16"/>
      <c r="D56" s="16"/>
      <c r="E56" s="16"/>
      <c r="F56" s="9"/>
      <c r="G56" s="20">
        <v>41030</v>
      </c>
      <c r="H56" s="24">
        <v>576.39575061014659</v>
      </c>
      <c r="I56" s="24">
        <v>588.08331019680475</v>
      </c>
      <c r="J56" s="24">
        <v>514.58767832724629</v>
      </c>
      <c r="K56" s="24">
        <v>569.32999999999993</v>
      </c>
      <c r="L56" s="24">
        <v>18827.900000000001</v>
      </c>
      <c r="M56" s="24">
        <v>569.33000000000004</v>
      </c>
      <c r="N56" s="25">
        <v>-1.0703921875271508E-2</v>
      </c>
      <c r="O56" s="25">
        <v>0.53045202081179288</v>
      </c>
      <c r="P56" s="25">
        <v>0.23324550091963445</v>
      </c>
      <c r="Q56" s="25">
        <v>0.62033021412360112</v>
      </c>
      <c r="R56"/>
      <c r="S56"/>
      <c r="T56"/>
      <c r="U56"/>
      <c r="V56"/>
      <c r="W56" s="10"/>
      <c r="X56" s="10"/>
      <c r="Y56" s="10"/>
      <c r="Z56" s="10"/>
      <c r="AA56" s="10"/>
    </row>
    <row r="57" spans="2:27" ht="15" customHeight="1" x14ac:dyDescent="0.25">
      <c r="B57" s="16"/>
      <c r="C57" s="16"/>
      <c r="D57" s="16"/>
      <c r="E57" s="16"/>
      <c r="F57" s="9"/>
      <c r="G57" s="20">
        <v>41061</v>
      </c>
      <c r="H57" s="24">
        <v>560.8857390410958</v>
      </c>
      <c r="I57" s="24">
        <v>581.42277397260273</v>
      </c>
      <c r="J57" s="24">
        <v>540.52608732876706</v>
      </c>
      <c r="K57" s="24">
        <v>575.51</v>
      </c>
      <c r="L57" s="24">
        <v>14077</v>
      </c>
      <c r="M57" s="24">
        <v>575.51</v>
      </c>
      <c r="N57" s="25">
        <v>1.0854864489838934E-2</v>
      </c>
      <c r="O57" s="25">
        <v>0.50826196814415658</v>
      </c>
      <c r="P57" s="25">
        <v>0.23307564222363622</v>
      </c>
      <c r="Q57" s="25">
        <v>0.60055218366325236</v>
      </c>
      <c r="R57"/>
      <c r="S57"/>
      <c r="T57"/>
      <c r="U57"/>
      <c r="V57"/>
      <c r="W57" s="10"/>
      <c r="X57" s="10"/>
      <c r="Y57" s="10"/>
      <c r="Z57" s="10"/>
      <c r="AA57" s="10"/>
    </row>
    <row r="58" spans="2:27" ht="15" customHeight="1" x14ac:dyDescent="0.25">
      <c r="B58" s="16"/>
      <c r="C58" s="16"/>
      <c r="D58" s="16"/>
      <c r="E58" s="16"/>
      <c r="F58" s="9"/>
      <c r="G58" s="20">
        <v>41091</v>
      </c>
      <c r="H58" s="24">
        <v>576.22845700438802</v>
      </c>
      <c r="I58" s="24">
        <v>610.8575473180955</v>
      </c>
      <c r="J58" s="24">
        <v>561.71262034186907</v>
      </c>
      <c r="K58" s="24">
        <v>601.88</v>
      </c>
      <c r="L58" s="24">
        <v>15938.7</v>
      </c>
      <c r="M58" s="24">
        <v>601.88</v>
      </c>
      <c r="N58" s="25">
        <v>4.5820229014265614E-2</v>
      </c>
      <c r="O58" s="25">
        <v>0.50729774669091166</v>
      </c>
      <c r="P58" s="25">
        <v>0.23305499071049426</v>
      </c>
      <c r="Q58" s="25">
        <v>0.55197845308729376</v>
      </c>
      <c r="R58"/>
      <c r="S58"/>
      <c r="T58"/>
      <c r="U58"/>
      <c r="V58"/>
      <c r="W58" s="10"/>
      <c r="X58" s="10"/>
      <c r="Y58" s="10"/>
      <c r="Z58" s="10"/>
      <c r="AA58" s="10"/>
    </row>
    <row r="59" spans="2:27" ht="15" customHeight="1" x14ac:dyDescent="0.25">
      <c r="B59" s="16"/>
      <c r="C59" s="16"/>
      <c r="D59" s="16"/>
      <c r="E59" s="16"/>
      <c r="F59" s="9"/>
      <c r="G59" s="20">
        <v>41122</v>
      </c>
      <c r="H59" s="24">
        <v>609.55869430581447</v>
      </c>
      <c r="I59" s="24">
        <v>673.84882237989302</v>
      </c>
      <c r="J59" s="24">
        <v>594.0601812879562</v>
      </c>
      <c r="K59" s="24">
        <v>658.38</v>
      </c>
      <c r="L59" s="24">
        <v>13376.5</v>
      </c>
      <c r="M59" s="24">
        <v>658.38</v>
      </c>
      <c r="N59" s="25">
        <v>9.3872532730776892E-2</v>
      </c>
      <c r="O59" s="25">
        <v>0.49002775068240678</v>
      </c>
      <c r="P59" s="25">
        <v>0.2271298676101102</v>
      </c>
      <c r="Q59" s="25">
        <v>0.58367343028369301</v>
      </c>
      <c r="R59"/>
      <c r="S59"/>
      <c r="T59"/>
      <c r="U59"/>
      <c r="V59"/>
      <c r="W59" s="10"/>
      <c r="X59" s="10"/>
      <c r="Y59" s="10"/>
      <c r="Z59" s="10"/>
      <c r="AA59" s="10"/>
    </row>
    <row r="60" spans="2:27" ht="15" customHeight="1" x14ac:dyDescent="0.25">
      <c r="B60" s="16"/>
      <c r="C60" s="16"/>
      <c r="D60" s="16"/>
      <c r="E60" s="16"/>
      <c r="F60" s="9"/>
      <c r="G60" s="20">
        <v>41153</v>
      </c>
      <c r="H60" s="24">
        <v>658.89381981711892</v>
      </c>
      <c r="I60" s="24">
        <v>697.79840413731074</v>
      </c>
      <c r="J60" s="24">
        <v>649.23447758956672</v>
      </c>
      <c r="K60" s="24">
        <v>660.22</v>
      </c>
      <c r="L60" s="24">
        <v>18297.2</v>
      </c>
      <c r="M60" s="24">
        <v>660.22</v>
      </c>
      <c r="N60" s="25">
        <v>2.7947386008080441E-3</v>
      </c>
      <c r="O60" s="25">
        <v>0.48136617188931441</v>
      </c>
      <c r="P60" s="25">
        <v>0.22805567900445575</v>
      </c>
      <c r="Q60" s="25">
        <v>0.53469825707932084</v>
      </c>
      <c r="R60"/>
      <c r="S60"/>
      <c r="T60"/>
      <c r="U60"/>
      <c r="V60"/>
      <c r="W60" s="10"/>
      <c r="X60" s="10"/>
      <c r="Y60" s="10"/>
      <c r="Z60" s="10"/>
      <c r="AA60" s="10"/>
    </row>
    <row r="61" spans="2:27" ht="15" customHeight="1" x14ac:dyDescent="0.25">
      <c r="B61" s="16"/>
      <c r="C61" s="16"/>
      <c r="D61" s="16"/>
      <c r="E61" s="16"/>
      <c r="F61" s="9"/>
      <c r="G61" s="20">
        <v>41183</v>
      </c>
      <c r="H61" s="24">
        <v>664.23780286232613</v>
      </c>
      <c r="I61" s="24">
        <v>669.77014882752121</v>
      </c>
      <c r="J61" s="24">
        <v>581.63859100987702</v>
      </c>
      <c r="K61" s="24">
        <v>589.17999999999995</v>
      </c>
      <c r="L61" s="24">
        <v>21518.400000000001</v>
      </c>
      <c r="M61" s="24">
        <v>589.17999999999995</v>
      </c>
      <c r="N61" s="25">
        <v>-0.10760049680409561</v>
      </c>
      <c r="O61" s="25">
        <v>0.41342191183848159</v>
      </c>
      <c r="P61" s="25">
        <v>0.23971525864166698</v>
      </c>
      <c r="Q61" s="25">
        <v>0.46925980590497995</v>
      </c>
      <c r="R61"/>
      <c r="S61"/>
      <c r="T61"/>
      <c r="U61"/>
      <c r="V61"/>
      <c r="W61" s="10"/>
      <c r="X61" s="10"/>
      <c r="Y61" s="10"/>
      <c r="Z61" s="10"/>
      <c r="AA61" s="10"/>
    </row>
    <row r="62" spans="2:27" ht="15" customHeight="1" x14ac:dyDescent="0.25">
      <c r="B62" s="16"/>
      <c r="C62" s="16"/>
      <c r="D62" s="16"/>
      <c r="E62" s="16"/>
      <c r="F62" s="9"/>
      <c r="G62" s="20">
        <v>41214</v>
      </c>
      <c r="H62" s="24">
        <v>594.75505023236735</v>
      </c>
      <c r="I62" s="24">
        <v>599.5073639967195</v>
      </c>
      <c r="J62" s="24">
        <v>502.8206456738655</v>
      </c>
      <c r="K62" s="24">
        <v>581.89</v>
      </c>
      <c r="L62" s="24">
        <v>22655</v>
      </c>
      <c r="M62" s="24">
        <v>581.89</v>
      </c>
      <c r="N62" s="25">
        <v>-1.2373128755219119E-2</v>
      </c>
      <c r="O62" s="25">
        <v>0.40388670218396561</v>
      </c>
      <c r="P62" s="25">
        <v>0.24097398761422464</v>
      </c>
      <c r="Q62" s="25">
        <v>0.43480062063035985</v>
      </c>
      <c r="R62"/>
      <c r="S62"/>
      <c r="T62"/>
      <c r="U62"/>
      <c r="V62"/>
      <c r="W62" s="10"/>
      <c r="X62" s="10"/>
      <c r="Y62" s="10"/>
      <c r="Z62" s="10"/>
      <c r="AA62" s="10"/>
    </row>
    <row r="63" spans="2:27" ht="15" customHeight="1" x14ac:dyDescent="0.25">
      <c r="B63" s="16"/>
      <c r="C63" s="16"/>
      <c r="D63" s="16"/>
      <c r="E63" s="16"/>
      <c r="F63" s="9"/>
      <c r="G63" s="20">
        <v>41244</v>
      </c>
      <c r="H63" s="24">
        <v>590.21417686077757</v>
      </c>
      <c r="I63" s="24">
        <v>591.14873649397737</v>
      </c>
      <c r="J63" s="24">
        <v>498.32906909446228</v>
      </c>
      <c r="K63" s="24">
        <v>529.09</v>
      </c>
      <c r="L63" s="24">
        <v>22843.200000000001</v>
      </c>
      <c r="M63" s="24">
        <v>529.09</v>
      </c>
      <c r="N63" s="25">
        <v>-9.0738799429445433E-2</v>
      </c>
      <c r="O63" s="25">
        <v>0.35483362693077869</v>
      </c>
      <c r="P63" s="25">
        <v>0.25030547579362983</v>
      </c>
      <c r="Q63" s="25">
        <v>0.36581612118009832</v>
      </c>
      <c r="R63"/>
      <c r="S63"/>
      <c r="T63"/>
      <c r="U63"/>
      <c r="V63"/>
      <c r="W63" s="10"/>
      <c r="X63" s="10"/>
      <c r="Y63" s="10"/>
      <c r="Z63" s="10"/>
      <c r="AA63" s="10"/>
    </row>
    <row r="64" spans="2:27" ht="15" customHeight="1" x14ac:dyDescent="0.25">
      <c r="B64" s="16"/>
      <c r="C64" s="16"/>
      <c r="D64" s="16"/>
      <c r="E64" s="16"/>
      <c r="F64" s="9"/>
      <c r="G64" s="20">
        <v>41275</v>
      </c>
      <c r="H64" s="24">
        <v>550.61008364618317</v>
      </c>
      <c r="I64" s="24">
        <v>551.78324441809923</v>
      </c>
      <c r="J64" s="24">
        <v>432.47875913851016</v>
      </c>
      <c r="K64" s="24">
        <v>452.84999999999997</v>
      </c>
      <c r="L64" s="24">
        <v>22861.8</v>
      </c>
      <c r="M64" s="24">
        <v>452.85</v>
      </c>
      <c r="N64" s="25">
        <v>-0.14409646751970365</v>
      </c>
      <c r="O64" s="25">
        <v>0.29054990499133698</v>
      </c>
      <c r="P64" s="25">
        <v>0.26813185788170907</v>
      </c>
      <c r="Q64" s="25">
        <v>0.33749098456975113</v>
      </c>
      <c r="R64"/>
      <c r="S64"/>
      <c r="T64"/>
      <c r="U64"/>
      <c r="V64"/>
      <c r="W64" s="10"/>
      <c r="X64" s="10"/>
      <c r="Y64" s="10"/>
      <c r="Z64" s="10"/>
      <c r="AA64" s="10"/>
    </row>
    <row r="65" spans="2:27" ht="15" customHeight="1" x14ac:dyDescent="0.25">
      <c r="B65" s="16"/>
      <c r="C65" s="16"/>
      <c r="D65" s="16"/>
      <c r="E65" s="16"/>
      <c r="F65" s="9"/>
      <c r="G65" s="20">
        <v>41306</v>
      </c>
      <c r="H65" s="24">
        <v>459.11</v>
      </c>
      <c r="I65" s="24">
        <v>484.94</v>
      </c>
      <c r="J65" s="24">
        <v>437.66</v>
      </c>
      <c r="K65" s="24">
        <v>441.4</v>
      </c>
      <c r="L65" s="24">
        <v>18170.2</v>
      </c>
      <c r="M65" s="24">
        <v>441.4</v>
      </c>
      <c r="N65" s="25">
        <v>-2.5284310478083251E-2</v>
      </c>
      <c r="O65" s="25">
        <v>0.31107117299874187</v>
      </c>
      <c r="P65" s="25">
        <v>0.26178171157292057</v>
      </c>
      <c r="Q65" s="25">
        <v>0.29843001630521493</v>
      </c>
      <c r="R65"/>
      <c r="S65"/>
      <c r="T65"/>
      <c r="U65"/>
      <c r="V65"/>
      <c r="W65" s="10"/>
      <c r="X65" s="10"/>
      <c r="Y65" s="10"/>
      <c r="Z65" s="10"/>
      <c r="AA65" s="10"/>
    </row>
    <row r="66" spans="2:27" ht="15" customHeight="1" x14ac:dyDescent="0.25">
      <c r="B66" s="16"/>
      <c r="C66" s="16"/>
      <c r="D66" s="16"/>
      <c r="E66" s="16"/>
      <c r="F66" s="9"/>
      <c r="G66" s="20">
        <v>41334</v>
      </c>
      <c r="H66" s="24">
        <v>438</v>
      </c>
      <c r="I66" s="24">
        <v>438.18</v>
      </c>
      <c r="J66" s="24">
        <v>419</v>
      </c>
      <c r="K66" s="24">
        <v>431.72</v>
      </c>
      <c r="L66" s="24">
        <v>20745.900000000001</v>
      </c>
      <c r="M66" s="24">
        <v>431.72</v>
      </c>
      <c r="N66" s="25">
        <v>-2.1930222020842771E-2</v>
      </c>
      <c r="O66" s="25">
        <v>0.28276200827587084</v>
      </c>
      <c r="P66" s="25">
        <v>0.26210916937845552</v>
      </c>
      <c r="Q66" s="25">
        <v>0.23074205135171377</v>
      </c>
      <c r="R66"/>
      <c r="S66"/>
      <c r="T66"/>
      <c r="U66"/>
      <c r="V66"/>
      <c r="W66" s="10"/>
      <c r="X66" s="10"/>
      <c r="Y66" s="10"/>
      <c r="Z66" s="10"/>
      <c r="AA66" s="10"/>
    </row>
    <row r="67" spans="2:27" ht="15" customHeight="1" x14ac:dyDescent="0.25">
      <c r="B67" s="16"/>
      <c r="C67" s="16"/>
      <c r="D67" s="16"/>
      <c r="E67" s="16"/>
      <c r="F67" s="9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10"/>
      <c r="X67" s="10"/>
      <c r="Y67" s="10"/>
      <c r="Z67" s="10"/>
      <c r="AA67" s="10"/>
    </row>
    <row r="68" spans="2:27" ht="15" customHeight="1" x14ac:dyDescent="0.25">
      <c r="B68" s="16"/>
      <c r="C68" s="16"/>
      <c r="D68" s="16"/>
      <c r="E68" s="16"/>
      <c r="F68" s="9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10"/>
      <c r="X68" s="10"/>
      <c r="Y68" s="10"/>
      <c r="Z68" s="10"/>
      <c r="AA68" s="10"/>
    </row>
    <row r="69" spans="2:27" ht="15" customHeight="1" x14ac:dyDescent="0.25">
      <c r="B69" s="16"/>
      <c r="C69" s="16"/>
      <c r="D69" s="16"/>
      <c r="E69" s="16"/>
      <c r="F69" s="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 s="10"/>
      <c r="X69" s="10"/>
      <c r="Y69" s="10"/>
      <c r="Z69" s="10"/>
      <c r="AA69" s="10"/>
    </row>
    <row r="70" spans="2:27" ht="15" customHeight="1" x14ac:dyDescent="0.25">
      <c r="B70" s="16"/>
      <c r="C70" s="16"/>
      <c r="D70" s="16"/>
      <c r="E70" s="16"/>
      <c r="F70" s="9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10"/>
      <c r="X70" s="10"/>
      <c r="Y70" s="10"/>
      <c r="Z70" s="10"/>
      <c r="AA70" s="10"/>
    </row>
    <row r="71" spans="2:27" ht="15" customHeight="1" x14ac:dyDescent="0.25">
      <c r="B71" s="16"/>
      <c r="C71" s="16"/>
      <c r="D71" s="16"/>
      <c r="E71" s="16"/>
      <c r="F71" s="9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10"/>
      <c r="X71" s="10"/>
      <c r="Y71" s="10"/>
      <c r="Z71" s="10"/>
      <c r="AA71" s="10"/>
    </row>
    <row r="72" spans="2:27" ht="15" customHeight="1" x14ac:dyDescent="0.25">
      <c r="B72" s="16"/>
      <c r="C72" s="16"/>
      <c r="D72" s="16"/>
      <c r="E72" s="16"/>
      <c r="F72" s="9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"/>
      <c r="X72" s="10"/>
      <c r="Y72" s="10"/>
      <c r="Z72" s="10"/>
      <c r="AA72" s="10"/>
    </row>
    <row r="73" spans="2:27" ht="15" customHeight="1" x14ac:dyDescent="0.25">
      <c r="B73" s="16"/>
      <c r="C73" s="16"/>
      <c r="D73" s="16"/>
      <c r="E73" s="16"/>
      <c r="F73" s="9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"/>
      <c r="X73" s="10"/>
      <c r="Y73" s="10"/>
      <c r="Z73" s="10"/>
      <c r="AA73" s="10"/>
    </row>
    <row r="74" spans="2:27" ht="15" customHeight="1" x14ac:dyDescent="0.25">
      <c r="B74" s="16"/>
      <c r="C74" s="16"/>
      <c r="D74" s="16"/>
      <c r="E74" s="16"/>
      <c r="F74" s="9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"/>
      <c r="X74" s="10"/>
      <c r="Y74" s="10"/>
      <c r="Z74" s="10"/>
      <c r="AA74" s="10"/>
    </row>
    <row r="75" spans="2:27" ht="15" customHeight="1" x14ac:dyDescent="0.25">
      <c r="B75" s="16"/>
      <c r="C75" s="16"/>
      <c r="D75" s="16"/>
      <c r="E75" s="16"/>
      <c r="F75" s="9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 s="10"/>
      <c r="X75" s="10"/>
      <c r="Y75" s="10"/>
      <c r="Z75" s="10"/>
      <c r="AA75" s="10"/>
    </row>
    <row r="76" spans="2:27" ht="15" customHeight="1" x14ac:dyDescent="0.25">
      <c r="B76" s="16"/>
      <c r="C76" s="16"/>
      <c r="D76" s="16"/>
      <c r="E76" s="16"/>
      <c r="F76" s="9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"/>
      <c r="X76" s="10"/>
      <c r="Y76" s="10"/>
      <c r="Z76" s="10"/>
      <c r="AA76" s="10"/>
    </row>
    <row r="77" spans="2:27" ht="15" customHeight="1" x14ac:dyDescent="0.25">
      <c r="B77" s="16"/>
      <c r="C77" s="16"/>
      <c r="D77" s="16"/>
      <c r="E77" s="16"/>
      <c r="F77" s="9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 s="10"/>
      <c r="X77" s="10"/>
      <c r="Y77" s="10"/>
      <c r="Z77" s="10"/>
      <c r="AA77" s="10"/>
    </row>
    <row r="78" spans="2:27" ht="15" customHeight="1" x14ac:dyDescent="0.25">
      <c r="B78" s="16"/>
      <c r="C78" s="16"/>
      <c r="D78" s="16"/>
      <c r="E78" s="16"/>
      <c r="F78" s="9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 s="10"/>
      <c r="X78" s="10"/>
      <c r="Y78" s="10"/>
      <c r="Z78" s="10"/>
      <c r="AA78" s="10"/>
    </row>
    <row r="79" spans="2:27" ht="15" customHeight="1" x14ac:dyDescent="0.25">
      <c r="B79" s="16"/>
      <c r="C79" s="16"/>
      <c r="D79" s="16"/>
      <c r="E79" s="16"/>
      <c r="F79" s="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"/>
      <c r="X79" s="10"/>
      <c r="Y79" s="10"/>
      <c r="Z79" s="10"/>
      <c r="AA79" s="10"/>
    </row>
    <row r="80" spans="2:27" ht="15" customHeight="1" x14ac:dyDescent="0.25">
      <c r="B80" s="16"/>
      <c r="C80" s="16"/>
      <c r="D80" s="16"/>
      <c r="E80" s="16"/>
      <c r="F80" s="9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 s="10"/>
      <c r="X80" s="10"/>
      <c r="Y80" s="10"/>
      <c r="Z80" s="10"/>
      <c r="AA80" s="10"/>
    </row>
    <row r="81" spans="2:27" ht="15" customHeight="1" x14ac:dyDescent="0.25">
      <c r="B81" s="16"/>
      <c r="C81" s="16"/>
      <c r="D81" s="16"/>
      <c r="E81" s="16"/>
      <c r="F81" s="9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 s="10"/>
      <c r="X81" s="10"/>
      <c r="Y81" s="10"/>
      <c r="Z81" s="10"/>
      <c r="AA81" s="10"/>
    </row>
    <row r="82" spans="2:27" ht="15" customHeight="1" x14ac:dyDescent="0.25">
      <c r="B82" s="16"/>
      <c r="C82" s="16"/>
      <c r="D82" s="16"/>
      <c r="E82" s="16"/>
      <c r="F82" s="9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 s="10"/>
      <c r="X82" s="10"/>
      <c r="Y82" s="10"/>
      <c r="Z82" s="10"/>
      <c r="AA82" s="10"/>
    </row>
    <row r="83" spans="2:27" ht="15" customHeight="1" x14ac:dyDescent="0.25">
      <c r="B83" s="16"/>
      <c r="C83" s="16"/>
      <c r="D83" s="16"/>
      <c r="E83" s="16"/>
      <c r="F83" s="9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"/>
      <c r="X83" s="10"/>
      <c r="Y83" s="10"/>
      <c r="Z83" s="10"/>
      <c r="AA83" s="10"/>
    </row>
    <row r="84" spans="2:27" ht="15" customHeight="1" x14ac:dyDescent="0.25">
      <c r="B84" s="16"/>
      <c r="C84" s="16"/>
      <c r="D84" s="16"/>
      <c r="E84" s="16"/>
      <c r="F84" s="9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"/>
      <c r="X84" s="10"/>
      <c r="Y84" s="10"/>
      <c r="Z84" s="10"/>
      <c r="AA84" s="10"/>
    </row>
    <row r="85" spans="2:27" ht="15" customHeight="1" x14ac:dyDescent="0.25">
      <c r="B85" s="16"/>
      <c r="C85" s="16"/>
      <c r="D85" s="16"/>
      <c r="E85" s="16"/>
      <c r="F85" s="9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"/>
      <c r="X85" s="10"/>
      <c r="Y85" s="10"/>
      <c r="Z85" s="10"/>
      <c r="AA85" s="10"/>
    </row>
    <row r="86" spans="2:27" ht="15" customHeight="1" x14ac:dyDescent="0.25">
      <c r="B86" s="16"/>
      <c r="C86" s="16"/>
      <c r="D86" s="16"/>
      <c r="E86" s="16"/>
      <c r="F86" s="9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"/>
      <c r="X86" s="10"/>
      <c r="Y86" s="10"/>
      <c r="Z86" s="10"/>
      <c r="AA86" s="10"/>
    </row>
    <row r="87" spans="2:27" ht="15" customHeight="1" x14ac:dyDescent="0.25">
      <c r="B87" s="16"/>
      <c r="C87" s="16"/>
      <c r="D87" s="16"/>
      <c r="E87" s="16"/>
      <c r="F87" s="9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"/>
      <c r="X87" s="10"/>
      <c r="Y87" s="10"/>
      <c r="Z87" s="10"/>
      <c r="AA87" s="10"/>
    </row>
    <row r="88" spans="2:27" ht="15" customHeight="1" x14ac:dyDescent="0.25">
      <c r="B88" s="16"/>
      <c r="C88" s="16"/>
      <c r="D88" s="16"/>
      <c r="E88" s="16"/>
      <c r="F88" s="9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"/>
      <c r="X88" s="10"/>
      <c r="Y88" s="10"/>
      <c r="Z88" s="10"/>
      <c r="AA88" s="10"/>
    </row>
    <row r="89" spans="2:27" ht="15" customHeight="1" x14ac:dyDescent="0.25">
      <c r="B89" s="16"/>
      <c r="C89" s="16"/>
      <c r="D89" s="16"/>
      <c r="E89" s="16"/>
      <c r="F89" s="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"/>
      <c r="X89" s="10"/>
      <c r="Y89" s="10"/>
      <c r="Z89" s="10"/>
      <c r="AA89" s="10"/>
    </row>
    <row r="90" spans="2:27" ht="15" customHeight="1" x14ac:dyDescent="0.25">
      <c r="B90" s="16"/>
      <c r="C90" s="16"/>
      <c r="D90" s="16"/>
      <c r="E90" s="16"/>
      <c r="F90" s="9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"/>
      <c r="X90" s="10"/>
      <c r="Y90" s="10"/>
      <c r="Z90" s="10"/>
      <c r="AA90" s="10"/>
    </row>
    <row r="91" spans="2:27" ht="15" customHeight="1" x14ac:dyDescent="0.25">
      <c r="B91" s="16"/>
      <c r="C91" s="16"/>
      <c r="D91" s="16"/>
      <c r="E91" s="16"/>
      <c r="F91" s="9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"/>
      <c r="X91" s="10"/>
      <c r="Y91" s="10"/>
      <c r="Z91" s="10"/>
      <c r="AA91" s="10"/>
    </row>
    <row r="92" spans="2:27" ht="15" customHeight="1" x14ac:dyDescent="0.25">
      <c r="B92" s="16"/>
      <c r="C92" s="16"/>
      <c r="D92" s="16"/>
      <c r="E92" s="16"/>
      <c r="F92" s="9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"/>
      <c r="X92" s="10"/>
      <c r="Y92" s="10"/>
      <c r="Z92" s="10"/>
      <c r="AA92" s="10"/>
    </row>
    <row r="93" spans="2:27" ht="15" customHeight="1" x14ac:dyDescent="0.25">
      <c r="B93" s="16"/>
      <c r="C93" s="16"/>
      <c r="D93" s="16"/>
      <c r="E93" s="16"/>
      <c r="F93" s="9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"/>
      <c r="X93" s="10"/>
      <c r="Y93" s="10"/>
      <c r="Z93" s="10"/>
      <c r="AA93" s="10"/>
    </row>
    <row r="94" spans="2:27" ht="15" customHeight="1" x14ac:dyDescent="0.25">
      <c r="B94" s="16"/>
      <c r="C94" s="16"/>
      <c r="D94" s="16"/>
      <c r="E94" s="16"/>
      <c r="F94" s="9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"/>
      <c r="X94" s="10"/>
      <c r="Y94" s="10"/>
      <c r="Z94" s="10"/>
      <c r="AA94" s="10"/>
    </row>
    <row r="95" spans="2:27" ht="15" customHeight="1" x14ac:dyDescent="0.25">
      <c r="B95" s="16"/>
      <c r="C95" s="16"/>
      <c r="D95" s="16"/>
      <c r="E95" s="16"/>
      <c r="F95" s="9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"/>
      <c r="X95" s="10"/>
      <c r="Y95" s="10"/>
      <c r="Z95" s="10"/>
      <c r="AA95" s="10"/>
    </row>
    <row r="96" spans="2:27" ht="15" customHeight="1" x14ac:dyDescent="0.25">
      <c r="B96" s="16"/>
      <c r="C96" s="16"/>
      <c r="D96" s="16"/>
      <c r="E96" s="16"/>
      <c r="F96" s="9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 s="10"/>
      <c r="X96" s="10"/>
      <c r="Y96" s="10"/>
      <c r="Z96" s="10"/>
      <c r="AA96" s="10"/>
    </row>
    <row r="97" spans="2:27" ht="15" customHeight="1" x14ac:dyDescent="0.25">
      <c r="B97" s="16"/>
      <c r="C97" s="16"/>
      <c r="D97" s="16"/>
      <c r="E97" s="16"/>
      <c r="F97" s="9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 s="10"/>
      <c r="X97" s="10"/>
      <c r="Y97" s="10"/>
      <c r="Z97" s="10"/>
      <c r="AA97" s="10"/>
    </row>
    <row r="98" spans="2:27" ht="15" customHeight="1" x14ac:dyDescent="0.25">
      <c r="B98" s="16"/>
      <c r="C98" s="16"/>
      <c r="D98" s="16"/>
      <c r="E98" s="16"/>
      <c r="F98" s="9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 s="10"/>
      <c r="X98" s="10"/>
      <c r="Y98" s="10"/>
      <c r="Z98" s="10"/>
      <c r="AA98" s="10"/>
    </row>
    <row r="99" spans="2:27" ht="15" customHeight="1" x14ac:dyDescent="0.25">
      <c r="B99" s="16"/>
      <c r="C99" s="16"/>
      <c r="D99" s="16"/>
      <c r="E99" s="16"/>
      <c r="F99" s="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 s="10"/>
      <c r="X99" s="10"/>
      <c r="Y99" s="10"/>
      <c r="Z99" s="10"/>
      <c r="AA99" s="10"/>
    </row>
    <row r="100" spans="2:27" ht="15" customHeight="1" x14ac:dyDescent="0.25">
      <c r="B100" s="16"/>
      <c r="C100" s="16"/>
      <c r="D100" s="16"/>
      <c r="E100" s="16"/>
      <c r="F100" s="9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 s="10"/>
      <c r="X100" s="10"/>
      <c r="Y100" s="10"/>
      <c r="Z100" s="10"/>
      <c r="AA100" s="10"/>
    </row>
    <row r="101" spans="2:27" ht="15" customHeight="1" x14ac:dyDescent="0.25">
      <c r="B101" s="16"/>
      <c r="C101" s="16"/>
      <c r="D101" s="16"/>
      <c r="E101" s="16"/>
      <c r="F101" s="9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 s="10"/>
      <c r="X101" s="10"/>
      <c r="Y101" s="10"/>
      <c r="Z101" s="10"/>
      <c r="AA101" s="10"/>
    </row>
    <row r="102" spans="2:27" ht="15" customHeight="1" x14ac:dyDescent="0.25">
      <c r="B102" s="16"/>
      <c r="C102" s="16"/>
      <c r="D102" s="16"/>
      <c r="E102" s="16"/>
      <c r="F102" s="9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 s="10"/>
      <c r="X102" s="10"/>
      <c r="Y102" s="10"/>
      <c r="Z102" s="10"/>
      <c r="AA102" s="10"/>
    </row>
    <row r="103" spans="2:27" ht="15" customHeight="1" x14ac:dyDescent="0.25">
      <c r="B103" s="16"/>
      <c r="C103" s="16"/>
      <c r="D103" s="16"/>
      <c r="E103" s="16"/>
      <c r="F103" s="9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"/>
      <c r="X103" s="10"/>
      <c r="Y103" s="10"/>
      <c r="Z103" s="10"/>
      <c r="AA103" s="10"/>
    </row>
    <row r="104" spans="2:27" ht="15" customHeight="1" x14ac:dyDescent="0.25">
      <c r="B104" s="16"/>
      <c r="C104" s="16"/>
      <c r="D104" s="16"/>
      <c r="E104" s="16"/>
      <c r="F104" s="9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 s="10"/>
      <c r="X104" s="10"/>
      <c r="Y104" s="10"/>
      <c r="Z104" s="10"/>
      <c r="AA104" s="10"/>
    </row>
    <row r="105" spans="2:27" ht="15" customHeight="1" x14ac:dyDescent="0.25">
      <c r="B105" s="16"/>
      <c r="C105" s="16"/>
      <c r="D105" s="16"/>
      <c r="E105" s="16"/>
      <c r="F105" s="9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 s="10"/>
      <c r="X105" s="10"/>
      <c r="Y105" s="10"/>
      <c r="Z105" s="10"/>
      <c r="AA105" s="10"/>
    </row>
    <row r="106" spans="2:27" ht="15" customHeight="1" x14ac:dyDescent="0.25">
      <c r="B106" s="16"/>
      <c r="C106" s="16"/>
      <c r="D106" s="16"/>
      <c r="E106" s="16"/>
      <c r="F106" s="9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 s="10"/>
      <c r="X106" s="10"/>
      <c r="Y106" s="10"/>
      <c r="Z106" s="10"/>
      <c r="AA106" s="10"/>
    </row>
    <row r="107" spans="2:27" ht="15" customHeight="1" x14ac:dyDescent="0.25">
      <c r="B107" s="16"/>
      <c r="C107" s="16"/>
      <c r="D107" s="16"/>
      <c r="E107" s="16"/>
      <c r="F107" s="9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 s="10"/>
      <c r="X107" s="10"/>
      <c r="Y107" s="10"/>
      <c r="Z107" s="10"/>
      <c r="AA107" s="10"/>
    </row>
    <row r="108" spans="2:27" ht="15" customHeight="1" x14ac:dyDescent="0.25">
      <c r="B108" s="16"/>
      <c r="C108" s="16"/>
      <c r="D108" s="16"/>
      <c r="E108" s="16"/>
      <c r="F108" s="9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"/>
      <c r="X108" s="10"/>
      <c r="Y108" s="10"/>
      <c r="Z108" s="10"/>
      <c r="AA108" s="10"/>
    </row>
    <row r="109" spans="2:27" ht="15" customHeight="1" x14ac:dyDescent="0.25">
      <c r="B109" s="16"/>
      <c r="C109" s="16"/>
      <c r="D109" s="16"/>
      <c r="E109" s="16"/>
      <c r="F109" s="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 s="10"/>
      <c r="X109" s="10"/>
      <c r="Y109" s="10"/>
      <c r="Z109" s="10"/>
      <c r="AA109" s="10"/>
    </row>
    <row r="110" spans="2:27" ht="15" customHeight="1" x14ac:dyDescent="0.25">
      <c r="B110" s="16"/>
      <c r="C110" s="16"/>
      <c r="D110" s="16"/>
      <c r="E110" s="16"/>
      <c r="F110" s="9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"/>
      <c r="X110" s="10"/>
      <c r="Y110" s="10"/>
      <c r="Z110" s="10"/>
      <c r="AA110" s="10"/>
    </row>
    <row r="111" spans="2:27" ht="15" customHeight="1" x14ac:dyDescent="0.25">
      <c r="B111" s="16"/>
      <c r="C111" s="16"/>
      <c r="D111" s="16"/>
      <c r="E111" s="16"/>
      <c r="F111" s="9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"/>
      <c r="X111" s="10"/>
      <c r="Y111" s="10"/>
      <c r="Z111" s="10"/>
      <c r="AA111" s="10"/>
    </row>
    <row r="112" spans="2:27" ht="15" customHeight="1" x14ac:dyDescent="0.25">
      <c r="B112" s="16"/>
      <c r="C112" s="16"/>
      <c r="D112" s="16"/>
      <c r="E112" s="16"/>
      <c r="F112" s="9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"/>
      <c r="X112" s="10"/>
      <c r="Y112" s="10"/>
      <c r="Z112" s="10"/>
      <c r="AA112" s="10"/>
    </row>
    <row r="113" spans="2:27" ht="15" customHeight="1" x14ac:dyDescent="0.25">
      <c r="B113" s="16"/>
      <c r="C113" s="16"/>
      <c r="D113" s="16"/>
      <c r="E113" s="16"/>
      <c r="F113" s="9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"/>
      <c r="X113" s="10"/>
      <c r="Y113" s="10"/>
      <c r="Z113" s="10"/>
      <c r="AA113" s="10"/>
    </row>
    <row r="114" spans="2:27" ht="15" customHeight="1" x14ac:dyDescent="0.25">
      <c r="B114" s="16"/>
      <c r="C114" s="16"/>
      <c r="D114" s="16"/>
      <c r="E114" s="16"/>
      <c r="F114" s="9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"/>
      <c r="X114" s="10"/>
      <c r="Y114" s="10"/>
      <c r="Z114" s="10"/>
      <c r="AA114" s="10"/>
    </row>
    <row r="115" spans="2:27" ht="15" customHeight="1" x14ac:dyDescent="0.25">
      <c r="B115" s="16"/>
      <c r="C115" s="16"/>
      <c r="D115" s="16"/>
      <c r="E115" s="16"/>
      <c r="F115" s="9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"/>
      <c r="X115" s="10"/>
      <c r="Y115" s="10"/>
      <c r="Z115" s="10"/>
      <c r="AA115" s="10"/>
    </row>
    <row r="116" spans="2:27" ht="15" customHeight="1" x14ac:dyDescent="0.25">
      <c r="B116" s="16"/>
      <c r="C116" s="16"/>
      <c r="D116" s="16"/>
      <c r="E116" s="16"/>
      <c r="F116" s="9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"/>
      <c r="X116" s="10"/>
      <c r="Y116" s="10"/>
      <c r="Z116" s="10"/>
      <c r="AA116" s="10"/>
    </row>
    <row r="117" spans="2:27" ht="15" customHeight="1" x14ac:dyDescent="0.25">
      <c r="B117" s="16"/>
      <c r="C117" s="16"/>
      <c r="D117" s="16"/>
      <c r="E117" s="16"/>
      <c r="F117" s="9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"/>
      <c r="X117" s="10"/>
      <c r="Y117" s="10"/>
      <c r="Z117" s="10"/>
      <c r="AA117" s="10"/>
    </row>
    <row r="118" spans="2:27" ht="15" customHeight="1" x14ac:dyDescent="0.25">
      <c r="B118" s="16"/>
      <c r="C118" s="16"/>
      <c r="D118" s="16"/>
      <c r="E118" s="16"/>
      <c r="F118" s="9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"/>
      <c r="X118" s="10"/>
      <c r="Y118" s="10"/>
      <c r="Z118" s="10"/>
      <c r="AA118" s="10"/>
    </row>
    <row r="119" spans="2:27" ht="15" customHeight="1" x14ac:dyDescent="0.25">
      <c r="B119" s="16"/>
      <c r="C119" s="16"/>
      <c r="D119" s="16"/>
      <c r="E119" s="16"/>
      <c r="F119" s="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"/>
      <c r="X119" s="10"/>
      <c r="Y119" s="10"/>
      <c r="Z119" s="10"/>
      <c r="AA119" s="10"/>
    </row>
    <row r="120" spans="2:27" ht="15" customHeight="1" x14ac:dyDescent="0.25">
      <c r="B120" s="16"/>
      <c r="C120" s="16"/>
      <c r="D120" s="16"/>
      <c r="E120" s="16"/>
      <c r="F120" s="9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 s="10"/>
      <c r="X120" s="10"/>
      <c r="Y120" s="10"/>
      <c r="Z120" s="10"/>
      <c r="AA120" s="10"/>
    </row>
    <row r="121" spans="2:27" ht="15" customHeight="1" x14ac:dyDescent="0.25">
      <c r="B121" s="16"/>
      <c r="C121" s="16"/>
      <c r="D121" s="16"/>
      <c r="E121" s="16"/>
      <c r="F121" s="9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 s="10"/>
      <c r="X121" s="10"/>
      <c r="Y121" s="10"/>
      <c r="Z121" s="10"/>
      <c r="AA121" s="10"/>
    </row>
    <row r="122" spans="2:27" ht="15" customHeight="1" x14ac:dyDescent="0.25">
      <c r="B122" s="16"/>
      <c r="C122" s="16"/>
      <c r="D122" s="16"/>
      <c r="E122" s="16"/>
      <c r="F122" s="9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 s="10"/>
      <c r="X122" s="10"/>
      <c r="Y122" s="10"/>
      <c r="Z122" s="10"/>
      <c r="AA122" s="10"/>
    </row>
    <row r="123" spans="2:27" ht="15" customHeight="1" x14ac:dyDescent="0.25">
      <c r="B123" s="16"/>
      <c r="C123" s="16"/>
      <c r="D123" s="16"/>
      <c r="E123" s="16"/>
      <c r="F123" s="9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 s="10"/>
      <c r="X123" s="10"/>
      <c r="Y123" s="10"/>
      <c r="Z123" s="10"/>
      <c r="AA123" s="10"/>
    </row>
    <row r="124" spans="2:27" ht="15" customHeight="1" x14ac:dyDescent="0.25">
      <c r="B124" s="16"/>
      <c r="C124" s="16"/>
      <c r="D124" s="16"/>
      <c r="E124" s="16"/>
      <c r="F124" s="9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 s="10"/>
      <c r="X124" s="10"/>
      <c r="Y124" s="10"/>
      <c r="Z124" s="10"/>
      <c r="AA124" s="10"/>
    </row>
    <row r="125" spans="2:27" ht="15" customHeight="1" x14ac:dyDescent="0.25">
      <c r="B125" s="16"/>
      <c r="C125" s="16"/>
      <c r="D125" s="16"/>
      <c r="E125" s="16"/>
      <c r="F125" s="9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 s="10"/>
      <c r="X125" s="10"/>
      <c r="Y125" s="10"/>
      <c r="Z125" s="10"/>
      <c r="AA125" s="10"/>
    </row>
    <row r="126" spans="2:27" ht="15" customHeight="1" x14ac:dyDescent="0.25">
      <c r="B126" s="9"/>
      <c r="C126" s="9"/>
      <c r="D126" s="9"/>
      <c r="E126" s="17"/>
      <c r="F126" s="9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 s="10"/>
      <c r="X126" s="10"/>
      <c r="Y126" s="10"/>
      <c r="Z126" s="10"/>
      <c r="AA126" s="10"/>
    </row>
    <row r="127" spans="2:27" ht="15" customHeight="1" x14ac:dyDescent="0.25">
      <c r="B127" s="9"/>
      <c r="C127" s="9"/>
      <c r="D127" s="9"/>
      <c r="E127" s="17"/>
      <c r="F127" s="9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 s="10"/>
      <c r="X127" s="10"/>
      <c r="Y127" s="10"/>
      <c r="Z127" s="10"/>
      <c r="AA127" s="10"/>
    </row>
    <row r="128" spans="2:27" ht="15" customHeight="1" x14ac:dyDescent="0.25">
      <c r="B128" s="9"/>
      <c r="C128" s="9"/>
      <c r="D128" s="9"/>
      <c r="E128" s="17"/>
      <c r="F128" s="9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 s="10"/>
      <c r="X128" s="10"/>
      <c r="Y128" s="10"/>
      <c r="Z128" s="10"/>
      <c r="AA128" s="10"/>
    </row>
    <row r="129" spans="2:27" ht="15" customHeight="1" x14ac:dyDescent="0.25">
      <c r="B129" s="9"/>
      <c r="C129" s="9"/>
      <c r="D129" s="9"/>
      <c r="E129" s="17"/>
      <c r="F129" s="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 s="10"/>
      <c r="X129" s="10"/>
      <c r="Y129" s="10"/>
      <c r="Z129" s="10"/>
      <c r="AA129" s="10"/>
    </row>
    <row r="130" spans="2:27" ht="15" customHeight="1" x14ac:dyDescent="0.25">
      <c r="B130" s="9"/>
      <c r="C130" s="9"/>
      <c r="D130" s="9"/>
      <c r="E130" s="17"/>
      <c r="F130" s="9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 s="10"/>
      <c r="X130" s="10"/>
      <c r="Y130" s="10"/>
      <c r="Z130" s="10"/>
      <c r="AA130" s="10"/>
    </row>
    <row r="131" spans="2:27" ht="15" customHeight="1" x14ac:dyDescent="0.25">
      <c r="B131" s="9"/>
      <c r="C131" s="9"/>
      <c r="D131" s="9"/>
      <c r="E131" s="17"/>
      <c r="F131" s="9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 s="10"/>
      <c r="X131" s="10"/>
      <c r="Y131" s="10"/>
      <c r="Z131" s="10"/>
      <c r="AA131" s="10"/>
    </row>
    <row r="132" spans="2:27" ht="15" customHeight="1" x14ac:dyDescent="0.25">
      <c r="B132" s="9"/>
      <c r="C132" s="9"/>
      <c r="D132" s="9"/>
      <c r="E132" s="17"/>
      <c r="F132" s="9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 s="10"/>
      <c r="X132" s="10"/>
      <c r="Y132" s="10"/>
      <c r="Z132" s="10"/>
      <c r="AA132" s="10"/>
    </row>
    <row r="133" spans="2:27" ht="15" customHeight="1" x14ac:dyDescent="0.25">
      <c r="B133" s="9"/>
      <c r="C133" s="9"/>
      <c r="D133" s="9"/>
      <c r="E133" s="17"/>
      <c r="F133" s="9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"/>
      <c r="X133" s="10"/>
      <c r="Y133" s="10"/>
      <c r="Z133" s="10"/>
      <c r="AA133" s="10"/>
    </row>
    <row r="134" spans="2:27" ht="15" customHeight="1" x14ac:dyDescent="0.25">
      <c r="B134" s="9"/>
      <c r="C134" s="9"/>
      <c r="D134" s="9"/>
      <c r="E134" s="17"/>
      <c r="F134" s="9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"/>
      <c r="X134" s="10"/>
      <c r="Y134" s="10"/>
      <c r="Z134" s="10"/>
      <c r="AA134" s="10"/>
    </row>
    <row r="135" spans="2:27" ht="15" customHeight="1" x14ac:dyDescent="0.25">
      <c r="B135" s="9"/>
      <c r="C135" s="9"/>
      <c r="D135" s="9"/>
      <c r="E135" s="17"/>
      <c r="F135" s="9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"/>
      <c r="X135" s="10"/>
      <c r="Y135" s="10"/>
      <c r="Z135" s="10"/>
      <c r="AA135" s="10"/>
    </row>
    <row r="136" spans="2:27" ht="15" customHeight="1" x14ac:dyDescent="0.25">
      <c r="B136" s="9"/>
      <c r="C136" s="9"/>
      <c r="D136" s="9"/>
      <c r="E136" s="17"/>
      <c r="F136" s="9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 s="10"/>
      <c r="X136" s="10"/>
      <c r="Y136" s="10"/>
      <c r="Z136" s="10"/>
      <c r="AA136" s="10"/>
    </row>
    <row r="137" spans="2:27" ht="15" customHeight="1" x14ac:dyDescent="0.25">
      <c r="B137" s="9"/>
      <c r="C137" s="9"/>
      <c r="D137" s="9"/>
      <c r="E137" s="17"/>
      <c r="F137" s="9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 s="10"/>
      <c r="X137" s="10"/>
      <c r="Y137" s="10"/>
      <c r="Z137" s="10"/>
      <c r="AA137" s="10"/>
    </row>
    <row r="138" spans="2:27" ht="15" customHeight="1" x14ac:dyDescent="0.25">
      <c r="B138" s="9"/>
      <c r="C138" s="9"/>
      <c r="D138" s="9"/>
      <c r="E138" s="17"/>
      <c r="F138" s="9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 s="10"/>
      <c r="X138" s="10"/>
      <c r="Y138" s="10"/>
      <c r="Z138" s="10"/>
      <c r="AA138" s="10"/>
    </row>
    <row r="139" spans="2:27" ht="15" customHeight="1" x14ac:dyDescent="0.25">
      <c r="B139" s="9"/>
      <c r="C139" s="9"/>
      <c r="D139" s="9"/>
      <c r="E139" s="17"/>
      <c r="F139" s="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 s="10"/>
      <c r="X139" s="10"/>
      <c r="Y139" s="10"/>
      <c r="Z139" s="10"/>
      <c r="AA139" s="10"/>
    </row>
    <row r="140" spans="2:27" ht="15" customHeight="1" x14ac:dyDescent="0.25">
      <c r="B140" s="9"/>
      <c r="C140" s="9"/>
      <c r="D140" s="9"/>
      <c r="E140" s="17"/>
      <c r="F140" s="9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 s="10"/>
      <c r="X140" s="10"/>
      <c r="Y140" s="10"/>
      <c r="Z140" s="10"/>
      <c r="AA140" s="10"/>
    </row>
    <row r="141" spans="2:27" ht="15" customHeight="1" x14ac:dyDescent="0.25">
      <c r="B141" s="9"/>
      <c r="C141" s="9"/>
      <c r="D141" s="9"/>
      <c r="E141" s="17"/>
      <c r="F141" s="9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"/>
      <c r="X141" s="10"/>
      <c r="Y141" s="10"/>
      <c r="Z141" s="10"/>
      <c r="AA141" s="10"/>
    </row>
    <row r="142" spans="2:27" ht="15" customHeight="1" x14ac:dyDescent="0.25">
      <c r="B142" s="9"/>
      <c r="C142" s="9"/>
      <c r="D142" s="9"/>
      <c r="E142" s="17"/>
      <c r="F142" s="9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 s="10"/>
      <c r="X142" s="10"/>
      <c r="Y142" s="10"/>
      <c r="Z142" s="10"/>
      <c r="AA142" s="10"/>
    </row>
    <row r="143" spans="2:27" ht="15" customHeight="1" x14ac:dyDescent="0.25">
      <c r="B143" s="9"/>
      <c r="C143" s="9"/>
      <c r="D143" s="9"/>
      <c r="E143" s="17"/>
      <c r="F143" s="9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 s="10"/>
      <c r="X143" s="10"/>
      <c r="Y143" s="10"/>
      <c r="Z143" s="10"/>
      <c r="AA143" s="10"/>
    </row>
    <row r="144" spans="2:27" ht="15" customHeight="1" x14ac:dyDescent="0.25">
      <c r="B144" s="9"/>
      <c r="C144" s="9"/>
      <c r="D144" s="9"/>
      <c r="E144" s="9"/>
      <c r="F144" s="9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 s="10"/>
      <c r="X144" s="10"/>
      <c r="Y144" s="10"/>
      <c r="Z144" s="10"/>
      <c r="AA144" s="10"/>
    </row>
    <row r="145" spans="2:27" ht="15" customHeight="1" x14ac:dyDescent="0.25">
      <c r="B145" s="9"/>
      <c r="C145" s="9"/>
      <c r="D145" s="9"/>
      <c r="E145" s="9"/>
      <c r="F145" s="9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 s="10"/>
      <c r="X145" s="10"/>
      <c r="Y145" s="10"/>
      <c r="Z145" s="10"/>
      <c r="AA145" s="10"/>
    </row>
    <row r="146" spans="2:27" ht="15" customHeight="1" x14ac:dyDescent="0.25">
      <c r="B146" s="9"/>
      <c r="C146" s="9"/>
      <c r="D146" s="9"/>
      <c r="E146" s="9"/>
      <c r="F146" s="9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 s="10"/>
      <c r="X146" s="10"/>
      <c r="Y146" s="10"/>
      <c r="Z146" s="10"/>
      <c r="AA146" s="10"/>
    </row>
    <row r="147" spans="2:27" ht="15" customHeight="1" x14ac:dyDescent="0.25">
      <c r="B147" s="9"/>
      <c r="C147" s="9"/>
      <c r="D147" s="9"/>
      <c r="E147" s="9"/>
      <c r="F147" s="9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 s="10"/>
      <c r="X147" s="10"/>
      <c r="Y147" s="10"/>
      <c r="Z147" s="10"/>
      <c r="AA147" s="10"/>
    </row>
    <row r="148" spans="2:27" ht="15" customHeight="1" x14ac:dyDescent="0.25">
      <c r="B148" s="9"/>
      <c r="C148" s="9"/>
      <c r="D148" s="9"/>
      <c r="E148" s="9"/>
      <c r="F148" s="9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 s="10"/>
      <c r="X148" s="10"/>
      <c r="Y148" s="10"/>
      <c r="Z148" s="10"/>
      <c r="AA148" s="10"/>
    </row>
    <row r="149" spans="2:27" ht="15" customHeight="1" x14ac:dyDescent="0.25">
      <c r="B149" s="9"/>
      <c r="C149" s="9"/>
      <c r="D149" s="9"/>
      <c r="E149" s="9"/>
      <c r="F149" s="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 s="10"/>
      <c r="X149" s="10"/>
      <c r="Y149" s="10"/>
      <c r="Z149" s="10"/>
      <c r="AA149" s="10"/>
    </row>
    <row r="150" spans="2:27" ht="15" customHeight="1" x14ac:dyDescent="0.25">
      <c r="B150" s="9"/>
      <c r="C150" s="9"/>
      <c r="D150" s="9"/>
      <c r="E150" s="9"/>
      <c r="F150" s="9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 s="10"/>
      <c r="X150" s="10"/>
      <c r="Y150" s="10"/>
      <c r="Z150" s="10"/>
      <c r="AA150" s="10"/>
    </row>
    <row r="151" spans="2:27" ht="15" customHeight="1" x14ac:dyDescent="0.25">
      <c r="B151" s="9"/>
      <c r="C151" s="9"/>
      <c r="D151" s="9"/>
      <c r="E151" s="9"/>
      <c r="F151" s="9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 s="10"/>
      <c r="X151" s="10"/>
      <c r="Y151" s="10"/>
      <c r="Z151" s="10"/>
      <c r="AA151" s="10"/>
    </row>
    <row r="152" spans="2:27" ht="15" customHeight="1" x14ac:dyDescent="0.25">
      <c r="B152" s="9"/>
      <c r="C152" s="9"/>
      <c r="D152" s="9"/>
      <c r="E152" s="9"/>
      <c r="F152" s="9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 s="10"/>
      <c r="X152" s="10"/>
      <c r="Y152" s="10"/>
      <c r="Z152" s="10"/>
      <c r="AA152" s="10"/>
    </row>
    <row r="153" spans="2:27" ht="15" customHeight="1" x14ac:dyDescent="0.25">
      <c r="B153" s="9"/>
      <c r="C153" s="9"/>
      <c r="D153" s="9"/>
      <c r="E153" s="9"/>
      <c r="F153" s="9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 s="10"/>
      <c r="X153" s="10"/>
      <c r="Y153" s="10"/>
      <c r="Z153" s="10"/>
      <c r="AA153" s="10"/>
    </row>
    <row r="154" spans="2:27" ht="15" customHeight="1" x14ac:dyDescent="0.25">
      <c r="B154" s="9"/>
      <c r="C154" s="9"/>
      <c r="D154" s="9"/>
      <c r="E154" s="9"/>
      <c r="F154" s="9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 s="10"/>
      <c r="X154" s="10"/>
      <c r="Y154" s="10"/>
      <c r="Z154" s="10"/>
      <c r="AA154" s="10"/>
    </row>
    <row r="155" spans="2:27" ht="15" customHeight="1" x14ac:dyDescent="0.25">
      <c r="B155" s="9"/>
      <c r="C155" s="9"/>
      <c r="D155" s="9"/>
      <c r="E155" s="9"/>
      <c r="F155" s="9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 s="10"/>
      <c r="X155" s="10"/>
      <c r="Y155" s="10"/>
      <c r="Z155" s="10"/>
      <c r="AA155" s="10"/>
    </row>
    <row r="156" spans="2:27" ht="15" customHeight="1" x14ac:dyDescent="0.25">
      <c r="F156" s="9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 s="10"/>
      <c r="X156" s="10"/>
      <c r="Y156" s="10"/>
      <c r="Z156" s="10"/>
      <c r="AA156" s="10"/>
    </row>
    <row r="157" spans="2:27" ht="15" customHeight="1" x14ac:dyDescent="0.25">
      <c r="B157" s="9"/>
      <c r="C157" s="9"/>
      <c r="D157" s="9"/>
      <c r="E157" s="9"/>
      <c r="F157" s="9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 s="10"/>
      <c r="X157" s="10"/>
      <c r="Y157" s="10"/>
      <c r="Z157" s="10"/>
      <c r="AA157" s="10"/>
    </row>
    <row r="158" spans="2:27" ht="15" customHeight="1" x14ac:dyDescent="0.25">
      <c r="B158" s="9"/>
      <c r="C158" s="9"/>
      <c r="D158" s="9"/>
      <c r="E158" s="9"/>
      <c r="F158" s="9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 s="10"/>
      <c r="X158" s="10"/>
      <c r="Y158" s="10"/>
      <c r="Z158" s="10"/>
      <c r="AA158" s="10"/>
    </row>
    <row r="159" spans="2:27" ht="15" customHeight="1" x14ac:dyDescent="0.25">
      <c r="B159" s="9"/>
      <c r="C159" s="9"/>
      <c r="D159" s="9"/>
      <c r="E159" s="9"/>
      <c r="F159" s="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 s="10"/>
      <c r="X159" s="10"/>
      <c r="Y159" s="10"/>
      <c r="Z159" s="10"/>
      <c r="AA159" s="10"/>
    </row>
    <row r="160" spans="2:27" ht="15" customHeight="1" x14ac:dyDescent="0.25">
      <c r="B160" s="9"/>
      <c r="C160" s="9"/>
      <c r="D160" s="9"/>
      <c r="E160" s="9"/>
      <c r="F160" s="9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 s="10"/>
      <c r="X160" s="10"/>
      <c r="Y160" s="10"/>
      <c r="Z160" s="10"/>
      <c r="AA160" s="10"/>
    </row>
    <row r="161" spans="2:27" ht="15" customHeight="1" x14ac:dyDescent="0.25">
      <c r="B161" s="9"/>
      <c r="C161" s="9"/>
      <c r="D161" s="9"/>
      <c r="E161" s="9"/>
      <c r="F161" s="9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 s="10"/>
      <c r="X161" s="10"/>
      <c r="Y161" s="10"/>
      <c r="Z161" s="10"/>
      <c r="AA161" s="10"/>
    </row>
    <row r="162" spans="2:27" ht="15" customHeight="1" x14ac:dyDescent="0.25">
      <c r="B162" s="9"/>
      <c r="C162" s="9"/>
      <c r="D162" s="9"/>
      <c r="E162" s="9"/>
      <c r="F162" s="9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 s="10"/>
      <c r="X162" s="10"/>
      <c r="Y162" s="10"/>
      <c r="Z162" s="10"/>
      <c r="AA162" s="10"/>
    </row>
    <row r="163" spans="2:27" ht="15" customHeight="1" x14ac:dyDescent="0.25">
      <c r="B163" s="9"/>
      <c r="C163" s="9"/>
      <c r="D163" s="9"/>
      <c r="E163" s="9"/>
      <c r="F163" s="9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 s="10"/>
      <c r="X163" s="10"/>
      <c r="Y163" s="10"/>
      <c r="Z163" s="10"/>
      <c r="AA163" s="10"/>
    </row>
    <row r="164" spans="2:27" ht="15" customHeight="1" x14ac:dyDescent="0.25">
      <c r="B164" s="9"/>
      <c r="C164" s="9"/>
      <c r="D164" s="9"/>
      <c r="E164" s="9"/>
      <c r="F164" s="9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"/>
      <c r="X164" s="10"/>
      <c r="Y164" s="10"/>
      <c r="Z164" s="10"/>
      <c r="AA164" s="10"/>
    </row>
    <row r="165" spans="2:27" ht="15" customHeight="1" x14ac:dyDescent="0.25">
      <c r="B165" s="9"/>
      <c r="C165" s="9"/>
      <c r="D165" s="9"/>
      <c r="E165" s="9"/>
      <c r="F165" s="9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"/>
      <c r="X165" s="10"/>
      <c r="Y165" s="10"/>
      <c r="Z165" s="10"/>
      <c r="AA165" s="10"/>
    </row>
    <row r="166" spans="2:27" ht="15" customHeight="1" x14ac:dyDescent="0.25">
      <c r="B166" s="9"/>
      <c r="C166" s="9"/>
      <c r="D166" s="9"/>
      <c r="E166" s="9"/>
      <c r="F166" s="9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 s="10"/>
      <c r="X166" s="10"/>
      <c r="Y166" s="10"/>
      <c r="Z166" s="10"/>
      <c r="AA166" s="10"/>
    </row>
    <row r="167" spans="2:27" ht="15" customHeight="1" x14ac:dyDescent="0.25">
      <c r="B167" s="9"/>
      <c r="C167" s="9"/>
      <c r="D167" s="9"/>
      <c r="E167" s="9"/>
      <c r="F167" s="9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 s="10"/>
      <c r="X167" s="10"/>
      <c r="Y167" s="10"/>
      <c r="Z167" s="10"/>
      <c r="AA167" s="10"/>
    </row>
    <row r="168" spans="2:27" ht="15" customHeight="1" x14ac:dyDescent="0.25">
      <c r="B168" s="9"/>
      <c r="C168" s="9"/>
      <c r="D168" s="9"/>
      <c r="E168" s="9"/>
      <c r="F168" s="9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"/>
      <c r="X168" s="10"/>
      <c r="Y168" s="10"/>
      <c r="Z168" s="10"/>
      <c r="AA168" s="10"/>
    </row>
    <row r="169" spans="2:27" ht="15" customHeight="1" x14ac:dyDescent="0.25">
      <c r="B169" s="9"/>
      <c r="C169" s="9"/>
      <c r="D169" s="9"/>
      <c r="E169" s="9"/>
      <c r="F169" s="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"/>
      <c r="X169" s="10"/>
      <c r="Y169" s="10"/>
      <c r="Z169" s="10"/>
      <c r="AA169" s="10"/>
    </row>
    <row r="170" spans="2:27" ht="15" customHeight="1" x14ac:dyDescent="0.25">
      <c r="B170" s="9"/>
      <c r="C170" s="9"/>
      <c r="D170" s="9"/>
      <c r="E170" s="9"/>
      <c r="F170" s="9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"/>
      <c r="X170" s="10"/>
      <c r="Y170" s="10"/>
      <c r="Z170" s="10"/>
      <c r="AA170" s="10"/>
    </row>
    <row r="171" spans="2:27" ht="15" customHeight="1" x14ac:dyDescent="0.25">
      <c r="B171" s="9"/>
      <c r="C171" s="9"/>
      <c r="D171" s="9"/>
      <c r="E171" s="9"/>
      <c r="F171" s="9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"/>
      <c r="X171" s="10"/>
      <c r="Y171" s="10"/>
      <c r="Z171" s="10"/>
      <c r="AA171" s="10"/>
    </row>
    <row r="172" spans="2:27" ht="15" customHeight="1" x14ac:dyDescent="0.25">
      <c r="B172" s="9"/>
      <c r="C172" s="9"/>
      <c r="D172" s="9"/>
      <c r="E172" s="9"/>
      <c r="F172" s="9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10"/>
      <c r="X172" s="10"/>
      <c r="Y172" s="10"/>
      <c r="Z172" s="10"/>
      <c r="AA172" s="10"/>
    </row>
    <row r="173" spans="2:27" ht="15" customHeight="1" x14ac:dyDescent="0.25">
      <c r="B173" s="9"/>
      <c r="C173" s="9"/>
      <c r="D173" s="9"/>
      <c r="E173" s="9"/>
      <c r="F173" s="9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10"/>
      <c r="X173" s="10"/>
      <c r="Y173" s="10"/>
      <c r="Z173" s="10"/>
      <c r="AA173" s="10"/>
    </row>
    <row r="174" spans="2:27" ht="15" customHeight="1" x14ac:dyDescent="0.25">
      <c r="B174" s="9"/>
      <c r="C174" s="9"/>
      <c r="D174" s="9"/>
      <c r="E174" s="9"/>
      <c r="F174" s="9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10"/>
      <c r="X174" s="10"/>
      <c r="Y174" s="10"/>
      <c r="Z174" s="10"/>
      <c r="AA174" s="10"/>
    </row>
    <row r="175" spans="2:27" ht="15" customHeight="1" x14ac:dyDescent="0.25">
      <c r="B175" s="9"/>
      <c r="C175" s="9"/>
      <c r="D175" s="9"/>
      <c r="E175" s="9"/>
      <c r="F175" s="9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10"/>
      <c r="X175" s="10"/>
      <c r="Y175" s="10"/>
      <c r="Z175" s="10"/>
      <c r="AA175" s="10"/>
    </row>
    <row r="176" spans="2:27" ht="15" customHeight="1" x14ac:dyDescent="0.25">
      <c r="B176" s="9"/>
      <c r="C176" s="9"/>
      <c r="D176" s="9"/>
      <c r="E176" s="9"/>
      <c r="F176" s="9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10"/>
      <c r="X176" s="10"/>
      <c r="Y176" s="10"/>
      <c r="Z176" s="10"/>
      <c r="AA176" s="10"/>
    </row>
    <row r="177" spans="2:27" ht="15" customHeight="1" x14ac:dyDescent="0.25">
      <c r="B177" s="9"/>
      <c r="C177" s="9"/>
      <c r="D177" s="9"/>
      <c r="E177" s="9"/>
      <c r="F177" s="9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10"/>
      <c r="X177" s="10"/>
      <c r="Y177" s="10"/>
      <c r="Z177" s="10"/>
      <c r="AA177" s="10"/>
    </row>
    <row r="178" spans="2:27" ht="15" customHeight="1" x14ac:dyDescent="0.25">
      <c r="B178" s="9"/>
      <c r="C178" s="9"/>
      <c r="D178" s="9"/>
      <c r="E178" s="9"/>
      <c r="F178" s="9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10"/>
      <c r="X178" s="10"/>
      <c r="Y178" s="10"/>
      <c r="Z178" s="10"/>
      <c r="AA178" s="10"/>
    </row>
    <row r="179" spans="2:27" ht="15" customHeight="1" x14ac:dyDescent="0.25">
      <c r="B179" s="9"/>
      <c r="C179" s="9"/>
      <c r="D179" s="9"/>
      <c r="E179" s="9"/>
      <c r="F179" s="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10"/>
      <c r="X179" s="10"/>
      <c r="Y179" s="10"/>
      <c r="Z179" s="10"/>
      <c r="AA179" s="10"/>
    </row>
    <row r="180" spans="2:27" ht="15" customHeight="1" x14ac:dyDescent="0.25">
      <c r="B180" s="9"/>
      <c r="C180" s="9"/>
      <c r="D180" s="9"/>
      <c r="E180" s="9"/>
      <c r="F180" s="9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10"/>
      <c r="X180" s="10"/>
      <c r="Y180" s="10"/>
      <c r="Z180" s="10"/>
      <c r="AA180" s="10"/>
    </row>
    <row r="181" spans="2:27" ht="15" customHeight="1" x14ac:dyDescent="0.25">
      <c r="B181" s="9"/>
      <c r="C181" s="9"/>
      <c r="D181" s="9"/>
      <c r="E181" s="9"/>
      <c r="F181" s="9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10"/>
      <c r="X181" s="10"/>
      <c r="Y181" s="10"/>
      <c r="Z181" s="10"/>
      <c r="AA181" s="10"/>
    </row>
    <row r="182" spans="2:27" ht="15" customHeight="1" x14ac:dyDescent="0.25">
      <c r="B182" s="9"/>
      <c r="C182" s="9"/>
      <c r="D182" s="9"/>
      <c r="E182" s="9"/>
      <c r="F182" s="9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10"/>
      <c r="X182" s="10"/>
      <c r="Y182" s="10"/>
      <c r="Z182" s="10"/>
      <c r="AA182" s="10"/>
    </row>
    <row r="183" spans="2:27" ht="15" customHeight="1" x14ac:dyDescent="0.25">
      <c r="B183" s="9"/>
      <c r="C183" s="9"/>
      <c r="D183" s="9"/>
      <c r="E183" s="9"/>
      <c r="F183" s="9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10"/>
      <c r="X183" s="10"/>
      <c r="Y183" s="10"/>
      <c r="Z183" s="10"/>
      <c r="AA183" s="10"/>
    </row>
    <row r="184" spans="2:27" ht="15" customHeight="1" x14ac:dyDescent="0.25">
      <c r="B184" s="9"/>
      <c r="C184" s="9"/>
      <c r="D184" s="9"/>
      <c r="E184" s="9"/>
      <c r="F184" s="9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10"/>
      <c r="X184" s="10"/>
      <c r="Y184" s="10"/>
      <c r="Z184" s="10"/>
      <c r="AA184" s="10"/>
    </row>
    <row r="185" spans="2:27" ht="15" customHeight="1" x14ac:dyDescent="0.25">
      <c r="B185" s="9"/>
      <c r="C185" s="9"/>
      <c r="D185" s="9"/>
      <c r="E185" s="9"/>
      <c r="F185" s="9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10"/>
      <c r="X185" s="10"/>
      <c r="Y185" s="10"/>
      <c r="Z185" s="10"/>
      <c r="AA185" s="10"/>
    </row>
    <row r="186" spans="2:27" ht="15" customHeight="1" x14ac:dyDescent="0.25">
      <c r="B186" s="9"/>
      <c r="C186" s="9"/>
      <c r="D186" s="9"/>
      <c r="E186" s="9"/>
      <c r="F186" s="9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10"/>
      <c r="X186" s="10"/>
      <c r="Y186" s="10"/>
      <c r="Z186" s="10"/>
      <c r="AA186" s="10"/>
    </row>
    <row r="187" spans="2:27" ht="15" customHeight="1" x14ac:dyDescent="0.25">
      <c r="B187" s="9"/>
      <c r="C187" s="9"/>
      <c r="D187" s="9"/>
      <c r="E187" s="9"/>
      <c r="F187" s="9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10"/>
      <c r="X187" s="10"/>
      <c r="Y187" s="10"/>
      <c r="Z187" s="10"/>
      <c r="AA187" s="10"/>
    </row>
    <row r="188" spans="2:27" ht="15" customHeight="1" x14ac:dyDescent="0.25">
      <c r="B188" s="9"/>
      <c r="C188" s="9"/>
      <c r="D188" s="9"/>
      <c r="E188" s="9"/>
      <c r="F188" s="9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10"/>
      <c r="X188" s="10"/>
      <c r="Y188" s="10"/>
      <c r="Z188" s="10"/>
      <c r="AA188" s="10"/>
    </row>
    <row r="189" spans="2:27" ht="15" customHeight="1" x14ac:dyDescent="0.25">
      <c r="B189" s="9"/>
      <c r="C189" s="9"/>
      <c r="D189" s="9"/>
      <c r="E189" s="9"/>
      <c r="F189" s="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10"/>
      <c r="X189" s="10"/>
      <c r="Y189" s="10"/>
      <c r="Z189" s="10"/>
      <c r="AA189" s="10"/>
    </row>
    <row r="190" spans="2:27" ht="15" customHeight="1" x14ac:dyDescent="0.25">
      <c r="B190" s="9"/>
      <c r="C190" s="9"/>
      <c r="D190" s="9"/>
      <c r="E190" s="9"/>
      <c r="F190" s="9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10"/>
      <c r="X190" s="10"/>
      <c r="Y190" s="10"/>
      <c r="Z190" s="10"/>
      <c r="AA190" s="10"/>
    </row>
    <row r="191" spans="2:27" ht="15" customHeight="1" x14ac:dyDescent="0.25">
      <c r="B191" s="9"/>
      <c r="C191" s="9"/>
      <c r="D191" s="9"/>
      <c r="E191" s="9"/>
      <c r="F191" s="9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10"/>
      <c r="X191" s="10"/>
      <c r="Y191" s="10"/>
      <c r="Z191" s="10"/>
      <c r="AA191" s="10"/>
    </row>
    <row r="192" spans="2:27" ht="15" customHeight="1" x14ac:dyDescent="0.25">
      <c r="B192" s="9"/>
      <c r="C192" s="9"/>
      <c r="D192" s="9"/>
      <c r="E192" s="9"/>
      <c r="F192" s="9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10"/>
      <c r="X192" s="10"/>
      <c r="Y192" s="10"/>
      <c r="Z192" s="10"/>
      <c r="AA192" s="10"/>
    </row>
    <row r="193" spans="2:27" ht="15" customHeight="1" x14ac:dyDescent="0.25">
      <c r="B193" s="9"/>
      <c r="C193" s="9"/>
      <c r="D193" s="9"/>
      <c r="E193" s="9"/>
      <c r="F193" s="9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10"/>
      <c r="X193" s="10"/>
      <c r="Y193" s="10"/>
      <c r="Z193" s="10"/>
      <c r="AA193" s="10"/>
    </row>
    <row r="194" spans="2:27" ht="15" customHeight="1" x14ac:dyDescent="0.25">
      <c r="B194" s="9"/>
      <c r="C194" s="9"/>
      <c r="D194" s="9"/>
      <c r="E194" s="9"/>
      <c r="F194" s="9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10"/>
      <c r="X194" s="10"/>
      <c r="Y194" s="10"/>
      <c r="Z194" s="10"/>
      <c r="AA194" s="10"/>
    </row>
    <row r="195" spans="2:27" ht="15" customHeight="1" x14ac:dyDescent="0.25">
      <c r="B195" s="9"/>
      <c r="C195" s="9"/>
      <c r="D195" s="9"/>
      <c r="E195" s="9"/>
      <c r="F195" s="9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10"/>
      <c r="X195" s="10"/>
      <c r="Y195" s="10"/>
      <c r="Z195" s="10"/>
      <c r="AA195" s="10"/>
    </row>
    <row r="196" spans="2:27" ht="15" customHeight="1" x14ac:dyDescent="0.25">
      <c r="B196" s="9"/>
      <c r="C196" s="9"/>
      <c r="D196" s="9"/>
      <c r="E196" s="9"/>
      <c r="F196" s="9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10"/>
      <c r="X196" s="10"/>
      <c r="Y196" s="10"/>
      <c r="Z196" s="10"/>
      <c r="AA196" s="10"/>
    </row>
    <row r="197" spans="2:27" ht="15" customHeight="1" x14ac:dyDescent="0.25">
      <c r="B197" s="9"/>
      <c r="C197" s="9"/>
      <c r="D197" s="9"/>
      <c r="E197" s="9"/>
      <c r="F197" s="9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10"/>
      <c r="X197" s="10"/>
      <c r="Y197" s="10"/>
      <c r="Z197" s="10"/>
      <c r="AA197" s="10"/>
    </row>
    <row r="198" spans="2:27" ht="15" customHeight="1" x14ac:dyDescent="0.25">
      <c r="B198" s="9"/>
      <c r="C198" s="9"/>
      <c r="D198" s="9"/>
      <c r="E198" s="9"/>
      <c r="F198" s="9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10"/>
      <c r="X198" s="10"/>
      <c r="Y198" s="10"/>
      <c r="Z198" s="10"/>
      <c r="AA198" s="10"/>
    </row>
    <row r="199" spans="2:27" ht="15" customHeight="1" x14ac:dyDescent="0.25">
      <c r="B199" s="9"/>
      <c r="C199" s="9"/>
      <c r="D199" s="9"/>
      <c r="E199" s="9"/>
      <c r="F199" s="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10"/>
      <c r="X199" s="10"/>
      <c r="Y199" s="10"/>
      <c r="Z199" s="10"/>
      <c r="AA199" s="10"/>
    </row>
    <row r="200" spans="2:27" ht="15" customHeight="1" x14ac:dyDescent="0.25">
      <c r="B200" s="9"/>
      <c r="C200" s="9"/>
      <c r="D200" s="9"/>
      <c r="E200" s="9"/>
      <c r="F200" s="9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10"/>
      <c r="X200" s="10"/>
      <c r="Y200" s="10"/>
      <c r="Z200" s="10"/>
      <c r="AA200" s="10"/>
    </row>
    <row r="201" spans="2:27" ht="15" customHeight="1" x14ac:dyDescent="0.25">
      <c r="B201" s="9"/>
      <c r="C201" s="9"/>
      <c r="D201" s="9"/>
      <c r="E201" s="9"/>
      <c r="F201" s="9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10"/>
      <c r="X201" s="10"/>
      <c r="Y201" s="10"/>
      <c r="Z201" s="10"/>
      <c r="AA201" s="10"/>
    </row>
    <row r="202" spans="2:27" ht="15" customHeight="1" x14ac:dyDescent="0.25">
      <c r="B202" s="9"/>
      <c r="C202" s="9"/>
      <c r="D202" s="9"/>
      <c r="E202" s="9"/>
      <c r="F202" s="9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10"/>
      <c r="X202" s="10"/>
      <c r="Y202" s="10"/>
      <c r="Z202" s="10"/>
      <c r="AA202" s="10"/>
    </row>
    <row r="203" spans="2:27" ht="15" customHeight="1" x14ac:dyDescent="0.25">
      <c r="B203" s="9"/>
      <c r="C203" s="9"/>
      <c r="D203" s="9"/>
      <c r="E203" s="9"/>
      <c r="F203" s="9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10"/>
      <c r="X203" s="10"/>
      <c r="Y203" s="10"/>
      <c r="Z203" s="10"/>
      <c r="AA203" s="10"/>
    </row>
    <row r="204" spans="2:27" ht="15" customHeight="1" x14ac:dyDescent="0.25">
      <c r="B204" s="9"/>
      <c r="C204" s="9"/>
      <c r="D204" s="9"/>
      <c r="E204" s="9"/>
      <c r="F204" s="9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10"/>
      <c r="X204" s="10"/>
      <c r="Y204" s="10"/>
      <c r="Z204" s="10"/>
      <c r="AA204" s="10"/>
    </row>
    <row r="205" spans="2:27" ht="15" customHeight="1" x14ac:dyDescent="0.25">
      <c r="B205" s="9"/>
      <c r="C205" s="9"/>
      <c r="D205" s="9"/>
      <c r="E205" s="9"/>
      <c r="F205" s="9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10"/>
      <c r="X205" s="10"/>
      <c r="Y205" s="10"/>
      <c r="Z205" s="10"/>
      <c r="AA205" s="10"/>
    </row>
    <row r="206" spans="2:27" ht="15" customHeight="1" x14ac:dyDescent="0.25">
      <c r="B206" s="9"/>
      <c r="C206" s="9"/>
      <c r="D206" s="9"/>
      <c r="E206" s="9"/>
      <c r="F206" s="9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10"/>
      <c r="X206" s="10"/>
      <c r="Y206" s="10"/>
      <c r="Z206" s="10"/>
      <c r="AA206" s="10"/>
    </row>
    <row r="207" spans="2:27" ht="15" customHeight="1" x14ac:dyDescent="0.25">
      <c r="B207" s="9"/>
      <c r="C207" s="9"/>
      <c r="D207" s="9"/>
      <c r="E207" s="9"/>
      <c r="F207" s="9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10"/>
      <c r="X207" s="10"/>
      <c r="Y207" s="10"/>
      <c r="Z207" s="10"/>
      <c r="AA207" s="10"/>
    </row>
    <row r="208" spans="2:27" ht="15" customHeight="1" x14ac:dyDescent="0.25">
      <c r="B208" s="9"/>
      <c r="C208" s="9"/>
      <c r="D208" s="9"/>
      <c r="E208" s="9"/>
      <c r="F208" s="9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10"/>
      <c r="X208" s="10"/>
      <c r="Y208" s="10"/>
      <c r="Z208" s="10"/>
      <c r="AA208" s="10"/>
    </row>
    <row r="209" spans="2:27" ht="15" customHeight="1" x14ac:dyDescent="0.25">
      <c r="B209" s="9"/>
      <c r="C209" s="9"/>
      <c r="D209" s="9"/>
      <c r="E209" s="9"/>
      <c r="F209" s="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10"/>
      <c r="X209" s="10"/>
      <c r="Y209" s="10"/>
      <c r="Z209" s="10"/>
      <c r="AA209" s="10"/>
    </row>
    <row r="210" spans="2:27" ht="15" customHeight="1" x14ac:dyDescent="0.25">
      <c r="B210" s="9"/>
      <c r="C210" s="9"/>
      <c r="D210" s="9"/>
      <c r="E210" s="9"/>
      <c r="F210" s="9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10"/>
      <c r="X210" s="10"/>
      <c r="Y210" s="10"/>
      <c r="Z210" s="10"/>
      <c r="AA210" s="10"/>
    </row>
    <row r="211" spans="2:27" ht="15" customHeight="1" x14ac:dyDescent="0.25">
      <c r="B211" s="9"/>
      <c r="C211" s="9"/>
      <c r="D211" s="9"/>
      <c r="E211" s="9"/>
      <c r="F211" s="9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10"/>
      <c r="X211" s="10"/>
      <c r="Y211" s="10"/>
      <c r="Z211" s="10"/>
      <c r="AA211" s="10"/>
    </row>
    <row r="212" spans="2:27" ht="15" customHeight="1" x14ac:dyDescent="0.25">
      <c r="B212" s="9"/>
      <c r="C212" s="9"/>
      <c r="D212" s="9"/>
      <c r="E212" s="9"/>
      <c r="F212" s="9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10"/>
      <c r="X212" s="10"/>
      <c r="Y212" s="10"/>
      <c r="Z212" s="10"/>
      <c r="AA212" s="10"/>
    </row>
    <row r="213" spans="2:27" ht="15" customHeight="1" x14ac:dyDescent="0.25">
      <c r="B213" s="9"/>
      <c r="C213" s="9"/>
      <c r="D213" s="9"/>
      <c r="E213" s="9"/>
      <c r="F213" s="9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 s="10"/>
      <c r="X213" s="10"/>
      <c r="Y213" s="10"/>
      <c r="Z213" s="10"/>
      <c r="AA213" s="10"/>
    </row>
    <row r="214" spans="2:27" ht="15" customHeight="1" x14ac:dyDescent="0.25">
      <c r="B214" s="9"/>
      <c r="C214" s="9"/>
      <c r="D214" s="9"/>
      <c r="E214" s="9"/>
      <c r="F214" s="9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 s="10"/>
      <c r="X214" s="10"/>
      <c r="Y214" s="10"/>
      <c r="Z214" s="10"/>
      <c r="AA214" s="10"/>
    </row>
    <row r="215" spans="2:27" ht="15" customHeight="1" x14ac:dyDescent="0.25">
      <c r="B215" s="9"/>
      <c r="C215" s="9"/>
      <c r="D215" s="9"/>
      <c r="E215" s="9"/>
      <c r="F215" s="9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 s="10"/>
      <c r="X215" s="10"/>
      <c r="Y215" s="10"/>
      <c r="Z215" s="10"/>
      <c r="AA215" s="10"/>
    </row>
    <row r="216" spans="2:27" ht="15" customHeight="1" x14ac:dyDescent="0.25">
      <c r="B216" s="9"/>
      <c r="C216" s="9"/>
      <c r="D216" s="9"/>
      <c r="E216" s="9"/>
      <c r="F216" s="9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 s="10"/>
      <c r="X216" s="10"/>
      <c r="Y216" s="10"/>
      <c r="Z216" s="10"/>
      <c r="AA216" s="10"/>
    </row>
    <row r="217" spans="2:27" ht="15" customHeight="1" x14ac:dyDescent="0.25">
      <c r="B217" s="9"/>
      <c r="C217" s="9"/>
      <c r="D217" s="9"/>
      <c r="E217" s="9"/>
      <c r="F217" s="9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 s="10"/>
      <c r="X217" s="10"/>
      <c r="Y217" s="10"/>
      <c r="Z217" s="10"/>
      <c r="AA217" s="10"/>
    </row>
    <row r="218" spans="2:27" ht="15" customHeight="1" x14ac:dyDescent="0.25">
      <c r="B218" s="9"/>
      <c r="C218" s="9"/>
      <c r="D218" s="9"/>
      <c r="E218" s="9"/>
      <c r="F218" s="9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 s="10"/>
      <c r="X218" s="10"/>
      <c r="Y218" s="10"/>
      <c r="Z218" s="10"/>
      <c r="AA218" s="10"/>
    </row>
    <row r="219" spans="2:27" ht="15" customHeight="1" x14ac:dyDescent="0.25">
      <c r="B219" s="9"/>
      <c r="C219" s="9"/>
      <c r="D219" s="9"/>
      <c r="E219" s="9"/>
      <c r="F219" s="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 s="10"/>
      <c r="X219" s="10"/>
      <c r="Y219" s="10"/>
      <c r="Z219" s="10"/>
      <c r="AA219" s="10"/>
    </row>
    <row r="220" spans="2:27" ht="15" customHeight="1" x14ac:dyDescent="0.25">
      <c r="B220" s="9"/>
      <c r="C220" s="9"/>
      <c r="D220" s="9"/>
      <c r="E220" s="9"/>
      <c r="F220" s="9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 s="10"/>
      <c r="X220" s="10"/>
      <c r="Y220" s="10"/>
      <c r="Z220" s="10"/>
      <c r="AA220" s="10"/>
    </row>
    <row r="221" spans="2:27" ht="15" customHeight="1" x14ac:dyDescent="0.25">
      <c r="B221" s="9"/>
      <c r="C221" s="9"/>
      <c r="D221" s="9"/>
      <c r="E221" s="9"/>
      <c r="F221" s="9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 s="10"/>
      <c r="X221" s="10"/>
      <c r="Y221" s="10"/>
      <c r="Z221" s="10"/>
      <c r="AA221" s="10"/>
    </row>
    <row r="222" spans="2:27" ht="15" customHeight="1" x14ac:dyDescent="0.25">
      <c r="B222" s="9"/>
      <c r="C222" s="9"/>
      <c r="D222" s="9"/>
      <c r="E222" s="9"/>
      <c r="F222" s="9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 s="10"/>
      <c r="X222" s="10"/>
      <c r="Y222" s="10"/>
      <c r="Z222" s="10"/>
      <c r="AA222" s="10"/>
    </row>
    <row r="223" spans="2:27" ht="15" customHeight="1" x14ac:dyDescent="0.25">
      <c r="B223" s="9"/>
      <c r="C223" s="9"/>
      <c r="D223" s="9"/>
      <c r="E223" s="9"/>
      <c r="F223" s="9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 s="10"/>
      <c r="X223" s="10"/>
      <c r="Y223" s="10"/>
      <c r="Z223" s="10"/>
      <c r="AA223" s="10"/>
    </row>
    <row r="224" spans="2:27" ht="15" customHeight="1" x14ac:dyDescent="0.25">
      <c r="B224" s="9"/>
      <c r="C224" s="9"/>
      <c r="D224" s="9"/>
      <c r="E224" s="9"/>
      <c r="F224" s="9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 s="10"/>
      <c r="X224" s="10"/>
      <c r="Y224" s="10"/>
      <c r="Z224" s="10"/>
      <c r="AA224" s="10"/>
    </row>
    <row r="225" spans="2:27" ht="15" customHeight="1" x14ac:dyDescent="0.25">
      <c r="B225" s="9"/>
      <c r="C225" s="9"/>
      <c r="D225" s="9"/>
      <c r="E225" s="9"/>
      <c r="F225" s="9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 s="10"/>
      <c r="X225" s="10"/>
      <c r="Y225" s="10"/>
      <c r="Z225" s="10"/>
      <c r="AA225" s="10"/>
    </row>
    <row r="226" spans="2:27" ht="15" customHeight="1" x14ac:dyDescent="0.25">
      <c r="B226" s="9"/>
      <c r="C226" s="9"/>
      <c r="D226" s="9"/>
      <c r="E226" s="9"/>
      <c r="F226" s="9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 s="10"/>
      <c r="X226" s="10"/>
      <c r="Y226" s="10"/>
      <c r="Z226" s="10"/>
      <c r="AA226" s="10"/>
    </row>
    <row r="227" spans="2:27" ht="15" customHeight="1" x14ac:dyDescent="0.25">
      <c r="B227" s="9"/>
      <c r="C227" s="9"/>
      <c r="D227" s="9"/>
      <c r="E227" s="9"/>
      <c r="F227" s="9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 s="10"/>
      <c r="X227" s="10"/>
      <c r="Y227" s="10"/>
      <c r="Z227" s="10"/>
      <c r="AA227" s="10"/>
    </row>
    <row r="228" spans="2:27" ht="15" customHeight="1" x14ac:dyDescent="0.25">
      <c r="B228" s="9"/>
      <c r="C228" s="9"/>
      <c r="D228" s="9"/>
      <c r="E228" s="9"/>
      <c r="F228" s="9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 s="10"/>
      <c r="X228" s="10"/>
      <c r="Y228" s="10"/>
      <c r="Z228" s="10"/>
      <c r="AA228" s="10"/>
    </row>
    <row r="229" spans="2:27" ht="15" customHeight="1" x14ac:dyDescent="0.25">
      <c r="B229" s="9"/>
      <c r="C229" s="9"/>
      <c r="D229" s="9"/>
      <c r="E229" s="9"/>
      <c r="F229" s="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 s="10"/>
      <c r="X229" s="10"/>
      <c r="Y229" s="10"/>
      <c r="Z229" s="10"/>
      <c r="AA229" s="10"/>
    </row>
    <row r="230" spans="2:27" ht="15" customHeight="1" x14ac:dyDescent="0.25">
      <c r="B230" s="9"/>
      <c r="C230" s="9"/>
      <c r="D230" s="9"/>
      <c r="E230" s="9"/>
      <c r="F230" s="9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 s="10"/>
      <c r="X230" s="10"/>
      <c r="Y230" s="10"/>
      <c r="Z230" s="10"/>
      <c r="AA230" s="10"/>
    </row>
    <row r="231" spans="2:27" ht="15" customHeight="1" x14ac:dyDescent="0.25">
      <c r="B231" s="9"/>
      <c r="C231" s="9"/>
      <c r="D231" s="9"/>
      <c r="E231" s="9"/>
      <c r="F231" s="9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 s="10"/>
      <c r="X231" s="10"/>
      <c r="Y231" s="10"/>
      <c r="Z231" s="10"/>
      <c r="AA231" s="10"/>
    </row>
    <row r="232" spans="2:27" ht="15" customHeight="1" x14ac:dyDescent="0.25">
      <c r="B232" s="9"/>
      <c r="C232" s="9"/>
      <c r="D232" s="9"/>
      <c r="E232" s="9"/>
      <c r="F232" s="9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 s="10"/>
      <c r="X232" s="10"/>
      <c r="Y232" s="10"/>
      <c r="Z232" s="10"/>
      <c r="AA232" s="10"/>
    </row>
    <row r="233" spans="2:27" ht="15" customHeight="1" x14ac:dyDescent="0.25">
      <c r="B233" s="9"/>
      <c r="C233" s="9"/>
      <c r="D233" s="9"/>
      <c r="E233" s="9"/>
      <c r="F233" s="9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 s="10"/>
      <c r="X233" s="10"/>
      <c r="Y233" s="10"/>
      <c r="Z233" s="10"/>
      <c r="AA233" s="10"/>
    </row>
    <row r="234" spans="2:27" ht="15" customHeight="1" x14ac:dyDescent="0.25">
      <c r="B234" s="9"/>
      <c r="C234" s="9"/>
      <c r="D234" s="9"/>
      <c r="E234" s="9"/>
      <c r="F234" s="9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 s="10"/>
      <c r="X234" s="10"/>
      <c r="Y234" s="10"/>
      <c r="Z234" s="10"/>
      <c r="AA234" s="10"/>
    </row>
    <row r="235" spans="2:27" ht="15" customHeight="1" x14ac:dyDescent="0.25">
      <c r="B235" s="9"/>
      <c r="C235" s="9"/>
      <c r="D235" s="9"/>
      <c r="E235" s="9"/>
      <c r="F235" s="9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 s="10"/>
      <c r="X235" s="10"/>
      <c r="Y235" s="10"/>
      <c r="Z235" s="10"/>
      <c r="AA235" s="10"/>
    </row>
    <row r="236" spans="2:27" ht="15" customHeight="1" x14ac:dyDescent="0.25">
      <c r="B236" s="9"/>
      <c r="C236" s="9"/>
      <c r="D236" s="9"/>
      <c r="E236" s="9"/>
      <c r="F236" s="9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 s="10"/>
      <c r="X236" s="10"/>
      <c r="Y236" s="10"/>
      <c r="Z236" s="10"/>
      <c r="AA236" s="10"/>
    </row>
    <row r="237" spans="2:27" ht="15" customHeight="1" x14ac:dyDescent="0.25">
      <c r="B237" s="9"/>
      <c r="C237" s="9"/>
      <c r="D237" s="9"/>
      <c r="E237" s="9"/>
      <c r="F237" s="9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 s="10"/>
      <c r="X237" s="10"/>
      <c r="Y237" s="10"/>
      <c r="Z237" s="10"/>
      <c r="AA237" s="10"/>
    </row>
    <row r="238" spans="2:27" ht="15" customHeight="1" x14ac:dyDescent="0.25">
      <c r="B238" s="9"/>
      <c r="C238" s="9"/>
      <c r="D238" s="9"/>
      <c r="E238" s="9"/>
      <c r="F238" s="9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 s="10"/>
      <c r="X238" s="10"/>
      <c r="Y238" s="10"/>
      <c r="Z238" s="10"/>
      <c r="AA238" s="10"/>
    </row>
    <row r="239" spans="2:27" ht="15" customHeight="1" x14ac:dyDescent="0.25">
      <c r="B239" s="9"/>
      <c r="C239" s="9"/>
      <c r="D239" s="9"/>
      <c r="E239" s="9"/>
      <c r="F239" s="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 s="10"/>
      <c r="X239" s="10"/>
      <c r="Y239" s="10"/>
      <c r="Z239" s="10"/>
      <c r="AA239" s="10"/>
    </row>
    <row r="240" spans="2:27" ht="15" customHeight="1" x14ac:dyDescent="0.25">
      <c r="B240" s="9"/>
      <c r="C240" s="9"/>
      <c r="D240" s="9"/>
      <c r="E240" s="9"/>
      <c r="F240" s="9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 s="10"/>
      <c r="X240" s="10"/>
      <c r="Y240" s="10"/>
      <c r="Z240" s="10"/>
      <c r="AA240" s="10"/>
    </row>
    <row r="241" spans="2:27" ht="15" customHeight="1" x14ac:dyDescent="0.25">
      <c r="B241" s="9"/>
      <c r="C241" s="9"/>
      <c r="D241" s="9"/>
      <c r="E241" s="9"/>
      <c r="F241" s="9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 s="10"/>
      <c r="X241" s="10"/>
      <c r="Y241" s="10"/>
      <c r="Z241" s="10"/>
      <c r="AA241" s="10"/>
    </row>
    <row r="242" spans="2:27" ht="15" customHeight="1" x14ac:dyDescent="0.25">
      <c r="B242" s="9"/>
      <c r="C242" s="9"/>
      <c r="D242" s="9"/>
      <c r="E242" s="9"/>
      <c r="F242" s="9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 s="10"/>
      <c r="X242" s="10"/>
      <c r="Y242" s="10"/>
      <c r="Z242" s="10"/>
      <c r="AA242" s="10"/>
    </row>
    <row r="243" spans="2:27" ht="15" customHeight="1" x14ac:dyDescent="0.25">
      <c r="B243" s="9"/>
      <c r="C243" s="9"/>
      <c r="D243" s="9"/>
      <c r="E243" s="9"/>
      <c r="F243" s="9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 s="10"/>
      <c r="X243" s="10"/>
      <c r="Y243" s="10"/>
      <c r="Z243" s="10"/>
      <c r="AA243" s="10"/>
    </row>
    <row r="244" spans="2:27" ht="15" customHeight="1" x14ac:dyDescent="0.25">
      <c r="B244" s="9"/>
      <c r="C244" s="9"/>
      <c r="D244" s="9"/>
      <c r="E244" s="9"/>
      <c r="F244" s="9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 s="10"/>
      <c r="X244" s="10"/>
      <c r="Y244" s="10"/>
      <c r="Z244" s="10"/>
      <c r="AA244" s="10"/>
    </row>
    <row r="245" spans="2:27" ht="15" customHeight="1" x14ac:dyDescent="0.25">
      <c r="B245" s="9"/>
      <c r="C245" s="9"/>
      <c r="D245" s="9"/>
      <c r="E245" s="9"/>
      <c r="F245" s="9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 s="10"/>
      <c r="X245" s="10"/>
      <c r="Y245" s="10"/>
      <c r="Z245" s="10"/>
      <c r="AA245" s="10"/>
    </row>
    <row r="246" spans="2:27" ht="15" customHeight="1" x14ac:dyDescent="0.25">
      <c r="B246" s="9"/>
      <c r="C246" s="9"/>
      <c r="D246" s="9"/>
      <c r="E246" s="9"/>
      <c r="F246" s="9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 s="10"/>
      <c r="X246" s="10"/>
      <c r="Y246" s="10"/>
      <c r="Z246" s="10"/>
      <c r="AA246" s="10"/>
    </row>
    <row r="247" spans="2:27" ht="15" customHeight="1" x14ac:dyDescent="0.25">
      <c r="B247" s="9"/>
      <c r="C247" s="9"/>
      <c r="D247" s="9"/>
      <c r="E247" s="9"/>
      <c r="F247" s="9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 s="10"/>
      <c r="X247" s="10"/>
      <c r="Y247" s="10"/>
      <c r="Z247" s="10"/>
      <c r="AA247" s="10"/>
    </row>
    <row r="248" spans="2:27" ht="15" customHeight="1" x14ac:dyDescent="0.25">
      <c r="B248" s="9"/>
      <c r="C248" s="9"/>
      <c r="D248" s="9"/>
      <c r="E248" s="9"/>
      <c r="F248" s="9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 s="10"/>
      <c r="X248" s="10"/>
      <c r="Y248" s="10"/>
      <c r="Z248" s="10"/>
      <c r="AA248" s="10"/>
    </row>
    <row r="249" spans="2:27" ht="15" customHeight="1" x14ac:dyDescent="0.25">
      <c r="B249" s="9"/>
      <c r="C249" s="9"/>
      <c r="D249" s="9"/>
      <c r="E249" s="9"/>
      <c r="F249" s="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 s="10"/>
      <c r="X249" s="10"/>
      <c r="Y249" s="10"/>
      <c r="Z249" s="10"/>
      <c r="AA249" s="10"/>
    </row>
    <row r="250" spans="2:27" ht="15" customHeight="1" x14ac:dyDescent="0.25">
      <c r="B250" s="9"/>
      <c r="C250" s="9"/>
      <c r="D250" s="9"/>
      <c r="E250" s="9"/>
      <c r="F250" s="9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 s="10"/>
      <c r="X250" s="10"/>
      <c r="Y250" s="10"/>
      <c r="Z250" s="10"/>
      <c r="AA250" s="10"/>
    </row>
    <row r="251" spans="2:27" ht="15" customHeight="1" x14ac:dyDescent="0.25">
      <c r="B251" s="9"/>
      <c r="C251" s="9"/>
      <c r="D251" s="9"/>
      <c r="E251" s="9"/>
      <c r="F251" s="9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 s="10"/>
      <c r="X251" s="10"/>
      <c r="Y251" s="10"/>
      <c r="Z251" s="10"/>
      <c r="AA251" s="10"/>
    </row>
    <row r="252" spans="2:27" ht="15" customHeight="1" x14ac:dyDescent="0.25">
      <c r="B252" s="9"/>
      <c r="C252" s="9"/>
      <c r="D252" s="9"/>
      <c r="E252" s="9"/>
      <c r="F252" s="9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 s="10"/>
      <c r="X252" s="10"/>
      <c r="Y252" s="10"/>
      <c r="Z252" s="10"/>
      <c r="AA252" s="10"/>
    </row>
    <row r="253" spans="2:27" ht="15" customHeight="1" x14ac:dyDescent="0.25">
      <c r="B253" s="9"/>
      <c r="C253" s="9"/>
      <c r="D253" s="9"/>
      <c r="E253" s="9"/>
      <c r="F253" s="9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 s="10"/>
      <c r="X253" s="10"/>
      <c r="Y253" s="10"/>
      <c r="Z253" s="10"/>
      <c r="AA253" s="10"/>
    </row>
    <row r="254" spans="2:27" ht="15" customHeight="1" x14ac:dyDescent="0.25">
      <c r="B254" s="9"/>
      <c r="C254" s="9"/>
      <c r="D254" s="9"/>
      <c r="E254" s="9"/>
      <c r="F254" s="9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 s="10"/>
      <c r="X254" s="10"/>
      <c r="Y254" s="10"/>
      <c r="Z254" s="10"/>
      <c r="AA254" s="10"/>
    </row>
    <row r="255" spans="2:27" ht="15" customHeight="1" x14ac:dyDescent="0.25">
      <c r="B255" s="9"/>
      <c r="C255" s="9"/>
      <c r="D255" s="9"/>
      <c r="E255" s="9"/>
      <c r="F255" s="9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 s="10"/>
      <c r="X255" s="10"/>
      <c r="Y255" s="10"/>
      <c r="Z255" s="10"/>
      <c r="AA255" s="10"/>
    </row>
    <row r="256" spans="2:27" ht="15" customHeight="1" x14ac:dyDescent="0.25">
      <c r="B256" s="9"/>
      <c r="C256" s="9"/>
      <c r="D256" s="9"/>
      <c r="E256" s="9"/>
      <c r="F256" s="9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 s="10"/>
      <c r="X256" s="10"/>
      <c r="Y256" s="10"/>
      <c r="Z256" s="10"/>
      <c r="AA256" s="10"/>
    </row>
    <row r="257" spans="2:28" ht="15" customHeight="1" x14ac:dyDescent="0.25">
      <c r="B257" s="9"/>
      <c r="C257" s="9"/>
      <c r="D257" s="9"/>
      <c r="E257" s="9"/>
      <c r="F257" s="9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 s="10"/>
      <c r="X257" s="10"/>
      <c r="Y257" s="10"/>
      <c r="Z257" s="10"/>
      <c r="AA257" s="10"/>
    </row>
    <row r="258" spans="2:28" ht="15" customHeight="1" x14ac:dyDescent="0.25">
      <c r="B258" s="9"/>
      <c r="C258" s="9"/>
      <c r="D258" s="9"/>
      <c r="E258" s="9"/>
      <c r="F258" s="9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 s="10"/>
      <c r="X258" s="10"/>
      <c r="Y258" s="10"/>
      <c r="Z258" s="10"/>
      <c r="AA258" s="10"/>
    </row>
    <row r="259" spans="2:28" ht="15" customHeight="1" x14ac:dyDescent="0.2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</row>
    <row r="260" spans="2:28" ht="15" customHeight="1" x14ac:dyDescent="0.2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</row>
    <row r="261" spans="2:28" ht="15" customHeight="1" x14ac:dyDescent="0.2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8"/>
    </row>
    <row r="262" spans="2:28" ht="15" customHeight="1" x14ac:dyDescent="0.2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</row>
    <row r="263" spans="2:28" ht="15" customHeight="1" x14ac:dyDescent="0.2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</row>
    <row r="264" spans="2:28" ht="15" customHeight="1" x14ac:dyDescent="0.2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</row>
    <row r="265" spans="2:28" ht="15" customHeight="1" x14ac:dyDescent="0.2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</row>
    <row r="266" spans="2:28" ht="15" customHeight="1" x14ac:dyDescent="0.2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</row>
    <row r="267" spans="2:28" ht="15" customHeight="1" x14ac:dyDescent="0.2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</row>
    <row r="268" spans="2:28" ht="15" customHeight="1" x14ac:dyDescent="0.2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</row>
    <row r="269" spans="2:28" ht="15" customHeight="1" x14ac:dyDescent="0.2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</row>
    <row r="270" spans="2:28" ht="15" customHeight="1" x14ac:dyDescent="0.2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</row>
    <row r="271" spans="2:28" ht="15" customHeight="1" x14ac:dyDescent="0.2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</row>
    <row r="272" spans="2:28" ht="15" customHeight="1" x14ac:dyDescent="0.2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</row>
    <row r="273" spans="7:27" ht="15" customHeight="1" x14ac:dyDescent="0.2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</row>
    <row r="274" spans="7:27" ht="15" customHeight="1" x14ac:dyDescent="0.2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</row>
    <row r="275" spans="7:27" ht="15" customHeight="1" x14ac:dyDescent="0.2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</row>
    <row r="276" spans="7:27" ht="15" customHeight="1" x14ac:dyDescent="0.2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</row>
    <row r="277" spans="7:27" ht="15" customHeight="1" x14ac:dyDescent="0.2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</row>
    <row r="278" spans="7:27" ht="15" customHeight="1" x14ac:dyDescent="0.2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</row>
    <row r="279" spans="7:27" ht="15" customHeight="1" x14ac:dyDescent="0.2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</row>
    <row r="280" spans="7:27" ht="15" customHeight="1" x14ac:dyDescent="0.2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</row>
    <row r="281" spans="7:27" ht="15" customHeight="1" x14ac:dyDescent="0.2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</row>
    <row r="282" spans="7:27" ht="15" customHeight="1" x14ac:dyDescent="0.2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</row>
    <row r="283" spans="7:27" ht="15" customHeight="1" x14ac:dyDescent="0.2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</row>
    <row r="284" spans="7:27" ht="15" customHeight="1" x14ac:dyDescent="0.2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</row>
    <row r="285" spans="7:27" ht="15" customHeight="1" x14ac:dyDescent="0.2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</row>
    <row r="286" spans="7:27" ht="15" customHeight="1" x14ac:dyDescent="0.2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</row>
    <row r="287" spans="7:27" ht="15" customHeight="1" x14ac:dyDescent="0.2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7:27" ht="15" customHeight="1" x14ac:dyDescent="0.2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</row>
    <row r="289" spans="7:27" ht="15" customHeight="1" x14ac:dyDescent="0.2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7:27" ht="15" customHeight="1" x14ac:dyDescent="0.2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</row>
    <row r="291" spans="7:27" ht="15" customHeight="1" x14ac:dyDescent="0.2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</row>
    <row r="292" spans="7:27" ht="15" customHeight="1" x14ac:dyDescent="0.2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</row>
    <row r="293" spans="7:27" ht="15" customHeight="1" x14ac:dyDescent="0.2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</row>
    <row r="294" spans="7:27" ht="15" customHeight="1" x14ac:dyDescent="0.2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</row>
    <row r="295" spans="7:27" ht="15" customHeight="1" x14ac:dyDescent="0.2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7:27" ht="15" customHeight="1" x14ac:dyDescent="0.2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</row>
    <row r="297" spans="7:27" ht="15" customHeight="1" x14ac:dyDescent="0.2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</row>
    <row r="298" spans="7:27" ht="15" customHeight="1" x14ac:dyDescent="0.2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</row>
    <row r="299" spans="7:27" ht="15" customHeight="1" x14ac:dyDescent="0.2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</row>
    <row r="300" spans="7:27" ht="15" customHeight="1" x14ac:dyDescent="0.2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</row>
    <row r="301" spans="7:27" ht="15" customHeight="1" x14ac:dyDescent="0.2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7:27" ht="15" customHeight="1" x14ac:dyDescent="0.2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</row>
    <row r="303" spans="7:27" ht="15" customHeight="1" x14ac:dyDescent="0.2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7:27" ht="15" customHeight="1" x14ac:dyDescent="0.2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</row>
    <row r="305" spans="7:27" ht="15" customHeight="1" x14ac:dyDescent="0.2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</row>
    <row r="306" spans="7:27" ht="15" customHeight="1" x14ac:dyDescent="0.2"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</row>
    <row r="307" spans="7:27" ht="15" customHeight="1" x14ac:dyDescent="0.2"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</row>
    <row r="308" spans="7:27" ht="15" customHeight="1" x14ac:dyDescent="0.2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</row>
    <row r="309" spans="7:27" ht="15" customHeight="1" x14ac:dyDescent="0.2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7:27" ht="15" customHeight="1" x14ac:dyDescent="0.2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</row>
    <row r="311" spans="7:27" ht="15" customHeight="1" x14ac:dyDescent="0.2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7:27" ht="15" customHeight="1" x14ac:dyDescent="0.2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</row>
    <row r="313" spans="7:27" ht="15" customHeight="1" x14ac:dyDescent="0.2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7:27" ht="15" customHeight="1" x14ac:dyDescent="0.2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</row>
    <row r="315" spans="7:27" ht="15" customHeight="1" x14ac:dyDescent="0.2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</row>
    <row r="316" spans="7:27" ht="15" customHeight="1" x14ac:dyDescent="0.2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</row>
    <row r="317" spans="7:27" ht="15" customHeight="1" x14ac:dyDescent="0.2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7:27" ht="15" customHeight="1" x14ac:dyDescent="0.2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</row>
    <row r="319" spans="7:27" ht="15" customHeight="1" x14ac:dyDescent="0.2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7:27" ht="15" customHeight="1" x14ac:dyDescent="0.2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</row>
    <row r="321" spans="7:27" ht="15" customHeight="1" x14ac:dyDescent="0.2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7:27" ht="15" customHeight="1" x14ac:dyDescent="0.2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</row>
    <row r="323" spans="7:27" ht="15" customHeight="1" x14ac:dyDescent="0.2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</row>
    <row r="324" spans="7:27" ht="15" customHeight="1" x14ac:dyDescent="0.2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</row>
    <row r="325" spans="7:27" ht="15" customHeight="1" x14ac:dyDescent="0.2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7:27" ht="15" customHeight="1" x14ac:dyDescent="0.2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</row>
    <row r="327" spans="7:27" ht="15" customHeight="1" x14ac:dyDescent="0.2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7:27" ht="15" customHeight="1" x14ac:dyDescent="0.2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</row>
    <row r="329" spans="7:27" ht="15" customHeight="1" x14ac:dyDescent="0.2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7:27" ht="15" customHeight="1" x14ac:dyDescent="0.2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</row>
    <row r="331" spans="7:27" ht="15" customHeight="1" x14ac:dyDescent="0.2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</row>
    <row r="332" spans="7:27" ht="15" customHeight="1" x14ac:dyDescent="0.2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7:27" ht="15" customHeight="1" x14ac:dyDescent="0.2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</row>
    <row r="334" spans="7:27" ht="15" customHeight="1" x14ac:dyDescent="0.2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</row>
    <row r="335" spans="7:27" ht="15" customHeight="1" x14ac:dyDescent="0.2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</row>
    <row r="336" spans="7:27" ht="15" customHeight="1" x14ac:dyDescent="0.2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</row>
    <row r="337" spans="7:27" ht="15" customHeight="1" x14ac:dyDescent="0.2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</row>
    <row r="338" spans="7:27" ht="15" customHeight="1" x14ac:dyDescent="0.2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</row>
    <row r="339" spans="7:27" ht="15" customHeight="1" x14ac:dyDescent="0.2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</row>
    <row r="340" spans="7:27" ht="15" customHeight="1" x14ac:dyDescent="0.2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</row>
    <row r="341" spans="7:27" ht="15" customHeight="1" x14ac:dyDescent="0.2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</row>
    <row r="342" spans="7:27" ht="15" customHeight="1" x14ac:dyDescent="0.2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</row>
    <row r="343" spans="7:27" ht="15" customHeight="1" x14ac:dyDescent="0.2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7:27" ht="15" customHeight="1" x14ac:dyDescent="0.2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</row>
    <row r="345" spans="7:27" ht="15" customHeight="1" x14ac:dyDescent="0.2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7:27" ht="15" customHeight="1" x14ac:dyDescent="0.2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</row>
    <row r="347" spans="7:27" ht="15" customHeight="1" x14ac:dyDescent="0.2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</row>
    <row r="348" spans="7:27" ht="15" customHeight="1" x14ac:dyDescent="0.2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</row>
    <row r="349" spans="7:27" ht="15" customHeight="1" x14ac:dyDescent="0.2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7:27" ht="15" customHeight="1" x14ac:dyDescent="0.2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</row>
    <row r="351" spans="7:27" ht="15" customHeight="1" x14ac:dyDescent="0.2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7:27" ht="15" customHeight="1" x14ac:dyDescent="0.2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</row>
    <row r="353" spans="7:27" ht="15" customHeight="1" x14ac:dyDescent="0.2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</row>
    <row r="354" spans="7:27" ht="15" customHeight="1" x14ac:dyDescent="0.2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</row>
    <row r="355" spans="7:27" ht="15" customHeight="1" x14ac:dyDescent="0.2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</row>
    <row r="356" spans="7:27" ht="15" customHeight="1" x14ac:dyDescent="0.2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</row>
    <row r="357" spans="7:27" ht="15" customHeight="1" x14ac:dyDescent="0.2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</row>
    <row r="358" spans="7:27" ht="15" customHeight="1" x14ac:dyDescent="0.2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</row>
    <row r="359" spans="7:27" ht="15" customHeight="1" x14ac:dyDescent="0.2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7:27" ht="15" customHeight="1" x14ac:dyDescent="0.2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</row>
    <row r="361" spans="7:27" ht="15" customHeight="1" x14ac:dyDescent="0.2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</row>
    <row r="362" spans="7:27" ht="15" customHeight="1" x14ac:dyDescent="0.2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</row>
    <row r="363" spans="7:27" ht="15" customHeight="1" x14ac:dyDescent="0.2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</row>
    <row r="364" spans="7:27" ht="15" customHeight="1" x14ac:dyDescent="0.2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</row>
    <row r="365" spans="7:27" ht="15" customHeight="1" x14ac:dyDescent="0.2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7:27" ht="15" customHeight="1" x14ac:dyDescent="0.2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</row>
    <row r="367" spans="7:27" ht="15" customHeight="1" x14ac:dyDescent="0.2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7:27" ht="15" customHeight="1" x14ac:dyDescent="0.2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</row>
    <row r="369" spans="7:27" ht="15" customHeight="1" x14ac:dyDescent="0.2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</row>
    <row r="370" spans="7:27" ht="15" customHeight="1" x14ac:dyDescent="0.2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</row>
    <row r="371" spans="7:27" ht="15" customHeight="1" x14ac:dyDescent="0.2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</row>
    <row r="372" spans="7:27" ht="15" customHeight="1" x14ac:dyDescent="0.2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</row>
    <row r="373" spans="7:27" ht="15" customHeight="1" x14ac:dyDescent="0.2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</row>
    <row r="374" spans="7:27" ht="15" customHeight="1" x14ac:dyDescent="0.2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7:27" ht="15" customHeight="1" x14ac:dyDescent="0.2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</row>
    <row r="376" spans="7:27" ht="15" customHeight="1" x14ac:dyDescent="0.2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</row>
    <row r="377" spans="7:27" ht="15" customHeight="1" x14ac:dyDescent="0.2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</row>
    <row r="378" spans="7:27" ht="15" customHeight="1" x14ac:dyDescent="0.2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</row>
    <row r="379" spans="7:27" ht="15" customHeight="1" x14ac:dyDescent="0.2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7:27" ht="15" customHeight="1" x14ac:dyDescent="0.2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</row>
    <row r="381" spans="7:27" ht="15" customHeight="1" x14ac:dyDescent="0.2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7:27" ht="15" customHeight="1" x14ac:dyDescent="0.2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</row>
    <row r="383" spans="7:27" ht="15" customHeight="1" x14ac:dyDescent="0.2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7:27" ht="15" customHeight="1" x14ac:dyDescent="0.2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</row>
    <row r="385" spans="7:27" ht="15" customHeight="1" x14ac:dyDescent="0.2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</row>
    <row r="386" spans="7:27" ht="15" customHeight="1" x14ac:dyDescent="0.2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</row>
    <row r="387" spans="7:27" ht="15" customHeight="1" x14ac:dyDescent="0.2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7:27" ht="15" customHeight="1" x14ac:dyDescent="0.2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</row>
    <row r="389" spans="7:27" ht="15" customHeight="1" x14ac:dyDescent="0.2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7:27" ht="15" customHeight="1" x14ac:dyDescent="0.2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</row>
    <row r="391" spans="7:27" ht="15" customHeight="1" x14ac:dyDescent="0.2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</row>
    <row r="392" spans="7:27" ht="15" customHeight="1" x14ac:dyDescent="0.2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</row>
    <row r="393" spans="7:27" ht="15" customHeight="1" x14ac:dyDescent="0.2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</row>
    <row r="394" spans="7:27" ht="15" customHeight="1" x14ac:dyDescent="0.2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7:27" ht="15" customHeight="1" x14ac:dyDescent="0.2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</row>
    <row r="396" spans="7:27" ht="15" customHeight="1" x14ac:dyDescent="0.2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7:27" ht="15" customHeight="1" x14ac:dyDescent="0.2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</row>
    <row r="398" spans="7:27" ht="15" customHeight="1" x14ac:dyDescent="0.2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7:27" ht="15" customHeight="1" x14ac:dyDescent="0.2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7:27" ht="15" customHeight="1" x14ac:dyDescent="0.2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</row>
    <row r="401" spans="7:27" ht="15" customHeight="1" x14ac:dyDescent="0.2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</row>
    <row r="402" spans="7:27" ht="15" customHeight="1" x14ac:dyDescent="0.2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</row>
    <row r="403" spans="7:27" ht="15" customHeight="1" x14ac:dyDescent="0.2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7:27" ht="15" customHeight="1" x14ac:dyDescent="0.2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</row>
    <row r="405" spans="7:27" ht="15" customHeight="1" x14ac:dyDescent="0.2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</row>
    <row r="406" spans="7:27" ht="15" customHeight="1" x14ac:dyDescent="0.2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</row>
    <row r="407" spans="7:27" ht="15" customHeight="1" x14ac:dyDescent="0.2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</row>
    <row r="408" spans="7:27" ht="15" customHeight="1" x14ac:dyDescent="0.2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</row>
    <row r="409" spans="7:27" ht="15" customHeight="1" x14ac:dyDescent="0.2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7:27" ht="15" customHeight="1" x14ac:dyDescent="0.2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</row>
    <row r="411" spans="7:27" ht="15" customHeight="1" x14ac:dyDescent="0.2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7:27" ht="15" customHeight="1" x14ac:dyDescent="0.2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</row>
    <row r="413" spans="7:27" ht="15" customHeight="1" x14ac:dyDescent="0.2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</row>
    <row r="414" spans="7:27" ht="15" customHeight="1" x14ac:dyDescent="0.2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</row>
    <row r="415" spans="7:27" ht="15" customHeight="1" x14ac:dyDescent="0.2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7:27" ht="15" customHeight="1" x14ac:dyDescent="0.2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</row>
    <row r="417" spans="7:27" ht="15" customHeight="1" x14ac:dyDescent="0.2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</row>
    <row r="418" spans="7:27" ht="15" customHeight="1" x14ac:dyDescent="0.2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</row>
    <row r="419" spans="7:27" ht="15" customHeight="1" x14ac:dyDescent="0.2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</row>
    <row r="420" spans="7:27" ht="15" customHeight="1" x14ac:dyDescent="0.2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</row>
    <row r="421" spans="7:27" ht="15" customHeight="1" x14ac:dyDescent="0.2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</row>
    <row r="422" spans="7:27" ht="15" customHeight="1" x14ac:dyDescent="0.2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</row>
    <row r="423" spans="7:27" ht="15" customHeight="1" x14ac:dyDescent="0.2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</row>
    <row r="424" spans="7:27" ht="15" customHeight="1" x14ac:dyDescent="0.2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</row>
    <row r="425" spans="7:27" ht="15" customHeight="1" x14ac:dyDescent="0.2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</row>
    <row r="426" spans="7:27" ht="15" customHeight="1" x14ac:dyDescent="0.2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7:27" ht="15" customHeight="1" x14ac:dyDescent="0.2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7:27" ht="15" customHeight="1" x14ac:dyDescent="0.2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7:27" ht="15" customHeight="1" x14ac:dyDescent="0.2"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7:27" ht="15" customHeight="1" x14ac:dyDescent="0.2"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7:27" ht="15" customHeight="1" x14ac:dyDescent="0.2"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7:27" ht="15" customHeight="1" x14ac:dyDescent="0.2"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7:27" ht="15" customHeight="1" x14ac:dyDescent="0.2"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7:27" ht="15" customHeight="1" x14ac:dyDescent="0.2"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7:27" ht="15" customHeight="1" x14ac:dyDescent="0.2"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7:27" ht="15" customHeight="1" x14ac:dyDescent="0.2"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7:27" ht="15" customHeight="1" x14ac:dyDescent="0.2"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7:27" ht="15" customHeight="1" x14ac:dyDescent="0.2"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7:27" ht="15" customHeight="1" x14ac:dyDescent="0.2"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</row>
    <row r="440" spans="7:27" ht="15" customHeight="1" x14ac:dyDescent="0.2"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7:27" ht="15" customHeight="1" x14ac:dyDescent="0.2"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</row>
    <row r="442" spans="7:27" ht="15" customHeight="1" x14ac:dyDescent="0.2"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</row>
    <row r="443" spans="7:27" ht="15" customHeight="1" x14ac:dyDescent="0.2"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</row>
    <row r="444" spans="7:27" ht="15" customHeight="1" x14ac:dyDescent="0.2"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</row>
    <row r="445" spans="7:27" ht="15" customHeight="1" x14ac:dyDescent="0.2"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7:27" ht="15" customHeight="1" x14ac:dyDescent="0.2"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</row>
    <row r="447" spans="7:27" ht="15" customHeight="1" x14ac:dyDescent="0.2"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7:27" ht="15" customHeight="1" x14ac:dyDescent="0.2"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</row>
    <row r="449" spans="7:27" ht="15" customHeight="1" x14ac:dyDescent="0.2"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7:27" ht="15" customHeight="1" x14ac:dyDescent="0.2"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</row>
    <row r="451" spans="7:27" ht="15" customHeight="1" x14ac:dyDescent="0.2"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</row>
    <row r="452" spans="7:27" ht="15" customHeight="1" x14ac:dyDescent="0.2"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</row>
    <row r="453" spans="7:27" ht="15" customHeight="1" x14ac:dyDescent="0.2"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</row>
    <row r="454" spans="7:27" ht="15" customHeight="1" x14ac:dyDescent="0.2"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</row>
    <row r="455" spans="7:27" ht="15" customHeight="1" x14ac:dyDescent="0.2"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</row>
    <row r="456" spans="7:27" ht="15" customHeight="1" x14ac:dyDescent="0.2"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</row>
    <row r="457" spans="7:27" ht="15" customHeight="1" x14ac:dyDescent="0.2"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</row>
    <row r="458" spans="7:27" ht="15" customHeight="1" x14ac:dyDescent="0.2"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</row>
    <row r="459" spans="7:27" ht="15" customHeight="1" x14ac:dyDescent="0.2"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</row>
    <row r="460" spans="7:27" ht="15" customHeight="1" x14ac:dyDescent="0.2"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</row>
    <row r="461" spans="7:27" ht="15" customHeight="1" x14ac:dyDescent="0.2"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</row>
    <row r="462" spans="7:27" ht="15" customHeight="1" x14ac:dyDescent="0.2"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</row>
    <row r="463" spans="7:27" ht="15" customHeight="1" x14ac:dyDescent="0.2"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</row>
    <row r="464" spans="7:27" ht="15" customHeight="1" x14ac:dyDescent="0.2"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</row>
    <row r="465" spans="7:27" ht="15" customHeight="1" x14ac:dyDescent="0.2"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7:27" ht="15" customHeight="1" x14ac:dyDescent="0.2"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</row>
    <row r="467" spans="7:27" ht="15" customHeight="1" x14ac:dyDescent="0.2"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</row>
    <row r="468" spans="7:27" ht="15" customHeight="1" x14ac:dyDescent="0.2"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</row>
    <row r="469" spans="7:27" ht="15" customHeight="1" x14ac:dyDescent="0.2"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</row>
    <row r="470" spans="7:27" ht="15" customHeight="1" x14ac:dyDescent="0.2"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</row>
    <row r="471" spans="7:27" ht="15" customHeight="1" x14ac:dyDescent="0.2"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</row>
    <row r="472" spans="7:27" ht="15" customHeight="1" x14ac:dyDescent="0.2"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</row>
    <row r="473" spans="7:27" ht="15" customHeight="1" x14ac:dyDescent="0.2"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</row>
    <row r="474" spans="7:27" ht="15" customHeight="1" x14ac:dyDescent="0.2"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7:27" ht="15" customHeight="1" x14ac:dyDescent="0.2"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</row>
    <row r="476" spans="7:27" ht="15" customHeight="1" x14ac:dyDescent="0.2"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7:27" ht="15" customHeight="1" x14ac:dyDescent="0.2"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7:27" ht="15" customHeight="1" x14ac:dyDescent="0.2"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</row>
    <row r="479" spans="7:27" ht="15" customHeight="1" x14ac:dyDescent="0.2"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</row>
    <row r="480" spans="7:27" ht="15" customHeight="1" x14ac:dyDescent="0.2"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</row>
    <row r="481" spans="7:27" ht="15" customHeight="1" x14ac:dyDescent="0.2"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</row>
    <row r="482" spans="7:27" ht="15" customHeight="1" x14ac:dyDescent="0.2"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</row>
    <row r="483" spans="7:27" ht="15" customHeight="1" x14ac:dyDescent="0.2"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</row>
    <row r="484" spans="7:27" ht="15" customHeight="1" x14ac:dyDescent="0.2"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</row>
    <row r="485" spans="7:27" ht="15" customHeight="1" x14ac:dyDescent="0.2"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</row>
    <row r="486" spans="7:27" ht="15" customHeight="1" x14ac:dyDescent="0.2"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</row>
    <row r="487" spans="7:27" ht="15" customHeight="1" x14ac:dyDescent="0.2"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</row>
    <row r="488" spans="7:27" ht="15" customHeight="1" x14ac:dyDescent="0.2"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7:27" ht="15" customHeight="1" x14ac:dyDescent="0.2"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</row>
    <row r="490" spans="7:27" ht="15" customHeight="1" x14ac:dyDescent="0.2"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7:27" ht="15" customHeight="1" x14ac:dyDescent="0.2"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7:27" ht="15" customHeight="1" x14ac:dyDescent="0.2"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</row>
    <row r="493" spans="7:27" ht="15" customHeight="1" x14ac:dyDescent="0.2"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</row>
    <row r="494" spans="7:27" ht="15" customHeight="1" x14ac:dyDescent="0.2"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</row>
    <row r="495" spans="7:27" ht="15" customHeight="1" x14ac:dyDescent="0.2"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7:27" ht="15" customHeight="1" x14ac:dyDescent="0.2"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</row>
    <row r="497" spans="7:27" ht="15" customHeight="1" x14ac:dyDescent="0.2"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7:27" ht="15" customHeight="1" x14ac:dyDescent="0.2"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</row>
    <row r="499" spans="7:27" ht="15" customHeight="1" x14ac:dyDescent="0.2"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</row>
    <row r="500" spans="7:27" ht="15" customHeight="1" x14ac:dyDescent="0.2"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</row>
    <row r="501" spans="7:27" ht="15" customHeight="1" x14ac:dyDescent="0.2"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</row>
    <row r="502" spans="7:27" ht="15" customHeight="1" x14ac:dyDescent="0.2"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</row>
    <row r="503" spans="7:27" ht="15" customHeight="1" x14ac:dyDescent="0.2"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</row>
    <row r="504" spans="7:27" ht="15" customHeight="1" x14ac:dyDescent="0.2"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</row>
    <row r="505" spans="7:27" ht="15" customHeight="1" x14ac:dyDescent="0.2"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</row>
    <row r="506" spans="7:27" ht="15" customHeight="1" x14ac:dyDescent="0.2"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</row>
    <row r="507" spans="7:27" ht="15" customHeight="1" x14ac:dyDescent="0.2"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7:27" ht="15" customHeight="1" x14ac:dyDescent="0.2"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</row>
    <row r="509" spans="7:27" ht="15" customHeight="1" x14ac:dyDescent="0.2"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7:27" ht="15" customHeight="1" x14ac:dyDescent="0.2"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</row>
    <row r="511" spans="7:27" ht="15" customHeight="1" x14ac:dyDescent="0.2"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</row>
    <row r="512" spans="7:27" ht="15" customHeight="1" x14ac:dyDescent="0.2"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</row>
    <row r="513" spans="7:27" ht="15" customHeight="1" x14ac:dyDescent="0.2"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</row>
    <row r="514" spans="7:27" ht="15" customHeight="1" x14ac:dyDescent="0.2"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7:27" ht="15" customHeight="1" x14ac:dyDescent="0.2"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</row>
    <row r="516" spans="7:27" ht="15" customHeight="1" x14ac:dyDescent="0.2"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</row>
    <row r="517" spans="7:27" ht="15" customHeight="1" x14ac:dyDescent="0.2"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</row>
    <row r="518" spans="7:27" ht="15" customHeight="1" x14ac:dyDescent="0.2"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</row>
    <row r="519" spans="7:27" ht="15" customHeight="1" x14ac:dyDescent="0.2"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</row>
    <row r="520" spans="7:27" ht="15" customHeight="1" x14ac:dyDescent="0.2"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7:27" ht="15" customHeight="1" x14ac:dyDescent="0.2"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</row>
    <row r="522" spans="7:27" ht="15" customHeight="1" x14ac:dyDescent="0.2"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</row>
    <row r="523" spans="7:27" ht="15" customHeight="1" x14ac:dyDescent="0.2"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</row>
    <row r="524" spans="7:27" ht="15" customHeight="1" x14ac:dyDescent="0.2"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</row>
    <row r="525" spans="7:27" ht="15" customHeight="1" x14ac:dyDescent="0.2"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</row>
    <row r="526" spans="7:27" ht="15" customHeight="1" x14ac:dyDescent="0.2"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</row>
    <row r="527" spans="7:27" ht="15" customHeight="1" x14ac:dyDescent="0.2"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7:27" ht="15" customHeight="1" x14ac:dyDescent="0.2"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7:27" ht="15" customHeight="1" x14ac:dyDescent="0.2"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7:27" ht="15" customHeight="1" x14ac:dyDescent="0.2"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7:27" ht="15" customHeight="1" x14ac:dyDescent="0.2"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7:27" ht="15" customHeight="1" x14ac:dyDescent="0.2"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7:27" ht="15" customHeight="1" x14ac:dyDescent="0.2"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7:27" ht="15" customHeight="1" x14ac:dyDescent="0.2"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7:27" ht="15" customHeight="1" x14ac:dyDescent="0.2"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7:27" ht="15" customHeight="1" x14ac:dyDescent="0.2"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7:27" ht="15" customHeight="1" x14ac:dyDescent="0.2"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7:27" ht="15" customHeight="1" x14ac:dyDescent="0.2"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7:27" ht="15" customHeight="1" x14ac:dyDescent="0.2"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7:27" ht="15" customHeight="1" x14ac:dyDescent="0.2"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7:27" ht="15" customHeight="1" x14ac:dyDescent="0.2"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7:27" ht="15" customHeight="1" x14ac:dyDescent="0.2"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7:27" ht="15" customHeight="1" x14ac:dyDescent="0.2"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7:27" ht="15" customHeight="1" x14ac:dyDescent="0.2"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7:27" ht="15" customHeight="1" x14ac:dyDescent="0.2"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7:27" ht="15" customHeight="1" x14ac:dyDescent="0.2"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7:27" ht="15" customHeight="1" x14ac:dyDescent="0.2"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7:27" ht="15" customHeight="1" x14ac:dyDescent="0.2"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7:27" ht="15" customHeight="1" x14ac:dyDescent="0.2"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</row>
    <row r="550" spans="7:27" ht="15" customHeight="1" x14ac:dyDescent="0.2"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7:27" ht="15" customHeight="1" x14ac:dyDescent="0.2"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</row>
    <row r="552" spans="7:27" ht="15" customHeight="1" x14ac:dyDescent="0.2"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</row>
    <row r="553" spans="7:27" ht="15" customHeight="1" x14ac:dyDescent="0.2"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</row>
    <row r="554" spans="7:27" ht="15" customHeight="1" x14ac:dyDescent="0.2"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</row>
    <row r="555" spans="7:27" ht="15" customHeight="1" x14ac:dyDescent="0.2"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</row>
    <row r="556" spans="7:27" ht="15" customHeight="1" x14ac:dyDescent="0.2"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</row>
    <row r="557" spans="7:27" ht="15" customHeight="1" x14ac:dyDescent="0.2"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</row>
    <row r="558" spans="7:27" ht="15" customHeight="1" x14ac:dyDescent="0.2"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</row>
    <row r="559" spans="7:27" ht="15" customHeight="1" x14ac:dyDescent="0.2"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</row>
    <row r="560" spans="7:27" ht="15" customHeight="1" x14ac:dyDescent="0.2"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</row>
    <row r="561" spans="7:27" ht="15" customHeight="1" x14ac:dyDescent="0.2"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</row>
    <row r="562" spans="7:27" ht="15" customHeight="1" x14ac:dyDescent="0.2"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</row>
    <row r="563" spans="7:27" ht="15" customHeight="1" x14ac:dyDescent="0.2"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</row>
    <row r="564" spans="7:27" ht="15" customHeight="1" x14ac:dyDescent="0.2"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7:27" ht="15" customHeight="1" x14ac:dyDescent="0.2"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</row>
    <row r="566" spans="7:27" ht="15" customHeight="1" x14ac:dyDescent="0.2"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</row>
    <row r="567" spans="7:27" ht="15" customHeight="1" x14ac:dyDescent="0.2"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</row>
    <row r="568" spans="7:27" ht="15" customHeight="1" x14ac:dyDescent="0.2"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</row>
    <row r="569" spans="7:27" ht="15" customHeight="1" x14ac:dyDescent="0.2"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</row>
    <row r="570" spans="7:27" ht="15" customHeight="1" x14ac:dyDescent="0.2"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</row>
    <row r="571" spans="7:27" ht="15" customHeight="1" x14ac:dyDescent="0.2"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</row>
    <row r="572" spans="7:27" ht="15" customHeight="1" x14ac:dyDescent="0.2"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7:27" ht="15" customHeight="1" x14ac:dyDescent="0.2"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7:27" ht="15" customHeight="1" x14ac:dyDescent="0.2"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7:27" ht="15" customHeight="1" x14ac:dyDescent="0.2"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</row>
    <row r="576" spans="7:27" ht="15" customHeight="1" x14ac:dyDescent="0.2"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</row>
    <row r="577" spans="7:27" ht="15" customHeight="1" x14ac:dyDescent="0.2"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</row>
    <row r="578" spans="7:27" ht="15" customHeight="1" x14ac:dyDescent="0.2"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</row>
    <row r="579" spans="7:27" ht="15" customHeight="1" x14ac:dyDescent="0.2"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</row>
    <row r="580" spans="7:27" ht="15" customHeight="1" x14ac:dyDescent="0.2"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</row>
    <row r="581" spans="7:27" ht="15" customHeight="1" x14ac:dyDescent="0.2"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</row>
    <row r="582" spans="7:27" ht="15" customHeight="1" x14ac:dyDescent="0.2"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</row>
    <row r="583" spans="7:27" ht="15" customHeight="1" x14ac:dyDescent="0.2"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</row>
    <row r="584" spans="7:27" ht="15" customHeight="1" x14ac:dyDescent="0.2"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</row>
    <row r="585" spans="7:27" ht="15" customHeight="1" x14ac:dyDescent="0.2"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</row>
    <row r="586" spans="7:27" ht="15" customHeight="1" x14ac:dyDescent="0.2"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</row>
    <row r="587" spans="7:27" ht="15" customHeight="1" x14ac:dyDescent="0.2"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</row>
    <row r="588" spans="7:27" ht="15" customHeight="1" x14ac:dyDescent="0.2"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</row>
    <row r="589" spans="7:27" ht="15" customHeight="1" x14ac:dyDescent="0.2"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</row>
    <row r="590" spans="7:27" ht="15" customHeight="1" x14ac:dyDescent="0.2"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</row>
    <row r="591" spans="7:27" ht="15" customHeight="1" x14ac:dyDescent="0.2"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</row>
    <row r="592" spans="7:27" ht="15" customHeight="1" x14ac:dyDescent="0.2"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</row>
    <row r="593" spans="7:27" ht="15" customHeight="1" x14ac:dyDescent="0.2"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</row>
    <row r="594" spans="7:27" ht="15" customHeight="1" x14ac:dyDescent="0.2"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</row>
    <row r="595" spans="7:27" ht="15" customHeight="1" x14ac:dyDescent="0.2"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</row>
    <row r="596" spans="7:27" ht="15" customHeight="1" x14ac:dyDescent="0.2"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</row>
    <row r="597" spans="7:27" ht="15" customHeight="1" x14ac:dyDescent="0.2"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</row>
    <row r="598" spans="7:27" ht="15" customHeight="1" x14ac:dyDescent="0.2"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</row>
    <row r="599" spans="7:27" ht="15" customHeight="1" x14ac:dyDescent="0.2"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</row>
    <row r="600" spans="7:27" ht="15" customHeight="1" x14ac:dyDescent="0.2"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</row>
    <row r="601" spans="7:27" ht="15" customHeight="1" x14ac:dyDescent="0.2"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</row>
    <row r="602" spans="7:27" ht="15" customHeight="1" x14ac:dyDescent="0.2"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</row>
    <row r="603" spans="7:27" ht="15" customHeight="1" x14ac:dyDescent="0.2"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</row>
    <row r="604" spans="7:27" ht="15" customHeight="1" x14ac:dyDescent="0.2"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</row>
    <row r="605" spans="7:27" ht="15" customHeight="1" x14ac:dyDescent="0.2"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</row>
    <row r="606" spans="7:27" ht="15" customHeight="1" x14ac:dyDescent="0.2"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</row>
    <row r="607" spans="7:27" ht="15" customHeight="1" x14ac:dyDescent="0.2"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</row>
    <row r="608" spans="7:27" ht="15" customHeight="1" x14ac:dyDescent="0.2"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</row>
    <row r="609" spans="7:27" ht="15" customHeight="1" x14ac:dyDescent="0.2"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</row>
    <row r="610" spans="7:27" ht="15" customHeight="1" x14ac:dyDescent="0.2"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</row>
    <row r="611" spans="7:27" ht="15" customHeight="1" x14ac:dyDescent="0.2"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</row>
    <row r="612" spans="7:27" ht="15" customHeight="1" x14ac:dyDescent="0.2"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</row>
    <row r="613" spans="7:27" ht="15" customHeight="1" x14ac:dyDescent="0.2"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</row>
    <row r="614" spans="7:27" ht="15" customHeight="1" x14ac:dyDescent="0.2"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</row>
    <row r="615" spans="7:27" ht="15" customHeight="1" x14ac:dyDescent="0.2"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</row>
    <row r="616" spans="7:27" ht="15" customHeight="1" x14ac:dyDescent="0.2"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</row>
    <row r="617" spans="7:27" ht="15" customHeight="1" x14ac:dyDescent="0.2"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</row>
    <row r="618" spans="7:27" ht="15" customHeight="1" x14ac:dyDescent="0.2"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</row>
    <row r="619" spans="7:27" ht="15" customHeight="1" x14ac:dyDescent="0.2"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</row>
    <row r="620" spans="7:27" ht="15" customHeight="1" x14ac:dyDescent="0.2"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</row>
    <row r="621" spans="7:27" ht="15" customHeight="1" x14ac:dyDescent="0.2"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</row>
    <row r="622" spans="7:27" ht="15" customHeight="1" x14ac:dyDescent="0.2"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</row>
    <row r="623" spans="7:27" ht="15" customHeight="1" x14ac:dyDescent="0.2"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</row>
    <row r="624" spans="7:27" ht="15" customHeight="1" x14ac:dyDescent="0.2"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</row>
    <row r="625" spans="7:27" ht="15" customHeight="1" x14ac:dyDescent="0.2"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</row>
    <row r="626" spans="7:27" ht="15" customHeight="1" x14ac:dyDescent="0.2"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</row>
    <row r="627" spans="7:27" ht="15" customHeight="1" x14ac:dyDescent="0.2"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</row>
    <row r="628" spans="7:27" ht="15" customHeight="1" x14ac:dyDescent="0.2"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</row>
    <row r="629" spans="7:27" ht="15" customHeight="1" x14ac:dyDescent="0.2"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</row>
    <row r="630" spans="7:27" ht="15" customHeight="1" x14ac:dyDescent="0.2"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</row>
    <row r="631" spans="7:27" ht="15" customHeight="1" x14ac:dyDescent="0.2"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</row>
    <row r="632" spans="7:27" ht="15" customHeight="1" x14ac:dyDescent="0.2"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</row>
    <row r="633" spans="7:27" ht="15" customHeight="1" x14ac:dyDescent="0.2"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</row>
    <row r="634" spans="7:27" ht="15" customHeight="1" x14ac:dyDescent="0.2"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</row>
    <row r="635" spans="7:27" ht="15" customHeight="1" x14ac:dyDescent="0.2"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</row>
    <row r="636" spans="7:27" ht="15" customHeight="1" x14ac:dyDescent="0.2"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</row>
    <row r="637" spans="7:27" ht="15" customHeight="1" x14ac:dyDescent="0.2"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</row>
    <row r="638" spans="7:27" ht="15" customHeight="1" x14ac:dyDescent="0.2"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</row>
    <row r="639" spans="7:27" ht="15" customHeight="1" x14ac:dyDescent="0.2"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</row>
    <row r="640" spans="7:27" ht="15" customHeight="1" x14ac:dyDescent="0.2"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</row>
    <row r="641" spans="7:27" ht="15" customHeight="1" x14ac:dyDescent="0.2"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</row>
    <row r="642" spans="7:27" ht="15" customHeight="1" x14ac:dyDescent="0.2"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</row>
    <row r="643" spans="7:27" ht="15" customHeight="1" x14ac:dyDescent="0.2"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</row>
    <row r="644" spans="7:27" ht="15" customHeight="1" x14ac:dyDescent="0.2"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</row>
    <row r="645" spans="7:27" ht="15" customHeight="1" x14ac:dyDescent="0.2"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</row>
    <row r="646" spans="7:27" ht="15" customHeight="1" x14ac:dyDescent="0.2"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</row>
    <row r="647" spans="7:27" ht="15" customHeight="1" x14ac:dyDescent="0.2"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</row>
    <row r="648" spans="7:27" ht="15" customHeight="1" x14ac:dyDescent="0.2"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</row>
    <row r="649" spans="7:27" ht="15" customHeight="1" x14ac:dyDescent="0.2"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</row>
    <row r="650" spans="7:27" ht="15" customHeight="1" x14ac:dyDescent="0.2"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</row>
    <row r="651" spans="7:27" ht="15" customHeight="1" x14ac:dyDescent="0.2"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</row>
    <row r="652" spans="7:27" ht="15" customHeight="1" x14ac:dyDescent="0.2"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</row>
    <row r="653" spans="7:27" ht="15" customHeight="1" x14ac:dyDescent="0.2"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</row>
    <row r="654" spans="7:27" ht="15" customHeight="1" x14ac:dyDescent="0.2"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</row>
    <row r="655" spans="7:27" ht="15" customHeight="1" x14ac:dyDescent="0.2"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</row>
    <row r="656" spans="7:27" ht="15" customHeight="1" x14ac:dyDescent="0.2"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</row>
    <row r="657" spans="7:27" ht="15" customHeight="1" x14ac:dyDescent="0.2"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</row>
    <row r="658" spans="7:27" ht="15" customHeight="1" x14ac:dyDescent="0.2"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</row>
    <row r="659" spans="7:27" ht="15" customHeight="1" x14ac:dyDescent="0.2"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</row>
    <row r="660" spans="7:27" ht="15" customHeight="1" x14ac:dyDescent="0.2"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</row>
    <row r="661" spans="7:27" ht="15" customHeight="1" x14ac:dyDescent="0.2"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</row>
    <row r="662" spans="7:27" ht="15" customHeight="1" x14ac:dyDescent="0.2"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</row>
    <row r="663" spans="7:27" ht="15" customHeight="1" x14ac:dyDescent="0.2"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</row>
    <row r="664" spans="7:27" ht="15" customHeight="1" x14ac:dyDescent="0.2"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</row>
    <row r="665" spans="7:27" ht="15" customHeight="1" x14ac:dyDescent="0.2"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</row>
    <row r="666" spans="7:27" ht="15" customHeight="1" x14ac:dyDescent="0.2"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</row>
    <row r="667" spans="7:27" ht="15" customHeight="1" x14ac:dyDescent="0.2"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</row>
    <row r="668" spans="7:27" ht="15" customHeight="1" x14ac:dyDescent="0.2"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</row>
    <row r="669" spans="7:27" ht="15" customHeight="1" x14ac:dyDescent="0.2"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</row>
    <row r="670" spans="7:27" ht="15" customHeight="1" x14ac:dyDescent="0.2"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</row>
    <row r="671" spans="7:27" ht="15" customHeight="1" x14ac:dyDescent="0.2"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</row>
    <row r="672" spans="7:27" ht="15" customHeight="1" x14ac:dyDescent="0.2"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</row>
    <row r="673" spans="7:27" ht="15" customHeight="1" x14ac:dyDescent="0.2"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</row>
    <row r="674" spans="7:27" ht="15" customHeight="1" x14ac:dyDescent="0.2"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</row>
    <row r="675" spans="7:27" ht="15" customHeight="1" x14ac:dyDescent="0.2"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</row>
    <row r="676" spans="7:27" ht="15" customHeight="1" x14ac:dyDescent="0.2"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</row>
    <row r="677" spans="7:27" ht="15" customHeight="1" x14ac:dyDescent="0.2"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</row>
    <row r="678" spans="7:27" ht="15" customHeight="1" x14ac:dyDescent="0.2"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</row>
    <row r="679" spans="7:27" ht="15" customHeight="1" x14ac:dyDescent="0.2"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</row>
    <row r="680" spans="7:27" ht="15" customHeight="1" x14ac:dyDescent="0.2"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</row>
    <row r="681" spans="7:27" ht="15" customHeight="1" x14ac:dyDescent="0.2"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</row>
    <row r="682" spans="7:27" ht="15" customHeight="1" x14ac:dyDescent="0.2"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</row>
    <row r="683" spans="7:27" ht="15" customHeight="1" x14ac:dyDescent="0.2"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</row>
    <row r="684" spans="7:27" ht="15" customHeight="1" x14ac:dyDescent="0.2"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</row>
    <row r="685" spans="7:27" ht="15" customHeight="1" x14ac:dyDescent="0.2"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</row>
    <row r="686" spans="7:27" ht="15" customHeight="1" x14ac:dyDescent="0.2"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</row>
    <row r="687" spans="7:27" ht="15" customHeight="1" x14ac:dyDescent="0.2"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</row>
    <row r="688" spans="7:27" ht="15" customHeight="1" x14ac:dyDescent="0.2"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</row>
    <row r="689" spans="7:27" ht="15" customHeight="1" x14ac:dyDescent="0.2"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</row>
    <row r="690" spans="7:27" ht="15" customHeight="1" x14ac:dyDescent="0.2"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</row>
    <row r="691" spans="7:27" ht="15" customHeight="1" x14ac:dyDescent="0.2"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</row>
    <row r="692" spans="7:27" ht="15" customHeight="1" x14ac:dyDescent="0.2"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</row>
    <row r="693" spans="7:27" ht="15" customHeight="1" x14ac:dyDescent="0.2"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</row>
    <row r="694" spans="7:27" ht="15" customHeight="1" x14ac:dyDescent="0.2"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</row>
    <row r="695" spans="7:27" ht="15" customHeight="1" x14ac:dyDescent="0.2"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</row>
    <row r="696" spans="7:27" ht="15" customHeight="1" x14ac:dyDescent="0.2"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</row>
    <row r="697" spans="7:27" ht="15" customHeight="1" x14ac:dyDescent="0.2"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</row>
    <row r="698" spans="7:27" ht="15" customHeight="1" x14ac:dyDescent="0.2"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</row>
    <row r="699" spans="7:27" ht="15" customHeight="1" x14ac:dyDescent="0.2"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</row>
    <row r="700" spans="7:27" ht="15" customHeight="1" x14ac:dyDescent="0.2"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</row>
    <row r="701" spans="7:27" ht="15" customHeight="1" x14ac:dyDescent="0.2"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</row>
    <row r="702" spans="7:27" ht="15" customHeight="1" x14ac:dyDescent="0.2"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</row>
    <row r="703" spans="7:27" ht="15" customHeight="1" x14ac:dyDescent="0.2"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</row>
    <row r="704" spans="7:27" ht="15" customHeight="1" x14ac:dyDescent="0.2"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</row>
    <row r="705" spans="7:27" ht="15" customHeight="1" x14ac:dyDescent="0.2"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</row>
    <row r="706" spans="7:27" ht="15" customHeight="1" x14ac:dyDescent="0.2"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</row>
    <row r="707" spans="7:27" ht="15" customHeight="1" x14ac:dyDescent="0.2"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</row>
    <row r="708" spans="7:27" ht="15" customHeight="1" x14ac:dyDescent="0.2"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</row>
    <row r="709" spans="7:27" ht="15" customHeight="1" x14ac:dyDescent="0.2"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</row>
    <row r="710" spans="7:27" ht="15" customHeight="1" x14ac:dyDescent="0.2"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</row>
    <row r="711" spans="7:27" ht="15" customHeight="1" x14ac:dyDescent="0.2"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</row>
    <row r="712" spans="7:27" ht="15" customHeight="1" x14ac:dyDescent="0.2"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</row>
    <row r="713" spans="7:27" ht="15" customHeight="1" x14ac:dyDescent="0.2"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</row>
    <row r="714" spans="7:27" ht="15" customHeight="1" x14ac:dyDescent="0.2"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</row>
    <row r="715" spans="7:27" ht="15" customHeight="1" x14ac:dyDescent="0.2"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</row>
    <row r="716" spans="7:27" ht="15" customHeight="1" x14ac:dyDescent="0.2"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</row>
    <row r="717" spans="7:27" ht="15" customHeight="1" x14ac:dyDescent="0.2"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</row>
    <row r="718" spans="7:27" ht="15" customHeight="1" x14ac:dyDescent="0.2"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</row>
    <row r="719" spans="7:27" ht="15" customHeight="1" x14ac:dyDescent="0.2"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</row>
    <row r="720" spans="7:27" ht="15" customHeight="1" x14ac:dyDescent="0.2"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</row>
    <row r="721" spans="7:27" ht="15" customHeight="1" x14ac:dyDescent="0.2"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</row>
    <row r="722" spans="7:27" ht="15" customHeight="1" x14ac:dyDescent="0.2"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</row>
    <row r="723" spans="7:27" ht="15" customHeight="1" x14ac:dyDescent="0.2"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</row>
    <row r="724" spans="7:27" ht="15" customHeight="1" x14ac:dyDescent="0.2"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</row>
    <row r="725" spans="7:27" ht="15" customHeight="1" x14ac:dyDescent="0.2"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</row>
    <row r="726" spans="7:27" ht="15" customHeight="1" x14ac:dyDescent="0.2"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</row>
    <row r="727" spans="7:27" ht="15" customHeight="1" x14ac:dyDescent="0.2"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</row>
    <row r="728" spans="7:27" ht="15" customHeight="1" x14ac:dyDescent="0.2"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</row>
    <row r="729" spans="7:27" ht="15" customHeight="1" x14ac:dyDescent="0.2"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</row>
    <row r="730" spans="7:27" ht="15" customHeight="1" x14ac:dyDescent="0.2"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</row>
    <row r="731" spans="7:27" ht="15" customHeight="1" x14ac:dyDescent="0.2"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</row>
    <row r="732" spans="7:27" ht="15" customHeight="1" x14ac:dyDescent="0.2"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</row>
    <row r="733" spans="7:27" ht="15" customHeight="1" x14ac:dyDescent="0.2"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</row>
    <row r="734" spans="7:27" ht="15" customHeight="1" x14ac:dyDescent="0.2"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</row>
    <row r="735" spans="7:27" ht="15" customHeight="1" x14ac:dyDescent="0.2"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</row>
    <row r="736" spans="7:27" ht="15" customHeight="1" x14ac:dyDescent="0.2"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</row>
    <row r="737" spans="7:27" ht="15" customHeight="1" x14ac:dyDescent="0.2"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</row>
    <row r="738" spans="7:27" ht="15" customHeight="1" x14ac:dyDescent="0.2"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</row>
    <row r="739" spans="7:27" ht="15" customHeight="1" x14ac:dyDescent="0.2"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</row>
    <row r="740" spans="7:27" ht="15" customHeight="1" x14ac:dyDescent="0.2"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</row>
    <row r="741" spans="7:27" ht="15" customHeight="1" x14ac:dyDescent="0.2"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</row>
    <row r="742" spans="7:27" ht="15" customHeight="1" x14ac:dyDescent="0.2"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</row>
    <row r="743" spans="7:27" ht="15" customHeight="1" x14ac:dyDescent="0.2"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</row>
    <row r="744" spans="7:27" ht="15" customHeight="1" x14ac:dyDescent="0.2"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</row>
    <row r="745" spans="7:27" ht="15" customHeight="1" x14ac:dyDescent="0.2"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</row>
    <row r="746" spans="7:27" ht="15" customHeight="1" x14ac:dyDescent="0.2"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</row>
    <row r="747" spans="7:27" ht="15" customHeight="1" x14ac:dyDescent="0.2"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</row>
    <row r="748" spans="7:27" ht="15" customHeight="1" x14ac:dyDescent="0.2"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</row>
    <row r="749" spans="7:27" ht="15" customHeight="1" x14ac:dyDescent="0.2"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</row>
    <row r="750" spans="7:27" ht="15" customHeight="1" x14ac:dyDescent="0.2"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</row>
    <row r="751" spans="7:27" ht="15" customHeight="1" x14ac:dyDescent="0.2"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</row>
    <row r="752" spans="7:27" ht="15" customHeight="1" x14ac:dyDescent="0.2"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</row>
    <row r="753" spans="7:27" ht="15" customHeight="1" x14ac:dyDescent="0.2"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</row>
    <row r="754" spans="7:27" ht="15" customHeight="1" x14ac:dyDescent="0.2"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</row>
    <row r="755" spans="7:27" ht="15" customHeight="1" x14ac:dyDescent="0.2"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</row>
    <row r="756" spans="7:27" ht="15" customHeight="1" x14ac:dyDescent="0.2"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</row>
    <row r="757" spans="7:27" ht="15" customHeight="1" x14ac:dyDescent="0.2"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</row>
    <row r="758" spans="7:27" ht="15" customHeight="1" x14ac:dyDescent="0.2"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</row>
    <row r="759" spans="7:27" ht="15" customHeight="1" x14ac:dyDescent="0.2"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</row>
    <row r="760" spans="7:27" ht="15" customHeight="1" x14ac:dyDescent="0.2"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MODEL</vt:lpstr>
      <vt:lpstr>MOVING_VOLATILITY_CAGR_CHART</vt:lpstr>
      <vt:lpstr>CAGR_AXIS</vt:lpstr>
      <vt:lpstr>DATE_AXIS</vt:lpstr>
      <vt:lpstr>INPUTS</vt:lpstr>
      <vt:lpstr>POSITION</vt:lpstr>
      <vt:lpstr>VOLATILITY_AXIS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2013-03-10T05:19:12Z</dcterms:modified>
</cp:coreProperties>
</file>