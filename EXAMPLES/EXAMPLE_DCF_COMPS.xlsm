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 defaultThemeVersion="124226"/>
  <bookViews>
    <workbookView xWindow="0" yWindow="120" windowWidth="25440" windowHeight="14775" tabRatio="732"/>
  </bookViews>
  <sheets>
    <sheet name="FORECASTING" sheetId="10" r:id="rId1"/>
    <sheet name="DATA" sheetId="4" r:id="rId2"/>
    <sheet name="COMPS" sheetId="12" r:id="rId3"/>
    <sheet name="CHARTING" sheetId="9" r:id="rId4"/>
  </sheets>
  <externalReferences>
    <externalReference r:id="rId5"/>
  </externalReferences>
  <definedNames>
    <definedName name="__FDS_HYPERLINK_TOGGLE_STATE__" hidden="1">"ON"</definedName>
    <definedName name="_Fill" hidden="1">#REF!</definedName>
    <definedName name="CONTROL_RNG">DATA!$D$2</definedName>
    <definedName name="CURRENCY_RNG">DATA!$D$4</definedName>
    <definedName name="DATA_RNG">DATA!$C$273:$AG$553</definedName>
    <definedName name="Reference_Ticker">COMPS!$C$2</definedName>
    <definedName name="Screen_Inputs">COMPS!$C$4:$C$11</definedName>
    <definedName name="SERVER_RNG">DATA!$D$5</definedName>
    <definedName name="TICKER_RNG">DATA!$D$3</definedName>
  </definedNames>
  <calcPr calcId="145621" iterate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10" l="1"/>
  <c r="C3" i="9" l="1"/>
  <c r="C267" i="10"/>
  <c r="G76" i="10" l="1"/>
  <c r="G195" i="10"/>
  <c r="L76" i="10"/>
  <c r="L195" i="10"/>
  <c r="M195" i="10"/>
  <c r="N195" i="10"/>
  <c r="E75" i="10"/>
  <c r="E194" i="10"/>
  <c r="L74" i="10"/>
  <c r="L193" i="10"/>
  <c r="M193" i="10"/>
  <c r="N193" i="10"/>
  <c r="O193" i="10"/>
  <c r="P193" i="10"/>
  <c r="Q193" i="10"/>
  <c r="R193" i="10"/>
  <c r="S193" i="10"/>
  <c r="T193" i="10"/>
  <c r="U193" i="10"/>
  <c r="V193" i="10"/>
  <c r="W193" i="10"/>
  <c r="X193" i="10"/>
  <c r="Y193" i="10"/>
  <c r="Z193" i="10"/>
  <c r="AA193" i="10"/>
  <c r="AB193" i="10"/>
  <c r="AC193" i="10"/>
  <c r="AD193" i="10"/>
  <c r="AE193" i="10"/>
  <c r="AF193" i="10"/>
  <c r="F71" i="10"/>
  <c r="F191" i="10"/>
  <c r="E71" i="10"/>
  <c r="E191" i="10"/>
  <c r="K69" i="10"/>
  <c r="K190" i="10"/>
  <c r="D69" i="10"/>
  <c r="D190" i="10"/>
  <c r="K63" i="10"/>
  <c r="K187" i="10"/>
  <c r="J63" i="10"/>
  <c r="J187" i="10"/>
  <c r="I63" i="10"/>
  <c r="I187" i="10"/>
  <c r="D60" i="10"/>
  <c r="C60" i="10"/>
  <c r="C185" i="10"/>
  <c r="L59" i="10"/>
  <c r="L184" i="10"/>
  <c r="G57" i="10"/>
  <c r="G183" i="10"/>
  <c r="K50" i="10"/>
  <c r="K179" i="10"/>
  <c r="J50" i="10"/>
  <c r="J179" i="10"/>
  <c r="H50" i="10"/>
  <c r="H179" i="10"/>
  <c r="G48" i="10"/>
  <c r="G178" i="10"/>
  <c r="C48" i="10"/>
  <c r="C178" i="10"/>
  <c r="I43" i="10"/>
  <c r="H43" i="10"/>
  <c r="G43" i="10"/>
  <c r="F43" i="10"/>
  <c r="F175" i="10"/>
  <c r="I40" i="10"/>
  <c r="K38" i="10"/>
  <c r="E38" i="10"/>
  <c r="E172" i="10"/>
  <c r="J36" i="10"/>
  <c r="J171" i="10"/>
  <c r="J34" i="10"/>
  <c r="I34" i="10"/>
  <c r="I170" i="10"/>
  <c r="H34" i="10"/>
  <c r="H170" i="10"/>
  <c r="G34" i="10"/>
  <c r="G170" i="10"/>
  <c r="C24" i="10"/>
  <c r="J22" i="10"/>
  <c r="J157" i="10"/>
  <c r="H22" i="10"/>
  <c r="H157" i="10"/>
  <c r="D22" i="10"/>
  <c r="D157" i="10"/>
  <c r="F19" i="10"/>
  <c r="E19" i="10"/>
  <c r="F16" i="10"/>
  <c r="F153" i="10"/>
  <c r="E13" i="10"/>
  <c r="E151" i="10"/>
  <c r="D13" i="10"/>
  <c r="C151" i="10"/>
  <c r="L11" i="10"/>
  <c r="L150" i="10"/>
  <c r="G11" i="10"/>
  <c r="E8" i="10"/>
  <c r="E148" i="10"/>
  <c r="D8" i="10"/>
  <c r="D148" i="10"/>
  <c r="G6" i="10"/>
  <c r="C285" i="10"/>
  <c r="C286" i="10"/>
  <c r="C280" i="10"/>
  <c r="C279" i="10"/>
  <c r="Y276" i="10"/>
  <c r="Q267" i="10"/>
  <c r="W262" i="10"/>
  <c r="Y258" i="10"/>
  <c r="I206" i="10"/>
  <c r="E206" i="10"/>
  <c r="C206" i="10"/>
  <c r="L205" i="10"/>
  <c r="J205" i="10"/>
  <c r="I205" i="10"/>
  <c r="K203" i="10"/>
  <c r="J203" i="10"/>
  <c r="I203" i="10"/>
  <c r="F203" i="10"/>
  <c r="E203" i="10"/>
  <c r="K202" i="10"/>
  <c r="F202" i="10"/>
  <c r="E202" i="10"/>
  <c r="C202" i="10"/>
  <c r="I201" i="10"/>
  <c r="H201" i="10"/>
  <c r="F201" i="10"/>
  <c r="B167" i="10"/>
  <c r="B143" i="10"/>
  <c r="J142" i="10"/>
  <c r="F142" i="10"/>
  <c r="E142" i="10"/>
  <c r="D142" i="10"/>
  <c r="C142" i="10"/>
  <c r="B136" i="10"/>
  <c r="B135" i="10"/>
  <c r="B134" i="10"/>
  <c r="B133" i="10"/>
  <c r="B131" i="10"/>
  <c r="B130" i="10"/>
  <c r="B125" i="10"/>
  <c r="B122" i="10"/>
  <c r="B121" i="10"/>
  <c r="C119" i="10"/>
  <c r="C219" i="10"/>
  <c r="B119" i="10"/>
  <c r="K113" i="10"/>
  <c r="K111" i="10"/>
  <c r="K110" i="10"/>
  <c r="K107" i="10"/>
  <c r="K105" i="10"/>
  <c r="K100" i="10"/>
  <c r="K99" i="10"/>
  <c r="K98" i="10"/>
  <c r="K97" i="10"/>
  <c r="K95" i="10"/>
  <c r="B72" i="10"/>
  <c r="B61" i="10"/>
  <c r="B58" i="10"/>
  <c r="B49" i="10"/>
  <c r="B41" i="10"/>
  <c r="B35" i="10"/>
  <c r="B25" i="10"/>
  <c r="B14" i="10"/>
  <c r="H202" i="10"/>
  <c r="C205" i="10"/>
  <c r="K206" i="10"/>
  <c r="O280" i="10"/>
  <c r="F8" i="10"/>
  <c r="F148" i="10"/>
  <c r="G16" i="10"/>
  <c r="G153" i="10"/>
  <c r="D24" i="10"/>
  <c r="D158" i="10"/>
  <c r="F38" i="10"/>
  <c r="F172" i="10"/>
  <c r="I45" i="10"/>
  <c r="I176" i="10"/>
  <c r="I57" i="10"/>
  <c r="I183" i="10"/>
  <c r="E67" i="10"/>
  <c r="E189" i="10"/>
  <c r="G75" i="10"/>
  <c r="G194" i="10"/>
  <c r="B17" i="10"/>
  <c r="K92" i="10"/>
  <c r="K108" i="10"/>
  <c r="B123" i="10"/>
  <c r="B142" i="10"/>
  <c r="C201" i="10"/>
  <c r="I202" i="10"/>
  <c r="G205" i="10"/>
  <c r="D252" i="10"/>
  <c r="E252" i="10"/>
  <c r="F252" i="10"/>
  <c r="F263" i="10"/>
  <c r="W280" i="10"/>
  <c r="G8" i="10"/>
  <c r="G148" i="10"/>
  <c r="H16" i="10"/>
  <c r="H153" i="10"/>
  <c r="D34" i="10"/>
  <c r="D170" i="10"/>
  <c r="J38" i="10"/>
  <c r="J172" i="10"/>
  <c r="L45" i="10"/>
  <c r="L176" i="10"/>
  <c r="D59" i="10"/>
  <c r="D184" i="10"/>
  <c r="F67" i="10"/>
  <c r="F189" i="10"/>
  <c r="S259" i="10"/>
  <c r="F75" i="10"/>
  <c r="F194" i="10"/>
  <c r="L63" i="10"/>
  <c r="L187" i="10"/>
  <c r="J71" i="10"/>
  <c r="J191" i="10"/>
  <c r="C85" i="10"/>
  <c r="C161" i="10"/>
  <c r="F48" i="10"/>
  <c r="J59" i="10"/>
  <c r="J184" i="10"/>
  <c r="L65" i="10"/>
  <c r="L188" i="10"/>
  <c r="C255" i="10"/>
  <c r="L71" i="10"/>
  <c r="L191" i="10"/>
  <c r="F85" i="10"/>
  <c r="F161" i="10"/>
  <c r="D63" i="10"/>
  <c r="D187" i="10"/>
  <c r="L67" i="10"/>
  <c r="L189" i="10"/>
  <c r="D75" i="10"/>
  <c r="D194" i="10"/>
  <c r="I85" i="10"/>
  <c r="I161" i="10"/>
  <c r="J8" i="10"/>
  <c r="J148" i="10"/>
  <c r="L13" i="10"/>
  <c r="L151" i="10"/>
  <c r="C258" i="10"/>
  <c r="G19" i="10"/>
  <c r="G155" i="10"/>
  <c r="E24" i="10"/>
  <c r="E158" i="10"/>
  <c r="G36" i="10"/>
  <c r="G171" i="10"/>
  <c r="E40" i="10"/>
  <c r="E173" i="10"/>
  <c r="J43" i="10"/>
  <c r="L48" i="10"/>
  <c r="L178" i="10"/>
  <c r="J57" i="10"/>
  <c r="J183" i="10"/>
  <c r="H60" i="10"/>
  <c r="H185" i="10"/>
  <c r="I65" i="10"/>
  <c r="I188" i="10"/>
  <c r="E69" i="10"/>
  <c r="E190" i="10"/>
  <c r="C74" i="10"/>
  <c r="C193" i="10"/>
  <c r="D76" i="10"/>
  <c r="D195" i="10"/>
  <c r="L85" i="10"/>
  <c r="L161" i="10"/>
  <c r="D6" i="10"/>
  <c r="D147" i="10"/>
  <c r="D149" i="10"/>
  <c r="C11" i="10"/>
  <c r="C150" i="10"/>
  <c r="C16" i="10"/>
  <c r="C153" i="10"/>
  <c r="I19" i="10"/>
  <c r="I155" i="10"/>
  <c r="H24" i="10"/>
  <c r="H158" i="10"/>
  <c r="H36" i="10"/>
  <c r="H171" i="10"/>
  <c r="F40" i="10"/>
  <c r="F173" i="10"/>
  <c r="L43" i="10"/>
  <c r="L47" i="10"/>
  <c r="C50" i="10"/>
  <c r="C179" i="10"/>
  <c r="K57" i="10"/>
  <c r="K183" i="10"/>
  <c r="J60" i="10"/>
  <c r="J185" i="10"/>
  <c r="J65" i="10"/>
  <c r="J188" i="10"/>
  <c r="F69" i="10"/>
  <c r="F190" i="10"/>
  <c r="D74" i="10"/>
  <c r="D193" i="10"/>
  <c r="E76" i="10"/>
  <c r="E195" i="10"/>
  <c r="D274" i="10"/>
  <c r="C274" i="10"/>
  <c r="F6" i="10"/>
  <c r="F44" i="10"/>
  <c r="F130" i="10"/>
  <c r="F11" i="10"/>
  <c r="F150" i="10"/>
  <c r="D16" i="10"/>
  <c r="D153" i="10"/>
  <c r="C22" i="10"/>
  <c r="C157" i="10"/>
  <c r="C34" i="10"/>
  <c r="C170" i="10"/>
  <c r="I36" i="10"/>
  <c r="I171" i="10"/>
  <c r="H40" i="10"/>
  <c r="H173" i="10"/>
  <c r="H45" i="10"/>
  <c r="H176" i="10"/>
  <c r="F50" i="10"/>
  <c r="F179" i="10"/>
  <c r="L57" i="10"/>
  <c r="L183" i="10"/>
  <c r="C63" i="10"/>
  <c r="C187" i="10"/>
  <c r="K65" i="10"/>
  <c r="K188" i="10"/>
  <c r="J69" i="10"/>
  <c r="J190" i="10"/>
  <c r="K74" i="10"/>
  <c r="K193" i="10"/>
  <c r="F76" i="10"/>
  <c r="F195" i="10"/>
  <c r="Q4" i="10"/>
  <c r="Q31" i="10"/>
  <c r="K85" i="10"/>
  <c r="K161" i="10"/>
  <c r="K76" i="10"/>
  <c r="K195" i="10"/>
  <c r="J75" i="10"/>
  <c r="J194" i="10"/>
  <c r="I74" i="10"/>
  <c r="I193" i="10"/>
  <c r="I71" i="10"/>
  <c r="I191" i="10"/>
  <c r="H69" i="10"/>
  <c r="H190" i="10"/>
  <c r="H67" i="10"/>
  <c r="H189" i="10"/>
  <c r="H65" i="10"/>
  <c r="H66" i="10"/>
  <c r="H138" i="10"/>
  <c r="H63" i="10"/>
  <c r="H187" i="10"/>
  <c r="G60" i="10"/>
  <c r="G185" i="10"/>
  <c r="F59" i="10"/>
  <c r="F184" i="10"/>
  <c r="F57" i="10"/>
  <c r="F183" i="10"/>
  <c r="E50" i="10"/>
  <c r="E179" i="10"/>
  <c r="E48" i="10"/>
  <c r="E178" i="10"/>
  <c r="E45" i="10"/>
  <c r="E176" i="10"/>
  <c r="D43" i="10"/>
  <c r="D175" i="10"/>
  <c r="D40" i="10"/>
  <c r="D173" i="10"/>
  <c r="C38" i="10"/>
  <c r="C172" i="10"/>
  <c r="L34" i="10"/>
  <c r="L170" i="10"/>
  <c r="D269" i="10"/>
  <c r="E269" i="10"/>
  <c r="C269" i="10"/>
  <c r="L24" i="10"/>
  <c r="L158" i="10"/>
  <c r="L22" i="10"/>
  <c r="L157" i="10"/>
  <c r="L19" i="10"/>
  <c r="L155" i="10"/>
  <c r="K16" i="10"/>
  <c r="K153" i="10"/>
  <c r="K13" i="10"/>
  <c r="K151" i="10"/>
  <c r="J11" i="10"/>
  <c r="J150" i="10"/>
  <c r="I8" i="10"/>
  <c r="I148" i="10"/>
  <c r="I6" i="10"/>
  <c r="I147" i="10"/>
  <c r="Y285" i="10"/>
  <c r="O271" i="10"/>
  <c r="H206" i="10"/>
  <c r="H205" i="10"/>
  <c r="G203" i="10"/>
  <c r="G202" i="10"/>
  <c r="G201" i="10"/>
  <c r="I142" i="10"/>
  <c r="B137" i="10"/>
  <c r="B127" i="10"/>
  <c r="M118" i="10"/>
  <c r="K106" i="10"/>
  <c r="K96" i="10"/>
  <c r="B68" i="10"/>
  <c r="P4" i="10"/>
  <c r="J85" i="10"/>
  <c r="J161" i="10"/>
  <c r="J76" i="10"/>
  <c r="J195" i="10"/>
  <c r="H75" i="10"/>
  <c r="H194" i="10"/>
  <c r="H74" i="10"/>
  <c r="H193" i="10"/>
  <c r="H71" i="10"/>
  <c r="H191" i="10"/>
  <c r="G69" i="10"/>
  <c r="G190" i="10"/>
  <c r="G67" i="10"/>
  <c r="G189" i="10"/>
  <c r="G65" i="10"/>
  <c r="G66" i="10"/>
  <c r="G138" i="10"/>
  <c r="F63" i="10"/>
  <c r="F187" i="10"/>
  <c r="E60" i="10"/>
  <c r="E185" i="10"/>
  <c r="E59" i="10"/>
  <c r="E184" i="10"/>
  <c r="D57" i="10"/>
  <c r="D183" i="10"/>
  <c r="D50" i="10"/>
  <c r="D179" i="10"/>
  <c r="D48" i="10"/>
  <c r="D178" i="10"/>
  <c r="D45" i="10"/>
  <c r="D176" i="10"/>
  <c r="C43" i="10"/>
  <c r="C14" i="10"/>
  <c r="C122" i="10"/>
  <c r="L38" i="10"/>
  <c r="L172" i="10"/>
  <c r="L36" i="10"/>
  <c r="L171" i="10"/>
  <c r="K34" i="10"/>
  <c r="K170" i="10"/>
  <c r="K24" i="10"/>
  <c r="K158" i="10"/>
  <c r="K22" i="10"/>
  <c r="K157" i="10"/>
  <c r="J19" i="10"/>
  <c r="J155" i="10"/>
  <c r="J16" i="10"/>
  <c r="J153" i="10"/>
  <c r="I13" i="10"/>
  <c r="I151" i="10"/>
  <c r="H11" i="10"/>
  <c r="H150" i="10"/>
  <c r="H8" i="10"/>
  <c r="H148" i="10"/>
  <c r="H6" i="10"/>
  <c r="H51" i="10"/>
  <c r="H131" i="10"/>
  <c r="B44" i="10"/>
  <c r="K102" i="10"/>
  <c r="K114" i="10"/>
  <c r="B126" i="10"/>
  <c r="B139" i="10"/>
  <c r="K142" i="10"/>
  <c r="J201" i="10"/>
  <c r="L202" i="10"/>
  <c r="D205" i="10"/>
  <c r="F206" i="10"/>
  <c r="Y267" i="10"/>
  <c r="O289" i="10"/>
  <c r="J6" i="10"/>
  <c r="J35" i="10"/>
  <c r="J126" i="10"/>
  <c r="D11" i="10"/>
  <c r="D150" i="10"/>
  <c r="F13" i="10"/>
  <c r="F151" i="10"/>
  <c r="L16" i="10"/>
  <c r="E22" i="10"/>
  <c r="E157" i="10"/>
  <c r="I24" i="10"/>
  <c r="I158" i="10"/>
  <c r="D36" i="10"/>
  <c r="D171" i="10"/>
  <c r="G38" i="10"/>
  <c r="G39" i="10"/>
  <c r="G127" i="10"/>
  <c r="J40" i="10"/>
  <c r="J173" i="10"/>
  <c r="F45" i="10"/>
  <c r="F47" i="10"/>
  <c r="H48" i="10"/>
  <c r="H178" i="10"/>
  <c r="L50" i="10"/>
  <c r="L179" i="10"/>
  <c r="H59" i="10"/>
  <c r="H184" i="10"/>
  <c r="K60" i="10"/>
  <c r="K185" i="10"/>
  <c r="C65" i="10"/>
  <c r="C188" i="10"/>
  <c r="I67" i="10"/>
  <c r="I189" i="10"/>
  <c r="C71" i="10"/>
  <c r="C191" i="10"/>
  <c r="F74" i="10"/>
  <c r="F193" i="10"/>
  <c r="L75" i="10"/>
  <c r="L194" i="10"/>
  <c r="L196" i="10"/>
  <c r="D85" i="10"/>
  <c r="D161" i="10"/>
  <c r="N4" i="10"/>
  <c r="N82" i="10"/>
  <c r="B9" i="10"/>
  <c r="B46" i="10"/>
  <c r="K91" i="10"/>
  <c r="K104" i="10"/>
  <c r="K115" i="10"/>
  <c r="B128" i="10"/>
  <c r="B141" i="10"/>
  <c r="L142" i="10"/>
  <c r="K201" i="10"/>
  <c r="D203" i="10"/>
  <c r="E205" i="10"/>
  <c r="G206" i="10"/>
  <c r="Q276" i="10"/>
  <c r="W289" i="10"/>
  <c r="K6" i="10"/>
  <c r="K147" i="10"/>
  <c r="E11" i="10"/>
  <c r="E150" i="10"/>
  <c r="H13" i="10"/>
  <c r="H151" i="10"/>
  <c r="D19" i="10"/>
  <c r="D155" i="10"/>
  <c r="F22" i="10"/>
  <c r="F157" i="10"/>
  <c r="J24" i="10"/>
  <c r="J158" i="10"/>
  <c r="F36" i="10"/>
  <c r="F171" i="10"/>
  <c r="H38" i="10"/>
  <c r="H172" i="10"/>
  <c r="K40" i="10"/>
  <c r="K173" i="10"/>
  <c r="G45" i="10"/>
  <c r="G176" i="10"/>
  <c r="K48" i="10"/>
  <c r="K178" i="10"/>
  <c r="C57" i="10"/>
  <c r="C183" i="10"/>
  <c r="I59" i="10"/>
  <c r="I184" i="10"/>
  <c r="L60" i="10"/>
  <c r="L185" i="10"/>
  <c r="F65" i="10"/>
  <c r="F188" i="10"/>
  <c r="J67" i="10"/>
  <c r="J189" i="10"/>
  <c r="D71" i="10"/>
  <c r="D191" i="10"/>
  <c r="G74" i="10"/>
  <c r="G193" i="10"/>
  <c r="C76" i="10"/>
  <c r="C195" i="10"/>
  <c r="E85" i="10"/>
  <c r="E161" i="10"/>
  <c r="O4" i="10"/>
  <c r="B12" i="10"/>
  <c r="B39" i="10"/>
  <c r="B70" i="10"/>
  <c r="K94" i="10"/>
  <c r="K103" i="10"/>
  <c r="K112" i="10"/>
  <c r="B120" i="10"/>
  <c r="B129" i="10"/>
  <c r="B138" i="10"/>
  <c r="G142" i="10"/>
  <c r="E201" i="10"/>
  <c r="D202" i="10"/>
  <c r="C203" i="10"/>
  <c r="L203" i="10"/>
  <c r="K205" i="10"/>
  <c r="J206" i="10"/>
  <c r="W271" i="10"/>
  <c r="Q285" i="10"/>
  <c r="C6" i="10"/>
  <c r="C35" i="10"/>
  <c r="C126" i="10"/>
  <c r="L6" i="10"/>
  <c r="L147" i="10"/>
  <c r="L8" i="10"/>
  <c r="L148" i="10"/>
  <c r="K11" i="10"/>
  <c r="K150" i="10"/>
  <c r="J13" i="10"/>
  <c r="I16" i="10"/>
  <c r="I153" i="10"/>
  <c r="H19" i="10"/>
  <c r="H155" i="10"/>
  <c r="G22" i="10"/>
  <c r="G157" i="10"/>
  <c r="F24" i="10"/>
  <c r="F158" i="10"/>
  <c r="F34" i="10"/>
  <c r="F170" i="10"/>
  <c r="E36" i="10"/>
  <c r="E171" i="10"/>
  <c r="D38" i="10"/>
  <c r="D172" i="10"/>
  <c r="C40" i="10"/>
  <c r="C173" i="10"/>
  <c r="L40" i="10"/>
  <c r="L173" i="10"/>
  <c r="K43" i="10"/>
  <c r="J45" i="10"/>
  <c r="J176" i="10"/>
  <c r="J48" i="10"/>
  <c r="J178" i="10"/>
  <c r="I50" i="10"/>
  <c r="I179" i="10"/>
  <c r="H57" i="10"/>
  <c r="G59" i="10"/>
  <c r="G184" i="10"/>
  <c r="F60" i="10"/>
  <c r="F185" i="10"/>
  <c r="E63" i="10"/>
  <c r="E187" i="10"/>
  <c r="D65" i="10"/>
  <c r="D188" i="10"/>
  <c r="D67" i="10"/>
  <c r="D189" i="10"/>
  <c r="C69" i="10"/>
  <c r="C190" i="10"/>
  <c r="L69" i="10"/>
  <c r="L190" i="10"/>
  <c r="K71" i="10"/>
  <c r="K191" i="10"/>
  <c r="J74" i="10"/>
  <c r="J193" i="10"/>
  <c r="I75" i="10"/>
  <c r="I194" i="10"/>
  <c r="H76" i="10"/>
  <c r="H195" i="10"/>
  <c r="H85" i="10"/>
  <c r="H161" i="10"/>
  <c r="L4" i="10"/>
  <c r="L31" i="10"/>
  <c r="L153" i="10"/>
  <c r="B37" i="10"/>
  <c r="B51" i="10"/>
  <c r="K93" i="10"/>
  <c r="K101" i="10"/>
  <c r="K109" i="10"/>
  <c r="K118" i="10"/>
  <c r="J118" i="10"/>
  <c r="I118" i="10"/>
  <c r="H118" i="10"/>
  <c r="G118" i="10"/>
  <c r="F118" i="10"/>
  <c r="E118" i="10"/>
  <c r="D118" i="10"/>
  <c r="B124" i="10"/>
  <c r="B132" i="10"/>
  <c r="B140" i="10"/>
  <c r="H142" i="10"/>
  <c r="D201" i="10"/>
  <c r="L201" i="10"/>
  <c r="J202" i="10"/>
  <c r="H203" i="10"/>
  <c r="F205" i="10"/>
  <c r="D206" i="10"/>
  <c r="L206" i="10"/>
  <c r="E6" i="10"/>
  <c r="C8" i="10"/>
  <c r="C148" i="10"/>
  <c r="K8" i="10"/>
  <c r="K148" i="10"/>
  <c r="I11" i="10"/>
  <c r="G13" i="10"/>
  <c r="G151" i="10"/>
  <c r="E16" i="10"/>
  <c r="E153" i="10"/>
  <c r="C19" i="10"/>
  <c r="K19" i="10"/>
  <c r="I22" i="10"/>
  <c r="I157" i="10"/>
  <c r="G24" i="10"/>
  <c r="G158" i="10"/>
  <c r="E34" i="10"/>
  <c r="C36" i="10"/>
  <c r="C171" i="10"/>
  <c r="K36" i="10"/>
  <c r="K171" i="10"/>
  <c r="I38" i="10"/>
  <c r="I172" i="10"/>
  <c r="G40" i="10"/>
  <c r="G41" i="10"/>
  <c r="G129" i="10"/>
  <c r="E43" i="10"/>
  <c r="C45" i="10"/>
  <c r="C176" i="10"/>
  <c r="K45" i="10"/>
  <c r="K176" i="10"/>
  <c r="I48" i="10"/>
  <c r="I178" i="10"/>
  <c r="G50" i="10"/>
  <c r="G179" i="10"/>
  <c r="E57" i="10"/>
  <c r="E183" i="10"/>
  <c r="C59" i="10"/>
  <c r="C184" i="10"/>
  <c r="K59" i="10"/>
  <c r="K184" i="10"/>
  <c r="I60" i="10"/>
  <c r="I185" i="10"/>
  <c r="G63" i="10"/>
  <c r="E65" i="10"/>
  <c r="E188" i="10"/>
  <c r="C67" i="10"/>
  <c r="K67" i="10"/>
  <c r="K189" i="10"/>
  <c r="I69" i="10"/>
  <c r="G71" i="10"/>
  <c r="G191" i="10"/>
  <c r="E74" i="10"/>
  <c r="E193" i="10"/>
  <c r="C75" i="10"/>
  <c r="C194" i="10"/>
  <c r="K75" i="10"/>
  <c r="K194" i="10"/>
  <c r="I76" i="10"/>
  <c r="I195" i="10"/>
  <c r="G85" i="10"/>
  <c r="G161" i="10"/>
  <c r="G49" i="10"/>
  <c r="G137" i="10"/>
  <c r="G58" i="10"/>
  <c r="G132" i="10"/>
  <c r="K70" i="10"/>
  <c r="K133" i="10"/>
  <c r="G44" i="10"/>
  <c r="G130" i="10"/>
  <c r="K35" i="10"/>
  <c r="K126" i="10"/>
  <c r="D151" i="10"/>
  <c r="C281" i="10"/>
  <c r="G175" i="10"/>
  <c r="K172" i="10"/>
  <c r="G147" i="10"/>
  <c r="G150" i="10"/>
  <c r="G12" i="10"/>
  <c r="G121" i="10"/>
  <c r="E155" i="10"/>
  <c r="G35" i="10"/>
  <c r="G126" i="10"/>
  <c r="J170" i="10"/>
  <c r="I173" i="10"/>
  <c r="C158" i="10"/>
  <c r="I175" i="10"/>
  <c r="F155" i="10"/>
  <c r="H175" i="10"/>
  <c r="D185" i="10"/>
  <c r="C271" i="10"/>
  <c r="O195" i="10"/>
  <c r="P254" i="4"/>
  <c r="P266" i="4"/>
  <c r="P240" i="4"/>
  <c r="P252" i="4"/>
  <c r="P226" i="4"/>
  <c r="P238" i="4"/>
  <c r="P212" i="4"/>
  <c r="P224" i="4"/>
  <c r="R255" i="4"/>
  <c r="S255" i="4"/>
  <c r="T255" i="4"/>
  <c r="U255" i="4"/>
  <c r="V255" i="4"/>
  <c r="W255" i="4"/>
  <c r="X255" i="4"/>
  <c r="Y255" i="4"/>
  <c r="Z255" i="4"/>
  <c r="R241" i="4"/>
  <c r="S241" i="4"/>
  <c r="T241" i="4"/>
  <c r="U241" i="4"/>
  <c r="V241" i="4"/>
  <c r="W241" i="4"/>
  <c r="X241" i="4"/>
  <c r="Y241" i="4"/>
  <c r="Z241" i="4"/>
  <c r="R227" i="4"/>
  <c r="S227" i="4"/>
  <c r="T227" i="4"/>
  <c r="U227" i="4"/>
  <c r="V227" i="4"/>
  <c r="W227" i="4"/>
  <c r="X227" i="4"/>
  <c r="Y227" i="4"/>
  <c r="Z227" i="4"/>
  <c r="R213" i="4"/>
  <c r="S213" i="4"/>
  <c r="T213" i="4"/>
  <c r="U213" i="4"/>
  <c r="V213" i="4"/>
  <c r="W213" i="4"/>
  <c r="X213" i="4"/>
  <c r="Y213" i="4"/>
  <c r="Z213" i="4"/>
  <c r="D254" i="4"/>
  <c r="D266" i="4"/>
  <c r="F255" i="4"/>
  <c r="G255" i="4"/>
  <c r="H255" i="4"/>
  <c r="I255" i="4"/>
  <c r="J255" i="4"/>
  <c r="K255" i="4"/>
  <c r="L255" i="4"/>
  <c r="M255" i="4"/>
  <c r="N255" i="4"/>
  <c r="D240" i="4"/>
  <c r="D252" i="4"/>
  <c r="D226" i="4"/>
  <c r="D238" i="4"/>
  <c r="F241" i="4"/>
  <c r="G241" i="4"/>
  <c r="H241" i="4"/>
  <c r="I241" i="4"/>
  <c r="J241" i="4"/>
  <c r="K241" i="4"/>
  <c r="L241" i="4"/>
  <c r="M241" i="4"/>
  <c r="N241" i="4"/>
  <c r="F227" i="4"/>
  <c r="G227" i="4"/>
  <c r="H227" i="4"/>
  <c r="I227" i="4"/>
  <c r="J227" i="4"/>
  <c r="K227" i="4"/>
  <c r="L227" i="4"/>
  <c r="M227" i="4"/>
  <c r="N227" i="4"/>
  <c r="F213" i="4"/>
  <c r="G213" i="4"/>
  <c r="H213" i="4"/>
  <c r="I213" i="4"/>
  <c r="J213" i="4"/>
  <c r="K213" i="4"/>
  <c r="L213" i="4"/>
  <c r="M213" i="4"/>
  <c r="N213" i="4"/>
  <c r="D212" i="4"/>
  <c r="D224" i="4"/>
  <c r="D150" i="4"/>
  <c r="D48" i="4"/>
  <c r="D186" i="4"/>
  <c r="D108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D202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AG188" i="4"/>
  <c r="AG105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M110" i="4"/>
  <c r="L188" i="4"/>
  <c r="L110" i="4"/>
  <c r="K188" i="4"/>
  <c r="K110" i="4"/>
  <c r="J188" i="4"/>
  <c r="I188" i="4"/>
  <c r="I110" i="4"/>
  <c r="H188" i="4"/>
  <c r="H110" i="4"/>
  <c r="G188" i="4"/>
  <c r="G110" i="4"/>
  <c r="F188" i="4"/>
  <c r="F110" i="4"/>
  <c r="E188" i="4"/>
  <c r="E110" i="4"/>
  <c r="D188" i="4"/>
  <c r="D110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L108" i="4"/>
  <c r="K186" i="4"/>
  <c r="J186" i="4"/>
  <c r="J108" i="4"/>
  <c r="I186" i="4"/>
  <c r="I108" i="4"/>
  <c r="H186" i="4"/>
  <c r="G186" i="4"/>
  <c r="G108" i="4"/>
  <c r="F186" i="4"/>
  <c r="F108" i="4"/>
  <c r="E186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AG177" i="4"/>
  <c r="AG11" i="4"/>
  <c r="AF177" i="4"/>
  <c r="AF11" i="4"/>
  <c r="AE177" i="4"/>
  <c r="AE12" i="4" s="1"/>
  <c r="AE11" i="4"/>
  <c r="AD177" i="4"/>
  <c r="AD12" i="4" s="1"/>
  <c r="AD11" i="4"/>
  <c r="AC177" i="4"/>
  <c r="AC12" i="4" s="1"/>
  <c r="AC11" i="4"/>
  <c r="AB177" i="4"/>
  <c r="AB11" i="4"/>
  <c r="AA177" i="4"/>
  <c r="AA11" i="4"/>
  <c r="Z177" i="4"/>
  <c r="Z12" i="4" s="1"/>
  <c r="Z11" i="4"/>
  <c r="Y177" i="4"/>
  <c r="Y11" i="4"/>
  <c r="X177" i="4"/>
  <c r="X11" i="4"/>
  <c r="W177" i="4"/>
  <c r="W11" i="4"/>
  <c r="V177" i="4"/>
  <c r="V12" i="4" s="1"/>
  <c r="V11" i="4"/>
  <c r="U177" i="4"/>
  <c r="U11" i="4"/>
  <c r="T177" i="4"/>
  <c r="T11" i="4"/>
  <c r="S177" i="4"/>
  <c r="S11" i="4"/>
  <c r="R177" i="4"/>
  <c r="R12" i="4" s="1"/>
  <c r="R11" i="4"/>
  <c r="Q177" i="4"/>
  <c r="Q11" i="4"/>
  <c r="P177" i="4"/>
  <c r="P11" i="4"/>
  <c r="O177" i="4"/>
  <c r="O11" i="4"/>
  <c r="N177" i="4"/>
  <c r="N12" i="4" s="1"/>
  <c r="N11" i="4"/>
  <c r="M177" i="4"/>
  <c r="M11" i="4"/>
  <c r="L177" i="4"/>
  <c r="L12" i="4" s="1"/>
  <c r="L11" i="4"/>
  <c r="K177" i="4"/>
  <c r="K11" i="4"/>
  <c r="J177" i="4"/>
  <c r="J12" i="4" s="1"/>
  <c r="J11" i="4"/>
  <c r="I177" i="4"/>
  <c r="I11" i="4"/>
  <c r="H177" i="4"/>
  <c r="H12" i="4" s="1"/>
  <c r="H11" i="4"/>
  <c r="G177" i="4"/>
  <c r="G11" i="4"/>
  <c r="F177" i="4"/>
  <c r="F12" i="4" s="1"/>
  <c r="F11" i="4"/>
  <c r="E177" i="4"/>
  <c r="E11" i="4"/>
  <c r="D177" i="4"/>
  <c r="D11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AG168" i="4"/>
  <c r="AG74" i="4"/>
  <c r="AF168" i="4"/>
  <c r="AF74" i="4"/>
  <c r="AE168" i="4"/>
  <c r="AE74" i="4"/>
  <c r="AD168" i="4"/>
  <c r="AD74" i="4"/>
  <c r="AC168" i="4"/>
  <c r="AC74" i="4"/>
  <c r="AB168" i="4"/>
  <c r="AB74" i="4"/>
  <c r="AA168" i="4"/>
  <c r="AA74" i="4"/>
  <c r="Z168" i="4"/>
  <c r="Z74" i="4"/>
  <c r="Y168" i="4"/>
  <c r="Y74" i="4"/>
  <c r="X168" i="4"/>
  <c r="X74" i="4"/>
  <c r="W168" i="4"/>
  <c r="W74" i="4"/>
  <c r="V168" i="4"/>
  <c r="V74" i="4"/>
  <c r="U168" i="4"/>
  <c r="U74" i="4"/>
  <c r="T168" i="4"/>
  <c r="T74" i="4"/>
  <c r="S168" i="4"/>
  <c r="R168" i="4"/>
  <c r="R74" i="4"/>
  <c r="Q168" i="4"/>
  <c r="P168" i="4"/>
  <c r="P74" i="4"/>
  <c r="O168" i="4"/>
  <c r="O74" i="4"/>
  <c r="N168" i="4"/>
  <c r="N74" i="4"/>
  <c r="M168" i="4"/>
  <c r="M74" i="4"/>
  <c r="M58" i="4"/>
  <c r="M59" i="4"/>
  <c r="M60" i="4"/>
  <c r="L168" i="4"/>
  <c r="L74" i="4"/>
  <c r="K168" i="4"/>
  <c r="K74" i="4"/>
  <c r="K58" i="4"/>
  <c r="J168" i="4"/>
  <c r="J74" i="4"/>
  <c r="I168" i="4"/>
  <c r="I74" i="4"/>
  <c r="I58" i="4"/>
  <c r="H168" i="4"/>
  <c r="H74" i="4"/>
  <c r="G168" i="4"/>
  <c r="G74" i="4"/>
  <c r="F168" i="4"/>
  <c r="E168" i="4"/>
  <c r="E74" i="4"/>
  <c r="E58" i="4"/>
  <c r="D168" i="4"/>
  <c r="D74" i="4"/>
  <c r="D58" i="4"/>
  <c r="D59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AG161" i="4"/>
  <c r="AF161" i="4"/>
  <c r="AE161" i="4"/>
  <c r="AD161" i="4"/>
  <c r="AD70" i="4"/>
  <c r="AC161" i="4"/>
  <c r="AC70" i="4"/>
  <c r="AB161" i="4"/>
  <c r="AB70" i="4"/>
  <c r="AA161" i="4"/>
  <c r="AA70" i="4"/>
  <c r="AA71" i="4"/>
  <c r="Z161" i="4"/>
  <c r="Y161" i="4"/>
  <c r="Y70" i="4"/>
  <c r="X161" i="4"/>
  <c r="X70" i="4"/>
  <c r="W161" i="4"/>
  <c r="W70" i="4"/>
  <c r="V161" i="4"/>
  <c r="V70" i="4"/>
  <c r="U161" i="4"/>
  <c r="U70" i="4"/>
  <c r="T161" i="4"/>
  <c r="S161" i="4"/>
  <c r="R161" i="4"/>
  <c r="R70" i="4"/>
  <c r="Q161" i="4"/>
  <c r="P161" i="4"/>
  <c r="P70" i="4"/>
  <c r="O161" i="4"/>
  <c r="O70" i="4"/>
  <c r="N161" i="4"/>
  <c r="N70" i="4"/>
  <c r="M161" i="4"/>
  <c r="M70" i="4"/>
  <c r="L161" i="4"/>
  <c r="L70" i="4"/>
  <c r="K161" i="4"/>
  <c r="K70" i="4"/>
  <c r="J161" i="4"/>
  <c r="J70" i="4"/>
  <c r="I161" i="4"/>
  <c r="I70" i="4"/>
  <c r="H161" i="4"/>
  <c r="H70" i="4"/>
  <c r="G161" i="4"/>
  <c r="G70" i="4"/>
  <c r="F161" i="4"/>
  <c r="F70" i="4"/>
  <c r="E161" i="4"/>
  <c r="D161" i="4"/>
  <c r="D70" i="4"/>
  <c r="AG160" i="4"/>
  <c r="AG204" i="4"/>
  <c r="AF160" i="4"/>
  <c r="AF204" i="4"/>
  <c r="AE160" i="4"/>
  <c r="AD160" i="4"/>
  <c r="AC160" i="4"/>
  <c r="AB160" i="4"/>
  <c r="AA160" i="4"/>
  <c r="AA204" i="4"/>
  <c r="Z160" i="4"/>
  <c r="Y160" i="4"/>
  <c r="Y68" i="4"/>
  <c r="X160" i="4"/>
  <c r="W160" i="4"/>
  <c r="V160" i="4"/>
  <c r="U160" i="4"/>
  <c r="T160" i="4"/>
  <c r="T68" i="4"/>
  <c r="S160" i="4"/>
  <c r="S68" i="4"/>
  <c r="R160" i="4"/>
  <c r="R68" i="4"/>
  <c r="Q160" i="4"/>
  <c r="Q204" i="4"/>
  <c r="P160" i="4"/>
  <c r="P68" i="4"/>
  <c r="O160" i="4"/>
  <c r="O204" i="4"/>
  <c r="N160" i="4"/>
  <c r="N204" i="4"/>
  <c r="M160" i="4"/>
  <c r="M118" i="4"/>
  <c r="L160" i="4"/>
  <c r="L43" i="4"/>
  <c r="K160" i="4"/>
  <c r="K43" i="4"/>
  <c r="J160" i="4"/>
  <c r="J68" i="4"/>
  <c r="I160" i="4"/>
  <c r="I118" i="4"/>
  <c r="H160" i="4"/>
  <c r="H204" i="4"/>
  <c r="G160" i="4"/>
  <c r="G68" i="4"/>
  <c r="F160" i="4"/>
  <c r="F204" i="4"/>
  <c r="E160" i="4"/>
  <c r="E204" i="4"/>
  <c r="D160" i="4"/>
  <c r="D43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AG150" i="4"/>
  <c r="AF150" i="4"/>
  <c r="AE150" i="4"/>
  <c r="AD150" i="4"/>
  <c r="AD102" i="4"/>
  <c r="AC150" i="4"/>
  <c r="AB150" i="4"/>
  <c r="Y48" i="4"/>
  <c r="AA150" i="4"/>
  <c r="Z150" i="4"/>
  <c r="Y150" i="4"/>
  <c r="X150" i="4"/>
  <c r="W150" i="4"/>
  <c r="T48" i="4"/>
  <c r="V150" i="4"/>
  <c r="S48" i="4"/>
  <c r="U150" i="4"/>
  <c r="R48" i="4"/>
  <c r="T150" i="4"/>
  <c r="S150" i="4"/>
  <c r="P48" i="4"/>
  <c r="R150" i="4"/>
  <c r="R102" i="4"/>
  <c r="Q150" i="4"/>
  <c r="P150" i="4"/>
  <c r="P102" i="4"/>
  <c r="O150" i="4"/>
  <c r="N150" i="4"/>
  <c r="M150" i="4"/>
  <c r="M48" i="4"/>
  <c r="L150" i="4"/>
  <c r="L102" i="4"/>
  <c r="K150" i="4"/>
  <c r="J150" i="4"/>
  <c r="J102" i="4"/>
  <c r="I150" i="4"/>
  <c r="I102" i="4"/>
  <c r="H150" i="4"/>
  <c r="H102" i="4"/>
  <c r="G150" i="4"/>
  <c r="G102" i="4"/>
  <c r="F150" i="4"/>
  <c r="E150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AG147" i="4"/>
  <c r="AF147" i="4"/>
  <c r="AF115" i="4"/>
  <c r="AE147" i="4"/>
  <c r="AE115" i="4"/>
  <c r="AD147" i="4"/>
  <c r="AD115" i="4"/>
  <c r="AC147" i="4"/>
  <c r="AC115" i="4"/>
  <c r="AB147" i="4"/>
  <c r="AA147" i="4"/>
  <c r="AA115" i="4"/>
  <c r="Z147" i="4"/>
  <c r="Y147" i="4"/>
  <c r="Y115" i="4"/>
  <c r="X147" i="4"/>
  <c r="X115" i="4"/>
  <c r="W147" i="4"/>
  <c r="W115" i="4"/>
  <c r="V147" i="4"/>
  <c r="V115" i="4"/>
  <c r="U147" i="4"/>
  <c r="T147" i="4"/>
  <c r="T115" i="4"/>
  <c r="S147" i="4"/>
  <c r="S115" i="4"/>
  <c r="R147" i="4"/>
  <c r="R115" i="4"/>
  <c r="Q147" i="4"/>
  <c r="P147" i="4"/>
  <c r="O147" i="4"/>
  <c r="O115" i="4"/>
  <c r="N147" i="4"/>
  <c r="M147" i="4"/>
  <c r="M115" i="4"/>
  <c r="L147" i="4"/>
  <c r="L115" i="4"/>
  <c r="K147" i="4"/>
  <c r="K115" i="4"/>
  <c r="J147" i="4"/>
  <c r="J115" i="4"/>
  <c r="I147" i="4"/>
  <c r="I115" i="4"/>
  <c r="H147" i="4"/>
  <c r="H115" i="4"/>
  <c r="G147" i="4"/>
  <c r="G115" i="4"/>
  <c r="F147" i="4"/>
  <c r="E147" i="4"/>
  <c r="E115" i="4"/>
  <c r="D147" i="4"/>
  <c r="D115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AG142" i="4"/>
  <c r="AF142" i="4"/>
  <c r="AF62" i="4"/>
  <c r="AE142" i="4"/>
  <c r="AE62" i="4"/>
  <c r="AD142" i="4"/>
  <c r="AD62" i="4"/>
  <c r="AC142" i="4"/>
  <c r="AC62" i="4"/>
  <c r="AB142" i="4"/>
  <c r="AB62" i="4"/>
  <c r="AA142" i="4"/>
  <c r="AA62" i="4"/>
  <c r="Z142" i="4"/>
  <c r="Z62" i="4"/>
  <c r="Y142" i="4"/>
  <c r="Y62" i="4"/>
  <c r="X142" i="4"/>
  <c r="X62" i="4"/>
  <c r="W142" i="4"/>
  <c r="W62" i="4"/>
  <c r="V142" i="4"/>
  <c r="V62" i="4"/>
  <c r="U142" i="4"/>
  <c r="U62" i="4"/>
  <c r="T142" i="4"/>
  <c r="T62" i="4"/>
  <c r="S142" i="4"/>
  <c r="S62" i="4"/>
  <c r="R142" i="4"/>
  <c r="R62" i="4"/>
  <c r="Q142" i="4"/>
  <c r="P142" i="4"/>
  <c r="P62" i="4"/>
  <c r="O142" i="4"/>
  <c r="O62" i="4"/>
  <c r="N142" i="4"/>
  <c r="N62" i="4"/>
  <c r="M142" i="4"/>
  <c r="M62" i="4"/>
  <c r="L142" i="4"/>
  <c r="L62" i="4"/>
  <c r="K142" i="4"/>
  <c r="K62" i="4"/>
  <c r="J142" i="4"/>
  <c r="J62" i="4"/>
  <c r="I142" i="4"/>
  <c r="I62" i="4"/>
  <c r="H142" i="4"/>
  <c r="H62" i="4"/>
  <c r="G142" i="4"/>
  <c r="G62" i="4"/>
  <c r="F142" i="4"/>
  <c r="F62" i="4"/>
  <c r="E142" i="4"/>
  <c r="E62" i="4"/>
  <c r="D142" i="4"/>
  <c r="D62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AG135" i="4"/>
  <c r="AF135" i="4"/>
  <c r="AF80" i="4"/>
  <c r="AE135" i="4"/>
  <c r="AD135" i="4"/>
  <c r="AD80" i="4"/>
  <c r="AC135" i="4"/>
  <c r="AC80" i="4"/>
  <c r="AB135" i="4"/>
  <c r="AB80" i="4"/>
  <c r="AA135" i="4"/>
  <c r="AA80" i="4"/>
  <c r="Z135" i="4"/>
  <c r="Y135" i="4"/>
  <c r="X135" i="4"/>
  <c r="X80" i="4"/>
  <c r="W135" i="4"/>
  <c r="W80" i="4"/>
  <c r="V135" i="4"/>
  <c r="V80" i="4"/>
  <c r="U135" i="4"/>
  <c r="U80" i="4"/>
  <c r="T135" i="4"/>
  <c r="T80" i="4"/>
  <c r="S135" i="4"/>
  <c r="R135" i="4"/>
  <c r="R80" i="4"/>
  <c r="Q135" i="4"/>
  <c r="Q80" i="4"/>
  <c r="P135" i="4"/>
  <c r="P80" i="4"/>
  <c r="O135" i="4"/>
  <c r="N135" i="4"/>
  <c r="N80" i="4"/>
  <c r="M135" i="4"/>
  <c r="M80" i="4"/>
  <c r="L135" i="4"/>
  <c r="K135" i="4"/>
  <c r="K80" i="4"/>
  <c r="J135" i="4"/>
  <c r="J80" i="4"/>
  <c r="I135" i="4"/>
  <c r="H135" i="4"/>
  <c r="H80" i="4"/>
  <c r="G135" i="4"/>
  <c r="G80" i="4"/>
  <c r="F135" i="4"/>
  <c r="F80" i="4"/>
  <c r="E135" i="4"/>
  <c r="D135" i="4"/>
  <c r="D80" i="4"/>
  <c r="AG134" i="4"/>
  <c r="AG78" i="4"/>
  <c r="AG79" i="4"/>
  <c r="AF134" i="4"/>
  <c r="AF78" i="4"/>
  <c r="AE134" i="4"/>
  <c r="AE78" i="4"/>
  <c r="AD134" i="4"/>
  <c r="AD78" i="4"/>
  <c r="AC134" i="4"/>
  <c r="AB134" i="4"/>
  <c r="AB78" i="4"/>
  <c r="AA134" i="4"/>
  <c r="AA78" i="4"/>
  <c r="Z134" i="4"/>
  <c r="Z78" i="4"/>
  <c r="Y134" i="4"/>
  <c r="Y78" i="4"/>
  <c r="X134" i="4"/>
  <c r="W134" i="4"/>
  <c r="W78" i="4"/>
  <c r="V134" i="4"/>
  <c r="V78" i="4"/>
  <c r="U134" i="4"/>
  <c r="T134" i="4"/>
  <c r="S134" i="4"/>
  <c r="S78" i="4"/>
  <c r="R134" i="4"/>
  <c r="R78" i="4"/>
  <c r="Q134" i="4"/>
  <c r="P134" i="4"/>
  <c r="P78" i="4"/>
  <c r="O134" i="4"/>
  <c r="O78" i="4"/>
  <c r="N134" i="4"/>
  <c r="M134" i="4"/>
  <c r="L134" i="4"/>
  <c r="L78" i="4"/>
  <c r="K134" i="4"/>
  <c r="K78" i="4"/>
  <c r="J134" i="4"/>
  <c r="J78" i="4"/>
  <c r="I134" i="4"/>
  <c r="I78" i="4"/>
  <c r="H134" i="4"/>
  <c r="H78" i="4"/>
  <c r="G134" i="4"/>
  <c r="F134" i="4"/>
  <c r="F78" i="4"/>
  <c r="E134" i="4"/>
  <c r="E78" i="4"/>
  <c r="D134" i="4"/>
  <c r="AG133" i="4"/>
  <c r="AG82" i="4"/>
  <c r="AF133" i="4"/>
  <c r="AF82" i="4"/>
  <c r="AE133" i="4"/>
  <c r="AE82" i="4"/>
  <c r="AD133" i="4"/>
  <c r="AD82" i="4"/>
  <c r="AC133" i="4"/>
  <c r="AC82" i="4"/>
  <c r="AB133" i="4"/>
  <c r="AB82" i="4"/>
  <c r="AA133" i="4"/>
  <c r="Z133" i="4"/>
  <c r="Z82" i="4"/>
  <c r="Y133" i="4"/>
  <c r="Y82" i="4"/>
  <c r="X133" i="4"/>
  <c r="X82" i="4"/>
  <c r="W133" i="4"/>
  <c r="V133" i="4"/>
  <c r="V82" i="4"/>
  <c r="U133" i="4"/>
  <c r="U82" i="4"/>
  <c r="T133" i="4"/>
  <c r="T82" i="4"/>
  <c r="S133" i="4"/>
  <c r="S82" i="4"/>
  <c r="R133" i="4"/>
  <c r="R82" i="4"/>
  <c r="Q133" i="4"/>
  <c r="Q82" i="4"/>
  <c r="P133" i="4"/>
  <c r="P82" i="4"/>
  <c r="O133" i="4"/>
  <c r="O82" i="4"/>
  <c r="N133" i="4"/>
  <c r="N82" i="4"/>
  <c r="M133" i="4"/>
  <c r="M82" i="4"/>
  <c r="L133" i="4"/>
  <c r="L82" i="4"/>
  <c r="K133" i="4"/>
  <c r="K82" i="4"/>
  <c r="J133" i="4"/>
  <c r="J82" i="4"/>
  <c r="I133" i="4"/>
  <c r="I82" i="4"/>
  <c r="H133" i="4"/>
  <c r="H82" i="4"/>
  <c r="G133" i="4"/>
  <c r="G82" i="4"/>
  <c r="F133" i="4"/>
  <c r="F82" i="4"/>
  <c r="E133" i="4"/>
  <c r="E82" i="4"/>
  <c r="D133" i="4"/>
  <c r="D8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AG131" i="4"/>
  <c r="AG120" i="4"/>
  <c r="AF131" i="4"/>
  <c r="AE131" i="4"/>
  <c r="AD131" i="4"/>
  <c r="AC131" i="4"/>
  <c r="AB131" i="4"/>
  <c r="AB120" i="4"/>
  <c r="AA131" i="4"/>
  <c r="AA120" i="4"/>
  <c r="Z131" i="4"/>
  <c r="Z120" i="4"/>
  <c r="Y131" i="4"/>
  <c r="Y120" i="4"/>
  <c r="X131" i="4"/>
  <c r="W131" i="4"/>
  <c r="V131" i="4"/>
  <c r="V120" i="4"/>
  <c r="U131" i="4"/>
  <c r="U120" i="4"/>
  <c r="T131" i="4"/>
  <c r="S131" i="4"/>
  <c r="R131" i="4"/>
  <c r="Q131" i="4"/>
  <c r="Q120" i="4"/>
  <c r="P131" i="4"/>
  <c r="O131" i="4"/>
  <c r="N131" i="4"/>
  <c r="M131" i="4"/>
  <c r="M120" i="4"/>
  <c r="L131" i="4"/>
  <c r="K131" i="4"/>
  <c r="K120" i="4"/>
  <c r="J131" i="4"/>
  <c r="J120" i="4"/>
  <c r="I131" i="4"/>
  <c r="H131" i="4"/>
  <c r="H120" i="4"/>
  <c r="G131" i="4"/>
  <c r="G120" i="4"/>
  <c r="F131" i="4"/>
  <c r="F120" i="4"/>
  <c r="E131" i="4"/>
  <c r="D131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AG104" i="4"/>
  <c r="AF104" i="4"/>
  <c r="AE104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AG58" i="4"/>
  <c r="AF58" i="4"/>
  <c r="AE58" i="4"/>
  <c r="AE59" i="4"/>
  <c r="AG48" i="4"/>
  <c r="AF48" i="4"/>
  <c r="AE48" i="4"/>
  <c r="AG45" i="4"/>
  <c r="AF45" i="4"/>
  <c r="AE45" i="4"/>
  <c r="AG44" i="4"/>
  <c r="AG50" i="4"/>
  <c r="AF44" i="4"/>
  <c r="AF50" i="4"/>
  <c r="AE44" i="4"/>
  <c r="AE50" i="4"/>
  <c r="AG43" i="4"/>
  <c r="AF43" i="4"/>
  <c r="AE43" i="4"/>
  <c r="AE4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AG9" i="4"/>
  <c r="AG208" i="4"/>
  <c r="AF9" i="4"/>
  <c r="AF208" i="4"/>
  <c r="AE9" i="4"/>
  <c r="AE208" i="4"/>
  <c r="AD9" i="4"/>
  <c r="AD208" i="4"/>
  <c r="AC9" i="4"/>
  <c r="AC208" i="4"/>
  <c r="AB9" i="4"/>
  <c r="AB208" i="4"/>
  <c r="AA9" i="4"/>
  <c r="AA208" i="4"/>
  <c r="Z9" i="4"/>
  <c r="Z208" i="4"/>
  <c r="Y9" i="4"/>
  <c r="Y208" i="4"/>
  <c r="X9" i="4"/>
  <c r="X208" i="4"/>
  <c r="W9" i="4"/>
  <c r="W208" i="4"/>
  <c r="V9" i="4"/>
  <c r="V208" i="4"/>
  <c r="U9" i="4"/>
  <c r="U208" i="4"/>
  <c r="T9" i="4"/>
  <c r="T208" i="4"/>
  <c r="S9" i="4"/>
  <c r="S208" i="4"/>
  <c r="R9" i="4"/>
  <c r="R208" i="4"/>
  <c r="Q9" i="4"/>
  <c r="Q208" i="4"/>
  <c r="P9" i="4"/>
  <c r="P208" i="4"/>
  <c r="O9" i="4"/>
  <c r="O208" i="4"/>
  <c r="N9" i="4"/>
  <c r="N208" i="4"/>
  <c r="M9" i="4"/>
  <c r="M208" i="4"/>
  <c r="Z250" i="4"/>
  <c r="L9" i="4"/>
  <c r="L208" i="4"/>
  <c r="Y264" i="4"/>
  <c r="K9" i="4"/>
  <c r="K208" i="4"/>
  <c r="J9" i="4"/>
  <c r="J208" i="4"/>
  <c r="K250" i="4"/>
  <c r="I9" i="4"/>
  <c r="I208" i="4"/>
  <c r="J264" i="4"/>
  <c r="H9" i="4"/>
  <c r="H208" i="4"/>
  <c r="G9" i="4"/>
  <c r="G208" i="4"/>
  <c r="H250" i="4"/>
  <c r="F9" i="4"/>
  <c r="F208" i="4"/>
  <c r="E9" i="4"/>
  <c r="E208" i="4"/>
  <c r="R264" i="4"/>
  <c r="D9" i="4"/>
  <c r="B8" i="9" s="1" a="1"/>
  <c r="D208" i="4"/>
  <c r="Q222" i="4"/>
  <c r="E43" i="4"/>
  <c r="AA48" i="4"/>
  <c r="S105" i="4"/>
  <c r="S107" i="4"/>
  <c r="U71" i="4"/>
  <c r="D104" i="4"/>
  <c r="U105" i="4"/>
  <c r="U107" i="4"/>
  <c r="G196" i="10"/>
  <c r="I47" i="10"/>
  <c r="K41" i="10"/>
  <c r="K129" i="10"/>
  <c r="F186" i="10"/>
  <c r="F192" i="10"/>
  <c r="K51" i="10"/>
  <c r="K131" i="10"/>
  <c r="D177" i="10"/>
  <c r="G77" i="10"/>
  <c r="F196" i="10"/>
  <c r="K39" i="10"/>
  <c r="K127" i="10"/>
  <c r="G188" i="10"/>
  <c r="I14" i="10"/>
  <c r="I122" i="10"/>
  <c r="G9" i="10"/>
  <c r="G120" i="10"/>
  <c r="L175" i="10"/>
  <c r="C253" i="10"/>
  <c r="J41" i="10"/>
  <c r="J129" i="10"/>
  <c r="H58" i="10"/>
  <c r="H132" i="10"/>
  <c r="I46" i="10"/>
  <c r="I123" i="10"/>
  <c r="C270" i="10"/>
  <c r="C175" i="10"/>
  <c r="M119" i="10"/>
  <c r="M219" i="10"/>
  <c r="J66" i="10"/>
  <c r="J138" i="10"/>
  <c r="G10" i="10"/>
  <c r="G214" i="10"/>
  <c r="G252" i="10"/>
  <c r="G263" i="10"/>
  <c r="G46" i="10"/>
  <c r="G123" i="10"/>
  <c r="G17" i="10"/>
  <c r="G125" i="10"/>
  <c r="G68" i="10"/>
  <c r="G135" i="10"/>
  <c r="G212" i="10"/>
  <c r="I66" i="10"/>
  <c r="I138" i="10"/>
  <c r="L171" i="4"/>
  <c r="H37" i="10"/>
  <c r="H128" i="10"/>
  <c r="D77" i="10"/>
  <c r="J70" i="10"/>
  <c r="J133" i="10"/>
  <c r="H17" i="10"/>
  <c r="H125" i="10"/>
  <c r="D196" i="10"/>
  <c r="D174" i="10"/>
  <c r="D180" i="10"/>
  <c r="I37" i="10"/>
  <c r="I128" i="10"/>
  <c r="K49" i="10"/>
  <c r="K137" i="10"/>
  <c r="H174" i="10"/>
  <c r="G186" i="10"/>
  <c r="L77" i="10"/>
  <c r="L62" i="10"/>
  <c r="L73" i="10"/>
  <c r="J10" i="10"/>
  <c r="J214" i="10"/>
  <c r="F49" i="10"/>
  <c r="F137" i="10"/>
  <c r="H188" i="10"/>
  <c r="J72" i="10"/>
  <c r="J134" i="10"/>
  <c r="K12" i="10"/>
  <c r="K121" i="10"/>
  <c r="F10" i="10"/>
  <c r="F214" i="10"/>
  <c r="J37" i="10"/>
  <c r="J128" i="10"/>
  <c r="D62" i="10"/>
  <c r="D73" i="10"/>
  <c r="K58" i="10"/>
  <c r="K132" i="10"/>
  <c r="F14" i="10"/>
  <c r="F122" i="10"/>
  <c r="J196" i="10"/>
  <c r="J42" i="10"/>
  <c r="D37" i="10"/>
  <c r="D128" i="10"/>
  <c r="M143" i="10"/>
  <c r="G37" i="10"/>
  <c r="G128" i="10"/>
  <c r="H42" i="10"/>
  <c r="D186" i="10"/>
  <c r="D192" i="10"/>
  <c r="D25" i="10"/>
  <c r="D124" i="10"/>
  <c r="H177" i="10"/>
  <c r="E118" i="4"/>
  <c r="H47" i="10"/>
  <c r="G61" i="10"/>
  <c r="G136" i="10"/>
  <c r="E68" i="4"/>
  <c r="E89" i="4"/>
  <c r="H206" i="4"/>
  <c r="J25" i="10"/>
  <c r="J124" i="10"/>
  <c r="I177" i="10"/>
  <c r="G47" i="10"/>
  <c r="G172" i="10"/>
  <c r="F17" i="10"/>
  <c r="F125" i="10"/>
  <c r="H70" i="10"/>
  <c r="H133" i="10"/>
  <c r="H12" i="10"/>
  <c r="H121" i="10"/>
  <c r="H10" i="10"/>
  <c r="H214" i="10"/>
  <c r="F58" i="10"/>
  <c r="F132" i="10"/>
  <c r="F41" i="10"/>
  <c r="F129" i="10"/>
  <c r="L66" i="10"/>
  <c r="L138" i="10"/>
  <c r="F178" i="10"/>
  <c r="J14" i="10"/>
  <c r="J122" i="10"/>
  <c r="D12" i="10"/>
  <c r="D121" i="10"/>
  <c r="F9" i="10"/>
  <c r="F120" i="10"/>
  <c r="F176" i="10"/>
  <c r="F177" i="10"/>
  <c r="J7" i="10"/>
  <c r="J119" i="10"/>
  <c r="J219" i="10"/>
  <c r="H39" i="10"/>
  <c r="H127" i="10"/>
  <c r="F39" i="10"/>
  <c r="F127" i="10"/>
  <c r="D10" i="10"/>
  <c r="D214" i="10"/>
  <c r="L46" i="10"/>
  <c r="L123" i="10"/>
  <c r="J175" i="10"/>
  <c r="J177" i="10"/>
  <c r="H14" i="10"/>
  <c r="H122" i="10"/>
  <c r="D41" i="10"/>
  <c r="D129" i="10"/>
  <c r="D35" i="10"/>
  <c r="D126" i="10"/>
  <c r="J9" i="10"/>
  <c r="J120" i="10"/>
  <c r="K113" i="4"/>
  <c r="F37" i="10"/>
  <c r="F128" i="10"/>
  <c r="D70" i="10"/>
  <c r="D133" i="10"/>
  <c r="G7" i="10"/>
  <c r="G119" i="10"/>
  <c r="G219" i="10"/>
  <c r="D49" i="10"/>
  <c r="D137" i="10"/>
  <c r="F70" i="10"/>
  <c r="F133" i="10"/>
  <c r="AA206" i="4"/>
  <c r="D212" i="10"/>
  <c r="M142" i="10"/>
  <c r="I7" i="10"/>
  <c r="I119" i="10"/>
  <c r="I219" i="10"/>
  <c r="H61" i="10"/>
  <c r="H136" i="10"/>
  <c r="F72" i="10"/>
  <c r="F134" i="10"/>
  <c r="D46" i="10"/>
  <c r="D123" i="10"/>
  <c r="I68" i="10"/>
  <c r="I135" i="10"/>
  <c r="H68" i="10"/>
  <c r="H135" i="10"/>
  <c r="H46" i="10"/>
  <c r="H123" i="10"/>
  <c r="J186" i="10"/>
  <c r="J192" i="10"/>
  <c r="C66" i="10"/>
  <c r="C138" i="10"/>
  <c r="K61" i="10"/>
  <c r="K136" i="10"/>
  <c r="Q82" i="10"/>
  <c r="D9" i="10"/>
  <c r="D120" i="10"/>
  <c r="D61" i="10"/>
  <c r="D136" i="10"/>
  <c r="D44" i="10"/>
  <c r="D130" i="10"/>
  <c r="H48" i="4"/>
  <c r="H49" i="10"/>
  <c r="H137" i="10"/>
  <c r="F68" i="10"/>
  <c r="F135" i="10"/>
  <c r="F147" i="10"/>
  <c r="F149" i="10"/>
  <c r="F152" i="10"/>
  <c r="F154" i="10"/>
  <c r="F156" i="10"/>
  <c r="F159" i="10"/>
  <c r="D58" i="10"/>
  <c r="D132" i="10"/>
  <c r="F51" i="10"/>
  <c r="F131" i="10"/>
  <c r="N118" i="10"/>
  <c r="O118" i="10"/>
  <c r="H44" i="10"/>
  <c r="H130" i="10"/>
  <c r="I58" i="10"/>
  <c r="I132" i="10"/>
  <c r="J61" i="10"/>
  <c r="J136" i="10"/>
  <c r="H35" i="10"/>
  <c r="H126" i="10"/>
  <c r="J62" i="10"/>
  <c r="J73" i="10"/>
  <c r="D51" i="10"/>
  <c r="D131" i="10"/>
  <c r="C196" i="10"/>
  <c r="I186" i="10"/>
  <c r="D14" i="10"/>
  <c r="D122" i="10"/>
  <c r="K14" i="10"/>
  <c r="K122" i="10"/>
  <c r="D72" i="10"/>
  <c r="D134" i="10"/>
  <c r="H41" i="10"/>
  <c r="H129" i="10"/>
  <c r="K25" i="10"/>
  <c r="K124" i="10"/>
  <c r="H72" i="10"/>
  <c r="H134" i="10"/>
  <c r="O71" i="4"/>
  <c r="H147" i="10"/>
  <c r="H212" i="10"/>
  <c r="D39" i="10"/>
  <c r="D127" i="10"/>
  <c r="H25" i="10"/>
  <c r="H124" i="10"/>
  <c r="D42" i="10"/>
  <c r="H7" i="10"/>
  <c r="H119" i="10"/>
  <c r="H219" i="10"/>
  <c r="D47" i="10"/>
  <c r="L14" i="10"/>
  <c r="G94" i="10"/>
  <c r="I94" i="10"/>
  <c r="E196" i="10"/>
  <c r="Y162" i="4"/>
  <c r="Y72" i="4"/>
  <c r="AF79" i="4"/>
  <c r="F66" i="10"/>
  <c r="F138" i="10"/>
  <c r="I9" i="10"/>
  <c r="I120" i="10"/>
  <c r="E46" i="10"/>
  <c r="E123" i="10"/>
  <c r="D17" i="10"/>
  <c r="D125" i="10"/>
  <c r="N136" i="4"/>
  <c r="N138" i="4"/>
  <c r="N112" i="4"/>
  <c r="F77" i="10"/>
  <c r="F61" i="10"/>
  <c r="F136" i="10"/>
  <c r="J20" i="10"/>
  <c r="J140" i="10"/>
  <c r="Q121" i="4"/>
  <c r="Q119" i="4"/>
  <c r="X83" i="4"/>
  <c r="I152" i="4"/>
  <c r="X71" i="4"/>
  <c r="AC174" i="4"/>
  <c r="AC129" i="4"/>
  <c r="F46" i="10"/>
  <c r="F123" i="10"/>
  <c r="J51" i="10"/>
  <c r="J131" i="10"/>
  <c r="I44" i="10"/>
  <c r="I130" i="10"/>
  <c r="J12" i="10"/>
  <c r="J121" i="10"/>
  <c r="J147" i="10"/>
  <c r="J212" i="10"/>
  <c r="I72" i="10"/>
  <c r="I134" i="10"/>
  <c r="K7" i="10"/>
  <c r="K119" i="10"/>
  <c r="K219" i="10"/>
  <c r="J58" i="10"/>
  <c r="J132" i="10"/>
  <c r="K17" i="10"/>
  <c r="K125" i="10"/>
  <c r="J44" i="10"/>
  <c r="J130" i="10"/>
  <c r="J17" i="10"/>
  <c r="J125" i="10"/>
  <c r="I70" i="10"/>
  <c r="I133" i="10"/>
  <c r="E186" i="10"/>
  <c r="E192" i="10"/>
  <c r="I20" i="10"/>
  <c r="I140" i="10"/>
  <c r="O31" i="10"/>
  <c r="O82" i="10"/>
  <c r="I10" i="10"/>
  <c r="I214" i="10"/>
  <c r="J39" i="10"/>
  <c r="J127" i="10"/>
  <c r="I35" i="10"/>
  <c r="I126" i="10"/>
  <c r="H9" i="10"/>
  <c r="H120" i="10"/>
  <c r="J77" i="10"/>
  <c r="G62" i="10"/>
  <c r="G73" i="10"/>
  <c r="J68" i="10"/>
  <c r="J135" i="10"/>
  <c r="I25" i="10"/>
  <c r="I124" i="10"/>
  <c r="C174" i="10"/>
  <c r="I12" i="10"/>
  <c r="I121" i="10"/>
  <c r="N31" i="10"/>
  <c r="G70" i="10"/>
  <c r="G133" i="10"/>
  <c r="F174" i="10"/>
  <c r="I212" i="10"/>
  <c r="I41" i="10"/>
  <c r="I129" i="10"/>
  <c r="AA174" i="4"/>
  <c r="AA129" i="4"/>
  <c r="G180" i="4"/>
  <c r="T237" i="4"/>
  <c r="F12" i="10"/>
  <c r="F121" i="10"/>
  <c r="G177" i="10"/>
  <c r="K196" i="10"/>
  <c r="E12" i="10"/>
  <c r="E121" i="10"/>
  <c r="P31" i="10"/>
  <c r="P82" i="10"/>
  <c r="L42" i="10"/>
  <c r="L52" i="10"/>
  <c r="L54" i="10"/>
  <c r="G42" i="10"/>
  <c r="C41" i="10"/>
  <c r="C129" i="10"/>
  <c r="F25" i="10"/>
  <c r="F124" i="10"/>
  <c r="C25" i="10"/>
  <c r="C124" i="10"/>
  <c r="L12" i="10"/>
  <c r="L121" i="10"/>
  <c r="D68" i="10"/>
  <c r="D135" i="10"/>
  <c r="J49" i="10"/>
  <c r="J137" i="10"/>
  <c r="C147" i="10"/>
  <c r="C149" i="10"/>
  <c r="C152" i="10"/>
  <c r="C154" i="10"/>
  <c r="L39" i="10"/>
  <c r="L127" i="10"/>
  <c r="C61" i="10"/>
  <c r="C136" i="10"/>
  <c r="D7" i="10"/>
  <c r="D119" i="10"/>
  <c r="D219" i="10"/>
  <c r="C70" i="10"/>
  <c r="C133" i="10"/>
  <c r="C51" i="10"/>
  <c r="C131" i="10"/>
  <c r="C68" i="10"/>
  <c r="C135" i="10"/>
  <c r="H62" i="10"/>
  <c r="H73" i="10"/>
  <c r="J46" i="10"/>
  <c r="J123" i="10"/>
  <c r="J47" i="10"/>
  <c r="K72" i="10"/>
  <c r="K134" i="10"/>
  <c r="I17" i="10"/>
  <c r="I125" i="10"/>
  <c r="H183" i="10"/>
  <c r="H186" i="10"/>
  <c r="L61" i="10"/>
  <c r="L136" i="10"/>
  <c r="E42" i="10"/>
  <c r="L10" i="10"/>
  <c r="L214" i="10"/>
  <c r="L51" i="10"/>
  <c r="G103" i="10"/>
  <c r="I103" i="10"/>
  <c r="F20" i="10"/>
  <c r="F140" i="10"/>
  <c r="K44" i="10"/>
  <c r="K130" i="10"/>
  <c r="L49" i="10"/>
  <c r="L137" i="10"/>
  <c r="L9" i="10"/>
  <c r="G92" i="10"/>
  <c r="I92" i="10"/>
  <c r="J92" i="10"/>
  <c r="H77" i="10"/>
  <c r="L58" i="10"/>
  <c r="G104" i="10"/>
  <c r="I104" i="10"/>
  <c r="N78" i="4"/>
  <c r="N88" i="4"/>
  <c r="F42" i="10"/>
  <c r="F52" i="10"/>
  <c r="L37" i="10"/>
  <c r="L128" i="10"/>
  <c r="L72" i="10"/>
  <c r="G106" i="10"/>
  <c r="I106" i="10"/>
  <c r="C44" i="10"/>
  <c r="C130" i="10"/>
  <c r="C39" i="10"/>
  <c r="C127" i="10"/>
  <c r="I196" i="10"/>
  <c r="L41" i="10"/>
  <c r="L129" i="10"/>
  <c r="K4" i="10"/>
  <c r="L117" i="10"/>
  <c r="E117" i="10"/>
  <c r="E145" i="10"/>
  <c r="E165" i="10"/>
  <c r="E208" i="10"/>
  <c r="L17" i="10"/>
  <c r="L125" i="10"/>
  <c r="L44" i="10"/>
  <c r="G102" i="10"/>
  <c r="I102" i="10"/>
  <c r="E20" i="10"/>
  <c r="E140" i="10"/>
  <c r="F103" i="4"/>
  <c r="V103" i="4"/>
  <c r="P141" i="4"/>
  <c r="P210" i="4"/>
  <c r="W152" i="4"/>
  <c r="AE152" i="4"/>
  <c r="K156" i="4"/>
  <c r="K157" i="4"/>
  <c r="K47" i="4"/>
  <c r="AA156" i="4"/>
  <c r="AA157" i="4"/>
  <c r="U128" i="4"/>
  <c r="V71" i="4"/>
  <c r="R171" i="4"/>
  <c r="Z174" i="4"/>
  <c r="F62" i="10"/>
  <c r="F73" i="10"/>
  <c r="C72" i="10"/>
  <c r="C134" i="10"/>
  <c r="C17" i="10"/>
  <c r="C125" i="10"/>
  <c r="C12" i="10"/>
  <c r="C121" i="10"/>
  <c r="L68" i="10"/>
  <c r="L135" i="10"/>
  <c r="L25" i="10"/>
  <c r="L124" i="10"/>
  <c r="K175" i="10"/>
  <c r="K177" i="10"/>
  <c r="K66" i="10"/>
  <c r="K138" i="10"/>
  <c r="L70" i="10"/>
  <c r="G105" i="10"/>
  <c r="I105" i="10"/>
  <c r="L212" i="10"/>
  <c r="F35" i="10"/>
  <c r="F126" i="10"/>
  <c r="D66" i="10"/>
  <c r="D138" i="10"/>
  <c r="L35" i="10"/>
  <c r="G98" i="10"/>
  <c r="I98" i="10"/>
  <c r="J98" i="10"/>
  <c r="W77" i="4"/>
  <c r="U103" i="4"/>
  <c r="H152" i="4"/>
  <c r="P152" i="4"/>
  <c r="N206" i="4"/>
  <c r="H196" i="10"/>
  <c r="E47" i="10"/>
  <c r="J151" i="10"/>
  <c r="C272" i="10"/>
  <c r="I51" i="10"/>
  <c r="I131" i="10"/>
  <c r="C49" i="10"/>
  <c r="C137" i="10"/>
  <c r="C58" i="10"/>
  <c r="C132" i="10"/>
  <c r="L7" i="10"/>
  <c r="L119" i="10"/>
  <c r="L219" i="10"/>
  <c r="L82" i="10"/>
  <c r="F68" i="4"/>
  <c r="F89" i="4"/>
  <c r="AD14" i="4"/>
  <c r="AD101" i="4"/>
  <c r="L152" i="4"/>
  <c r="AF68" i="4"/>
  <c r="AF93" i="4"/>
  <c r="Y79" i="4"/>
  <c r="W141" i="4"/>
  <c r="W144" i="4"/>
  <c r="X121" i="4"/>
  <c r="AF152" i="4"/>
  <c r="N156" i="4"/>
  <c r="N157" i="4"/>
  <c r="N47" i="4"/>
  <c r="AE128" i="4"/>
  <c r="S174" i="4"/>
  <c r="S129" i="4"/>
  <c r="Q180" i="4"/>
  <c r="AG180" i="4"/>
  <c r="N105" i="4"/>
  <c r="N107" i="4"/>
  <c r="W105" i="4"/>
  <c r="W106" i="4"/>
  <c r="AE105" i="4"/>
  <c r="AE107" i="4"/>
  <c r="E77" i="10"/>
  <c r="F250" i="4"/>
  <c r="AF103" i="4"/>
  <c r="G204" i="4"/>
  <c r="AA113" i="4"/>
  <c r="U77" i="4"/>
  <c r="L113" i="4"/>
  <c r="J141" i="4"/>
  <c r="J144" i="4"/>
  <c r="Z141" i="4"/>
  <c r="Z210" i="4"/>
  <c r="D171" i="4"/>
  <c r="AE171" i="4"/>
  <c r="Z156" i="4"/>
  <c r="Z157" i="4"/>
  <c r="Z99" i="4"/>
  <c r="V102" i="4"/>
  <c r="W81" i="4"/>
  <c r="E206" i="4"/>
  <c r="AB14" i="4"/>
  <c r="AB101" i="4"/>
  <c r="R105" i="4"/>
  <c r="R107" i="4"/>
  <c r="E175" i="10"/>
  <c r="E177" i="10"/>
  <c r="I61" i="10"/>
  <c r="I136" i="10"/>
  <c r="E14" i="10"/>
  <c r="E122" i="10"/>
  <c r="I39" i="10"/>
  <c r="I127" i="10"/>
  <c r="G25" i="10"/>
  <c r="G124" i="10"/>
  <c r="K9" i="10"/>
  <c r="C9" i="10"/>
  <c r="C120" i="10"/>
  <c r="L20" i="10"/>
  <c r="L140" i="10"/>
  <c r="I150" i="10"/>
  <c r="K68" i="10"/>
  <c r="K135" i="10"/>
  <c r="C42" i="10"/>
  <c r="E170" i="10"/>
  <c r="E174" i="10"/>
  <c r="C10" i="10"/>
  <c r="C214" i="10"/>
  <c r="D20" i="10"/>
  <c r="D140" i="10"/>
  <c r="K46" i="10"/>
  <c r="K47" i="10"/>
  <c r="G20" i="10"/>
  <c r="G140" i="10"/>
  <c r="K10" i="10"/>
  <c r="K214" i="10"/>
  <c r="K155" i="10"/>
  <c r="K20" i="10"/>
  <c r="K140" i="10"/>
  <c r="C189" i="10"/>
  <c r="I77" i="10"/>
  <c r="C155" i="10"/>
  <c r="C20" i="10"/>
  <c r="C140" i="10"/>
  <c r="H20" i="10"/>
  <c r="H140" i="10"/>
  <c r="C118" i="10"/>
  <c r="K77" i="10"/>
  <c r="C46" i="10"/>
  <c r="C123" i="10"/>
  <c r="C37" i="10"/>
  <c r="C128" i="10"/>
  <c r="G173" i="10"/>
  <c r="C77" i="10"/>
  <c r="E44" i="10"/>
  <c r="E130" i="10"/>
  <c r="K62" i="10"/>
  <c r="K73" i="10"/>
  <c r="I49" i="10"/>
  <c r="E7" i="10"/>
  <c r="E119" i="10"/>
  <c r="E219" i="10"/>
  <c r="K186" i="10"/>
  <c r="K192" i="10"/>
  <c r="I62" i="10"/>
  <c r="I73" i="10"/>
  <c r="G51" i="10"/>
  <c r="G131" i="10"/>
  <c r="E66" i="10"/>
  <c r="E138" i="10"/>
  <c r="Z79" i="4"/>
  <c r="G121" i="4"/>
  <c r="G119" i="4"/>
  <c r="R77" i="4"/>
  <c r="Z77" i="4"/>
  <c r="Z113" i="4"/>
  <c r="S152" i="4"/>
  <c r="AA152" i="4"/>
  <c r="G156" i="4"/>
  <c r="G157" i="4"/>
  <c r="O156" i="4"/>
  <c r="O157" i="4"/>
  <c r="W156" i="4"/>
  <c r="W157" i="4"/>
  <c r="W99" i="4"/>
  <c r="AE156" i="4"/>
  <c r="AE157" i="4"/>
  <c r="I104" i="4"/>
  <c r="I117" i="4"/>
  <c r="I116" i="4"/>
  <c r="V251" i="4"/>
  <c r="E25" i="10"/>
  <c r="E124" i="10"/>
  <c r="E9" i="10"/>
  <c r="E120" i="10"/>
  <c r="E147" i="10"/>
  <c r="E212" i="10"/>
  <c r="E51" i="10"/>
  <c r="E131" i="10"/>
  <c r="G187" i="10"/>
  <c r="E61" i="10"/>
  <c r="E136" i="10"/>
  <c r="N128" i="4"/>
  <c r="G12" i="4"/>
  <c r="G18" i="4"/>
  <c r="G36" i="4"/>
  <c r="I113" i="4"/>
  <c r="K103" i="4"/>
  <c r="S113" i="4"/>
  <c r="K79" i="4"/>
  <c r="V156" i="4"/>
  <c r="V157" i="4"/>
  <c r="V99" i="4"/>
  <c r="E10" i="10"/>
  <c r="E214" i="10"/>
  <c r="E37" i="10"/>
  <c r="E128" i="10"/>
  <c r="C47" i="10"/>
  <c r="E35" i="10"/>
  <c r="E126" i="10"/>
  <c r="C186" i="10"/>
  <c r="X102" i="4"/>
  <c r="N68" i="4"/>
  <c r="N89" i="4"/>
  <c r="C177" i="10"/>
  <c r="J88" i="4"/>
  <c r="L186" i="10"/>
  <c r="L192" i="10"/>
  <c r="L197" i="10"/>
  <c r="U48" i="4"/>
  <c r="L103" i="4"/>
  <c r="U83" i="4"/>
  <c r="AC121" i="4"/>
  <c r="T105" i="4"/>
  <c r="T107" i="4"/>
  <c r="I190" i="10"/>
  <c r="E41" i="10"/>
  <c r="E129" i="10"/>
  <c r="I42" i="10"/>
  <c r="E49" i="10"/>
  <c r="E137" i="10"/>
  <c r="E68" i="10"/>
  <c r="E135" i="10"/>
  <c r="I174" i="10"/>
  <c r="AD105" i="4"/>
  <c r="AD107" i="4"/>
  <c r="E113" i="4"/>
  <c r="U113" i="4"/>
  <c r="G103" i="4"/>
  <c r="H79" i="4"/>
  <c r="N141" i="4"/>
  <c r="N144" i="4"/>
  <c r="AD141" i="4"/>
  <c r="AD144" i="4"/>
  <c r="X152" i="4"/>
  <c r="F171" i="4"/>
  <c r="N171" i="4"/>
  <c r="P171" i="4"/>
  <c r="AF174" i="4"/>
  <c r="AF129" i="4"/>
  <c r="S193" i="4"/>
  <c r="C62" i="10"/>
  <c r="C73" i="10"/>
  <c r="K37" i="10"/>
  <c r="K128" i="10"/>
  <c r="E70" i="10"/>
  <c r="E133" i="10"/>
  <c r="F7" i="10"/>
  <c r="F119" i="10"/>
  <c r="F219" i="10"/>
  <c r="I48" i="4"/>
  <c r="Z128" i="4"/>
  <c r="E39" i="10"/>
  <c r="E127" i="10"/>
  <c r="G149" i="10"/>
  <c r="G152" i="10"/>
  <c r="G154" i="10"/>
  <c r="G156" i="10"/>
  <c r="G159" i="10"/>
  <c r="G163" i="10"/>
  <c r="J204" i="4"/>
  <c r="J206" i="4"/>
  <c r="L48" i="4"/>
  <c r="R136" i="4"/>
  <c r="R138" i="4"/>
  <c r="AE121" i="4"/>
  <c r="Q152" i="4"/>
  <c r="F162" i="4"/>
  <c r="F127" i="4"/>
  <c r="Q171" i="4"/>
  <c r="Y171" i="4"/>
  <c r="AG171" i="4"/>
  <c r="K174" i="4"/>
  <c r="K44" i="4"/>
  <c r="K49" i="4"/>
  <c r="D184" i="4"/>
  <c r="E72" i="10"/>
  <c r="E134" i="10"/>
  <c r="G72" i="10"/>
  <c r="G134" i="10"/>
  <c r="G14" i="10"/>
  <c r="G122" i="10"/>
  <c r="I128" i="4"/>
  <c r="J75" i="4"/>
  <c r="K171" i="4"/>
  <c r="S171" i="4"/>
  <c r="AA171" i="4"/>
  <c r="M174" i="4"/>
  <c r="M44" i="4"/>
  <c r="U174" i="4"/>
  <c r="U129" i="4"/>
  <c r="W174" i="4"/>
  <c r="W179" i="4"/>
  <c r="E14" i="4"/>
  <c r="E101" i="4"/>
  <c r="U14" i="4"/>
  <c r="U101" i="4"/>
  <c r="AA193" i="4"/>
  <c r="V88" i="4"/>
  <c r="Y250" i="4"/>
  <c r="G128" i="4"/>
  <c r="J79" i="4"/>
  <c r="F118" i="4"/>
  <c r="J180" i="4"/>
  <c r="W237" i="4"/>
  <c r="W121" i="4"/>
  <c r="V136" i="4"/>
  <c r="V138" i="4"/>
  <c r="H103" i="4"/>
  <c r="AF83" i="4"/>
  <c r="F43" i="4"/>
  <c r="P162" i="4"/>
  <c r="P72" i="4"/>
  <c r="AB48" i="4"/>
  <c r="R14" i="4"/>
  <c r="R101" i="4"/>
  <c r="AB81" i="4"/>
  <c r="I141" i="4"/>
  <c r="I144" i="4"/>
  <c r="Q141" i="4"/>
  <c r="Q210" i="4"/>
  <c r="Y141" i="4"/>
  <c r="Y210" i="4"/>
  <c r="AG141" i="4"/>
  <c r="AG210" i="4"/>
  <c r="AC149" i="4"/>
  <c r="AC114" i="4"/>
  <c r="V152" i="4"/>
  <c r="AD152" i="4"/>
  <c r="H156" i="4"/>
  <c r="H157" i="4"/>
  <c r="X156" i="4"/>
  <c r="X157" i="4"/>
  <c r="X47" i="4"/>
  <c r="J156" i="4"/>
  <c r="J157" i="4"/>
  <c r="J47" i="4"/>
  <c r="R156" i="4"/>
  <c r="R157" i="4"/>
  <c r="J89" i="4"/>
  <c r="Z68" i="4"/>
  <c r="Z89" i="4"/>
  <c r="H88" i="4"/>
  <c r="N71" i="4"/>
  <c r="T171" i="4"/>
  <c r="V174" i="4"/>
  <c r="F14" i="4"/>
  <c r="E201" i="4"/>
  <c r="U201" i="4"/>
  <c r="AC201" i="4"/>
  <c r="AC105" i="4"/>
  <c r="AC107" i="4"/>
  <c r="K42" i="10"/>
  <c r="AA14" i="4"/>
  <c r="AA101" i="4"/>
  <c r="U121" i="4"/>
  <c r="U119" i="4"/>
  <c r="E128" i="4"/>
  <c r="L180" i="4"/>
  <c r="Y237" i="4"/>
  <c r="T180" i="4"/>
  <c r="AB180" i="4"/>
  <c r="U184" i="4"/>
  <c r="AC184" i="4"/>
  <c r="K174" i="10"/>
  <c r="T141" i="4"/>
  <c r="T144" i="4"/>
  <c r="AB141" i="4"/>
  <c r="AB144" i="4"/>
  <c r="R118" i="4"/>
  <c r="K75" i="4"/>
  <c r="O171" i="4"/>
  <c r="I174" i="4"/>
  <c r="I129" i="4"/>
  <c r="J251" i="4"/>
  <c r="AE102" i="4"/>
  <c r="AC141" i="4"/>
  <c r="AC144" i="4"/>
  <c r="O121" i="4"/>
  <c r="AB174" i="4"/>
  <c r="AB179" i="4"/>
  <c r="F104" i="4"/>
  <c r="F117" i="4"/>
  <c r="F116" i="4"/>
  <c r="S251" i="4"/>
  <c r="E58" i="10"/>
  <c r="E132" i="10"/>
  <c r="E62" i="10"/>
  <c r="E73" i="10"/>
  <c r="L141" i="4"/>
  <c r="L144" i="4"/>
  <c r="S204" i="4"/>
  <c r="S206" i="4"/>
  <c r="AG152" i="4"/>
  <c r="U156" i="4"/>
  <c r="U157" i="4"/>
  <c r="U47" i="4"/>
  <c r="AC58" i="4"/>
  <c r="AC59" i="4"/>
  <c r="S14" i="4"/>
  <c r="S101" i="4"/>
  <c r="Y14" i="4"/>
  <c r="Y101" i="4"/>
  <c r="P184" i="4"/>
  <c r="X184" i="4"/>
  <c r="AF184" i="4"/>
  <c r="Q105" i="4"/>
  <c r="Q106" i="4"/>
  <c r="Y105" i="4"/>
  <c r="Y107" i="4"/>
  <c r="E17" i="10"/>
  <c r="E125" i="10"/>
  <c r="J43" i="4"/>
  <c r="E174" i="4"/>
  <c r="E45" i="4"/>
  <c r="E171" i="4"/>
  <c r="G113" i="4"/>
  <c r="V105" i="4"/>
  <c r="E103" i="4"/>
  <c r="V113" i="4"/>
  <c r="N113" i="4"/>
  <c r="N120" i="4"/>
  <c r="N103" i="4"/>
  <c r="G152" i="4"/>
  <c r="R180" i="4"/>
  <c r="Z180" i="4"/>
  <c r="Z204" i="4"/>
  <c r="Z206" i="4"/>
  <c r="V121" i="4"/>
  <c r="H121" i="4"/>
  <c r="H119" i="4"/>
  <c r="F180" i="4"/>
  <c r="S237" i="4"/>
  <c r="F113" i="4"/>
  <c r="K236" i="4"/>
  <c r="AG59" i="4"/>
  <c r="AG60" i="4"/>
  <c r="Q103" i="4"/>
  <c r="G136" i="4"/>
  <c r="G138" i="4"/>
  <c r="G112" i="4"/>
  <c r="AD79" i="4"/>
  <c r="D204" i="4"/>
  <c r="D206" i="4"/>
  <c r="D118" i="4"/>
  <c r="O83" i="4"/>
  <c r="O118" i="4"/>
  <c r="E222" i="4"/>
  <c r="Q264" i="4"/>
  <c r="AF51" i="4"/>
  <c r="AF49" i="4"/>
  <c r="F115" i="4"/>
  <c r="F121" i="4"/>
  <c r="AG14" i="4"/>
  <c r="AG101" i="4"/>
  <c r="E120" i="4"/>
  <c r="D68" i="4"/>
  <c r="D93" i="4"/>
  <c r="F48" i="4"/>
  <c r="F152" i="4"/>
  <c r="U102" i="4"/>
  <c r="K68" i="4"/>
  <c r="K93" i="4"/>
  <c r="F102" i="4"/>
  <c r="M113" i="4"/>
  <c r="M250" i="4"/>
  <c r="AD204" i="4"/>
  <c r="AD206" i="4"/>
  <c r="AD128" i="4"/>
  <c r="T75" i="4"/>
  <c r="R204" i="4"/>
  <c r="R206" i="4"/>
  <c r="F119" i="4"/>
  <c r="J162" i="4"/>
  <c r="J72" i="4"/>
  <c r="R162" i="4"/>
  <c r="Y222" i="4"/>
  <c r="D152" i="4"/>
  <c r="AB152" i="4"/>
  <c r="P156" i="4"/>
  <c r="P157" i="4"/>
  <c r="P99" i="4"/>
  <c r="AF156" i="4"/>
  <c r="AF157" i="4"/>
  <c r="X162" i="4"/>
  <c r="X72" i="4"/>
  <c r="T12" i="4"/>
  <c r="AE60" i="4"/>
  <c r="N152" i="4"/>
  <c r="N102" i="4"/>
  <c r="AG128" i="4"/>
  <c r="AG68" i="4"/>
  <c r="AG69" i="4"/>
  <c r="J118" i="4"/>
  <c r="T14" i="4"/>
  <c r="T101" i="4"/>
  <c r="R128" i="4"/>
  <c r="AB77" i="4"/>
  <c r="D83" i="4"/>
  <c r="AA105" i="4"/>
  <c r="AA107" i="4"/>
  <c r="K118" i="4"/>
  <c r="D102" i="4"/>
  <c r="AE51" i="4"/>
  <c r="Y83" i="4"/>
  <c r="K204" i="4"/>
  <c r="K206" i="4"/>
  <c r="J128" i="4"/>
  <c r="AB102" i="4"/>
  <c r="D121" i="4"/>
  <c r="AB103" i="4"/>
  <c r="M103" i="4"/>
  <c r="W136" i="4"/>
  <c r="W138" i="4"/>
  <c r="F77" i="4"/>
  <c r="N77" i="4"/>
  <c r="AD77" i="4"/>
  <c r="K136" i="4"/>
  <c r="K138" i="4"/>
  <c r="N121" i="4"/>
  <c r="U115" i="4"/>
  <c r="N75" i="4"/>
  <c r="N14" i="4"/>
  <c r="N101" i="4"/>
  <c r="S201" i="4"/>
  <c r="M152" i="4"/>
  <c r="U152" i="4"/>
  <c r="I156" i="4"/>
  <c r="I157" i="4"/>
  <c r="AG156" i="4"/>
  <c r="AG157" i="4"/>
  <c r="M171" i="4"/>
  <c r="U171" i="4"/>
  <c r="AC171" i="4"/>
  <c r="W171" i="4"/>
  <c r="AE174" i="4"/>
  <c r="AE179" i="4"/>
  <c r="AC14" i="4"/>
  <c r="AC101" i="4"/>
  <c r="AB12" i="4"/>
  <c r="AB22" i="4"/>
  <c r="AD184" i="4"/>
  <c r="U75" i="4"/>
  <c r="AA75" i="4"/>
  <c r="H171" i="4"/>
  <c r="N180" i="4"/>
  <c r="P237" i="4"/>
  <c r="V180" i="4"/>
  <c r="AD180" i="4"/>
  <c r="Q14" i="4"/>
  <c r="Q101" i="4"/>
  <c r="AC43" i="4"/>
  <c r="AB113" i="4"/>
  <c r="X136" i="4"/>
  <c r="X138" i="4"/>
  <c r="AF136" i="4"/>
  <c r="AF138" i="4"/>
  <c r="K149" i="4"/>
  <c r="AB162" i="4"/>
  <c r="AB72" i="4"/>
  <c r="D162" i="4"/>
  <c r="D167" i="4"/>
  <c r="W58" i="4"/>
  <c r="P12" i="4"/>
  <c r="P22" i="4"/>
  <c r="X12" i="4"/>
  <c r="X18" i="4"/>
  <c r="AF12" i="4"/>
  <c r="AF18" i="4"/>
  <c r="R193" i="4"/>
  <c r="Z193" i="4"/>
  <c r="D193" i="4"/>
  <c r="L193" i="4"/>
  <c r="AB193" i="4"/>
  <c r="F193" i="4"/>
  <c r="N193" i="4"/>
  <c r="V193" i="4"/>
  <c r="AD193" i="4"/>
  <c r="J201" i="4"/>
  <c r="R201" i="4"/>
  <c r="Z201" i="4"/>
  <c r="D201" i="4"/>
  <c r="F201" i="4"/>
  <c r="V201" i="4"/>
  <c r="AF201" i="4"/>
  <c r="G206" i="4"/>
  <c r="O206" i="4"/>
  <c r="G48" i="4"/>
  <c r="AF128" i="4"/>
  <c r="X78" i="4"/>
  <c r="W92" i="4"/>
  <c r="AE75" i="4"/>
  <c r="W102" i="4"/>
  <c r="J77" i="4"/>
  <c r="G149" i="4"/>
  <c r="D156" i="4"/>
  <c r="D157" i="4"/>
  <c r="T156" i="4"/>
  <c r="T157" i="4"/>
  <c r="AB156" i="4"/>
  <c r="AB157" i="4"/>
  <c r="E162" i="4"/>
  <c r="E127" i="4"/>
  <c r="AB171" i="4"/>
  <c r="P180" i="4"/>
  <c r="X180" i="4"/>
  <c r="AF180" i="4"/>
  <c r="M14" i="4"/>
  <c r="M101" i="4"/>
  <c r="Q12" i="4"/>
  <c r="AG12" i="4"/>
  <c r="AG22" i="4"/>
  <c r="AG23" i="4"/>
  <c r="Z105" i="4"/>
  <c r="Z107" i="4"/>
  <c r="AF206" i="4"/>
  <c r="J174" i="10"/>
  <c r="L174" i="10"/>
  <c r="D152" i="10"/>
  <c r="D154" i="10"/>
  <c r="I149" i="10"/>
  <c r="L149" i="10"/>
  <c r="L152" i="10"/>
  <c r="L154" i="10"/>
  <c r="L210" i="10"/>
  <c r="AA149" i="4"/>
  <c r="AE79" i="4"/>
  <c r="Q81" i="4"/>
  <c r="R88" i="4"/>
  <c r="P89" i="4"/>
  <c r="F81" i="4"/>
  <c r="F88" i="4"/>
  <c r="S149" i="4"/>
  <c r="G236" i="4"/>
  <c r="G222" i="4"/>
  <c r="S106" i="4"/>
  <c r="P113" i="4"/>
  <c r="AE113" i="4"/>
  <c r="Z70" i="4"/>
  <c r="Y71" i="4"/>
  <c r="Z162" i="4"/>
  <c r="Z167" i="4"/>
  <c r="E59" i="4"/>
  <c r="E60" i="4"/>
  <c r="G77" i="4"/>
  <c r="O77" i="4"/>
  <c r="AE77" i="4"/>
  <c r="AC136" i="4"/>
  <c r="AC78" i="4"/>
  <c r="AC88" i="4"/>
  <c r="I71" i="4"/>
  <c r="G174" i="4"/>
  <c r="G179" i="4"/>
  <c r="G171" i="4"/>
  <c r="AC118" i="4"/>
  <c r="Z103" i="4"/>
  <c r="J92" i="4"/>
  <c r="Y174" i="4"/>
  <c r="Y129" i="4"/>
  <c r="AD118" i="4"/>
  <c r="AB105" i="4"/>
  <c r="F136" i="4"/>
  <c r="F138" i="4"/>
  <c r="AD136" i="4"/>
  <c r="AD138" i="4"/>
  <c r="K141" i="4"/>
  <c r="K210" i="4"/>
  <c r="X265" i="4"/>
  <c r="N48" i="4"/>
  <c r="Q102" i="4"/>
  <c r="F156" i="4"/>
  <c r="F157" i="4"/>
  <c r="N162" i="4"/>
  <c r="N167" i="4"/>
  <c r="AC204" i="4"/>
  <c r="AC206" i="4"/>
  <c r="AC162" i="4"/>
  <c r="AC127" i="4"/>
  <c r="AC68" i="4"/>
  <c r="AC93" i="4"/>
  <c r="E70" i="4"/>
  <c r="D71" i="4"/>
  <c r="X171" i="4"/>
  <c r="AF171" i="4"/>
  <c r="R174" i="4"/>
  <c r="D12" i="4"/>
  <c r="D180" i="4"/>
  <c r="Q237" i="4"/>
  <c r="L104" i="4"/>
  <c r="L201" i="4"/>
  <c r="O79" i="4"/>
  <c r="Y58" i="4"/>
  <c r="Y59" i="4"/>
  <c r="G78" i="4"/>
  <c r="F92" i="4"/>
  <c r="O162" i="4"/>
  <c r="AD83" i="4"/>
  <c r="X149" i="4"/>
  <c r="X84" i="4"/>
  <c r="S121" i="4"/>
  <c r="S102" i="4"/>
  <c r="V14" i="4"/>
  <c r="V101" i="4"/>
  <c r="E180" i="4"/>
  <c r="R237" i="4"/>
  <c r="O128" i="4"/>
  <c r="N118" i="4"/>
  <c r="H68" i="4"/>
  <c r="H93" i="4"/>
  <c r="H43" i="4"/>
  <c r="AB43" i="4"/>
  <c r="W193" i="4"/>
  <c r="X128" i="4"/>
  <c r="I171" i="4"/>
  <c r="H162" i="4"/>
  <c r="AG174" i="4"/>
  <c r="AG129" i="4"/>
  <c r="V79" i="4"/>
  <c r="D75" i="4"/>
  <c r="O68" i="4"/>
  <c r="O89" i="4"/>
  <c r="H128" i="4"/>
  <c r="W75" i="4"/>
  <c r="V75" i="4"/>
  <c r="E12" i="4"/>
  <c r="Q174" i="4"/>
  <c r="M264" i="4"/>
  <c r="M222" i="4"/>
  <c r="M236" i="4"/>
  <c r="AF120" i="4"/>
  <c r="AC113" i="4"/>
  <c r="AC103" i="4"/>
  <c r="Y149" i="4"/>
  <c r="S128" i="4"/>
  <c r="S74" i="4"/>
  <c r="S58" i="4"/>
  <c r="S59" i="4"/>
  <c r="AE68" i="4"/>
  <c r="AE93" i="4"/>
  <c r="V92" i="4"/>
  <c r="AE204" i="4"/>
  <c r="AE206" i="4"/>
  <c r="AD121" i="4"/>
  <c r="D128" i="4"/>
  <c r="H118" i="4"/>
  <c r="Z43" i="4"/>
  <c r="X68" i="4"/>
  <c r="X69" i="4"/>
  <c r="AD149" i="4"/>
  <c r="Z264" i="4"/>
  <c r="N264" i="4"/>
  <c r="Z222" i="4"/>
  <c r="V77" i="4"/>
  <c r="AF113" i="4"/>
  <c r="I121" i="4"/>
  <c r="I14" i="4"/>
  <c r="I101" i="4"/>
  <c r="AA88" i="4"/>
  <c r="U141" i="4"/>
  <c r="U144" i="4"/>
  <c r="G141" i="4"/>
  <c r="G144" i="4"/>
  <c r="O141" i="4"/>
  <c r="AE141" i="4"/>
  <c r="AE144" i="4"/>
  <c r="Q206" i="4"/>
  <c r="G104" i="4"/>
  <c r="N184" i="4"/>
  <c r="P88" i="4"/>
  <c r="M149" i="4"/>
  <c r="M114" i="4"/>
  <c r="U58" i="4"/>
  <c r="U59" i="4"/>
  <c r="U60" i="4"/>
  <c r="AB75" i="4"/>
  <c r="AD58" i="4"/>
  <c r="J171" i="4"/>
  <c r="Z171" i="4"/>
  <c r="T174" i="4"/>
  <c r="T129" i="4"/>
  <c r="L14" i="4"/>
  <c r="M223" i="4"/>
  <c r="J184" i="4"/>
  <c r="Z184" i="4"/>
  <c r="T184" i="4"/>
  <c r="AB184" i="4"/>
  <c r="F184" i="4"/>
  <c r="I193" i="4"/>
  <c r="AG193" i="4"/>
  <c r="O14" i="4"/>
  <c r="O101" i="4"/>
  <c r="P93" i="4"/>
  <c r="P136" i="4"/>
  <c r="P138" i="4"/>
  <c r="AG206" i="4"/>
  <c r="F71" i="4"/>
  <c r="AC71" i="4"/>
  <c r="AC128" i="4"/>
  <c r="O174" i="4"/>
  <c r="O179" i="4"/>
  <c r="D136" i="4"/>
  <c r="D138" i="4"/>
  <c r="T136" i="4"/>
  <c r="T138" i="4"/>
  <c r="AB136" i="4"/>
  <c r="AB138" i="4"/>
  <c r="V81" i="4"/>
  <c r="O149" i="4"/>
  <c r="W149" i="4"/>
  <c r="W84" i="4"/>
  <c r="W90" i="4"/>
  <c r="AE149" i="4"/>
  <c r="V171" i="4"/>
  <c r="X174" i="4"/>
  <c r="K193" i="4"/>
  <c r="AF105" i="4"/>
  <c r="AF107" i="4"/>
  <c r="E193" i="4"/>
  <c r="O193" i="4"/>
  <c r="I201" i="4"/>
  <c r="Q201" i="4"/>
  <c r="Y201" i="4"/>
  <c r="AG201" i="4"/>
  <c r="K201" i="4"/>
  <c r="AA201" i="4"/>
  <c r="M201" i="4"/>
  <c r="G201" i="4"/>
  <c r="O201" i="4"/>
  <c r="W201" i="4"/>
  <c r="AE201" i="4"/>
  <c r="AA79" i="4"/>
  <c r="O180" i="4"/>
  <c r="O12" i="4"/>
  <c r="W180" i="4"/>
  <c r="W12" i="4"/>
  <c r="W18" i="4"/>
  <c r="Q149" i="4"/>
  <c r="Q115" i="4"/>
  <c r="AB115" i="4"/>
  <c r="AB149" i="4"/>
  <c r="AB84" i="4"/>
  <c r="W71" i="4"/>
  <c r="E83" i="4"/>
  <c r="Y89" i="4"/>
  <c r="Y93" i="4"/>
  <c r="L75" i="4"/>
  <c r="L58" i="4"/>
  <c r="L59" i="4"/>
  <c r="Q74" i="4"/>
  <c r="Q128" i="4"/>
  <c r="K180" i="4"/>
  <c r="X237" i="4"/>
  <c r="K12" i="4"/>
  <c r="K22" i="4"/>
  <c r="S12" i="4"/>
  <c r="S18" i="4"/>
  <c r="S180" i="4"/>
  <c r="AA12" i="4"/>
  <c r="AA30" i="4"/>
  <c r="AA180" i="4"/>
  <c r="K184" i="4"/>
  <c r="K108" i="4"/>
  <c r="K104" i="4"/>
  <c r="AG107" i="4"/>
  <c r="AG106" i="4"/>
  <c r="Z47" i="4"/>
  <c r="AD48" i="4"/>
  <c r="AG102" i="4"/>
  <c r="AG121" i="4"/>
  <c r="E156" i="4"/>
  <c r="E157" i="4"/>
  <c r="M156" i="4"/>
  <c r="M157" i="4"/>
  <c r="AC156" i="4"/>
  <c r="AC157" i="4"/>
  <c r="V68" i="4"/>
  <c r="V162" i="4"/>
  <c r="V43" i="4"/>
  <c r="V204" i="4"/>
  <c r="V206" i="4"/>
  <c r="V128" i="4"/>
  <c r="U118" i="4"/>
  <c r="V118" i="4"/>
  <c r="T70" i="4"/>
  <c r="T162" i="4"/>
  <c r="AF70" i="4"/>
  <c r="AF88" i="4"/>
  <c r="AF162" i="4"/>
  <c r="AF127" i="4"/>
  <c r="I236" i="4"/>
  <c r="U264" i="4"/>
  <c r="U250" i="4"/>
  <c r="I250" i="4"/>
  <c r="I222" i="4"/>
  <c r="D264" i="4"/>
  <c r="D222" i="4"/>
  <c r="D250" i="4"/>
  <c r="D236" i="4"/>
  <c r="P264" i="4"/>
  <c r="P236" i="4"/>
  <c r="T113" i="4"/>
  <c r="T103" i="4"/>
  <c r="T120" i="4"/>
  <c r="J93" i="4"/>
  <c r="J83" i="4"/>
  <c r="Q83" i="4"/>
  <c r="P83" i="4"/>
  <c r="F83" i="4"/>
  <c r="K88" i="4"/>
  <c r="J71" i="4"/>
  <c r="K83" i="4"/>
  <c r="AB121" i="4"/>
  <c r="R250" i="4"/>
  <c r="R236" i="4"/>
  <c r="F236" i="4"/>
  <c r="F222" i="4"/>
  <c r="R222" i="4"/>
  <c r="P120" i="4"/>
  <c r="P103" i="4"/>
  <c r="X120" i="4"/>
  <c r="X103" i="4"/>
  <c r="X113" i="4"/>
  <c r="Y113" i="4"/>
  <c r="H83" i="4"/>
  <c r="I83" i="4"/>
  <c r="Z115" i="4"/>
  <c r="Z121" i="4"/>
  <c r="Z119" i="4"/>
  <c r="K121" i="4"/>
  <c r="K48" i="4"/>
  <c r="K152" i="4"/>
  <c r="K102" i="4"/>
  <c r="W48" i="4"/>
  <c r="Z102" i="4"/>
  <c r="W68" i="4"/>
  <c r="I80" i="4"/>
  <c r="I81" i="4"/>
  <c r="I136" i="4"/>
  <c r="I138" i="4"/>
  <c r="AA102" i="4"/>
  <c r="X48" i="4"/>
  <c r="AA121" i="4"/>
  <c r="I204" i="4"/>
  <c r="I206" i="4"/>
  <c r="I162" i="4"/>
  <c r="P204" i="4"/>
  <c r="P206" i="4"/>
  <c r="P43" i="4"/>
  <c r="P128" i="4"/>
  <c r="O43" i="4"/>
  <c r="L121" i="4"/>
  <c r="AA81" i="4"/>
  <c r="I68" i="4"/>
  <c r="I43" i="4"/>
  <c r="U81" i="4"/>
  <c r="AG80" i="4"/>
  <c r="AG136" i="4"/>
  <c r="AG138" i="4"/>
  <c r="E121" i="4"/>
  <c r="P115" i="4"/>
  <c r="P121" i="4"/>
  <c r="AG149" i="4"/>
  <c r="AG115" i="4"/>
  <c r="E102" i="4"/>
  <c r="E152" i="4"/>
  <c r="E48" i="4"/>
  <c r="M121" i="4"/>
  <c r="M119" i="4"/>
  <c r="M102" i="4"/>
  <c r="Q48" i="4"/>
  <c r="T152" i="4"/>
  <c r="T121" i="4"/>
  <c r="T102" i="4"/>
  <c r="K149" i="10"/>
  <c r="K152" i="10"/>
  <c r="K154" i="10"/>
  <c r="K212" i="10"/>
  <c r="V184" i="4"/>
  <c r="P193" i="4"/>
  <c r="AF193" i="4"/>
  <c r="T83" i="4"/>
  <c r="V264" i="4"/>
  <c r="J250" i="4"/>
  <c r="V222" i="4"/>
  <c r="S77" i="4"/>
  <c r="X58" i="4"/>
  <c r="X59" i="4"/>
  <c r="X60" i="4"/>
  <c r="V58" i="4"/>
  <c r="X75" i="4"/>
  <c r="Z58" i="4"/>
  <c r="Z59" i="4"/>
  <c r="Z60" i="4"/>
  <c r="AB58" i="4"/>
  <c r="AB59" i="4"/>
  <c r="AB60" i="4"/>
  <c r="H14" i="4"/>
  <c r="P14" i="4"/>
  <c r="P101" i="4"/>
  <c r="X14" i="4"/>
  <c r="X101" i="4"/>
  <c r="AF14" i="4"/>
  <c r="AF101" i="4"/>
  <c r="H180" i="4"/>
  <c r="U237" i="4"/>
  <c r="L184" i="4"/>
  <c r="W184" i="4"/>
  <c r="AE184" i="4"/>
  <c r="Q193" i="4"/>
  <c r="Y193" i="4"/>
  <c r="E79" i="4"/>
  <c r="P118" i="4"/>
  <c r="J121" i="4"/>
  <c r="J119" i="4"/>
  <c r="T78" i="4"/>
  <c r="D78" i="4"/>
  <c r="T58" i="4"/>
  <c r="T59" i="4"/>
  <c r="T60" i="4"/>
  <c r="T77" i="4"/>
  <c r="O184" i="4"/>
  <c r="AG75" i="4"/>
  <c r="R93" i="4"/>
  <c r="R89" i="4"/>
  <c r="AB83" i="4"/>
  <c r="AC83" i="4"/>
  <c r="M78" i="4"/>
  <c r="M88" i="4"/>
  <c r="M136" i="4"/>
  <c r="M138" i="4"/>
  <c r="U78" i="4"/>
  <c r="U136" i="4"/>
  <c r="U138" i="4"/>
  <c r="L118" i="4"/>
  <c r="L68" i="4"/>
  <c r="L93" i="4"/>
  <c r="L204" i="4"/>
  <c r="L206" i="4"/>
  <c r="L128" i="4"/>
  <c r="L162" i="4"/>
  <c r="AA128" i="4"/>
  <c r="AA162" i="4"/>
  <c r="X118" i="4"/>
  <c r="X43" i="4"/>
  <c r="AA68" i="4"/>
  <c r="H193" i="4"/>
  <c r="X193" i="4"/>
  <c r="N43" i="4"/>
  <c r="AE180" i="4"/>
  <c r="AC152" i="4"/>
  <c r="E250" i="4"/>
  <c r="E264" i="4"/>
  <c r="Q250" i="4"/>
  <c r="Q236" i="4"/>
  <c r="E236" i="4"/>
  <c r="W120" i="4"/>
  <c r="W103" i="4"/>
  <c r="W113" i="4"/>
  <c r="AD113" i="4"/>
  <c r="AD120" i="4"/>
  <c r="AD103" i="4"/>
  <c r="H113" i="4"/>
  <c r="L83" i="4"/>
  <c r="G43" i="4"/>
  <c r="G162" i="4"/>
  <c r="G127" i="4"/>
  <c r="G118" i="4"/>
  <c r="M68" i="4"/>
  <c r="M89" i="4"/>
  <c r="M43" i="4"/>
  <c r="M204" i="4"/>
  <c r="M206" i="4"/>
  <c r="M128" i="4"/>
  <c r="M162" i="4"/>
  <c r="Y43" i="4"/>
  <c r="AB118" i="4"/>
  <c r="AB204" i="4"/>
  <c r="AB206" i="4"/>
  <c r="H71" i="4"/>
  <c r="G71" i="4"/>
  <c r="L71" i="4"/>
  <c r="S162" i="4"/>
  <c r="S167" i="4"/>
  <c r="S70" i="4"/>
  <c r="O75" i="4"/>
  <c r="Y75" i="4"/>
  <c r="AD75" i="4"/>
  <c r="AC75" i="4"/>
  <c r="AA58" i="4"/>
  <c r="AA59" i="4"/>
  <c r="F174" i="4"/>
  <c r="N174" i="4"/>
  <c r="AD171" i="4"/>
  <c r="AD174" i="4"/>
  <c r="AG184" i="4"/>
  <c r="J110" i="4"/>
  <c r="J104" i="4"/>
  <c r="J193" i="4"/>
  <c r="P105" i="4"/>
  <c r="P107" i="4"/>
  <c r="O105" i="4"/>
  <c r="X105" i="4"/>
  <c r="F206" i="4"/>
  <c r="AC120" i="4"/>
  <c r="AG83" i="4"/>
  <c r="AG93" i="4"/>
  <c r="AA136" i="4"/>
  <c r="AA138" i="4"/>
  <c r="E149" i="4"/>
  <c r="U149" i="4"/>
  <c r="U204" i="4"/>
  <c r="U206" i="4"/>
  <c r="U162" i="4"/>
  <c r="U127" i="4"/>
  <c r="U68" i="4"/>
  <c r="K71" i="4"/>
  <c r="I180" i="4"/>
  <c r="V237" i="4"/>
  <c r="I12" i="4"/>
  <c r="AA184" i="4"/>
  <c r="I184" i="4"/>
  <c r="H201" i="4"/>
  <c r="P201" i="4"/>
  <c r="X201" i="4"/>
  <c r="R79" i="4"/>
  <c r="O102" i="4"/>
  <c r="O152" i="4"/>
  <c r="AC102" i="4"/>
  <c r="Z48" i="4"/>
  <c r="Q156" i="4"/>
  <c r="Q157" i="4"/>
  <c r="Q99" i="4"/>
  <c r="Y156" i="4"/>
  <c r="Y157" i="4"/>
  <c r="S156" i="4"/>
  <c r="S157" i="4"/>
  <c r="X204" i="4"/>
  <c r="X206" i="4"/>
  <c r="Z75" i="4"/>
  <c r="H174" i="4"/>
  <c r="P174" i="4"/>
  <c r="P179" i="4"/>
  <c r="J14" i="4"/>
  <c r="J101" i="4"/>
  <c r="Z14" i="4"/>
  <c r="Z101" i="4"/>
  <c r="Y80" i="4"/>
  <c r="X81" i="4"/>
  <c r="Y136" i="4"/>
  <c r="Y138" i="4"/>
  <c r="N149" i="4"/>
  <c r="N115" i="4"/>
  <c r="Q68" i="4"/>
  <c r="Q43" i="4"/>
  <c r="I75" i="4"/>
  <c r="J58" i="4"/>
  <c r="J59" i="4"/>
  <c r="J60" i="4"/>
  <c r="T201" i="4"/>
  <c r="AB201" i="4"/>
  <c r="N201" i="4"/>
  <c r="W88" i="4"/>
  <c r="AA103" i="4"/>
  <c r="S141" i="4"/>
  <c r="AA141" i="4"/>
  <c r="E141" i="4"/>
  <c r="M141" i="4"/>
  <c r="I149" i="4"/>
  <c r="M108" i="4"/>
  <c r="M104" i="4"/>
  <c r="M117" i="4"/>
  <c r="M116" i="4"/>
  <c r="Z251" i="4"/>
  <c r="M184" i="4"/>
  <c r="AE193" i="4"/>
  <c r="AE83" i="4"/>
  <c r="P81" i="4"/>
  <c r="D141" i="4"/>
  <c r="V141" i="4"/>
  <c r="V144" i="4"/>
  <c r="F149" i="4"/>
  <c r="V149" i="4"/>
  <c r="D149" i="4"/>
  <c r="L149" i="4"/>
  <c r="L114" i="4"/>
  <c r="T149" i="4"/>
  <c r="AB71" i="4"/>
  <c r="G81" i="4"/>
  <c r="R184" i="4"/>
  <c r="T193" i="4"/>
  <c r="M193" i="4"/>
  <c r="G193" i="4"/>
  <c r="AC77" i="4"/>
  <c r="H136" i="4"/>
  <c r="AC81" i="4"/>
  <c r="Y69" i="4"/>
  <c r="AF75" i="4"/>
  <c r="J174" i="4"/>
  <c r="D174" i="4"/>
  <c r="L174" i="4"/>
  <c r="AC180" i="4"/>
  <c r="Q184" i="4"/>
  <c r="Y184" i="4"/>
  <c r="Y236" i="4"/>
  <c r="N83" i="4"/>
  <c r="H141" i="4"/>
  <c r="X141" i="4"/>
  <c r="X144" i="4"/>
  <c r="AF141" i="4"/>
  <c r="R141" i="4"/>
  <c r="J149" i="4"/>
  <c r="R149" i="4"/>
  <c r="Z149" i="4"/>
  <c r="H149" i="4"/>
  <c r="P149" i="4"/>
  <c r="AF149" i="4"/>
  <c r="Z152" i="4"/>
  <c r="AD156" i="4"/>
  <c r="AD157" i="4"/>
  <c r="Q162" i="4"/>
  <c r="Q70" i="4"/>
  <c r="D117" i="4"/>
  <c r="AD88" i="4"/>
  <c r="AE14" i="4"/>
  <c r="AE101" i="4"/>
  <c r="AG51" i="4"/>
  <c r="AG49" i="4"/>
  <c r="I77" i="4"/>
  <c r="Q77" i="4"/>
  <c r="P77" i="4"/>
  <c r="X77" i="4"/>
  <c r="Y77" i="4"/>
  <c r="AF77" i="4"/>
  <c r="AG77" i="4"/>
  <c r="D113" i="4"/>
  <c r="D120" i="4"/>
  <c r="D103" i="4"/>
  <c r="J113" i="4"/>
  <c r="J103" i="4"/>
  <c r="G83" i="4"/>
  <c r="G93" i="4"/>
  <c r="E80" i="4"/>
  <c r="E136" i="4"/>
  <c r="E138" i="4"/>
  <c r="J81" i="4"/>
  <c r="G89" i="4"/>
  <c r="K222" i="4"/>
  <c r="W264" i="4"/>
  <c r="W222" i="4"/>
  <c r="W250" i="4"/>
  <c r="K264" i="4"/>
  <c r="W236" i="4"/>
  <c r="X236" i="4"/>
  <c r="L250" i="4"/>
  <c r="L264" i="4"/>
  <c r="L222" i="4"/>
  <c r="X222" i="4"/>
  <c r="L236" i="4"/>
  <c r="X250" i="4"/>
  <c r="X264" i="4"/>
  <c r="D77" i="4"/>
  <c r="K77" i="4"/>
  <c r="L77" i="4"/>
  <c r="AA77" i="4"/>
  <c r="AA82" i="4"/>
  <c r="L80" i="4"/>
  <c r="L88" i="4"/>
  <c r="L136" i="4"/>
  <c r="L138" i="4"/>
  <c r="R69" i="4"/>
  <c r="S93" i="4"/>
  <c r="AA92" i="4"/>
  <c r="S69" i="4"/>
  <c r="S222" i="4"/>
  <c r="G250" i="4"/>
  <c r="S236" i="4"/>
  <c r="G264" i="4"/>
  <c r="S264" i="4"/>
  <c r="S250" i="4"/>
  <c r="W82" i="4"/>
  <c r="S89" i="4"/>
  <c r="AB88" i="4"/>
  <c r="H77" i="4"/>
  <c r="R113" i="4"/>
  <c r="R120" i="4"/>
  <c r="R103" i="4"/>
  <c r="Y103" i="4"/>
  <c r="AE120" i="4"/>
  <c r="Q113" i="4"/>
  <c r="AG113" i="4"/>
  <c r="AG103" i="4"/>
  <c r="Z136" i="4"/>
  <c r="Z80" i="4"/>
  <c r="AG70" i="4"/>
  <c r="AG162" i="4"/>
  <c r="L120" i="4"/>
  <c r="S120" i="4"/>
  <c r="S103" i="4"/>
  <c r="AG62" i="4"/>
  <c r="W43" i="4"/>
  <c r="U43" i="4"/>
  <c r="W162" i="4"/>
  <c r="W127" i="4"/>
  <c r="T43" i="4"/>
  <c r="W118" i="4"/>
  <c r="W204" i="4"/>
  <c r="W206" i="4"/>
  <c r="T118" i="4"/>
  <c r="W128" i="4"/>
  <c r="Y118" i="4"/>
  <c r="AA118" i="4"/>
  <c r="AB68" i="4"/>
  <c r="AB128" i="4"/>
  <c r="Z118" i="4"/>
  <c r="H108" i="4"/>
  <c r="H104" i="4"/>
  <c r="H184" i="4"/>
  <c r="T236" i="4"/>
  <c r="H236" i="4"/>
  <c r="T222" i="4"/>
  <c r="T264" i="4"/>
  <c r="T250" i="4"/>
  <c r="H222" i="4"/>
  <c r="H264" i="4"/>
  <c r="R83" i="4"/>
  <c r="S83" i="4"/>
  <c r="F74" i="4"/>
  <c r="F128" i="4"/>
  <c r="K59" i="4"/>
  <c r="K60" i="4"/>
  <c r="T89" i="4"/>
  <c r="T93" i="4"/>
  <c r="AE103" i="4"/>
  <c r="O103" i="4"/>
  <c r="O120" i="4"/>
  <c r="O113" i="4"/>
  <c r="Q62" i="4"/>
  <c r="T204" i="4"/>
  <c r="T206" i="4"/>
  <c r="R43" i="4"/>
  <c r="S43" i="4"/>
  <c r="T128" i="4"/>
  <c r="Q118" i="4"/>
  <c r="S118" i="4"/>
  <c r="AE70" i="4"/>
  <c r="AE162" i="4"/>
  <c r="G58" i="4"/>
  <c r="I79" i="4"/>
  <c r="AF59" i="4"/>
  <c r="AF60" i="4"/>
  <c r="I120" i="4"/>
  <c r="I103" i="4"/>
  <c r="O80" i="4"/>
  <c r="O136" i="4"/>
  <c r="O138" i="4"/>
  <c r="T81" i="4"/>
  <c r="AE80" i="4"/>
  <c r="AD92" i="4"/>
  <c r="AE136" i="4"/>
  <c r="J48" i="4"/>
  <c r="J152" i="4"/>
  <c r="R152" i="4"/>
  <c r="O48" i="4"/>
  <c r="R121" i="4"/>
  <c r="Y152" i="4"/>
  <c r="Y102" i="4"/>
  <c r="Y121" i="4"/>
  <c r="V48" i="4"/>
  <c r="AF121" i="4"/>
  <c r="AF102" i="4"/>
  <c r="AC48" i="4"/>
  <c r="L156" i="4"/>
  <c r="L157" i="4"/>
  <c r="H58" i="4"/>
  <c r="G75" i="4"/>
  <c r="H75" i="4"/>
  <c r="W14" i="4"/>
  <c r="W101" i="4"/>
  <c r="Y12" i="4"/>
  <c r="Y180" i="4"/>
  <c r="N222" i="4"/>
  <c r="N250" i="4"/>
  <c r="N236" i="4"/>
  <c r="Z236" i="4"/>
  <c r="D60" i="4"/>
  <c r="E108" i="4"/>
  <c r="E104" i="4"/>
  <c r="E184" i="4"/>
  <c r="U236" i="4"/>
  <c r="U222" i="4"/>
  <c r="I264" i="4"/>
  <c r="Q136" i="4"/>
  <c r="Q138" i="4"/>
  <c r="Q78" i="4"/>
  <c r="AA43" i="4"/>
  <c r="AD68" i="4"/>
  <c r="AD162" i="4"/>
  <c r="I59" i="4"/>
  <c r="I60" i="4"/>
  <c r="G14" i="4"/>
  <c r="K14" i="4"/>
  <c r="M12" i="4"/>
  <c r="M180" i="4"/>
  <c r="Z237" i="4"/>
  <c r="U180" i="4"/>
  <c r="U12" i="4"/>
  <c r="G184" i="4"/>
  <c r="S184" i="4"/>
  <c r="U193" i="4"/>
  <c r="AC193" i="4"/>
  <c r="E77" i="4"/>
  <c r="AD43" i="4"/>
  <c r="D14" i="4"/>
  <c r="J236" i="4"/>
  <c r="V250" i="4"/>
  <c r="V236" i="4"/>
  <c r="J222" i="4"/>
  <c r="J136" i="4"/>
  <c r="J138" i="4"/>
  <c r="S80" i="4"/>
  <c r="S81" i="4"/>
  <c r="S136" i="4"/>
  <c r="S138" i="4"/>
  <c r="Y128" i="4"/>
  <c r="Y204" i="4"/>
  <c r="Y206" i="4"/>
  <c r="P222" i="4"/>
  <c r="F141" i="4"/>
  <c r="K162" i="4"/>
  <c r="K128" i="4"/>
  <c r="F264" i="4"/>
  <c r="P250" i="4"/>
  <c r="AD201" i="4"/>
  <c r="P195" i="10"/>
  <c r="I52" i="10"/>
  <c r="I54" i="10"/>
  <c r="W79" i="4"/>
  <c r="S179" i="4"/>
  <c r="AC179" i="4"/>
  <c r="H252" i="10"/>
  <c r="H263" i="10"/>
  <c r="F197" i="10"/>
  <c r="Z144" i="4"/>
  <c r="V47" i="4"/>
  <c r="AG28" i="4"/>
  <c r="AG29" i="4"/>
  <c r="J203" i="4"/>
  <c r="AD100" i="4"/>
  <c r="W47" i="4"/>
  <c r="R106" i="4"/>
  <c r="AF22" i="4"/>
  <c r="U106" i="4"/>
  <c r="D78" i="10"/>
  <c r="D80" i="10"/>
  <c r="L78" i="10"/>
  <c r="L80" i="10"/>
  <c r="L177" i="10"/>
  <c r="L180" i="10"/>
  <c r="L199" i="10"/>
  <c r="G78" i="10"/>
  <c r="G80" i="10"/>
  <c r="G15" i="10"/>
  <c r="G18" i="10"/>
  <c r="G21" i="10"/>
  <c r="G23" i="10"/>
  <c r="G139" i="10"/>
  <c r="D197" i="10"/>
  <c r="D199" i="10"/>
  <c r="N119" i="10"/>
  <c r="N219" i="10"/>
  <c r="N143" i="10"/>
  <c r="J52" i="10"/>
  <c r="J54" i="10"/>
  <c r="M147" i="10"/>
  <c r="L122" i="10"/>
  <c r="H94" i="10"/>
  <c r="H15" i="10"/>
  <c r="H18" i="10"/>
  <c r="H27" i="10"/>
  <c r="G174" i="10"/>
  <c r="G180" i="10"/>
  <c r="E197" i="10"/>
  <c r="C212" i="10"/>
  <c r="N142" i="10"/>
  <c r="G95" i="10"/>
  <c r="I95" i="10"/>
  <c r="J95" i="10"/>
  <c r="N120" i="10"/>
  <c r="H52" i="10"/>
  <c r="H54" i="10"/>
  <c r="I180" i="10"/>
  <c r="U99" i="4"/>
  <c r="F72" i="4"/>
  <c r="AG153" i="4"/>
  <c r="AG64" i="4"/>
  <c r="AA179" i="4"/>
  <c r="O119" i="4"/>
  <c r="O28" i="4"/>
  <c r="E44" i="4"/>
  <c r="E50" i="4"/>
  <c r="AG144" i="4"/>
  <c r="AG145" i="4"/>
  <c r="AB210" i="4"/>
  <c r="R110" i="4"/>
  <c r="Q144" i="4"/>
  <c r="Q145" i="4"/>
  <c r="AC84" i="4"/>
  <c r="AC90" i="4"/>
  <c r="F69" i="4"/>
  <c r="H149" i="10"/>
  <c r="H152" i="10"/>
  <c r="H154" i="10"/>
  <c r="H210" i="10"/>
  <c r="E16" i="4"/>
  <c r="J15" i="10"/>
  <c r="J18" i="10"/>
  <c r="J21" i="10"/>
  <c r="J26" i="10"/>
  <c r="J29" i="10"/>
  <c r="G192" i="10"/>
  <c r="G197" i="10"/>
  <c r="AE99" i="4"/>
  <c r="F167" i="4"/>
  <c r="J149" i="10"/>
  <c r="J152" i="10"/>
  <c r="J154" i="10"/>
  <c r="J156" i="10"/>
  <c r="J159" i="10"/>
  <c r="J163" i="10"/>
  <c r="I192" i="10"/>
  <c r="I197" i="10"/>
  <c r="D52" i="10"/>
  <c r="D54" i="10"/>
  <c r="I15" i="10"/>
  <c r="I18" i="10"/>
  <c r="I21" i="10"/>
  <c r="I23" i="10"/>
  <c r="I139" i="10"/>
  <c r="H98" i="4"/>
  <c r="W98" i="4"/>
  <c r="G203" i="4"/>
  <c r="P127" i="4"/>
  <c r="E93" i="4"/>
  <c r="S203" i="4"/>
  <c r="H180" i="10"/>
  <c r="H192" i="10"/>
  <c r="H197" i="10"/>
  <c r="J78" i="10"/>
  <c r="J80" i="10"/>
  <c r="AC106" i="4"/>
  <c r="C180" i="10"/>
  <c r="F180" i="10"/>
  <c r="J197" i="10"/>
  <c r="O66" i="10"/>
  <c r="D110" i="10"/>
  <c r="J110" i="10"/>
  <c r="F15" i="10"/>
  <c r="F18" i="10"/>
  <c r="F21" i="10"/>
  <c r="F23" i="10"/>
  <c r="F139" i="10"/>
  <c r="G96" i="4"/>
  <c r="N14" i="10"/>
  <c r="C94" i="10"/>
  <c r="F218" i="10"/>
  <c r="F54" i="10"/>
  <c r="G52" i="10"/>
  <c r="G54" i="10"/>
  <c r="AA106" i="4"/>
  <c r="X73" i="4"/>
  <c r="Z69" i="4"/>
  <c r="AB167" i="4"/>
  <c r="G84" i="4"/>
  <c r="G90" i="4"/>
  <c r="G45" i="4"/>
  <c r="G51" i="4"/>
  <c r="T106" i="4"/>
  <c r="E119" i="4"/>
  <c r="K179" i="4"/>
  <c r="O203" i="4"/>
  <c r="D15" i="10"/>
  <c r="D18" i="10"/>
  <c r="D21" i="10"/>
  <c r="D26" i="10" s="1"/>
  <c r="D23" i="10"/>
  <c r="D139" i="10"/>
  <c r="S238" i="4"/>
  <c r="K197" i="10"/>
  <c r="K98" i="4"/>
  <c r="F212" i="10"/>
  <c r="N106" i="4"/>
  <c r="Y127" i="4"/>
  <c r="R100" i="4"/>
  <c r="R209" i="4"/>
  <c r="AG97" i="4"/>
  <c r="K129" i="4"/>
  <c r="L251" i="4"/>
  <c r="Y106" i="4"/>
  <c r="W153" i="4"/>
  <c r="W64" i="4"/>
  <c r="AD96" i="4"/>
  <c r="Y167" i="4"/>
  <c r="X119" i="4"/>
  <c r="AF24" i="4"/>
  <c r="O14" i="10"/>
  <c r="D94" i="10"/>
  <c r="AC60" i="4"/>
  <c r="D116" i="4"/>
  <c r="Q251" i="4"/>
  <c r="K45" i="4"/>
  <c r="K50" i="4"/>
  <c r="AF30" i="4"/>
  <c r="Q28" i="4"/>
  <c r="G114" i="4"/>
  <c r="G111" i="4"/>
  <c r="V129" i="4"/>
  <c r="AF203" i="4"/>
  <c r="G129" i="4"/>
  <c r="H251" i="4"/>
  <c r="W210" i="4"/>
  <c r="I210" i="4"/>
  <c r="V265" i="4"/>
  <c r="K99" i="4"/>
  <c r="G110" i="10"/>
  <c r="I110" i="10"/>
  <c r="V100" i="4"/>
  <c r="AB16" i="4"/>
  <c r="L101" i="4"/>
  <c r="L100" i="4"/>
  <c r="U72" i="4"/>
  <c r="U210" i="4"/>
  <c r="G30" i="4"/>
  <c r="G28" i="4"/>
  <c r="AD210" i="4"/>
  <c r="O18" i="4"/>
  <c r="P153" i="4"/>
  <c r="P64" i="4"/>
  <c r="P167" i="4"/>
  <c r="O20" i="4"/>
  <c r="AB100" i="4"/>
  <c r="AB209" i="4"/>
  <c r="AC203" i="4"/>
  <c r="S119" i="4"/>
  <c r="AG30" i="4"/>
  <c r="AG31" i="4"/>
  <c r="AE47" i="4"/>
  <c r="AE55" i="4"/>
  <c r="AC167" i="4"/>
  <c r="U45" i="4"/>
  <c r="U55" i="4"/>
  <c r="E88" i="4"/>
  <c r="X127" i="4"/>
  <c r="X167" i="4"/>
  <c r="AC153" i="4"/>
  <c r="AC64" i="4"/>
  <c r="D127" i="4"/>
  <c r="W129" i="4"/>
  <c r="N119" i="4"/>
  <c r="AF20" i="4"/>
  <c r="F78" i="10"/>
  <c r="F80" i="10"/>
  <c r="E78" i="10"/>
  <c r="E80" i="10"/>
  <c r="P12" i="10"/>
  <c r="E93" i="10"/>
  <c r="N12" i="10"/>
  <c r="C93" i="10"/>
  <c r="G97" i="10"/>
  <c r="I97" i="10"/>
  <c r="P66" i="10"/>
  <c r="E110" i="10"/>
  <c r="O35" i="10"/>
  <c r="D98" i="10"/>
  <c r="G99" i="10"/>
  <c r="I99" i="10"/>
  <c r="L126" i="10"/>
  <c r="H98" i="10"/>
  <c r="O58" i="10"/>
  <c r="D104" i="10"/>
  <c r="J104" i="10"/>
  <c r="M132" i="10"/>
  <c r="N58" i="10"/>
  <c r="C104" i="10"/>
  <c r="G93" i="10"/>
  <c r="I93" i="10"/>
  <c r="M121" i="10"/>
  <c r="P46" i="10"/>
  <c r="E95" i="10"/>
  <c r="L15" i="10"/>
  <c r="L18" i="10"/>
  <c r="L21" i="10"/>
  <c r="L26" i="10"/>
  <c r="L29" i="10"/>
  <c r="N39" i="10"/>
  <c r="C99" i="10"/>
  <c r="G107" i="10"/>
  <c r="I107" i="10"/>
  <c r="N35" i="10"/>
  <c r="C98" i="10"/>
  <c r="O12" i="10"/>
  <c r="D93" i="10"/>
  <c r="P58" i="10"/>
  <c r="E104" i="10"/>
  <c r="O72" i="10"/>
  <c r="D106" i="10"/>
  <c r="J106" i="10"/>
  <c r="M134" i="10"/>
  <c r="N51" i="10"/>
  <c r="C103" i="10"/>
  <c r="L132" i="10"/>
  <c r="H104" i="10"/>
  <c r="L131" i="10"/>
  <c r="H103" i="10"/>
  <c r="E52" i="10"/>
  <c r="H78" i="10"/>
  <c r="H80" i="10"/>
  <c r="G101" i="10"/>
  <c r="I101" i="10"/>
  <c r="L134" i="10"/>
  <c r="H106" i="10"/>
  <c r="P35" i="10"/>
  <c r="E98" i="10"/>
  <c r="P17" i="10"/>
  <c r="E97" i="10"/>
  <c r="N72" i="10"/>
  <c r="C106" i="10"/>
  <c r="N66" i="10"/>
  <c r="C110" i="10"/>
  <c r="C78" i="10"/>
  <c r="C80" i="10"/>
  <c r="O70" i="10"/>
  <c r="D105" i="10"/>
  <c r="J105" i="10"/>
  <c r="M133" i="10"/>
  <c r="H117" i="10"/>
  <c r="H145" i="10"/>
  <c r="H165" i="10"/>
  <c r="H208" i="10"/>
  <c r="K117" i="10"/>
  <c r="K145" i="10"/>
  <c r="K165" i="10"/>
  <c r="K208" i="10"/>
  <c r="J117" i="10"/>
  <c r="J145" i="10"/>
  <c r="J165" i="10"/>
  <c r="J208" i="10"/>
  <c r="N49" i="10"/>
  <c r="C109" i="10"/>
  <c r="P70" i="10"/>
  <c r="E105" i="10"/>
  <c r="G109" i="10"/>
  <c r="I109" i="10"/>
  <c r="M137" i="10"/>
  <c r="O17" i="10"/>
  <c r="D97" i="10"/>
  <c r="J97" i="10"/>
  <c r="G117" i="10"/>
  <c r="G145" i="10"/>
  <c r="G165" i="10"/>
  <c r="G208" i="10"/>
  <c r="L133" i="10"/>
  <c r="H105" i="10"/>
  <c r="O39" i="10"/>
  <c r="D99" i="10"/>
  <c r="J99" i="10"/>
  <c r="N17" i="10"/>
  <c r="C97" i="10"/>
  <c r="D117" i="10"/>
  <c r="D145" i="10"/>
  <c r="D165" i="10"/>
  <c r="D208" i="10"/>
  <c r="G91" i="10"/>
  <c r="F117" i="10"/>
  <c r="F145" i="10"/>
  <c r="F165" i="10"/>
  <c r="F208" i="10"/>
  <c r="H93" i="10"/>
  <c r="J102" i="10"/>
  <c r="M130" i="10"/>
  <c r="N61" i="10"/>
  <c r="C108" i="10"/>
  <c r="N7" i="10"/>
  <c r="C91" i="10"/>
  <c r="G108" i="10"/>
  <c r="I108" i="10"/>
  <c r="P9" i="10"/>
  <c r="E92" i="10"/>
  <c r="N70" i="10"/>
  <c r="C105" i="10"/>
  <c r="I117" i="10"/>
  <c r="I145" i="10"/>
  <c r="I165" i="10"/>
  <c r="I208" i="10"/>
  <c r="C117" i="10"/>
  <c r="C145" i="10"/>
  <c r="C165" i="10"/>
  <c r="C208" i="10"/>
  <c r="G100" i="10"/>
  <c r="I100" i="10"/>
  <c r="O61" i="10"/>
  <c r="D108" i="10"/>
  <c r="J108" i="10"/>
  <c r="N44" i="10"/>
  <c r="C102" i="10"/>
  <c r="O44" i="10"/>
  <c r="D102" i="10"/>
  <c r="O7" i="10"/>
  <c r="D91" i="10"/>
  <c r="P44" i="10"/>
  <c r="E102" i="10"/>
  <c r="P61" i="10"/>
  <c r="E108" i="10"/>
  <c r="L130" i="10"/>
  <c r="H102" i="10"/>
  <c r="J180" i="10"/>
  <c r="P49" i="10"/>
  <c r="E109" i="10"/>
  <c r="Z45" i="4"/>
  <c r="Z51" i="4"/>
  <c r="P106" i="4"/>
  <c r="I179" i="4"/>
  <c r="W89" i="4"/>
  <c r="W91" i="4"/>
  <c r="AE69" i="4"/>
  <c r="F93" i="4"/>
  <c r="O25" i="10"/>
  <c r="D96" i="10"/>
  <c r="J96" i="10"/>
  <c r="W119" i="4"/>
  <c r="E149" i="10"/>
  <c r="E152" i="10"/>
  <c r="E154" i="10"/>
  <c r="E160" i="10"/>
  <c r="Q12" i="10"/>
  <c r="F93" i="10"/>
  <c r="W107" i="4"/>
  <c r="S153" i="4"/>
  <c r="S64" i="4"/>
  <c r="J99" i="4"/>
  <c r="I152" i="10"/>
  <c r="I154" i="10"/>
  <c r="I210" i="10"/>
  <c r="O9" i="10"/>
  <c r="D92" i="10"/>
  <c r="P144" i="4"/>
  <c r="P145" i="4"/>
  <c r="P61" i="4"/>
  <c r="P63" i="4"/>
  <c r="Y44" i="4"/>
  <c r="Y49" i="4"/>
  <c r="N41" i="10"/>
  <c r="C101" i="10"/>
  <c r="O41" i="10"/>
  <c r="D101" i="10"/>
  <c r="J101" i="10"/>
  <c r="G97" i="4"/>
  <c r="Z179" i="4"/>
  <c r="N99" i="4"/>
  <c r="N210" i="4"/>
  <c r="P265" i="4"/>
  <c r="AF89" i="4"/>
  <c r="AD119" i="4"/>
  <c r="Z44" i="4"/>
  <c r="Z49" i="4"/>
  <c r="M96" i="4"/>
  <c r="F223" i="4"/>
  <c r="E167" i="4"/>
  <c r="AE129" i="4"/>
  <c r="N25" i="10"/>
  <c r="C96" i="10"/>
  <c r="P25" i="10"/>
  <c r="E96" i="10"/>
  <c r="P41" i="10"/>
  <c r="E101" i="10"/>
  <c r="Z129" i="4"/>
  <c r="X79" i="4"/>
  <c r="AB79" i="4"/>
  <c r="Q107" i="4"/>
  <c r="Q110" i="4"/>
  <c r="J210" i="4"/>
  <c r="W265" i="4"/>
  <c r="P39" i="10"/>
  <c r="E99" i="10"/>
  <c r="AB127" i="4"/>
  <c r="Y179" i="4"/>
  <c r="AE106" i="4"/>
  <c r="AD153" i="4"/>
  <c r="AD64" i="4"/>
  <c r="N79" i="4"/>
  <c r="L120" i="10"/>
  <c r="L145" i="10"/>
  <c r="M117" i="10"/>
  <c r="M145" i="10"/>
  <c r="AD106" i="4"/>
  <c r="X88" i="4"/>
  <c r="O51" i="10"/>
  <c r="D103" i="10"/>
  <c r="J103" i="10"/>
  <c r="M131" i="10"/>
  <c r="M153" i="4"/>
  <c r="M158" i="4"/>
  <c r="K97" i="4"/>
  <c r="N223" i="4"/>
  <c r="M224" i="4"/>
  <c r="P98" i="4"/>
  <c r="G153" i="4"/>
  <c r="G64" i="4"/>
  <c r="E69" i="4"/>
  <c r="G96" i="10"/>
  <c r="I96" i="10"/>
  <c r="J4" i="10"/>
  <c r="K82" i="10"/>
  <c r="K31" i="10"/>
  <c r="N117" i="10"/>
  <c r="N145" i="10"/>
  <c r="O93" i="4"/>
  <c r="AG98" i="4"/>
  <c r="V98" i="4"/>
  <c r="Q100" i="4"/>
  <c r="Q209" i="4"/>
  <c r="K78" i="10"/>
  <c r="K80" i="10"/>
  <c r="P203" i="4"/>
  <c r="Z203" i="4"/>
  <c r="K52" i="10"/>
  <c r="K54" i="10"/>
  <c r="AF106" i="4"/>
  <c r="D72" i="4"/>
  <c r="W45" i="4"/>
  <c r="AB129" i="4"/>
  <c r="V203" i="4"/>
  <c r="AE98" i="4"/>
  <c r="H108" i="10"/>
  <c r="K120" i="10"/>
  <c r="O68" i="10"/>
  <c r="D107" i="10"/>
  <c r="J107" i="10"/>
  <c r="C52" i="10"/>
  <c r="C54" i="10"/>
  <c r="F210" i="10"/>
  <c r="E180" i="10"/>
  <c r="O46" i="10"/>
  <c r="D95" i="10"/>
  <c r="N9" i="10"/>
  <c r="C92" i="10"/>
  <c r="N46" i="10"/>
  <c r="C95" i="10"/>
  <c r="K123" i="10"/>
  <c r="H95" i="10"/>
  <c r="C192" i="10"/>
  <c r="C197" i="10"/>
  <c r="G112" i="10"/>
  <c r="O49" i="10"/>
  <c r="D109" i="10"/>
  <c r="E15" i="10"/>
  <c r="E18" i="10"/>
  <c r="E27" i="10"/>
  <c r="Q46" i="10"/>
  <c r="F95" i="10"/>
  <c r="N20" i="10"/>
  <c r="C112" i="10"/>
  <c r="D284" i="10"/>
  <c r="C284" i="10"/>
  <c r="I137" i="10"/>
  <c r="H109" i="10"/>
  <c r="Q44" i="10"/>
  <c r="F102" i="10"/>
  <c r="P68" i="10"/>
  <c r="E107" i="10"/>
  <c r="L218" i="10"/>
  <c r="C15" i="10"/>
  <c r="C18" i="10"/>
  <c r="C21" i="10"/>
  <c r="C26" i="10"/>
  <c r="C29" i="10"/>
  <c r="H97" i="10"/>
  <c r="N68" i="10"/>
  <c r="C107" i="10"/>
  <c r="I78" i="10"/>
  <c r="I80" i="10"/>
  <c r="O20" i="10"/>
  <c r="D112" i="10"/>
  <c r="Q39" i="10"/>
  <c r="F99" i="10"/>
  <c r="H96" i="10"/>
  <c r="V238" i="4"/>
  <c r="H99" i="10"/>
  <c r="L64" i="10"/>
  <c r="L141" i="10"/>
  <c r="H100" i="10"/>
  <c r="P72" i="10"/>
  <c r="E106" i="10"/>
  <c r="K15" i="10"/>
  <c r="K18" i="10"/>
  <c r="K21" i="10"/>
  <c r="Q72" i="10"/>
  <c r="F106" i="10"/>
  <c r="C254" i="10"/>
  <c r="X238" i="4"/>
  <c r="Q37" i="10"/>
  <c r="F100" i="10"/>
  <c r="N37" i="10"/>
  <c r="C100" i="10"/>
  <c r="Q49" i="10"/>
  <c r="F109" i="10"/>
  <c r="H112" i="10"/>
  <c r="P37" i="10"/>
  <c r="E100" i="10"/>
  <c r="H110" i="10"/>
  <c r="K180" i="10"/>
  <c r="P51" i="10"/>
  <c r="E103" i="10"/>
  <c r="Q51" i="10"/>
  <c r="F103" i="10"/>
  <c r="P7" i="10"/>
  <c r="E91" i="10"/>
  <c r="Q66" i="10"/>
  <c r="F110" i="10"/>
  <c r="Q20" i="10"/>
  <c r="F112" i="10"/>
  <c r="O37" i="10"/>
  <c r="D100" i="10"/>
  <c r="J100" i="10"/>
  <c r="P14" i="10"/>
  <c r="E94" i="10"/>
  <c r="Q25" i="10"/>
  <c r="F96" i="10"/>
  <c r="Q14" i="10"/>
  <c r="F94" i="10"/>
  <c r="J94" i="10"/>
  <c r="N122" i="10"/>
  <c r="P20" i="10"/>
  <c r="E112" i="10"/>
  <c r="I112" i="10"/>
  <c r="M140" i="10"/>
  <c r="Q70" i="10"/>
  <c r="F105" i="10"/>
  <c r="Y238" i="4"/>
  <c r="G99" i="4"/>
  <c r="G47" i="4"/>
  <c r="N203" i="4"/>
  <c r="N96" i="4"/>
  <c r="U179" i="4"/>
  <c r="Q61" i="10"/>
  <c r="F108" i="10"/>
  <c r="F160" i="10"/>
  <c r="Y153" i="4"/>
  <c r="Y64" i="4"/>
  <c r="AC72" i="4"/>
  <c r="AB73" i="4"/>
  <c r="P44" i="4"/>
  <c r="P49" i="4"/>
  <c r="AG100" i="4"/>
  <c r="AG26" i="4"/>
  <c r="V179" i="4"/>
  <c r="X98" i="4"/>
  <c r="E18" i="4"/>
  <c r="E36" i="4"/>
  <c r="AC92" i="4"/>
  <c r="AC100" i="4"/>
  <c r="AC209" i="4"/>
  <c r="AC45" i="4"/>
  <c r="Q41" i="10"/>
  <c r="F101" i="10"/>
  <c r="W114" i="4"/>
  <c r="T210" i="4"/>
  <c r="P18" i="4"/>
  <c r="N69" i="4"/>
  <c r="J167" i="4"/>
  <c r="R238" i="4"/>
  <c r="Q58" i="10"/>
  <c r="F104" i="10"/>
  <c r="I44" i="4"/>
  <c r="I49" i="4"/>
  <c r="N98" i="4"/>
  <c r="N145" i="4"/>
  <c r="N61" i="4"/>
  <c r="N63" i="4"/>
  <c r="AC210" i="4"/>
  <c r="AE203" i="4"/>
  <c r="Q9" i="10"/>
  <c r="F92" i="10"/>
  <c r="M129" i="4"/>
  <c r="N251" i="4"/>
  <c r="U203" i="4"/>
  <c r="AF16" i="4"/>
  <c r="L210" i="4"/>
  <c r="Y265" i="4"/>
  <c r="X266" i="4"/>
  <c r="AD44" i="4"/>
  <c r="AD49" i="4"/>
  <c r="AC119" i="4"/>
  <c r="H101" i="10"/>
  <c r="X30" i="4"/>
  <c r="Q7" i="10"/>
  <c r="F91" i="10"/>
  <c r="X99" i="4"/>
  <c r="E72" i="4"/>
  <c r="E203" i="4"/>
  <c r="U100" i="4"/>
  <c r="U209" i="4"/>
  <c r="X28" i="4"/>
  <c r="X89" i="4"/>
  <c r="Q68" i="10"/>
  <c r="F107" i="10"/>
  <c r="Z98" i="4"/>
  <c r="U98" i="4"/>
  <c r="AF179" i="4"/>
  <c r="Z106" i="4"/>
  <c r="G79" i="4"/>
  <c r="G160" i="10"/>
  <c r="P30" i="4"/>
  <c r="X20" i="4"/>
  <c r="W44" i="4"/>
  <c r="W49" i="4"/>
  <c r="AA203" i="4"/>
  <c r="X22" i="4"/>
  <c r="AA153" i="4"/>
  <c r="AA64" i="4"/>
  <c r="Q35" i="10"/>
  <c r="F98" i="10"/>
  <c r="R203" i="4"/>
  <c r="Y144" i="4"/>
  <c r="Y145" i="4"/>
  <c r="AG24" i="4"/>
  <c r="AG25" i="4"/>
  <c r="U97" i="4"/>
  <c r="I45" i="4"/>
  <c r="G22" i="4"/>
  <c r="X45" i="4"/>
  <c r="X56" i="4"/>
  <c r="AE119" i="4"/>
  <c r="J223" i="4"/>
  <c r="G210" i="10"/>
  <c r="E100" i="4"/>
  <c r="E26" i="4"/>
  <c r="N93" i="4"/>
  <c r="AG203" i="4"/>
  <c r="H107" i="10"/>
  <c r="P129" i="4"/>
  <c r="X44" i="4"/>
  <c r="X49" i="4"/>
  <c r="X100" i="4"/>
  <c r="X26" i="4"/>
  <c r="X40" i="4"/>
  <c r="J127" i="4"/>
  <c r="G223" i="4"/>
  <c r="F101" i="4"/>
  <c r="F100" i="4"/>
  <c r="L153" i="4"/>
  <c r="L64" i="4"/>
  <c r="V97" i="4"/>
  <c r="X129" i="4"/>
  <c r="E71" i="4"/>
  <c r="Y45" i="4"/>
  <c r="Y51" i="4"/>
  <c r="U44" i="4"/>
  <c r="D119" i="4"/>
  <c r="X210" i="4"/>
  <c r="Y203" i="4"/>
  <c r="N100" i="4"/>
  <c r="K203" i="4"/>
  <c r="Q45" i="4"/>
  <c r="Q51" i="4"/>
  <c r="O69" i="4"/>
  <c r="V45" i="4"/>
  <c r="V51" i="4"/>
  <c r="Z100" i="4"/>
  <c r="Z209" i="4"/>
  <c r="T100" i="4"/>
  <c r="T26" i="4"/>
  <c r="T40" i="4"/>
  <c r="T145" i="4"/>
  <c r="T86" i="4"/>
  <c r="M100" i="4"/>
  <c r="M26" i="4"/>
  <c r="M45" i="4"/>
  <c r="M50" i="4"/>
  <c r="E179" i="4"/>
  <c r="E129" i="4"/>
  <c r="F251" i="4"/>
  <c r="Q17" i="10"/>
  <c r="F97" i="10"/>
  <c r="AG18" i="4"/>
  <c r="AG19" i="4"/>
  <c r="M179" i="4"/>
  <c r="X114" i="4"/>
  <c r="M84" i="4"/>
  <c r="M90" i="4"/>
  <c r="M91" i="4"/>
  <c r="M49" i="4"/>
  <c r="AG158" i="4"/>
  <c r="P58" i="4"/>
  <c r="P59" i="4"/>
  <c r="P60" i="4"/>
  <c r="O129" i="4"/>
  <c r="O45" i="4"/>
  <c r="O51" i="4"/>
  <c r="I64" i="10"/>
  <c r="I141" i="10"/>
  <c r="T47" i="4"/>
  <c r="T20" i="4"/>
  <c r="T99" i="4"/>
  <c r="AC138" i="4"/>
  <c r="AC112" i="4"/>
  <c r="AC111" i="4"/>
  <c r="F114" i="4"/>
  <c r="F153" i="4"/>
  <c r="F64" i="4"/>
  <c r="I30" i="4"/>
  <c r="I28" i="4"/>
  <c r="I88" i="4"/>
  <c r="I92" i="4"/>
  <c r="I203" i="4"/>
  <c r="R47" i="4"/>
  <c r="R20" i="4"/>
  <c r="R99" i="4"/>
  <c r="S60" i="4"/>
  <c r="V119" i="4"/>
  <c r="D18" i="4"/>
  <c r="D36" i="4"/>
  <c r="D30" i="4"/>
  <c r="D89" i="4"/>
  <c r="D69" i="4"/>
  <c r="V107" i="4"/>
  <c r="S110" i="4"/>
  <c r="V106" i="4"/>
  <c r="F144" i="4"/>
  <c r="F145" i="4"/>
  <c r="F61" i="4"/>
  <c r="F63" i="4"/>
  <c r="F210" i="4"/>
  <c r="S265" i="4"/>
  <c r="W16" i="4"/>
  <c r="W20" i="4"/>
  <c r="W22" i="4"/>
  <c r="W28" i="4"/>
  <c r="T22" i="4"/>
  <c r="T18" i="4"/>
  <c r="S19" i="4"/>
  <c r="T30" i="4"/>
  <c r="F84" i="4"/>
  <c r="D223" i="4"/>
  <c r="AD97" i="4"/>
  <c r="AD112" i="4"/>
  <c r="AF72" i="4"/>
  <c r="AF167" i="4"/>
  <c r="H89" i="4"/>
  <c r="G69" i="4"/>
  <c r="AF69" i="4"/>
  <c r="AG89" i="4"/>
  <c r="AF47" i="4"/>
  <c r="AF99" i="4"/>
  <c r="K89" i="4"/>
  <c r="J69" i="4"/>
  <c r="R127" i="4"/>
  <c r="R72" i="4"/>
  <c r="R167" i="4"/>
  <c r="K156" i="10"/>
  <c r="K159" i="10"/>
  <c r="K163" i="10"/>
  <c r="K210" i="10"/>
  <c r="O144" i="4"/>
  <c r="O145" i="4"/>
  <c r="O210" i="4"/>
  <c r="AG16" i="4"/>
  <c r="AG17" i="4"/>
  <c r="AD45" i="4"/>
  <c r="AD51" i="4"/>
  <c r="AA84" i="4"/>
  <c r="AA90" i="4"/>
  <c r="AA114" i="4"/>
  <c r="P20" i="4"/>
  <c r="P47" i="4"/>
  <c r="AA127" i="4"/>
  <c r="AA167" i="4"/>
  <c r="G117" i="4"/>
  <c r="G116" i="4"/>
  <c r="T251" i="4"/>
  <c r="S252" i="4"/>
  <c r="G24" i="4"/>
  <c r="AA99" i="4"/>
  <c r="Q18" i="4"/>
  <c r="Q22" i="4"/>
  <c r="Q30" i="4"/>
  <c r="W59" i="4"/>
  <c r="W60" i="4"/>
  <c r="AD203" i="4"/>
  <c r="G98" i="4"/>
  <c r="H20" i="4"/>
  <c r="H37" i="4"/>
  <c r="AA47" i="4"/>
  <c r="AG179" i="4"/>
  <c r="H69" i="4"/>
  <c r="G145" i="4"/>
  <c r="G86" i="4"/>
  <c r="C160" i="10"/>
  <c r="C156" i="10"/>
  <c r="C159" i="10"/>
  <c r="C163" i="10"/>
  <c r="D210" i="10"/>
  <c r="D160" i="10"/>
  <c r="K114" i="4"/>
  <c r="K84" i="4"/>
  <c r="K90" i="4"/>
  <c r="AB30" i="4"/>
  <c r="AB18" i="4"/>
  <c r="K96" i="4"/>
  <c r="AC51" i="4"/>
  <c r="D203" i="4"/>
  <c r="J153" i="4"/>
  <c r="J64" i="4"/>
  <c r="T203" i="4"/>
  <c r="K153" i="4"/>
  <c r="K64" i="4"/>
  <c r="X153" i="4"/>
  <c r="X64" i="4"/>
  <c r="L203" i="4"/>
  <c r="J100" i="4"/>
  <c r="W223" i="4"/>
  <c r="AB203" i="4"/>
  <c r="T153" i="4"/>
  <c r="T64" i="4"/>
  <c r="I96" i="4"/>
  <c r="F203" i="4"/>
  <c r="D156" i="10"/>
  <c r="D159" i="10"/>
  <c r="D162" i="10"/>
  <c r="K160" i="10"/>
  <c r="C210" i="10"/>
  <c r="M120" i="10"/>
  <c r="L156" i="10"/>
  <c r="C257" i="10"/>
  <c r="L160" i="10"/>
  <c r="I218" i="10"/>
  <c r="F64" i="10"/>
  <c r="F141" i="10"/>
  <c r="G162" i="10"/>
  <c r="Y84" i="4"/>
  <c r="Y90" i="4"/>
  <c r="Y114" i="4"/>
  <c r="V210" i="4"/>
  <c r="AE92" i="4"/>
  <c r="W238" i="4"/>
  <c r="AC79" i="4"/>
  <c r="AD69" i="4"/>
  <c r="K112" i="4"/>
  <c r="O153" i="4"/>
  <c r="O64" i="4"/>
  <c r="X203" i="4"/>
  <c r="AB92" i="4"/>
  <c r="AE114" i="4"/>
  <c r="AE84" i="4"/>
  <c r="Q44" i="4"/>
  <c r="L24" i="4"/>
  <c r="L39" i="4"/>
  <c r="L117" i="4"/>
  <c r="L116" i="4"/>
  <c r="Y251" i="4"/>
  <c r="Y252" i="4"/>
  <c r="S114" i="4"/>
  <c r="S84" i="4"/>
  <c r="S90" i="4"/>
  <c r="H91" i="10"/>
  <c r="W100" i="4"/>
  <c r="W209" i="4"/>
  <c r="G20" i="4"/>
  <c r="AD145" i="4"/>
  <c r="AD86" i="4"/>
  <c r="D28" i="4"/>
  <c r="AE89" i="4"/>
  <c r="Y60" i="4"/>
  <c r="Q238" i="4"/>
  <c r="H127" i="4"/>
  <c r="H72" i="4"/>
  <c r="O100" i="4"/>
  <c r="O26" i="4"/>
  <c r="S127" i="4"/>
  <c r="AC89" i="4"/>
  <c r="K144" i="4"/>
  <c r="K145" i="4"/>
  <c r="AD59" i="4"/>
  <c r="AD60" i="4"/>
  <c r="R44" i="4"/>
  <c r="R129" i="4"/>
  <c r="R16" i="4"/>
  <c r="R45" i="4"/>
  <c r="R51" i="4"/>
  <c r="R179" i="4"/>
  <c r="AB107" i="4"/>
  <c r="AB110" i="4"/>
  <c r="AB106" i="4"/>
  <c r="AA72" i="4"/>
  <c r="AA73" i="4"/>
  <c r="AA60" i="4"/>
  <c r="T45" i="4"/>
  <c r="T51" i="4"/>
  <c r="G44" i="4"/>
  <c r="T44" i="4"/>
  <c r="G72" i="4"/>
  <c r="Z153" i="4"/>
  <c r="Z64" i="4"/>
  <c r="M203" i="4"/>
  <c r="AA20" i="4"/>
  <c r="D22" i="4"/>
  <c r="D38" i="4"/>
  <c r="D24" i="4"/>
  <c r="D39" i="4"/>
  <c r="O127" i="4"/>
  <c r="O72" i="4"/>
  <c r="O167" i="4"/>
  <c r="AE153" i="4"/>
  <c r="Z72" i="4"/>
  <c r="Y73" i="4"/>
  <c r="Z127" i="4"/>
  <c r="X97" i="4"/>
  <c r="X93" i="4"/>
  <c r="E30" i="4"/>
  <c r="S44" i="4"/>
  <c r="S49" i="4"/>
  <c r="S28" i="4"/>
  <c r="AD110" i="4"/>
  <c r="H99" i="4"/>
  <c r="R75" i="4"/>
  <c r="S75" i="4"/>
  <c r="R58" i="4"/>
  <c r="Z71" i="4"/>
  <c r="S72" i="4"/>
  <c r="O114" i="4"/>
  <c r="O84" i="4"/>
  <c r="O90" i="4"/>
  <c r="N72" i="4"/>
  <c r="N127" i="4"/>
  <c r="E28" i="4"/>
  <c r="Z28" i="4"/>
  <c r="I119" i="4"/>
  <c r="E22" i="4"/>
  <c r="E38" i="4"/>
  <c r="Q203" i="4"/>
  <c r="T179" i="4"/>
  <c r="G210" i="4"/>
  <c r="T265" i="4"/>
  <c r="G211" i="10"/>
  <c r="H47" i="4"/>
  <c r="S100" i="4"/>
  <c r="S209" i="4"/>
  <c r="W30" i="4"/>
  <c r="G16" i="4"/>
  <c r="AB114" i="4"/>
  <c r="F97" i="4"/>
  <c r="T16" i="4"/>
  <c r="AA100" i="4"/>
  <c r="AA209" i="4"/>
  <c r="S45" i="4"/>
  <c r="S51" i="4"/>
  <c r="X179" i="4"/>
  <c r="X16" i="4"/>
  <c r="H167" i="4"/>
  <c r="AD114" i="4"/>
  <c r="AD84" i="4"/>
  <c r="AD90" i="4"/>
  <c r="Q179" i="4"/>
  <c r="Q129" i="4"/>
  <c r="Q16" i="4"/>
  <c r="W203" i="4"/>
  <c r="G92" i="4"/>
  <c r="G88" i="4"/>
  <c r="F79" i="4"/>
  <c r="V44" i="4"/>
  <c r="V49" i="4"/>
  <c r="AE210" i="4"/>
  <c r="AD99" i="4"/>
  <c r="AD47" i="4"/>
  <c r="AD20" i="4"/>
  <c r="AD98" i="4"/>
  <c r="L167" i="4"/>
  <c r="L72" i="4"/>
  <c r="L127" i="4"/>
  <c r="K38" i="4"/>
  <c r="S47" i="4"/>
  <c r="S98" i="4"/>
  <c r="S99" i="4"/>
  <c r="S20" i="4"/>
  <c r="D144" i="4"/>
  <c r="D145" i="4"/>
  <c r="D210" i="4"/>
  <c r="Q265" i="4"/>
  <c r="U114" i="4"/>
  <c r="U84" i="4"/>
  <c r="X107" i="4"/>
  <c r="X106" i="4"/>
  <c r="U153" i="4"/>
  <c r="R114" i="4"/>
  <c r="R84" i="4"/>
  <c r="L44" i="4"/>
  <c r="L16" i="4"/>
  <c r="L129" i="4"/>
  <c r="M251" i="4"/>
  <c r="L45" i="4"/>
  <c r="L51" i="4"/>
  <c r="L179" i="4"/>
  <c r="Q98" i="4"/>
  <c r="Q20" i="4"/>
  <c r="Q47" i="4"/>
  <c r="AC98" i="4"/>
  <c r="AC47" i="4"/>
  <c r="AC158" i="4"/>
  <c r="AC99" i="4"/>
  <c r="AC20" i="4"/>
  <c r="T28" i="4"/>
  <c r="T98" i="4"/>
  <c r="T119" i="4"/>
  <c r="T167" i="4"/>
  <c r="T127" i="4"/>
  <c r="T72" i="4"/>
  <c r="M98" i="4"/>
  <c r="M99" i="4"/>
  <c r="M47" i="4"/>
  <c r="X96" i="4"/>
  <c r="J114" i="4"/>
  <c r="J84" i="4"/>
  <c r="D44" i="4"/>
  <c r="D45" i="4"/>
  <c r="D51" i="4"/>
  <c r="D16" i="4"/>
  <c r="D179" i="4"/>
  <c r="D129" i="4"/>
  <c r="E251" i="4"/>
  <c r="Q89" i="4"/>
  <c r="P69" i="4"/>
  <c r="Q69" i="4"/>
  <c r="E114" i="4"/>
  <c r="E84" i="4"/>
  <c r="O107" i="4"/>
  <c r="O106" i="4"/>
  <c r="AD179" i="4"/>
  <c r="AA45" i="4"/>
  <c r="AB45" i="4"/>
  <c r="AB51" i="4"/>
  <c r="AA44" i="4"/>
  <c r="AA49" i="4"/>
  <c r="AD16" i="4"/>
  <c r="AB44" i="4"/>
  <c r="AD129" i="4"/>
  <c r="H138" i="4"/>
  <c r="H112" i="4"/>
  <c r="U88" i="4"/>
  <c r="T79" i="4"/>
  <c r="I89" i="4"/>
  <c r="I69" i="4"/>
  <c r="S71" i="4"/>
  <c r="T71" i="4"/>
  <c r="T88" i="4"/>
  <c r="V167" i="4"/>
  <c r="V72" i="4"/>
  <c r="O30" i="4"/>
  <c r="O16" i="4"/>
  <c r="AF100" i="4"/>
  <c r="AF26" i="4"/>
  <c r="L84" i="4"/>
  <c r="K223" i="4"/>
  <c r="U167" i="4"/>
  <c r="R144" i="4"/>
  <c r="R145" i="4"/>
  <c r="R210" i="4"/>
  <c r="J179" i="4"/>
  <c r="J16" i="4"/>
  <c r="J129" i="4"/>
  <c r="K251" i="4"/>
  <c r="J44" i="4"/>
  <c r="J45" i="4"/>
  <c r="J56" i="4"/>
  <c r="T84" i="4"/>
  <c r="T114" i="4"/>
  <c r="T96" i="4"/>
  <c r="I114" i="4"/>
  <c r="I84" i="4"/>
  <c r="L69" i="4"/>
  <c r="H203" i="4"/>
  <c r="P100" i="4"/>
  <c r="V59" i="4"/>
  <c r="V60" i="4"/>
  <c r="AG114" i="4"/>
  <c r="AG84" i="4"/>
  <c r="AG85" i="4"/>
  <c r="H92" i="4"/>
  <c r="H81" i="4"/>
  <c r="I93" i="4"/>
  <c r="U69" i="4"/>
  <c r="V89" i="4"/>
  <c r="M210" i="4"/>
  <c r="Z265" i="4"/>
  <c r="M144" i="4"/>
  <c r="M145" i="4"/>
  <c r="U89" i="4"/>
  <c r="T69" i="4"/>
  <c r="N16" i="4"/>
  <c r="N44" i="4"/>
  <c r="N49" i="4"/>
  <c r="N129" i="4"/>
  <c r="D251" i="4"/>
  <c r="N45" i="4"/>
  <c r="N51" i="4"/>
  <c r="N179" i="4"/>
  <c r="P112" i="4"/>
  <c r="P97" i="4"/>
  <c r="AB119" i="4"/>
  <c r="AB28" i="4"/>
  <c r="L79" i="4"/>
  <c r="L89" i="4"/>
  <c r="K69" i="4"/>
  <c r="AA18" i="4"/>
  <c r="U79" i="4"/>
  <c r="S16" i="4"/>
  <c r="R71" i="4"/>
  <c r="F96" i="4"/>
  <c r="L119" i="4"/>
  <c r="S30" i="4"/>
  <c r="P28" i="4"/>
  <c r="G167" i="4"/>
  <c r="P114" i="4"/>
  <c r="P84" i="4"/>
  <c r="P96" i="4"/>
  <c r="H144" i="4"/>
  <c r="H210" i="4"/>
  <c r="U265" i="4"/>
  <c r="V84" i="4"/>
  <c r="V85" i="4"/>
  <c r="V114" i="4"/>
  <c r="AF97" i="4"/>
  <c r="AF112" i="4"/>
  <c r="AA210" i="4"/>
  <c r="AA144" i="4"/>
  <c r="AA145" i="4"/>
  <c r="Y88" i="4"/>
  <c r="X92" i="4"/>
  <c r="P16" i="4"/>
  <c r="O44" i="4"/>
  <c r="P45" i="4"/>
  <c r="P51" i="4"/>
  <c r="Y47" i="4"/>
  <c r="Y99" i="4"/>
  <c r="J98" i="4"/>
  <c r="J28" i="4"/>
  <c r="AG92" i="4"/>
  <c r="AF92" i="4"/>
  <c r="AG81" i="4"/>
  <c r="AF81" i="4"/>
  <c r="V153" i="4"/>
  <c r="V69" i="4"/>
  <c r="W69" i="4"/>
  <c r="I153" i="4"/>
  <c r="I64" i="4"/>
  <c r="K117" i="4"/>
  <c r="K116" i="4"/>
  <c r="X251" i="4"/>
  <c r="K24" i="4"/>
  <c r="D88" i="4"/>
  <c r="D79" i="4"/>
  <c r="H101" i="4"/>
  <c r="H100" i="4"/>
  <c r="H209" i="4"/>
  <c r="I265" i="4"/>
  <c r="I223" i="4"/>
  <c r="F112" i="4"/>
  <c r="S88" i="4"/>
  <c r="S22" i="4"/>
  <c r="AF96" i="4"/>
  <c r="AF153" i="4"/>
  <c r="D114" i="4"/>
  <c r="D153" i="4"/>
  <c r="D64" i="4"/>
  <c r="D84" i="4"/>
  <c r="D90" i="4"/>
  <c r="E210" i="4"/>
  <c r="R265" i="4"/>
  <c r="E144" i="4"/>
  <c r="E145" i="4"/>
  <c r="J24" i="4"/>
  <c r="J117" i="4"/>
  <c r="J116" i="4"/>
  <c r="W251" i="4"/>
  <c r="Y100" i="4"/>
  <c r="Y209" i="4"/>
  <c r="AF114" i="4"/>
  <c r="AA28" i="4"/>
  <c r="U92" i="4"/>
  <c r="P119" i="4"/>
  <c r="H114" i="4"/>
  <c r="H84" i="4"/>
  <c r="H153" i="4"/>
  <c r="S144" i="4"/>
  <c r="S145" i="4"/>
  <c r="S210" i="4"/>
  <c r="H45" i="4"/>
  <c r="H51" i="4"/>
  <c r="H44" i="4"/>
  <c r="H129" i="4"/>
  <c r="I251" i="4"/>
  <c r="I252" i="4"/>
  <c r="H179" i="4"/>
  <c r="M127" i="4"/>
  <c r="M167" i="4"/>
  <c r="M72" i="4"/>
  <c r="E153" i="4"/>
  <c r="I127" i="4"/>
  <c r="I72" i="4"/>
  <c r="I167" i="4"/>
  <c r="AA119" i="4"/>
  <c r="AA98" i="4"/>
  <c r="V127" i="4"/>
  <c r="AA16" i="4"/>
  <c r="O22" i="4"/>
  <c r="L60" i="4"/>
  <c r="R153" i="4"/>
  <c r="R158" i="4"/>
  <c r="AF144" i="4"/>
  <c r="AF145" i="4"/>
  <c r="AF210" i="4"/>
  <c r="N84" i="4"/>
  <c r="N114" i="4"/>
  <c r="N111" i="4"/>
  <c r="N97" i="4"/>
  <c r="O99" i="4"/>
  <c r="O47" i="4"/>
  <c r="O98" i="4"/>
  <c r="U93" i="4"/>
  <c r="E47" i="4"/>
  <c r="E55" i="4"/>
  <c r="F237" i="4"/>
  <c r="E98" i="4"/>
  <c r="E99" i="4"/>
  <c r="Q114" i="4"/>
  <c r="Q153" i="4"/>
  <c r="Q64" i="4"/>
  <c r="Q84" i="4"/>
  <c r="Q90" i="4"/>
  <c r="E20" i="4"/>
  <c r="E37" i="4"/>
  <c r="AG47" i="4"/>
  <c r="AG99" i="4"/>
  <c r="AG20" i="4"/>
  <c r="F179" i="4"/>
  <c r="F45" i="4"/>
  <c r="F51" i="4"/>
  <c r="F129" i="4"/>
  <c r="G251" i="4"/>
  <c r="F44" i="4"/>
  <c r="S79" i="4"/>
  <c r="T92" i="4"/>
  <c r="K28" i="4"/>
  <c r="K119" i="4"/>
  <c r="K18" i="4"/>
  <c r="K20" i="4"/>
  <c r="K16" i="4"/>
  <c r="K30" i="4"/>
  <c r="AF84" i="4"/>
  <c r="AF90" i="4"/>
  <c r="AA22" i="4"/>
  <c r="AB153" i="4"/>
  <c r="AB64" i="4"/>
  <c r="AG119" i="4"/>
  <c r="AC44" i="4"/>
  <c r="Z84" i="4"/>
  <c r="Z114" i="4"/>
  <c r="N153" i="4"/>
  <c r="I16" i="4"/>
  <c r="I22" i="4"/>
  <c r="I24" i="4"/>
  <c r="I39" i="4"/>
  <c r="U238" i="4"/>
  <c r="T238" i="4"/>
  <c r="I18" i="4"/>
  <c r="Q93" i="4"/>
  <c r="T112" i="4"/>
  <c r="T97" i="4"/>
  <c r="N58" i="4"/>
  <c r="N59" i="4"/>
  <c r="N60" i="4"/>
  <c r="P75" i="4"/>
  <c r="O58" i="4"/>
  <c r="Q58" i="4"/>
  <c r="Q75" i="4"/>
  <c r="O96" i="4"/>
  <c r="O112" i="4"/>
  <c r="Q112" i="4"/>
  <c r="Q96" i="4"/>
  <c r="S96" i="4"/>
  <c r="S112" i="4"/>
  <c r="L99" i="4"/>
  <c r="L47" i="4"/>
  <c r="L20" i="4"/>
  <c r="L98" i="4"/>
  <c r="Y112" i="4"/>
  <c r="Y97" i="4"/>
  <c r="Y96" i="4"/>
  <c r="D98" i="4"/>
  <c r="D47" i="4"/>
  <c r="D20" i="4"/>
  <c r="D37" i="4"/>
  <c r="D99" i="4"/>
  <c r="E49" i="4"/>
  <c r="I100" i="4"/>
  <c r="G101" i="4"/>
  <c r="G100" i="4"/>
  <c r="H223" i="4"/>
  <c r="P79" i="4"/>
  <c r="Q92" i="4"/>
  <c r="Q79" i="4"/>
  <c r="P92" i="4"/>
  <c r="Y81" i="4"/>
  <c r="Z88" i="4"/>
  <c r="Z92" i="4"/>
  <c r="Y92" i="4"/>
  <c r="Z81" i="4"/>
  <c r="R112" i="4"/>
  <c r="R96" i="4"/>
  <c r="R97" i="4"/>
  <c r="D112" i="4"/>
  <c r="D96" i="4"/>
  <c r="D97" i="4"/>
  <c r="L97" i="4"/>
  <c r="Q88" i="4"/>
  <c r="Q71" i="4"/>
  <c r="P71" i="4"/>
  <c r="E223" i="4"/>
  <c r="D101" i="4"/>
  <c r="D100" i="4"/>
  <c r="N81" i="4"/>
  <c r="O81" i="4"/>
  <c r="O88" i="4"/>
  <c r="O92" i="4"/>
  <c r="N92" i="4"/>
  <c r="AB145" i="4"/>
  <c r="AB97" i="4"/>
  <c r="AB112" i="4"/>
  <c r="AB96" i="4"/>
  <c r="M22" i="4"/>
  <c r="M18" i="4"/>
  <c r="M30" i="4"/>
  <c r="M24" i="4"/>
  <c r="M28" i="4"/>
  <c r="M20" i="4"/>
  <c r="M16" i="4"/>
  <c r="M97" i="4"/>
  <c r="Q97" i="4"/>
  <c r="E117" i="4"/>
  <c r="E116" i="4"/>
  <c r="R251" i="4"/>
  <c r="R252" i="4"/>
  <c r="E24" i="4"/>
  <c r="H59" i="4"/>
  <c r="H60" i="4"/>
  <c r="AF119" i="4"/>
  <c r="AF98" i="4"/>
  <c r="AF28" i="4"/>
  <c r="AD81" i="4"/>
  <c r="AE81" i="4"/>
  <c r="K81" i="4"/>
  <c r="L81" i="4"/>
  <c r="Q72" i="4"/>
  <c r="Q167" i="4"/>
  <c r="Q127" i="4"/>
  <c r="U112" i="4"/>
  <c r="U96" i="4"/>
  <c r="U145" i="4"/>
  <c r="L112" i="4"/>
  <c r="L111" i="4"/>
  <c r="L96" i="4"/>
  <c r="L145" i="4"/>
  <c r="AE138" i="4"/>
  <c r="AE97" i="4"/>
  <c r="W96" i="4"/>
  <c r="W145" i="4"/>
  <c r="W97" i="4"/>
  <c r="W112" i="4"/>
  <c r="AA96" i="4"/>
  <c r="AA112" i="4"/>
  <c r="AA97" i="4"/>
  <c r="AE100" i="4"/>
  <c r="E112" i="4"/>
  <c r="E96" i="4"/>
  <c r="AE127" i="4"/>
  <c r="AE72" i="4"/>
  <c r="AE167" i="4"/>
  <c r="E75" i="4"/>
  <c r="F58" i="4"/>
  <c r="W19" i="4"/>
  <c r="AG71" i="4"/>
  <c r="AF71" i="4"/>
  <c r="AG88" i="4"/>
  <c r="X90" i="4"/>
  <c r="W85" i="4"/>
  <c r="E92" i="4"/>
  <c r="D92" i="4"/>
  <c r="E81" i="4"/>
  <c r="D81" i="4"/>
  <c r="I20" i="4"/>
  <c r="I47" i="4"/>
  <c r="I98" i="4"/>
  <c r="I99" i="4"/>
  <c r="I145" i="4"/>
  <c r="I97" i="4"/>
  <c r="I112" i="4"/>
  <c r="H117" i="4"/>
  <c r="H116" i="4"/>
  <c r="U251" i="4"/>
  <c r="U252" i="4"/>
  <c r="H24" i="4"/>
  <c r="O143" i="10"/>
  <c r="O120" i="10"/>
  <c r="O142" i="10"/>
  <c r="P118" i="10"/>
  <c r="O119" i="10"/>
  <c r="O219" i="10"/>
  <c r="O117" i="10"/>
  <c r="O145" i="10"/>
  <c r="I252" i="10"/>
  <c r="I263" i="10"/>
  <c r="R81" i="4"/>
  <c r="R92" i="4"/>
  <c r="S92" i="4"/>
  <c r="F211" i="10"/>
  <c r="F163" i="10"/>
  <c r="F162" i="10"/>
  <c r="U16" i="4"/>
  <c r="U30" i="4"/>
  <c r="U28" i="4"/>
  <c r="U18" i="4"/>
  <c r="U20" i="4"/>
  <c r="U22" i="4"/>
  <c r="AD72" i="4"/>
  <c r="AD127" i="4"/>
  <c r="AD167" i="4"/>
  <c r="Y30" i="4"/>
  <c r="Y20" i="4"/>
  <c r="Y16" i="4"/>
  <c r="Y22" i="4"/>
  <c r="Y18" i="4"/>
  <c r="AB99" i="4"/>
  <c r="AB47" i="4"/>
  <c r="AB98" i="4"/>
  <c r="AB20" i="4"/>
  <c r="Y119" i="4"/>
  <c r="Y98" i="4"/>
  <c r="Y28" i="4"/>
  <c r="F75" i="4"/>
  <c r="V112" i="4"/>
  <c r="V145" i="4"/>
  <c r="V96" i="4"/>
  <c r="AG112" i="4"/>
  <c r="AG96" i="4"/>
  <c r="V83" i="4"/>
  <c r="W83" i="4"/>
  <c r="W93" i="4"/>
  <c r="V93" i="4"/>
  <c r="K92" i="4"/>
  <c r="Z83" i="4"/>
  <c r="AA93" i="4"/>
  <c r="Z93" i="4"/>
  <c r="AA83" i="4"/>
  <c r="AB90" i="4"/>
  <c r="M112" i="4"/>
  <c r="M111" i="4"/>
  <c r="E51" i="4"/>
  <c r="E97" i="4"/>
  <c r="AE88" i="4"/>
  <c r="AD71" i="4"/>
  <c r="AE71" i="4"/>
  <c r="AC110" i="4"/>
  <c r="J96" i="4"/>
  <c r="J112" i="4"/>
  <c r="J145" i="4"/>
  <c r="K101" i="4"/>
  <c r="K100" i="4"/>
  <c r="L223" i="4"/>
  <c r="L224" i="4"/>
  <c r="R28" i="4"/>
  <c r="R98" i="4"/>
  <c r="R119" i="4"/>
  <c r="K72" i="4"/>
  <c r="K127" i="4"/>
  <c r="K167" i="4"/>
  <c r="S97" i="4"/>
  <c r="F20" i="4"/>
  <c r="F99" i="4"/>
  <c r="F98" i="4"/>
  <c r="F47" i="4"/>
  <c r="AB89" i="4"/>
  <c r="AB69" i="4"/>
  <c r="AB93" i="4"/>
  <c r="AA69" i="4"/>
  <c r="Q195" i="10"/>
  <c r="Z138" i="4"/>
  <c r="Z97" i="4"/>
  <c r="J97" i="4"/>
  <c r="X112" i="4"/>
  <c r="X145" i="4"/>
  <c r="AC69" i="4"/>
  <c r="AD93" i="4"/>
  <c r="AD89" i="4"/>
  <c r="O97" i="4"/>
  <c r="G59" i="4"/>
  <c r="G60" i="4"/>
  <c r="W167" i="4"/>
  <c r="W72" i="4"/>
  <c r="AG127" i="4"/>
  <c r="AG72" i="4"/>
  <c r="AG167" i="4"/>
  <c r="L92" i="4"/>
  <c r="AA89" i="4"/>
  <c r="F199" i="10"/>
  <c r="M183" i="10"/>
  <c r="G26" i="10"/>
  <c r="G29" i="10"/>
  <c r="AD209" i="4"/>
  <c r="G38" i="4"/>
  <c r="AF31" i="4"/>
  <c r="Z223" i="4"/>
  <c r="X111" i="4"/>
  <c r="AF91" i="4"/>
  <c r="S158" i="4"/>
  <c r="R26" i="4"/>
  <c r="R40" i="4"/>
  <c r="O29" i="4"/>
  <c r="W56" i="4"/>
  <c r="P108" i="4"/>
  <c r="AF23" i="4"/>
  <c r="AB85" i="4"/>
  <c r="E73" i="4"/>
  <c r="R108" i="4"/>
  <c r="R104" i="4"/>
  <c r="R24" i="4"/>
  <c r="R41" i="4"/>
  <c r="AD108" i="4"/>
  <c r="AD104" i="4"/>
  <c r="AD24" i="4"/>
  <c r="W23" i="4"/>
  <c r="AE85" i="4"/>
  <c r="N147" i="10"/>
  <c r="M179" i="10"/>
  <c r="E199" i="10"/>
  <c r="F26" i="10"/>
  <c r="F29" i="10"/>
  <c r="G27" i="10"/>
  <c r="F27" i="10"/>
  <c r="H21" i="10"/>
  <c r="H26" i="10"/>
  <c r="H29" i="10"/>
  <c r="G218" i="10"/>
  <c r="O123" i="10"/>
  <c r="M175" i="10"/>
  <c r="H64" i="10"/>
  <c r="H141" i="10"/>
  <c r="M190" i="10"/>
  <c r="J64" i="10"/>
  <c r="J141" i="10"/>
  <c r="M178" i="10"/>
  <c r="M148" i="10"/>
  <c r="M149" i="10"/>
  <c r="M214" i="10"/>
  <c r="J218" i="10"/>
  <c r="N123" i="10"/>
  <c r="M191" i="10"/>
  <c r="M150" i="10"/>
  <c r="M138" i="10"/>
  <c r="H218" i="10"/>
  <c r="I26" i="10"/>
  <c r="I29" i="10"/>
  <c r="M123" i="10"/>
  <c r="D218" i="10"/>
  <c r="I199" i="10"/>
  <c r="I27" i="10"/>
  <c r="G199" i="10"/>
  <c r="O138" i="10"/>
  <c r="AE56" i="4"/>
  <c r="U73" i="4"/>
  <c r="Z56" i="4"/>
  <c r="G158" i="4"/>
  <c r="V266" i="4"/>
  <c r="J27" i="10"/>
  <c r="AC73" i="4"/>
  <c r="R223" i="4"/>
  <c r="D17" i="4"/>
  <c r="W108" i="4"/>
  <c r="K56" i="4"/>
  <c r="AC50" i="4"/>
  <c r="Q108" i="4"/>
  <c r="Q104" i="4"/>
  <c r="Q24" i="4"/>
  <c r="G64" i="10"/>
  <c r="G141" i="10"/>
  <c r="H199" i="10"/>
  <c r="K51" i="4"/>
  <c r="D64" i="10"/>
  <c r="D141" i="10"/>
  <c r="O21" i="4"/>
  <c r="Y56" i="4"/>
  <c r="H156" i="10"/>
  <c r="H159" i="10"/>
  <c r="H163" i="10"/>
  <c r="Y50" i="4"/>
  <c r="T73" i="4"/>
  <c r="AD158" i="4"/>
  <c r="H160" i="10"/>
  <c r="N138" i="10"/>
  <c r="AB26" i="4"/>
  <c r="AB40" i="4"/>
  <c r="AC55" i="4"/>
  <c r="Y223" i="4"/>
  <c r="L209" i="4"/>
  <c r="M265" i="4"/>
  <c r="Z85" i="4"/>
  <c r="U56" i="4"/>
  <c r="AC108" i="4"/>
  <c r="AC104" i="4"/>
  <c r="P158" i="4"/>
  <c r="G91" i="4"/>
  <c r="P65" i="4"/>
  <c r="P66" i="4"/>
  <c r="G55" i="4"/>
  <c r="H237" i="4"/>
  <c r="AA85" i="4"/>
  <c r="U26" i="4"/>
  <c r="U40" i="4"/>
  <c r="G56" i="4"/>
  <c r="K199" i="10"/>
  <c r="D27" i="10"/>
  <c r="J199" i="10"/>
  <c r="U51" i="4"/>
  <c r="G50" i="4"/>
  <c r="L252" i="4"/>
  <c r="C199" i="10"/>
  <c r="D29" i="10"/>
  <c r="W50" i="4"/>
  <c r="AB108" i="4"/>
  <c r="AB104" i="4"/>
  <c r="J210" i="10"/>
  <c r="F85" i="4"/>
  <c r="U50" i="4"/>
  <c r="E218" i="10"/>
  <c r="E54" i="10"/>
  <c r="V209" i="4"/>
  <c r="AG209" i="4"/>
  <c r="N86" i="4"/>
  <c r="K252" i="4"/>
  <c r="W55" i="4"/>
  <c r="O108" i="4"/>
  <c r="K55" i="4"/>
  <c r="L237" i="4"/>
  <c r="AA91" i="4"/>
  <c r="M64" i="4"/>
  <c r="O19" i="4"/>
  <c r="V56" i="4"/>
  <c r="Z55" i="4"/>
  <c r="L26" i="4"/>
  <c r="L41" i="4"/>
  <c r="X91" i="4"/>
  <c r="W158" i="4"/>
  <c r="N133" i="10"/>
  <c r="N190" i="10"/>
  <c r="Z50" i="4"/>
  <c r="H26" i="4"/>
  <c r="H41" i="4"/>
  <c r="AD50" i="4"/>
  <c r="AA31" i="4"/>
  <c r="D73" i="4"/>
  <c r="N129" i="10"/>
  <c r="N173" i="10"/>
  <c r="AC26" i="4"/>
  <c r="AC40" i="4"/>
  <c r="I50" i="4"/>
  <c r="G21" i="4"/>
  <c r="E85" i="4"/>
  <c r="Y158" i="4"/>
  <c r="M135" i="10"/>
  <c r="M189" i="10"/>
  <c r="K64" i="10"/>
  <c r="K141" i="10"/>
  <c r="O125" i="10"/>
  <c r="O137" i="10"/>
  <c r="I156" i="10"/>
  <c r="I159" i="10"/>
  <c r="I163" i="10"/>
  <c r="O132" i="10"/>
  <c r="N125" i="10"/>
  <c r="N153" i="10"/>
  <c r="N127" i="10"/>
  <c r="N172" i="10"/>
  <c r="N132" i="10"/>
  <c r="N183" i="10"/>
  <c r="O129" i="10"/>
  <c r="J160" i="10"/>
  <c r="N121" i="10"/>
  <c r="N150" i="10"/>
  <c r="H92" i="10"/>
  <c r="O121" i="10"/>
  <c r="N134" i="10"/>
  <c r="N191" i="10"/>
  <c r="L23" i="10"/>
  <c r="L139" i="10"/>
  <c r="L27" i="10"/>
  <c r="M129" i="10"/>
  <c r="M173" i="10"/>
  <c r="O134" i="10"/>
  <c r="E210" i="10"/>
  <c r="K218" i="10"/>
  <c r="O127" i="10"/>
  <c r="E64" i="10"/>
  <c r="E141" i="10"/>
  <c r="M127" i="10"/>
  <c r="M172" i="10"/>
  <c r="O136" i="10"/>
  <c r="M125" i="10"/>
  <c r="M153" i="10"/>
  <c r="O133" i="10"/>
  <c r="N137" i="10"/>
  <c r="N178" i="10"/>
  <c r="N136" i="10"/>
  <c r="N185" i="10"/>
  <c r="O130" i="10"/>
  <c r="W266" i="4"/>
  <c r="E156" i="10"/>
  <c r="E159" i="10"/>
  <c r="E211" i="10"/>
  <c r="I160" i="10"/>
  <c r="M128" i="10"/>
  <c r="M171" i="10"/>
  <c r="M136" i="10"/>
  <c r="M185" i="10"/>
  <c r="O124" i="10"/>
  <c r="N130" i="10"/>
  <c r="N175" i="10"/>
  <c r="E251" i="10"/>
  <c r="N165" i="10"/>
  <c r="N208" i="10"/>
  <c r="X21" i="4"/>
  <c r="C23" i="10"/>
  <c r="C139" i="10"/>
  <c r="S111" i="4"/>
  <c r="R17" i="4"/>
  <c r="Q55" i="4"/>
  <c r="M124" i="10"/>
  <c r="M158" i="10"/>
  <c r="M209" i="4"/>
  <c r="N265" i="4"/>
  <c r="X31" i="4"/>
  <c r="Q56" i="4"/>
  <c r="T50" i="4"/>
  <c r="M51" i="4"/>
  <c r="Q26" i="4"/>
  <c r="Q40" i="4"/>
  <c r="D31" i="4"/>
  <c r="W29" i="4"/>
  <c r="F224" i="4"/>
  <c r="N131" i="10"/>
  <c r="N179" i="10"/>
  <c r="AG41" i="4"/>
  <c r="O110" i="4"/>
  <c r="O131" i="10"/>
  <c r="N135" i="10"/>
  <c r="N189" i="10"/>
  <c r="F65" i="4"/>
  <c r="O135" i="10"/>
  <c r="E224" i="4"/>
  <c r="Q50" i="4"/>
  <c r="N124" i="10"/>
  <c r="N158" i="10"/>
  <c r="D251" i="10"/>
  <c r="M165" i="10"/>
  <c r="M208" i="10"/>
  <c r="I4" i="10"/>
  <c r="J31" i="10"/>
  <c r="J82" i="10"/>
  <c r="G49" i="4"/>
  <c r="P110" i="4"/>
  <c r="C218" i="10"/>
  <c r="W51" i="4"/>
  <c r="X209" i="4"/>
  <c r="C64" i="10"/>
  <c r="C141" i="10"/>
  <c r="AD91" i="4"/>
  <c r="AA111" i="4"/>
  <c r="J209" i="4"/>
  <c r="K265" i="4"/>
  <c r="L165" i="10"/>
  <c r="L208" i="10"/>
  <c r="C251" i="10"/>
  <c r="F90" i="4"/>
  <c r="F91" i="4"/>
  <c r="E56" i="4"/>
  <c r="X29" i="4"/>
  <c r="F111" i="4"/>
  <c r="K111" i="4"/>
  <c r="P56" i="4"/>
  <c r="X158" i="4"/>
  <c r="R21" i="4"/>
  <c r="AD56" i="4"/>
  <c r="W21" i="4"/>
  <c r="W26" i="4"/>
  <c r="W27" i="4"/>
  <c r="G39" i="4"/>
  <c r="Z26" i="4"/>
  <c r="Z40" i="4"/>
  <c r="O50" i="4"/>
  <c r="T46" i="4"/>
  <c r="T52" i="4"/>
  <c r="J85" i="4"/>
  <c r="P86" i="4"/>
  <c r="R73" i="4"/>
  <c r="N209" i="4"/>
  <c r="D265" i="4"/>
  <c r="T61" i="4"/>
  <c r="T63" i="4"/>
  <c r="T65" i="4"/>
  <c r="T66" i="4"/>
  <c r="I51" i="4"/>
  <c r="P223" i="4"/>
  <c r="K211" i="10"/>
  <c r="AE73" i="4"/>
  <c r="O56" i="4"/>
  <c r="E21" i="10"/>
  <c r="E26" i="10"/>
  <c r="E29" i="10"/>
  <c r="M122" i="10"/>
  <c r="M151" i="10"/>
  <c r="D258" i="10"/>
  <c r="G113" i="10"/>
  <c r="I113" i="10"/>
  <c r="K26" i="10"/>
  <c r="K29" i="10"/>
  <c r="K23" i="10"/>
  <c r="K139" i="10"/>
  <c r="C27" i="10"/>
  <c r="K27" i="10"/>
  <c r="C162" i="10"/>
  <c r="J224" i="4"/>
  <c r="I224" i="4"/>
  <c r="C211" i="10"/>
  <c r="N128" i="10"/>
  <c r="N171" i="10"/>
  <c r="O122" i="10"/>
  <c r="O140" i="10"/>
  <c r="O128" i="10"/>
  <c r="N140" i="10"/>
  <c r="E252" i="4"/>
  <c r="Y266" i="4"/>
  <c r="D111" i="4"/>
  <c r="U49" i="4"/>
  <c r="N46" i="4"/>
  <c r="N54" i="4"/>
  <c r="AA55" i="4"/>
  <c r="AC97" i="4"/>
  <c r="F158" i="4"/>
  <c r="V55" i="4"/>
  <c r="AG27" i="4"/>
  <c r="E209" i="4"/>
  <c r="F265" i="4"/>
  <c r="S26" i="4"/>
  <c r="AF19" i="4"/>
  <c r="H97" i="4"/>
  <c r="T209" i="4"/>
  <c r="L158" i="4"/>
  <c r="X51" i="4"/>
  <c r="AC145" i="4"/>
  <c r="AC86" i="4"/>
  <c r="AC87" i="4"/>
  <c r="P50" i="4"/>
  <c r="D19" i="4"/>
  <c r="AC96" i="4"/>
  <c r="S17" i="4"/>
  <c r="X55" i="4"/>
  <c r="T21" i="4"/>
  <c r="X50" i="4"/>
  <c r="W111" i="4"/>
  <c r="AC21" i="4"/>
  <c r="AF27" i="4"/>
  <c r="V50" i="4"/>
  <c r="T55" i="4"/>
  <c r="AA158" i="4"/>
  <c r="AF25" i="4"/>
  <c r="K162" i="10"/>
  <c r="AD111" i="4"/>
  <c r="P31" i="4"/>
  <c r="V108" i="4"/>
  <c r="F209" i="4"/>
  <c r="G265" i="4"/>
  <c r="F26" i="4"/>
  <c r="S223" i="4"/>
  <c r="H56" i="4"/>
  <c r="F21" i="4"/>
  <c r="T56" i="4"/>
  <c r="Y26" i="4"/>
  <c r="Y40" i="4"/>
  <c r="V111" i="4"/>
  <c r="J26" i="4"/>
  <c r="J40" i="4"/>
  <c r="I29" i="4"/>
  <c r="G61" i="4"/>
  <c r="G63" i="4"/>
  <c r="G65" i="4"/>
  <c r="G66" i="4"/>
  <c r="P46" i="4"/>
  <c r="P54" i="4"/>
  <c r="AB111" i="4"/>
  <c r="R50" i="4"/>
  <c r="S31" i="4"/>
  <c r="D29" i="4"/>
  <c r="W31" i="4"/>
  <c r="Q49" i="4"/>
  <c r="AB158" i="4"/>
  <c r="L17" i="4"/>
  <c r="N73" i="4"/>
  <c r="G73" i="4"/>
  <c r="G46" i="4"/>
  <c r="G54" i="4"/>
  <c r="Z108" i="4"/>
  <c r="AA108" i="4"/>
  <c r="D163" i="10"/>
  <c r="R266" i="4"/>
  <c r="P23" i="4"/>
  <c r="Z29" i="4"/>
  <c r="AC91" i="4"/>
  <c r="AF17" i="4"/>
  <c r="Y108" i="4"/>
  <c r="AD61" i="4"/>
  <c r="AD63" i="4"/>
  <c r="AD65" i="4"/>
  <c r="AD66" i="4"/>
  <c r="D211" i="10"/>
  <c r="T108" i="4"/>
  <c r="Z110" i="4"/>
  <c r="AA19" i="4"/>
  <c r="U223" i="4"/>
  <c r="J158" i="4"/>
  <c r="J23" i="10"/>
  <c r="J139" i="10"/>
  <c r="X85" i="4"/>
  <c r="L159" i="10"/>
  <c r="L211" i="10"/>
  <c r="F73" i="4"/>
  <c r="AD46" i="4"/>
  <c r="AD53" i="4"/>
  <c r="AC85" i="4"/>
  <c r="S108" i="4"/>
  <c r="S104" i="4"/>
  <c r="S24" i="4"/>
  <c r="T158" i="4"/>
  <c r="U108" i="4"/>
  <c r="AD85" i="4"/>
  <c r="S266" i="4"/>
  <c r="K91" i="4"/>
  <c r="AA110" i="4"/>
  <c r="Y110" i="4"/>
  <c r="T17" i="4"/>
  <c r="I158" i="4"/>
  <c r="K158" i="4"/>
  <c r="AD55" i="4"/>
  <c r="O111" i="4"/>
  <c r="D91" i="4"/>
  <c r="U110" i="4"/>
  <c r="AF55" i="4"/>
  <c r="AF56" i="4"/>
  <c r="P19" i="4"/>
  <c r="U111" i="4"/>
  <c r="W17" i="4"/>
  <c r="F86" i="4"/>
  <c r="F87" i="4"/>
  <c r="AG40" i="4"/>
  <c r="D23" i="4"/>
  <c r="T110" i="4"/>
  <c r="S73" i="4"/>
  <c r="J211" i="10"/>
  <c r="J162" i="10"/>
  <c r="W252" i="4"/>
  <c r="T266" i="4"/>
  <c r="M252" i="4"/>
  <c r="O209" i="4"/>
  <c r="Z73" i="4"/>
  <c r="Z158" i="4"/>
  <c r="R59" i="4"/>
  <c r="R60" i="4"/>
  <c r="T49" i="4"/>
  <c r="Y111" i="4"/>
  <c r="J17" i="4"/>
  <c r="O158" i="4"/>
  <c r="S29" i="4"/>
  <c r="Q158" i="4"/>
  <c r="AE64" i="4"/>
  <c r="AE158" i="4"/>
  <c r="R56" i="4"/>
  <c r="R55" i="4"/>
  <c r="G37" i="4"/>
  <c r="R49" i="4"/>
  <c r="AE90" i="4"/>
  <c r="AE91" i="4"/>
  <c r="P55" i="4"/>
  <c r="E111" i="4"/>
  <c r="N108" i="4"/>
  <c r="Q111" i="4"/>
  <c r="I17" i="4"/>
  <c r="H96" i="4"/>
  <c r="Y91" i="4"/>
  <c r="H145" i="4"/>
  <c r="H46" i="4"/>
  <c r="V110" i="4"/>
  <c r="Q266" i="4"/>
  <c r="Q17" i="4"/>
  <c r="O55" i="4"/>
  <c r="R64" i="4"/>
  <c r="I111" i="4"/>
  <c r="S91" i="4"/>
  <c r="W110" i="4"/>
  <c r="AA29" i="4"/>
  <c r="AA21" i="4"/>
  <c r="X17" i="4"/>
  <c r="S23" i="4"/>
  <c r="O91" i="4"/>
  <c r="D158" i="4"/>
  <c r="AA26" i="4"/>
  <c r="X252" i="4"/>
  <c r="S50" i="4"/>
  <c r="O73" i="4"/>
  <c r="AF46" i="4"/>
  <c r="AF61" i="4"/>
  <c r="AF63" i="4"/>
  <c r="AF86" i="4"/>
  <c r="G85" i="4"/>
  <c r="H90" i="4"/>
  <c r="H91" i="4"/>
  <c r="AF64" i="4"/>
  <c r="AF158" i="4"/>
  <c r="K85" i="4"/>
  <c r="L90" i="4"/>
  <c r="L91" i="4"/>
  <c r="F46" i="4"/>
  <c r="F54" i="4"/>
  <c r="O59" i="4"/>
  <c r="O60" i="4"/>
  <c r="I36" i="4"/>
  <c r="I38" i="4"/>
  <c r="O23" i="4"/>
  <c r="E64" i="4"/>
  <c r="E158" i="4"/>
  <c r="T90" i="4"/>
  <c r="T91" i="4"/>
  <c r="S85" i="4"/>
  <c r="P29" i="4"/>
  <c r="AG111" i="4"/>
  <c r="U266" i="4"/>
  <c r="AC49" i="4"/>
  <c r="X108" i="4"/>
  <c r="F50" i="4"/>
  <c r="F49" i="4"/>
  <c r="N90" i="4"/>
  <c r="N91" i="4"/>
  <c r="N85" i="4"/>
  <c r="L73" i="4"/>
  <c r="H49" i="4"/>
  <c r="H50" i="4"/>
  <c r="I25" i="4"/>
  <c r="J39" i="4"/>
  <c r="N50" i="4"/>
  <c r="J55" i="4"/>
  <c r="K237" i="4"/>
  <c r="J51" i="4"/>
  <c r="N17" i="4"/>
  <c r="H111" i="4"/>
  <c r="U64" i="4"/>
  <c r="U158" i="4"/>
  <c r="Q59" i="4"/>
  <c r="Q60" i="4"/>
  <c r="AG55" i="4"/>
  <c r="AG56" i="4"/>
  <c r="N55" i="4"/>
  <c r="D237" i="4"/>
  <c r="N110" i="4"/>
  <c r="N56" i="4"/>
  <c r="X110" i="4"/>
  <c r="AC56" i="4"/>
  <c r="AF85" i="4"/>
  <c r="R111" i="4"/>
  <c r="AF209" i="4"/>
  <c r="Z90" i="4"/>
  <c r="Z91" i="4"/>
  <c r="Y85" i="4"/>
  <c r="AA23" i="4"/>
  <c r="Q85" i="4"/>
  <c r="P85" i="4"/>
  <c r="AF111" i="4"/>
  <c r="K25" i="4"/>
  <c r="K39" i="4"/>
  <c r="J25" i="4"/>
  <c r="P111" i="4"/>
  <c r="I90" i="4"/>
  <c r="I91" i="4"/>
  <c r="H85" i="4"/>
  <c r="AA17" i="4"/>
  <c r="H252" i="4"/>
  <c r="O49" i="4"/>
  <c r="K17" i="4"/>
  <c r="T85" i="4"/>
  <c r="U90" i="4"/>
  <c r="U91" i="4"/>
  <c r="K37" i="4"/>
  <c r="V64" i="4"/>
  <c r="V158" i="4"/>
  <c r="O31" i="4"/>
  <c r="AA56" i="4"/>
  <c r="AA51" i="4"/>
  <c r="K36" i="4"/>
  <c r="P209" i="4"/>
  <c r="P26" i="4"/>
  <c r="J111" i="4"/>
  <c r="H55" i="4"/>
  <c r="I237" i="4"/>
  <c r="AG90" i="4"/>
  <c r="AG91" i="4"/>
  <c r="Y55" i="4"/>
  <c r="J29" i="4"/>
  <c r="AF21" i="4"/>
  <c r="AG21" i="4"/>
  <c r="V252" i="4"/>
  <c r="AA50" i="4"/>
  <c r="D50" i="4"/>
  <c r="D49" i="4"/>
  <c r="L50" i="4"/>
  <c r="L49" i="4"/>
  <c r="V90" i="4"/>
  <c r="V91" i="4"/>
  <c r="U85" i="4"/>
  <c r="N64" i="4"/>
  <c r="N65" i="4"/>
  <c r="N66" i="4"/>
  <c r="N158" i="4"/>
  <c r="F252" i="4"/>
  <c r="G252" i="4"/>
  <c r="J50" i="4"/>
  <c r="J49" i="4"/>
  <c r="P90" i="4"/>
  <c r="P91" i="4"/>
  <c r="O85" i="4"/>
  <c r="AB49" i="4"/>
  <c r="AB50" i="4"/>
  <c r="E90" i="4"/>
  <c r="E91" i="4"/>
  <c r="D85" i="4"/>
  <c r="S55" i="4"/>
  <c r="S56" i="4"/>
  <c r="L85" i="4"/>
  <c r="AB91" i="4"/>
  <c r="S21" i="4"/>
  <c r="T111" i="4"/>
  <c r="I73" i="4"/>
  <c r="H73" i="4"/>
  <c r="H64" i="4"/>
  <c r="H158" i="4"/>
  <c r="K46" i="4"/>
  <c r="K86" i="4"/>
  <c r="K61" i="4"/>
  <c r="K63" i="4"/>
  <c r="K65" i="4"/>
  <c r="K66" i="4"/>
  <c r="P17" i="4"/>
  <c r="O17" i="4"/>
  <c r="J90" i="4"/>
  <c r="J91" i="4"/>
  <c r="I85" i="4"/>
  <c r="M56" i="4"/>
  <c r="M55" i="4"/>
  <c r="N237" i="4"/>
  <c r="P21" i="4"/>
  <c r="Q21" i="4"/>
  <c r="R90" i="4"/>
  <c r="R91" i="4"/>
  <c r="R85" i="4"/>
  <c r="J252" i="4"/>
  <c r="O40" i="4"/>
  <c r="F251" i="10"/>
  <c r="O165" i="10"/>
  <c r="O208" i="10"/>
  <c r="M38" i="4"/>
  <c r="G215" i="10"/>
  <c r="G216" i="10"/>
  <c r="G217" i="10"/>
  <c r="G86" i="10"/>
  <c r="G143" i="10"/>
  <c r="J86" i="4"/>
  <c r="J61" i="4"/>
  <c r="J63" i="4"/>
  <c r="J65" i="4"/>
  <c r="J66" i="4"/>
  <c r="J46" i="4"/>
  <c r="AG61" i="4"/>
  <c r="AG63" i="4"/>
  <c r="AG65" i="4"/>
  <c r="AG66" i="4"/>
  <c r="AG86" i="4"/>
  <c r="AG46" i="4"/>
  <c r="T19" i="4"/>
  <c r="G25" i="4"/>
  <c r="H39" i="4"/>
  <c r="H25" i="4"/>
  <c r="E86" i="4"/>
  <c r="E61" i="4"/>
  <c r="E63" i="4"/>
  <c r="E46" i="4"/>
  <c r="M41" i="4"/>
  <c r="M40" i="4"/>
  <c r="R86" i="4"/>
  <c r="R61" i="4"/>
  <c r="R63" i="4"/>
  <c r="R46" i="4"/>
  <c r="D56" i="4"/>
  <c r="D55" i="4"/>
  <c r="E237" i="4"/>
  <c r="E238" i="4"/>
  <c r="M46" i="4"/>
  <c r="M61" i="4"/>
  <c r="M63" i="4"/>
  <c r="M86" i="4"/>
  <c r="T29" i="4"/>
  <c r="F59" i="4"/>
  <c r="F60" i="4"/>
  <c r="D21" i="4"/>
  <c r="G224" i="4"/>
  <c r="H224" i="4"/>
  <c r="Q86" i="4"/>
  <c r="Q61" i="4"/>
  <c r="Q63" i="4"/>
  <c r="Q65" i="4"/>
  <c r="Q46" i="4"/>
  <c r="I61" i="4"/>
  <c r="I63" i="4"/>
  <c r="I65" i="4"/>
  <c r="I66" i="4"/>
  <c r="I86" i="4"/>
  <c r="I46" i="4"/>
  <c r="AB55" i="4"/>
  <c r="AB56" i="4"/>
  <c r="T31" i="4"/>
  <c r="I55" i="4"/>
  <c r="J237" i="4"/>
  <c r="I56" i="4"/>
  <c r="W46" i="4"/>
  <c r="W86" i="4"/>
  <c r="W61" i="4"/>
  <c r="W63" i="4"/>
  <c r="W65" i="4"/>
  <c r="W66" i="4"/>
  <c r="C217" i="10"/>
  <c r="C216" i="10"/>
  <c r="C215" i="10"/>
  <c r="C86" i="10"/>
  <c r="C143" i="10"/>
  <c r="Y61" i="4"/>
  <c r="Y63" i="4"/>
  <c r="Y65" i="4"/>
  <c r="Y66" i="4"/>
  <c r="Y46" i="4"/>
  <c r="Y86" i="4"/>
  <c r="X61" i="4"/>
  <c r="X63" i="4"/>
  <c r="X65" i="4"/>
  <c r="X66" i="4"/>
  <c r="X46" i="4"/>
  <c r="X86" i="4"/>
  <c r="D25" i="4"/>
  <c r="E39" i="4"/>
  <c r="V73" i="4"/>
  <c r="W73" i="4"/>
  <c r="R195" i="10"/>
  <c r="Q29" i="4"/>
  <c r="R29" i="4"/>
  <c r="X19" i="4"/>
  <c r="AD73" i="4"/>
  <c r="T252" i="4"/>
  <c r="M39" i="4"/>
  <c r="L25" i="4"/>
  <c r="Y29" i="4"/>
  <c r="I26" i="4"/>
  <c r="V223" i="4"/>
  <c r="V224" i="4"/>
  <c r="I209" i="4"/>
  <c r="J265" i="4"/>
  <c r="D253" i="10"/>
  <c r="D260" i="10"/>
  <c r="D209" i="4"/>
  <c r="E265" i="4"/>
  <c r="D26" i="4"/>
  <c r="D27" i="4"/>
  <c r="Q223" i="4"/>
  <c r="L21" i="4"/>
  <c r="M37" i="4"/>
  <c r="Q91" i="4"/>
  <c r="G26" i="4"/>
  <c r="G209" i="4"/>
  <c r="H265" i="4"/>
  <c r="T223" i="4"/>
  <c r="S86" i="4"/>
  <c r="S46" i="4"/>
  <c r="S61" i="4"/>
  <c r="S63" i="4"/>
  <c r="S65" i="4"/>
  <c r="S66" i="4"/>
  <c r="L86" i="4"/>
  <c r="L61" i="4"/>
  <c r="L63" i="4"/>
  <c r="L65" i="4"/>
  <c r="L66" i="4"/>
  <c r="L46" i="4"/>
  <c r="P73" i="4"/>
  <c r="Q73" i="4"/>
  <c r="T23" i="4"/>
  <c r="AB21" i="4"/>
  <c r="AE26" i="4"/>
  <c r="AE27" i="4"/>
  <c r="AE209" i="4"/>
  <c r="E41" i="4"/>
  <c r="E40" i="4"/>
  <c r="Q252" i="4"/>
  <c r="L37" i="4"/>
  <c r="K21" i="4"/>
  <c r="O61" i="4"/>
  <c r="O63" i="4"/>
  <c r="O65" i="4"/>
  <c r="O86" i="4"/>
  <c r="O46" i="4"/>
  <c r="AF41" i="4"/>
  <c r="AF40" i="4"/>
  <c r="AG73" i="4"/>
  <c r="AF73" i="4"/>
  <c r="F55" i="4"/>
  <c r="G237" i="4"/>
  <c r="F56" i="4"/>
  <c r="V46" i="4"/>
  <c r="V86" i="4"/>
  <c r="V61" i="4"/>
  <c r="V63" i="4"/>
  <c r="J215" i="10"/>
  <c r="J217" i="10"/>
  <c r="J216" i="10"/>
  <c r="J86" i="10"/>
  <c r="J143" i="10"/>
  <c r="P140" i="10"/>
  <c r="P138" i="10"/>
  <c r="P131" i="10"/>
  <c r="P123" i="10"/>
  <c r="P143" i="10"/>
  <c r="P142" i="10"/>
  <c r="P135" i="10"/>
  <c r="P132" i="10"/>
  <c r="P124" i="10"/>
  <c r="P130" i="10"/>
  <c r="P121" i="10"/>
  <c r="P134" i="10"/>
  <c r="P125" i="10"/>
  <c r="P122" i="10"/>
  <c r="P127" i="10"/>
  <c r="P128" i="10"/>
  <c r="P133" i="10"/>
  <c r="P129" i="10"/>
  <c r="P137" i="10"/>
  <c r="Q118" i="10"/>
  <c r="P119" i="10"/>
  <c r="P219" i="10"/>
  <c r="P136" i="10"/>
  <c r="P120" i="10"/>
  <c r="P117" i="10"/>
  <c r="P145" i="10"/>
  <c r="I37" i="4"/>
  <c r="H21" i="4"/>
  <c r="AB46" i="4"/>
  <c r="AB61" i="4"/>
  <c r="AB63" i="4"/>
  <c r="AB65" i="4"/>
  <c r="AB66" i="4"/>
  <c r="AB86" i="4"/>
  <c r="D61" i="4"/>
  <c r="D63" i="4"/>
  <c r="D65" i="4"/>
  <c r="D66" i="4"/>
  <c r="D46" i="4"/>
  <c r="D86" i="4"/>
  <c r="Z145" i="4"/>
  <c r="Z96" i="4"/>
  <c r="Z112" i="4"/>
  <c r="Z111" i="4"/>
  <c r="E21" i="4"/>
  <c r="F37" i="4"/>
  <c r="J73" i="4"/>
  <c r="K73" i="4"/>
  <c r="K26" i="4"/>
  <c r="K209" i="4"/>
  <c r="L265" i="4"/>
  <c r="X223" i="4"/>
  <c r="X23" i="4"/>
  <c r="J252" i="10"/>
  <c r="J263" i="10"/>
  <c r="AA61" i="4"/>
  <c r="AA63" i="4"/>
  <c r="AA65" i="4"/>
  <c r="AA66" i="4"/>
  <c r="AA46" i="4"/>
  <c r="AA86" i="4"/>
  <c r="AE145" i="4"/>
  <c r="AE112" i="4"/>
  <c r="AE111" i="4"/>
  <c r="AE96" i="4"/>
  <c r="U46" i="4"/>
  <c r="U61" i="4"/>
  <c r="U63" i="4"/>
  <c r="U86" i="4"/>
  <c r="AF29" i="4"/>
  <c r="M36" i="4"/>
  <c r="K224" i="4"/>
  <c r="L215" i="10"/>
  <c r="L216" i="10"/>
  <c r="L217" i="10"/>
  <c r="L86" i="10"/>
  <c r="O147" i="10"/>
  <c r="N148" i="10"/>
  <c r="N149" i="10"/>
  <c r="L56" i="4"/>
  <c r="L55" i="4"/>
  <c r="M237" i="4"/>
  <c r="R27" i="4"/>
  <c r="M176" i="10"/>
  <c r="M177" i="10"/>
  <c r="Y224" i="4"/>
  <c r="M65" i="4"/>
  <c r="M66" i="4"/>
  <c r="R224" i="4"/>
  <c r="P104" i="4"/>
  <c r="P117" i="4"/>
  <c r="P116" i="4"/>
  <c r="Q25" i="4"/>
  <c r="R117" i="4"/>
  <c r="R116" i="4"/>
  <c r="L27" i="4"/>
  <c r="H215" i="10"/>
  <c r="M212" i="10"/>
  <c r="M188" i="10"/>
  <c r="D255" i="10"/>
  <c r="H86" i="10"/>
  <c r="H143" i="10"/>
  <c r="H217" i="10"/>
  <c r="H23" i="10"/>
  <c r="H139" i="10"/>
  <c r="H216" i="10"/>
  <c r="F86" i="10"/>
  <c r="F143" i="10"/>
  <c r="F215" i="10"/>
  <c r="F217" i="10"/>
  <c r="F216" i="10"/>
  <c r="I86" i="10"/>
  <c r="I143" i="10"/>
  <c r="I216" i="10"/>
  <c r="D215" i="10"/>
  <c r="I217" i="10"/>
  <c r="O64" i="10"/>
  <c r="D113" i="10"/>
  <c r="I215" i="10"/>
  <c r="D217" i="10"/>
  <c r="G27" i="4"/>
  <c r="H40" i="4"/>
  <c r="L40" i="4"/>
  <c r="T27" i="4"/>
  <c r="L266" i="4"/>
  <c r="Q224" i="4"/>
  <c r="H238" i="4"/>
  <c r="X224" i="4"/>
  <c r="W104" i="4"/>
  <c r="W117" i="4"/>
  <c r="W116" i="4"/>
  <c r="G238" i="4"/>
  <c r="S40" i="4"/>
  <c r="H162" i="10"/>
  <c r="H211" i="10"/>
  <c r="N64" i="10"/>
  <c r="C113" i="10"/>
  <c r="J41" i="4"/>
  <c r="D86" i="10"/>
  <c r="D143" i="10"/>
  <c r="D216" i="10"/>
  <c r="M266" i="4"/>
  <c r="AC61" i="4"/>
  <c r="AC63" i="4"/>
  <c r="AC65" i="4"/>
  <c r="AC66" i="4"/>
  <c r="AC46" i="4"/>
  <c r="AC52" i="4"/>
  <c r="O104" i="4"/>
  <c r="O24" i="4"/>
  <c r="K238" i="4"/>
  <c r="Q27" i="4"/>
  <c r="AB27" i="4"/>
  <c r="S27" i="4"/>
  <c r="AC94" i="4"/>
  <c r="AD117" i="4"/>
  <c r="AD116" i="4"/>
  <c r="P64" i="10"/>
  <c r="E113" i="10"/>
  <c r="J113" i="10"/>
  <c r="M141" i="10"/>
  <c r="E162" i="10"/>
  <c r="E163" i="10"/>
  <c r="AF65" i="4"/>
  <c r="AF66" i="4"/>
  <c r="I162" i="10"/>
  <c r="I211" i="10"/>
  <c r="G111" i="10"/>
  <c r="I111" i="10"/>
  <c r="P139" i="10"/>
  <c r="Q64" i="10"/>
  <c r="F113" i="10"/>
  <c r="E217" i="10"/>
  <c r="M201" i="10"/>
  <c r="Q117" i="4"/>
  <c r="Q116" i="4"/>
  <c r="I82" i="10"/>
  <c r="H4" i="10"/>
  <c r="I31" i="10"/>
  <c r="E215" i="10"/>
  <c r="E23" i="10"/>
  <c r="E139" i="10"/>
  <c r="F66" i="4"/>
  <c r="N52" i="4"/>
  <c r="E87" i="4"/>
  <c r="F94" i="4"/>
  <c r="N53" i="4"/>
  <c r="J266" i="4"/>
  <c r="W40" i="4"/>
  <c r="U104" i="4"/>
  <c r="U24" i="4"/>
  <c r="U41" i="4"/>
  <c r="E216" i="10"/>
  <c r="AD54" i="4"/>
  <c r="AA104" i="4"/>
  <c r="AA24" i="4"/>
  <c r="T54" i="4"/>
  <c r="K215" i="10"/>
  <c r="P52" i="4"/>
  <c r="T53" i="4"/>
  <c r="T104" i="4"/>
  <c r="Y27" i="4"/>
  <c r="E86" i="10"/>
  <c r="E143" i="10"/>
  <c r="K217" i="10"/>
  <c r="E65" i="4"/>
  <c r="E66" i="4"/>
  <c r="K86" i="10"/>
  <c r="K143" i="10"/>
  <c r="K216" i="10"/>
  <c r="E266" i="4"/>
  <c r="F266" i="4"/>
  <c r="F53" i="4"/>
  <c r="L163" i="10"/>
  <c r="Z104" i="4"/>
  <c r="F52" i="4"/>
  <c r="V104" i="4"/>
  <c r="V117" i="4"/>
  <c r="V116" i="4"/>
  <c r="AD52" i="4"/>
  <c r="Y104" i="4"/>
  <c r="Y24" i="4"/>
  <c r="X27" i="4"/>
  <c r="F40" i="4"/>
  <c r="L162" i="10"/>
  <c r="P53" i="4"/>
  <c r="H61" i="4"/>
  <c r="H63" i="4"/>
  <c r="H65" i="4"/>
  <c r="H66" i="4"/>
  <c r="E27" i="4"/>
  <c r="H86" i="4"/>
  <c r="G94" i="4"/>
  <c r="L87" i="4"/>
  <c r="N104" i="4"/>
  <c r="N24" i="4"/>
  <c r="N23" i="10"/>
  <c r="C111" i="10"/>
  <c r="C287" i="10"/>
  <c r="S117" i="4"/>
  <c r="S116" i="4"/>
  <c r="X104" i="4"/>
  <c r="X24" i="4"/>
  <c r="X41" i="4"/>
  <c r="G52" i="4"/>
  <c r="G53" i="4"/>
  <c r="J238" i="4"/>
  <c r="W24" i="4"/>
  <c r="W41" i="4"/>
  <c r="S41" i="4"/>
  <c r="H113" i="10"/>
  <c r="R65" i="4"/>
  <c r="R66" i="4"/>
  <c r="I238" i="4"/>
  <c r="N212" i="10"/>
  <c r="Z27" i="4"/>
  <c r="AA40" i="4"/>
  <c r="AA27" i="4"/>
  <c r="R25" i="4"/>
  <c r="U65" i="4"/>
  <c r="U66" i="4"/>
  <c r="D94" i="4"/>
  <c r="V65" i="4"/>
  <c r="V66" i="4"/>
  <c r="O66" i="4"/>
  <c r="P27" i="4"/>
  <c r="P40" i="4"/>
  <c r="O27" i="4"/>
  <c r="Q66" i="4"/>
  <c r="K53" i="4"/>
  <c r="K54" i="4"/>
  <c r="K52" i="4"/>
  <c r="H54" i="4"/>
  <c r="H53" i="4"/>
  <c r="H52" i="4"/>
  <c r="K266" i="4"/>
  <c r="AF54" i="4"/>
  <c r="AF52" i="4"/>
  <c r="AF53" i="4"/>
  <c r="N214" i="10"/>
  <c r="K41" i="4"/>
  <c r="J27" i="4"/>
  <c r="K40" i="4"/>
  <c r="D53" i="4"/>
  <c r="D52" i="4"/>
  <c r="N87" i="4"/>
  <c r="O94" i="4"/>
  <c r="O87" i="4"/>
  <c r="D54" i="4"/>
  <c r="Q87" i="4"/>
  <c r="R94" i="4"/>
  <c r="E54" i="4"/>
  <c r="E53" i="4"/>
  <c r="E52" i="4"/>
  <c r="U94" i="4"/>
  <c r="T87" i="4"/>
  <c r="T94" i="4"/>
  <c r="AA53" i="4"/>
  <c r="AA52" i="4"/>
  <c r="AA54" i="4"/>
  <c r="V53" i="4"/>
  <c r="V52" i="4"/>
  <c r="V54" i="4"/>
  <c r="AC24" i="4"/>
  <c r="AC117" i="4"/>
  <c r="AC116" i="4"/>
  <c r="S52" i="4"/>
  <c r="S53" i="4"/>
  <c r="S54" i="4"/>
  <c r="S195" i="10"/>
  <c r="W87" i="4"/>
  <c r="X94" i="4"/>
  <c r="Q94" i="4"/>
  <c r="P87" i="4"/>
  <c r="P94" i="4"/>
  <c r="K27" i="4"/>
  <c r="J94" i="4"/>
  <c r="I87" i="4"/>
  <c r="J87" i="4"/>
  <c r="Q41" i="4"/>
  <c r="E94" i="4"/>
  <c r="D87" i="4"/>
  <c r="AA94" i="4"/>
  <c r="G251" i="10"/>
  <c r="P165" i="10"/>
  <c r="P208" i="10"/>
  <c r="U87" i="4"/>
  <c r="V94" i="4"/>
  <c r="N94" i="4"/>
  <c r="S94" i="4"/>
  <c r="R87" i="4"/>
  <c r="S87" i="4"/>
  <c r="O158" i="10"/>
  <c r="O189" i="10"/>
  <c r="O179" i="10"/>
  <c r="O191" i="10"/>
  <c r="O190" i="10"/>
  <c r="O183" i="10"/>
  <c r="O175" i="10"/>
  <c r="O173" i="10"/>
  <c r="O178" i="10"/>
  <c r="O172" i="10"/>
  <c r="O153" i="10"/>
  <c r="O148" i="10"/>
  <c r="O149" i="10"/>
  <c r="P147" i="10"/>
  <c r="O171" i="10"/>
  <c r="O150" i="10"/>
  <c r="O185" i="10"/>
  <c r="AB24" i="4"/>
  <c r="AB117" i="4"/>
  <c r="AB116" i="4"/>
  <c r="U53" i="4"/>
  <c r="U52" i="4"/>
  <c r="U54" i="4"/>
  <c r="F238" i="4"/>
  <c r="T224" i="4"/>
  <c r="S224" i="4"/>
  <c r="AG52" i="4"/>
  <c r="AG53" i="4"/>
  <c r="AG54" i="4"/>
  <c r="M238" i="4"/>
  <c r="L238" i="4"/>
  <c r="AB94" i="4"/>
  <c r="AA87" i="4"/>
  <c r="AB87" i="4"/>
  <c r="X53" i="4"/>
  <c r="X52" i="4"/>
  <c r="X54" i="4"/>
  <c r="G115" i="10"/>
  <c r="L143" i="10"/>
  <c r="AB52" i="4"/>
  <c r="AB53" i="4"/>
  <c r="Q143" i="10"/>
  <c r="Q142" i="10"/>
  <c r="Q135" i="10"/>
  <c r="Q132" i="10"/>
  <c r="Q124" i="10"/>
  <c r="Q140" i="10"/>
  <c r="Q133" i="10"/>
  <c r="Q125" i="10"/>
  <c r="R118" i="10"/>
  <c r="Q136" i="10"/>
  <c r="Q129" i="10"/>
  <c r="Q134" i="10"/>
  <c r="Q122" i="10"/>
  <c r="Q127" i="10"/>
  <c r="Q123" i="10"/>
  <c r="Q128" i="10"/>
  <c r="Q138" i="10"/>
  <c r="Q137" i="10"/>
  <c r="Q131" i="10"/>
  <c r="Q119" i="10"/>
  <c r="Q219" i="10"/>
  <c r="Q121" i="10"/>
  <c r="Q120" i="10"/>
  <c r="Q130" i="10"/>
  <c r="Q117" i="10"/>
  <c r="Q145" i="10"/>
  <c r="H266" i="4"/>
  <c r="G266" i="4"/>
  <c r="I41" i="4"/>
  <c r="H27" i="4"/>
  <c r="I40" i="4"/>
  <c r="X87" i="4"/>
  <c r="AB54" i="4"/>
  <c r="I53" i="4"/>
  <c r="I52" i="4"/>
  <c r="I266" i="4"/>
  <c r="AG94" i="4"/>
  <c r="AG87" i="4"/>
  <c r="AF94" i="4"/>
  <c r="AF87" i="4"/>
  <c r="AA286" i="10"/>
  <c r="S286" i="10"/>
  <c r="T259" i="10"/>
  <c r="AA277" i="10"/>
  <c r="AA268" i="10"/>
  <c r="AA259" i="10"/>
  <c r="S277" i="10"/>
  <c r="S268" i="10"/>
  <c r="R259" i="10"/>
  <c r="W53" i="4"/>
  <c r="W54" i="4"/>
  <c r="W52" i="4"/>
  <c r="R52" i="4"/>
  <c r="R53" i="4"/>
  <c r="R54" i="4"/>
  <c r="I27" i="4"/>
  <c r="U224" i="4"/>
  <c r="W224" i="4"/>
  <c r="M152" i="10"/>
  <c r="M154" i="10"/>
  <c r="Z46" i="4"/>
  <c r="Z86" i="4"/>
  <c r="Y94" i="4"/>
  <c r="Z61" i="4"/>
  <c r="Z63" i="4"/>
  <c r="Z65" i="4"/>
  <c r="Z66" i="4"/>
  <c r="L52" i="4"/>
  <c r="L53" i="4"/>
  <c r="G41" i="4"/>
  <c r="G40" i="4"/>
  <c r="F27" i="4"/>
  <c r="Y53" i="4"/>
  <c r="Y52" i="4"/>
  <c r="Y54" i="4"/>
  <c r="W94" i="4"/>
  <c r="V87" i="4"/>
  <c r="I94" i="4"/>
  <c r="K252" i="10"/>
  <c r="K263" i="10"/>
  <c r="Z117" i="4"/>
  <c r="Z116" i="4"/>
  <c r="Z24" i="4"/>
  <c r="AE40" i="4"/>
  <c r="D41" i="4"/>
  <c r="D40" i="4"/>
  <c r="L54" i="4"/>
  <c r="E253" i="10"/>
  <c r="E260" i="10"/>
  <c r="N176" i="10"/>
  <c r="N177" i="10"/>
  <c r="N188" i="10"/>
  <c r="E255" i="10"/>
  <c r="N151" i="10"/>
  <c r="E258" i="10"/>
  <c r="AE61" i="4"/>
  <c r="AE63" i="4"/>
  <c r="AE65" i="4"/>
  <c r="AE66" i="4"/>
  <c r="AE46" i="4"/>
  <c r="AE86" i="4"/>
  <c r="O53" i="4"/>
  <c r="O54" i="4"/>
  <c r="O52" i="4"/>
  <c r="K87" i="4"/>
  <c r="L94" i="4"/>
  <c r="K94" i="4"/>
  <c r="I54" i="4"/>
  <c r="Q53" i="4"/>
  <c r="Q52" i="4"/>
  <c r="Q54" i="4"/>
  <c r="M53" i="4"/>
  <c r="M54" i="4"/>
  <c r="M52" i="4"/>
  <c r="J54" i="4"/>
  <c r="J52" i="4"/>
  <c r="J53" i="4"/>
  <c r="P24" i="4"/>
  <c r="P25" i="4"/>
  <c r="AC54" i="4"/>
  <c r="O23" i="10"/>
  <c r="D111" i="10"/>
  <c r="H111" i="10"/>
  <c r="P23" i="10"/>
  <c r="E111" i="10"/>
  <c r="M139" i="10"/>
  <c r="O25" i="4"/>
  <c r="AC53" i="4"/>
  <c r="P41" i="4"/>
  <c r="AA117" i="4"/>
  <c r="AA116" i="4"/>
  <c r="O117" i="4"/>
  <c r="O116" i="4"/>
  <c r="O139" i="10"/>
  <c r="O141" i="10"/>
  <c r="N139" i="10"/>
  <c r="G87" i="4"/>
  <c r="N141" i="10"/>
  <c r="H94" i="4"/>
  <c r="V24" i="4"/>
  <c r="U25" i="4"/>
  <c r="P141" i="10"/>
  <c r="Q141" i="10"/>
  <c r="Q139" i="10"/>
  <c r="P86" i="10"/>
  <c r="E115" i="10"/>
  <c r="Q86" i="10"/>
  <c r="F115" i="10"/>
  <c r="N86" i="10"/>
  <c r="C115" i="10"/>
  <c r="G4" i="10"/>
  <c r="H82" i="10"/>
  <c r="H31" i="10"/>
  <c r="O86" i="10"/>
  <c r="D115" i="10"/>
  <c r="U117" i="4"/>
  <c r="U116" i="4"/>
  <c r="Q23" i="10"/>
  <c r="F111" i="10"/>
  <c r="H115" i="10"/>
  <c r="Y117" i="4"/>
  <c r="Y116" i="4"/>
  <c r="H87" i="4"/>
  <c r="T24" i="4"/>
  <c r="T117" i="4"/>
  <c r="T116" i="4"/>
  <c r="D287" i="10"/>
  <c r="N117" i="4"/>
  <c r="N116" i="4"/>
  <c r="P251" i="4"/>
  <c r="W25" i="4"/>
  <c r="X117" i="4"/>
  <c r="X116" i="4"/>
  <c r="O212" i="10"/>
  <c r="O214" i="10"/>
  <c r="N201" i="10"/>
  <c r="R142" i="10"/>
  <c r="R134" i="10"/>
  <c r="R140" i="10"/>
  <c r="R133" i="10"/>
  <c r="R125" i="10"/>
  <c r="S118" i="10"/>
  <c r="R137" i="10"/>
  <c r="R141" i="10"/>
  <c r="R130" i="10"/>
  <c r="R132" i="10"/>
  <c r="R127" i="10"/>
  <c r="R123" i="10"/>
  <c r="R139" i="10"/>
  <c r="R128" i="10"/>
  <c r="R124" i="10"/>
  <c r="R143" i="10"/>
  <c r="R138" i="10"/>
  <c r="R131" i="10"/>
  <c r="R129" i="10"/>
  <c r="R136" i="10"/>
  <c r="R120" i="10"/>
  <c r="R119" i="10"/>
  <c r="R219" i="10"/>
  <c r="R135" i="10"/>
  <c r="R122" i="10"/>
  <c r="R121" i="10"/>
  <c r="R117" i="10"/>
  <c r="R145" i="10"/>
  <c r="F253" i="10"/>
  <c r="F260" i="10"/>
  <c r="O151" i="10"/>
  <c r="F258" i="10"/>
  <c r="O188" i="10"/>
  <c r="F255" i="10"/>
  <c r="O176" i="10"/>
  <c r="O177" i="10"/>
  <c r="Z87" i="4"/>
  <c r="L252" i="10"/>
  <c r="L263" i="10"/>
  <c r="M160" i="10"/>
  <c r="M210" i="10"/>
  <c r="AB259" i="10"/>
  <c r="AB277" i="10"/>
  <c r="AB268" i="10"/>
  <c r="AB286" i="10"/>
  <c r="T277" i="10"/>
  <c r="T268" i="10"/>
  <c r="U259" i="10"/>
  <c r="T286" i="10"/>
  <c r="P191" i="10"/>
  <c r="P189" i="10"/>
  <c r="P172" i="10"/>
  <c r="P179" i="10"/>
  <c r="P171" i="10"/>
  <c r="P190" i="10"/>
  <c r="P178" i="10"/>
  <c r="P153" i="10"/>
  <c r="P148" i="10"/>
  <c r="P212" i="10"/>
  <c r="Q147" i="10"/>
  <c r="P150" i="10"/>
  <c r="P183" i="10"/>
  <c r="P173" i="10"/>
  <c r="P185" i="10"/>
  <c r="P158" i="10"/>
  <c r="P175" i="10"/>
  <c r="AB25" i="4"/>
  <c r="AC41" i="4"/>
  <c r="AC25" i="4"/>
  <c r="H251" i="10"/>
  <c r="Q165" i="10"/>
  <c r="Q208" i="10"/>
  <c r="X25" i="4"/>
  <c r="Y41" i="4"/>
  <c r="Z53" i="4"/>
  <c r="Z52" i="4"/>
  <c r="Z54" i="4"/>
  <c r="Z268" i="10"/>
  <c r="Z286" i="10"/>
  <c r="R277" i="10"/>
  <c r="R268" i="10"/>
  <c r="R286" i="10"/>
  <c r="Z259" i="10"/>
  <c r="Q259" i="10"/>
  <c r="Z277" i="10"/>
  <c r="T195" i="10"/>
  <c r="N152" i="10"/>
  <c r="N154" i="10"/>
  <c r="AE52" i="4"/>
  <c r="AE53" i="4"/>
  <c r="AE54" i="4"/>
  <c r="N25" i="4"/>
  <c r="O41" i="4"/>
  <c r="Y87" i="4"/>
  <c r="Z94" i="4"/>
  <c r="AE94" i="4"/>
  <c r="AE87" i="4"/>
  <c r="AD87" i="4"/>
  <c r="AD94" i="4"/>
  <c r="Y25" i="4"/>
  <c r="Z41" i="4"/>
  <c r="Z25" i="4"/>
  <c r="AA41" i="4"/>
  <c r="AA25" i="4"/>
  <c r="AB41" i="4"/>
  <c r="V25" i="4"/>
  <c r="F4" i="10"/>
  <c r="G31" i="10"/>
  <c r="G82" i="10"/>
  <c r="T41" i="4"/>
  <c r="T25" i="4"/>
  <c r="S25" i="4"/>
  <c r="P149" i="10"/>
  <c r="P214" i="10"/>
  <c r="O201" i="10"/>
  <c r="N210" i="10"/>
  <c r="N160" i="10"/>
  <c r="Q173" i="10"/>
  <c r="Q183" i="10"/>
  <c r="Q190" i="10"/>
  <c r="Q191" i="10"/>
  <c r="Q148" i="10"/>
  <c r="Q149" i="10"/>
  <c r="Q175" i="10"/>
  <c r="Q172" i="10"/>
  <c r="Q185" i="10"/>
  <c r="Q150" i="10"/>
  <c r="Q171" i="10"/>
  <c r="Q158" i="10"/>
  <c r="Q179" i="10"/>
  <c r="Q189" i="10"/>
  <c r="Q153" i="10"/>
  <c r="Q178" i="10"/>
  <c r="R147" i="10"/>
  <c r="R165" i="10"/>
  <c r="R208" i="10"/>
  <c r="I251" i="10"/>
  <c r="M252" i="10"/>
  <c r="U195" i="10"/>
  <c r="G253" i="10"/>
  <c r="G260" i="10"/>
  <c r="P176" i="10"/>
  <c r="P177" i="10"/>
  <c r="P201" i="10"/>
  <c r="P188" i="10"/>
  <c r="G255" i="10"/>
  <c r="P151" i="10"/>
  <c r="G258" i="10"/>
  <c r="S143" i="10"/>
  <c r="S135" i="10"/>
  <c r="S137" i="10"/>
  <c r="S127" i="10"/>
  <c r="S119" i="10"/>
  <c r="S219" i="10"/>
  <c r="S138" i="10"/>
  <c r="S131" i="10"/>
  <c r="S140" i="10"/>
  <c r="S139" i="10"/>
  <c r="S128" i="10"/>
  <c r="S125" i="10"/>
  <c r="S124" i="10"/>
  <c r="S142" i="10"/>
  <c r="S129" i="10"/>
  <c r="S133" i="10"/>
  <c r="S136" i="10"/>
  <c r="S121" i="10"/>
  <c r="S132" i="10"/>
  <c r="S141" i="10"/>
  <c r="S122" i="10"/>
  <c r="S120" i="10"/>
  <c r="S123" i="10"/>
  <c r="S130" i="10"/>
  <c r="T118" i="10"/>
  <c r="S134" i="10"/>
  <c r="S117" i="10"/>
  <c r="S145" i="10"/>
  <c r="O152" i="10"/>
  <c r="O154" i="10"/>
  <c r="Q286" i="10"/>
  <c r="Y286" i="10"/>
  <c r="Y277" i="10"/>
  <c r="Q268" i="10"/>
  <c r="Y268" i="10"/>
  <c r="Q277" i="10"/>
  <c r="Y259" i="10"/>
  <c r="U277" i="10"/>
  <c r="U268" i="10"/>
  <c r="AC277" i="10"/>
  <c r="AC259" i="10"/>
  <c r="AC286" i="10"/>
  <c r="U286" i="10"/>
  <c r="AC268" i="10"/>
  <c r="E4" i="10"/>
  <c r="F31" i="10"/>
  <c r="F82" i="10"/>
  <c r="Q212" i="10"/>
  <c r="P152" i="10"/>
  <c r="P154" i="10"/>
  <c r="V195" i="10"/>
  <c r="Q188" i="10"/>
  <c r="H255" i="10"/>
  <c r="H253" i="10"/>
  <c r="H260" i="10"/>
  <c r="Q176" i="10"/>
  <c r="Q177" i="10"/>
  <c r="Q201" i="10"/>
  <c r="Q151" i="10"/>
  <c r="H258" i="10"/>
  <c r="T136" i="10"/>
  <c r="T127" i="10"/>
  <c r="T119" i="10"/>
  <c r="T219" i="10"/>
  <c r="T139" i="10"/>
  <c r="T134" i="10"/>
  <c r="T128" i="10"/>
  <c r="T120" i="10"/>
  <c r="T132" i="10"/>
  <c r="T142" i="10"/>
  <c r="T129" i="10"/>
  <c r="T143" i="10"/>
  <c r="T138" i="10"/>
  <c r="T133" i="10"/>
  <c r="T131" i="10"/>
  <c r="T137" i="10"/>
  <c r="T135" i="10"/>
  <c r="T130" i="10"/>
  <c r="T122" i="10"/>
  <c r="T140" i="10"/>
  <c r="T141" i="10"/>
  <c r="T123" i="10"/>
  <c r="T124" i="10"/>
  <c r="U118" i="10"/>
  <c r="T125" i="10"/>
  <c r="T121" i="10"/>
  <c r="T117" i="10"/>
  <c r="T145" i="10"/>
  <c r="O210" i="10"/>
  <c r="O160" i="10"/>
  <c r="Q214" i="10"/>
  <c r="J251" i="10"/>
  <c r="S165" i="10"/>
  <c r="S208" i="10"/>
  <c r="R191" i="10"/>
  <c r="R183" i="10"/>
  <c r="R173" i="10"/>
  <c r="R185" i="10"/>
  <c r="R178" i="10"/>
  <c r="R175" i="10"/>
  <c r="R179" i="10"/>
  <c r="R171" i="10"/>
  <c r="R158" i="10"/>
  <c r="S147" i="10"/>
  <c r="R150" i="10"/>
  <c r="R190" i="10"/>
  <c r="R189" i="10"/>
  <c r="R172" i="10"/>
  <c r="R153" i="10"/>
  <c r="R148" i="10"/>
  <c r="R149" i="10"/>
  <c r="D4" i="10"/>
  <c r="E31" i="10"/>
  <c r="E82" i="10"/>
  <c r="Q152" i="10"/>
  <c r="Q154" i="10"/>
  <c r="Q210" i="10"/>
  <c r="R214" i="10"/>
  <c r="S185" i="10"/>
  <c r="S183" i="10"/>
  <c r="S178" i="10"/>
  <c r="S191" i="10"/>
  <c r="S153" i="10"/>
  <c r="S173" i="10"/>
  <c r="S172" i="10"/>
  <c r="S179" i="10"/>
  <c r="S171" i="10"/>
  <c r="S189" i="10"/>
  <c r="S175" i="10"/>
  <c r="S150" i="10"/>
  <c r="S158" i="10"/>
  <c r="S148" i="10"/>
  <c r="S149" i="10"/>
  <c r="T147" i="10"/>
  <c r="S190" i="10"/>
  <c r="K251" i="10"/>
  <c r="T165" i="10"/>
  <c r="T208" i="10"/>
  <c r="R188" i="10"/>
  <c r="I255" i="10"/>
  <c r="I253" i="10"/>
  <c r="I260" i="10"/>
  <c r="R176" i="10"/>
  <c r="R177" i="10"/>
  <c r="R151" i="10"/>
  <c r="I258" i="10"/>
  <c r="W195" i="10"/>
  <c r="R212" i="10"/>
  <c r="P210" i="10"/>
  <c r="P160" i="10"/>
  <c r="U137" i="10"/>
  <c r="U139" i="10"/>
  <c r="U134" i="10"/>
  <c r="U128" i="10"/>
  <c r="U120" i="10"/>
  <c r="U129" i="10"/>
  <c r="U121" i="10"/>
  <c r="U143" i="10"/>
  <c r="U142" i="10"/>
  <c r="U140" i="10"/>
  <c r="U135" i="10"/>
  <c r="U133" i="10"/>
  <c r="U138" i="10"/>
  <c r="U131" i="10"/>
  <c r="V118" i="10"/>
  <c r="U136" i="10"/>
  <c r="U130" i="10"/>
  <c r="U122" i="10"/>
  <c r="U141" i="10"/>
  <c r="U123" i="10"/>
  <c r="U127" i="10"/>
  <c r="U132" i="10"/>
  <c r="U119" i="10"/>
  <c r="U219" i="10"/>
  <c r="U124" i="10"/>
  <c r="U125" i="10"/>
  <c r="U117" i="10"/>
  <c r="U145" i="10"/>
  <c r="C4" i="10"/>
  <c r="D82" i="10"/>
  <c r="D31" i="10"/>
  <c r="Q160" i="10"/>
  <c r="S212" i="10"/>
  <c r="S214" i="10"/>
  <c r="L251" i="10"/>
  <c r="U165" i="10"/>
  <c r="U208" i="10"/>
  <c r="T189" i="10"/>
  <c r="T178" i="10"/>
  <c r="T175" i="10"/>
  <c r="T173" i="10"/>
  <c r="T172" i="10"/>
  <c r="T183" i="10"/>
  <c r="T185" i="10"/>
  <c r="T190" i="10"/>
  <c r="T171" i="10"/>
  <c r="T179" i="10"/>
  <c r="T153" i="10"/>
  <c r="T148" i="10"/>
  <c r="T212" i="10"/>
  <c r="U147" i="10"/>
  <c r="T150" i="10"/>
  <c r="T191" i="10"/>
  <c r="T158" i="10"/>
  <c r="R201" i="10"/>
  <c r="R152" i="10"/>
  <c r="R154" i="10"/>
  <c r="X195" i="10"/>
  <c r="J253" i="10"/>
  <c r="J260" i="10"/>
  <c r="S176" i="10"/>
  <c r="S177" i="10"/>
  <c r="S201" i="10"/>
  <c r="S151" i="10"/>
  <c r="J258" i="10"/>
  <c r="S188" i="10"/>
  <c r="J255" i="10"/>
  <c r="V138" i="10"/>
  <c r="V129" i="10"/>
  <c r="V121" i="10"/>
  <c r="V141" i="10"/>
  <c r="V136" i="10"/>
  <c r="V130" i="10"/>
  <c r="V122" i="10"/>
  <c r="V131" i="10"/>
  <c r="V143" i="10"/>
  <c r="V133" i="10"/>
  <c r="W118" i="10"/>
  <c r="V137" i="10"/>
  <c r="V119" i="10"/>
  <c r="V219" i="10"/>
  <c r="V135" i="10"/>
  <c r="V123" i="10"/>
  <c r="V132" i="10"/>
  <c r="V125" i="10"/>
  <c r="V124" i="10"/>
  <c r="V128" i="10"/>
  <c r="V120" i="10"/>
  <c r="V139" i="10"/>
  <c r="V142" i="10"/>
  <c r="V134" i="10"/>
  <c r="V140" i="10"/>
  <c r="V127" i="10"/>
  <c r="V117" i="10"/>
  <c r="V145" i="10"/>
  <c r="C31" i="10"/>
  <c r="C82" i="10"/>
  <c r="T149" i="10"/>
  <c r="U190" i="10"/>
  <c r="U172" i="10"/>
  <c r="U191" i="10"/>
  <c r="U183" i="10"/>
  <c r="U150" i="10"/>
  <c r="U179" i="10"/>
  <c r="U178" i="10"/>
  <c r="U171" i="10"/>
  <c r="U189" i="10"/>
  <c r="U148" i="10"/>
  <c r="U149" i="10"/>
  <c r="U175" i="10"/>
  <c r="U158" i="10"/>
  <c r="U185" i="10"/>
  <c r="U173" i="10"/>
  <c r="U153" i="10"/>
  <c r="V147" i="10"/>
  <c r="Y195" i="10"/>
  <c r="W139" i="10"/>
  <c r="W143" i="10"/>
  <c r="W141" i="10"/>
  <c r="W136" i="10"/>
  <c r="W130" i="10"/>
  <c r="W122" i="10"/>
  <c r="W131" i="10"/>
  <c r="W123" i="10"/>
  <c r="W137" i="10"/>
  <c r="W138" i="10"/>
  <c r="W133" i="10"/>
  <c r="W129" i="10"/>
  <c r="X118" i="10"/>
  <c r="W119" i="10"/>
  <c r="W219" i="10"/>
  <c r="W120" i="10"/>
  <c r="W135" i="10"/>
  <c r="W132" i="10"/>
  <c r="W125" i="10"/>
  <c r="W124" i="10"/>
  <c r="W140" i="10"/>
  <c r="W134" i="10"/>
  <c r="W127" i="10"/>
  <c r="W128" i="10"/>
  <c r="W142" i="10"/>
  <c r="W121" i="10"/>
  <c r="W117" i="10"/>
  <c r="W145" i="10"/>
  <c r="W165" i="10"/>
  <c r="W208" i="10"/>
  <c r="K253" i="10"/>
  <c r="K260" i="10"/>
  <c r="T188" i="10"/>
  <c r="K255" i="10"/>
  <c r="T176" i="10"/>
  <c r="T177" i="10"/>
  <c r="T151" i="10"/>
  <c r="K258" i="10"/>
  <c r="S152" i="10"/>
  <c r="S154" i="10"/>
  <c r="R160" i="10"/>
  <c r="R210" i="10"/>
  <c r="M251" i="10"/>
  <c r="B249" i="10"/>
  <c r="V165" i="10"/>
  <c r="V208" i="10"/>
  <c r="B267" i="10"/>
  <c r="O253" i="10"/>
  <c r="U212" i="10"/>
  <c r="U214" i="10"/>
  <c r="T201" i="10"/>
  <c r="U188" i="10"/>
  <c r="L255" i="10"/>
  <c r="L253" i="10"/>
  <c r="L260" i="10"/>
  <c r="U176" i="10"/>
  <c r="U177" i="10"/>
  <c r="U151" i="10"/>
  <c r="L258" i="10"/>
  <c r="X140" i="10"/>
  <c r="X131" i="10"/>
  <c r="X123" i="10"/>
  <c r="X138" i="10"/>
  <c r="X132" i="10"/>
  <c r="X124" i="10"/>
  <c r="X134" i="10"/>
  <c r="X143" i="10"/>
  <c r="X119" i="10"/>
  <c r="X219" i="10"/>
  <c r="X137" i="10"/>
  <c r="X120" i="10"/>
  <c r="X136" i="10"/>
  <c r="X135" i="10"/>
  <c r="X121" i="10"/>
  <c r="X130" i="10"/>
  <c r="X125" i="10"/>
  <c r="X141" i="10"/>
  <c r="X127" i="10"/>
  <c r="X142" i="10"/>
  <c r="X128" i="10"/>
  <c r="X122" i="10"/>
  <c r="X129" i="10"/>
  <c r="X139" i="10"/>
  <c r="X133" i="10"/>
  <c r="Y118" i="10"/>
  <c r="X117" i="10"/>
  <c r="X145" i="10"/>
  <c r="X165" i="10"/>
  <c r="X208" i="10"/>
  <c r="V190" i="10"/>
  <c r="V185" i="10"/>
  <c r="V179" i="10"/>
  <c r="V175" i="10"/>
  <c r="V171" i="10"/>
  <c r="V191" i="10"/>
  <c r="V178" i="10"/>
  <c r="V158" i="10"/>
  <c r="W147" i="10"/>
  <c r="V189" i="10"/>
  <c r="V173" i="10"/>
  <c r="V150" i="10"/>
  <c r="V172" i="10"/>
  <c r="V153" i="10"/>
  <c r="V148" i="10"/>
  <c r="V212" i="10"/>
  <c r="V183" i="10"/>
  <c r="T214" i="10"/>
  <c r="T152" i="10"/>
  <c r="T154" i="10"/>
  <c r="S160" i="10"/>
  <c r="S210" i="10"/>
  <c r="Z195" i="10"/>
  <c r="V149" i="10"/>
  <c r="V214" i="10"/>
  <c r="U201" i="10"/>
  <c r="T210" i="10"/>
  <c r="T160" i="10"/>
  <c r="AA195" i="10"/>
  <c r="W158" i="10"/>
  <c r="W190" i="10"/>
  <c r="W179" i="10"/>
  <c r="W171" i="10"/>
  <c r="W189" i="10"/>
  <c r="W185" i="10"/>
  <c r="W153" i="10"/>
  <c r="W175" i="10"/>
  <c r="W191" i="10"/>
  <c r="W178" i="10"/>
  <c r="W172" i="10"/>
  <c r="W173" i="10"/>
  <c r="W148" i="10"/>
  <c r="W212" i="10"/>
  <c r="X147" i="10"/>
  <c r="W183" i="10"/>
  <c r="W150" i="10"/>
  <c r="Y141" i="10"/>
  <c r="Y138" i="10"/>
  <c r="Y132" i="10"/>
  <c r="Y124" i="10"/>
  <c r="Y142" i="10"/>
  <c r="Y135" i="10"/>
  <c r="Y133" i="10"/>
  <c r="Y125" i="10"/>
  <c r="Z118" i="10"/>
  <c r="Y143" i="10"/>
  <c r="Y139" i="10"/>
  <c r="Y129" i="10"/>
  <c r="Y137" i="10"/>
  <c r="Y120" i="10"/>
  <c r="Y136" i="10"/>
  <c r="Y121" i="10"/>
  <c r="Y130" i="10"/>
  <c r="Y122" i="10"/>
  <c r="Y127" i="10"/>
  <c r="Y123" i="10"/>
  <c r="Y140" i="10"/>
  <c r="Y134" i="10"/>
  <c r="Y128" i="10"/>
  <c r="Y119" i="10"/>
  <c r="Y219" i="10"/>
  <c r="Y131" i="10"/>
  <c r="Y117" i="10"/>
  <c r="Y145" i="10"/>
  <c r="Y165" i="10"/>
  <c r="Y208" i="10"/>
  <c r="U152" i="10"/>
  <c r="U154" i="10"/>
  <c r="M253" i="10"/>
  <c r="M260" i="10"/>
  <c r="V188" i="10"/>
  <c r="M255" i="10"/>
  <c r="V176" i="10"/>
  <c r="V177" i="10"/>
  <c r="V151" i="10"/>
  <c r="M258" i="10"/>
  <c r="V152" i="10"/>
  <c r="V154" i="10"/>
  <c r="V210" i="10"/>
  <c r="M263" i="10"/>
  <c r="W149" i="10"/>
  <c r="W214" i="10"/>
  <c r="V201" i="10"/>
  <c r="Z142" i="10"/>
  <c r="Z134" i="10"/>
  <c r="Z135" i="10"/>
  <c r="Z133" i="10"/>
  <c r="Z125" i="10"/>
  <c r="AA118" i="10"/>
  <c r="Z143" i="10"/>
  <c r="Z140" i="10"/>
  <c r="Z136" i="10"/>
  <c r="Z130" i="10"/>
  <c r="Z121" i="10"/>
  <c r="Z122" i="10"/>
  <c r="Z127" i="10"/>
  <c r="Z123" i="10"/>
  <c r="Z141" i="10"/>
  <c r="Z132" i="10"/>
  <c r="Z128" i="10"/>
  <c r="Z124" i="10"/>
  <c r="Z139" i="10"/>
  <c r="Z120" i="10"/>
  <c r="Z138" i="10"/>
  <c r="Z129" i="10"/>
  <c r="Z119" i="10"/>
  <c r="Z219" i="10"/>
  <c r="Z131" i="10"/>
  <c r="Z137" i="10"/>
  <c r="Z117" i="10"/>
  <c r="Z145" i="10"/>
  <c r="Z165" i="10"/>
  <c r="Z208" i="10"/>
  <c r="W188" i="10"/>
  <c r="W151" i="10"/>
  <c r="W176" i="10"/>
  <c r="W177" i="10"/>
  <c r="AB195" i="10"/>
  <c r="U210" i="10"/>
  <c r="U160" i="10"/>
  <c r="X191" i="10"/>
  <c r="X172" i="10"/>
  <c r="X190" i="10"/>
  <c r="X158" i="10"/>
  <c r="X189" i="10"/>
  <c r="X179" i="10"/>
  <c r="X185" i="10"/>
  <c r="X175" i="10"/>
  <c r="X173" i="10"/>
  <c r="X183" i="10"/>
  <c r="X153" i="10"/>
  <c r="X148" i="10"/>
  <c r="X212" i="10"/>
  <c r="Y147" i="10"/>
  <c r="X178" i="10"/>
  <c r="X171" i="10"/>
  <c r="X150" i="10"/>
  <c r="W152" i="10"/>
  <c r="W154" i="10"/>
  <c r="W210" i="10"/>
  <c r="V160" i="10"/>
  <c r="P254" i="10"/>
  <c r="X149" i="10"/>
  <c r="W201" i="10"/>
  <c r="Y189" i="10"/>
  <c r="Y179" i="10"/>
  <c r="Y171" i="10"/>
  <c r="Y185" i="10"/>
  <c r="Y148" i="10"/>
  <c r="Y149" i="10"/>
  <c r="Y190" i="10"/>
  <c r="Y175" i="10"/>
  <c r="Y173" i="10"/>
  <c r="Y191" i="10"/>
  <c r="Y183" i="10"/>
  <c r="Y150" i="10"/>
  <c r="Y158" i="10"/>
  <c r="Y153" i="10"/>
  <c r="Z147" i="10"/>
  <c r="Y178" i="10"/>
  <c r="Y172" i="10"/>
  <c r="AC195" i="10"/>
  <c r="AA143" i="10"/>
  <c r="AA135" i="10"/>
  <c r="AA142" i="10"/>
  <c r="AA140" i="10"/>
  <c r="AA137" i="10"/>
  <c r="AA127" i="10"/>
  <c r="AA119" i="10"/>
  <c r="AA219" i="10"/>
  <c r="AA141" i="10"/>
  <c r="AA131" i="10"/>
  <c r="AA136" i="10"/>
  <c r="AA122" i="10"/>
  <c r="AA130" i="10"/>
  <c r="AA123" i="10"/>
  <c r="AA132" i="10"/>
  <c r="AA128" i="10"/>
  <c r="AA125" i="10"/>
  <c r="AA124" i="10"/>
  <c r="AA134" i="10"/>
  <c r="AA139" i="10"/>
  <c r="AA129" i="10"/>
  <c r="AA120" i="10"/>
  <c r="AA138" i="10"/>
  <c r="AA133" i="10"/>
  <c r="AB118" i="10"/>
  <c r="AA121" i="10"/>
  <c r="AA117" i="10"/>
  <c r="AA145" i="10"/>
  <c r="AA165" i="10"/>
  <c r="AA208" i="10"/>
  <c r="X176" i="10"/>
  <c r="X177" i="10"/>
  <c r="X188" i="10"/>
  <c r="X151" i="10"/>
  <c r="X214" i="10"/>
  <c r="W160" i="10"/>
  <c r="X152" i="10"/>
  <c r="X154" i="10"/>
  <c r="X160" i="10"/>
  <c r="Y212" i="10"/>
  <c r="Y214" i="10"/>
  <c r="X201" i="10"/>
  <c r="Z183" i="10"/>
  <c r="Z173" i="10"/>
  <c r="Z189" i="10"/>
  <c r="Z191" i="10"/>
  <c r="Z178" i="10"/>
  <c r="Z172" i="10"/>
  <c r="AA147" i="10"/>
  <c r="Z158" i="10"/>
  <c r="Z153" i="10"/>
  <c r="Z148" i="10"/>
  <c r="Z212" i="10"/>
  <c r="Z150" i="10"/>
  <c r="Z185" i="10"/>
  <c r="Z190" i="10"/>
  <c r="Z171" i="10"/>
  <c r="Z175" i="10"/>
  <c r="Z179" i="10"/>
  <c r="Y176" i="10"/>
  <c r="Y177" i="10"/>
  <c r="Y201" i="10"/>
  <c r="Y188" i="10"/>
  <c r="Y151" i="10"/>
  <c r="Y152" i="10"/>
  <c r="Y154" i="10"/>
  <c r="AB136" i="10"/>
  <c r="AB143" i="10"/>
  <c r="AB137" i="10"/>
  <c r="AB127" i="10"/>
  <c r="AB119" i="10"/>
  <c r="AB219" i="10"/>
  <c r="AB128" i="10"/>
  <c r="AB120" i="10"/>
  <c r="AB138" i="10"/>
  <c r="AB132" i="10"/>
  <c r="AB130" i="10"/>
  <c r="AB123" i="10"/>
  <c r="AB135" i="10"/>
  <c r="AB125" i="10"/>
  <c r="AB124" i="10"/>
  <c r="AB141" i="10"/>
  <c r="AB134" i="10"/>
  <c r="AB140" i="10"/>
  <c r="AB139" i="10"/>
  <c r="AB142" i="10"/>
  <c r="AB129" i="10"/>
  <c r="AB133" i="10"/>
  <c r="AB131" i="10"/>
  <c r="AC118" i="10"/>
  <c r="AB122" i="10"/>
  <c r="AB121" i="10"/>
  <c r="AB117" i="10"/>
  <c r="AB145" i="10"/>
  <c r="AB165" i="10"/>
  <c r="AB208" i="10"/>
  <c r="AD195" i="10"/>
  <c r="X210" i="10"/>
  <c r="Z149" i="10"/>
  <c r="Z214" i="10"/>
  <c r="Y210" i="10"/>
  <c r="Y160" i="10"/>
  <c r="AA191" i="10"/>
  <c r="AA173" i="10"/>
  <c r="AA185" i="10"/>
  <c r="AA183" i="10"/>
  <c r="AA178" i="10"/>
  <c r="AA189" i="10"/>
  <c r="AA153" i="10"/>
  <c r="AA190" i="10"/>
  <c r="AA175" i="10"/>
  <c r="AA172" i="10"/>
  <c r="AA148" i="10"/>
  <c r="AA149" i="10"/>
  <c r="AB147" i="10"/>
  <c r="AA150" i="10"/>
  <c r="AA171" i="10"/>
  <c r="AA158" i="10"/>
  <c r="AA179" i="10"/>
  <c r="AC137" i="10"/>
  <c r="AC128" i="10"/>
  <c r="AC120" i="10"/>
  <c r="AC139" i="10"/>
  <c r="AC134" i="10"/>
  <c r="AC129" i="10"/>
  <c r="AC121" i="10"/>
  <c r="AC133" i="10"/>
  <c r="AC135" i="10"/>
  <c r="AC125" i="10"/>
  <c r="AC124" i="10"/>
  <c r="AC141" i="10"/>
  <c r="AC132" i="10"/>
  <c r="AC127" i="10"/>
  <c r="AC140" i="10"/>
  <c r="AC142" i="10"/>
  <c r="AC131" i="10"/>
  <c r="AC138" i="10"/>
  <c r="AC119" i="10"/>
  <c r="AC219" i="10"/>
  <c r="AC122" i="10"/>
  <c r="AC143" i="10"/>
  <c r="AC123" i="10"/>
  <c r="AD118" i="10"/>
  <c r="AC136" i="10"/>
  <c r="AC130" i="10"/>
  <c r="AC117" i="10"/>
  <c r="AC145" i="10"/>
  <c r="AC165" i="10"/>
  <c r="AC208" i="10"/>
  <c r="Z188" i="10"/>
  <c r="Z151" i="10"/>
  <c r="Z176" i="10"/>
  <c r="Z177" i="10"/>
  <c r="AE195" i="10"/>
  <c r="Z152" i="10"/>
  <c r="Z154" i="10"/>
  <c r="Z210" i="10"/>
  <c r="AA212" i="10"/>
  <c r="Z201" i="10"/>
  <c r="AA214" i="10"/>
  <c r="AB189" i="10"/>
  <c r="AB178" i="10"/>
  <c r="AB185" i="10"/>
  <c r="AB183" i="10"/>
  <c r="AB190" i="10"/>
  <c r="AB175" i="10"/>
  <c r="AB171" i="10"/>
  <c r="AB158" i="10"/>
  <c r="AB150" i="10"/>
  <c r="AB179" i="10"/>
  <c r="AB191" i="10"/>
  <c r="AB173" i="10"/>
  <c r="AB153" i="10"/>
  <c r="AB148" i="10"/>
  <c r="AB212" i="10"/>
  <c r="AC147" i="10"/>
  <c r="AB172" i="10"/>
  <c r="AF195" i="10"/>
  <c r="AD138" i="10"/>
  <c r="AD142" i="10"/>
  <c r="AD139" i="10"/>
  <c r="AD134" i="10"/>
  <c r="AD129" i="10"/>
  <c r="AD121" i="10"/>
  <c r="AD130" i="10"/>
  <c r="AD122" i="10"/>
  <c r="AD140" i="10"/>
  <c r="AD135" i="10"/>
  <c r="AD141" i="10"/>
  <c r="AD132" i="10"/>
  <c r="AD127" i="10"/>
  <c r="AD128" i="10"/>
  <c r="AD131" i="10"/>
  <c r="AD133" i="10"/>
  <c r="AD120" i="10"/>
  <c r="AD143" i="10"/>
  <c r="AD123" i="10"/>
  <c r="AE118" i="10"/>
  <c r="AD136" i="10"/>
  <c r="AD124" i="10"/>
  <c r="AD125" i="10"/>
  <c r="AD119" i="10"/>
  <c r="AD219" i="10"/>
  <c r="AD137" i="10"/>
  <c r="AD117" i="10"/>
  <c r="AD145" i="10"/>
  <c r="AD165" i="10"/>
  <c r="AD208" i="10"/>
  <c r="AA176" i="10"/>
  <c r="AA177" i="10"/>
  <c r="AA201" i="10"/>
  <c r="AA188" i="10"/>
  <c r="AA151" i="10"/>
  <c r="AA152" i="10"/>
  <c r="AA154" i="10"/>
  <c r="Z160" i="10"/>
  <c r="AB149" i="10"/>
  <c r="AB214" i="10"/>
  <c r="AA160" i="10"/>
  <c r="AA210" i="10"/>
  <c r="AC178" i="10"/>
  <c r="AC175" i="10"/>
  <c r="AC190" i="10"/>
  <c r="AC189" i="10"/>
  <c r="AC150" i="10"/>
  <c r="AC191" i="10"/>
  <c r="AC173" i="10"/>
  <c r="AC172" i="10"/>
  <c r="AC183" i="10"/>
  <c r="AC171" i="10"/>
  <c r="AC179" i="10"/>
  <c r="AC148" i="10"/>
  <c r="AC212" i="10"/>
  <c r="AC153" i="10"/>
  <c r="AC158" i="10"/>
  <c r="AD147" i="10"/>
  <c r="AC185" i="10"/>
  <c r="AE139" i="10"/>
  <c r="AE143" i="10"/>
  <c r="AE130" i="10"/>
  <c r="AE122" i="10"/>
  <c r="AE141" i="10"/>
  <c r="AE136" i="10"/>
  <c r="AE131" i="10"/>
  <c r="AE123" i="10"/>
  <c r="AE142" i="10"/>
  <c r="AE128" i="10"/>
  <c r="AE140" i="10"/>
  <c r="AE134" i="10"/>
  <c r="AF118" i="10"/>
  <c r="AE133" i="10"/>
  <c r="AE129" i="10"/>
  <c r="AE138" i="10"/>
  <c r="AE137" i="10"/>
  <c r="AE121" i="10"/>
  <c r="AE132" i="10"/>
  <c r="AE135" i="10"/>
  <c r="AE120" i="10"/>
  <c r="AE124" i="10"/>
  <c r="AE125" i="10"/>
  <c r="AE119" i="10"/>
  <c r="AE219" i="10"/>
  <c r="AE127" i="10"/>
  <c r="AE117" i="10"/>
  <c r="AE145" i="10"/>
  <c r="AE165" i="10"/>
  <c r="AE208" i="10"/>
  <c r="AB188" i="10"/>
  <c r="AB176" i="10"/>
  <c r="AB177" i="10"/>
  <c r="AB151" i="10"/>
  <c r="AB152" i="10"/>
  <c r="AB154" i="10"/>
  <c r="AD190" i="10"/>
  <c r="AD185" i="10"/>
  <c r="AD179" i="10"/>
  <c r="AD175" i="10"/>
  <c r="AD171" i="10"/>
  <c r="AD172" i="10"/>
  <c r="AD191" i="10"/>
  <c r="AD173" i="10"/>
  <c r="AE147" i="10"/>
  <c r="AD178" i="10"/>
  <c r="AD189" i="10"/>
  <c r="AD183" i="10"/>
  <c r="AD158" i="10"/>
  <c r="AD153" i="10"/>
  <c r="AD148" i="10"/>
  <c r="AD212" i="10"/>
  <c r="AD150" i="10"/>
  <c r="AC149" i="10"/>
  <c r="AF140" i="10"/>
  <c r="AF141" i="10"/>
  <c r="AF136" i="10"/>
  <c r="AF131" i="10"/>
  <c r="AF123" i="10"/>
  <c r="AF132" i="10"/>
  <c r="AF124" i="10"/>
  <c r="AF143" i="10"/>
  <c r="AF137" i="10"/>
  <c r="AF134" i="10"/>
  <c r="AF142" i="10"/>
  <c r="AF139" i="10"/>
  <c r="AF133" i="10"/>
  <c r="AF129" i="10"/>
  <c r="AF119" i="10"/>
  <c r="AF219" i="10"/>
  <c r="AF138" i="10"/>
  <c r="AF125" i="10"/>
  <c r="AF122" i="10"/>
  <c r="AF135" i="10"/>
  <c r="AF121" i="10"/>
  <c r="AF130" i="10"/>
  <c r="AF127" i="10"/>
  <c r="AF120" i="10"/>
  <c r="AF128" i="10"/>
  <c r="AF117" i="10"/>
  <c r="AF145" i="10"/>
  <c r="AF165" i="10"/>
  <c r="AF208" i="10"/>
  <c r="AB201" i="10"/>
  <c r="AB210" i="10"/>
  <c r="AB160" i="10"/>
  <c r="AC176" i="10"/>
  <c r="AC177" i="10"/>
  <c r="AC188" i="10"/>
  <c r="AC151" i="10"/>
  <c r="AC201" i="10"/>
  <c r="AD188" i="10"/>
  <c r="AD151" i="10"/>
  <c r="AD176" i="10"/>
  <c r="AD177" i="10"/>
  <c r="AC214" i="10"/>
  <c r="AC152" i="10"/>
  <c r="AC154" i="10"/>
  <c r="AD149" i="10"/>
  <c r="AE190" i="10"/>
  <c r="AE158" i="10"/>
  <c r="AE191" i="10"/>
  <c r="AE172" i="10"/>
  <c r="AE183" i="10"/>
  <c r="AE179" i="10"/>
  <c r="AE185" i="10"/>
  <c r="AE153" i="10"/>
  <c r="AE189" i="10"/>
  <c r="AE178" i="10"/>
  <c r="AE173" i="10"/>
  <c r="AE148" i="10"/>
  <c r="AE149" i="10"/>
  <c r="AF147" i="10"/>
  <c r="AE171" i="10"/>
  <c r="AE150" i="10"/>
  <c r="AE175" i="10"/>
  <c r="AE214" i="10"/>
  <c r="AC210" i="10"/>
  <c r="AC160" i="10"/>
  <c r="AD201" i="10"/>
  <c r="AE151" i="10"/>
  <c r="AE152" i="10"/>
  <c r="AE154" i="10"/>
  <c r="AE188" i="10"/>
  <c r="AE176" i="10"/>
  <c r="AE177" i="10"/>
  <c r="AE201" i="10"/>
  <c r="AD214" i="10"/>
  <c r="AD152" i="10"/>
  <c r="AD154" i="10"/>
  <c r="AE212" i="10"/>
  <c r="C278" i="10"/>
  <c r="D283" i="10"/>
  <c r="C283" i="10"/>
  <c r="C289" i="10"/>
  <c r="AF191" i="10"/>
  <c r="AF172" i="10"/>
  <c r="AF183" i="10"/>
  <c r="AF178" i="10"/>
  <c r="AF171" i="10"/>
  <c r="AF185" i="10"/>
  <c r="AF189" i="10"/>
  <c r="AF179" i="10"/>
  <c r="AF173" i="10"/>
  <c r="AF190" i="10"/>
  <c r="AF175" i="10"/>
  <c r="AF150" i="10"/>
  <c r="AF158" i="10"/>
  <c r="AF148" i="10"/>
  <c r="AF149" i="10"/>
  <c r="AF153" i="10"/>
  <c r="AF214" i="10"/>
  <c r="AE210" i="10"/>
  <c r="AE160" i="10"/>
  <c r="AD210" i="10"/>
  <c r="AD160" i="10"/>
  <c r="P262" i="10"/>
  <c r="AF176" i="10"/>
  <c r="AF177" i="10"/>
  <c r="AF151" i="10"/>
  <c r="AF152" i="10"/>
  <c r="AF154" i="10"/>
  <c r="AF188" i="10"/>
  <c r="AF212" i="10"/>
  <c r="AF201" i="10"/>
  <c r="AF160" i="10"/>
  <c r="AF210" i="10"/>
  <c r="X280" i="10"/>
  <c r="P271" i="10"/>
  <c r="X289" i="10"/>
  <c r="X262" i="10"/>
  <c r="P289" i="10"/>
  <c r="P263" i="10"/>
  <c r="P280" i="10"/>
  <c r="X271" i="10"/>
  <c r="P261" i="10"/>
  <c r="P288" i="10"/>
  <c r="X270" i="10"/>
  <c r="P270" i="10"/>
  <c r="X279" i="10"/>
  <c r="P279" i="10"/>
  <c r="X261" i="10"/>
  <c r="X288" i="10"/>
  <c r="P260" i="10"/>
  <c r="AC271" i="10"/>
  <c r="AB271" i="10"/>
  <c r="Y271" i="10"/>
  <c r="Z271" i="10"/>
  <c r="AA271" i="10"/>
  <c r="X290" i="10"/>
  <c r="P281" i="10"/>
  <c r="X263" i="10"/>
  <c r="P264" i="10"/>
  <c r="P290" i="10"/>
  <c r="X281" i="10"/>
  <c r="X272" i="10"/>
  <c r="P272" i="10"/>
  <c r="X260" i="10"/>
  <c r="P287" i="10"/>
  <c r="X278" i="10"/>
  <c r="X269" i="10"/>
  <c r="X287" i="10"/>
  <c r="P269" i="10"/>
  <c r="P278" i="10"/>
  <c r="Y272" i="10"/>
  <c r="AB272" i="10"/>
  <c r="Z272" i="10"/>
  <c r="AA272" i="10"/>
  <c r="AC272" i="10"/>
  <c r="X273" i="10"/>
  <c r="P282" i="10"/>
  <c r="X282" i="10"/>
  <c r="X264" i="10"/>
  <c r="P273" i="10"/>
  <c r="P291" i="10"/>
  <c r="X291" i="10"/>
  <c r="AC270" i="10"/>
  <c r="Y270" i="10"/>
  <c r="Z270" i="10"/>
  <c r="AB270" i="10"/>
  <c r="AA270" i="10"/>
  <c r="Y269" i="10"/>
  <c r="AA269" i="10"/>
  <c r="AB269" i="10"/>
  <c r="AC269" i="10"/>
  <c r="Z269" i="10"/>
  <c r="Z273" i="10"/>
  <c r="AC273" i="10"/>
  <c r="AA273" i="10"/>
  <c r="AB273" i="10"/>
  <c r="Y273" i="10"/>
  <c r="B8" i="9" l="1"/>
  <c r="B12" i="9"/>
  <c r="B14" i="9"/>
  <c r="B10" i="9"/>
  <c r="B13" i="9"/>
  <c r="B16" i="9"/>
  <c r="B11" i="9"/>
  <c r="B15" i="9"/>
  <c r="B9" i="9"/>
  <c r="B17" i="9"/>
  <c r="F28" i="4"/>
  <c r="F16" i="4"/>
  <c r="F30" i="4"/>
  <c r="F22" i="4"/>
  <c r="F18" i="4"/>
  <c r="F24" i="4"/>
  <c r="H16" i="4"/>
  <c r="H30" i="4"/>
  <c r="H18" i="4"/>
  <c r="H22" i="4"/>
  <c r="H28" i="4"/>
  <c r="J22" i="4"/>
  <c r="J18" i="4"/>
  <c r="J30" i="4"/>
  <c r="J20" i="4"/>
  <c r="L30" i="4"/>
  <c r="L28" i="4"/>
  <c r="L22" i="4"/>
  <c r="L18" i="4"/>
  <c r="N22" i="4"/>
  <c r="N23" i="4" s="1"/>
  <c r="N30" i="4"/>
  <c r="N31" i="4" s="1"/>
  <c r="N18" i="4"/>
  <c r="N19" i="4" s="1"/>
  <c r="N20" i="4"/>
  <c r="N21" i="4" s="1"/>
  <c r="N28" i="4"/>
  <c r="N29" i="4" s="1"/>
  <c r="N26" i="4"/>
  <c r="R22" i="4"/>
  <c r="R18" i="4"/>
  <c r="R30" i="4"/>
  <c r="V16" i="4"/>
  <c r="V22" i="4"/>
  <c r="V28" i="4"/>
  <c r="V30" i="4"/>
  <c r="V18" i="4"/>
  <c r="V26" i="4"/>
  <c r="V20" i="4"/>
  <c r="Z16" i="4"/>
  <c r="Z22" i="4"/>
  <c r="Z18" i="4"/>
  <c r="Z30" i="4"/>
  <c r="Z20" i="4"/>
  <c r="AC28" i="4"/>
  <c r="AB29" i="4" s="1"/>
  <c r="AC30" i="4"/>
  <c r="AB31" i="4" s="1"/>
  <c r="AC18" i="4"/>
  <c r="AB19" i="4" s="1"/>
  <c r="AC22" i="4"/>
  <c r="AB23" i="4" s="1"/>
  <c r="AC16" i="4"/>
  <c r="AD22" i="4"/>
  <c r="AC23" i="4" s="1"/>
  <c r="AD30" i="4"/>
  <c r="AC31" i="4" s="1"/>
  <c r="AD28" i="4"/>
  <c r="AC29" i="4" s="1"/>
  <c r="AD18" i="4"/>
  <c r="AC19" i="4" s="1"/>
  <c r="AD26" i="4"/>
  <c r="AE20" i="4"/>
  <c r="AE24" i="4"/>
  <c r="AE22" i="4"/>
  <c r="AE18" i="4"/>
  <c r="AE30" i="4"/>
  <c r="AE16" i="4"/>
  <c r="AE28" i="4"/>
  <c r="C8" i="9" l="1" a="1"/>
  <c r="C14" i="9"/>
  <c r="C12" i="9"/>
  <c r="C16" i="9"/>
  <c r="C17" i="9"/>
  <c r="C9" i="9"/>
  <c r="C8" i="9"/>
  <c r="C10" i="9"/>
  <c r="C13" i="9"/>
  <c r="C11" i="9"/>
  <c r="C15" i="9"/>
  <c r="B7" i="9"/>
  <c r="C5" i="9"/>
  <c r="AD29" i="4"/>
  <c r="AE29" i="4"/>
  <c r="AE17" i="4"/>
  <c r="AD17" i="4"/>
  <c r="AE31" i="4"/>
  <c r="AD31" i="4"/>
  <c r="AE19" i="4"/>
  <c r="AD19" i="4"/>
  <c r="AE23" i="4"/>
  <c r="AD23" i="4"/>
  <c r="AE25" i="4"/>
  <c r="AD25" i="4"/>
  <c r="AE41" i="4"/>
  <c r="AE21" i="4"/>
  <c r="AD21" i="4"/>
  <c r="AD40" i="4"/>
  <c r="AC27" i="4"/>
  <c r="AD41" i="4"/>
  <c r="AD27" i="4"/>
  <c r="AB17" i="4"/>
  <c r="AC17" i="4"/>
  <c r="Z21" i="4"/>
  <c r="Y21" i="4"/>
  <c r="Z31" i="4"/>
  <c r="Y31" i="4"/>
  <c r="Z19" i="4"/>
  <c r="Y19" i="4"/>
  <c r="Z23" i="4"/>
  <c r="Y23" i="4"/>
  <c r="Z17" i="4"/>
  <c r="Y17" i="4"/>
  <c r="V21" i="4"/>
  <c r="U21" i="4"/>
  <c r="V40" i="4"/>
  <c r="V27" i="4"/>
  <c r="U27" i="4"/>
  <c r="V41" i="4"/>
  <c r="V19" i="4"/>
  <c r="U19" i="4"/>
  <c r="V31" i="4"/>
  <c r="U31" i="4"/>
  <c r="V29" i="4"/>
  <c r="U29" i="4"/>
  <c r="V23" i="4"/>
  <c r="U23" i="4"/>
  <c r="V17" i="4"/>
  <c r="U17" i="4"/>
  <c r="Q31" i="4"/>
  <c r="R31" i="4"/>
  <c r="R19" i="4"/>
  <c r="Q19" i="4"/>
  <c r="Q23" i="4"/>
  <c r="R23" i="4"/>
  <c r="N40" i="4"/>
  <c r="N27" i="4"/>
  <c r="N41" i="4"/>
  <c r="L36" i="4"/>
  <c r="K19" i="4"/>
  <c r="L19" i="4"/>
  <c r="K23" i="4"/>
  <c r="L38" i="4"/>
  <c r="L23" i="4"/>
  <c r="K29" i="4"/>
  <c r="L29" i="4"/>
  <c r="K31" i="4"/>
  <c r="L31" i="4"/>
  <c r="J37" i="4"/>
  <c r="J21" i="4"/>
  <c r="I21" i="4"/>
  <c r="I31" i="4"/>
  <c r="J31" i="4"/>
  <c r="J36" i="4"/>
  <c r="I19" i="4"/>
  <c r="J19" i="4"/>
  <c r="J38" i="4"/>
  <c r="J23" i="4"/>
  <c r="I23" i="4"/>
  <c r="G29" i="4"/>
  <c r="H29" i="4"/>
  <c r="H38" i="4"/>
  <c r="G23" i="4"/>
  <c r="H23" i="4"/>
  <c r="H36" i="4"/>
  <c r="G19" i="4"/>
  <c r="H19" i="4"/>
  <c r="G31" i="4"/>
  <c r="H31" i="4"/>
  <c r="H17" i="4"/>
  <c r="G17" i="4"/>
  <c r="F39" i="4"/>
  <c r="F25" i="4"/>
  <c r="E25" i="4"/>
  <c r="F41" i="4"/>
  <c r="F36" i="4"/>
  <c r="F19" i="4"/>
  <c r="E19" i="4"/>
  <c r="F23" i="4"/>
  <c r="F38" i="4"/>
  <c r="E23" i="4"/>
  <c r="E31" i="4"/>
  <c r="F31" i="4"/>
  <c r="E17" i="4"/>
  <c r="F17" i="4"/>
  <c r="E29" i="4"/>
  <c r="F29" i="4"/>
  <c r="C4" i="9" l="1"/>
  <c r="B20" i="9" a="1"/>
  <c r="E140" i="9" l="1"/>
  <c r="D140" i="9"/>
  <c r="C140" i="9"/>
  <c r="B140" i="9"/>
  <c r="E139" i="9"/>
  <c r="D139" i="9"/>
  <c r="C139" i="9"/>
  <c r="B139" i="9"/>
  <c r="E138" i="9"/>
  <c r="D138" i="9"/>
  <c r="C138" i="9"/>
  <c r="B138" i="9"/>
  <c r="E137" i="9"/>
  <c r="D137" i="9"/>
  <c r="C137" i="9"/>
  <c r="B137" i="9"/>
  <c r="E136" i="9"/>
  <c r="D136" i="9"/>
  <c r="C136" i="9"/>
  <c r="B136" i="9"/>
  <c r="E135" i="9"/>
  <c r="D135" i="9"/>
  <c r="C135" i="9"/>
  <c r="B135" i="9"/>
  <c r="E134" i="9"/>
  <c r="D134" i="9"/>
  <c r="C134" i="9"/>
  <c r="B134" i="9"/>
  <c r="E133" i="9"/>
  <c r="D133" i="9"/>
  <c r="C133" i="9"/>
  <c r="B133" i="9"/>
  <c r="E132" i="9"/>
  <c r="D132" i="9"/>
  <c r="C132" i="9"/>
  <c r="B132" i="9"/>
  <c r="E131" i="9"/>
  <c r="D131" i="9"/>
  <c r="C131" i="9"/>
  <c r="B131" i="9"/>
  <c r="E130" i="9"/>
  <c r="D130" i="9"/>
  <c r="C130" i="9"/>
  <c r="B130" i="9"/>
  <c r="E129" i="9"/>
  <c r="D129" i="9"/>
  <c r="C129" i="9"/>
  <c r="B129" i="9"/>
  <c r="E128" i="9"/>
  <c r="D128" i="9"/>
  <c r="C128" i="9"/>
  <c r="B128" i="9"/>
  <c r="E127" i="9"/>
  <c r="D127" i="9"/>
  <c r="C127" i="9"/>
  <c r="B127" i="9"/>
  <c r="E126" i="9"/>
  <c r="D126" i="9"/>
  <c r="C126" i="9"/>
  <c r="B126" i="9"/>
  <c r="E125" i="9"/>
  <c r="D125" i="9"/>
  <c r="C125" i="9"/>
  <c r="B125" i="9"/>
  <c r="E124" i="9"/>
  <c r="D124" i="9"/>
  <c r="C124" i="9"/>
  <c r="B124" i="9"/>
  <c r="E123" i="9"/>
  <c r="D123" i="9"/>
  <c r="C123" i="9"/>
  <c r="B123" i="9"/>
  <c r="E122" i="9"/>
  <c r="D122" i="9"/>
  <c r="C122" i="9"/>
  <c r="B122" i="9"/>
  <c r="E121" i="9"/>
  <c r="D121" i="9"/>
  <c r="C121" i="9"/>
  <c r="B121" i="9"/>
  <c r="E120" i="9"/>
  <c r="D120" i="9"/>
  <c r="C120" i="9"/>
  <c r="B120" i="9"/>
  <c r="E119" i="9"/>
  <c r="D119" i="9"/>
  <c r="C119" i="9"/>
  <c r="B119" i="9"/>
  <c r="E118" i="9"/>
  <c r="D118" i="9"/>
  <c r="C118" i="9"/>
  <c r="B118" i="9"/>
  <c r="E117" i="9"/>
  <c r="D117" i="9"/>
  <c r="C117" i="9"/>
  <c r="B117" i="9"/>
  <c r="E116" i="9"/>
  <c r="D116" i="9"/>
  <c r="C116" i="9"/>
  <c r="B116" i="9"/>
  <c r="E115" i="9"/>
  <c r="D115" i="9"/>
  <c r="C115" i="9"/>
  <c r="B115" i="9"/>
  <c r="E114" i="9"/>
  <c r="D114" i="9"/>
  <c r="C114" i="9"/>
  <c r="B114" i="9"/>
  <c r="E113" i="9"/>
  <c r="D113" i="9"/>
  <c r="C113" i="9"/>
  <c r="B113" i="9"/>
  <c r="E112" i="9"/>
  <c r="D112" i="9"/>
  <c r="C112" i="9"/>
  <c r="B112" i="9"/>
  <c r="E111" i="9"/>
  <c r="D111" i="9"/>
  <c r="C111" i="9"/>
  <c r="B111" i="9"/>
  <c r="E110" i="9"/>
  <c r="D110" i="9"/>
  <c r="C110" i="9"/>
  <c r="B110" i="9"/>
  <c r="E109" i="9"/>
  <c r="D109" i="9"/>
  <c r="C109" i="9"/>
  <c r="B109" i="9"/>
  <c r="E108" i="9"/>
  <c r="D108" i="9"/>
  <c r="C108" i="9"/>
  <c r="B108" i="9"/>
  <c r="E107" i="9"/>
  <c r="D107" i="9"/>
  <c r="C107" i="9"/>
  <c r="B107" i="9"/>
  <c r="E106" i="9"/>
  <c r="D106" i="9"/>
  <c r="C106" i="9"/>
  <c r="B106" i="9"/>
  <c r="E105" i="9"/>
  <c r="D105" i="9"/>
  <c r="C105" i="9"/>
  <c r="B105" i="9"/>
  <c r="E104" i="9"/>
  <c r="D104" i="9"/>
  <c r="C104" i="9"/>
  <c r="B104" i="9"/>
  <c r="E103" i="9"/>
  <c r="D103" i="9"/>
  <c r="C103" i="9"/>
  <c r="B103" i="9"/>
  <c r="E102" i="9"/>
  <c r="D102" i="9"/>
  <c r="C102" i="9"/>
  <c r="B102" i="9"/>
  <c r="E101" i="9"/>
  <c r="D101" i="9"/>
  <c r="C101" i="9"/>
  <c r="B101" i="9"/>
  <c r="E100" i="9"/>
  <c r="D100" i="9"/>
  <c r="C100" i="9"/>
  <c r="B100" i="9"/>
  <c r="E99" i="9"/>
  <c r="D99" i="9"/>
  <c r="C99" i="9"/>
  <c r="B99" i="9"/>
  <c r="E98" i="9"/>
  <c r="D98" i="9"/>
  <c r="C98" i="9"/>
  <c r="B98" i="9"/>
  <c r="E97" i="9"/>
  <c r="D97" i="9"/>
  <c r="C97" i="9"/>
  <c r="B97" i="9"/>
  <c r="E96" i="9"/>
  <c r="D96" i="9"/>
  <c r="C96" i="9"/>
  <c r="B96" i="9"/>
  <c r="E95" i="9"/>
  <c r="D95" i="9"/>
  <c r="C95" i="9"/>
  <c r="B95" i="9"/>
  <c r="E94" i="9"/>
  <c r="D94" i="9"/>
  <c r="C94" i="9"/>
  <c r="B94" i="9"/>
  <c r="E93" i="9"/>
  <c r="D93" i="9"/>
  <c r="C93" i="9"/>
  <c r="B93" i="9"/>
  <c r="E92" i="9"/>
  <c r="D92" i="9"/>
  <c r="C92" i="9"/>
  <c r="B92" i="9"/>
  <c r="E91" i="9"/>
  <c r="D91" i="9"/>
  <c r="C91" i="9"/>
  <c r="B91" i="9"/>
  <c r="E90" i="9"/>
  <c r="D90" i="9"/>
  <c r="C90" i="9"/>
  <c r="B90" i="9"/>
  <c r="E89" i="9"/>
  <c r="D89" i="9"/>
  <c r="C89" i="9"/>
  <c r="B89" i="9"/>
  <c r="E88" i="9"/>
  <c r="D88" i="9"/>
  <c r="C88" i="9"/>
  <c r="B88" i="9"/>
  <c r="E87" i="9"/>
  <c r="D87" i="9"/>
  <c r="C87" i="9"/>
  <c r="B87" i="9"/>
  <c r="E86" i="9"/>
  <c r="D86" i="9"/>
  <c r="C86" i="9"/>
  <c r="B86" i="9"/>
  <c r="E85" i="9"/>
  <c r="D85" i="9"/>
  <c r="C85" i="9"/>
  <c r="B85" i="9"/>
  <c r="E84" i="9"/>
  <c r="D84" i="9"/>
  <c r="C84" i="9"/>
  <c r="B84" i="9"/>
  <c r="E83" i="9"/>
  <c r="D83" i="9"/>
  <c r="C83" i="9"/>
  <c r="B83" i="9"/>
  <c r="E82" i="9"/>
  <c r="D82" i="9"/>
  <c r="C82" i="9"/>
  <c r="B82" i="9"/>
  <c r="E81" i="9"/>
  <c r="D81" i="9"/>
  <c r="C81" i="9"/>
  <c r="B81" i="9"/>
  <c r="E80" i="9"/>
  <c r="D80" i="9"/>
  <c r="C80" i="9"/>
  <c r="B80" i="9"/>
  <c r="E79" i="9"/>
  <c r="D79" i="9"/>
  <c r="C79" i="9"/>
  <c r="B79" i="9"/>
  <c r="E78" i="9"/>
  <c r="D78" i="9"/>
  <c r="C78" i="9"/>
  <c r="B78" i="9"/>
  <c r="E77" i="9"/>
  <c r="D77" i="9"/>
  <c r="C77" i="9"/>
  <c r="B20" i="9"/>
  <c r="C20" i="9"/>
  <c r="D20" i="9"/>
  <c r="E20" i="9"/>
  <c r="B21" i="9"/>
  <c r="C21" i="9"/>
  <c r="D21" i="9"/>
  <c r="E21" i="9"/>
  <c r="B22" i="9"/>
  <c r="C22" i="9"/>
  <c r="D22" i="9"/>
  <c r="E22" i="9"/>
  <c r="B23" i="9"/>
  <c r="C23" i="9"/>
  <c r="D23" i="9"/>
  <c r="E23" i="9"/>
  <c r="B24" i="9"/>
  <c r="C24" i="9"/>
  <c r="D24" i="9"/>
  <c r="E24" i="9"/>
  <c r="B25" i="9"/>
  <c r="C25" i="9"/>
  <c r="D25" i="9"/>
  <c r="E25" i="9"/>
  <c r="B26" i="9"/>
  <c r="C26" i="9"/>
  <c r="D26" i="9"/>
  <c r="E26" i="9"/>
  <c r="B27" i="9"/>
  <c r="C27" i="9"/>
  <c r="D27" i="9"/>
  <c r="E27" i="9"/>
  <c r="B28" i="9"/>
  <c r="C28" i="9"/>
  <c r="D28" i="9"/>
  <c r="E28" i="9"/>
  <c r="B29" i="9"/>
  <c r="C29" i="9"/>
  <c r="D29" i="9"/>
  <c r="E29" i="9"/>
  <c r="B30" i="9"/>
  <c r="C30" i="9"/>
  <c r="D30" i="9"/>
  <c r="E30" i="9"/>
  <c r="B31" i="9"/>
  <c r="C31" i="9"/>
  <c r="D31" i="9"/>
  <c r="E31" i="9"/>
  <c r="B32" i="9"/>
  <c r="C32" i="9"/>
  <c r="D32" i="9"/>
  <c r="E32" i="9"/>
  <c r="B33" i="9"/>
  <c r="C33" i="9"/>
  <c r="D33" i="9"/>
  <c r="E33" i="9"/>
  <c r="B34" i="9"/>
  <c r="C34" i="9"/>
  <c r="D34" i="9"/>
  <c r="E34" i="9"/>
  <c r="B35" i="9"/>
  <c r="C35" i="9"/>
  <c r="D35" i="9"/>
  <c r="E35" i="9"/>
  <c r="B36" i="9"/>
  <c r="C36" i="9"/>
  <c r="D36" i="9"/>
  <c r="E36" i="9"/>
  <c r="B37" i="9"/>
  <c r="C37" i="9"/>
  <c r="D37" i="9"/>
  <c r="E37" i="9"/>
  <c r="B38" i="9"/>
  <c r="C38" i="9"/>
  <c r="D38" i="9"/>
  <c r="E38" i="9"/>
  <c r="B39" i="9"/>
  <c r="C39" i="9"/>
  <c r="D39" i="9"/>
  <c r="E39" i="9"/>
  <c r="B40" i="9"/>
  <c r="C40" i="9"/>
  <c r="D40" i="9"/>
  <c r="E40" i="9"/>
  <c r="B41" i="9"/>
  <c r="C41" i="9"/>
  <c r="D41" i="9"/>
  <c r="E41" i="9"/>
  <c r="B42" i="9"/>
  <c r="C42" i="9"/>
  <c r="D42" i="9"/>
  <c r="E42" i="9"/>
  <c r="B43" i="9"/>
  <c r="C43" i="9"/>
  <c r="D43" i="9"/>
  <c r="E43" i="9"/>
  <c r="B44" i="9"/>
  <c r="C44" i="9"/>
  <c r="D44" i="9"/>
  <c r="E44" i="9"/>
  <c r="B45" i="9"/>
  <c r="C45" i="9"/>
  <c r="D45" i="9"/>
  <c r="E45" i="9"/>
  <c r="B46" i="9"/>
  <c r="C46" i="9"/>
  <c r="D46" i="9"/>
  <c r="E46" i="9"/>
  <c r="B47" i="9"/>
  <c r="C47" i="9"/>
  <c r="D47" i="9"/>
  <c r="E47" i="9"/>
  <c r="B48" i="9"/>
  <c r="C48" i="9"/>
  <c r="D48" i="9"/>
  <c r="E48" i="9"/>
  <c r="B49" i="9"/>
  <c r="C49" i="9"/>
  <c r="D49" i="9"/>
  <c r="E49" i="9"/>
  <c r="B50" i="9"/>
  <c r="C50" i="9"/>
  <c r="D50" i="9"/>
  <c r="E50" i="9"/>
  <c r="B51" i="9"/>
  <c r="C51" i="9"/>
  <c r="D51" i="9"/>
  <c r="E51" i="9"/>
  <c r="B52" i="9"/>
  <c r="C52" i="9"/>
  <c r="D52" i="9"/>
  <c r="E52" i="9"/>
  <c r="B53" i="9"/>
  <c r="C53" i="9"/>
  <c r="D53" i="9"/>
  <c r="E53" i="9"/>
  <c r="B54" i="9"/>
  <c r="C54" i="9"/>
  <c r="D54" i="9"/>
  <c r="E54" i="9"/>
  <c r="B55" i="9"/>
  <c r="C55" i="9"/>
  <c r="D55" i="9"/>
  <c r="E55" i="9"/>
  <c r="B56" i="9"/>
  <c r="C56" i="9"/>
  <c r="D56" i="9"/>
  <c r="E56" i="9"/>
  <c r="B57" i="9"/>
  <c r="C57" i="9"/>
  <c r="D57" i="9"/>
  <c r="E57" i="9"/>
  <c r="B58" i="9"/>
  <c r="C58" i="9"/>
  <c r="D58" i="9"/>
  <c r="E58" i="9"/>
  <c r="B59" i="9"/>
  <c r="C59" i="9"/>
  <c r="D59" i="9"/>
  <c r="E59" i="9"/>
  <c r="B60" i="9"/>
  <c r="C60" i="9"/>
  <c r="D60" i="9"/>
  <c r="E60" i="9"/>
  <c r="B61" i="9"/>
  <c r="C61" i="9"/>
  <c r="D61" i="9"/>
  <c r="E61" i="9"/>
  <c r="B62" i="9"/>
  <c r="C62" i="9"/>
  <c r="D62" i="9"/>
  <c r="E62" i="9"/>
  <c r="B63" i="9"/>
  <c r="C63" i="9"/>
  <c r="D63" i="9"/>
  <c r="E63" i="9"/>
  <c r="B64" i="9"/>
  <c r="C64" i="9"/>
  <c r="D64" i="9"/>
  <c r="E64" i="9"/>
  <c r="B65" i="9"/>
  <c r="C65" i="9"/>
  <c r="D65" i="9"/>
  <c r="E65" i="9"/>
  <c r="B66" i="9"/>
  <c r="C66" i="9"/>
  <c r="D66" i="9"/>
  <c r="E66" i="9"/>
  <c r="B67" i="9"/>
  <c r="C67" i="9"/>
  <c r="D67" i="9"/>
  <c r="E67" i="9"/>
  <c r="B68" i="9"/>
  <c r="C68" i="9"/>
  <c r="D68" i="9"/>
  <c r="E68" i="9"/>
  <c r="B69" i="9"/>
  <c r="C69" i="9"/>
  <c r="D69" i="9"/>
  <c r="E69" i="9"/>
  <c r="B70" i="9"/>
  <c r="C70" i="9"/>
  <c r="D70" i="9"/>
  <c r="E70" i="9"/>
  <c r="B71" i="9"/>
  <c r="C71" i="9"/>
  <c r="D71" i="9"/>
  <c r="E71" i="9"/>
  <c r="B72" i="9"/>
  <c r="C72" i="9"/>
  <c r="D72" i="9"/>
  <c r="E72" i="9"/>
  <c r="B73" i="9"/>
  <c r="C73" i="9"/>
  <c r="D73" i="9"/>
  <c r="E73" i="9"/>
  <c r="B74" i="9"/>
  <c r="C74" i="9"/>
  <c r="D74" i="9"/>
  <c r="E74" i="9"/>
  <c r="B75" i="9"/>
  <c r="C75" i="9"/>
  <c r="D75" i="9"/>
  <c r="E75" i="9"/>
  <c r="B76" i="9"/>
  <c r="C76" i="9"/>
  <c r="D76" i="9"/>
  <c r="E76" i="9"/>
  <c r="B77" i="9"/>
  <c r="M126" i="10"/>
  <c r="N126" i="10"/>
  <c r="O126" i="10"/>
  <c r="P126" i="10"/>
  <c r="Q126" i="10"/>
  <c r="R126" i="10"/>
  <c r="S126" i="10"/>
  <c r="T126" i="10"/>
  <c r="U126" i="10"/>
  <c r="V126" i="10"/>
  <c r="W126" i="10"/>
  <c r="X126" i="10"/>
  <c r="Y126" i="10"/>
  <c r="Z126" i="10"/>
  <c r="AA126" i="10"/>
  <c r="AB126" i="10"/>
  <c r="AC126" i="10"/>
  <c r="AD126" i="10"/>
  <c r="AE126" i="10"/>
  <c r="AF126" i="10"/>
  <c r="M155" i="10"/>
  <c r="N155" i="10"/>
  <c r="O155" i="10"/>
  <c r="P155" i="10"/>
  <c r="Q155" i="10"/>
  <c r="R155" i="10"/>
  <c r="S155" i="10"/>
  <c r="T155" i="10"/>
  <c r="U155" i="10"/>
  <c r="V155" i="10"/>
  <c r="W155" i="10"/>
  <c r="X155" i="10"/>
  <c r="Y155" i="10"/>
  <c r="Z155" i="10"/>
  <c r="AA155" i="10"/>
  <c r="AB155" i="10"/>
  <c r="AC155" i="10"/>
  <c r="AD155" i="10"/>
  <c r="AE155" i="10"/>
  <c r="AF155" i="10"/>
  <c r="M156" i="10"/>
  <c r="N156" i="10"/>
  <c r="O156" i="10"/>
  <c r="P156" i="10"/>
  <c r="Q156" i="10"/>
  <c r="R156" i="10"/>
  <c r="S156" i="10"/>
  <c r="T156" i="10"/>
  <c r="U156" i="10"/>
  <c r="V156" i="10"/>
  <c r="W156" i="10"/>
  <c r="X156" i="10"/>
  <c r="Y156" i="10"/>
  <c r="Z156" i="10"/>
  <c r="AA156" i="10"/>
  <c r="AB156" i="10"/>
  <c r="AC156" i="10"/>
  <c r="AD156" i="10"/>
  <c r="AE156" i="10"/>
  <c r="AF156" i="10"/>
  <c r="M157" i="10"/>
  <c r="N157" i="10"/>
  <c r="O157" i="10"/>
  <c r="P157" i="10"/>
  <c r="Q157" i="10"/>
  <c r="R157" i="10"/>
  <c r="S157" i="10"/>
  <c r="T157" i="10"/>
  <c r="U157" i="10"/>
  <c r="V157" i="10"/>
  <c r="W157" i="10"/>
  <c r="X157" i="10"/>
  <c r="Y157" i="10"/>
  <c r="Z157" i="10"/>
  <c r="AA157" i="10"/>
  <c r="AB157" i="10"/>
  <c r="AC157" i="10"/>
  <c r="AD157" i="10"/>
  <c r="AE157" i="10"/>
  <c r="AF157" i="10"/>
  <c r="M159" i="10"/>
  <c r="N159" i="10"/>
  <c r="O159" i="10"/>
  <c r="P159" i="10"/>
  <c r="Q159" i="10"/>
  <c r="R159" i="10"/>
  <c r="S159" i="10"/>
  <c r="T159" i="10"/>
  <c r="U159" i="10"/>
  <c r="V159" i="10"/>
  <c r="W159" i="10"/>
  <c r="X159" i="10"/>
  <c r="Y159" i="10"/>
  <c r="Z159" i="10"/>
  <c r="AA159" i="10"/>
  <c r="AB159" i="10"/>
  <c r="AC159" i="10"/>
  <c r="AD159" i="10"/>
  <c r="AE159" i="10"/>
  <c r="AF159" i="10"/>
  <c r="M161" i="10"/>
  <c r="N161" i="10"/>
  <c r="O161" i="10"/>
  <c r="P161" i="10"/>
  <c r="Q161" i="10"/>
  <c r="R161" i="10"/>
  <c r="S161" i="10"/>
  <c r="T161" i="10"/>
  <c r="U161" i="10"/>
  <c r="V161" i="10"/>
  <c r="W161" i="10"/>
  <c r="X161" i="10"/>
  <c r="Y161" i="10"/>
  <c r="Z161" i="10"/>
  <c r="AA161" i="10"/>
  <c r="AB161" i="10"/>
  <c r="AC161" i="10"/>
  <c r="AD161" i="10"/>
  <c r="AE161" i="10"/>
  <c r="AF161" i="10"/>
  <c r="M162" i="10"/>
  <c r="N162" i="10"/>
  <c r="O162" i="10"/>
  <c r="P162" i="10"/>
  <c r="Q162" i="10"/>
  <c r="R162" i="10"/>
  <c r="S162" i="10"/>
  <c r="T162" i="10"/>
  <c r="U162" i="10"/>
  <c r="V162" i="10"/>
  <c r="W162" i="10"/>
  <c r="X162" i="10"/>
  <c r="Y162" i="10"/>
  <c r="Z162" i="10"/>
  <c r="AA162" i="10"/>
  <c r="AB162" i="10"/>
  <c r="AC162" i="10"/>
  <c r="AD162" i="10"/>
  <c r="AE162" i="10"/>
  <c r="AF162" i="10"/>
  <c r="M163" i="10"/>
  <c r="N163" i="10"/>
  <c r="O163" i="10"/>
  <c r="P163" i="10"/>
  <c r="Q163" i="10"/>
  <c r="R163" i="10"/>
  <c r="S163" i="10"/>
  <c r="T163" i="10"/>
  <c r="U163" i="10"/>
  <c r="V163" i="10"/>
  <c r="W163" i="10"/>
  <c r="X163" i="10"/>
  <c r="Y163" i="10"/>
  <c r="Z163" i="10"/>
  <c r="AA163" i="10"/>
  <c r="AB163" i="10"/>
  <c r="AC163" i="10"/>
  <c r="AD163" i="10"/>
  <c r="AE163" i="10"/>
  <c r="AF163" i="10"/>
  <c r="M170" i="10"/>
  <c r="N170" i="10"/>
  <c r="O170" i="10"/>
  <c r="P170" i="10"/>
  <c r="Q170" i="10"/>
  <c r="R170" i="10"/>
  <c r="S170" i="10"/>
  <c r="T170" i="10"/>
  <c r="U170" i="10"/>
  <c r="V170" i="10"/>
  <c r="W170" i="10"/>
  <c r="X170" i="10"/>
  <c r="Y170" i="10"/>
  <c r="Z170" i="10"/>
  <c r="AA170" i="10"/>
  <c r="AB170" i="10"/>
  <c r="AC170" i="10"/>
  <c r="AD170" i="10"/>
  <c r="AE170" i="10"/>
  <c r="AF170" i="10"/>
  <c r="M174" i="10"/>
  <c r="N174" i="10"/>
  <c r="O174" i="10"/>
  <c r="P174" i="10"/>
  <c r="Q174" i="10"/>
  <c r="R174" i="10"/>
  <c r="S174" i="10"/>
  <c r="T174" i="10"/>
  <c r="U174" i="10"/>
  <c r="V174" i="10"/>
  <c r="W174" i="10"/>
  <c r="X174" i="10"/>
  <c r="Y174" i="10"/>
  <c r="Z174" i="10"/>
  <c r="AA174" i="10"/>
  <c r="AB174" i="10"/>
  <c r="AC174" i="10"/>
  <c r="AD174" i="10"/>
  <c r="AE174" i="10"/>
  <c r="AF174" i="10"/>
  <c r="M180" i="10"/>
  <c r="N180" i="10"/>
  <c r="O180" i="10"/>
  <c r="P180" i="10"/>
  <c r="Q180" i="10"/>
  <c r="R180" i="10"/>
  <c r="S180" i="10"/>
  <c r="T180" i="10"/>
  <c r="U180" i="10"/>
  <c r="V180" i="10"/>
  <c r="W180" i="10"/>
  <c r="X180" i="10"/>
  <c r="Y180" i="10"/>
  <c r="Z180" i="10"/>
  <c r="AA180" i="10"/>
  <c r="AB180" i="10"/>
  <c r="AC180" i="10"/>
  <c r="AD180" i="10"/>
  <c r="AE180" i="10"/>
  <c r="AF180" i="10"/>
  <c r="M184" i="10"/>
  <c r="N184" i="10"/>
  <c r="O184" i="10"/>
  <c r="P184" i="10"/>
  <c r="Q184" i="10"/>
  <c r="R184" i="10"/>
  <c r="S184" i="10"/>
  <c r="T184" i="10"/>
  <c r="U184" i="10"/>
  <c r="V184" i="10"/>
  <c r="W184" i="10"/>
  <c r="X184" i="10"/>
  <c r="Y184" i="10"/>
  <c r="Z184" i="10"/>
  <c r="AA184" i="10"/>
  <c r="AB184" i="10"/>
  <c r="AC184" i="10"/>
  <c r="AD184" i="10"/>
  <c r="AE184" i="10"/>
  <c r="AF184" i="10"/>
  <c r="M186" i="10"/>
  <c r="N186" i="10"/>
  <c r="O186" i="10"/>
  <c r="P186" i="10"/>
  <c r="Q186" i="10"/>
  <c r="R186" i="10"/>
  <c r="S186" i="10"/>
  <c r="T186" i="10"/>
  <c r="U186" i="10"/>
  <c r="V186" i="10"/>
  <c r="W186" i="10"/>
  <c r="X186" i="10"/>
  <c r="Y186" i="10"/>
  <c r="Z186" i="10"/>
  <c r="AA186" i="10"/>
  <c r="AB186" i="10"/>
  <c r="AC186" i="10"/>
  <c r="AD186" i="10"/>
  <c r="AE186" i="10"/>
  <c r="AF186" i="10"/>
  <c r="M187" i="10"/>
  <c r="N187" i="10"/>
  <c r="O187" i="10"/>
  <c r="P187" i="10"/>
  <c r="Q187" i="10"/>
  <c r="R187" i="10"/>
  <c r="S187" i="10"/>
  <c r="T187" i="10"/>
  <c r="U187" i="10"/>
  <c r="V187" i="10"/>
  <c r="W187" i="10"/>
  <c r="X187" i="10"/>
  <c r="Y187" i="10"/>
  <c r="Z187" i="10"/>
  <c r="AA187" i="10"/>
  <c r="AB187" i="10"/>
  <c r="AC187" i="10"/>
  <c r="AD187" i="10"/>
  <c r="AE187" i="10"/>
  <c r="AF187" i="10"/>
  <c r="M192" i="10"/>
  <c r="N192" i="10"/>
  <c r="O192" i="10"/>
  <c r="P192" i="10"/>
  <c r="Q192" i="10"/>
  <c r="R192" i="10"/>
  <c r="S192" i="10"/>
  <c r="T192" i="10"/>
  <c r="U192" i="10"/>
  <c r="V192" i="10"/>
  <c r="W192" i="10"/>
  <c r="X192" i="10"/>
  <c r="Y192" i="10"/>
  <c r="Z192" i="10"/>
  <c r="AA192" i="10"/>
  <c r="AB192" i="10"/>
  <c r="AC192" i="10"/>
  <c r="AD192" i="10"/>
  <c r="AE192" i="10"/>
  <c r="AF192" i="10"/>
  <c r="M194" i="10"/>
  <c r="N194" i="10"/>
  <c r="O194" i="10"/>
  <c r="P194" i="10"/>
  <c r="Q194" i="10"/>
  <c r="R194" i="10"/>
  <c r="S194" i="10"/>
  <c r="T194" i="10"/>
  <c r="U194" i="10"/>
  <c r="V194" i="10"/>
  <c r="W194" i="10"/>
  <c r="X194" i="10"/>
  <c r="Y194" i="10"/>
  <c r="Z194" i="10"/>
  <c r="AA194" i="10"/>
  <c r="AB194" i="10"/>
  <c r="AC194" i="10"/>
  <c r="AD194" i="10"/>
  <c r="AE194" i="10"/>
  <c r="AF194" i="10"/>
  <c r="M196" i="10"/>
  <c r="N196" i="10"/>
  <c r="O196" i="10"/>
  <c r="P196" i="10"/>
  <c r="Q196" i="10"/>
  <c r="R196" i="10"/>
  <c r="S196" i="10"/>
  <c r="T196" i="10"/>
  <c r="U196" i="10"/>
  <c r="V196" i="10"/>
  <c r="W196" i="10"/>
  <c r="X196" i="10"/>
  <c r="Y196" i="10"/>
  <c r="Z196" i="10"/>
  <c r="AA196" i="10"/>
  <c r="AB196" i="10"/>
  <c r="AC196" i="10"/>
  <c r="AD196" i="10"/>
  <c r="AE196" i="10"/>
  <c r="AF196" i="10"/>
  <c r="M197" i="10"/>
  <c r="N197" i="10"/>
  <c r="O197" i="10"/>
  <c r="P197" i="10"/>
  <c r="Q197" i="10"/>
  <c r="R197" i="10"/>
  <c r="S197" i="10"/>
  <c r="T197" i="10"/>
  <c r="U197" i="10"/>
  <c r="V197" i="10"/>
  <c r="W197" i="10"/>
  <c r="X197" i="10"/>
  <c r="Y197" i="10"/>
  <c r="Z197" i="10"/>
  <c r="AA197" i="10"/>
  <c r="AB197" i="10"/>
  <c r="AC197" i="10"/>
  <c r="AD197" i="10"/>
  <c r="AE197" i="10"/>
  <c r="AF197" i="10"/>
  <c r="M199" i="10"/>
  <c r="N199" i="10"/>
  <c r="O199" i="10"/>
  <c r="P199" i="10"/>
  <c r="Q199" i="10"/>
  <c r="R199" i="10"/>
  <c r="S199" i="10"/>
  <c r="T199" i="10"/>
  <c r="U199" i="10"/>
  <c r="V199" i="10"/>
  <c r="W199" i="10"/>
  <c r="X199" i="10"/>
  <c r="Y199" i="10"/>
  <c r="Z199" i="10"/>
  <c r="AA199" i="10"/>
  <c r="AB199" i="10"/>
  <c r="AC199" i="10"/>
  <c r="AD199" i="10"/>
  <c r="AE199" i="10"/>
  <c r="AF199" i="10"/>
  <c r="M202" i="10"/>
  <c r="N202" i="10"/>
  <c r="O202" i="10"/>
  <c r="P202" i="10"/>
  <c r="Q202" i="10"/>
  <c r="R202" i="10"/>
  <c r="S202" i="10"/>
  <c r="T202" i="10"/>
  <c r="U202" i="10"/>
  <c r="V202" i="10"/>
  <c r="W202" i="10"/>
  <c r="X202" i="10"/>
  <c r="Y202" i="10"/>
  <c r="Z202" i="10"/>
  <c r="AA202" i="10"/>
  <c r="AB202" i="10"/>
  <c r="AC202" i="10"/>
  <c r="AD202" i="10"/>
  <c r="AE202" i="10"/>
  <c r="AF202" i="10"/>
  <c r="M203" i="10"/>
  <c r="N203" i="10"/>
  <c r="O203" i="10"/>
  <c r="P203" i="10"/>
  <c r="Q203" i="10"/>
  <c r="R203" i="10"/>
  <c r="S203" i="10"/>
  <c r="T203" i="10"/>
  <c r="U203" i="10"/>
  <c r="V203" i="10"/>
  <c r="W203" i="10"/>
  <c r="X203" i="10"/>
  <c r="Y203" i="10"/>
  <c r="Z203" i="10"/>
  <c r="AA203" i="10"/>
  <c r="AB203" i="10"/>
  <c r="AC203" i="10"/>
  <c r="AD203" i="10"/>
  <c r="AE203" i="10"/>
  <c r="AF203" i="10"/>
  <c r="M205" i="10"/>
  <c r="N205" i="10"/>
  <c r="O205" i="10"/>
  <c r="P205" i="10"/>
  <c r="Q205" i="10"/>
  <c r="R205" i="10"/>
  <c r="S205" i="10"/>
  <c r="T205" i="10"/>
  <c r="U205" i="10"/>
  <c r="V205" i="10"/>
  <c r="W205" i="10"/>
  <c r="X205" i="10"/>
  <c r="Y205" i="10"/>
  <c r="Z205" i="10"/>
  <c r="AA205" i="10"/>
  <c r="AB205" i="10"/>
  <c r="AC205" i="10"/>
  <c r="AD205" i="10"/>
  <c r="AE205" i="10"/>
  <c r="AF205" i="10"/>
  <c r="M206" i="10"/>
  <c r="N206" i="10"/>
  <c r="O206" i="10"/>
  <c r="P206" i="10"/>
  <c r="Q206" i="10"/>
  <c r="R206" i="10"/>
  <c r="S206" i="10"/>
  <c r="T206" i="10"/>
  <c r="U206" i="10"/>
  <c r="V206" i="10"/>
  <c r="W206" i="10"/>
  <c r="X206" i="10"/>
  <c r="Y206" i="10"/>
  <c r="Z206" i="10"/>
  <c r="AA206" i="10"/>
  <c r="AB206" i="10"/>
  <c r="AC206" i="10"/>
  <c r="AD206" i="10"/>
  <c r="AE206" i="10"/>
  <c r="AF206" i="10"/>
  <c r="M211" i="10"/>
  <c r="N211" i="10"/>
  <c r="O211" i="10"/>
  <c r="P211" i="10"/>
  <c r="Q211" i="10"/>
  <c r="R211" i="10"/>
  <c r="S211" i="10"/>
  <c r="T211" i="10"/>
  <c r="U211" i="10"/>
  <c r="V211" i="10"/>
  <c r="W211" i="10"/>
  <c r="X211" i="10"/>
  <c r="Y211" i="10"/>
  <c r="Z211" i="10"/>
  <c r="AA211" i="10"/>
  <c r="AB211" i="10"/>
  <c r="AC211" i="10"/>
  <c r="AD211" i="10"/>
  <c r="AE211" i="10"/>
  <c r="AF211" i="10"/>
  <c r="M215" i="10"/>
  <c r="N215" i="10"/>
  <c r="O215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AC215" i="10"/>
  <c r="AD215" i="10"/>
  <c r="AE215" i="10"/>
  <c r="AF215" i="10"/>
  <c r="M216" i="10"/>
  <c r="N216" i="10"/>
  <c r="O216" i="10"/>
  <c r="P216" i="10"/>
  <c r="Q216" i="10"/>
  <c r="R216" i="10"/>
  <c r="S216" i="10"/>
  <c r="T216" i="10"/>
  <c r="U216" i="10"/>
  <c r="V216" i="10"/>
  <c r="W216" i="10"/>
  <c r="X216" i="10"/>
  <c r="Y216" i="10"/>
  <c r="Z216" i="10"/>
  <c r="AA216" i="10"/>
  <c r="AB216" i="10"/>
  <c r="AC216" i="10"/>
  <c r="AD216" i="10"/>
  <c r="AE216" i="10"/>
  <c r="AF216" i="10"/>
  <c r="M217" i="10"/>
  <c r="N217" i="10"/>
  <c r="O217" i="10"/>
  <c r="P217" i="10"/>
  <c r="Q217" i="10"/>
  <c r="R217" i="10"/>
  <c r="S217" i="10"/>
  <c r="T217" i="10"/>
  <c r="U217" i="10"/>
  <c r="V217" i="10"/>
  <c r="W217" i="10"/>
  <c r="X217" i="10"/>
  <c r="Y217" i="10"/>
  <c r="Z217" i="10"/>
  <c r="AA217" i="10"/>
  <c r="AB217" i="10"/>
  <c r="AC217" i="10"/>
  <c r="AD217" i="10"/>
  <c r="AE217" i="10"/>
  <c r="AF217" i="10"/>
  <c r="M218" i="10"/>
  <c r="N218" i="10"/>
  <c r="O218" i="10"/>
  <c r="P218" i="10"/>
  <c r="Q218" i="10"/>
  <c r="R218" i="10"/>
  <c r="S218" i="10"/>
  <c r="T218" i="10"/>
  <c r="U218" i="10"/>
  <c r="V218" i="10"/>
  <c r="W218" i="10"/>
  <c r="X218" i="10"/>
  <c r="Y218" i="10"/>
  <c r="Z218" i="10"/>
  <c r="AA218" i="10"/>
  <c r="AB218" i="10"/>
  <c r="AC218" i="10"/>
  <c r="AD218" i="10"/>
  <c r="AE218" i="10"/>
  <c r="AF218" i="10"/>
  <c r="D254" i="10"/>
  <c r="E254" i="10"/>
  <c r="F254" i="10"/>
  <c r="G254" i="10"/>
  <c r="H254" i="10"/>
  <c r="I254" i="10"/>
  <c r="J254" i="10"/>
  <c r="K254" i="10"/>
  <c r="L254" i="10"/>
  <c r="M254" i="10"/>
  <c r="P255" i="10"/>
  <c r="D257" i="10"/>
  <c r="E257" i="10"/>
  <c r="F257" i="10"/>
  <c r="G257" i="10"/>
  <c r="H257" i="10"/>
  <c r="I257" i="10"/>
  <c r="J257" i="10"/>
  <c r="K257" i="10"/>
  <c r="L257" i="10"/>
  <c r="M257" i="10"/>
  <c r="D259" i="10"/>
  <c r="E259" i="10"/>
  <c r="F259" i="10"/>
  <c r="G259" i="10"/>
  <c r="H259" i="10"/>
  <c r="I259" i="10"/>
  <c r="J259" i="10"/>
  <c r="K259" i="10"/>
  <c r="L259" i="10"/>
  <c r="M259" i="10"/>
  <c r="Q260" i="10"/>
  <c r="R260" i="10"/>
  <c r="S260" i="10"/>
  <c r="T260" i="10"/>
  <c r="U260" i="10"/>
  <c r="Y260" i="10"/>
  <c r="Z260" i="10"/>
  <c r="AA260" i="10"/>
  <c r="AB260" i="10"/>
  <c r="AC260" i="10"/>
  <c r="Q261" i="10"/>
  <c r="R261" i="10"/>
  <c r="S261" i="10"/>
  <c r="T261" i="10"/>
  <c r="U261" i="10"/>
  <c r="Y261" i="10"/>
  <c r="Z261" i="10"/>
  <c r="AA261" i="10"/>
  <c r="AB261" i="10"/>
  <c r="AC261" i="10"/>
  <c r="D262" i="10"/>
  <c r="E262" i="10"/>
  <c r="F262" i="10"/>
  <c r="G262" i="10"/>
  <c r="H262" i="10"/>
  <c r="I262" i="10"/>
  <c r="J262" i="10"/>
  <c r="K262" i="10"/>
  <c r="L262" i="10"/>
  <c r="M262" i="10"/>
  <c r="Q262" i="10"/>
  <c r="R262" i="10"/>
  <c r="S262" i="10"/>
  <c r="T262" i="10"/>
  <c r="U262" i="10"/>
  <c r="Y262" i="10"/>
  <c r="Z262" i="10"/>
  <c r="AA262" i="10"/>
  <c r="AB262" i="10"/>
  <c r="AC262" i="10"/>
  <c r="Q263" i="10"/>
  <c r="R263" i="10"/>
  <c r="S263" i="10"/>
  <c r="T263" i="10"/>
  <c r="U263" i="10"/>
  <c r="Y263" i="10"/>
  <c r="Z263" i="10"/>
  <c r="AA263" i="10"/>
  <c r="AB263" i="10"/>
  <c r="AC263" i="10"/>
  <c r="D264" i="10"/>
  <c r="E264" i="10"/>
  <c r="F264" i="10"/>
  <c r="G264" i="10"/>
  <c r="H264" i="10"/>
  <c r="I264" i="10"/>
  <c r="J264" i="10"/>
  <c r="K264" i="10"/>
  <c r="L264" i="10"/>
  <c r="M264" i="10"/>
  <c r="Q264" i="10"/>
  <c r="R264" i="10"/>
  <c r="S264" i="10"/>
  <c r="T264" i="10"/>
  <c r="U264" i="10"/>
  <c r="Y264" i="10"/>
  <c r="Z264" i="10"/>
  <c r="AA264" i="10"/>
  <c r="AB264" i="10"/>
  <c r="AC264" i="10"/>
  <c r="C265" i="10"/>
  <c r="Q269" i="10"/>
  <c r="R269" i="10"/>
  <c r="S269" i="10"/>
  <c r="T269" i="10"/>
  <c r="U269" i="10"/>
  <c r="Q270" i="10"/>
  <c r="R270" i="10"/>
  <c r="S270" i="10"/>
  <c r="T270" i="10"/>
  <c r="U270" i="10"/>
  <c r="Q271" i="10"/>
  <c r="R271" i="10"/>
  <c r="S271" i="10"/>
  <c r="T271" i="10"/>
  <c r="U271" i="10"/>
  <c r="Q272" i="10"/>
  <c r="R272" i="10"/>
  <c r="S272" i="10"/>
  <c r="T272" i="10"/>
  <c r="U272" i="10"/>
  <c r="C273" i="10"/>
  <c r="Q273" i="10"/>
  <c r="R273" i="10"/>
  <c r="S273" i="10"/>
  <c r="T273" i="10"/>
  <c r="U273" i="10"/>
  <c r="C276" i="10"/>
  <c r="Q278" i="10"/>
  <c r="R278" i="10"/>
  <c r="S278" i="10"/>
  <c r="T278" i="10"/>
  <c r="U278" i="10"/>
  <c r="Y278" i="10"/>
  <c r="Z278" i="10"/>
  <c r="AA278" i="10"/>
  <c r="AB278" i="10"/>
  <c r="AC278" i="10"/>
  <c r="Q279" i="10"/>
  <c r="R279" i="10"/>
  <c r="S279" i="10"/>
  <c r="T279" i="10"/>
  <c r="U279" i="10"/>
  <c r="Y279" i="10"/>
  <c r="Z279" i="10"/>
  <c r="AA279" i="10"/>
  <c r="AB279" i="10"/>
  <c r="AC279" i="10"/>
  <c r="Q280" i="10"/>
  <c r="R280" i="10"/>
  <c r="S280" i="10"/>
  <c r="T280" i="10"/>
  <c r="U280" i="10"/>
  <c r="Y280" i="10"/>
  <c r="Z280" i="10"/>
  <c r="AA280" i="10"/>
  <c r="AB280" i="10"/>
  <c r="AC280" i="10"/>
  <c r="Q281" i="10"/>
  <c r="R281" i="10"/>
  <c r="S281" i="10"/>
  <c r="T281" i="10"/>
  <c r="U281" i="10"/>
  <c r="Y281" i="10"/>
  <c r="Z281" i="10"/>
  <c r="AA281" i="10"/>
  <c r="AB281" i="10"/>
  <c r="AC281" i="10"/>
  <c r="Q282" i="10"/>
  <c r="R282" i="10"/>
  <c r="S282" i="10"/>
  <c r="T282" i="10"/>
  <c r="U282" i="10"/>
  <c r="Y282" i="10"/>
  <c r="Z282" i="10"/>
  <c r="AA282" i="10"/>
  <c r="AB282" i="10"/>
  <c r="AC282" i="10"/>
  <c r="Q287" i="10"/>
  <c r="R287" i="10"/>
  <c r="S287" i="10"/>
  <c r="T287" i="10"/>
  <c r="U287" i="10"/>
  <c r="Y287" i="10"/>
  <c r="Z287" i="10"/>
  <c r="AA287" i="10"/>
  <c r="AB287" i="10"/>
  <c r="AC287" i="10"/>
  <c r="Q288" i="10"/>
  <c r="R288" i="10"/>
  <c r="S288" i="10"/>
  <c r="T288" i="10"/>
  <c r="U288" i="10"/>
  <c r="Y288" i="10"/>
  <c r="Z288" i="10"/>
  <c r="AA288" i="10"/>
  <c r="AB288" i="10"/>
  <c r="AC288" i="10"/>
  <c r="Q289" i="10"/>
  <c r="R289" i="10"/>
  <c r="S289" i="10"/>
  <c r="T289" i="10"/>
  <c r="U289" i="10"/>
  <c r="Y289" i="10"/>
  <c r="Z289" i="10"/>
  <c r="AA289" i="10"/>
  <c r="AB289" i="10"/>
  <c r="AC289" i="10"/>
  <c r="Q290" i="10"/>
  <c r="R290" i="10"/>
  <c r="S290" i="10"/>
  <c r="T290" i="10"/>
  <c r="U290" i="10"/>
  <c r="Y290" i="10"/>
  <c r="Z290" i="10"/>
  <c r="AA290" i="10"/>
  <c r="AB290" i="10"/>
  <c r="AC290" i="10"/>
  <c r="Q291" i="10"/>
  <c r="R291" i="10"/>
  <c r="S291" i="10"/>
  <c r="T291" i="10"/>
  <c r="U291" i="10"/>
  <c r="Y291" i="10"/>
  <c r="Z291" i="10"/>
  <c r="AA291" i="10"/>
  <c r="AB291" i="10"/>
  <c r="AC291" i="10"/>
</calcChain>
</file>

<file path=xl/comments1.xml><?xml version="1.0" encoding="utf-8"?>
<comments xmlns="http://schemas.openxmlformats.org/spreadsheetml/2006/main">
  <authors>
    <author>home</author>
  </authors>
  <commentList>
    <comment ref="B167" authorId="0">
      <text>
        <r>
          <rPr>
            <sz val="9"/>
            <color indexed="81"/>
            <rFont val="Tahoma"/>
            <family val="2"/>
          </rPr>
          <t>Use this switch to break the circ created by average interest expense on Income Statement</t>
        </r>
      </text>
    </comment>
  </commentList>
</comments>
</file>

<file path=xl/comments2.xml><?xml version="1.0" encoding="utf-8"?>
<comments xmlns="http://schemas.openxmlformats.org/spreadsheetml/2006/main">
  <authors>
    <author>NICO</author>
  </authors>
  <commentList>
    <comment ref="C4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US Dollars --&gt; 1
British Pounds --&gt; 2
Canadian Dollars --&gt; 3
Euros --&gt; 4
Japanese Yen --&gt; 5
Swedish Krona --&gt; 6</t>
        </r>
      </text>
    </comment>
    <comment ref="C5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Canada --&gt; ca
US -&gt; wwww</t>
        </r>
      </text>
    </comment>
    <comment ref="C13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Price (calculated by P/CF)=IF($D$5=FALSE,"-",D483*D488)</t>
        </r>
      </text>
    </comment>
  </commentList>
</comments>
</file>

<file path=xl/sharedStrings.xml><?xml version="1.0" encoding="utf-8"?>
<sst xmlns="http://schemas.openxmlformats.org/spreadsheetml/2006/main" count="1167" uniqueCount="631">
  <si>
    <t>TICKER</t>
  </si>
  <si>
    <t>CURRENCY</t>
  </si>
  <si>
    <t>STOCK-SPLIT CORRECTION</t>
  </si>
  <si>
    <t>HISTORICAL DATA</t>
  </si>
  <si>
    <t>ANNUAL DATA</t>
  </si>
  <si>
    <t>QUATERLY DATA</t>
  </si>
  <si>
    <t>MARKET DATA</t>
  </si>
  <si>
    <t>Nr. Shares outst. (millions)</t>
  </si>
  <si>
    <t>Diluted avg.shares (millions)</t>
  </si>
  <si>
    <t>Price (calculated by P/CF)</t>
  </si>
  <si>
    <t>Market Capital. (millions)</t>
  </si>
  <si>
    <t>PER SHARE DATA</t>
  </si>
  <si>
    <t>Earnings per share (diluted)</t>
  </si>
  <si>
    <t xml:space="preserve">     Growth 1 year</t>
  </si>
  <si>
    <t>Sales per share (diluted)</t>
  </si>
  <si>
    <t>Book Value per share (diluted)</t>
  </si>
  <si>
    <t>Cash Flow per share (diluted)</t>
  </si>
  <si>
    <t>Free Cash Flow per share (diluted)</t>
  </si>
  <si>
    <t>Enterprise Value per share (dilut.)</t>
  </si>
  <si>
    <t>Total Debt per share (diluted)</t>
  </si>
  <si>
    <t>Cash &amp; ST Investm. per share (dilut)</t>
  </si>
  <si>
    <t>VALUATION RATIOS</t>
  </si>
  <si>
    <t>Closing PE Ratio (Diluted)</t>
  </si>
  <si>
    <t xml:space="preserve">   High PE Ratio</t>
  </si>
  <si>
    <t xml:space="preserve">   Low PE Ratio</t>
  </si>
  <si>
    <t>Price/Sales (Dilut. exc.quarter data)</t>
  </si>
  <si>
    <t>Price/Book (Diluted)</t>
  </si>
  <si>
    <t>Price/Cash Flow (Dil. exc.qurt.data)</t>
  </si>
  <si>
    <t>Price/Free Cash Flow (Idem)</t>
  </si>
  <si>
    <t>Price/Entreprise Value (Diluted)</t>
  </si>
  <si>
    <t>Entreprise Value/ FCF</t>
  </si>
  <si>
    <t>MANAGEMENT PERFORMANCE</t>
  </si>
  <si>
    <t>Revenues (1)</t>
  </si>
  <si>
    <t>Pretax Income (2)</t>
  </si>
  <si>
    <t>Net Income (3)</t>
  </si>
  <si>
    <t>Total Assets (4)</t>
  </si>
  <si>
    <t>Shareholders equity (5)</t>
  </si>
  <si>
    <t>Long term debt (6)</t>
  </si>
  <si>
    <t>Pretax Margin % (2/1)</t>
  </si>
  <si>
    <t>x Tax Retention % (3/2)</t>
  </si>
  <si>
    <t>= Profit Margin % (3/1)</t>
  </si>
  <si>
    <t>x Assets Utilization (1/4)</t>
  </si>
  <si>
    <t>= ROA % (3/4)</t>
  </si>
  <si>
    <t>x Leverage (4/5)</t>
  </si>
  <si>
    <t>= ROE % (3/5)</t>
  </si>
  <si>
    <t>ROI % (3/5+6)</t>
  </si>
  <si>
    <t>RETURN ON INVESTED CAPITAL</t>
  </si>
  <si>
    <t>Operating profit (1)</t>
  </si>
  <si>
    <t>After-tax operat.profit (3=1-2)</t>
  </si>
  <si>
    <t>Total assets (4)</t>
  </si>
  <si>
    <t>Goodwill (5)</t>
  </si>
  <si>
    <t>Net assets (6=4-5)</t>
  </si>
  <si>
    <t>Non-interest liabilities (7)</t>
  </si>
  <si>
    <t>Assets - Liabilities (8=6-7)</t>
  </si>
  <si>
    <t>ROIC % (9=3/8)</t>
  </si>
  <si>
    <t>DATA EVOLUTION</t>
  </si>
  <si>
    <t>Revenue</t>
  </si>
  <si>
    <t>Cost of sales</t>
  </si>
  <si>
    <t>Gross profit</t>
  </si>
  <si>
    <t>Operating profit</t>
  </si>
  <si>
    <t>EBITDA</t>
  </si>
  <si>
    <t>Raw materials + WIP Inventories</t>
  </si>
  <si>
    <t>Finished goods inventories</t>
  </si>
  <si>
    <t>Receivables</t>
  </si>
  <si>
    <t>Payables</t>
  </si>
  <si>
    <t>Net Assets</t>
  </si>
  <si>
    <t>DIO Days inventories outst.</t>
  </si>
  <si>
    <t>DSO Days sales outstand.</t>
  </si>
  <si>
    <t>DPO Days payable outstand.</t>
  </si>
  <si>
    <t>CCC Cash conversion cycle</t>
  </si>
  <si>
    <t>Inventory turnover</t>
  </si>
  <si>
    <t>Receivables turnover</t>
  </si>
  <si>
    <t>Assets turnover</t>
  </si>
  <si>
    <t>FINANTIAL HEALTH</t>
  </si>
  <si>
    <t>Current Ratio</t>
  </si>
  <si>
    <t>Quick Ratio</t>
  </si>
  <si>
    <t>Total Debt/Equity</t>
  </si>
  <si>
    <t>LT Debt/Equity</t>
  </si>
  <si>
    <t>Enterprise Value</t>
  </si>
  <si>
    <t>Market capitalization</t>
  </si>
  <si>
    <t>Long term debt</t>
  </si>
  <si>
    <t>Cash &amp; Investments</t>
  </si>
  <si>
    <t>Free Cash Flow</t>
  </si>
  <si>
    <t>Capex quarter sequence control I</t>
  </si>
  <si>
    <t>Operating cash flow (quarter)</t>
  </si>
  <si>
    <t>Capital expenditures (quarter)</t>
  </si>
  <si>
    <t>Operating cash flow (TTM)</t>
  </si>
  <si>
    <t>Impure numbers</t>
  </si>
  <si>
    <t>Capital Expenditures (TTM)</t>
  </si>
  <si>
    <t>Flow Ratio</t>
  </si>
  <si>
    <t>Current Assets</t>
  </si>
  <si>
    <t>Cash &amp; Equival. + St Investm.</t>
  </si>
  <si>
    <t>Current Liabilities</t>
  </si>
  <si>
    <t>Short term debt</t>
  </si>
  <si>
    <t>Cash King Margin</t>
  </si>
  <si>
    <t>Sales</t>
  </si>
  <si>
    <t>Cash to Debt</t>
  </si>
  <si>
    <t>Cash &amp; Equivalents</t>
  </si>
  <si>
    <t>Total Debt</t>
  </si>
  <si>
    <t>EFICIENCY</t>
  </si>
  <si>
    <t>Receivables as % revenues</t>
  </si>
  <si>
    <t>SG&amp;A as % revenues</t>
  </si>
  <si>
    <t>R&amp;D as % revenues</t>
  </si>
  <si>
    <t>PROFITABILITY</t>
  </si>
  <si>
    <t>Gross margin</t>
  </si>
  <si>
    <t>Operating margin</t>
  </si>
  <si>
    <t>Profit margin</t>
  </si>
  <si>
    <t>BALANCE SHEET DATA</t>
  </si>
  <si>
    <t>Short term investments</t>
  </si>
  <si>
    <t>Trade account receivables</t>
  </si>
  <si>
    <t xml:space="preserve">     Invent: Raw materials + WIP</t>
  </si>
  <si>
    <t xml:space="preserve">     Invent: Finished goods</t>
  </si>
  <si>
    <t>Inventories</t>
  </si>
  <si>
    <t>Prepaid exp. &amp; others</t>
  </si>
  <si>
    <t xml:space="preserve">     Tangible assets</t>
  </si>
  <si>
    <t xml:space="preserve">     Amortizations</t>
  </si>
  <si>
    <t>Net fixed assets</t>
  </si>
  <si>
    <t>Goodwill/Intangibles</t>
  </si>
  <si>
    <t>Other assets</t>
  </si>
  <si>
    <t>Total Fixed Assets</t>
  </si>
  <si>
    <t>ASSETS</t>
  </si>
  <si>
    <t>Accounts payable</t>
  </si>
  <si>
    <t>Accrued exp. &amp; others</t>
  </si>
  <si>
    <t>Other long term liabilities</t>
  </si>
  <si>
    <t>Long Term Liabilities</t>
  </si>
  <si>
    <t>LIABILITIES</t>
  </si>
  <si>
    <t>Preferred stock</t>
  </si>
  <si>
    <t>Retained earnings</t>
  </si>
  <si>
    <t>Other common Stock</t>
  </si>
  <si>
    <t>EQUITY</t>
  </si>
  <si>
    <t>LIABILITIES &amp; EQUITY</t>
  </si>
  <si>
    <t>INCOME DATA</t>
  </si>
  <si>
    <t>Total Revenue</t>
  </si>
  <si>
    <t>Cost of Revenue</t>
  </si>
  <si>
    <t>Gross Profit</t>
  </si>
  <si>
    <t>Selling/General/Adm.exp.</t>
  </si>
  <si>
    <t>Research &amp; Development</t>
  </si>
  <si>
    <t>Depreciation/Amortization</t>
  </si>
  <si>
    <t>Other</t>
  </si>
  <si>
    <t>Other expenses (income)</t>
  </si>
  <si>
    <t>EBIT</t>
  </si>
  <si>
    <t>Net income before tax</t>
  </si>
  <si>
    <t>Income Tax</t>
  </si>
  <si>
    <t>Net income total</t>
  </si>
  <si>
    <t>Net income continuing ops.</t>
  </si>
  <si>
    <t>Net income discontin. ops.</t>
  </si>
  <si>
    <t>Common shares outstanding</t>
  </si>
  <si>
    <t>Diluted avg.shares</t>
  </si>
  <si>
    <t>EPS (Common)</t>
  </si>
  <si>
    <t>EPS (Diluted)</t>
  </si>
  <si>
    <t>CASH FLOW DATA</t>
  </si>
  <si>
    <t>Net income</t>
  </si>
  <si>
    <t>Deprec. &amp; Amort. &amp; Prov.</t>
  </si>
  <si>
    <t>Other operating cash flows</t>
  </si>
  <si>
    <t>Net cash from disc. operations</t>
  </si>
  <si>
    <t>Cash from operations</t>
  </si>
  <si>
    <t>Propertty,plant &amp; equip. sales</t>
  </si>
  <si>
    <t>Propertty,plant &amp; equip. purchases</t>
  </si>
  <si>
    <t>Acquisitions</t>
  </si>
  <si>
    <t>Purchase/sales LT/ST investments</t>
  </si>
  <si>
    <t>Other invest. cash flows</t>
  </si>
  <si>
    <t>Cash from investing</t>
  </si>
  <si>
    <t>Issuance of debt</t>
  </si>
  <si>
    <t>Repayment LT debt</t>
  </si>
  <si>
    <t>Issuance of capital stock</t>
  </si>
  <si>
    <t>Repurchase of capital stock</t>
  </si>
  <si>
    <t>Payment cash dividends</t>
  </si>
  <si>
    <t>Other financing cash flows</t>
  </si>
  <si>
    <t>Cash from financing</t>
  </si>
  <si>
    <t>Effect exchange rate changes</t>
  </si>
  <si>
    <t>Net change in cash</t>
  </si>
  <si>
    <t>Total sales</t>
  </si>
  <si>
    <t xml:space="preserve">   Foreign sales</t>
  </si>
  <si>
    <t xml:space="preserve">   Domestic sales</t>
  </si>
  <si>
    <t>RAW FINANCIAL DATA</t>
  </si>
  <si>
    <t>Annual</t>
  </si>
  <si>
    <t>Quarterly</t>
  </si>
  <si>
    <t>INDICATORS</t>
  </si>
  <si>
    <t>F</t>
  </si>
  <si>
    <t>N</t>
  </si>
  <si>
    <t>S</t>
  </si>
  <si>
    <t>Q</t>
  </si>
  <si>
    <t>Y</t>
  </si>
  <si>
    <t>0000-00-00</t>
  </si>
  <si>
    <t>INCOME STATEMENT</t>
  </si>
  <si>
    <t>INCOME STATEMENT (YEAR-TO-DATE)</t>
  </si>
  <si>
    <t>BALANCE SHEET (ASSETS)</t>
  </si>
  <si>
    <t>BALANCE SHEET (EQUITY &amp; LIABILITIES)</t>
  </si>
  <si>
    <t>CASH-FLOW STATEMENT (OPERATING ACTIVITIES)</t>
  </si>
  <si>
    <t>CASH-FLOW STATEMENT (INVESTING ACTIVITIES)</t>
  </si>
  <si>
    <t>CASH-FLOW STATEMENT (FINANCING ACTIVITIES)</t>
  </si>
  <si>
    <t>CASH-FLOW STATEMENT (NET CASH FLOW)</t>
  </si>
  <si>
    <t>RATIOS CALCULATIONS (PROFIT MARGINS)</t>
  </si>
  <si>
    <t>RATIOS CALCULATIONS (NORMALIZED RATIOS)</t>
  </si>
  <si>
    <t>RATIOS CALCULATIONS (SOLVENCY RATIOS)</t>
  </si>
  <si>
    <t>RATIOS CALCULATIONS (EFFICIENCY RATIOS)</t>
  </si>
  <si>
    <t>RATIOS CALCULATIONS (ACTIVITY RATIOS)</t>
  </si>
  <si>
    <t>RATIOS CALCULATIONS (LIQUIDITY RATIOS)</t>
  </si>
  <si>
    <t>RATIOS CALCULATIONS (CAPITAL STRUCTURE RATIOS)</t>
  </si>
  <si>
    <t>RATIOS CALCULATIONS (PROFITABILITY)</t>
  </si>
  <si>
    <t>RATIOS CALCULATIONS (AGAINST THE INDUSTRY RATIOS)</t>
  </si>
  <si>
    <t>HISTORICAL ANALYSIS</t>
  </si>
  <si>
    <t>Return on Assets (ROA)</t>
  </si>
  <si>
    <t>Return on Capital Invested (ROCI)</t>
  </si>
  <si>
    <t>date preliminary data loaded</t>
  </si>
  <si>
    <t>earnings period indicator</t>
  </si>
  <si>
    <t>quarterly indicator</t>
  </si>
  <si>
    <t>basic earnings indicator</t>
  </si>
  <si>
    <t>template indicator</t>
  </si>
  <si>
    <t>preliminary full context ind</t>
  </si>
  <si>
    <t>projected fiscal year date</t>
  </si>
  <si>
    <t>number of months last report period</t>
  </si>
  <si>
    <t>operating revenue</t>
  </si>
  <si>
    <t>total revenue</t>
  </si>
  <si>
    <t>adjustments to revenue</t>
  </si>
  <si>
    <t>cost of sales</t>
  </si>
  <si>
    <t>cost of sales with depreciation</t>
  </si>
  <si>
    <t>gross margin</t>
  </si>
  <si>
    <t>gross operating profit</t>
  </si>
  <si>
    <t>Research &amp; Development (R&amp;D) Expense</t>
  </si>
  <si>
    <t>Selling, General &amp; Administrative (SG&amp;A) Expense</t>
  </si>
  <si>
    <t>advertising</t>
  </si>
  <si>
    <t>operating income</t>
  </si>
  <si>
    <t>depreciation</t>
  </si>
  <si>
    <t>depreciation (unrecognized)</t>
  </si>
  <si>
    <t>amortization</t>
  </si>
  <si>
    <t>amortization of intangibles</t>
  </si>
  <si>
    <t>operating profit after depreciation</t>
  </si>
  <si>
    <t>interest income</t>
  </si>
  <si>
    <t>earnings from equity interest</t>
  </si>
  <si>
    <t>other income net</t>
  </si>
  <si>
    <t>income, acquired in process r&amp;a</t>
  </si>
  <si>
    <t>Income, Restructuring and M&amp;A</t>
  </si>
  <si>
    <t>other special charges</t>
  </si>
  <si>
    <t>special income charges</t>
  </si>
  <si>
    <t>interest expense</t>
  </si>
  <si>
    <t>pre-tax income</t>
  </si>
  <si>
    <t>income taxes</t>
  </si>
  <si>
    <t>minority interest</t>
  </si>
  <si>
    <t>pref. securities of subsid. trust</t>
  </si>
  <si>
    <t>income before income taxes</t>
  </si>
  <si>
    <t>net income (continuing operations)</t>
  </si>
  <si>
    <t>net income (discontinued operations)</t>
  </si>
  <si>
    <t>net income (total operations)</t>
  </si>
  <si>
    <t>extraordinary income/losses</t>
  </si>
  <si>
    <t>income from cum. effect of acct. change</t>
  </si>
  <si>
    <t>income from tax loss carryforward</t>
  </si>
  <si>
    <t>other gains/losses</t>
  </si>
  <si>
    <t>total net income</t>
  </si>
  <si>
    <t>normalized income</t>
  </si>
  <si>
    <t>net income available for common</t>
  </si>
  <si>
    <t>preferred dividends</t>
  </si>
  <si>
    <t>excise taxes</t>
  </si>
  <si>
    <t>Basic EPS (Continuing)</t>
  </si>
  <si>
    <t>Basic EPS (Discontinued)</t>
  </si>
  <si>
    <t>Basic EPS from Total Operations</t>
  </si>
  <si>
    <t>Basic EPS (Extraordinary Items)</t>
  </si>
  <si>
    <t>Basic EPS (Cum. Effect of Acct. Change)</t>
  </si>
  <si>
    <t>Basic EPS (Tax Loss Carry Forward)</t>
  </si>
  <si>
    <t>Basic EPS (Other Gains/Losses)</t>
  </si>
  <si>
    <t>Basic EPS - Total</t>
  </si>
  <si>
    <t>Basic EPS - Normalized</t>
  </si>
  <si>
    <t>Diluted EPS (Continuing)</t>
  </si>
  <si>
    <t>Diluted EPS (Discontinued)</t>
  </si>
  <si>
    <t>Diluted EPS from Total Operations</t>
  </si>
  <si>
    <t>Diluted EPS (Extraordinary)</t>
  </si>
  <si>
    <t>Diluted EPS (Cum. Effect of Acct. Change)</t>
  </si>
  <si>
    <t>Diluted EPS (Tax Loss Carry Forward)</t>
  </si>
  <si>
    <t>Diluted EPS (Other Gains/Losses)</t>
  </si>
  <si>
    <t>Diluted EPS - Total</t>
  </si>
  <si>
    <t>Diluted EPS - Normalized</t>
  </si>
  <si>
    <t>Dividends Paid Per Share (DPS)</t>
  </si>
  <si>
    <t>Revenue (YTD)</t>
  </si>
  <si>
    <t>Net Income from Total Operations (YTD)</t>
  </si>
  <si>
    <t>EPS from Total Operations (YTD)</t>
  </si>
  <si>
    <t>Dividends Paid Per Share (YTD)</t>
  </si>
  <si>
    <t>cash &amp; equivalents</t>
  </si>
  <si>
    <t>restricted cash</t>
  </si>
  <si>
    <t>marketable securities</t>
  </si>
  <si>
    <t>accounts receivable</t>
  </si>
  <si>
    <t>loans receivable</t>
  </si>
  <si>
    <t>other receivable</t>
  </si>
  <si>
    <t>receivables</t>
  </si>
  <si>
    <t>inventories, raw materials</t>
  </si>
  <si>
    <t>inventories, work in progress</t>
  </si>
  <si>
    <t>inventories, purchased components</t>
  </si>
  <si>
    <t>inventories, finished goods</t>
  </si>
  <si>
    <t>inventories, other</t>
  </si>
  <si>
    <t>inventories, adjustments &amp; allowances</t>
  </si>
  <si>
    <t>inventories</t>
  </si>
  <si>
    <t>prepaid expenses</t>
  </si>
  <si>
    <t>current defered income taxes</t>
  </si>
  <si>
    <t>other current assets</t>
  </si>
  <si>
    <t>total current assets</t>
  </si>
  <si>
    <t>land and improvements</t>
  </si>
  <si>
    <t>building and improvements</t>
  </si>
  <si>
    <t>machinery, furniture &amp; equipment</t>
  </si>
  <si>
    <t>construction in progress</t>
  </si>
  <si>
    <t>other fixed assets</t>
  </si>
  <si>
    <t>total fixed assets</t>
  </si>
  <si>
    <t>gross fixed assets</t>
  </si>
  <si>
    <t>accumulated depreciation</t>
  </si>
  <si>
    <t>net fixed assets</t>
  </si>
  <si>
    <t>intangibles</t>
  </si>
  <si>
    <t>cost in excess</t>
  </si>
  <si>
    <t>non-current deferred income taxes</t>
  </si>
  <si>
    <t>other non-current assets</t>
  </si>
  <si>
    <t>total non-current assets</t>
  </si>
  <si>
    <t>total assets</t>
  </si>
  <si>
    <t>inventory valuation method</t>
  </si>
  <si>
    <t>accounts payable</t>
  </si>
  <si>
    <t>notes payable</t>
  </si>
  <si>
    <t>short-term debt</t>
  </si>
  <si>
    <t>accrued expenses</t>
  </si>
  <si>
    <t>accrued liabilities</t>
  </si>
  <si>
    <t>deferred revenues</t>
  </si>
  <si>
    <t>current deferred income taxes</t>
  </si>
  <si>
    <t>other current liabilities</t>
  </si>
  <si>
    <t>total current liabilities</t>
  </si>
  <si>
    <t>long-term debt</t>
  </si>
  <si>
    <t>capital lease obligations</t>
  </si>
  <si>
    <t>deferred income taxes</t>
  </si>
  <si>
    <t>other non-current liabilities</t>
  </si>
  <si>
    <t>minority interest liability</t>
  </si>
  <si>
    <t>preferred secur. of subsid. trust</t>
  </si>
  <si>
    <t>preferred equity outside stock equity</t>
  </si>
  <si>
    <t>total non-current liabilities</t>
  </si>
  <si>
    <t>total liabilities</t>
  </si>
  <si>
    <t>preferred stock equity</t>
  </si>
  <si>
    <t>common stock equity</t>
  </si>
  <si>
    <t>common par</t>
  </si>
  <si>
    <t>additional paid-in capital</t>
  </si>
  <si>
    <t>cumulative translation adjustments</t>
  </si>
  <si>
    <t>retained earnings</t>
  </si>
  <si>
    <t>treasury stock</t>
  </si>
  <si>
    <t>other equity adjustments</t>
  </si>
  <si>
    <t>total capitalization</t>
  </si>
  <si>
    <t>total equity</t>
  </si>
  <si>
    <t>total liabilities &amp; stock equity</t>
  </si>
  <si>
    <t>cash flow</t>
  </si>
  <si>
    <t>working capital</t>
  </si>
  <si>
    <t>free cash flow</t>
  </si>
  <si>
    <t>invested capital</t>
  </si>
  <si>
    <t>shares out (common class only)</t>
  </si>
  <si>
    <t>preferred shares</t>
  </si>
  <si>
    <t>total ordinary shares</t>
  </si>
  <si>
    <t>total common shares out</t>
  </si>
  <si>
    <t>treasury shares</t>
  </si>
  <si>
    <t>basic weighted shares</t>
  </si>
  <si>
    <t>diluted weighted shares</t>
  </si>
  <si>
    <t>number of employees</t>
  </si>
  <si>
    <t>number of part-time employees</t>
  </si>
  <si>
    <t>net income/loss</t>
  </si>
  <si>
    <t>operating gains</t>
  </si>
  <si>
    <t>extraordinary gains</t>
  </si>
  <si>
    <t>(increase) decrease in receivables</t>
  </si>
  <si>
    <t>(increase) decrease in inventories</t>
  </si>
  <si>
    <t>(increase) decrease in prepaid expenses</t>
  </si>
  <si>
    <t>(increase) decrease in other current assets</t>
  </si>
  <si>
    <t>decrease (increase) in payables</t>
  </si>
  <si>
    <t>decrease (increase) in other current liabilities</t>
  </si>
  <si>
    <t>decrease (increase) in other working capital</t>
  </si>
  <si>
    <t>other non-cash items</t>
  </si>
  <si>
    <t>net cash from continuing operations</t>
  </si>
  <si>
    <t>net cash from discontinued operations</t>
  </si>
  <si>
    <t>net cash from total operating activities</t>
  </si>
  <si>
    <t>sale of property, plant &amp; equipment</t>
  </si>
  <si>
    <t>sale of long-term investments</t>
  </si>
  <si>
    <t>sale of short-term investments</t>
  </si>
  <si>
    <t>purchase of property, plant &amp; equipment</t>
  </si>
  <si>
    <t>acquisitions</t>
  </si>
  <si>
    <t>purchase of long-term investments</t>
  </si>
  <si>
    <t>purchase of  short-term investments</t>
  </si>
  <si>
    <t>other investing changes, net</t>
  </si>
  <si>
    <t>cash from discontinued investing activities</t>
  </si>
  <si>
    <t>net cash from investing activities</t>
  </si>
  <si>
    <t>issuance of debt</t>
  </si>
  <si>
    <t>issuance of capital stock</t>
  </si>
  <si>
    <t>repayment of long-term debt</t>
  </si>
  <si>
    <t>repurchase of capital stock</t>
  </si>
  <si>
    <t>payment of cash dividends</t>
  </si>
  <si>
    <t>other financing charges, net</t>
  </si>
  <si>
    <t>cash from discontinued financing activities</t>
  </si>
  <si>
    <t>net cash from financing activities</t>
  </si>
  <si>
    <t>effect exchange rate changes</t>
  </si>
  <si>
    <t>net change in cash &amp; equivalents</t>
  </si>
  <si>
    <t>cash at beginning of period</t>
  </si>
  <si>
    <t>cash end of period</t>
  </si>
  <si>
    <t>foreign sales</t>
  </si>
  <si>
    <t>domestic sales</t>
  </si>
  <si>
    <t>auditor name</t>
  </si>
  <si>
    <t>auditor report</t>
  </si>
  <si>
    <t>Close PE Ratio</t>
  </si>
  <si>
    <t>High PE Ratio</t>
  </si>
  <si>
    <t>Low PE Ratio</t>
  </si>
  <si>
    <t>gross profit margin</t>
  </si>
  <si>
    <t>pre-tax profit margin</t>
  </si>
  <si>
    <t>post-tax profit margin</t>
  </si>
  <si>
    <t>net profit margin</t>
  </si>
  <si>
    <t>interest coverage (cont. operations)</t>
  </si>
  <si>
    <t>interest as % of invested capital</t>
  </si>
  <si>
    <t>effective tax rate</t>
  </si>
  <si>
    <t>income per employee</t>
  </si>
  <si>
    <t>Normalized Close PE Ratio</t>
  </si>
  <si>
    <t>Normalized High PE Ratio</t>
  </si>
  <si>
    <t>Normalized Low PE Ratio</t>
  </si>
  <si>
    <t>normalized net profit margin</t>
  </si>
  <si>
    <t>Normalized ROE</t>
  </si>
  <si>
    <t>Normalized ROA</t>
  </si>
  <si>
    <t>Normalized ROCI</t>
  </si>
  <si>
    <t>normalized income per employee</t>
  </si>
  <si>
    <t>quick ratio</t>
  </si>
  <si>
    <t>current ratio</t>
  </si>
  <si>
    <t>payout ratio</t>
  </si>
  <si>
    <t>total debt/equity ratio</t>
  </si>
  <si>
    <t>long-term debt/total capital</t>
  </si>
  <si>
    <t>leverage ratio</t>
  </si>
  <si>
    <t>asset turnover</t>
  </si>
  <si>
    <t>cash as % of revenue</t>
  </si>
  <si>
    <t>receivables as % of revenue</t>
  </si>
  <si>
    <t>SG&amp;A as % of Revenue</t>
  </si>
  <si>
    <t>R&amp;D as % of Revenue</t>
  </si>
  <si>
    <t>revenue per $ cash</t>
  </si>
  <si>
    <t>revenue per $  plant (net)</t>
  </si>
  <si>
    <t>revenue per $ common equity</t>
  </si>
  <si>
    <t>revenue per $ invested capital</t>
  </si>
  <si>
    <t>receivables turnover</t>
  </si>
  <si>
    <t>inventory turnover</t>
  </si>
  <si>
    <t>receivables per day sales</t>
  </si>
  <si>
    <t>sales per $ receivables</t>
  </si>
  <si>
    <t>sales per $ inventory</t>
  </si>
  <si>
    <t>revenue/assets</t>
  </si>
  <si>
    <t>number of days cost of goods in inventory</t>
  </si>
  <si>
    <t>current assets per share</t>
  </si>
  <si>
    <t>total assets per share</t>
  </si>
  <si>
    <t>intangibles as % of book-value</t>
  </si>
  <si>
    <t>inventory as % of revenue</t>
  </si>
  <si>
    <t>long-term debt per share</t>
  </si>
  <si>
    <t>current liabilities per share</t>
  </si>
  <si>
    <t>cash per share</t>
  </si>
  <si>
    <t>LT-Debt to Equity Ratio</t>
  </si>
  <si>
    <t>LT-Debt as % of Invested Capital</t>
  </si>
  <si>
    <t>LT-Debt as % of Total Debt</t>
  </si>
  <si>
    <t>total debt as % total assets</t>
  </si>
  <si>
    <t>working captial as % of equity</t>
  </si>
  <si>
    <t>revenue per share</t>
  </si>
  <si>
    <t>book value per share</t>
  </si>
  <si>
    <t>tangible book value per share</t>
  </si>
  <si>
    <t>price/revenue ratio</t>
  </si>
  <si>
    <t>price/equity ratio</t>
  </si>
  <si>
    <t>price/tangible book ratio</t>
  </si>
  <si>
    <t>working capital as % of price</t>
  </si>
  <si>
    <t>working capital per share</t>
  </si>
  <si>
    <t>cash flow per share</t>
  </si>
  <si>
    <t>free cash flow per share</t>
  </si>
  <si>
    <t>Return on Stock Equity (ROE)</t>
  </si>
  <si>
    <t>price/cash flow ratio</t>
  </si>
  <si>
    <t>price/free cash flow ratio</t>
  </si>
  <si>
    <t>sales per employee</t>
  </si>
  <si>
    <t>% of sales-to-industry</t>
  </si>
  <si>
    <t>% of earnings-to-industry</t>
  </si>
  <si>
    <t>% of EPS-to-Industry</t>
  </si>
  <si>
    <t>% of price-to-industry</t>
  </si>
  <si>
    <t>% of PE-to-Industry</t>
  </si>
  <si>
    <t>% of price/book-to-industry</t>
  </si>
  <si>
    <t>% of price/sales-to-industry</t>
  </si>
  <si>
    <t>% of price/cashflow-to-industry</t>
  </si>
  <si>
    <t>% of pric/free cashlow-to-industry</t>
  </si>
  <si>
    <t>% of debt/equity-to-industry</t>
  </si>
  <si>
    <t>% of current ratio-to-industry</t>
  </si>
  <si>
    <t>% of gross profit margin-to-industry</t>
  </si>
  <si>
    <t>% of pre-tax profit margin-to-industry</t>
  </si>
  <si>
    <t>% of post-tax profit margin-to-industry</t>
  </si>
  <si>
    <t>% of net profit margin-to-industry</t>
  </si>
  <si>
    <t>% of ROE-to-Industry</t>
  </si>
  <si>
    <t>% of leverage-to-industry</t>
  </si>
  <si>
    <t>year end date</t>
  </si>
  <si>
    <t>UQ</t>
  </si>
  <si>
    <t xml:space="preserve">-- </t>
  </si>
  <si>
    <t>CONNECTION</t>
  </si>
  <si>
    <t>START DATE</t>
  </si>
  <si>
    <t>END DATE</t>
  </si>
  <si>
    <t>MSFT</t>
  </si>
  <si>
    <t>SCORECARD</t>
  </si>
  <si>
    <t>MAGIC FORMULA INVESTING</t>
  </si>
  <si>
    <t>Earnings Yield</t>
  </si>
  <si>
    <t>Return on Capital</t>
  </si>
  <si>
    <t>CONTROL</t>
  </si>
  <si>
    <t>HISTORICAL INCOME STATEMENT</t>
  </si>
  <si>
    <t>Revenue Growth Rate %</t>
  </si>
  <si>
    <t>Cost of Goods Sold</t>
  </si>
  <si>
    <t>SG&amp;A + R&amp;D Expense</t>
  </si>
  <si>
    <t>Depreciation &amp; Amortization Expense</t>
  </si>
  <si>
    <t>Operating Profit</t>
  </si>
  <si>
    <t>Non-Operating Income (Expense)</t>
  </si>
  <si>
    <t>Interest Expense</t>
  </si>
  <si>
    <t>Effective Interest Rate</t>
  </si>
  <si>
    <t>Pre-Tax Income</t>
  </si>
  <si>
    <t>Effective Tax Rate</t>
  </si>
  <si>
    <t>After Tax Adjustments</t>
  </si>
  <si>
    <t>Net Income</t>
  </si>
  <si>
    <t>HISTORICAL BALANCE SHEET</t>
  </si>
  <si>
    <t>Cash &amp; Cash Equivalents (ST Inv)</t>
  </si>
  <si>
    <t>Total Accounts Receivable</t>
  </si>
  <si>
    <t>Other Current Assets</t>
  </si>
  <si>
    <t>Total Current Assets</t>
  </si>
  <si>
    <t>Property, Plant &amp; Equipment - Gross</t>
  </si>
  <si>
    <t>Accumulated Depreciation</t>
  </si>
  <si>
    <t>Net Property, Plant &amp; Equipment</t>
  </si>
  <si>
    <t>Intangible Assets (Including Goodwill)</t>
  </si>
  <si>
    <t>Other Non-Current Assets</t>
  </si>
  <si>
    <t>Total Assets</t>
  </si>
  <si>
    <t>EQUITY &amp; LIABILITIES</t>
  </si>
  <si>
    <t>Accounts Payable</t>
  </si>
  <si>
    <t>Short Term Debt &amp; Current Portion of LT Debt</t>
  </si>
  <si>
    <t>Other Current Liabilities</t>
  </si>
  <si>
    <t>Total Current Liabilities</t>
  </si>
  <si>
    <t>Long Term Debt</t>
  </si>
  <si>
    <t>LTD / Last Years Assets</t>
  </si>
  <si>
    <t>Deferred Taxes</t>
  </si>
  <si>
    <t>Deferred Taxes / Gross PPE</t>
  </si>
  <si>
    <t>Capital Lease Obligations</t>
  </si>
  <si>
    <t>Minority Interest Liability</t>
  </si>
  <si>
    <t>Other Non- Current Liabilities</t>
  </si>
  <si>
    <t>Total Liabilities</t>
  </si>
  <si>
    <t>Par + APIC - Treasury (&amp; Other Adjustments)</t>
  </si>
  <si>
    <t>Retained Earnings</t>
  </si>
  <si>
    <t>Preferred Stock</t>
  </si>
  <si>
    <t>Total Equity</t>
  </si>
  <si>
    <t>Liabilities &amp; Shareholder's Equity</t>
  </si>
  <si>
    <t>HISTORICAL CASH-FLOW STATEMENT</t>
  </si>
  <si>
    <t>FINANCING ACTIVITIES</t>
  </si>
  <si>
    <t>dividend payout ratio</t>
  </si>
  <si>
    <t>HISTORICAL FINANCIAL SUMMARY</t>
  </si>
  <si>
    <t>3YA</t>
  </si>
  <si>
    <t>5YA</t>
  </si>
  <si>
    <t>7YA</t>
  </si>
  <si>
    <t>10YA</t>
  </si>
  <si>
    <t>MR</t>
  </si>
  <si>
    <t>10Yr STDEV</t>
  </si>
  <si>
    <t>Start</t>
  </si>
  <si>
    <t>End</t>
  </si>
  <si>
    <t>T</t>
  </si>
  <si>
    <t>^</t>
  </si>
  <si>
    <t>Cost of Goods Sold % of Sales</t>
  </si>
  <si>
    <t>SG&amp;A + R&amp;D Expense % of Sales</t>
  </si>
  <si>
    <t>Depreciation &amp; Amortization Expense % of Gross PPE</t>
  </si>
  <si>
    <t>Accumulated Depreciation % of Gross PPE</t>
  </si>
  <si>
    <t>After Tax Adjustments % of Sales</t>
  </si>
  <si>
    <t>Non-Operating Income (Expense) % of Sales</t>
  </si>
  <si>
    <t>Cash &amp; Cash Equivalents (ST Inv) % of Sales</t>
  </si>
  <si>
    <t>Inventories % of Sales</t>
  </si>
  <si>
    <t>Total Accounts Receivable % of Sales</t>
  </si>
  <si>
    <t>Other Current Assets % of Sales</t>
  </si>
  <si>
    <t>Property, Plant &amp; Equipment - Gross % of Sales</t>
  </si>
  <si>
    <t>Other Non-Current Assets % of Sales</t>
  </si>
  <si>
    <t>Accounts Payable % of Sales</t>
  </si>
  <si>
    <t>Minority Interest Liability % of Sales</t>
  </si>
  <si>
    <t>Other Non- Current Liabilities % of Sales</t>
  </si>
  <si>
    <t>Capital Lease Obligations % of Sales</t>
  </si>
  <si>
    <t>Other Current Liabilities % of Sales</t>
  </si>
  <si>
    <t>Intangible Assets (Including Goodwill) % of Sales</t>
  </si>
  <si>
    <t>Money Market Interest Rate</t>
  </si>
  <si>
    <t>Dividend Payout Ratio</t>
  </si>
  <si>
    <t>PROJECTED FINANCIAL RATIOS</t>
  </si>
  <si>
    <t>PROJECTED INCOME STATEMENT</t>
  </si>
  <si>
    <t>Dividends Paid</t>
  </si>
  <si>
    <t>Addition To RE</t>
  </si>
  <si>
    <t>EPS</t>
  </si>
  <si>
    <t>PROJECTED BALANCE SHEET</t>
  </si>
  <si>
    <t>ST Debt &amp; Current Portion of LT Debt</t>
  </si>
  <si>
    <t>Specified assets</t>
  </si>
  <si>
    <t>Specified liabilities</t>
  </si>
  <si>
    <t>Net required financing</t>
  </si>
  <si>
    <t>Current debt</t>
  </si>
  <si>
    <t>Short-term investments</t>
  </si>
  <si>
    <t>SELECTED RATIOS</t>
  </si>
  <si>
    <t>Net Profit Margin</t>
  </si>
  <si>
    <t>Gross Profit Margin</t>
  </si>
  <si>
    <t>Net Proft Margin</t>
  </si>
  <si>
    <t>ROA</t>
  </si>
  <si>
    <t>ROE</t>
  </si>
  <si>
    <t>Equity Multiplier</t>
  </si>
  <si>
    <t>Revenue Growth Rate</t>
  </si>
  <si>
    <t>DISCOUNTED CASH FLOW (FCFF)</t>
  </si>
  <si>
    <t>SENSITIVITY ANALYSIS</t>
  </si>
  <si>
    <t>Gross PPE</t>
  </si>
  <si>
    <t>Sp</t>
  </si>
  <si>
    <t>Δ WACC</t>
  </si>
  <si>
    <t>FCFF</t>
  </si>
  <si>
    <t>Δ Exit</t>
  </si>
  <si>
    <t>NOPLAT</t>
  </si>
  <si>
    <t>Enterprise Value ($M)</t>
  </si>
  <si>
    <t>Implied Equity Value</t>
  </si>
  <si>
    <t>Depreciation &amp; Amort.</t>
  </si>
  <si>
    <t>Exit Multiple</t>
  </si>
  <si>
    <t>∆NOWC</t>
  </si>
  <si>
    <t>Capital Expenditures</t>
  </si>
  <si>
    <t>WACC</t>
  </si>
  <si>
    <t>Terminal Value</t>
  </si>
  <si>
    <t>FCF + HV</t>
  </si>
  <si>
    <t>Implied Share Price</t>
  </si>
  <si>
    <t>PV of Terminal Value as % of Enterprise Value</t>
  </si>
  <si>
    <t>Surplus Cash</t>
  </si>
  <si>
    <t>Debt</t>
  </si>
  <si>
    <t>Non-Controlling Interest</t>
  </si>
  <si>
    <t>Diluted Shares</t>
  </si>
  <si>
    <t>Share Price</t>
  </si>
  <si>
    <t>Implied Perpetuity Growth Rate</t>
  </si>
  <si>
    <t>Beta</t>
  </si>
  <si>
    <t>Risk Free</t>
  </si>
  <si>
    <t>Risk Premium</t>
  </si>
  <si>
    <t>ERM</t>
  </si>
  <si>
    <t>Equity Cost of Capital</t>
  </si>
  <si>
    <t>Debt Cost of Capital</t>
  </si>
  <si>
    <t>Debt Weight</t>
  </si>
  <si>
    <t>Equity Weight</t>
  </si>
  <si>
    <t>Tax Rate</t>
  </si>
  <si>
    <t>YAHOO TICKER SYMBOL</t>
  </si>
  <si>
    <t>Market Cap</t>
  </si>
  <si>
    <t>Net Income Avl to Common</t>
  </si>
  <si>
    <t>Profit Margin</t>
  </si>
  <si>
    <t>Operating Margin</t>
  </si>
  <si>
    <t>Qtrly Earnings Growth</t>
  </si>
  <si>
    <t>Yahoo Ticker Symbol (Only works for U.S.)</t>
  </si>
  <si>
    <t>x</t>
  </si>
  <si>
    <t>SERVER</t>
  </si>
  <si>
    <t>ca</t>
  </si>
  <si>
    <t>DELL</t>
  </si>
  <si>
    <t>PricewaterhouseCoopers LLP</t>
  </si>
  <si>
    <t>PWC LLP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</si>
</sst>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#,##0\ ;\(#,##0\)"/>
    <numFmt numFmtId="167" formatCode="mmm\/yy"/>
    <numFmt numFmtId="168" formatCode="mmm\-yy\K"/>
    <numFmt numFmtId="169" formatCode="mmm\-yy\Q"/>
    <numFmt numFmtId="170" formatCode="#.0%\ ;\(#.0%\)"/>
    <numFmt numFmtId="171" formatCode="&quot;Tax on operat.profit (2) &quot;\ 0.0%"/>
    <numFmt numFmtId="172" formatCode="#,##0.0\ ;\(#,##0.0\)"/>
    <numFmt numFmtId="173" formatCode="#,##0.00\ ;\(#,##0.00\)"/>
    <numFmt numFmtId="174" formatCode="0.0%"/>
    <numFmt numFmtId="175" formatCode="_(* #,##0.00000_);_(* \(#,##0.00000\);_(* &quot;-&quot;??_);_(@_)"/>
    <numFmt numFmtId="176" formatCode="_(* #,##0.000_);_(* \(#,##0.000\);_(* &quot;-&quot;??_);_(@_)"/>
    <numFmt numFmtId="177" formatCode="#,##0_)\x;\(#,##0\)\x;0_)\x;@_)_x"/>
    <numFmt numFmtId="178" formatCode="0.000%"/>
    <numFmt numFmtId="179" formatCode="General_)"/>
    <numFmt numFmtId="180" formatCode="&quot;$&quot;\ #,##0.00;\-&quot;$&quot;\ #,##0.00;&quot;-&quot;"/>
    <numFmt numFmtId="181" formatCode="_(* #,##0_);_(* \(#,##0\);_(* &quot;-&quot;??_);_(@_)"/>
    <numFmt numFmtId="182" formatCode="&quot;$&quot;#,##0.00"/>
    <numFmt numFmtId="183" formatCode="0.000"/>
    <numFmt numFmtId="184" formatCode="0.00&quot;%&quot;"/>
    <numFmt numFmtId="185" formatCode="#,##0%;[Red]\-#,##0%;&quot; - &quot;"/>
    <numFmt numFmtId="186" formatCode="#,##0.0%;[Red]\-#,##0.0%;&quot; - &quot;"/>
    <numFmt numFmtId="187" formatCode="d\.m\.yy"/>
    <numFmt numFmtId="188" formatCode="_-[$€-2]* #,##0.00_-;\-[$€-2]* #,##0.00_-;_-[$€-2]* &quot;-&quot;??_-"/>
    <numFmt numFmtId="189" formatCode="#,##0.0000"/>
    <numFmt numFmtId="190" formatCode="#,##0.0#;[Red]\ \ \(#,##0.0#\);\ &quot; - &quot;;"/>
    <numFmt numFmtId="191" formatCode="#,##0;[Red]\ \ \(#,##0\);\ &quot; - &quot;;"/>
    <numFmt numFmtId="192" formatCode="#,##0.00;[Red]\ \ \(#,##0.00\);\ &quot; - &quot;;"/>
    <numFmt numFmtId="193" formatCode="[$-409]d\-mmm\-yy;@"/>
    <numFmt numFmtId="194" formatCode="_(* #,##0.0000000_);_(* \(#,##0.0000000\);_(* &quot;-&quot;??_);_(@_)"/>
    <numFmt numFmtId="195" formatCode="[$-409]mmm\-yy;@"/>
    <numFmt numFmtId="196" formatCode="0&quot;A&quot;"/>
    <numFmt numFmtId="197" formatCode="0&quot;E&quot;"/>
    <numFmt numFmtId="198" formatCode="#,##0.0"/>
    <numFmt numFmtId="199" formatCode="#,##0.00&quot;x&quot;"/>
    <numFmt numFmtId="200" formatCode="General&quot;E&quot;"/>
    <numFmt numFmtId="201" formatCode="&quot;NOWC: &quot;\ 0.0%"/>
    <numFmt numFmtId="202" formatCode="&quot;$&quot;#,##0.00;[Red]&quot;$&quot;#,##0.00"/>
    <numFmt numFmtId="203" formatCode="0.0\x"/>
    <numFmt numFmtId="204" formatCode="0.00&quot;x&quot;"/>
    <numFmt numFmtId="205" formatCode="&quot;Consolidation Check&quot;"/>
    <numFmt numFmtId="206" formatCode="&quot;Balanced?&quot;"/>
  </numFmts>
  <fonts count="79">
    <font>
      <sz val="10"/>
      <color theme="1"/>
      <name val="Courier Ne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ourier New"/>
      <family val="3"/>
    </font>
    <font>
      <sz val="8"/>
      <name val="Courier New"/>
      <family val="3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9"/>
      <color indexed="12"/>
      <name val="Tahoma"/>
      <family val="2"/>
    </font>
    <font>
      <sz val="10"/>
      <color indexed="12"/>
      <name val="Helv"/>
    </font>
    <font>
      <sz val="9"/>
      <name val="Geneva"/>
    </font>
    <font>
      <sz val="10"/>
      <name val="Geneva"/>
    </font>
    <font>
      <sz val="14"/>
      <name val="Helv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9"/>
      <color indexed="46"/>
      <name val="Arial"/>
      <family val="2"/>
    </font>
    <font>
      <u/>
      <sz val="10"/>
      <color indexed="12"/>
      <name val="Arial"/>
      <family val="2"/>
    </font>
    <font>
      <u/>
      <sz val="6"/>
      <color indexed="12"/>
      <name val="Times New Roman"/>
      <family val="1"/>
    </font>
    <font>
      <sz val="10"/>
      <color indexed="10"/>
      <name val="Courier"/>
      <family val="3"/>
    </font>
    <font>
      <b/>
      <sz val="18"/>
      <color indexed="62"/>
      <name val="Cambria"/>
      <family val="2"/>
    </font>
    <font>
      <sz val="10"/>
      <name val="Courier"/>
      <family val="3"/>
    </font>
    <font>
      <sz val="10"/>
      <color theme="1"/>
      <name val="Courier New"/>
      <family val="2"/>
    </font>
    <font>
      <sz val="11"/>
      <color theme="1"/>
      <name val="Calibri"/>
      <family val="2"/>
      <scheme val="minor"/>
    </font>
    <font>
      <u/>
      <sz val="8.5"/>
      <color theme="10"/>
      <name val="Arial"/>
      <family val="2"/>
    </font>
    <font>
      <u/>
      <sz val="10"/>
      <color theme="10"/>
      <name val="Arial"/>
      <family val="2"/>
    </font>
    <font>
      <u/>
      <sz val="6.3"/>
      <color theme="10"/>
      <name val="Courier New"/>
      <family val="2"/>
    </font>
    <font>
      <u/>
      <sz val="10"/>
      <color theme="10"/>
      <name val="Courier New"/>
      <family val="2"/>
    </font>
    <font>
      <sz val="11"/>
      <color theme="1"/>
      <name val="Calibri"/>
      <family val="3"/>
      <charset val="129"/>
      <scheme val="minor"/>
    </font>
    <font>
      <b/>
      <sz val="10"/>
      <color rgb="FFFF0000"/>
      <name val="Courier New"/>
      <family val="3"/>
    </font>
    <font>
      <b/>
      <sz val="10"/>
      <color theme="1"/>
      <name val="Courier New"/>
      <family val="3"/>
    </font>
    <font>
      <sz val="8"/>
      <color theme="1"/>
      <name val="Courier New"/>
      <family val="3"/>
    </font>
    <font>
      <b/>
      <sz val="10"/>
      <color rgb="FF0070C0"/>
      <name val="Courier New"/>
      <family val="3"/>
    </font>
    <font>
      <b/>
      <sz val="8"/>
      <color theme="1"/>
      <name val="Courier New"/>
      <family val="3"/>
    </font>
    <font>
      <b/>
      <sz val="9"/>
      <color theme="1"/>
      <name val="Courier New"/>
      <family val="3"/>
    </font>
    <font>
      <sz val="8"/>
      <color rgb="FF0070C0"/>
      <name val="Courier New"/>
      <family val="3"/>
    </font>
    <font>
      <b/>
      <sz val="8"/>
      <color rgb="FF00B0F0"/>
      <name val="Courier New"/>
      <family val="3"/>
    </font>
    <font>
      <sz val="10"/>
      <color theme="1"/>
      <name val="Courier New"/>
      <family val="3"/>
    </font>
    <font>
      <sz val="10"/>
      <name val="Courier New"/>
      <family val="3"/>
    </font>
    <font>
      <b/>
      <sz val="10"/>
      <color theme="9" tint="0.79998168889431442"/>
      <name val="Courier New"/>
      <family val="3"/>
    </font>
    <font>
      <sz val="10"/>
      <color theme="0"/>
      <name val="Courier New"/>
      <family val="3"/>
    </font>
    <font>
      <b/>
      <sz val="8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72"/>
      <color theme="1"/>
      <name val="Calibri"/>
      <family val="2"/>
    </font>
    <font>
      <b/>
      <sz val="10"/>
      <color theme="0"/>
      <name val="Courier New"/>
      <family val="3"/>
    </font>
    <font>
      <sz val="10"/>
      <name val="Verdana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0070C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 val="singleAccounting"/>
      <sz val="10"/>
      <color theme="0"/>
      <name val="Arial"/>
      <family val="2"/>
    </font>
    <font>
      <sz val="10"/>
      <color indexed="0"/>
      <name val="Arial"/>
      <family val="2"/>
    </font>
    <font>
      <sz val="9"/>
      <color indexed="0"/>
      <name val="Helvetica"/>
      <family val="2"/>
    </font>
    <font>
      <b/>
      <sz val="10"/>
      <name val="Arial"/>
      <family val="2"/>
    </font>
    <font>
      <sz val="11"/>
      <color rgb="FF0070C0"/>
      <name val="Calibri"/>
      <family val="2"/>
      <scheme val="minor"/>
    </font>
    <font>
      <b/>
      <sz val="8"/>
      <color theme="1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6"/>
        <bgColor indexed="26"/>
      </patternFill>
    </fill>
    <fill>
      <patternFill patternType="solid">
        <fgColor indexed="43"/>
        <bgColor indexed="43"/>
      </patternFill>
    </fill>
    <fill>
      <patternFill patternType="solid">
        <fgColor indexed="4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60">
    <xf numFmtId="0" fontId="0" fillId="0" borderId="0"/>
    <xf numFmtId="177" fontId="4" fillId="0" borderId="0" applyFont="0" applyFill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0" fillId="5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0" fillId="4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178" fontId="11" fillId="9" borderId="0"/>
    <xf numFmtId="43" fontId="24" fillId="0" borderId="0" applyFont="0" applyFill="0" applyBorder="0" applyAlignment="0" applyProtection="0"/>
    <xf numFmtId="179" fontId="12" fillId="0" borderId="0"/>
    <xf numFmtId="179" fontId="12" fillId="0" borderId="0"/>
    <xf numFmtId="180" fontId="4" fillId="0" borderId="0" applyFont="0" applyFill="0" applyBorder="0" applyProtection="0">
      <alignment horizontal="right"/>
    </xf>
    <xf numFmtId="43" fontId="13" fillId="0" borderId="0" applyFont="0" applyFill="0" applyBorder="0" applyAlignment="0" applyProtection="0"/>
    <xf numFmtId="181" fontId="4" fillId="0" borderId="0" applyFont="0" applyFill="0" applyBorder="0" applyProtection="0">
      <alignment horizontal="right"/>
    </xf>
    <xf numFmtId="182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183" fontId="4" fillId="0" borderId="0" applyFont="0" applyFill="0" applyBorder="0" applyProtection="0">
      <alignment horizontal="right"/>
    </xf>
    <xf numFmtId="43" fontId="2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Protection="0">
      <alignment horizontal="right"/>
    </xf>
    <xf numFmtId="174" fontId="4" fillId="0" borderId="0" applyFont="0" applyFill="0" applyBorder="0" applyProtection="0">
      <alignment horizontal="right"/>
    </xf>
    <xf numFmtId="184" fontId="4" fillId="0" borderId="0" applyFont="0" applyFill="0" applyBorder="0" applyAlignment="0" applyProtection="0"/>
    <xf numFmtId="167" fontId="4" fillId="0" borderId="0" applyFont="0" applyFill="0" applyBorder="0" applyProtection="0">
      <alignment horizontal="right"/>
    </xf>
    <xf numFmtId="185" fontId="4" fillId="0" borderId="0" applyFont="0" applyFill="0" applyBorder="0" applyProtection="0">
      <alignment horizontal="right"/>
    </xf>
    <xf numFmtId="167" fontId="4" fillId="0" borderId="0" applyFont="0" applyFill="0" applyBorder="0" applyProtection="0">
      <alignment horizontal="right"/>
    </xf>
    <xf numFmtId="185" fontId="4" fillId="0" borderId="0" applyFont="0" applyFill="0" applyBorder="0" applyProtection="0">
      <alignment horizontal="right"/>
    </xf>
    <xf numFmtId="167" fontId="4" fillId="0" borderId="0" applyFont="0" applyFill="0" applyBorder="0" applyProtection="0">
      <alignment horizontal="right"/>
    </xf>
    <xf numFmtId="186" fontId="4" fillId="0" borderId="0" applyFont="0" applyFill="0" applyBorder="0" applyProtection="0">
      <alignment horizontal="right"/>
    </xf>
    <xf numFmtId="186" fontId="4" fillId="0" borderId="0" applyFont="0" applyFill="0" applyBorder="0" applyProtection="0">
      <alignment horizontal="right"/>
    </xf>
    <xf numFmtId="186" fontId="4" fillId="0" borderId="0" applyFont="0" applyFill="0" applyBorder="0" applyProtection="0">
      <alignment horizontal="right"/>
    </xf>
    <xf numFmtId="3" fontId="4" fillId="0" borderId="0" applyFont="0" applyFill="0" applyBorder="0" applyAlignment="0" applyProtection="0"/>
    <xf numFmtId="179" fontId="12" fillId="0" borderId="0"/>
    <xf numFmtId="179" fontId="12" fillId="0" borderId="0"/>
    <xf numFmtId="179" fontId="12" fillId="0" borderId="0"/>
    <xf numFmtId="179" fontId="12" fillId="0" borderId="0"/>
    <xf numFmtId="44" fontId="4" fillId="0" borderId="0" applyFont="0" applyFill="0" applyBorder="0" applyAlignment="0" applyProtection="0"/>
    <xf numFmtId="44" fontId="14" fillId="0" borderId="0" applyFont="0" applyFill="0" applyBorder="0" applyAlignment="0" applyProtection="0"/>
    <xf numFmtId="5" fontId="4" fillId="0" borderId="0" applyFont="0" applyFill="0" applyBorder="0" applyAlignment="0" applyProtection="0"/>
    <xf numFmtId="187" fontId="15" fillId="0" borderId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188" fontId="4" fillId="0" borderId="0" applyFont="0" applyFill="0" applyBorder="0" applyAlignment="0" applyProtection="0"/>
    <xf numFmtId="189" fontId="17" fillId="13" borderId="1">
      <alignment horizontal="center"/>
    </xf>
    <xf numFmtId="2" fontId="4" fillId="0" borderId="0" applyFont="0" applyFill="0" applyBorder="0" applyAlignment="0" applyProtection="0"/>
    <xf numFmtId="0" fontId="18" fillId="14" borderId="2">
      <alignment horizontal="left"/>
    </xf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 applyFont="0" applyFill="0" applyBorder="0" applyAlignment="0" applyProtection="0"/>
    <xf numFmtId="0" fontId="4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Font="0" applyFill="0" applyBorder="0" applyAlignment="0" applyProtection="0"/>
    <xf numFmtId="0" fontId="4" fillId="0" borderId="0"/>
    <xf numFmtId="0" fontId="24" fillId="0" borderId="0"/>
    <xf numFmtId="0" fontId="24" fillId="0" borderId="0"/>
    <xf numFmtId="0" fontId="24" fillId="0" borderId="0"/>
    <xf numFmtId="0" fontId="4" fillId="0" borderId="0" applyFont="0" applyFill="0" applyBorder="0" applyAlignment="0" applyProtection="0"/>
    <xf numFmtId="190" fontId="4" fillId="0" borderId="0" applyFont="0" applyFill="0" applyBorder="0" applyAlignment="0" applyProtection="0">
      <protection locked="0"/>
    </xf>
    <xf numFmtId="1" fontId="4" fillId="0" borderId="0" applyFont="0" applyFill="0" applyBorder="0" applyAlignment="0" applyProtection="0">
      <protection locked="0"/>
    </xf>
    <xf numFmtId="191" fontId="4" fillId="0" borderId="0"/>
    <xf numFmtId="192" fontId="4" fillId="0" borderId="0"/>
    <xf numFmtId="190" fontId="4" fillId="0" borderId="0"/>
    <xf numFmtId="183" fontId="4" fillId="13" borderId="1" applyProtection="0">
      <alignment horizontal="center"/>
    </xf>
    <xf numFmtId="9" fontId="24" fillId="0" borderId="0" applyFont="0" applyFill="0" applyBorder="0" applyAlignment="0" applyProtection="0"/>
    <xf numFmtId="9" fontId="4" fillId="0" borderId="0" applyFont="0" applyFill="0" applyBorder="0" applyAlignment="0" applyProtection="0">
      <alignment horizontal="right" indent="1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4" fillId="0" borderId="0" applyFont="0" applyFill="0" applyBorder="0" applyAlignment="0" applyProtection="0"/>
    <xf numFmtId="10" fontId="4" fillId="0" borderId="0" applyFont="0" applyFill="0" applyBorder="0" applyProtection="0">
      <alignment horizontal="right" indent="1"/>
    </xf>
    <xf numFmtId="165" fontId="21" fillId="0" borderId="0">
      <alignment horizontal="center"/>
    </xf>
    <xf numFmtId="0" fontId="22" fillId="0" borderId="0" applyNumberFormat="0" applyFill="0" applyBorder="0" applyAlignment="0" applyProtection="0"/>
    <xf numFmtId="0" fontId="23" fillId="0" borderId="0">
      <alignment vertical="center"/>
    </xf>
    <xf numFmtId="2" fontId="4" fillId="0" borderId="0" applyBorder="0">
      <alignment horizontal="center"/>
    </xf>
    <xf numFmtId="0" fontId="30" fillId="0" borderId="0">
      <alignment vertical="center"/>
    </xf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94" fontId="4" fillId="0" borderId="0" applyFont="0" applyFill="0" applyBorder="0" applyAlignment="0" applyProtection="0"/>
    <xf numFmtId="9" fontId="17" fillId="0" borderId="0" applyNumberFormat="0">
      <protection locked="0"/>
    </xf>
    <xf numFmtId="0" fontId="48" fillId="0" borderId="0"/>
    <xf numFmtId="9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64" fillId="0" borderId="0"/>
    <xf numFmtId="0" fontId="4" fillId="0" borderId="0"/>
    <xf numFmtId="0" fontId="4" fillId="0" borderId="0" applyFill="0" applyBorder="0" applyProtection="0">
      <protection locked="0"/>
    </xf>
    <xf numFmtId="0" fontId="75" fillId="0" borderId="0"/>
    <xf numFmtId="9" fontId="64" fillId="0" borderId="0" applyFont="0" applyFill="0" applyBorder="0" applyAlignment="0" applyProtection="0"/>
    <xf numFmtId="0" fontId="4" fillId="0" borderId="0" applyFill="0" applyBorder="0" applyProtection="0">
      <protection locked="0"/>
    </xf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6" borderId="0" applyNumberFormat="0" applyBorder="0" applyAlignment="0" applyProtection="0"/>
    <xf numFmtId="0" fontId="2" fillId="50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39" borderId="0" applyNumberFormat="0" applyBorder="0" applyAlignment="0" applyProtection="0"/>
    <xf numFmtId="0" fontId="2" fillId="43" borderId="0" applyNumberFormat="0" applyBorder="0" applyAlignment="0" applyProtection="0"/>
    <xf numFmtId="0" fontId="2" fillId="47" borderId="0" applyNumberFormat="0" applyBorder="0" applyAlignment="0" applyProtection="0"/>
    <xf numFmtId="0" fontId="2" fillId="51" borderId="0" applyNumberFormat="0" applyBorder="0" applyAlignment="0" applyProtection="0"/>
    <xf numFmtId="0" fontId="63" fillId="32" borderId="0" applyNumberFormat="0" applyBorder="0" applyAlignment="0" applyProtection="0"/>
    <xf numFmtId="0" fontId="63" fillId="36" borderId="0" applyNumberFormat="0" applyBorder="0" applyAlignment="0" applyProtection="0"/>
    <xf numFmtId="0" fontId="63" fillId="40" borderId="0" applyNumberFormat="0" applyBorder="0" applyAlignment="0" applyProtection="0"/>
    <xf numFmtId="0" fontId="63" fillId="44" borderId="0" applyNumberFormat="0" applyBorder="0" applyAlignment="0" applyProtection="0"/>
    <xf numFmtId="0" fontId="63" fillId="48" borderId="0" applyNumberFormat="0" applyBorder="0" applyAlignment="0" applyProtection="0"/>
    <xf numFmtId="0" fontId="63" fillId="52" borderId="0" applyNumberFormat="0" applyBorder="0" applyAlignment="0" applyProtection="0"/>
    <xf numFmtId="0" fontId="63" fillId="29" borderId="0" applyNumberFormat="0" applyBorder="0" applyAlignment="0" applyProtection="0"/>
    <xf numFmtId="0" fontId="63" fillId="33" borderId="0" applyNumberFormat="0" applyBorder="0" applyAlignment="0" applyProtection="0"/>
    <xf numFmtId="0" fontId="63" fillId="37" borderId="0" applyNumberFormat="0" applyBorder="0" applyAlignment="0" applyProtection="0"/>
    <xf numFmtId="0" fontId="63" fillId="41" borderId="0" applyNumberFormat="0" applyBorder="0" applyAlignment="0" applyProtection="0"/>
    <xf numFmtId="0" fontId="63" fillId="45" borderId="0" applyNumberFormat="0" applyBorder="0" applyAlignment="0" applyProtection="0"/>
    <xf numFmtId="0" fontId="63" fillId="49" borderId="0" applyNumberFormat="0" applyBorder="0" applyAlignment="0" applyProtection="0"/>
    <xf numFmtId="0" fontId="53" fillId="23" borderId="0" applyNumberFormat="0" applyBorder="0" applyAlignment="0" applyProtection="0"/>
    <xf numFmtId="0" fontId="57" fillId="26" borderId="74" applyNumberFormat="0" applyAlignment="0" applyProtection="0"/>
    <xf numFmtId="0" fontId="59" fillId="27" borderId="77" applyNumberFormat="0" applyAlignment="0" applyProtection="0"/>
    <xf numFmtId="0" fontId="61" fillId="0" borderId="0" applyNumberFormat="0" applyFill="0" applyBorder="0" applyAlignment="0" applyProtection="0"/>
    <xf numFmtId="0" fontId="52" fillId="22" borderId="0" applyNumberFormat="0" applyBorder="0" applyAlignment="0" applyProtection="0"/>
    <xf numFmtId="0" fontId="49" fillId="0" borderId="71" applyNumberFormat="0" applyFill="0" applyAlignment="0" applyProtection="0"/>
    <xf numFmtId="0" fontId="50" fillId="0" borderId="72" applyNumberFormat="0" applyFill="0" applyAlignment="0" applyProtection="0"/>
    <xf numFmtId="0" fontId="51" fillId="0" borderId="73" applyNumberFormat="0" applyFill="0" applyAlignment="0" applyProtection="0"/>
    <xf numFmtId="0" fontId="51" fillId="0" borderId="0" applyNumberFormat="0" applyFill="0" applyBorder="0" applyAlignment="0" applyProtection="0"/>
    <xf numFmtId="0" fontId="55" fillId="25" borderId="74" applyNumberFormat="0" applyAlignment="0" applyProtection="0"/>
    <xf numFmtId="0" fontId="58" fillId="0" borderId="76" applyNumberFormat="0" applyFill="0" applyAlignment="0" applyProtection="0"/>
    <xf numFmtId="0" fontId="54" fillId="24" borderId="0" applyNumberFormat="0" applyBorder="0" applyAlignment="0" applyProtection="0"/>
    <xf numFmtId="0" fontId="4" fillId="0" borderId="0"/>
    <xf numFmtId="0" fontId="64" fillId="0" borderId="0"/>
    <xf numFmtId="0" fontId="2" fillId="28" borderId="78" applyNumberFormat="0" applyFont="0" applyAlignment="0" applyProtection="0"/>
    <xf numFmtId="0" fontId="56" fillId="26" borderId="75" applyNumberFormat="0" applyAlignment="0" applyProtection="0"/>
    <xf numFmtId="0" fontId="62" fillId="0" borderId="79" applyNumberFormat="0" applyFill="0" applyAlignment="0" applyProtection="0"/>
    <xf numFmtId="0" fontId="60" fillId="0" borderId="0" applyNumberFormat="0" applyFill="0" applyBorder="0" applyAlignment="0" applyProtection="0"/>
    <xf numFmtId="0" fontId="1" fillId="0" borderId="0"/>
  </cellStyleXfs>
  <cellXfs count="594">
    <xf numFmtId="0" fontId="0" fillId="0" borderId="0" xfId="0"/>
    <xf numFmtId="0" fontId="31" fillId="0" borderId="3" xfId="69" applyFont="1" applyFill="1" applyBorder="1" applyAlignment="1" applyProtection="1">
      <alignment horizontal="center" vertical="center"/>
      <protection locked="0"/>
    </xf>
    <xf numFmtId="166" fontId="33" fillId="0" borderId="0" xfId="71" applyNumberFormat="1" applyFont="1" applyFill="1" applyAlignment="1" applyProtection="1">
      <alignment vertical="center"/>
      <protection locked="0"/>
    </xf>
    <xf numFmtId="165" fontId="33" fillId="0" borderId="0" xfId="71" applyNumberFormat="1" applyFont="1" applyFill="1" applyAlignment="1" applyProtection="1">
      <alignment vertical="center"/>
      <protection locked="0"/>
    </xf>
    <xf numFmtId="0" fontId="5" fillId="16" borderId="3" xfId="69" applyFont="1" applyFill="1" applyBorder="1" applyAlignment="1" applyProtection="1">
      <alignment horizontal="center" vertical="center"/>
      <protection locked="0"/>
    </xf>
    <xf numFmtId="4" fontId="34" fillId="0" borderId="3" xfId="79" applyNumberFormat="1" applyFont="1" applyFill="1" applyBorder="1" applyAlignment="1" applyProtection="1">
      <alignment horizontal="center" vertical="center"/>
      <protection locked="0"/>
    </xf>
    <xf numFmtId="0" fontId="32" fillId="16" borderId="3" xfId="0" applyFont="1" applyFill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2" fontId="35" fillId="0" borderId="0" xfId="71" applyNumberFormat="1" applyFont="1" applyFill="1" applyAlignment="1" applyProtection="1">
      <alignment horizontal="center" vertical="center"/>
      <protection locked="0"/>
    </xf>
    <xf numFmtId="165" fontId="35" fillId="0" borderId="0" xfId="71" applyNumberFormat="1" applyFont="1" applyFill="1" applyAlignment="1" applyProtection="1">
      <alignment horizontal="center" vertical="center"/>
      <protection locked="0"/>
    </xf>
    <xf numFmtId="4" fontId="32" fillId="0" borderId="0" xfId="79" applyNumberFormat="1" applyFont="1" applyFill="1" applyBorder="1" applyAlignment="1" applyProtection="1">
      <alignment horizontal="center" vertical="center"/>
      <protection locked="0"/>
    </xf>
    <xf numFmtId="166" fontId="33" fillId="0" borderId="0" xfId="71" applyNumberFormat="1" applyFont="1" applyFill="1" applyAlignment="1" applyProtection="1">
      <alignment horizontal="center" vertical="center"/>
      <protection locked="0"/>
    </xf>
    <xf numFmtId="166" fontId="35" fillId="0" borderId="0" xfId="71" applyNumberFormat="1" applyFont="1" applyFill="1" applyAlignment="1" applyProtection="1">
      <alignment vertical="center"/>
      <protection locked="0"/>
    </xf>
    <xf numFmtId="166" fontId="35" fillId="16" borderId="7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8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9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10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11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12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13" xfId="71" applyNumberFormat="1" applyFont="1" applyFill="1" applyBorder="1" applyAlignment="1" applyProtection="1">
      <alignment horizontal="centerContinuous" vertical="center"/>
      <protection locked="0"/>
    </xf>
    <xf numFmtId="169" fontId="35" fillId="16" borderId="14" xfId="71" applyNumberFormat="1" applyFont="1" applyFill="1" applyBorder="1" applyAlignment="1" applyProtection="1">
      <alignment horizontal="centerContinuous" vertical="center"/>
      <protection locked="0"/>
    </xf>
    <xf numFmtId="169" fontId="35" fillId="16" borderId="15" xfId="71" applyNumberFormat="1" applyFont="1" applyFill="1" applyBorder="1" applyAlignment="1" applyProtection="1">
      <alignment horizontal="centerContinuous" vertical="center"/>
      <protection locked="0"/>
    </xf>
    <xf numFmtId="169" fontId="35" fillId="16" borderId="16" xfId="71" applyNumberFormat="1" applyFont="1" applyFill="1" applyBorder="1" applyAlignment="1" applyProtection="1">
      <alignment horizontal="centerContinuous" vertical="center"/>
      <protection locked="0"/>
    </xf>
    <xf numFmtId="0" fontId="32" fillId="17" borderId="17" xfId="71" applyFont="1" applyFill="1" applyBorder="1" applyAlignment="1" applyProtection="1">
      <alignment horizontal="left" vertical="center" indent="1"/>
      <protection locked="0"/>
    </xf>
    <xf numFmtId="165" fontId="33" fillId="17" borderId="17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18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19" xfId="71" applyNumberFormat="1" applyFont="1" applyFill="1" applyBorder="1" applyAlignment="1" applyProtection="1">
      <alignment horizontal="centerContinuous" vertical="center"/>
      <protection locked="0"/>
    </xf>
    <xf numFmtId="166" fontId="33" fillId="0" borderId="20" xfId="71" applyNumberFormat="1" applyFont="1" applyFill="1" applyBorder="1" applyAlignment="1" applyProtection="1">
      <alignment horizontal="left" vertical="center" indent="1"/>
      <protection locked="0"/>
    </xf>
    <xf numFmtId="2" fontId="33" fillId="0" borderId="8" xfId="71" applyNumberFormat="1" applyFont="1" applyFill="1" applyBorder="1" applyAlignment="1" applyProtection="1">
      <alignment vertical="center"/>
      <protection locked="0"/>
    </xf>
    <xf numFmtId="2" fontId="33" fillId="0" borderId="9" xfId="71" applyNumberFormat="1" applyFont="1" applyFill="1" applyBorder="1" applyAlignment="1" applyProtection="1">
      <alignment vertical="center"/>
      <protection locked="0"/>
    </xf>
    <xf numFmtId="2" fontId="33" fillId="0" borderId="10" xfId="71" applyNumberFormat="1" applyFont="1" applyFill="1" applyBorder="1" applyAlignment="1" applyProtection="1">
      <alignment vertical="center"/>
      <protection locked="0"/>
    </xf>
    <xf numFmtId="2" fontId="33" fillId="0" borderId="3" xfId="71" applyNumberFormat="1" applyFont="1" applyFill="1" applyBorder="1" applyAlignment="1" applyProtection="1">
      <alignment vertical="center"/>
      <protection locked="0"/>
    </xf>
    <xf numFmtId="2" fontId="33" fillId="0" borderId="12" xfId="71" applyNumberFormat="1" applyFont="1" applyFill="1" applyBorder="1" applyAlignment="1" applyProtection="1">
      <alignment vertical="center"/>
      <protection locked="0"/>
    </xf>
    <xf numFmtId="2" fontId="33" fillId="0" borderId="13" xfId="71" applyNumberFormat="1" applyFont="1" applyFill="1" applyBorder="1" applyAlignment="1" applyProtection="1">
      <alignment vertical="center"/>
      <protection locked="0"/>
    </xf>
    <xf numFmtId="166" fontId="33" fillId="0" borderId="17" xfId="71" applyNumberFormat="1" applyFont="1" applyFill="1" applyBorder="1" applyAlignment="1" applyProtection="1">
      <alignment horizontal="left" vertical="center" indent="1"/>
      <protection locked="0"/>
    </xf>
    <xf numFmtId="2" fontId="33" fillId="0" borderId="21" xfId="71" applyNumberFormat="1" applyFont="1" applyFill="1" applyBorder="1" applyAlignment="1" applyProtection="1">
      <alignment vertical="center"/>
      <protection locked="0"/>
    </xf>
    <xf numFmtId="2" fontId="33" fillId="0" borderId="22" xfId="71" applyNumberFormat="1" applyFont="1" applyFill="1" applyBorder="1" applyAlignment="1" applyProtection="1">
      <alignment vertical="center"/>
      <protection locked="0"/>
    </xf>
    <xf numFmtId="2" fontId="33" fillId="0" borderId="23" xfId="71" applyNumberFormat="1" applyFont="1" applyFill="1" applyBorder="1" applyAlignment="1" applyProtection="1">
      <alignment vertical="center"/>
      <protection locked="0"/>
    </xf>
    <xf numFmtId="2" fontId="33" fillId="0" borderId="24" xfId="71" applyNumberFormat="1" applyFont="1" applyFill="1" applyBorder="1" applyAlignment="1" applyProtection="1">
      <alignment vertical="center"/>
      <protection locked="0"/>
    </xf>
    <xf numFmtId="2" fontId="33" fillId="0" borderId="17" xfId="71" applyNumberFormat="1" applyFont="1" applyFill="1" applyBorder="1" applyAlignment="1" applyProtection="1">
      <alignment vertical="center"/>
      <protection locked="0"/>
    </xf>
    <xf numFmtId="166" fontId="33" fillId="0" borderId="25" xfId="71" applyNumberFormat="1" applyFont="1" applyFill="1" applyBorder="1" applyAlignment="1" applyProtection="1">
      <alignment horizontal="left" vertical="center" indent="1"/>
      <protection locked="0"/>
    </xf>
    <xf numFmtId="2" fontId="33" fillId="0" borderId="26" xfId="71" applyNumberFormat="1" applyFont="1" applyFill="1" applyBorder="1" applyAlignment="1" applyProtection="1">
      <alignment vertical="center"/>
      <protection locked="0"/>
    </xf>
    <xf numFmtId="2" fontId="33" fillId="0" borderId="27" xfId="71" applyNumberFormat="1" applyFont="1" applyFill="1" applyBorder="1" applyAlignment="1" applyProtection="1">
      <alignment vertical="center"/>
      <protection locked="0"/>
    </xf>
    <xf numFmtId="2" fontId="33" fillId="0" borderId="28" xfId="71" applyNumberFormat="1" applyFont="1" applyFill="1" applyBorder="1" applyAlignment="1" applyProtection="1">
      <alignment vertical="center"/>
      <protection locked="0"/>
    </xf>
    <xf numFmtId="2" fontId="33" fillId="0" borderId="29" xfId="71" applyNumberFormat="1" applyFont="1" applyFill="1" applyBorder="1" applyAlignment="1" applyProtection="1">
      <alignment vertical="center"/>
      <protection locked="0"/>
    </xf>
    <xf numFmtId="2" fontId="33" fillId="0" borderId="30" xfId="71" applyNumberFormat="1" applyFont="1" applyFill="1" applyBorder="1" applyAlignment="1" applyProtection="1">
      <alignment vertical="center"/>
      <protection locked="0"/>
    </xf>
    <xf numFmtId="170" fontId="33" fillId="0" borderId="0" xfId="71" applyNumberFormat="1" applyFont="1" applyFill="1" applyAlignment="1" applyProtection="1">
      <alignment vertical="center"/>
      <protection locked="0"/>
    </xf>
    <xf numFmtId="170" fontId="33" fillId="16" borderId="17" xfId="71" applyNumberFormat="1" applyFont="1" applyFill="1" applyBorder="1" applyAlignment="1" applyProtection="1">
      <alignment horizontal="left" vertical="center" indent="1"/>
      <protection locked="0"/>
    </xf>
    <xf numFmtId="170" fontId="33" fillId="16" borderId="21" xfId="90" applyNumberFormat="1" applyFont="1" applyFill="1" applyBorder="1" applyAlignment="1" applyProtection="1">
      <alignment vertical="center"/>
      <protection locked="0"/>
    </xf>
    <xf numFmtId="170" fontId="33" fillId="16" borderId="3" xfId="90" applyNumberFormat="1" applyFont="1" applyFill="1" applyBorder="1" applyAlignment="1" applyProtection="1">
      <alignment vertical="center"/>
      <protection locked="0"/>
    </xf>
    <xf numFmtId="170" fontId="33" fillId="16" borderId="22" xfId="90" applyNumberFormat="1" applyFont="1" applyFill="1" applyBorder="1" applyAlignment="1" applyProtection="1">
      <alignment vertical="center"/>
      <protection locked="0"/>
    </xf>
    <xf numFmtId="170" fontId="33" fillId="16" borderId="23" xfId="90" applyNumberFormat="1" applyFont="1" applyFill="1" applyBorder="1" applyAlignment="1" applyProtection="1">
      <alignment vertical="center"/>
      <protection locked="0"/>
    </xf>
    <xf numFmtId="170" fontId="33" fillId="16" borderId="24" xfId="90" applyNumberFormat="1" applyFont="1" applyFill="1" applyBorder="1" applyAlignment="1" applyProtection="1">
      <alignment vertical="center"/>
      <protection locked="0"/>
    </xf>
    <xf numFmtId="166" fontId="33" fillId="16" borderId="17" xfId="71" applyNumberFormat="1" applyFont="1" applyFill="1" applyBorder="1" applyAlignment="1" applyProtection="1">
      <alignment horizontal="left" vertical="center" indent="1"/>
      <protection locked="0"/>
    </xf>
    <xf numFmtId="2" fontId="33" fillId="16" borderId="21" xfId="71" applyNumberFormat="1" applyFont="1" applyFill="1" applyBorder="1" applyAlignment="1" applyProtection="1">
      <alignment vertical="center"/>
      <protection locked="0"/>
    </xf>
    <xf numFmtId="2" fontId="33" fillId="16" borderId="3" xfId="71" applyNumberFormat="1" applyFont="1" applyFill="1" applyBorder="1" applyAlignment="1" applyProtection="1">
      <alignment vertical="center"/>
      <protection locked="0"/>
    </xf>
    <xf numFmtId="2" fontId="33" fillId="16" borderId="22" xfId="71" applyNumberFormat="1" applyFont="1" applyFill="1" applyBorder="1" applyAlignment="1" applyProtection="1">
      <alignment vertical="center"/>
      <protection locked="0"/>
    </xf>
    <xf numFmtId="2" fontId="33" fillId="16" borderId="23" xfId="71" applyNumberFormat="1" applyFont="1" applyFill="1" applyBorder="1" applyAlignment="1" applyProtection="1">
      <alignment vertical="center"/>
      <protection locked="0"/>
    </xf>
    <xf numFmtId="2" fontId="33" fillId="16" borderId="24" xfId="71" applyNumberFormat="1" applyFont="1" applyFill="1" applyBorder="1" applyAlignment="1" applyProtection="1">
      <alignment vertical="center"/>
      <protection locked="0"/>
    </xf>
    <xf numFmtId="43" fontId="33" fillId="16" borderId="3" xfId="21" applyFont="1" applyFill="1" applyBorder="1" applyAlignment="1" applyProtection="1">
      <alignment vertical="center"/>
      <protection locked="0"/>
    </xf>
    <xf numFmtId="165" fontId="33" fillId="0" borderId="21" xfId="71" applyNumberFormat="1" applyFont="1" applyFill="1" applyBorder="1" applyAlignment="1" applyProtection="1">
      <alignment vertical="center"/>
      <protection locked="0"/>
    </xf>
    <xf numFmtId="165" fontId="33" fillId="0" borderId="3" xfId="71" applyNumberFormat="1" applyFont="1" applyFill="1" applyBorder="1" applyAlignment="1" applyProtection="1">
      <alignment vertical="center"/>
      <protection locked="0"/>
    </xf>
    <xf numFmtId="165" fontId="33" fillId="0" borderId="22" xfId="71" applyNumberFormat="1" applyFont="1" applyFill="1" applyBorder="1" applyAlignment="1" applyProtection="1">
      <alignment vertical="center"/>
      <protection locked="0"/>
    </xf>
    <xf numFmtId="165" fontId="33" fillId="0" borderId="23" xfId="71" applyNumberFormat="1" applyFont="1" applyFill="1" applyBorder="1" applyAlignment="1" applyProtection="1">
      <alignment vertical="center"/>
      <protection locked="0"/>
    </xf>
    <xf numFmtId="165" fontId="33" fillId="0" borderId="24" xfId="71" applyNumberFormat="1" applyFont="1" applyFill="1" applyBorder="1" applyAlignment="1" applyProtection="1">
      <alignment vertical="center"/>
      <protection locked="0"/>
    </xf>
    <xf numFmtId="165" fontId="33" fillId="16" borderId="21" xfId="71" applyNumberFormat="1" applyFont="1" applyFill="1" applyBorder="1" applyAlignment="1" applyProtection="1">
      <alignment vertical="center"/>
      <protection locked="0"/>
    </xf>
    <xf numFmtId="165" fontId="33" fillId="16" borderId="3" xfId="71" applyNumberFormat="1" applyFont="1" applyFill="1" applyBorder="1" applyAlignment="1" applyProtection="1">
      <alignment vertical="center"/>
      <protection locked="0"/>
    </xf>
    <xf numFmtId="165" fontId="33" fillId="16" borderId="22" xfId="71" applyNumberFormat="1" applyFont="1" applyFill="1" applyBorder="1" applyAlignment="1" applyProtection="1">
      <alignment vertical="center"/>
      <protection locked="0"/>
    </xf>
    <xf numFmtId="165" fontId="33" fillId="16" borderId="23" xfId="71" applyNumberFormat="1" applyFont="1" applyFill="1" applyBorder="1" applyAlignment="1" applyProtection="1">
      <alignment vertical="center"/>
      <protection locked="0"/>
    </xf>
    <xf numFmtId="165" fontId="33" fillId="16" borderId="24" xfId="71" applyNumberFormat="1" applyFont="1" applyFill="1" applyBorder="1" applyAlignment="1" applyProtection="1">
      <alignment vertical="center"/>
      <protection locked="0"/>
    </xf>
    <xf numFmtId="166" fontId="35" fillId="16" borderId="17" xfId="71" applyNumberFormat="1" applyFont="1" applyFill="1" applyBorder="1" applyAlignment="1" applyProtection="1">
      <alignment horizontal="left" vertical="center" indent="1"/>
      <protection locked="0"/>
    </xf>
    <xf numFmtId="2" fontId="35" fillId="16" borderId="21" xfId="71" applyNumberFormat="1" applyFont="1" applyFill="1" applyBorder="1" applyAlignment="1" applyProtection="1">
      <alignment vertical="center"/>
      <protection locked="0"/>
    </xf>
    <xf numFmtId="2" fontId="35" fillId="16" borderId="3" xfId="71" applyNumberFormat="1" applyFont="1" applyFill="1" applyBorder="1" applyAlignment="1" applyProtection="1">
      <alignment vertical="center"/>
      <protection locked="0"/>
    </xf>
    <xf numFmtId="2" fontId="35" fillId="16" borderId="22" xfId="71" applyNumberFormat="1" applyFont="1" applyFill="1" applyBorder="1" applyAlignment="1" applyProtection="1">
      <alignment vertical="center"/>
      <protection locked="0"/>
    </xf>
    <xf numFmtId="2" fontId="35" fillId="16" borderId="23" xfId="71" applyNumberFormat="1" applyFont="1" applyFill="1" applyBorder="1" applyAlignment="1" applyProtection="1">
      <alignment vertical="center"/>
      <protection locked="0"/>
    </xf>
    <xf numFmtId="2" fontId="35" fillId="16" borderId="24" xfId="71" applyNumberFormat="1" applyFont="1" applyFill="1" applyBorder="1" applyAlignment="1" applyProtection="1">
      <alignment vertical="center"/>
      <protection locked="0"/>
    </xf>
    <xf numFmtId="166" fontId="35" fillId="0" borderId="17" xfId="71" applyNumberFormat="1" applyFont="1" applyFill="1" applyBorder="1" applyAlignment="1" applyProtection="1">
      <alignment horizontal="left" vertical="center" indent="1"/>
      <protection locked="0"/>
    </xf>
    <xf numFmtId="2" fontId="35" fillId="0" borderId="21" xfId="71" applyNumberFormat="1" applyFont="1" applyFill="1" applyBorder="1" applyAlignment="1" applyProtection="1">
      <alignment vertical="center"/>
      <protection locked="0"/>
    </xf>
    <xf numFmtId="2" fontId="35" fillId="0" borderId="3" xfId="71" applyNumberFormat="1" applyFont="1" applyFill="1" applyBorder="1" applyAlignment="1" applyProtection="1">
      <alignment vertical="center"/>
      <protection locked="0"/>
    </xf>
    <xf numFmtId="2" fontId="35" fillId="0" borderId="22" xfId="71" applyNumberFormat="1" applyFont="1" applyFill="1" applyBorder="1" applyAlignment="1" applyProtection="1">
      <alignment vertical="center"/>
      <protection locked="0"/>
    </xf>
    <xf numFmtId="2" fontId="35" fillId="0" borderId="23" xfId="71" applyNumberFormat="1" applyFont="1" applyFill="1" applyBorder="1" applyAlignment="1" applyProtection="1">
      <alignment vertical="center"/>
      <protection locked="0"/>
    </xf>
    <xf numFmtId="2" fontId="35" fillId="0" borderId="24" xfId="71" applyNumberFormat="1" applyFont="1" applyFill="1" applyBorder="1" applyAlignment="1" applyProtection="1">
      <alignment vertical="center"/>
      <protection locked="0"/>
    </xf>
    <xf numFmtId="172" fontId="33" fillId="0" borderId="0" xfId="71" applyNumberFormat="1" applyFont="1" applyFill="1" applyAlignment="1" applyProtection="1">
      <alignment vertical="center"/>
      <protection locked="0"/>
    </xf>
    <xf numFmtId="171" fontId="37" fillId="0" borderId="18" xfId="86" applyNumberFormat="1" applyFont="1" applyFill="1" applyBorder="1" applyAlignment="1" applyProtection="1">
      <alignment horizontal="centerContinuous" vertical="center"/>
      <protection locked="0"/>
    </xf>
    <xf numFmtId="172" fontId="33" fillId="0" borderId="21" xfId="71" applyNumberFormat="1" applyFont="1" applyFill="1" applyBorder="1" applyAlignment="1" applyProtection="1">
      <alignment vertical="center"/>
      <protection locked="0"/>
    </xf>
    <xf numFmtId="172" fontId="33" fillId="0" borderId="3" xfId="71" applyNumberFormat="1" applyFont="1" applyFill="1" applyBorder="1" applyAlignment="1" applyProtection="1">
      <alignment vertical="center"/>
      <protection locked="0"/>
    </xf>
    <xf numFmtId="172" fontId="33" fillId="0" borderId="22" xfId="71" applyNumberFormat="1" applyFont="1" applyFill="1" applyBorder="1" applyAlignment="1" applyProtection="1">
      <alignment vertical="center"/>
      <protection locked="0"/>
    </xf>
    <xf numFmtId="172" fontId="33" fillId="0" borderId="23" xfId="71" applyNumberFormat="1" applyFont="1" applyFill="1" applyBorder="1" applyAlignment="1" applyProtection="1">
      <alignment vertical="center"/>
      <protection locked="0"/>
    </xf>
    <xf numFmtId="172" fontId="33" fillId="0" borderId="24" xfId="71" applyNumberFormat="1" applyFont="1" applyFill="1" applyBorder="1" applyAlignment="1" applyProtection="1">
      <alignment vertical="center"/>
      <protection locked="0"/>
    </xf>
    <xf numFmtId="173" fontId="35" fillId="0" borderId="0" xfId="71" applyNumberFormat="1" applyFont="1" applyFill="1" applyAlignment="1" applyProtection="1">
      <alignment vertical="center"/>
      <protection locked="0"/>
    </xf>
    <xf numFmtId="173" fontId="35" fillId="16" borderId="17" xfId="71" applyNumberFormat="1" applyFont="1" applyFill="1" applyBorder="1" applyAlignment="1" applyProtection="1">
      <alignment horizontal="left" vertical="center" indent="1"/>
      <protection locked="0"/>
    </xf>
    <xf numFmtId="173" fontId="35" fillId="16" borderId="21" xfId="71" applyNumberFormat="1" applyFont="1" applyFill="1" applyBorder="1" applyAlignment="1" applyProtection="1">
      <alignment vertical="center"/>
      <protection locked="0"/>
    </xf>
    <xf numFmtId="173" fontId="35" fillId="16" borderId="3" xfId="71" applyNumberFormat="1" applyFont="1" applyFill="1" applyBorder="1" applyAlignment="1" applyProtection="1">
      <alignment vertical="center"/>
      <protection locked="0"/>
    </xf>
    <xf numFmtId="173" fontId="35" fillId="16" borderId="22" xfId="71" applyNumberFormat="1" applyFont="1" applyFill="1" applyBorder="1" applyAlignment="1" applyProtection="1">
      <alignment vertical="center"/>
      <protection locked="0"/>
    </xf>
    <xf numFmtId="173" fontId="35" fillId="16" borderId="23" xfId="71" applyNumberFormat="1" applyFont="1" applyFill="1" applyBorder="1" applyAlignment="1" applyProtection="1">
      <alignment vertical="center"/>
      <protection locked="0"/>
    </xf>
    <xf numFmtId="173" fontId="35" fillId="16" borderId="24" xfId="71" applyNumberFormat="1" applyFont="1" applyFill="1" applyBorder="1" applyAlignment="1" applyProtection="1">
      <alignment vertical="center"/>
      <protection locked="0"/>
    </xf>
    <xf numFmtId="172" fontId="35" fillId="0" borderId="21" xfId="71" applyNumberFormat="1" applyFont="1" applyFill="1" applyBorder="1" applyAlignment="1" applyProtection="1">
      <alignment vertical="center"/>
      <protection locked="0"/>
    </xf>
    <xf numFmtId="172" fontId="35" fillId="0" borderId="3" xfId="71" applyNumberFormat="1" applyFont="1" applyFill="1" applyBorder="1" applyAlignment="1" applyProtection="1">
      <alignment vertical="center"/>
      <protection locked="0"/>
    </xf>
    <xf numFmtId="172" fontId="35" fillId="0" borderId="22" xfId="71" applyNumberFormat="1" applyFont="1" applyFill="1" applyBorder="1" applyAlignment="1" applyProtection="1">
      <alignment vertical="center"/>
      <protection locked="0"/>
    </xf>
    <xf numFmtId="172" fontId="35" fillId="0" borderId="23" xfId="71" applyNumberFormat="1" applyFont="1" applyFill="1" applyBorder="1" applyAlignment="1" applyProtection="1">
      <alignment vertical="center"/>
      <protection locked="0"/>
    </xf>
    <xf numFmtId="172" fontId="35" fillId="0" borderId="24" xfId="71" applyNumberFormat="1" applyFont="1" applyFill="1" applyBorder="1" applyAlignment="1" applyProtection="1">
      <alignment vertical="center"/>
      <protection locked="0"/>
    </xf>
    <xf numFmtId="172" fontId="35" fillId="0" borderId="17" xfId="71" applyNumberFormat="1" applyFont="1" applyFill="1" applyBorder="1" applyAlignment="1" applyProtection="1">
      <alignment horizontal="left" vertical="center" indent="1"/>
      <protection locked="0"/>
    </xf>
    <xf numFmtId="173" fontId="35" fillId="0" borderId="21" xfId="71" applyNumberFormat="1" applyFont="1" applyFill="1" applyBorder="1" applyAlignment="1" applyProtection="1">
      <alignment vertical="center"/>
      <protection locked="0"/>
    </xf>
    <xf numFmtId="173" fontId="35" fillId="0" borderId="3" xfId="71" applyNumberFormat="1" applyFont="1" applyFill="1" applyBorder="1" applyAlignment="1" applyProtection="1">
      <alignment vertical="center"/>
      <protection locked="0"/>
    </xf>
    <xf numFmtId="173" fontId="35" fillId="0" borderId="22" xfId="71" applyNumberFormat="1" applyFont="1" applyFill="1" applyBorder="1" applyAlignment="1" applyProtection="1">
      <alignment vertical="center"/>
      <protection locked="0"/>
    </xf>
    <xf numFmtId="173" fontId="35" fillId="0" borderId="23" xfId="71" applyNumberFormat="1" applyFont="1" applyFill="1" applyBorder="1" applyAlignment="1" applyProtection="1">
      <alignment vertical="center"/>
      <protection locked="0"/>
    </xf>
    <xf numFmtId="173" fontId="35" fillId="0" borderId="24" xfId="71" applyNumberFormat="1" applyFont="1" applyFill="1" applyBorder="1" applyAlignment="1" applyProtection="1">
      <alignment vertical="center"/>
      <protection locked="0"/>
    </xf>
    <xf numFmtId="173" fontId="33" fillId="0" borderId="0" xfId="71" applyNumberFormat="1" applyFont="1" applyFill="1" applyAlignment="1" applyProtection="1">
      <alignment vertical="center"/>
      <protection locked="0"/>
    </xf>
    <xf numFmtId="172" fontId="35" fillId="0" borderId="0" xfId="71" applyNumberFormat="1" applyFont="1" applyFill="1" applyAlignment="1" applyProtection="1">
      <alignment vertical="center"/>
      <protection locked="0"/>
    </xf>
    <xf numFmtId="172" fontId="35" fillId="16" borderId="17" xfId="71" applyNumberFormat="1" applyFont="1" applyFill="1" applyBorder="1" applyAlignment="1" applyProtection="1">
      <alignment horizontal="left" vertical="center" indent="1"/>
      <protection locked="0"/>
    </xf>
    <xf numFmtId="172" fontId="35" fillId="16" borderId="21" xfId="71" applyNumberFormat="1" applyFont="1" applyFill="1" applyBorder="1" applyAlignment="1" applyProtection="1">
      <alignment vertical="center"/>
      <protection locked="0"/>
    </xf>
    <xf numFmtId="172" fontId="35" fillId="16" borderId="3" xfId="71" applyNumberFormat="1" applyFont="1" applyFill="1" applyBorder="1" applyAlignment="1" applyProtection="1">
      <alignment vertical="center"/>
      <protection locked="0"/>
    </xf>
    <xf numFmtId="172" fontId="35" fillId="16" borderId="22" xfId="71" applyNumberFormat="1" applyFont="1" applyFill="1" applyBorder="1" applyAlignment="1" applyProtection="1">
      <alignment vertical="center"/>
      <protection locked="0"/>
    </xf>
    <xf numFmtId="172" fontId="35" fillId="16" borderId="23" xfId="71" applyNumberFormat="1" applyFont="1" applyFill="1" applyBorder="1" applyAlignment="1" applyProtection="1">
      <alignment vertical="center"/>
      <protection locked="0"/>
    </xf>
    <xf numFmtId="172" fontId="35" fillId="16" borderId="24" xfId="71" applyNumberFormat="1" applyFont="1" applyFill="1" applyBorder="1" applyAlignment="1" applyProtection="1">
      <alignment vertical="center"/>
      <protection locked="0"/>
    </xf>
    <xf numFmtId="172" fontId="33" fillId="0" borderId="17" xfId="71" applyNumberFormat="1" applyFont="1" applyFill="1" applyBorder="1" applyAlignment="1" applyProtection="1">
      <alignment horizontal="left" vertical="center" indent="1"/>
      <protection locked="0"/>
    </xf>
    <xf numFmtId="9" fontId="33" fillId="0" borderId="3" xfId="86" applyFont="1" applyFill="1" applyBorder="1" applyAlignment="1" applyProtection="1">
      <alignment vertical="center"/>
      <protection locked="0"/>
    </xf>
    <xf numFmtId="43" fontId="33" fillId="0" borderId="3" xfId="21" applyNumberFormat="1" applyFont="1" applyFill="1" applyBorder="1" applyAlignment="1" applyProtection="1">
      <alignment vertical="center"/>
      <protection locked="0"/>
    </xf>
    <xf numFmtId="174" fontId="35" fillId="0" borderId="0" xfId="90" applyNumberFormat="1" applyFont="1" applyFill="1" applyAlignment="1" applyProtection="1">
      <alignment vertical="center"/>
      <protection locked="0"/>
    </xf>
    <xf numFmtId="174" fontId="35" fillId="16" borderId="17" xfId="90" applyNumberFormat="1" applyFont="1" applyFill="1" applyBorder="1" applyAlignment="1" applyProtection="1">
      <alignment horizontal="left" vertical="center" indent="1"/>
      <protection locked="0"/>
    </xf>
    <xf numFmtId="174" fontId="35" fillId="16" borderId="21" xfId="90" applyNumberFormat="1" applyFont="1" applyFill="1" applyBorder="1" applyAlignment="1" applyProtection="1">
      <alignment vertical="center"/>
      <protection locked="0"/>
    </xf>
    <xf numFmtId="174" fontId="35" fillId="16" borderId="3" xfId="90" applyNumberFormat="1" applyFont="1" applyFill="1" applyBorder="1" applyAlignment="1" applyProtection="1">
      <alignment vertical="center"/>
      <protection locked="0"/>
    </xf>
    <xf numFmtId="174" fontId="35" fillId="16" borderId="22" xfId="90" applyNumberFormat="1" applyFont="1" applyFill="1" applyBorder="1" applyAlignment="1" applyProtection="1">
      <alignment vertical="center"/>
      <protection locked="0"/>
    </xf>
    <xf numFmtId="174" fontId="35" fillId="16" borderId="23" xfId="90" applyNumberFormat="1" applyFont="1" applyFill="1" applyBorder="1" applyAlignment="1" applyProtection="1">
      <alignment vertical="center"/>
      <protection locked="0"/>
    </xf>
    <xf numFmtId="174" fontId="35" fillId="16" borderId="24" xfId="90" applyNumberFormat="1" applyFont="1" applyFill="1" applyBorder="1" applyAlignment="1" applyProtection="1">
      <alignment vertical="center"/>
      <protection locked="0"/>
    </xf>
    <xf numFmtId="165" fontId="35" fillId="16" borderId="21" xfId="71" applyNumberFormat="1" applyFont="1" applyFill="1" applyBorder="1" applyAlignment="1" applyProtection="1">
      <alignment vertical="center"/>
      <protection locked="0"/>
    </xf>
    <xf numFmtId="165" fontId="35" fillId="16" borderId="3" xfId="71" applyNumberFormat="1" applyFont="1" applyFill="1" applyBorder="1" applyAlignment="1" applyProtection="1">
      <alignment vertical="center"/>
      <protection locked="0"/>
    </xf>
    <xf numFmtId="165" fontId="35" fillId="16" borderId="22" xfId="71" applyNumberFormat="1" applyFont="1" applyFill="1" applyBorder="1" applyAlignment="1" applyProtection="1">
      <alignment vertical="center"/>
      <protection locked="0"/>
    </xf>
    <xf numFmtId="165" fontId="35" fillId="16" borderId="23" xfId="71" applyNumberFormat="1" applyFont="1" applyFill="1" applyBorder="1" applyAlignment="1" applyProtection="1">
      <alignment vertical="center"/>
      <protection locked="0"/>
    </xf>
    <xf numFmtId="165" fontId="35" fillId="16" borderId="24" xfId="71" applyNumberFormat="1" applyFont="1" applyFill="1" applyBorder="1" applyAlignment="1" applyProtection="1">
      <alignment vertical="center"/>
      <protection locked="0"/>
    </xf>
    <xf numFmtId="173" fontId="33" fillId="0" borderId="17" xfId="71" applyNumberFormat="1" applyFont="1" applyFill="1" applyBorder="1" applyAlignment="1" applyProtection="1">
      <alignment horizontal="left" vertical="center" indent="1"/>
      <protection locked="0"/>
    </xf>
    <xf numFmtId="173" fontId="33" fillId="0" borderId="21" xfId="71" applyNumberFormat="1" applyFont="1" applyFill="1" applyBorder="1" applyAlignment="1" applyProtection="1">
      <alignment vertical="center"/>
      <protection locked="0"/>
    </xf>
    <xf numFmtId="173" fontId="33" fillId="0" borderId="3" xfId="71" applyNumberFormat="1" applyFont="1" applyFill="1" applyBorder="1" applyAlignment="1" applyProtection="1">
      <alignment vertical="center"/>
      <protection locked="0"/>
    </xf>
    <xf numFmtId="173" fontId="33" fillId="0" borderId="22" xfId="71" applyNumberFormat="1" applyFont="1" applyFill="1" applyBorder="1" applyAlignment="1" applyProtection="1">
      <alignment vertical="center"/>
      <protection locked="0"/>
    </xf>
    <xf numFmtId="173" fontId="33" fillId="0" borderId="23" xfId="71" applyNumberFormat="1" applyFont="1" applyFill="1" applyBorder="1" applyAlignment="1" applyProtection="1">
      <alignment vertical="center"/>
      <protection locked="0"/>
    </xf>
    <xf numFmtId="173" fontId="33" fillId="0" borderId="24" xfId="71" applyNumberFormat="1" applyFont="1" applyFill="1" applyBorder="1" applyAlignment="1" applyProtection="1">
      <alignment vertical="center"/>
      <protection locked="0"/>
    </xf>
    <xf numFmtId="0" fontId="32" fillId="17" borderId="31" xfId="71" applyFont="1" applyFill="1" applyBorder="1" applyAlignment="1" applyProtection="1">
      <alignment horizontal="left" vertical="center" indent="1"/>
      <protection locked="0"/>
    </xf>
    <xf numFmtId="165" fontId="33" fillId="17" borderId="31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32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33" xfId="71" applyNumberFormat="1" applyFont="1" applyFill="1" applyBorder="1" applyAlignment="1" applyProtection="1">
      <alignment horizontal="centerContinuous" vertical="center"/>
      <protection locked="0"/>
    </xf>
    <xf numFmtId="172" fontId="33" fillId="0" borderId="8" xfId="71" applyNumberFormat="1" applyFont="1" applyFill="1" applyBorder="1" applyAlignment="1" applyProtection="1">
      <alignment vertical="center"/>
      <protection locked="0"/>
    </xf>
    <xf numFmtId="172" fontId="33" fillId="0" borderId="9" xfId="71" applyNumberFormat="1" applyFont="1" applyFill="1" applyBorder="1" applyAlignment="1" applyProtection="1">
      <alignment vertical="center"/>
      <protection locked="0"/>
    </xf>
    <xf numFmtId="172" fontId="33" fillId="0" borderId="10" xfId="71" applyNumberFormat="1" applyFont="1" applyFill="1" applyBorder="1" applyAlignment="1" applyProtection="1">
      <alignment vertical="center"/>
      <protection locked="0"/>
    </xf>
    <xf numFmtId="172" fontId="33" fillId="0" borderId="12" xfId="71" applyNumberFormat="1" applyFont="1" applyFill="1" applyBorder="1" applyAlignment="1" applyProtection="1">
      <alignment vertical="center"/>
      <protection locked="0"/>
    </xf>
    <xf numFmtId="172" fontId="33" fillId="0" borderId="13" xfId="71" applyNumberFormat="1" applyFont="1" applyFill="1" applyBorder="1" applyAlignment="1" applyProtection="1">
      <alignment vertical="center"/>
      <protection locked="0"/>
    </xf>
    <xf numFmtId="166" fontId="35" fillId="16" borderId="17" xfId="71" applyNumberFormat="1" applyFont="1" applyFill="1" applyBorder="1" applyAlignment="1" applyProtection="1">
      <alignment horizontal="left" vertical="center" indent="2"/>
      <protection locked="0"/>
    </xf>
    <xf numFmtId="166" fontId="33" fillId="0" borderId="17" xfId="71" applyNumberFormat="1" applyFont="1" applyFill="1" applyBorder="1" applyAlignment="1" applyProtection="1">
      <alignment horizontal="left" vertical="center" indent="3"/>
      <protection locked="0"/>
    </xf>
    <xf numFmtId="166" fontId="33" fillId="0" borderId="31" xfId="71" applyNumberFormat="1" applyFont="1" applyFill="1" applyBorder="1" applyAlignment="1" applyProtection="1">
      <alignment horizontal="left" vertical="center" indent="3"/>
      <protection locked="0"/>
    </xf>
    <xf numFmtId="172" fontId="33" fillId="0" borderId="34" xfId="71" applyNumberFormat="1" applyFont="1" applyFill="1" applyBorder="1" applyAlignment="1" applyProtection="1">
      <alignment vertical="center"/>
      <protection locked="0"/>
    </xf>
    <xf numFmtId="172" fontId="33" fillId="0" borderId="35" xfId="71" applyNumberFormat="1" applyFont="1" applyFill="1" applyBorder="1" applyAlignment="1" applyProtection="1">
      <alignment vertical="center"/>
      <protection locked="0"/>
    </xf>
    <xf numFmtId="172" fontId="33" fillId="0" borderId="36" xfId="71" applyNumberFormat="1" applyFont="1" applyFill="1" applyBorder="1" applyAlignment="1" applyProtection="1">
      <alignment vertical="center"/>
      <protection locked="0"/>
    </xf>
    <xf numFmtId="172" fontId="33" fillId="0" borderId="37" xfId="71" applyNumberFormat="1" applyFont="1" applyFill="1" applyBorder="1" applyAlignment="1" applyProtection="1">
      <alignment vertical="center"/>
      <protection locked="0"/>
    </xf>
    <xf numFmtId="172" fontId="33" fillId="0" borderId="38" xfId="71" applyNumberFormat="1" applyFont="1" applyFill="1" applyBorder="1" applyAlignment="1" applyProtection="1">
      <alignment vertical="center"/>
      <protection locked="0"/>
    </xf>
    <xf numFmtId="165" fontId="33" fillId="0" borderId="0" xfId="71" applyNumberFormat="1" applyFont="1" applyFill="1" applyBorder="1" applyAlignment="1" applyProtection="1">
      <alignment vertical="center"/>
      <protection locked="0"/>
    </xf>
    <xf numFmtId="166" fontId="33" fillId="0" borderId="0" xfId="71" applyNumberFormat="1" applyFont="1" applyFill="1" applyBorder="1" applyAlignment="1" applyProtection="1">
      <alignment vertical="center"/>
      <protection locked="0"/>
    </xf>
    <xf numFmtId="0" fontId="32" fillId="17" borderId="4" xfId="71" applyFont="1" applyFill="1" applyBorder="1" applyAlignment="1" applyProtection="1">
      <alignment horizontal="left" vertical="center" indent="1"/>
      <protection locked="0"/>
    </xf>
    <xf numFmtId="165" fontId="33" fillId="17" borderId="4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5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6" xfId="71" applyNumberFormat="1" applyFont="1" applyFill="1" applyBorder="1" applyAlignment="1" applyProtection="1">
      <alignment horizontal="centerContinuous" vertical="center"/>
      <protection locked="0"/>
    </xf>
    <xf numFmtId="166" fontId="37" fillId="0" borderId="0" xfId="71" applyNumberFormat="1" applyFont="1" applyFill="1" applyBorder="1" applyAlignment="1" applyProtection="1">
      <alignment vertical="center"/>
      <protection locked="0"/>
    </xf>
    <xf numFmtId="0" fontId="6" fillId="18" borderId="39" xfId="68" applyFont="1" applyFill="1" applyBorder="1" applyAlignment="1" applyProtection="1">
      <alignment vertical="center"/>
      <protection locked="0"/>
    </xf>
    <xf numFmtId="0" fontId="6" fillId="18" borderId="40" xfId="68" applyFont="1" applyFill="1" applyBorder="1" applyAlignment="1" applyProtection="1">
      <alignment horizontal="center" vertical="center"/>
      <protection locked="0"/>
    </xf>
    <xf numFmtId="0" fontId="6" fillId="18" borderId="41" xfId="68" applyFont="1" applyFill="1" applyBorder="1" applyAlignment="1" applyProtection="1">
      <alignment horizontal="center" vertical="center"/>
      <protection locked="0"/>
    </xf>
    <xf numFmtId="0" fontId="6" fillId="18" borderId="42" xfId="68" applyFont="1" applyFill="1" applyBorder="1" applyAlignment="1" applyProtection="1">
      <alignment horizontal="center" vertical="center"/>
      <protection locked="0"/>
    </xf>
    <xf numFmtId="0" fontId="6" fillId="19" borderId="43" xfId="68" applyFont="1" applyFill="1" applyBorder="1" applyAlignment="1" applyProtection="1">
      <alignment horizontal="center" vertical="center"/>
      <protection locked="0"/>
    </xf>
    <xf numFmtId="0" fontId="6" fillId="19" borderId="41" xfId="68" applyFont="1" applyFill="1" applyBorder="1" applyAlignment="1" applyProtection="1">
      <alignment horizontal="center" vertical="center"/>
      <protection locked="0"/>
    </xf>
    <xf numFmtId="0" fontId="6" fillId="19" borderId="44" xfId="68" applyFont="1" applyFill="1" applyBorder="1" applyAlignment="1" applyProtection="1">
      <alignment horizontal="center" vertical="center"/>
      <protection locked="0"/>
    </xf>
    <xf numFmtId="0" fontId="6" fillId="15" borderId="45" xfId="68" applyFont="1" applyFill="1" applyBorder="1" applyAlignment="1" applyProtection="1">
      <alignment horizontal="left" vertical="center" indent="1"/>
      <protection locked="0"/>
    </xf>
    <xf numFmtId="14" fontId="33" fillId="0" borderId="46" xfId="68" applyNumberFormat="1" applyFont="1" applyFill="1" applyBorder="1" applyAlignment="1" applyProtection="1">
      <alignment horizontal="right" vertical="center"/>
      <protection locked="0"/>
    </xf>
    <xf numFmtId="14" fontId="33" fillId="0" borderId="11" xfId="68" applyNumberFormat="1" applyFont="1" applyFill="1" applyBorder="1" applyAlignment="1" applyProtection="1">
      <alignment horizontal="right" vertical="center"/>
      <protection locked="0"/>
    </xf>
    <xf numFmtId="14" fontId="33" fillId="0" borderId="47" xfId="68" applyNumberFormat="1" applyFont="1" applyFill="1" applyBorder="1" applyAlignment="1" applyProtection="1">
      <alignment horizontal="right" vertical="center"/>
      <protection locked="0"/>
    </xf>
    <xf numFmtId="14" fontId="33" fillId="0" borderId="48" xfId="68" applyNumberFormat="1" applyFont="1" applyFill="1" applyBorder="1" applyAlignment="1" applyProtection="1">
      <alignment horizontal="right" vertical="center"/>
      <protection locked="0"/>
    </xf>
    <xf numFmtId="14" fontId="33" fillId="0" borderId="49" xfId="68" applyNumberFormat="1" applyFont="1" applyFill="1" applyBorder="1" applyAlignment="1" applyProtection="1">
      <alignment horizontal="right" vertical="center"/>
      <protection locked="0"/>
    </xf>
    <xf numFmtId="0" fontId="6" fillId="15" borderId="50" xfId="68" applyFont="1" applyFill="1" applyBorder="1" applyAlignment="1" applyProtection="1">
      <alignment horizontal="left" vertical="center" indent="1"/>
      <protection locked="0"/>
    </xf>
    <xf numFmtId="14" fontId="33" fillId="0" borderId="23" xfId="68" applyNumberFormat="1" applyFont="1" applyFill="1" applyBorder="1" applyAlignment="1" applyProtection="1">
      <alignment horizontal="right" vertical="center"/>
      <protection locked="0"/>
    </xf>
    <xf numFmtId="14" fontId="33" fillId="0" borderId="3" xfId="68" applyNumberFormat="1" applyFont="1" applyFill="1" applyBorder="1" applyAlignment="1" applyProtection="1">
      <alignment horizontal="right" vertical="center"/>
      <protection locked="0"/>
    </xf>
    <xf numFmtId="14" fontId="33" fillId="0" borderId="22" xfId="68" applyNumberFormat="1" applyFont="1" applyFill="1" applyBorder="1" applyAlignment="1" applyProtection="1">
      <alignment horizontal="right" vertical="center"/>
      <protection locked="0"/>
    </xf>
    <xf numFmtId="14" fontId="33" fillId="0" borderId="21" xfId="68" applyNumberFormat="1" applyFont="1" applyFill="1" applyBorder="1" applyAlignment="1" applyProtection="1">
      <alignment horizontal="right" vertical="center"/>
      <protection locked="0"/>
    </xf>
    <xf numFmtId="14" fontId="33" fillId="0" borderId="24" xfId="68" applyNumberFormat="1" applyFont="1" applyFill="1" applyBorder="1" applyAlignment="1" applyProtection="1">
      <alignment horizontal="right" vertical="center"/>
      <protection locked="0"/>
    </xf>
    <xf numFmtId="0" fontId="33" fillId="0" borderId="23" xfId="68" applyFont="1" applyFill="1" applyBorder="1" applyAlignment="1" applyProtection="1">
      <alignment horizontal="right" vertical="center"/>
      <protection locked="0"/>
    </xf>
    <xf numFmtId="0" fontId="33" fillId="0" borderId="3" xfId="68" applyFont="1" applyFill="1" applyBorder="1" applyAlignment="1" applyProtection="1">
      <alignment horizontal="right" vertical="center"/>
      <protection locked="0"/>
    </xf>
    <xf numFmtId="0" fontId="33" fillId="0" borderId="22" xfId="68" applyFont="1" applyFill="1" applyBorder="1" applyAlignment="1" applyProtection="1">
      <alignment horizontal="right" vertical="center"/>
      <protection locked="0"/>
    </xf>
    <xf numFmtId="0" fontId="33" fillId="0" borderId="21" xfId="68" applyFont="1" applyFill="1" applyBorder="1" applyAlignment="1" applyProtection="1">
      <alignment horizontal="right" vertical="center"/>
      <protection locked="0"/>
    </xf>
    <xf numFmtId="0" fontId="33" fillId="0" borderId="24" xfId="68" applyFont="1" applyFill="1" applyBorder="1" applyAlignment="1" applyProtection="1">
      <alignment horizontal="right" vertical="center"/>
      <protection locked="0"/>
    </xf>
    <xf numFmtId="0" fontId="6" fillId="15" borderId="51" xfId="68" applyFont="1" applyFill="1" applyBorder="1" applyAlignment="1" applyProtection="1">
      <alignment horizontal="left" vertical="center" indent="1"/>
      <protection locked="0"/>
    </xf>
    <xf numFmtId="0" fontId="33" fillId="0" borderId="37" xfId="68" applyFont="1" applyFill="1" applyBorder="1" applyAlignment="1" applyProtection="1">
      <alignment horizontal="right" vertical="center"/>
      <protection locked="0"/>
    </xf>
    <xf numFmtId="0" fontId="33" fillId="0" borderId="35" xfId="68" applyFont="1" applyFill="1" applyBorder="1" applyAlignment="1" applyProtection="1">
      <alignment horizontal="right" vertical="center"/>
      <protection locked="0"/>
    </xf>
    <xf numFmtId="0" fontId="33" fillId="0" borderId="36" xfId="68" applyFont="1" applyFill="1" applyBorder="1" applyAlignment="1" applyProtection="1">
      <alignment horizontal="right" vertical="center"/>
      <protection locked="0"/>
    </xf>
    <xf numFmtId="0" fontId="33" fillId="0" borderId="34" xfId="68" applyFont="1" applyFill="1" applyBorder="1" applyAlignment="1" applyProtection="1">
      <alignment horizontal="right" vertical="center"/>
      <protection locked="0"/>
    </xf>
    <xf numFmtId="0" fontId="33" fillId="0" borderId="38" xfId="68" applyFont="1" applyFill="1" applyBorder="1" applyAlignment="1" applyProtection="1">
      <alignment horizontal="right" vertical="center"/>
      <protection locked="0"/>
    </xf>
    <xf numFmtId="0" fontId="6" fillId="16" borderId="45" xfId="68" applyFont="1" applyFill="1" applyBorder="1" applyAlignment="1" applyProtection="1">
      <alignment horizontal="left" vertical="center" indent="1"/>
      <protection locked="0"/>
    </xf>
    <xf numFmtId="1" fontId="33" fillId="0" borderId="46" xfId="68" applyNumberFormat="1" applyFont="1" applyFill="1" applyBorder="1" applyAlignment="1" applyProtection="1">
      <alignment horizontal="right" vertical="center"/>
      <protection locked="0"/>
    </xf>
    <xf numFmtId="0" fontId="33" fillId="0" borderId="11" xfId="68" applyFont="1" applyFill="1" applyBorder="1" applyAlignment="1" applyProtection="1">
      <alignment horizontal="right" vertical="center"/>
      <protection locked="0"/>
    </xf>
    <xf numFmtId="0" fontId="33" fillId="0" borderId="47" xfId="68" applyFont="1" applyFill="1" applyBorder="1" applyAlignment="1" applyProtection="1">
      <alignment horizontal="right" vertical="center"/>
      <protection locked="0"/>
    </xf>
    <xf numFmtId="0" fontId="33" fillId="0" borderId="48" xfId="68" applyFont="1" applyFill="1" applyBorder="1" applyAlignment="1" applyProtection="1">
      <alignment horizontal="right" vertical="center"/>
      <protection locked="0"/>
    </xf>
    <xf numFmtId="0" fontId="33" fillId="0" borderId="49" xfId="68" applyFont="1" applyFill="1" applyBorder="1" applyAlignment="1" applyProtection="1">
      <alignment horizontal="right" vertical="center"/>
      <protection locked="0"/>
    </xf>
    <xf numFmtId="0" fontId="6" fillId="16" borderId="50" xfId="68" applyFont="1" applyFill="1" applyBorder="1" applyAlignment="1" applyProtection="1">
      <alignment horizontal="left" vertical="center" indent="1"/>
      <protection locked="0"/>
    </xf>
    <xf numFmtId="0" fontId="6" fillId="16" borderId="52" xfId="68" applyFont="1" applyFill="1" applyBorder="1" applyAlignment="1" applyProtection="1">
      <alignment horizontal="left" vertical="center" indent="1"/>
      <protection locked="0"/>
    </xf>
    <xf numFmtId="0" fontId="33" fillId="0" borderId="29" xfId="68" applyFont="1" applyFill="1" applyBorder="1" applyAlignment="1" applyProtection="1">
      <alignment horizontal="right" vertical="center"/>
      <protection locked="0"/>
    </xf>
    <xf numFmtId="0" fontId="33" fillId="0" borderId="27" xfId="68" applyFont="1" applyFill="1" applyBorder="1" applyAlignment="1" applyProtection="1">
      <alignment horizontal="right" vertical="center"/>
      <protection locked="0"/>
    </xf>
    <xf numFmtId="0" fontId="33" fillId="0" borderId="28" xfId="68" applyFont="1" applyFill="1" applyBorder="1" applyAlignment="1" applyProtection="1">
      <alignment horizontal="right" vertical="center"/>
      <protection locked="0"/>
    </xf>
    <xf numFmtId="0" fontId="33" fillId="0" borderId="26" xfId="68" applyFont="1" applyFill="1" applyBorder="1" applyAlignment="1" applyProtection="1">
      <alignment horizontal="right" vertical="center"/>
      <protection locked="0"/>
    </xf>
    <xf numFmtId="0" fontId="33" fillId="0" borderId="30" xfId="68" applyFont="1" applyFill="1" applyBorder="1" applyAlignment="1" applyProtection="1">
      <alignment horizontal="right" vertical="center"/>
      <protection locked="0"/>
    </xf>
    <xf numFmtId="0" fontId="33" fillId="0" borderId="46" xfId="68" applyFont="1" applyFill="1" applyBorder="1" applyAlignment="1" applyProtection="1">
      <alignment horizontal="right" vertical="center"/>
      <protection locked="0"/>
    </xf>
    <xf numFmtId="0" fontId="6" fillId="16" borderId="51" xfId="68" applyFont="1" applyFill="1" applyBorder="1" applyAlignment="1" applyProtection="1">
      <alignment horizontal="left" vertical="center" indent="1"/>
      <protection locked="0"/>
    </xf>
    <xf numFmtId="0" fontId="6" fillId="15" borderId="53" xfId="68" applyFont="1" applyFill="1" applyBorder="1" applyAlignment="1" applyProtection="1">
      <alignment horizontal="left" vertical="center" indent="1"/>
      <protection locked="0"/>
    </xf>
    <xf numFmtId="0" fontId="33" fillId="0" borderId="12" xfId="68" applyFont="1" applyFill="1" applyBorder="1" applyAlignment="1" applyProtection="1">
      <alignment horizontal="right" vertical="center"/>
      <protection locked="0"/>
    </xf>
    <xf numFmtId="0" fontId="33" fillId="0" borderId="9" xfId="68" applyFont="1" applyFill="1" applyBorder="1" applyAlignment="1" applyProtection="1">
      <alignment horizontal="right" vertical="center"/>
      <protection locked="0"/>
    </xf>
    <xf numFmtId="0" fontId="33" fillId="0" borderId="10" xfId="68" applyFont="1" applyFill="1" applyBorder="1" applyAlignment="1" applyProtection="1">
      <alignment horizontal="right" vertical="center"/>
      <protection locked="0"/>
    </xf>
    <xf numFmtId="0" fontId="33" fillId="0" borderId="8" xfId="68" applyFont="1" applyFill="1" applyBorder="1" applyAlignment="1" applyProtection="1">
      <alignment horizontal="right" vertical="center"/>
      <protection locked="0"/>
    </xf>
    <xf numFmtId="0" fontId="33" fillId="0" borderId="13" xfId="68" applyFont="1" applyFill="1" applyBorder="1" applyAlignment="1" applyProtection="1">
      <alignment horizontal="right" vertical="center"/>
      <protection locked="0"/>
    </xf>
    <xf numFmtId="175" fontId="33" fillId="0" borderId="3" xfId="21" applyNumberFormat="1" applyFont="1" applyFill="1" applyBorder="1" applyAlignment="1" applyProtection="1">
      <alignment horizontal="right" vertical="center"/>
      <protection locked="0"/>
    </xf>
    <xf numFmtId="43" fontId="33" fillId="0" borderId="3" xfId="21" applyFont="1" applyFill="1" applyBorder="1" applyAlignment="1" applyProtection="1">
      <alignment horizontal="right" vertical="center"/>
      <protection locked="0"/>
    </xf>
    <xf numFmtId="43" fontId="33" fillId="0" borderId="3" xfId="21" applyNumberFormat="1" applyFont="1" applyFill="1" applyBorder="1" applyAlignment="1" applyProtection="1">
      <alignment horizontal="right" vertical="center"/>
      <protection locked="0"/>
    </xf>
    <xf numFmtId="176" fontId="33" fillId="0" borderId="27" xfId="21" applyNumberFormat="1" applyFont="1" applyFill="1" applyBorder="1" applyAlignment="1" applyProtection="1">
      <alignment horizontal="right" vertical="center"/>
      <protection locked="0"/>
    </xf>
    <xf numFmtId="0" fontId="6" fillId="16" borderId="53" xfId="68" applyFont="1" applyFill="1" applyBorder="1" applyAlignment="1" applyProtection="1">
      <alignment horizontal="left" vertical="center" indent="1"/>
      <protection locked="0"/>
    </xf>
    <xf numFmtId="166" fontId="35" fillId="20" borderId="4" xfId="71" applyNumberFormat="1" applyFont="1" applyFill="1" applyBorder="1" applyAlignment="1" applyProtection="1">
      <alignment horizontal="center" vertical="center"/>
      <protection locked="0"/>
    </xf>
    <xf numFmtId="167" fontId="35" fillId="20" borderId="4" xfId="71" applyNumberFormat="1" applyFont="1" applyFill="1" applyBorder="1" applyAlignment="1" applyProtection="1">
      <alignment horizontal="centerContinuous" vertical="center"/>
      <protection locked="0"/>
    </xf>
    <xf numFmtId="167" fontId="35" fillId="20" borderId="5" xfId="71" applyNumberFormat="1" applyFont="1" applyFill="1" applyBorder="1" applyAlignment="1" applyProtection="1">
      <alignment horizontal="centerContinuous" vertical="center"/>
      <protection locked="0"/>
    </xf>
    <xf numFmtId="167" fontId="35" fillId="20" borderId="6" xfId="71" applyNumberFormat="1" applyFont="1" applyFill="1" applyBorder="1" applyAlignment="1" applyProtection="1">
      <alignment horizontal="centerContinuous" vertical="center"/>
      <protection locked="0"/>
    </xf>
    <xf numFmtId="166" fontId="36" fillId="18" borderId="4" xfId="71" applyNumberFormat="1" applyFont="1" applyFill="1" applyBorder="1" applyAlignment="1" applyProtection="1">
      <alignment horizontal="centerContinuous" vertical="center"/>
      <protection locked="0"/>
    </xf>
    <xf numFmtId="1" fontId="38" fillId="18" borderId="5" xfId="71" applyNumberFormat="1" applyFont="1" applyFill="1" applyBorder="1" applyAlignment="1" applyProtection="1">
      <alignment horizontal="center" vertical="center"/>
      <protection locked="0"/>
    </xf>
    <xf numFmtId="1" fontId="38" fillId="18" borderId="6" xfId="71" applyNumberFormat="1" applyFont="1" applyFill="1" applyBorder="1" applyAlignment="1" applyProtection="1">
      <alignment horizontal="center" vertical="center"/>
      <protection locked="0"/>
    </xf>
    <xf numFmtId="1" fontId="38" fillId="18" borderId="4" xfId="71" applyNumberFormat="1" applyFont="1" applyFill="1" applyBorder="1" applyAlignment="1" applyProtection="1">
      <alignment horizontal="center" vertical="center"/>
      <protection locked="0"/>
    </xf>
    <xf numFmtId="0" fontId="40" fillId="0" borderId="0" xfId="71" applyFont="1" applyFill="1" applyBorder="1"/>
    <xf numFmtId="0" fontId="5" fillId="0" borderId="0" xfId="71" applyFont="1" applyFill="1" applyBorder="1"/>
    <xf numFmtId="0" fontId="42" fillId="0" borderId="0" xfId="71" applyFont="1" applyFill="1" applyBorder="1" applyAlignment="1">
      <alignment horizontal="center"/>
    </xf>
    <xf numFmtId="174" fontId="40" fillId="0" borderId="0" xfId="71" applyNumberFormat="1" applyFont="1" applyFill="1" applyBorder="1"/>
    <xf numFmtId="168" fontId="35" fillId="17" borderId="43" xfId="71" applyNumberFormat="1" applyFont="1" applyFill="1" applyBorder="1" applyAlignment="1" applyProtection="1">
      <alignment horizontal="center" vertical="center"/>
      <protection locked="0"/>
    </xf>
    <xf numFmtId="168" fontId="35" fillId="17" borderId="41" xfId="71" applyNumberFormat="1" applyFont="1" applyFill="1" applyBorder="1" applyAlignment="1" applyProtection="1">
      <alignment horizontal="center" vertical="center"/>
      <protection locked="0"/>
    </xf>
    <xf numFmtId="168" fontId="35" fillId="17" borderId="44" xfId="71" applyNumberFormat="1" applyFont="1" applyFill="1" applyBorder="1" applyAlignment="1" applyProtection="1">
      <alignment horizontal="center" vertical="center"/>
      <protection locked="0"/>
    </xf>
    <xf numFmtId="0" fontId="33" fillId="0" borderId="59" xfId="71" applyFont="1" applyFill="1" applyBorder="1" applyAlignment="1" applyProtection="1">
      <alignment horizontal="left" vertical="center" indent="1"/>
      <protection locked="0"/>
    </xf>
    <xf numFmtId="0" fontId="33" fillId="0" borderId="56" xfId="71" applyFont="1" applyFill="1" applyBorder="1" applyAlignment="1" applyProtection="1">
      <alignment horizontal="left" vertical="center" indent="1"/>
      <protection locked="0"/>
    </xf>
    <xf numFmtId="10" fontId="33" fillId="0" borderId="48" xfId="86" applyNumberFormat="1" applyFont="1" applyFill="1" applyBorder="1" applyAlignment="1" applyProtection="1">
      <alignment horizontal="right" vertical="center"/>
      <protection locked="0"/>
    </xf>
    <xf numFmtId="10" fontId="33" fillId="0" borderId="60" xfId="86" applyNumberFormat="1" applyFont="1" applyFill="1" applyBorder="1" applyAlignment="1" applyProtection="1">
      <alignment horizontal="right" vertical="center"/>
      <protection locked="0"/>
    </xf>
    <xf numFmtId="10" fontId="33" fillId="0" borderId="46" xfId="86" applyNumberFormat="1" applyFont="1" applyFill="1" applyBorder="1" applyAlignment="1" applyProtection="1">
      <alignment horizontal="right" vertical="center"/>
      <protection locked="0"/>
    </xf>
    <xf numFmtId="10" fontId="33" fillId="0" borderId="11" xfId="86" applyNumberFormat="1" applyFont="1" applyFill="1" applyBorder="1" applyAlignment="1" applyProtection="1">
      <alignment horizontal="right" vertical="center"/>
      <protection locked="0"/>
    </xf>
    <xf numFmtId="10" fontId="33" fillId="0" borderId="49" xfId="86" applyNumberFormat="1" applyFont="1" applyFill="1" applyBorder="1" applyAlignment="1" applyProtection="1">
      <alignment horizontal="right" vertical="center"/>
      <protection locked="0"/>
    </xf>
    <xf numFmtId="10" fontId="33" fillId="0" borderId="62" xfId="86" applyNumberFormat="1" applyFont="1" applyFill="1" applyBorder="1" applyAlignment="1" applyProtection="1">
      <alignment horizontal="right" vertical="center"/>
      <protection locked="0"/>
    </xf>
    <xf numFmtId="10" fontId="33" fillId="0" borderId="63" xfId="86" applyNumberFormat="1" applyFont="1" applyFill="1" applyBorder="1" applyAlignment="1" applyProtection="1">
      <alignment horizontal="right" vertical="center"/>
      <protection locked="0"/>
    </xf>
    <xf numFmtId="10" fontId="33" fillId="0" borderId="61" xfId="86" applyNumberFormat="1" applyFont="1" applyFill="1" applyBorder="1" applyAlignment="1" applyProtection="1">
      <alignment horizontal="right" vertical="center"/>
      <protection locked="0"/>
    </xf>
    <xf numFmtId="166" fontId="43" fillId="0" borderId="0" xfId="71" applyNumberFormat="1" applyFont="1" applyFill="1" applyBorder="1" applyAlignment="1" applyProtection="1">
      <alignment horizontal="left" vertical="center" indent="1"/>
      <protection locked="0"/>
    </xf>
    <xf numFmtId="10" fontId="35" fillId="0" borderId="0" xfId="86" applyNumberFormat="1" applyFont="1" applyFill="1" applyBorder="1" applyAlignment="1" applyProtection="1">
      <alignment vertical="center"/>
      <protection locked="0"/>
    </xf>
    <xf numFmtId="172" fontId="35" fillId="0" borderId="0" xfId="71" applyNumberFormat="1" applyFont="1" applyFill="1" applyBorder="1" applyAlignment="1" applyProtection="1">
      <alignment vertical="center"/>
      <protection locked="0"/>
    </xf>
    <xf numFmtId="3" fontId="5" fillId="16" borderId="9" xfId="71" applyNumberFormat="1" applyFont="1" applyFill="1" applyBorder="1"/>
    <xf numFmtId="168" fontId="35" fillId="15" borderId="3" xfId="71" applyNumberFormat="1" applyFont="1" applyFill="1" applyBorder="1" applyAlignment="1" applyProtection="1">
      <alignment horizontal="center" vertical="center"/>
      <protection locked="0"/>
    </xf>
    <xf numFmtId="4" fontId="5" fillId="16" borderId="9" xfId="71" applyNumberFormat="1" applyFont="1" applyFill="1" applyBorder="1"/>
    <xf numFmtId="0" fontId="32" fillId="17" borderId="59" xfId="71" applyFont="1" applyFill="1" applyBorder="1" applyAlignment="1">
      <alignment horizontal="centerContinuous" vertical="center"/>
    </xf>
    <xf numFmtId="0" fontId="5" fillId="17" borderId="65" xfId="71" applyFont="1" applyFill="1" applyBorder="1" applyAlignment="1">
      <alignment horizontal="centerContinuous" vertical="center"/>
    </xf>
    <xf numFmtId="0" fontId="5" fillId="17" borderId="66" xfId="71" applyFont="1" applyFill="1" applyBorder="1" applyAlignment="1">
      <alignment horizontal="centerContinuous" vertical="center"/>
    </xf>
    <xf numFmtId="0" fontId="5" fillId="0" borderId="7" xfId="71" applyFont="1" applyFill="1" applyBorder="1"/>
    <xf numFmtId="0" fontId="5" fillId="0" borderId="57" xfId="71" applyFont="1" applyFill="1" applyBorder="1"/>
    <xf numFmtId="168" fontId="35" fillId="15" borderId="24" xfId="71" applyNumberFormat="1" applyFont="1" applyFill="1" applyBorder="1" applyAlignment="1" applyProtection="1">
      <alignment horizontal="center" vertical="center"/>
      <protection locked="0"/>
    </xf>
    <xf numFmtId="3" fontId="5" fillId="16" borderId="13" xfId="71" applyNumberFormat="1" applyFont="1" applyFill="1" applyBorder="1"/>
    <xf numFmtId="174" fontId="5" fillId="18" borderId="35" xfId="71" applyNumberFormat="1" applyFont="1" applyFill="1" applyBorder="1"/>
    <xf numFmtId="10" fontId="5" fillId="18" borderId="38" xfId="71" quotePrefix="1" applyNumberFormat="1" applyFont="1" applyFill="1" applyBorder="1" applyAlignment="1">
      <alignment horizontal="right"/>
    </xf>
    <xf numFmtId="4" fontId="5" fillId="16" borderId="13" xfId="71" applyNumberFormat="1" applyFont="1" applyFill="1" applyBorder="1"/>
    <xf numFmtId="168" fontId="35" fillId="15" borderId="23" xfId="71" applyNumberFormat="1" applyFont="1" applyFill="1" applyBorder="1" applyAlignment="1" applyProtection="1">
      <alignment horizontal="center" vertical="center"/>
      <protection locked="0"/>
    </xf>
    <xf numFmtId="3" fontId="5" fillId="16" borderId="12" xfId="71" applyNumberFormat="1" applyFont="1" applyFill="1" applyBorder="1"/>
    <xf numFmtId="174" fontId="5" fillId="18" borderId="37" xfId="71" applyNumberFormat="1" applyFont="1" applyFill="1" applyBorder="1"/>
    <xf numFmtId="169" fontId="35" fillId="15" borderId="45" xfId="71" applyNumberFormat="1" applyFont="1" applyFill="1" applyBorder="1" applyAlignment="1" applyProtection="1">
      <alignment horizontal="centerContinuous" vertical="center"/>
      <protection locked="0"/>
    </xf>
    <xf numFmtId="14" fontId="41" fillId="18" borderId="51" xfId="71" applyNumberFormat="1" applyFont="1" applyFill="1" applyBorder="1" applyAlignment="1">
      <alignment horizontal="right"/>
    </xf>
    <xf numFmtId="4" fontId="5" fillId="16" borderId="12" xfId="71" applyNumberFormat="1" applyFont="1" applyFill="1" applyBorder="1"/>
    <xf numFmtId="10" fontId="5" fillId="16" borderId="50" xfId="86" applyNumberFormat="1" applyFont="1" applyFill="1" applyBorder="1"/>
    <xf numFmtId="10" fontId="5" fillId="16" borderId="12" xfId="86" applyNumberFormat="1" applyFont="1" applyFill="1" applyBorder="1"/>
    <xf numFmtId="10" fontId="5" fillId="16" borderId="9" xfId="86" applyNumberFormat="1" applyFont="1" applyFill="1" applyBorder="1"/>
    <xf numFmtId="10" fontId="5" fillId="16" borderId="13" xfId="86" applyNumberFormat="1" applyFont="1" applyFill="1" applyBorder="1"/>
    <xf numFmtId="0" fontId="32" fillId="17" borderId="65" xfId="71" applyFont="1" applyFill="1" applyBorder="1" applyAlignment="1">
      <alignment horizontal="centerContinuous" vertical="center"/>
    </xf>
    <xf numFmtId="169" fontId="35" fillId="15" borderId="66" xfId="71" applyNumberFormat="1" applyFont="1" applyFill="1" applyBorder="1" applyAlignment="1" applyProtection="1">
      <alignment horizontal="centerContinuous" vertical="center"/>
      <protection locked="0"/>
    </xf>
    <xf numFmtId="3" fontId="5" fillId="16" borderId="19" xfId="71" applyNumberFormat="1" applyFont="1" applyFill="1" applyBorder="1"/>
    <xf numFmtId="14" fontId="41" fillId="18" borderId="33" xfId="71" applyNumberFormat="1" applyFont="1" applyFill="1" applyBorder="1" applyAlignment="1">
      <alignment horizontal="right"/>
    </xf>
    <xf numFmtId="4" fontId="5" fillId="16" borderId="19" xfId="71" applyNumberFormat="1" applyFont="1" applyFill="1" applyBorder="1"/>
    <xf numFmtId="165" fontId="35" fillId="0" borderId="0" xfId="71" applyNumberFormat="1" applyFont="1" applyFill="1" applyAlignment="1" applyProtection="1">
      <alignment vertical="center"/>
      <protection locked="0"/>
    </xf>
    <xf numFmtId="165" fontId="35" fillId="0" borderId="0" xfId="71" applyNumberFormat="1" applyFont="1" applyFill="1" applyAlignment="1" applyProtection="1">
      <alignment horizontal="left" vertical="center" indent="1"/>
      <protection locked="0"/>
    </xf>
    <xf numFmtId="0" fontId="39" fillId="0" borderId="0" xfId="104" applyFont="1" applyFill="1" applyBorder="1" applyAlignment="1">
      <alignment horizontal="center" vertical="center"/>
    </xf>
    <xf numFmtId="0" fontId="34" fillId="0" borderId="3" xfId="104" applyFont="1" applyFill="1" applyBorder="1" applyAlignment="1">
      <alignment horizontal="center" vertical="center"/>
    </xf>
    <xf numFmtId="193" fontId="34" fillId="0" borderId="3" xfId="104" applyNumberFormat="1" applyFont="1" applyFill="1" applyBorder="1" applyAlignment="1">
      <alignment horizontal="center" vertical="center"/>
    </xf>
    <xf numFmtId="195" fontId="39" fillId="0" borderId="27" xfId="104" applyNumberFormat="1" applyFont="1" applyFill="1" applyBorder="1" applyAlignment="1">
      <alignment horizontal="right" vertical="center"/>
    </xf>
    <xf numFmtId="195" fontId="39" fillId="0" borderId="67" xfId="104" applyNumberFormat="1" applyFont="1" applyFill="1" applyBorder="1" applyAlignment="1">
      <alignment horizontal="right" vertical="center"/>
    </xf>
    <xf numFmtId="195" fontId="39" fillId="0" borderId="9" xfId="104" applyNumberFormat="1" applyFont="1" applyFill="1" applyBorder="1" applyAlignment="1">
      <alignment horizontal="right" vertical="center"/>
    </xf>
    <xf numFmtId="43" fontId="39" fillId="0" borderId="27" xfId="21" applyFont="1" applyFill="1" applyBorder="1" applyAlignment="1">
      <alignment horizontal="right" vertical="center"/>
    </xf>
    <xf numFmtId="43" fontId="39" fillId="0" borderId="67" xfId="21" applyFont="1" applyFill="1" applyBorder="1" applyAlignment="1">
      <alignment horizontal="right" vertical="center"/>
    </xf>
    <xf numFmtId="43" fontId="39" fillId="0" borderId="9" xfId="21" applyFont="1" applyFill="1" applyBorder="1" applyAlignment="1">
      <alignment horizontal="right" vertical="center"/>
    </xf>
    <xf numFmtId="43" fontId="39" fillId="0" borderId="0" xfId="21" applyFont="1" applyFill="1" applyBorder="1" applyAlignment="1">
      <alignment horizontal="center" vertical="center"/>
    </xf>
    <xf numFmtId="0" fontId="39" fillId="0" borderId="22" xfId="104" applyFont="1" applyFill="1" applyBorder="1" applyAlignment="1">
      <alignment horizontal="center" vertical="center"/>
    </xf>
    <xf numFmtId="0" fontId="39" fillId="0" borderId="23" xfId="104" applyFont="1" applyFill="1" applyBorder="1" applyAlignment="1">
      <alignment horizontal="center" vertical="center"/>
    </xf>
    <xf numFmtId="0" fontId="47" fillId="21" borderId="3" xfId="104" applyFont="1" applyFill="1" applyBorder="1" applyAlignment="1">
      <alignment horizontal="center" vertical="center"/>
    </xf>
    <xf numFmtId="0" fontId="47" fillId="21" borderId="22" xfId="104" applyFont="1" applyFill="1" applyBorder="1" applyAlignment="1">
      <alignment horizontal="centerContinuous" vertical="center"/>
    </xf>
    <xf numFmtId="0" fontId="42" fillId="21" borderId="23" xfId="104" applyFont="1" applyFill="1" applyBorder="1" applyAlignment="1">
      <alignment horizontal="centerContinuous" vertical="center"/>
    </xf>
    <xf numFmtId="0" fontId="47" fillId="21" borderId="3" xfId="69" applyFont="1" applyFill="1" applyBorder="1" applyAlignment="1" applyProtection="1">
      <alignment horizontal="center" vertical="center"/>
      <protection locked="0"/>
    </xf>
    <xf numFmtId="0" fontId="47" fillId="21" borderId="27" xfId="104" applyFont="1" applyFill="1" applyBorder="1" applyAlignment="1">
      <alignment horizontal="center" vertical="center"/>
    </xf>
    <xf numFmtId="195" fontId="39" fillId="0" borderId="28" xfId="104" applyNumberFormat="1" applyFont="1" applyFill="1" applyBorder="1" applyAlignment="1">
      <alignment horizontal="right" vertical="center"/>
    </xf>
    <xf numFmtId="43" fontId="39" fillId="0" borderId="68" xfId="21" applyFont="1" applyFill="1" applyBorder="1" applyAlignment="1">
      <alignment horizontal="center" vertical="center"/>
    </xf>
    <xf numFmtId="10" fontId="39" fillId="0" borderId="29" xfId="86" applyNumberFormat="1" applyFont="1" applyFill="1" applyBorder="1" applyAlignment="1">
      <alignment horizontal="right" vertical="center"/>
    </xf>
    <xf numFmtId="195" fontId="39" fillId="0" borderId="69" xfId="104" applyNumberFormat="1" applyFont="1" applyFill="1" applyBorder="1" applyAlignment="1">
      <alignment horizontal="right" vertical="center"/>
    </xf>
    <xf numFmtId="10" fontId="39" fillId="0" borderId="70" xfId="86" applyNumberFormat="1" applyFont="1" applyFill="1" applyBorder="1" applyAlignment="1">
      <alignment horizontal="right" vertical="center"/>
    </xf>
    <xf numFmtId="195" fontId="39" fillId="0" borderId="10" xfId="104" applyNumberFormat="1" applyFont="1" applyFill="1" applyBorder="1" applyAlignment="1">
      <alignment horizontal="right" vertical="center"/>
    </xf>
    <xf numFmtId="43" fontId="39" fillId="0" borderId="64" xfId="21" applyFont="1" applyFill="1" applyBorder="1" applyAlignment="1">
      <alignment horizontal="center" vertical="center"/>
    </xf>
    <xf numFmtId="10" fontId="39" fillId="0" borderId="12" xfId="86" applyNumberFormat="1" applyFont="1" applyFill="1" applyBorder="1" applyAlignment="1">
      <alignment horizontal="right" vertical="center"/>
    </xf>
    <xf numFmtId="4" fontId="5" fillId="16" borderId="19" xfId="71" applyNumberFormat="1" applyFont="1" applyFill="1" applyBorder="1" applyAlignment="1">
      <alignment horizontal="right"/>
    </xf>
    <xf numFmtId="4" fontId="5" fillId="16" borderId="12" xfId="71" applyNumberFormat="1" applyFont="1" applyFill="1" applyBorder="1" applyAlignment="1">
      <alignment horizontal="right"/>
    </xf>
    <xf numFmtId="4" fontId="5" fillId="16" borderId="9" xfId="71" applyNumberFormat="1" applyFont="1" applyFill="1" applyBorder="1" applyAlignment="1">
      <alignment horizontal="right"/>
    </xf>
    <xf numFmtId="4" fontId="5" fillId="16" borderId="13" xfId="71" applyNumberFormat="1" applyFont="1" applyFill="1" applyBorder="1" applyAlignment="1">
      <alignment horizontal="right"/>
    </xf>
    <xf numFmtId="3" fontId="5" fillId="16" borderId="50" xfId="71" applyNumberFormat="1" applyFont="1" applyFill="1" applyBorder="1"/>
    <xf numFmtId="2" fontId="5" fillId="16" borderId="50" xfId="86" applyNumberFormat="1" applyFont="1" applyFill="1" applyBorder="1"/>
    <xf numFmtId="2" fontId="5" fillId="16" borderId="12" xfId="86" applyNumberFormat="1" applyFont="1" applyFill="1" applyBorder="1"/>
    <xf numFmtId="2" fontId="5" fillId="16" borderId="9" xfId="86" applyNumberFormat="1" applyFont="1" applyFill="1" applyBorder="1"/>
    <xf numFmtId="2" fontId="5" fillId="16" borderId="13" xfId="86" applyNumberFormat="1" applyFont="1" applyFill="1" applyBorder="1"/>
    <xf numFmtId="10" fontId="5" fillId="16" borderId="19" xfId="86" applyNumberFormat="1" applyFont="1" applyFill="1" applyBorder="1"/>
    <xf numFmtId="169" fontId="35" fillId="17" borderId="43" xfId="71" applyNumberFormat="1" applyFont="1" applyFill="1" applyBorder="1" applyAlignment="1" applyProtection="1">
      <alignment horizontal="centerContinuous" vertical="center"/>
      <protection locked="0"/>
    </xf>
    <xf numFmtId="169" fontId="35" fillId="17" borderId="41" xfId="71" applyNumberFormat="1" applyFont="1" applyFill="1" applyBorder="1" applyAlignment="1" applyProtection="1">
      <alignment horizontal="centerContinuous" vertical="center"/>
      <protection locked="0"/>
    </xf>
    <xf numFmtId="169" fontId="35" fillId="17" borderId="44" xfId="71" applyNumberFormat="1" applyFont="1" applyFill="1" applyBorder="1" applyAlignment="1" applyProtection="1">
      <alignment horizontal="centerContinuous" vertical="center"/>
      <protection locked="0"/>
    </xf>
    <xf numFmtId="0" fontId="65" fillId="21" borderId="0" xfId="111" applyFont="1" applyFill="1" applyAlignment="1">
      <alignment horizontal="center" vertical="center"/>
    </xf>
    <xf numFmtId="0" fontId="66" fillId="0" borderId="3" xfId="111" applyFont="1" applyFill="1" applyBorder="1" applyAlignment="1">
      <alignment horizontal="center" vertical="center"/>
    </xf>
    <xf numFmtId="0" fontId="67" fillId="0" borderId="0" xfId="111" applyFont="1" applyFill="1" applyAlignment="1">
      <alignment vertical="center"/>
    </xf>
    <xf numFmtId="0" fontId="65" fillId="21" borderId="0" xfId="111" applyFont="1" applyFill="1" applyAlignment="1">
      <alignment vertical="center"/>
    </xf>
    <xf numFmtId="0" fontId="67" fillId="0" borderId="0" xfId="111" applyFont="1" applyFill="1" applyAlignment="1">
      <alignment horizontal="center" vertical="center"/>
    </xf>
    <xf numFmtId="0" fontId="67" fillId="0" borderId="68" xfId="111" applyFont="1" applyFill="1" applyBorder="1" applyAlignment="1">
      <alignment horizontal="left" vertical="center"/>
    </xf>
    <xf numFmtId="2" fontId="67" fillId="0" borderId="68" xfId="111" applyNumberFormat="1" applyFont="1" applyFill="1" applyBorder="1" applyAlignment="1">
      <alignment horizontal="right" vertical="center"/>
    </xf>
    <xf numFmtId="3" fontId="67" fillId="0" borderId="0" xfId="111" applyNumberFormat="1" applyFont="1" applyFill="1" applyAlignment="1">
      <alignment vertical="center"/>
    </xf>
    <xf numFmtId="0" fontId="67" fillId="0" borderId="0" xfId="111" applyFont="1" applyFill="1" applyBorder="1" applyAlignment="1">
      <alignment horizontal="left" vertical="center"/>
    </xf>
    <xf numFmtId="2" fontId="67" fillId="0" borderId="0" xfId="111" applyNumberFormat="1" applyFont="1" applyFill="1" applyBorder="1" applyAlignment="1">
      <alignment horizontal="right" vertical="center"/>
    </xf>
    <xf numFmtId="174" fontId="67" fillId="0" borderId="0" xfId="111" applyNumberFormat="1" applyFont="1" applyFill="1" applyAlignment="1">
      <alignment vertical="center"/>
    </xf>
    <xf numFmtId="0" fontId="67" fillId="0" borderId="18" xfId="111" applyFont="1" applyFill="1" applyBorder="1" applyAlignment="1">
      <alignment horizontal="left" vertical="center" indent="1"/>
    </xf>
    <xf numFmtId="2" fontId="67" fillId="0" borderId="18" xfId="111" applyNumberFormat="1" applyFont="1" applyFill="1" applyBorder="1" applyAlignment="1">
      <alignment horizontal="right" vertical="center"/>
    </xf>
    <xf numFmtId="3" fontId="67" fillId="0" borderId="0" xfId="111" applyNumberFormat="1" applyFont="1" applyFill="1" applyBorder="1" applyAlignment="1">
      <alignment horizontal="left" vertical="center"/>
    </xf>
    <xf numFmtId="0" fontId="67" fillId="0" borderId="64" xfId="111" applyFont="1" applyFill="1" applyBorder="1" applyAlignment="1">
      <alignment horizontal="left" vertical="center"/>
    </xf>
    <xf numFmtId="2" fontId="67" fillId="0" borderId="64" xfId="111" applyNumberFormat="1" applyFont="1" applyFill="1" applyBorder="1" applyAlignment="1">
      <alignment horizontal="right" vertical="center"/>
    </xf>
    <xf numFmtId="9" fontId="67" fillId="0" borderId="0" xfId="111" applyNumberFormat="1" applyFont="1" applyFill="1" applyAlignment="1">
      <alignment vertical="center"/>
    </xf>
    <xf numFmtId="10" fontId="67" fillId="0" borderId="0" xfId="111" applyNumberFormat="1" applyFont="1" applyFill="1" applyAlignment="1">
      <alignment vertical="center"/>
    </xf>
    <xf numFmtId="0" fontId="67" fillId="0" borderId="0" xfId="111" applyFont="1" applyFill="1" applyAlignment="1">
      <alignment horizontal="left" vertical="center"/>
    </xf>
    <xf numFmtId="2" fontId="67" fillId="0" borderId="0" xfId="111" applyNumberFormat="1" applyFont="1" applyFill="1" applyAlignment="1">
      <alignment horizontal="right" vertical="center"/>
    </xf>
    <xf numFmtId="3" fontId="68" fillId="0" borderId="18" xfId="111" applyNumberFormat="1" applyFont="1" applyFill="1" applyBorder="1" applyAlignment="1">
      <alignment horizontal="center" vertical="center"/>
    </xf>
    <xf numFmtId="3" fontId="68" fillId="0" borderId="23" xfId="111" applyNumberFormat="1" applyFont="1" applyFill="1" applyBorder="1" applyAlignment="1">
      <alignment horizontal="center" vertical="center"/>
    </xf>
    <xf numFmtId="3" fontId="67" fillId="0" borderId="0" xfId="111" applyNumberFormat="1" applyFont="1" applyFill="1" applyAlignment="1">
      <alignment horizontal="center" vertical="center"/>
    </xf>
    <xf numFmtId="0" fontId="69" fillId="0" borderId="0" xfId="111" applyFont="1" applyFill="1" applyAlignment="1">
      <alignment vertical="center"/>
    </xf>
    <xf numFmtId="0" fontId="69" fillId="0" borderId="18" xfId="111" applyFont="1" applyFill="1" applyBorder="1" applyAlignment="1">
      <alignment horizontal="left" vertical="center" indent="1"/>
    </xf>
    <xf numFmtId="0" fontId="67" fillId="0" borderId="0" xfId="111" applyNumberFormat="1" applyFont="1" applyFill="1" applyAlignment="1">
      <alignment horizontal="right" vertical="center"/>
    </xf>
    <xf numFmtId="164" fontId="65" fillId="21" borderId="0" xfId="68" applyNumberFormat="1" applyFont="1" applyFill="1" applyAlignment="1">
      <alignment horizontal="center" vertical="center"/>
    </xf>
    <xf numFmtId="0" fontId="65" fillId="21" borderId="0" xfId="88" applyNumberFormat="1" applyFont="1" applyFill="1" applyAlignment="1">
      <alignment horizontal="center" vertical="center"/>
    </xf>
    <xf numFmtId="174" fontId="65" fillId="21" borderId="0" xfId="88" applyNumberFormat="1" applyFont="1" applyFill="1" applyAlignment="1">
      <alignment horizontal="center" vertical="center"/>
    </xf>
    <xf numFmtId="0" fontId="67" fillId="0" borderId="0" xfId="68" applyFont="1" applyFill="1" applyAlignment="1">
      <alignment vertical="center"/>
    </xf>
    <xf numFmtId="0" fontId="67" fillId="0" borderId="0" xfId="68" applyFont="1" applyFill="1" applyAlignment="1">
      <alignment horizontal="center" vertical="center"/>
    </xf>
    <xf numFmtId="0" fontId="67" fillId="0" borderId="68" xfId="111" applyFont="1" applyFill="1" applyBorder="1" applyAlignment="1">
      <alignment horizontal="left" vertical="center" indent="1"/>
    </xf>
    <xf numFmtId="174" fontId="67" fillId="0" borderId="68" xfId="88" applyNumberFormat="1" applyFont="1" applyFill="1" applyBorder="1" applyAlignment="1">
      <alignment horizontal="right" vertical="center"/>
    </xf>
    <xf numFmtId="174" fontId="70" fillId="0" borderId="68" xfId="88" applyNumberFormat="1" applyFont="1" applyFill="1" applyBorder="1" applyAlignment="1">
      <alignment horizontal="right" vertical="center"/>
    </xf>
    <xf numFmtId="3" fontId="67" fillId="0" borderId="68" xfId="112" applyNumberFormat="1" applyFont="1" applyFill="1" applyBorder="1" applyAlignment="1">
      <alignment horizontal="center" vertical="center"/>
    </xf>
    <xf numFmtId="4" fontId="70" fillId="0" borderId="68" xfId="112" applyNumberFormat="1" applyFont="1" applyFill="1" applyBorder="1" applyAlignment="1">
      <alignment vertical="center"/>
    </xf>
    <xf numFmtId="0" fontId="67" fillId="0" borderId="0" xfId="111" applyFont="1" applyFill="1" applyBorder="1" applyAlignment="1">
      <alignment horizontal="left" vertical="center" indent="1"/>
    </xf>
    <xf numFmtId="174" fontId="67" fillId="0" borderId="0" xfId="88" applyNumberFormat="1" applyFont="1" applyFill="1" applyBorder="1" applyAlignment="1">
      <alignment horizontal="right" vertical="center"/>
    </xf>
    <xf numFmtId="174" fontId="70" fillId="0" borderId="0" xfId="88" applyNumberFormat="1" applyFont="1" applyFill="1" applyBorder="1" applyAlignment="1">
      <alignment horizontal="right" vertical="center"/>
    </xf>
    <xf numFmtId="3" fontId="67" fillId="0" borderId="0" xfId="112" applyNumberFormat="1" applyFont="1" applyFill="1" applyBorder="1" applyAlignment="1">
      <alignment horizontal="center" vertical="center"/>
    </xf>
    <xf numFmtId="4" fontId="70" fillId="0" borderId="0" xfId="112" applyNumberFormat="1" applyFont="1" applyFill="1" applyBorder="1" applyAlignment="1">
      <alignment vertical="center"/>
    </xf>
    <xf numFmtId="0" fontId="67" fillId="0" borderId="64" xfId="111" applyFont="1" applyFill="1" applyBorder="1" applyAlignment="1">
      <alignment horizontal="left" vertical="center" indent="1"/>
    </xf>
    <xf numFmtId="174" fontId="67" fillId="0" borderId="64" xfId="88" applyNumberFormat="1" applyFont="1" applyFill="1" applyBorder="1" applyAlignment="1">
      <alignment horizontal="right" vertical="center"/>
    </xf>
    <xf numFmtId="174" fontId="70" fillId="0" borderId="64" xfId="88" applyNumberFormat="1" applyFont="1" applyFill="1" applyBorder="1" applyAlignment="1">
      <alignment horizontal="right" vertical="center"/>
    </xf>
    <xf numFmtId="3" fontId="67" fillId="0" borderId="64" xfId="112" applyNumberFormat="1" applyFont="1" applyFill="1" applyBorder="1" applyAlignment="1">
      <alignment horizontal="center" vertical="center"/>
    </xf>
    <xf numFmtId="4" fontId="70" fillId="0" borderId="64" xfId="112" applyNumberFormat="1" applyFont="1" applyFill="1" applyBorder="1" applyAlignment="1">
      <alignment vertical="center"/>
    </xf>
    <xf numFmtId="174" fontId="67" fillId="0" borderId="18" xfId="88" applyNumberFormat="1" applyFont="1" applyFill="1" applyBorder="1" applyAlignment="1">
      <alignment horizontal="right" vertical="center"/>
    </xf>
    <xf numFmtId="174" fontId="70" fillId="0" borderId="18" xfId="88" applyNumberFormat="1" applyFont="1" applyFill="1" applyBorder="1" applyAlignment="1">
      <alignment horizontal="right" vertical="center"/>
    </xf>
    <xf numFmtId="3" fontId="67" fillId="0" borderId="18" xfId="112" applyNumberFormat="1" applyFont="1" applyFill="1" applyBorder="1" applyAlignment="1">
      <alignment horizontal="center" vertical="center"/>
    </xf>
    <xf numFmtId="4" fontId="70" fillId="0" borderId="18" xfId="112" applyNumberFormat="1" applyFont="1" applyFill="1" applyBorder="1" applyAlignment="1">
      <alignment vertical="center"/>
    </xf>
    <xf numFmtId="0" fontId="67" fillId="0" borderId="0" xfId="111" applyFont="1" applyFill="1" applyAlignment="1">
      <alignment horizontal="left" vertical="center" indent="1"/>
    </xf>
    <xf numFmtId="174" fontId="67" fillId="0" borderId="0" xfId="88" applyNumberFormat="1" applyFont="1" applyFill="1" applyAlignment="1">
      <alignment horizontal="right" vertical="center"/>
    </xf>
    <xf numFmtId="174" fontId="70" fillId="0" borderId="0" xfId="88" applyNumberFormat="1" applyFont="1" applyFill="1" applyAlignment="1">
      <alignment horizontal="right" vertical="center"/>
    </xf>
    <xf numFmtId="3" fontId="67" fillId="0" borderId="0" xfId="112" applyNumberFormat="1" applyFont="1" applyFill="1" applyAlignment="1">
      <alignment horizontal="center" vertical="center"/>
    </xf>
    <xf numFmtId="4" fontId="70" fillId="0" borderId="0" xfId="112" applyNumberFormat="1" applyFont="1" applyFill="1" applyAlignment="1">
      <alignment vertical="center"/>
    </xf>
    <xf numFmtId="174" fontId="67" fillId="0" borderId="0" xfId="68" applyNumberFormat="1" applyFont="1" applyFill="1" applyAlignment="1">
      <alignment horizontal="right" vertical="center"/>
    </xf>
    <xf numFmtId="196" fontId="65" fillId="21" borderId="0" xfId="68" applyNumberFormat="1" applyFont="1" applyFill="1" applyAlignment="1">
      <alignment horizontal="center" vertical="center"/>
    </xf>
    <xf numFmtId="197" fontId="65" fillId="21" borderId="0" xfId="68" applyNumberFormat="1" applyFont="1" applyFill="1" applyAlignment="1">
      <alignment horizontal="center" vertical="center"/>
    </xf>
    <xf numFmtId="0" fontId="71" fillId="0" borderId="0" xfId="111" applyFont="1" applyFill="1" applyAlignment="1">
      <alignment vertical="center"/>
    </xf>
    <xf numFmtId="0" fontId="71" fillId="0" borderId="0" xfId="68" applyFont="1" applyFill="1" applyAlignment="1">
      <alignment horizontal="center" vertical="center"/>
    </xf>
    <xf numFmtId="0" fontId="71" fillId="0" borderId="0" xfId="68" applyFont="1" applyFill="1" applyAlignment="1">
      <alignment vertical="center"/>
    </xf>
    <xf numFmtId="0" fontId="67" fillId="0" borderId="68" xfId="68" applyFont="1" applyFill="1" applyBorder="1" applyAlignment="1">
      <alignment horizontal="left" vertical="center" indent="1"/>
    </xf>
    <xf numFmtId="0" fontId="67" fillId="0" borderId="0" xfId="68" applyFont="1" applyFill="1" applyAlignment="1">
      <alignment horizontal="left" vertical="center" indent="1"/>
    </xf>
    <xf numFmtId="0" fontId="67" fillId="0" borderId="64" xfId="68" applyFont="1" applyFill="1" applyBorder="1" applyAlignment="1">
      <alignment horizontal="left" vertical="center" indent="1"/>
    </xf>
    <xf numFmtId="0" fontId="67" fillId="0" borderId="18" xfId="68" applyFont="1" applyFill="1" applyBorder="1" applyAlignment="1">
      <alignment horizontal="left" vertical="center" indent="1"/>
    </xf>
    <xf numFmtId="2" fontId="67" fillId="0" borderId="28" xfId="111" applyNumberFormat="1" applyFont="1" applyFill="1" applyBorder="1" applyAlignment="1">
      <alignment horizontal="right" vertical="center"/>
    </xf>
    <xf numFmtId="2" fontId="67" fillId="0" borderId="69" xfId="111" applyNumberFormat="1" applyFont="1" applyFill="1" applyBorder="1" applyAlignment="1">
      <alignment horizontal="right" vertical="center"/>
    </xf>
    <xf numFmtId="2" fontId="67" fillId="0" borderId="22" xfId="111" applyNumberFormat="1" applyFont="1" applyFill="1" applyBorder="1" applyAlignment="1">
      <alignment horizontal="right" vertical="center"/>
    </xf>
    <xf numFmtId="0" fontId="67" fillId="0" borderId="18" xfId="111" applyFont="1" applyFill="1" applyBorder="1" applyAlignment="1">
      <alignment horizontal="left" vertical="center"/>
    </xf>
    <xf numFmtId="4" fontId="66" fillId="0" borderId="3" xfId="111" applyNumberFormat="1" applyFont="1" applyFill="1" applyBorder="1" applyAlignment="1">
      <alignment horizontal="center" vertical="center"/>
    </xf>
    <xf numFmtId="4" fontId="67" fillId="0" borderId="0" xfId="111" applyNumberFormat="1" applyFont="1" applyFill="1" applyAlignment="1">
      <alignment horizontal="center" vertical="center"/>
    </xf>
    <xf numFmtId="2" fontId="67" fillId="0" borderId="10" xfId="111" applyNumberFormat="1" applyFont="1" applyFill="1" applyBorder="1" applyAlignment="1">
      <alignment horizontal="right" vertical="center"/>
    </xf>
    <xf numFmtId="3" fontId="68" fillId="0" borderId="22" xfId="111" applyNumberFormat="1" applyFont="1" applyFill="1" applyBorder="1" applyAlignment="1">
      <alignment horizontal="center" vertical="center"/>
    </xf>
    <xf numFmtId="2" fontId="67" fillId="0" borderId="28" xfId="111" applyNumberFormat="1" applyFont="1" applyFill="1" applyBorder="1" applyAlignment="1">
      <alignment horizontal="left" vertical="center" indent="1"/>
    </xf>
    <xf numFmtId="2" fontId="67" fillId="0" borderId="29" xfId="111" applyNumberFormat="1" applyFont="1" applyFill="1" applyBorder="1" applyAlignment="1">
      <alignment horizontal="right" vertical="center"/>
    </xf>
    <xf numFmtId="2" fontId="67" fillId="0" borderId="69" xfId="111" applyNumberFormat="1" applyFont="1" applyFill="1" applyBorder="1" applyAlignment="1">
      <alignment horizontal="left" vertical="center" indent="1"/>
    </xf>
    <xf numFmtId="2" fontId="67" fillId="0" borderId="70" xfId="111" applyNumberFormat="1" applyFont="1" applyFill="1" applyBorder="1" applyAlignment="1">
      <alignment horizontal="right" vertical="center"/>
    </xf>
    <xf numFmtId="2" fontId="67" fillId="0" borderId="10" xfId="111" applyNumberFormat="1" applyFont="1" applyFill="1" applyBorder="1" applyAlignment="1">
      <alignment horizontal="left" vertical="center" indent="1"/>
    </xf>
    <xf numFmtId="2" fontId="67" fillId="0" borderId="12" xfId="111" applyNumberFormat="1" applyFont="1" applyFill="1" applyBorder="1" applyAlignment="1">
      <alignment horizontal="right" vertical="center"/>
    </xf>
    <xf numFmtId="2" fontId="67" fillId="0" borderId="0" xfId="111" applyNumberFormat="1" applyFont="1" applyFill="1" applyAlignment="1">
      <alignment horizontal="left" vertical="center"/>
    </xf>
    <xf numFmtId="198" fontId="67" fillId="0" borderId="0" xfId="111" applyNumberFormat="1" applyFont="1" applyFill="1" applyAlignment="1">
      <alignment horizontal="center" vertical="center"/>
    </xf>
    <xf numFmtId="0" fontId="67" fillId="0" borderId="28" xfId="111" applyFont="1" applyFill="1" applyBorder="1" applyAlignment="1">
      <alignment horizontal="left" vertical="center" indent="1"/>
    </xf>
    <xf numFmtId="0" fontId="67" fillId="0" borderId="69" xfId="111" applyFont="1" applyFill="1" applyBorder="1" applyAlignment="1">
      <alignment horizontal="left" vertical="center" indent="1"/>
    </xf>
    <xf numFmtId="174" fontId="67" fillId="0" borderId="0" xfId="111" applyNumberFormat="1" applyFont="1" applyFill="1" applyBorder="1" applyAlignment="1">
      <alignment vertical="center"/>
    </xf>
    <xf numFmtId="174" fontId="67" fillId="0" borderId="69" xfId="111" applyNumberFormat="1" applyFont="1" applyFill="1" applyBorder="1" applyAlignment="1">
      <alignment vertical="center"/>
    </xf>
    <xf numFmtId="174" fontId="67" fillId="0" borderId="70" xfId="111" applyNumberFormat="1" applyFont="1" applyFill="1" applyBorder="1" applyAlignment="1">
      <alignment vertical="center"/>
    </xf>
    <xf numFmtId="0" fontId="67" fillId="0" borderId="10" xfId="111" applyFont="1" applyFill="1" applyBorder="1" applyAlignment="1">
      <alignment horizontal="left" vertical="center" indent="1"/>
    </xf>
    <xf numFmtId="174" fontId="67" fillId="0" borderId="64" xfId="111" applyNumberFormat="1" applyFont="1" applyFill="1" applyBorder="1" applyAlignment="1">
      <alignment vertical="center"/>
    </xf>
    <xf numFmtId="174" fontId="67" fillId="0" borderId="10" xfId="111" applyNumberFormat="1" applyFont="1" applyFill="1" applyBorder="1" applyAlignment="1">
      <alignment vertical="center"/>
    </xf>
    <xf numFmtId="174" fontId="67" fillId="0" borderId="12" xfId="111" applyNumberFormat="1" applyFont="1" applyFill="1" applyBorder="1" applyAlignment="1">
      <alignment vertical="center"/>
    </xf>
    <xf numFmtId="174" fontId="67" fillId="0" borderId="68" xfId="111" applyNumberFormat="1" applyFont="1" applyFill="1" applyBorder="1" applyAlignment="1">
      <alignment horizontal="right" vertical="center"/>
    </xf>
    <xf numFmtId="174" fontId="67" fillId="0" borderId="28" xfId="111" applyNumberFormat="1" applyFont="1" applyFill="1" applyBorder="1" applyAlignment="1">
      <alignment horizontal="right" vertical="center"/>
    </xf>
    <xf numFmtId="174" fontId="67" fillId="0" borderId="29" xfId="111" applyNumberFormat="1" applyFont="1" applyFill="1" applyBorder="1" applyAlignment="1">
      <alignment horizontal="right" vertical="center"/>
    </xf>
    <xf numFmtId="174" fontId="67" fillId="0" borderId="0" xfId="111" applyNumberFormat="1" applyFont="1" applyFill="1" applyBorder="1" applyAlignment="1">
      <alignment horizontal="right" vertical="center"/>
    </xf>
    <xf numFmtId="174" fontId="67" fillId="0" borderId="69" xfId="111" applyNumberFormat="1" applyFont="1" applyFill="1" applyBorder="1" applyAlignment="1">
      <alignment horizontal="right" vertical="center"/>
    </xf>
    <xf numFmtId="174" fontId="67" fillId="0" borderId="70" xfId="111" applyNumberFormat="1" applyFont="1" applyFill="1" applyBorder="1" applyAlignment="1">
      <alignment horizontal="right" vertical="center"/>
    </xf>
    <xf numFmtId="199" fontId="67" fillId="0" borderId="0" xfId="111" applyNumberFormat="1" applyFont="1" applyFill="1" applyBorder="1" applyAlignment="1">
      <alignment horizontal="right" vertical="center"/>
    </xf>
    <xf numFmtId="199" fontId="67" fillId="0" borderId="69" xfId="111" applyNumberFormat="1" applyFont="1" applyFill="1" applyBorder="1" applyAlignment="1">
      <alignment horizontal="right" vertical="center"/>
    </xf>
    <xf numFmtId="199" fontId="67" fillId="0" borderId="70" xfId="111" applyNumberFormat="1" applyFont="1" applyFill="1" applyBorder="1" applyAlignment="1">
      <alignment horizontal="right" vertical="center"/>
    </xf>
    <xf numFmtId="4" fontId="67" fillId="0" borderId="0" xfId="111" applyNumberFormat="1" applyFont="1" applyFill="1" applyAlignment="1">
      <alignment vertical="center"/>
    </xf>
    <xf numFmtId="174" fontId="67" fillId="0" borderId="64" xfId="111" applyNumberFormat="1" applyFont="1" applyFill="1" applyBorder="1" applyAlignment="1">
      <alignment horizontal="right" vertical="center"/>
    </xf>
    <xf numFmtId="174" fontId="67" fillId="0" borderId="10" xfId="111" applyNumberFormat="1" applyFont="1" applyFill="1" applyBorder="1" applyAlignment="1">
      <alignment horizontal="right" vertical="center"/>
    </xf>
    <xf numFmtId="174" fontId="67" fillId="0" borderId="12" xfId="111" applyNumberFormat="1" applyFont="1" applyFill="1" applyBorder="1" applyAlignment="1">
      <alignment horizontal="right" vertical="center"/>
    </xf>
    <xf numFmtId="200" fontId="65" fillId="21" borderId="3" xfId="111" applyNumberFormat="1" applyFont="1" applyFill="1" applyBorder="1" applyAlignment="1">
      <alignment horizontal="center" vertical="center"/>
    </xf>
    <xf numFmtId="0" fontId="72" fillId="0" borderId="23" xfId="111" applyFont="1" applyFill="1" applyBorder="1" applyAlignment="1">
      <alignment horizontal="center" vertical="center"/>
    </xf>
    <xf numFmtId="0" fontId="65" fillId="21" borderId="0" xfId="111" applyFont="1" applyFill="1" applyBorder="1" applyAlignment="1">
      <alignment horizontal="center" vertical="center"/>
    </xf>
    <xf numFmtId="196" fontId="65" fillId="21" borderId="0" xfId="111" applyNumberFormat="1" applyFont="1" applyFill="1" applyBorder="1" applyAlignment="1">
      <alignment horizontal="center" vertical="center"/>
    </xf>
    <xf numFmtId="197" fontId="65" fillId="21" borderId="0" xfId="111" applyNumberFormat="1" applyFont="1" applyFill="1" applyBorder="1" applyAlignment="1">
      <alignment horizontal="center" vertical="center"/>
    </xf>
    <xf numFmtId="0" fontId="67" fillId="0" borderId="0" xfId="111" applyFont="1" applyFill="1" applyBorder="1" applyAlignment="1">
      <alignment vertical="center"/>
    </xf>
    <xf numFmtId="0" fontId="65" fillId="21" borderId="18" xfId="111" applyFont="1" applyFill="1" applyBorder="1" applyAlignment="1">
      <alignment horizontal="centerContinuous" vertical="center"/>
    </xf>
    <xf numFmtId="0" fontId="71" fillId="0" borderId="0" xfId="111" applyFont="1" applyFill="1" applyBorder="1" applyAlignment="1">
      <alignment horizontal="center" vertical="center"/>
    </xf>
    <xf numFmtId="0" fontId="67" fillId="0" borderId="0" xfId="111" applyFont="1" applyAlignment="1">
      <alignment vertical="center"/>
    </xf>
    <xf numFmtId="4" fontId="67" fillId="0" borderId="0" xfId="111" applyNumberFormat="1" applyFont="1" applyFill="1" applyBorder="1" applyAlignment="1">
      <alignment vertical="center"/>
    </xf>
    <xf numFmtId="200" fontId="65" fillId="21" borderId="22" xfId="111" applyNumberFormat="1" applyFont="1" applyFill="1" applyBorder="1" applyAlignment="1">
      <alignment horizontal="centerContinuous" vertical="center"/>
    </xf>
    <xf numFmtId="0" fontId="65" fillId="21" borderId="23" xfId="111" applyFont="1" applyFill="1" applyBorder="1" applyAlignment="1">
      <alignment horizontal="centerContinuous" vertical="center"/>
    </xf>
    <xf numFmtId="0" fontId="68" fillId="0" borderId="28" xfId="111" applyFont="1" applyBorder="1" applyAlignment="1">
      <alignment horizontal="left" vertical="center" indent="1"/>
    </xf>
    <xf numFmtId="4" fontId="70" fillId="0" borderId="29" xfId="111" applyNumberFormat="1" applyFont="1" applyBorder="1" applyAlignment="1">
      <alignment horizontal="right" vertical="center"/>
    </xf>
    <xf numFmtId="201" fontId="70" fillId="0" borderId="0" xfId="111" applyNumberFormat="1" applyFont="1" applyFill="1" applyBorder="1" applyAlignment="1">
      <alignment horizontal="left" vertical="center"/>
    </xf>
    <xf numFmtId="0" fontId="68" fillId="0" borderId="69" xfId="111" applyFont="1" applyFill="1" applyBorder="1" applyAlignment="1">
      <alignment horizontal="center" vertical="center"/>
    </xf>
    <xf numFmtId="202" fontId="9" fillId="0" borderId="70" xfId="113" applyNumberFormat="1" applyFont="1" applyFill="1" applyBorder="1" applyAlignment="1" applyProtection="1">
      <alignment horizontal="right" vertical="center"/>
    </xf>
    <xf numFmtId="0" fontId="68" fillId="0" borderId="69" xfId="111" applyFont="1" applyBorder="1" applyAlignment="1">
      <alignment horizontal="left" vertical="center" indent="1"/>
    </xf>
    <xf numFmtId="174" fontId="70" fillId="0" borderId="70" xfId="111" applyNumberFormat="1" applyFont="1" applyBorder="1" applyAlignment="1">
      <alignment horizontal="right" vertical="center"/>
    </xf>
    <xf numFmtId="0" fontId="68" fillId="0" borderId="10" xfId="111" applyFont="1" applyFill="1" applyBorder="1" applyAlignment="1">
      <alignment horizontal="center" vertical="center"/>
    </xf>
    <xf numFmtId="202" fontId="9" fillId="0" borderId="12" xfId="113" applyNumberFormat="1" applyFont="1" applyFill="1" applyBorder="1" applyAlignment="1" applyProtection="1">
      <alignment horizontal="right" vertical="center"/>
    </xf>
    <xf numFmtId="0" fontId="68" fillId="0" borderId="10" xfId="111" applyFont="1" applyBorder="1" applyAlignment="1">
      <alignment horizontal="left" vertical="center" indent="1"/>
    </xf>
    <xf numFmtId="2" fontId="70" fillId="0" borderId="12" xfId="111" applyNumberFormat="1" applyFont="1" applyBorder="1" applyAlignment="1">
      <alignment horizontal="right" vertical="center"/>
    </xf>
    <xf numFmtId="174" fontId="65" fillId="21" borderId="22" xfId="88" applyNumberFormat="1" applyFont="1" applyFill="1" applyBorder="1" applyAlignment="1" applyProtection="1">
      <alignment horizontal="centerContinuous" vertical="center"/>
    </xf>
    <xf numFmtId="174" fontId="73" fillId="21" borderId="18" xfId="88" applyNumberFormat="1" applyFont="1" applyFill="1" applyBorder="1" applyAlignment="1" applyProtection="1">
      <alignment horizontal="centerContinuous" vertical="center"/>
    </xf>
    <xf numFmtId="174" fontId="73" fillId="21" borderId="23" xfId="88" applyNumberFormat="1" applyFont="1" applyFill="1" applyBorder="1" applyAlignment="1" applyProtection="1">
      <alignment horizontal="centerContinuous" vertical="center"/>
    </xf>
    <xf numFmtId="0" fontId="16" fillId="0" borderId="0" xfId="113" applyFont="1" applyBorder="1" applyAlignment="1" applyProtection="1">
      <alignment horizontal="right" vertical="center" textRotation="90"/>
      <protection locked="0"/>
    </xf>
    <xf numFmtId="4" fontId="67" fillId="0" borderId="0" xfId="111" applyNumberFormat="1" applyFont="1" applyFill="1" applyBorder="1" applyAlignment="1">
      <alignment horizontal="right" vertical="center"/>
    </xf>
    <xf numFmtId="0" fontId="74" fillId="0" borderId="69" xfId="113" applyFont="1" applyBorder="1" applyAlignment="1" applyProtection="1">
      <alignment vertical="center"/>
    </xf>
    <xf numFmtId="0" fontId="74" fillId="0" borderId="0" xfId="114" applyFont="1" applyFill="1" applyBorder="1" applyAlignment="1" applyProtection="1">
      <alignment vertical="center"/>
    </xf>
    <xf numFmtId="0" fontId="76" fillId="0" borderId="64" xfId="113" applyFont="1" applyBorder="1" applyAlignment="1" applyProtection="1">
      <alignment horizontal="centerContinuous" vertical="center"/>
    </xf>
    <xf numFmtId="0" fontId="76" fillId="0" borderId="12" xfId="113" applyFont="1" applyBorder="1" applyAlignment="1" applyProtection="1">
      <alignment horizontal="centerContinuous" vertical="center"/>
    </xf>
    <xf numFmtId="0" fontId="74" fillId="0" borderId="0" xfId="113" applyFont="1" applyAlignment="1" applyProtection="1">
      <alignment vertical="center"/>
    </xf>
    <xf numFmtId="174" fontId="76" fillId="0" borderId="0" xfId="88" applyNumberFormat="1" applyFont="1" applyFill="1" applyBorder="1" applyAlignment="1">
      <alignment vertical="center"/>
    </xf>
    <xf numFmtId="203" fontId="65" fillId="21" borderId="22" xfId="113" applyNumberFormat="1" applyFont="1" applyFill="1" applyBorder="1" applyAlignment="1" applyProtection="1">
      <alignment horizontal="center" vertical="center"/>
    </xf>
    <xf numFmtId="203" fontId="65" fillId="21" borderId="18" xfId="113" applyNumberFormat="1" applyFont="1" applyFill="1" applyBorder="1" applyAlignment="1" applyProtection="1">
      <alignment horizontal="center" vertical="center"/>
    </xf>
    <xf numFmtId="203" fontId="65" fillId="21" borderId="23" xfId="113" applyNumberFormat="1" applyFont="1" applyFill="1" applyBorder="1" applyAlignment="1" applyProtection="1">
      <alignment horizontal="center" vertical="center"/>
    </xf>
    <xf numFmtId="0" fontId="74" fillId="0" borderId="0" xfId="113" applyFont="1" applyBorder="1" applyAlignment="1" applyProtection="1">
      <alignment vertical="center"/>
    </xf>
    <xf numFmtId="0" fontId="16" fillId="0" borderId="67" xfId="113" applyFont="1" applyBorder="1" applyAlignment="1" applyProtection="1">
      <alignment horizontal="right" vertical="center" textRotation="90"/>
      <protection locked="0"/>
    </xf>
    <xf numFmtId="174" fontId="65" fillId="21" borderId="0" xfId="88" applyNumberFormat="1" applyFont="1" applyFill="1" applyBorder="1" applyAlignment="1">
      <alignment vertical="center"/>
    </xf>
    <xf numFmtId="3" fontId="74" fillId="0" borderId="28" xfId="113" applyNumberFormat="1" applyFont="1" applyBorder="1" applyAlignment="1" applyProtection="1">
      <alignment horizontal="right" vertical="center"/>
    </xf>
    <xf numFmtId="3" fontId="74" fillId="0" borderId="68" xfId="113" applyNumberFormat="1" applyFont="1" applyBorder="1" applyAlignment="1" applyProtection="1">
      <alignment horizontal="right" vertical="center"/>
    </xf>
    <xf numFmtId="3" fontId="74" fillId="0" borderId="29" xfId="113" applyNumberFormat="1" applyFont="1" applyBorder="1" applyAlignment="1" applyProtection="1">
      <alignment horizontal="right" vertical="center"/>
    </xf>
    <xf numFmtId="0" fontId="9" fillId="0" borderId="0" xfId="113" applyFont="1" applyBorder="1" applyAlignment="1" applyProtection="1">
      <alignment vertical="center" textRotation="90"/>
      <protection locked="0"/>
    </xf>
    <xf numFmtId="3" fontId="74" fillId="0" borderId="69" xfId="113" applyNumberFormat="1" applyFont="1" applyBorder="1" applyAlignment="1" applyProtection="1">
      <alignment horizontal="right" vertical="center"/>
    </xf>
    <xf numFmtId="3" fontId="4" fillId="0" borderId="28" xfId="113" applyNumberFormat="1" applyFont="1" applyFill="1" applyBorder="1" applyAlignment="1" applyProtection="1">
      <alignment horizontal="right" vertical="center"/>
    </xf>
    <xf numFmtId="3" fontId="4" fillId="0" borderId="68" xfId="113" applyNumberFormat="1" applyFont="1" applyFill="1" applyBorder="1" applyAlignment="1" applyProtection="1">
      <alignment horizontal="right" vertical="center"/>
    </xf>
    <xf numFmtId="3" fontId="4" fillId="0" borderId="29" xfId="113" applyNumberFormat="1" applyFont="1" applyFill="1" applyBorder="1" applyAlignment="1" applyProtection="1">
      <alignment horizontal="right" vertical="center"/>
    </xf>
    <xf numFmtId="3" fontId="74" fillId="0" borderId="70" xfId="113" applyNumberFormat="1" applyFont="1" applyBorder="1" applyAlignment="1" applyProtection="1">
      <alignment horizontal="right" vertical="center"/>
    </xf>
    <xf numFmtId="0" fontId="16" fillId="0" borderId="67" xfId="113" applyFont="1" applyBorder="1" applyAlignment="1" applyProtection="1">
      <alignment horizontal="center" vertical="center"/>
      <protection locked="0"/>
    </xf>
    <xf numFmtId="3" fontId="4" fillId="0" borderId="69" xfId="113" applyNumberFormat="1" applyFont="1" applyFill="1" applyBorder="1" applyAlignment="1" applyProtection="1">
      <alignment horizontal="right" vertical="center"/>
    </xf>
    <xf numFmtId="6" fontId="16" fillId="0" borderId="3" xfId="113" applyNumberFormat="1" applyFont="1" applyFill="1" applyBorder="1" applyAlignment="1" applyProtection="1">
      <alignment horizontal="right" vertical="center"/>
    </xf>
    <xf numFmtId="3" fontId="4" fillId="0" borderId="70" xfId="113" applyNumberFormat="1" applyFont="1" applyFill="1" applyBorder="1" applyAlignment="1" applyProtection="1">
      <alignment horizontal="right" vertical="center"/>
    </xf>
    <xf numFmtId="3" fontId="4" fillId="0" borderId="10" xfId="113" applyNumberFormat="1" applyFont="1" applyFill="1" applyBorder="1" applyAlignment="1" applyProtection="1">
      <alignment horizontal="right" vertical="center"/>
    </xf>
    <xf numFmtId="3" fontId="4" fillId="0" borderId="64" xfId="113" applyNumberFormat="1" applyFont="1" applyFill="1" applyBorder="1" applyAlignment="1" applyProtection="1">
      <alignment horizontal="right" vertical="center"/>
    </xf>
    <xf numFmtId="3" fontId="4" fillId="0" borderId="12" xfId="113" applyNumberFormat="1" applyFont="1" applyFill="1" applyBorder="1" applyAlignment="1" applyProtection="1">
      <alignment horizontal="right" vertical="center"/>
    </xf>
    <xf numFmtId="0" fontId="16" fillId="0" borderId="9" xfId="113" applyFont="1" applyBorder="1" applyAlignment="1" applyProtection="1">
      <alignment horizontal="right" vertical="center" textRotation="90"/>
      <protection locked="0"/>
    </xf>
    <xf numFmtId="174" fontId="65" fillId="21" borderId="64" xfId="88" applyNumberFormat="1" applyFont="1" applyFill="1" applyBorder="1" applyAlignment="1">
      <alignment vertical="center"/>
    </xf>
    <xf numFmtId="3" fontId="74" fillId="0" borderId="10" xfId="113" applyNumberFormat="1" applyFont="1" applyBorder="1" applyAlignment="1" applyProtection="1">
      <alignment horizontal="right" vertical="center"/>
    </xf>
    <xf numFmtId="3" fontId="74" fillId="0" borderId="64" xfId="113" applyNumberFormat="1" applyFont="1" applyBorder="1" applyAlignment="1" applyProtection="1">
      <alignment horizontal="right" vertical="center"/>
    </xf>
    <xf numFmtId="3" fontId="74" fillId="0" borderId="12" xfId="113" applyNumberFormat="1" applyFont="1" applyBorder="1" applyAlignment="1" applyProtection="1">
      <alignment horizontal="right" vertical="center"/>
    </xf>
    <xf numFmtId="3" fontId="67" fillId="0" borderId="0" xfId="111" applyNumberFormat="1" applyFont="1" applyFill="1" applyBorder="1" applyAlignment="1">
      <alignment vertical="center"/>
    </xf>
    <xf numFmtId="38" fontId="74" fillId="0" borderId="0" xfId="113" applyNumberFormat="1" applyFont="1" applyFill="1" applyBorder="1" applyAlignment="1" applyProtection="1">
      <alignment horizontal="center" vertical="center"/>
    </xf>
    <xf numFmtId="0" fontId="74" fillId="0" borderId="0" xfId="114" applyFont="1" applyBorder="1" applyAlignment="1" applyProtection="1">
      <alignment vertical="center"/>
    </xf>
    <xf numFmtId="0" fontId="74" fillId="0" borderId="0" xfId="113" applyFont="1" applyFill="1" applyBorder="1" applyAlignment="1" applyProtection="1">
      <alignment vertical="center"/>
    </xf>
    <xf numFmtId="0" fontId="67" fillId="0" borderId="22" xfId="111" applyFont="1" applyFill="1" applyBorder="1" applyAlignment="1">
      <alignment horizontal="left" vertical="center" indent="1"/>
    </xf>
    <xf numFmtId="4" fontId="67" fillId="0" borderId="18" xfId="111" applyNumberFormat="1" applyFont="1" applyFill="1" applyBorder="1" applyAlignment="1">
      <alignment horizontal="right" vertical="center"/>
    </xf>
    <xf numFmtId="4" fontId="70" fillId="0" borderId="23" xfId="111" applyNumberFormat="1" applyFont="1" applyFill="1" applyBorder="1" applyAlignment="1">
      <alignment horizontal="right" vertical="center"/>
    </xf>
    <xf numFmtId="4" fontId="74" fillId="0" borderId="28" xfId="113" applyNumberFormat="1" applyFont="1" applyBorder="1" applyAlignment="1" applyProtection="1">
      <alignment horizontal="right" vertical="center"/>
    </xf>
    <xf numFmtId="4" fontId="74" fillId="0" borderId="68" xfId="113" applyNumberFormat="1" applyFont="1" applyBorder="1" applyAlignment="1" applyProtection="1">
      <alignment horizontal="right" vertical="center"/>
    </xf>
    <xf numFmtId="4" fontId="74" fillId="0" borderId="29" xfId="113" applyNumberFormat="1" applyFont="1" applyBorder="1" applyAlignment="1" applyProtection="1">
      <alignment horizontal="right" vertical="center"/>
    </xf>
    <xf numFmtId="4" fontId="74" fillId="0" borderId="69" xfId="113" applyNumberFormat="1" applyFont="1" applyBorder="1" applyAlignment="1" applyProtection="1">
      <alignment horizontal="right" vertical="center"/>
    </xf>
    <xf numFmtId="4" fontId="4" fillId="0" borderId="28" xfId="113" applyNumberFormat="1" applyFont="1" applyFill="1" applyBorder="1" applyAlignment="1" applyProtection="1">
      <alignment horizontal="right" vertical="center"/>
    </xf>
    <xf numFmtId="4" fontId="4" fillId="0" borderId="68" xfId="113" applyNumberFormat="1" applyFont="1" applyFill="1" applyBorder="1" applyAlignment="1" applyProtection="1">
      <alignment horizontal="right" vertical="center"/>
    </xf>
    <xf numFmtId="4" fontId="4" fillId="0" borderId="29" xfId="113" applyNumberFormat="1" applyFont="1" applyFill="1" applyBorder="1" applyAlignment="1" applyProtection="1">
      <alignment horizontal="right" vertical="center"/>
    </xf>
    <xf numFmtId="4" fontId="74" fillId="0" borderId="70" xfId="113" applyNumberFormat="1" applyFont="1" applyBorder="1" applyAlignment="1" applyProtection="1">
      <alignment horizontal="right" vertical="center"/>
    </xf>
    <xf numFmtId="4" fontId="4" fillId="0" borderId="69" xfId="113" applyNumberFormat="1" applyFont="1" applyFill="1" applyBorder="1" applyAlignment="1" applyProtection="1">
      <alignment horizontal="right" vertical="center"/>
    </xf>
    <xf numFmtId="182" fontId="16" fillId="0" borderId="3" xfId="113" applyNumberFormat="1" applyFont="1" applyFill="1" applyBorder="1" applyAlignment="1" applyProtection="1">
      <alignment horizontal="right" vertical="center"/>
    </xf>
    <xf numFmtId="4" fontId="4" fillId="0" borderId="70" xfId="113" applyNumberFormat="1" applyFont="1" applyFill="1" applyBorder="1" applyAlignment="1" applyProtection="1">
      <alignment horizontal="right" vertical="center"/>
    </xf>
    <xf numFmtId="0" fontId="67" fillId="0" borderId="18" xfId="111" applyFont="1" applyFill="1" applyBorder="1" applyAlignment="1">
      <alignment vertical="center"/>
    </xf>
    <xf numFmtId="8" fontId="68" fillId="0" borderId="0" xfId="111" applyNumberFormat="1" applyFont="1" applyFill="1" applyBorder="1" applyAlignment="1">
      <alignment horizontal="center" vertical="center"/>
    </xf>
    <xf numFmtId="4" fontId="4" fillId="0" borderId="10" xfId="113" applyNumberFormat="1" applyFont="1" applyFill="1" applyBorder="1" applyAlignment="1" applyProtection="1">
      <alignment horizontal="right" vertical="center"/>
    </xf>
    <xf numFmtId="4" fontId="4" fillId="0" borderId="64" xfId="113" applyNumberFormat="1" applyFont="1" applyFill="1" applyBorder="1" applyAlignment="1" applyProtection="1">
      <alignment horizontal="right" vertical="center"/>
    </xf>
    <xf numFmtId="4" fontId="4" fillId="0" borderId="12" xfId="113" applyNumberFormat="1" applyFont="1" applyFill="1" applyBorder="1" applyAlignment="1" applyProtection="1">
      <alignment horizontal="right" vertical="center"/>
    </xf>
    <xf numFmtId="4" fontId="74" fillId="0" borderId="10" xfId="113" applyNumberFormat="1" applyFont="1" applyBorder="1" applyAlignment="1" applyProtection="1">
      <alignment horizontal="right" vertical="center"/>
    </xf>
    <xf numFmtId="4" fontId="74" fillId="0" borderId="64" xfId="113" applyNumberFormat="1" applyFont="1" applyBorder="1" applyAlignment="1" applyProtection="1">
      <alignment horizontal="right" vertical="center"/>
    </xf>
    <xf numFmtId="4" fontId="74" fillId="0" borderId="12" xfId="113" applyNumberFormat="1" applyFont="1" applyBorder="1" applyAlignment="1" applyProtection="1">
      <alignment horizontal="right" vertical="center"/>
    </xf>
    <xf numFmtId="0" fontId="65" fillId="21" borderId="3" xfId="111" applyFont="1" applyFill="1" applyBorder="1" applyAlignment="1">
      <alignment horizontal="center" vertical="center"/>
    </xf>
    <xf numFmtId="8" fontId="68" fillId="0" borderId="3" xfId="111" applyNumberFormat="1" applyFont="1" applyFill="1" applyBorder="1" applyAlignment="1">
      <alignment horizontal="right" vertical="center"/>
    </xf>
    <xf numFmtId="0" fontId="4" fillId="0" borderId="0" xfId="68" applyFont="1" applyAlignment="1" applyProtection="1">
      <alignment vertical="center"/>
    </xf>
    <xf numFmtId="4" fontId="67" fillId="0" borderId="68" xfId="111" applyNumberFormat="1" applyFont="1" applyFill="1" applyBorder="1" applyAlignment="1">
      <alignment horizontal="right" vertical="center"/>
    </xf>
    <xf numFmtId="4" fontId="67" fillId="0" borderId="68" xfId="111" applyNumberFormat="1" applyFont="1" applyFill="1" applyBorder="1" applyAlignment="1">
      <alignment vertical="center"/>
    </xf>
    <xf numFmtId="4" fontId="70" fillId="0" borderId="29" xfId="111" applyNumberFormat="1" applyFont="1" applyFill="1" applyBorder="1" applyAlignment="1">
      <alignment vertical="center"/>
    </xf>
    <xf numFmtId="0" fontId="67" fillId="0" borderId="0" xfId="111" applyFont="1" applyFill="1" applyBorder="1" applyAlignment="1">
      <alignment horizontal="center" vertical="center"/>
    </xf>
    <xf numFmtId="174" fontId="67" fillId="0" borderId="0" xfId="115" applyNumberFormat="1" applyFont="1" applyFill="1" applyBorder="1" applyAlignment="1">
      <alignment horizontal="right" vertical="center"/>
    </xf>
    <xf numFmtId="10" fontId="67" fillId="0" borderId="0" xfId="111" applyNumberFormat="1" applyFont="1" applyFill="1" applyBorder="1" applyAlignment="1">
      <alignment vertical="center"/>
    </xf>
    <xf numFmtId="174" fontId="70" fillId="0" borderId="70" xfId="111" applyNumberFormat="1" applyFont="1" applyFill="1" applyBorder="1" applyAlignment="1">
      <alignment vertical="center"/>
    </xf>
    <xf numFmtId="174" fontId="67" fillId="0" borderId="64" xfId="115" applyNumberFormat="1" applyFont="1" applyFill="1" applyBorder="1" applyAlignment="1">
      <alignment horizontal="right" vertical="center"/>
    </xf>
    <xf numFmtId="0" fontId="67" fillId="0" borderId="64" xfId="111" applyFont="1" applyFill="1" applyBorder="1" applyAlignment="1">
      <alignment vertical="center"/>
    </xf>
    <xf numFmtId="174" fontId="70" fillId="0" borderId="12" xfId="111" applyNumberFormat="1" applyFont="1" applyFill="1" applyBorder="1" applyAlignment="1">
      <alignment vertical="center"/>
    </xf>
    <xf numFmtId="10" fontId="74" fillId="0" borderId="28" xfId="113" applyNumberFormat="1" applyFont="1" applyBorder="1" applyAlignment="1" applyProtection="1">
      <alignment horizontal="right" vertical="center"/>
    </xf>
    <xf numFmtId="10" fontId="74" fillId="0" borderId="68" xfId="113" applyNumberFormat="1" applyFont="1" applyBorder="1" applyAlignment="1" applyProtection="1">
      <alignment horizontal="right" vertical="center"/>
    </xf>
    <xf numFmtId="10" fontId="74" fillId="0" borderId="29" xfId="113" applyNumberFormat="1" applyFont="1" applyBorder="1" applyAlignment="1" applyProtection="1">
      <alignment horizontal="right" vertical="center"/>
    </xf>
    <xf numFmtId="0" fontId="67" fillId="0" borderId="0" xfId="111" applyFont="1" applyFill="1" applyBorder="1" applyAlignment="1">
      <alignment horizontal="left" vertical="center" indent="2"/>
    </xf>
    <xf numFmtId="10" fontId="74" fillId="0" borderId="69" xfId="113" applyNumberFormat="1" applyFont="1" applyBorder="1" applyAlignment="1" applyProtection="1">
      <alignment horizontal="right" vertical="center"/>
    </xf>
    <xf numFmtId="10" fontId="4" fillId="0" borderId="28" xfId="113" applyNumberFormat="1" applyFont="1" applyFill="1" applyBorder="1" applyAlignment="1" applyProtection="1">
      <alignment horizontal="right" vertical="center"/>
    </xf>
    <xf numFmtId="10" fontId="4" fillId="0" borderId="68" xfId="113" applyNumberFormat="1" applyFont="1" applyFill="1" applyBorder="1" applyAlignment="1" applyProtection="1">
      <alignment horizontal="right" vertical="center"/>
    </xf>
    <xf numFmtId="10" fontId="4" fillId="0" borderId="29" xfId="113" applyNumberFormat="1" applyFont="1" applyFill="1" applyBorder="1" applyAlignment="1" applyProtection="1">
      <alignment horizontal="right" vertical="center"/>
    </xf>
    <xf numFmtId="10" fontId="74" fillId="0" borderId="70" xfId="113" applyNumberFormat="1" applyFont="1" applyBorder="1" applyAlignment="1" applyProtection="1">
      <alignment horizontal="right" vertical="center"/>
    </xf>
    <xf numFmtId="10" fontId="4" fillId="0" borderId="69" xfId="113" applyNumberFormat="1" applyFont="1" applyFill="1" applyBorder="1" applyAlignment="1" applyProtection="1">
      <alignment horizontal="right" vertical="center"/>
    </xf>
    <xf numFmtId="10" fontId="16" fillId="0" borderId="3" xfId="113" applyNumberFormat="1" applyFont="1" applyFill="1" applyBorder="1" applyAlignment="1" applyProtection="1">
      <alignment horizontal="right" vertical="center"/>
    </xf>
    <xf numFmtId="10" fontId="4" fillId="0" borderId="70" xfId="113" applyNumberFormat="1" applyFont="1" applyFill="1" applyBorder="1" applyAlignment="1" applyProtection="1">
      <alignment horizontal="right" vertical="center"/>
    </xf>
    <xf numFmtId="174" fontId="67" fillId="0" borderId="68" xfId="115" applyNumberFormat="1" applyFont="1" applyFill="1" applyBorder="1" applyAlignment="1">
      <alignment horizontal="right" vertical="center"/>
    </xf>
    <xf numFmtId="174" fontId="67" fillId="0" borderId="68" xfId="111" applyNumberFormat="1" applyFont="1" applyFill="1" applyBorder="1" applyAlignment="1">
      <alignment vertical="center"/>
    </xf>
    <xf numFmtId="174" fontId="70" fillId="0" borderId="29" xfId="111" applyNumberFormat="1" applyFont="1" applyFill="1" applyBorder="1" applyAlignment="1">
      <alignment vertical="center"/>
    </xf>
    <xf numFmtId="10" fontId="4" fillId="0" borderId="10" xfId="113" applyNumberFormat="1" applyFont="1" applyFill="1" applyBorder="1" applyAlignment="1" applyProtection="1">
      <alignment horizontal="right" vertical="center"/>
    </xf>
    <xf numFmtId="10" fontId="4" fillId="0" borderId="64" xfId="113" applyNumberFormat="1" applyFont="1" applyFill="1" applyBorder="1" applyAlignment="1" applyProtection="1">
      <alignment horizontal="right" vertical="center"/>
    </xf>
    <xf numFmtId="10" fontId="4" fillId="0" borderId="12" xfId="113" applyNumberFormat="1" applyFont="1" applyFill="1" applyBorder="1" applyAlignment="1" applyProtection="1">
      <alignment horizontal="right" vertical="center"/>
    </xf>
    <xf numFmtId="10" fontId="74" fillId="0" borderId="10" xfId="113" applyNumberFormat="1" applyFont="1" applyBorder="1" applyAlignment="1" applyProtection="1">
      <alignment horizontal="right" vertical="center"/>
    </xf>
    <xf numFmtId="10" fontId="74" fillId="0" borderId="64" xfId="113" applyNumberFormat="1" applyFont="1" applyBorder="1" applyAlignment="1" applyProtection="1">
      <alignment horizontal="right" vertical="center"/>
    </xf>
    <xf numFmtId="10" fontId="74" fillId="0" borderId="12" xfId="113" applyNumberFormat="1" applyFont="1" applyBorder="1" applyAlignment="1" applyProtection="1">
      <alignment horizontal="right" vertical="center"/>
    </xf>
    <xf numFmtId="0" fontId="67" fillId="0" borderId="22" xfId="111" applyFont="1" applyFill="1" applyBorder="1" applyAlignment="1">
      <alignment horizontal="left" vertical="center" indent="2"/>
    </xf>
    <xf numFmtId="174" fontId="67" fillId="0" borderId="18" xfId="111" applyNumberFormat="1" applyFont="1" applyFill="1" applyBorder="1" applyAlignment="1">
      <alignment vertical="center"/>
    </xf>
    <xf numFmtId="174" fontId="70" fillId="0" borderId="23" xfId="111" applyNumberFormat="1" applyFont="1" applyFill="1" applyBorder="1" applyAlignment="1">
      <alignment vertical="center"/>
    </xf>
    <xf numFmtId="0" fontId="65" fillId="21" borderId="22" xfId="111" applyFont="1" applyFill="1" applyBorder="1" applyAlignment="1">
      <alignment horizontal="center" vertical="center"/>
    </xf>
    <xf numFmtId="174" fontId="68" fillId="0" borderId="23" xfId="111" applyNumberFormat="1" applyFont="1" applyFill="1" applyBorder="1" applyAlignment="1">
      <alignment vertical="center"/>
    </xf>
    <xf numFmtId="204" fontId="74" fillId="0" borderId="28" xfId="113" applyNumberFormat="1" applyFont="1" applyBorder="1" applyAlignment="1" applyProtection="1">
      <alignment horizontal="center" vertical="center"/>
    </xf>
    <xf numFmtId="204" fontId="74" fillId="0" borderId="68" xfId="113" applyNumberFormat="1" applyFont="1" applyBorder="1" applyAlignment="1" applyProtection="1">
      <alignment horizontal="center" vertical="center"/>
    </xf>
    <xf numFmtId="204" fontId="74" fillId="0" borderId="29" xfId="113" applyNumberFormat="1" applyFont="1" applyBorder="1" applyAlignment="1" applyProtection="1">
      <alignment horizontal="center" vertical="center"/>
    </xf>
    <xf numFmtId="204" fontId="74" fillId="0" borderId="69" xfId="113" applyNumberFormat="1" applyFont="1" applyBorder="1" applyAlignment="1" applyProtection="1">
      <alignment horizontal="center" vertical="center"/>
    </xf>
    <xf numFmtId="204" fontId="4" fillId="0" borderId="28" xfId="113" applyNumberFormat="1" applyFont="1" applyFill="1" applyBorder="1" applyAlignment="1" applyProtection="1">
      <alignment horizontal="center" vertical="center"/>
    </xf>
    <xf numFmtId="204" fontId="4" fillId="0" borderId="68" xfId="113" applyNumberFormat="1" applyFont="1" applyFill="1" applyBorder="1" applyAlignment="1" applyProtection="1">
      <alignment horizontal="center" vertical="center"/>
    </xf>
    <xf numFmtId="204" fontId="4" fillId="0" borderId="29" xfId="113" applyNumberFormat="1" applyFont="1" applyFill="1" applyBorder="1" applyAlignment="1" applyProtection="1">
      <alignment horizontal="center" vertical="center"/>
    </xf>
    <xf numFmtId="204" fontId="74" fillId="0" borderId="70" xfId="113" applyNumberFormat="1" applyFont="1" applyBorder="1" applyAlignment="1" applyProtection="1">
      <alignment horizontal="center" vertical="center"/>
    </xf>
    <xf numFmtId="204" fontId="4" fillId="0" borderId="69" xfId="113" applyNumberFormat="1" applyFont="1" applyFill="1" applyBorder="1" applyAlignment="1" applyProtection="1">
      <alignment horizontal="center" vertical="center"/>
    </xf>
    <xf numFmtId="204" fontId="16" fillId="0" borderId="3" xfId="113" applyNumberFormat="1" applyFont="1" applyFill="1" applyBorder="1" applyAlignment="1" applyProtection="1">
      <alignment horizontal="center" vertical="center"/>
    </xf>
    <xf numFmtId="204" fontId="4" fillId="0" borderId="70" xfId="113" applyNumberFormat="1" applyFont="1" applyFill="1" applyBorder="1" applyAlignment="1" applyProtection="1">
      <alignment horizontal="center" vertical="center"/>
    </xf>
    <xf numFmtId="204" fontId="4" fillId="0" borderId="10" xfId="113" applyNumberFormat="1" applyFont="1" applyFill="1" applyBorder="1" applyAlignment="1" applyProtection="1">
      <alignment horizontal="center" vertical="center"/>
    </xf>
    <xf numFmtId="204" fontId="4" fillId="0" borderId="64" xfId="113" applyNumberFormat="1" applyFont="1" applyFill="1" applyBorder="1" applyAlignment="1" applyProtection="1">
      <alignment horizontal="center" vertical="center"/>
    </xf>
    <xf numFmtId="204" fontId="4" fillId="0" borderId="12" xfId="113" applyNumberFormat="1" applyFont="1" applyFill="1" applyBorder="1" applyAlignment="1" applyProtection="1">
      <alignment horizontal="center" vertical="center"/>
    </xf>
    <xf numFmtId="204" fontId="74" fillId="0" borderId="10" xfId="113" applyNumberFormat="1" applyFont="1" applyBorder="1" applyAlignment="1" applyProtection="1">
      <alignment horizontal="center" vertical="center"/>
    </xf>
    <xf numFmtId="204" fontId="74" fillId="0" borderId="64" xfId="113" applyNumberFormat="1" applyFont="1" applyBorder="1" applyAlignment="1" applyProtection="1">
      <alignment horizontal="center" vertical="center"/>
    </xf>
    <xf numFmtId="204" fontId="74" fillId="0" borderId="12" xfId="113" applyNumberFormat="1" applyFont="1" applyBorder="1" applyAlignment="1" applyProtection="1">
      <alignment horizontal="center" vertical="center"/>
    </xf>
    <xf numFmtId="204" fontId="67" fillId="0" borderId="0" xfId="111" applyNumberFormat="1" applyFont="1" applyFill="1" applyAlignment="1">
      <alignment vertical="center"/>
    </xf>
    <xf numFmtId="204" fontId="70" fillId="0" borderId="0" xfId="111" applyNumberFormat="1" applyFont="1" applyFill="1" applyAlignment="1">
      <alignment vertical="center"/>
    </xf>
    <xf numFmtId="174" fontId="70" fillId="0" borderId="28" xfId="112" applyNumberFormat="1" applyFont="1" applyFill="1" applyBorder="1" applyAlignment="1">
      <alignment horizontal="right" vertical="center"/>
    </xf>
    <xf numFmtId="174" fontId="70" fillId="0" borderId="68" xfId="112" applyNumberFormat="1" applyFont="1" applyFill="1" applyBorder="1" applyAlignment="1">
      <alignment horizontal="right" vertical="center"/>
    </xf>
    <xf numFmtId="174" fontId="70" fillId="0" borderId="69" xfId="112" applyNumberFormat="1" applyFont="1" applyFill="1" applyBorder="1" applyAlignment="1">
      <alignment horizontal="right" vertical="center"/>
    </xf>
    <xf numFmtId="174" fontId="70" fillId="0" borderId="0" xfId="112" applyNumberFormat="1" applyFont="1" applyFill="1" applyAlignment="1">
      <alignment horizontal="right" vertical="center"/>
    </xf>
    <xf numFmtId="174" fontId="70" fillId="0" borderId="10" xfId="112" applyNumberFormat="1" applyFont="1" applyFill="1" applyBorder="1" applyAlignment="1">
      <alignment horizontal="right" vertical="center"/>
    </xf>
    <xf numFmtId="174" fontId="70" fillId="0" borderId="64" xfId="112" applyNumberFormat="1" applyFont="1" applyFill="1" applyBorder="1" applyAlignment="1">
      <alignment horizontal="right" vertical="center"/>
    </xf>
    <xf numFmtId="174" fontId="70" fillId="0" borderId="22" xfId="112" applyNumberFormat="1" applyFont="1" applyFill="1" applyBorder="1" applyAlignment="1">
      <alignment horizontal="right" vertical="center"/>
    </xf>
    <xf numFmtId="174" fontId="70" fillId="0" borderId="18" xfId="112" applyNumberFormat="1" applyFont="1" applyFill="1" applyBorder="1" applyAlignment="1">
      <alignment horizontal="right" vertical="center"/>
    </xf>
    <xf numFmtId="174" fontId="70" fillId="0" borderId="10" xfId="88" applyNumberFormat="1" applyFont="1" applyFill="1" applyBorder="1" applyAlignment="1">
      <alignment horizontal="right" vertical="center"/>
    </xf>
    <xf numFmtId="205" fontId="68" fillId="0" borderId="22" xfId="111" applyNumberFormat="1" applyFont="1" applyFill="1" applyBorder="1" applyAlignment="1">
      <alignment horizontal="center" vertical="center"/>
    </xf>
    <xf numFmtId="206" fontId="68" fillId="0" borderId="22" xfId="111" applyNumberFormat="1" applyFont="1" applyFill="1" applyBorder="1" applyAlignment="1">
      <alignment horizontal="center" vertical="center"/>
    </xf>
    <xf numFmtId="174" fontId="67" fillId="0" borderId="0" xfId="86" applyNumberFormat="1" applyFont="1" applyFill="1" applyBorder="1" applyAlignment="1">
      <alignment horizontal="right" vertical="center"/>
    </xf>
    <xf numFmtId="10" fontId="67" fillId="0" borderId="0" xfId="86" applyNumberFormat="1" applyFont="1" applyFill="1" applyBorder="1" applyAlignment="1">
      <alignment horizontal="right" vertical="center"/>
    </xf>
    <xf numFmtId="174" fontId="70" fillId="18" borderId="69" xfId="112" applyNumberFormat="1" applyFont="1" applyFill="1" applyBorder="1" applyAlignment="1">
      <alignment horizontal="right" vertical="center"/>
    </xf>
    <xf numFmtId="174" fontId="70" fillId="18" borderId="0" xfId="112" applyNumberFormat="1" applyFont="1" applyFill="1" applyAlignment="1">
      <alignment horizontal="right" vertical="center"/>
    </xf>
    <xf numFmtId="0" fontId="16" fillId="0" borderId="0" xfId="113" applyFont="1" applyFill="1" applyBorder="1" applyAlignment="1" applyProtection="1">
      <alignment horizontal="right" vertical="center" textRotation="90"/>
      <protection locked="0"/>
    </xf>
    <xf numFmtId="174" fontId="65" fillId="0" borderId="0" xfId="88" applyNumberFormat="1" applyFont="1" applyFill="1" applyBorder="1" applyAlignment="1">
      <alignment vertical="center"/>
    </xf>
    <xf numFmtId="204" fontId="74" fillId="0" borderId="0" xfId="113" applyNumberFormat="1" applyFont="1" applyFill="1" applyBorder="1" applyAlignment="1" applyProtection="1">
      <alignment horizontal="center" vertical="center"/>
    </xf>
    <xf numFmtId="10" fontId="74" fillId="0" borderId="0" xfId="113" applyNumberFormat="1" applyFont="1" applyFill="1" applyBorder="1" applyAlignment="1" applyProtection="1">
      <alignment horizontal="right" vertical="center"/>
    </xf>
    <xf numFmtId="0" fontId="1" fillId="0" borderId="0" xfId="159"/>
    <xf numFmtId="0" fontId="1" fillId="0" borderId="0" xfId="159" applyAlignment="1">
      <alignment horizontal="left"/>
    </xf>
    <xf numFmtId="0" fontId="62" fillId="16" borderId="80" xfId="159" applyFont="1" applyFill="1" applyBorder="1" applyAlignment="1">
      <alignment horizontal="center"/>
    </xf>
    <xf numFmtId="0" fontId="77" fillId="0" borderId="80" xfId="159" applyFont="1" applyBorder="1" applyAlignment="1">
      <alignment horizontal="center"/>
    </xf>
    <xf numFmtId="0" fontId="62" fillId="0" borderId="0" xfId="159" applyFont="1" applyBorder="1" applyAlignment="1">
      <alignment horizontal="center" wrapText="1"/>
    </xf>
    <xf numFmtId="0" fontId="1" fillId="0" borderId="0" xfId="159" applyBorder="1" applyAlignment="1">
      <alignment horizontal="center" wrapText="1"/>
    </xf>
    <xf numFmtId="0" fontId="1" fillId="0" borderId="0" xfId="159" applyAlignment="1">
      <alignment horizontal="center"/>
    </xf>
    <xf numFmtId="0" fontId="78" fillId="16" borderId="80" xfId="159" applyFont="1" applyFill="1" applyBorder="1" applyAlignment="1">
      <alignment horizontal="center" vertical="center"/>
    </xf>
    <xf numFmtId="9" fontId="77" fillId="0" borderId="81" xfId="159" applyNumberFormat="1" applyFont="1" applyBorder="1" applyAlignment="1">
      <alignment horizontal="center"/>
    </xf>
    <xf numFmtId="9" fontId="1" fillId="0" borderId="0" xfId="159" applyNumberFormat="1" applyBorder="1" applyAlignment="1">
      <alignment horizontal="center"/>
    </xf>
    <xf numFmtId="9" fontId="77" fillId="0" borderId="55" xfId="159" applyNumberFormat="1" applyFont="1" applyBorder="1" applyAlignment="1">
      <alignment horizontal="center"/>
    </xf>
    <xf numFmtId="9" fontId="77" fillId="0" borderId="54" xfId="159" applyNumberFormat="1" applyFont="1" applyBorder="1" applyAlignment="1">
      <alignment horizontal="center"/>
    </xf>
    <xf numFmtId="166" fontId="46" fillId="15" borderId="58" xfId="71" applyNumberFormat="1" applyFont="1" applyFill="1" applyBorder="1" applyAlignment="1" applyProtection="1">
      <alignment horizontal="center" vertical="center" textRotation="90"/>
      <protection locked="0"/>
    </xf>
    <xf numFmtId="166" fontId="46" fillId="15" borderId="55" xfId="71" applyNumberFormat="1" applyFont="1" applyFill="1" applyBorder="1" applyAlignment="1" applyProtection="1">
      <alignment horizontal="center" vertical="center" textRotation="90"/>
      <protection locked="0"/>
    </xf>
    <xf numFmtId="166" fontId="46" fillId="15" borderId="54" xfId="71" applyNumberFormat="1" applyFont="1" applyFill="1" applyBorder="1" applyAlignment="1" applyProtection="1">
      <alignment horizontal="center" vertical="center" textRotation="90"/>
      <protection locked="0"/>
    </xf>
  </cellXfs>
  <cellStyles count="160">
    <cellStyle name="_x000a_386grabber=M" xfId="116"/>
    <cellStyle name="_Multiple" xfId="1"/>
    <cellStyle name="20% - Accent1 2" xfId="117"/>
    <cellStyle name="20% - Accent2 2" xfId="118"/>
    <cellStyle name="20% - Accent3 2" xfId="119"/>
    <cellStyle name="20% - Accent4 2" xfId="120"/>
    <cellStyle name="20% - Accent5 2" xfId="121"/>
    <cellStyle name="20% - Accent6 2" xfId="122"/>
    <cellStyle name="40% - Accent1 2" xfId="123"/>
    <cellStyle name="40% - Accent2 2" xfId="124"/>
    <cellStyle name="40% - Accent3 2" xfId="125"/>
    <cellStyle name="40% - Accent4 2" xfId="126"/>
    <cellStyle name="40% - Accent5 2" xfId="127"/>
    <cellStyle name="40% - Accent6 2" xfId="128"/>
    <cellStyle name="60% - Accent1 2" xfId="129"/>
    <cellStyle name="60% - Accent2 2" xfId="130"/>
    <cellStyle name="60% - Accent3 2" xfId="131"/>
    <cellStyle name="60% - Accent4 2" xfId="132"/>
    <cellStyle name="60% - Accent5 2" xfId="133"/>
    <cellStyle name="60% - Accent6 2" xfId="134"/>
    <cellStyle name="Accent1 - 20%" xfId="2"/>
    <cellStyle name="Accent1 - 40%" xfId="3"/>
    <cellStyle name="Accent1 - 60%" xfId="4"/>
    <cellStyle name="Accent1 2" xfId="135"/>
    <cellStyle name="Accent2 - 20%" xfId="5"/>
    <cellStyle name="Accent2 - 40%" xfId="6"/>
    <cellStyle name="Accent2 - 60%" xfId="7"/>
    <cellStyle name="Accent2 2" xfId="136"/>
    <cellStyle name="Accent3 - 20%" xfId="8"/>
    <cellStyle name="Accent3 - 40%" xfId="9"/>
    <cellStyle name="Accent3 - 60%" xfId="10"/>
    <cellStyle name="Accent3 2" xfId="137"/>
    <cellStyle name="Accent4 - 20%" xfId="11"/>
    <cellStyle name="Accent4 - 40%" xfId="12"/>
    <cellStyle name="Accent4 - 60%" xfId="13"/>
    <cellStyle name="Accent4 2" xfId="138"/>
    <cellStyle name="Accent5 - 20%" xfId="14"/>
    <cellStyle name="Accent5 - 40%" xfId="15"/>
    <cellStyle name="Accent5 - 60%" xfId="16"/>
    <cellStyle name="Accent5 2" xfId="139"/>
    <cellStyle name="Accent6 - 20%" xfId="17"/>
    <cellStyle name="Accent6 - 40%" xfId="18"/>
    <cellStyle name="Accent6 - 60%" xfId="19"/>
    <cellStyle name="Accent6 2" xfId="140"/>
    <cellStyle name="AFE" xfId="113"/>
    <cellStyle name="Bad 2" xfId="141"/>
    <cellStyle name="calc" xfId="20"/>
    <cellStyle name="Calculation 2" xfId="142"/>
    <cellStyle name="Check Cell 2" xfId="143"/>
    <cellStyle name="Comma" xfId="21" builtinId="3"/>
    <cellStyle name="Comma  - Style1" xfId="22"/>
    <cellStyle name="Comma  - Style2" xfId="23"/>
    <cellStyle name="Comma 10" xfId="24"/>
    <cellStyle name="Comma 11" xfId="25"/>
    <cellStyle name="Comma 12" xfId="26"/>
    <cellStyle name="Comma 13" xfId="27"/>
    <cellStyle name="Comma 14" xfId="28"/>
    <cellStyle name="Comma 15" xfId="101"/>
    <cellStyle name="Comma 16" xfId="110"/>
    <cellStyle name="Comma 2" xfId="29"/>
    <cellStyle name="Comma 2 2" xfId="30"/>
    <cellStyle name="Comma 2 3" xfId="31"/>
    <cellStyle name="Comma 3" xfId="32"/>
    <cellStyle name="Comma 3 2" xfId="33"/>
    <cellStyle name="Comma 3 3" xfId="34"/>
    <cellStyle name="Comma 4" xfId="35"/>
    <cellStyle name="Comma 4 2" xfId="36"/>
    <cellStyle name="Comma 4 3" xfId="37"/>
    <cellStyle name="Comma 5" xfId="38"/>
    <cellStyle name="Comma 5 2" xfId="39"/>
    <cellStyle name="Comma 6" xfId="40"/>
    <cellStyle name="Comma 6 2" xfId="41"/>
    <cellStyle name="Comma 7" xfId="42"/>
    <cellStyle name="Comma 8" xfId="43"/>
    <cellStyle name="Comma 9" xfId="44"/>
    <cellStyle name="Comma0" xfId="45"/>
    <cellStyle name="Curren - Style5" xfId="46"/>
    <cellStyle name="Curren - Style6" xfId="47"/>
    <cellStyle name="Curren - Style7" xfId="48"/>
    <cellStyle name="Curren - Style8" xfId="49"/>
    <cellStyle name="Currency 2" xfId="50"/>
    <cellStyle name="Currency 3" xfId="51"/>
    <cellStyle name="Currency 4" xfId="103"/>
    <cellStyle name="Currency 5" xfId="106"/>
    <cellStyle name="Currency0" xfId="52"/>
    <cellStyle name="Date" xfId="53"/>
    <cellStyle name="Emphasis 1" xfId="54"/>
    <cellStyle name="Emphasis 2" xfId="55"/>
    <cellStyle name="Emphasis 3" xfId="56"/>
    <cellStyle name="Euro" xfId="57"/>
    <cellStyle name="Explanatory Text 2" xfId="144"/>
    <cellStyle name="FeedData" xfId="58"/>
    <cellStyle name="Fixed" xfId="59"/>
    <cellStyle name="Good 2" xfId="145"/>
    <cellStyle name="Header" xfId="60"/>
    <cellStyle name="Heading 1 2" xfId="146"/>
    <cellStyle name="Heading 2 2" xfId="147"/>
    <cellStyle name="Heading 3 2" xfId="148"/>
    <cellStyle name="Heading 4 2" xfId="149"/>
    <cellStyle name="Hyperlink 2" xfId="61"/>
    <cellStyle name="Hyperlink 2 2" xfId="62"/>
    <cellStyle name="Hyperlink 3" xfId="63"/>
    <cellStyle name="Hyperlink 4" xfId="64"/>
    <cellStyle name="Hyperlink 5" xfId="65"/>
    <cellStyle name="Hyperlink 6" xfId="66"/>
    <cellStyle name="Input 2" xfId="150"/>
    <cellStyle name="Linked Cell 2" xfId="151"/>
    <cellStyle name="Neutral 2" xfId="152"/>
    <cellStyle name="Normal" xfId="0" builtinId="0"/>
    <cellStyle name="Normal 10" xfId="108"/>
    <cellStyle name="Normal 11" xfId="111"/>
    <cellStyle name="Normal 12" xfId="159"/>
    <cellStyle name="Normal 2" xfId="67"/>
    <cellStyle name="Normal 2 2" xfId="68"/>
    <cellStyle name="Normal 2 2 2" xfId="69"/>
    <cellStyle name="Normal 2 2 3" xfId="153"/>
    <cellStyle name="Normal 2 3" xfId="70"/>
    <cellStyle name="Normal 2 4" xfId="154"/>
    <cellStyle name="Normal 3" xfId="71"/>
    <cellStyle name="Normal 3 2" xfId="72"/>
    <cellStyle name="Normal 4" xfId="73"/>
    <cellStyle name="Normal 4 2" xfId="74"/>
    <cellStyle name="Normal 4 3" xfId="104"/>
    <cellStyle name="Normal 5" xfId="75"/>
    <cellStyle name="Normal 6" xfId="76"/>
    <cellStyle name="Normal 7" xfId="77"/>
    <cellStyle name="Normal 8" xfId="78"/>
    <cellStyle name="Normal 9" xfId="100"/>
    <cellStyle name="Normal_Ch01 Pics v2.2" xfId="114"/>
    <cellStyle name="Normal_EPS_Estimates_model" xfId="79"/>
    <cellStyle name="Normal_temba coke 1" xfId="112"/>
    <cellStyle name="Note 2" xfId="155"/>
    <cellStyle name="number" xfId="80"/>
    <cellStyle name="number 2" xfId="81"/>
    <cellStyle name="number(0)" xfId="82"/>
    <cellStyle name="number(2)" xfId="83"/>
    <cellStyle name="number_3 Stage_FCFF_Valuation_bb_v15" xfId="84"/>
    <cellStyle name="Outline Grey" xfId="85"/>
    <cellStyle name="Output 2" xfId="156"/>
    <cellStyle name="Percent" xfId="86" builtinId="5"/>
    <cellStyle name="Percent 2" xfId="87"/>
    <cellStyle name="Percent 2 2" xfId="88"/>
    <cellStyle name="Percent 2 2 2" xfId="89"/>
    <cellStyle name="Percent 3" xfId="90"/>
    <cellStyle name="Percent 3 2" xfId="91"/>
    <cellStyle name="Percent 3 3" xfId="105"/>
    <cellStyle name="Percent 4" xfId="92"/>
    <cellStyle name="Percent 4 2" xfId="93"/>
    <cellStyle name="Percent 5" xfId="102"/>
    <cellStyle name="Percent 6" xfId="109"/>
    <cellStyle name="Percent 7" xfId="115"/>
    <cellStyle name="Percent(2)" xfId="94"/>
    <cellStyle name="RED" xfId="95"/>
    <cellStyle name="Sheet Title" xfId="96"/>
    <cellStyle name="Style 1" xfId="97"/>
    <cellStyle name="Total 2" xfId="157"/>
    <cellStyle name="unprotect" xfId="107"/>
    <cellStyle name="Warning Text 2" xfId="158"/>
    <cellStyle name="XX" xfId="98"/>
    <cellStyle name="표준 2" xfId="9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9" Type="http://schemas.openxmlformats.org/officeDocument/2006/relationships/customXml" Target="../customXml/item30.xml"/><Relationship Id="rId21" Type="http://schemas.openxmlformats.org/officeDocument/2006/relationships/customXml" Target="../customXml/item12.xml"/><Relationship Id="rId34" Type="http://schemas.openxmlformats.org/officeDocument/2006/relationships/customXml" Target="../customXml/item25.xml"/><Relationship Id="rId42" Type="http://schemas.openxmlformats.org/officeDocument/2006/relationships/customXml" Target="../customXml/item33.xml"/><Relationship Id="rId47" Type="http://schemas.openxmlformats.org/officeDocument/2006/relationships/customXml" Target="../customXml/item38.xml"/><Relationship Id="rId50" Type="http://schemas.openxmlformats.org/officeDocument/2006/relationships/customXml" Target="../customXml/item41.xml"/><Relationship Id="rId55" Type="http://schemas.openxmlformats.org/officeDocument/2006/relationships/customXml" Target="../customXml/item46.xml"/><Relationship Id="rId63" Type="http://schemas.microsoft.com/office/2006/relationships/vbaProject" Target="vbaProject.bin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9" Type="http://schemas.openxmlformats.org/officeDocument/2006/relationships/customXml" Target="../customXml/item20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32" Type="http://schemas.openxmlformats.org/officeDocument/2006/relationships/customXml" Target="../customXml/item23.xml"/><Relationship Id="rId37" Type="http://schemas.openxmlformats.org/officeDocument/2006/relationships/customXml" Target="../customXml/item28.xml"/><Relationship Id="rId40" Type="http://schemas.openxmlformats.org/officeDocument/2006/relationships/customXml" Target="../customXml/item31.xml"/><Relationship Id="rId45" Type="http://schemas.openxmlformats.org/officeDocument/2006/relationships/customXml" Target="../customXml/item36.xml"/><Relationship Id="rId53" Type="http://schemas.openxmlformats.org/officeDocument/2006/relationships/customXml" Target="../customXml/item44.xml"/><Relationship Id="rId58" Type="http://schemas.openxmlformats.org/officeDocument/2006/relationships/customXml" Target="../customXml/item49.xml"/><Relationship Id="rId5" Type="http://schemas.openxmlformats.org/officeDocument/2006/relationships/externalLink" Target="externalLinks/externalLink1.xml"/><Relationship Id="rId61" Type="http://schemas.openxmlformats.org/officeDocument/2006/relationships/customXml" Target="../customXml/item52.xml"/><Relationship Id="rId19" Type="http://schemas.openxmlformats.org/officeDocument/2006/relationships/customXml" Target="../customXml/item10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Relationship Id="rId35" Type="http://schemas.openxmlformats.org/officeDocument/2006/relationships/customXml" Target="../customXml/item26.xml"/><Relationship Id="rId43" Type="http://schemas.openxmlformats.org/officeDocument/2006/relationships/customXml" Target="../customXml/item34.xml"/><Relationship Id="rId48" Type="http://schemas.openxmlformats.org/officeDocument/2006/relationships/customXml" Target="../customXml/item39.xml"/><Relationship Id="rId56" Type="http://schemas.openxmlformats.org/officeDocument/2006/relationships/customXml" Target="../customXml/item47.xml"/><Relationship Id="rId8" Type="http://schemas.openxmlformats.org/officeDocument/2006/relationships/sharedStrings" Target="sharedStrings.xml"/><Relationship Id="rId51" Type="http://schemas.openxmlformats.org/officeDocument/2006/relationships/customXml" Target="../customXml/item42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33" Type="http://schemas.openxmlformats.org/officeDocument/2006/relationships/customXml" Target="../customXml/item24.xml"/><Relationship Id="rId38" Type="http://schemas.openxmlformats.org/officeDocument/2006/relationships/customXml" Target="../customXml/item29.xml"/><Relationship Id="rId46" Type="http://schemas.openxmlformats.org/officeDocument/2006/relationships/customXml" Target="../customXml/item37.xml"/><Relationship Id="rId59" Type="http://schemas.openxmlformats.org/officeDocument/2006/relationships/customXml" Target="../customXml/item50.xml"/><Relationship Id="rId20" Type="http://schemas.openxmlformats.org/officeDocument/2006/relationships/customXml" Target="../customXml/item11.xml"/><Relationship Id="rId41" Type="http://schemas.openxmlformats.org/officeDocument/2006/relationships/customXml" Target="../customXml/item32.xml"/><Relationship Id="rId54" Type="http://schemas.openxmlformats.org/officeDocument/2006/relationships/customXml" Target="../customXml/item45.xml"/><Relationship Id="rId62" Type="http://schemas.openxmlformats.org/officeDocument/2006/relationships/customXml" Target="../customXml/item5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36" Type="http://schemas.openxmlformats.org/officeDocument/2006/relationships/customXml" Target="../customXml/item27.xml"/><Relationship Id="rId49" Type="http://schemas.openxmlformats.org/officeDocument/2006/relationships/customXml" Target="../customXml/item40.xml"/><Relationship Id="rId57" Type="http://schemas.openxmlformats.org/officeDocument/2006/relationships/customXml" Target="../customXml/item48.xml"/><Relationship Id="rId10" Type="http://schemas.openxmlformats.org/officeDocument/2006/relationships/customXml" Target="../customXml/item1.xml"/><Relationship Id="rId31" Type="http://schemas.openxmlformats.org/officeDocument/2006/relationships/customXml" Target="../customXml/item22.xml"/><Relationship Id="rId44" Type="http://schemas.openxmlformats.org/officeDocument/2006/relationships/customXml" Target="../customXml/item35.xml"/><Relationship Id="rId52" Type="http://schemas.openxmlformats.org/officeDocument/2006/relationships/customXml" Target="../customXml/item43.xml"/><Relationship Id="rId60" Type="http://schemas.openxmlformats.org/officeDocument/2006/relationships/customXml" Target="../customXml/item5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FORECASTING!$B$219</c:f>
              <c:strCache>
                <c:ptCount val="1"/>
                <c:pt idx="0">
                  <c:v>Revenue Growth Rate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FORECASTING!$D$208:$T$208</c:f>
              <c:numCache>
                <c:formatCode>0"A"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 formatCode="0&quot;E&quot;">
                  <c:v>2014</c:v>
                </c:pt>
                <c:pt idx="10" formatCode="0&quot;E&quot;">
                  <c:v>2015</c:v>
                </c:pt>
                <c:pt idx="11" formatCode="0&quot;E&quot;">
                  <c:v>2016</c:v>
                </c:pt>
                <c:pt idx="12" formatCode="0&quot;E&quot;">
                  <c:v>2017</c:v>
                </c:pt>
                <c:pt idx="13" formatCode="0&quot;E&quot;">
                  <c:v>2018</c:v>
                </c:pt>
                <c:pt idx="14" formatCode="0&quot;E&quot;">
                  <c:v>2019</c:v>
                </c:pt>
                <c:pt idx="15" formatCode="0&quot;E&quot;">
                  <c:v>2020</c:v>
                </c:pt>
                <c:pt idx="16" formatCode="0&quot;E&quot;">
                  <c:v>2021</c:v>
                </c:pt>
              </c:numCache>
            </c:numRef>
          </c:cat>
          <c:val>
            <c:numRef>
              <c:f>FORECASTING!$D$219:$T$219</c:f>
              <c:numCache>
                <c:formatCode>0.0%</c:formatCode>
                <c:ptCount val="17"/>
                <c:pt idx="0">
                  <c:v>0.18726474278544541</c:v>
                </c:pt>
                <c:pt idx="1">
                  <c:v>0.13622599329336449</c:v>
                </c:pt>
                <c:pt idx="2">
                  <c:v>2.7044430135222151E-2</c:v>
                </c:pt>
                <c:pt idx="3">
                  <c:v>6.4663880181121555E-2</c:v>
                </c:pt>
                <c:pt idx="4">
                  <c:v>-5.234488737670325E-4</c:v>
                </c:pt>
                <c:pt idx="5">
                  <c:v>-0.13418765650316689</c:v>
                </c:pt>
                <c:pt idx="6">
                  <c:v>0.1624135193376432</c:v>
                </c:pt>
                <c:pt idx="7">
                  <c:v>9.3830292386249074E-3</c:v>
                </c:pt>
                <c:pt idx="8">
                  <c:v>-8.2663401588503493E-2</c:v>
                </c:pt>
                <c:pt idx="9">
                  <c:v>-1.0000000000000002E-2</c:v>
                </c:pt>
                <c:pt idx="10">
                  <c:v>1.3768310030485238E-2</c:v>
                </c:pt>
                <c:pt idx="11">
                  <c:v>2.8184518793529848E-2</c:v>
                </c:pt>
                <c:pt idx="12">
                  <c:v>3.6928391405134348E-2</c:v>
                </c:pt>
                <c:pt idx="13">
                  <c:v>4.2231818228694047E-2</c:v>
                </c:pt>
                <c:pt idx="14">
                  <c:v>4.5448509198725388E-2</c:v>
                </c:pt>
                <c:pt idx="15">
                  <c:v>4.7399530894870166E-2</c:v>
                </c:pt>
                <c:pt idx="16">
                  <c:v>4.8582885371346522E-2</c:v>
                </c:pt>
              </c:numCache>
            </c:numRef>
          </c:val>
        </c:ser>
        <c:ser>
          <c:idx val="1"/>
          <c:order val="1"/>
          <c:tx>
            <c:strRef>
              <c:f>FORECASTING!$B$214</c:f>
              <c:strCache>
                <c:ptCount val="1"/>
                <c:pt idx="0">
                  <c:v>Gross Profit Margin</c:v>
                </c:pt>
              </c:strCache>
            </c:strRef>
          </c:tx>
          <c:invertIfNegative val="0"/>
          <c:cat>
            <c:numRef>
              <c:f>FORECASTING!$D$208:$T$208</c:f>
              <c:numCache>
                <c:formatCode>0"A"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 formatCode="0&quot;E&quot;">
                  <c:v>2014</c:v>
                </c:pt>
                <c:pt idx="10" formatCode="0&quot;E&quot;">
                  <c:v>2015</c:v>
                </c:pt>
                <c:pt idx="11" formatCode="0&quot;E&quot;">
                  <c:v>2016</c:v>
                </c:pt>
                <c:pt idx="12" formatCode="0&quot;E&quot;">
                  <c:v>2017</c:v>
                </c:pt>
                <c:pt idx="13" formatCode="0&quot;E&quot;">
                  <c:v>2018</c:v>
                </c:pt>
                <c:pt idx="14" formatCode="0&quot;E&quot;">
                  <c:v>2019</c:v>
                </c:pt>
                <c:pt idx="15" formatCode="0&quot;E&quot;">
                  <c:v>2020</c:v>
                </c:pt>
                <c:pt idx="16" formatCode="0&quot;E&quot;">
                  <c:v>2021</c:v>
                </c:pt>
              </c:numCache>
            </c:numRef>
          </c:cat>
          <c:val>
            <c:numRef>
              <c:f>FORECASTING!$D$214:$T$214</c:f>
              <c:numCache>
                <c:formatCode>0.0%</c:formatCode>
                <c:ptCount val="17"/>
                <c:pt idx="0">
                  <c:v>0.19000101615689463</c:v>
                </c:pt>
                <c:pt idx="1">
                  <c:v>0.18500035773055734</c:v>
                </c:pt>
                <c:pt idx="2">
                  <c:v>0.17392894461859978</c:v>
                </c:pt>
                <c:pt idx="3">
                  <c:v>0.20084078975348829</c:v>
                </c:pt>
                <c:pt idx="4">
                  <c:v>0.19191175267180569</c:v>
                </c:pt>
                <c:pt idx="5">
                  <c:v>0.19116479528184191</c:v>
                </c:pt>
                <c:pt idx="6">
                  <c:v>0.20109278954044296</c:v>
                </c:pt>
                <c:pt idx="7">
                  <c:v>0.23758276812037826</c:v>
                </c:pt>
                <c:pt idx="8">
                  <c:v>0.23410607657183</c:v>
                </c:pt>
                <c:pt idx="9">
                  <c:v>0.21410607657183001</c:v>
                </c:pt>
                <c:pt idx="10">
                  <c:v>0.20710607657182994</c:v>
                </c:pt>
                <c:pt idx="11">
                  <c:v>0.20010607657182999</c:v>
                </c:pt>
                <c:pt idx="12">
                  <c:v>0.19310607657183002</c:v>
                </c:pt>
                <c:pt idx="13">
                  <c:v>0.18610607657183001</c:v>
                </c:pt>
                <c:pt idx="14">
                  <c:v>0.17910607657183003</c:v>
                </c:pt>
                <c:pt idx="15">
                  <c:v>0.17210607657183014</c:v>
                </c:pt>
                <c:pt idx="16">
                  <c:v>0.16510607657183007</c:v>
                </c:pt>
              </c:numCache>
            </c:numRef>
          </c:val>
        </c:ser>
        <c:ser>
          <c:idx val="2"/>
          <c:order val="2"/>
          <c:tx>
            <c:strRef>
              <c:f>FORECASTING!$B$211</c:f>
              <c:strCache>
                <c:ptCount val="1"/>
                <c:pt idx="0">
                  <c:v>Net Profit Margin</c:v>
                </c:pt>
              </c:strCache>
            </c:strRef>
          </c:tx>
          <c:invertIfNegative val="0"/>
          <c:cat>
            <c:numRef>
              <c:f>FORECASTING!$D$208:$T$208</c:f>
              <c:numCache>
                <c:formatCode>0"A"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 formatCode="0&quot;E&quot;">
                  <c:v>2014</c:v>
                </c:pt>
                <c:pt idx="10" formatCode="0&quot;E&quot;">
                  <c:v>2015</c:v>
                </c:pt>
                <c:pt idx="11" formatCode="0&quot;E&quot;">
                  <c:v>2016</c:v>
                </c:pt>
                <c:pt idx="12" formatCode="0&quot;E&quot;">
                  <c:v>2017</c:v>
                </c:pt>
                <c:pt idx="13" formatCode="0&quot;E&quot;">
                  <c:v>2018</c:v>
                </c:pt>
                <c:pt idx="14" formatCode="0&quot;E&quot;">
                  <c:v>2019</c:v>
                </c:pt>
                <c:pt idx="15" formatCode="0&quot;E&quot;">
                  <c:v>2020</c:v>
                </c:pt>
                <c:pt idx="16" formatCode="0&quot;E&quot;">
                  <c:v>2021</c:v>
                </c:pt>
              </c:numCache>
            </c:numRef>
          </c:cat>
          <c:val>
            <c:numRef>
              <c:f>FORECASTING!$D$211:$T$211</c:f>
              <c:numCache>
                <c:formatCode>0.0%</c:formatCode>
                <c:ptCount val="17"/>
                <c:pt idx="0">
                  <c:v>6.1843308606848897E-2</c:v>
                </c:pt>
                <c:pt idx="1">
                  <c:v>6.3890677541675614E-2</c:v>
                </c:pt>
                <c:pt idx="2">
                  <c:v>4.4984326018808779E-2</c:v>
                </c:pt>
                <c:pt idx="3">
                  <c:v>4.8206369718482654E-2</c:v>
                </c:pt>
                <c:pt idx="4">
                  <c:v>4.0555801050719299E-2</c:v>
                </c:pt>
                <c:pt idx="5">
                  <c:v>2.708782276662508E-2</c:v>
                </c:pt>
                <c:pt idx="6">
                  <c:v>4.2849708914690865E-2</c:v>
                </c:pt>
                <c:pt idx="7">
                  <c:v>5.6258155982665016E-2</c:v>
                </c:pt>
                <c:pt idx="8">
                  <c:v>4.1657885493501932E-2</c:v>
                </c:pt>
                <c:pt idx="9">
                  <c:v>2.0779603880283885E-2</c:v>
                </c:pt>
                <c:pt idx="10">
                  <c:v>-3.4117458272233926E-2</c:v>
                </c:pt>
                <c:pt idx="11">
                  <c:v>-6.4352508853678381E-2</c:v>
                </c:pt>
                <c:pt idx="12">
                  <c:v>-8.1276087090128277E-2</c:v>
                </c:pt>
                <c:pt idx="13">
                  <c:v>-9.2325206990081524E-2</c:v>
                </c:pt>
                <c:pt idx="14">
                  <c:v>-0.10028582034277535</c:v>
                </c:pt>
                <c:pt idx="15">
                  <c:v>-0.10659787892027477</c:v>
                </c:pt>
                <c:pt idx="16">
                  <c:v>-0.11200119771611096</c:v>
                </c:pt>
              </c:numCache>
            </c:numRef>
          </c:val>
        </c:ser>
        <c:ser>
          <c:idx val="3"/>
          <c:order val="3"/>
          <c:tx>
            <c:strRef>
              <c:f>FORECASTING!$B$216</c:f>
              <c:strCache>
                <c:ptCount val="1"/>
                <c:pt idx="0">
                  <c:v>ROA</c:v>
                </c:pt>
              </c:strCache>
            </c:strRef>
          </c:tx>
          <c:invertIfNegative val="0"/>
          <c:cat>
            <c:numRef>
              <c:f>FORECASTING!$D$208:$T$208</c:f>
              <c:numCache>
                <c:formatCode>0"A"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 formatCode="0&quot;E&quot;">
                  <c:v>2014</c:v>
                </c:pt>
                <c:pt idx="10" formatCode="0&quot;E&quot;">
                  <c:v>2015</c:v>
                </c:pt>
                <c:pt idx="11" formatCode="0&quot;E&quot;">
                  <c:v>2016</c:v>
                </c:pt>
                <c:pt idx="12" formatCode="0&quot;E&quot;">
                  <c:v>2017</c:v>
                </c:pt>
                <c:pt idx="13" formatCode="0&quot;E&quot;">
                  <c:v>2018</c:v>
                </c:pt>
                <c:pt idx="14" formatCode="0&quot;E&quot;">
                  <c:v>2019</c:v>
                </c:pt>
                <c:pt idx="15" formatCode="0&quot;E&quot;">
                  <c:v>2020</c:v>
                </c:pt>
                <c:pt idx="16" formatCode="0&quot;E&quot;">
                  <c:v>2021</c:v>
                </c:pt>
              </c:numCache>
            </c:numRef>
          </c:cat>
          <c:val>
            <c:numRef>
              <c:f>FORECASTING!$D$216:$T$216</c:f>
              <c:numCache>
                <c:formatCode>0.0%</c:formatCode>
                <c:ptCount val="17"/>
                <c:pt idx="0">
                  <c:v>0.13107904372173165</c:v>
                </c:pt>
                <c:pt idx="1">
                  <c:v>0.15457181184819768</c:v>
                </c:pt>
                <c:pt idx="2">
                  <c:v>0.10076067875950849</c:v>
                </c:pt>
                <c:pt idx="3">
                  <c:v>0.10692645404738579</c:v>
                </c:pt>
                <c:pt idx="4">
                  <c:v>9.3509433962264146E-2</c:v>
                </c:pt>
                <c:pt idx="5">
                  <c:v>4.2582907405206226E-2</c:v>
                </c:pt>
                <c:pt idx="6">
                  <c:v>6.8266017254333011E-2</c:v>
                </c:pt>
                <c:pt idx="7">
                  <c:v>7.841376058204029E-2</c:v>
                </c:pt>
                <c:pt idx="8">
                  <c:v>4.98948254101809E-2</c:v>
                </c:pt>
                <c:pt idx="9">
                  <c:v>2.6370957764524718E-2</c:v>
                </c:pt>
                <c:pt idx="10">
                  <c:v>-4.1876305670542839E-2</c:v>
                </c:pt>
                <c:pt idx="11">
                  <c:v>-6.8564169655264545E-2</c:v>
                </c:pt>
                <c:pt idx="12">
                  <c:v>-8.0178093429554315E-2</c:v>
                </c:pt>
                <c:pt idx="13">
                  <c:v>-8.7160295444288743E-2</c:v>
                </c:pt>
                <c:pt idx="14">
                  <c:v>-9.2268339522043635E-2</c:v>
                </c:pt>
                <c:pt idx="15">
                  <c:v>-9.6586246482823379E-2</c:v>
                </c:pt>
                <c:pt idx="16">
                  <c:v>-0.10055579929722994</c:v>
                </c:pt>
              </c:numCache>
            </c:numRef>
          </c:val>
        </c:ser>
        <c:ser>
          <c:idx val="4"/>
          <c:order val="4"/>
          <c:tx>
            <c:strRef>
              <c:f>FORECASTING!$B$217</c:f>
              <c:strCache>
                <c:ptCount val="1"/>
                <c:pt idx="0">
                  <c:v>ROE</c:v>
                </c:pt>
              </c:strCache>
            </c:strRef>
          </c:tx>
          <c:invertIfNegative val="0"/>
          <c:cat>
            <c:numRef>
              <c:f>FORECASTING!$D$208:$T$208</c:f>
              <c:numCache>
                <c:formatCode>0"A"</c:formatCode>
                <c:ptCount val="17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 formatCode="0&quot;E&quot;">
                  <c:v>2014</c:v>
                </c:pt>
                <c:pt idx="10" formatCode="0&quot;E&quot;">
                  <c:v>2015</c:v>
                </c:pt>
                <c:pt idx="11" formatCode="0&quot;E&quot;">
                  <c:v>2016</c:v>
                </c:pt>
                <c:pt idx="12" formatCode="0&quot;E&quot;">
                  <c:v>2017</c:v>
                </c:pt>
                <c:pt idx="13" formatCode="0&quot;E&quot;">
                  <c:v>2018</c:v>
                </c:pt>
                <c:pt idx="14" formatCode="0&quot;E&quot;">
                  <c:v>2019</c:v>
                </c:pt>
                <c:pt idx="15" formatCode="0&quot;E&quot;">
                  <c:v>2020</c:v>
                </c:pt>
                <c:pt idx="16" formatCode="0&quot;E&quot;">
                  <c:v>2021</c:v>
                </c:pt>
              </c:numCache>
            </c:numRef>
          </c:cat>
          <c:val>
            <c:numRef>
              <c:f>FORECASTING!$D$217:$T$217</c:f>
              <c:numCache>
                <c:formatCode>0.0%</c:formatCode>
                <c:ptCount val="17"/>
                <c:pt idx="0">
                  <c:v>0.469236700077101</c:v>
                </c:pt>
                <c:pt idx="1">
                  <c:v>0.86510050859772347</c:v>
                </c:pt>
                <c:pt idx="2">
                  <c:v>0.59681146025878007</c:v>
                </c:pt>
                <c:pt idx="3">
                  <c:v>0.78902275769745644</c:v>
                </c:pt>
                <c:pt idx="4">
                  <c:v>0.58019199250760944</c:v>
                </c:pt>
                <c:pt idx="5">
                  <c:v>0.25403297287714943</c:v>
                </c:pt>
                <c:pt idx="6">
                  <c:v>0.33929951068761266</c:v>
                </c:pt>
                <c:pt idx="7">
                  <c:v>0.39161152854098913</c:v>
                </c:pt>
                <c:pt idx="8">
                  <c:v>0.22209737827715356</c:v>
                </c:pt>
                <c:pt idx="9">
                  <c:v>9.8837505837139725E-2</c:v>
                </c:pt>
                <c:pt idx="10">
                  <c:v>-0.19690653590443888</c:v>
                </c:pt>
                <c:pt idx="11">
                  <c:v>-0.61779294274503183</c:v>
                </c:pt>
                <c:pt idx="12">
                  <c:v>-4.2376705591854886</c:v>
                </c:pt>
                <c:pt idx="13">
                  <c:v>1.2489384737642295</c:v>
                </c:pt>
                <c:pt idx="14">
                  <c:v>0.58648348795038618</c:v>
                </c:pt>
                <c:pt idx="15">
                  <c:v>0.3950195207808484</c:v>
                </c:pt>
                <c:pt idx="16">
                  <c:v>0.30323618051864465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242496"/>
        <c:axId val="41324480"/>
      </c:barChart>
      <c:catAx>
        <c:axId val="155242496"/>
        <c:scaling>
          <c:orientation val="minMax"/>
        </c:scaling>
        <c:delete val="0"/>
        <c:axPos val="b"/>
        <c:numFmt formatCode="0&quot;A&quot;" sourceLinked="1"/>
        <c:majorTickMark val="out"/>
        <c:minorTickMark val="none"/>
        <c:tickLblPos val="nextTo"/>
        <c:crossAx val="41324480"/>
        <c:crosses val="autoZero"/>
        <c:auto val="1"/>
        <c:lblAlgn val="ctr"/>
        <c:lblOffset val="100"/>
        <c:noMultiLvlLbl val="0"/>
      </c:catAx>
      <c:valAx>
        <c:axId val="4132448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55242496"/>
        <c:crosses val="autoZero"/>
        <c:crossBetween val="between"/>
      </c:valAx>
      <c:spPr>
        <a:noFill/>
        <a:ln>
          <a:noFill/>
        </a:ln>
      </c:spPr>
    </c:plotArea>
    <c:legend>
      <c:legendPos val="t"/>
      <c:layout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8939136"/>
        <c:axId val="54064768"/>
      </c:barChart>
      <c:catAx>
        <c:axId val="15893913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54064768"/>
        <c:crosses val="autoZero"/>
        <c:auto val="1"/>
        <c:lblAlgn val="ctr"/>
        <c:lblOffset val="100"/>
        <c:tickMarkSkip val="1"/>
        <c:noMultiLvlLbl val="0"/>
      </c:catAx>
      <c:valAx>
        <c:axId val="54064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58939136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299" r="0.750000000000012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124736"/>
        <c:axId val="116838336"/>
      </c:barChart>
      <c:catAx>
        <c:axId val="20312473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16838336"/>
        <c:crosses val="autoZero"/>
        <c:auto val="1"/>
        <c:lblAlgn val="ctr"/>
        <c:lblOffset val="100"/>
        <c:tickMarkSkip val="1"/>
        <c:noMultiLvlLbl val="0"/>
      </c:catAx>
      <c:valAx>
        <c:axId val="116838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03124736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299" r="0.750000000000012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125248"/>
        <c:axId val="137682240"/>
      </c:barChart>
      <c:catAx>
        <c:axId val="203125248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37682240"/>
        <c:crosses val="autoZero"/>
        <c:auto val="1"/>
        <c:lblAlgn val="ctr"/>
        <c:lblOffset val="100"/>
        <c:tickMarkSkip val="1"/>
        <c:noMultiLvlLbl val="0"/>
      </c:catAx>
      <c:valAx>
        <c:axId val="137682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03125248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299" r="0.750000000000012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125760"/>
        <c:axId val="222807168"/>
      </c:barChart>
      <c:catAx>
        <c:axId val="203125760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22807168"/>
        <c:crosses val="autoZero"/>
        <c:auto val="1"/>
        <c:lblAlgn val="ctr"/>
        <c:lblOffset val="100"/>
        <c:tickMarkSkip val="1"/>
        <c:noMultiLvlLbl val="0"/>
      </c:catAx>
      <c:valAx>
        <c:axId val="222807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03125760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299" r="0.75000000000001299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1523875274706E-3"/>
          <c:y val="3.2679947150399097E-2"/>
          <c:w val="0.98510013411577002"/>
          <c:h val="0.9411824779314610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126272"/>
        <c:axId val="222808896"/>
      </c:barChart>
      <c:catAx>
        <c:axId val="203126272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2808896"/>
        <c:crosses val="autoZero"/>
        <c:auto val="1"/>
        <c:lblAlgn val="ctr"/>
        <c:lblOffset val="100"/>
        <c:tickMarkSkip val="1"/>
        <c:noMultiLvlLbl val="0"/>
      </c:catAx>
      <c:valAx>
        <c:axId val="22280889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03126272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 orientation="landscape" horizontalDpi="-3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056478405315708E-3"/>
          <c:y val="3.2467635411284099E-2"/>
          <c:w val="0.98504983388704304"/>
          <c:h val="0.9415614269272110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DATA!$P$223:$Z$223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127296"/>
        <c:axId val="222810624"/>
      </c:barChart>
      <c:catAx>
        <c:axId val="203127296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2810624"/>
        <c:crosses val="autoZero"/>
        <c:auto val="1"/>
        <c:lblAlgn val="ctr"/>
        <c:lblOffset val="100"/>
        <c:tickMarkSkip val="1"/>
        <c:noMultiLvlLbl val="0"/>
      </c:catAx>
      <c:valAx>
        <c:axId val="222810624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03127296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5394560"/>
        <c:axId val="222812352"/>
      </c:barChart>
      <c:catAx>
        <c:axId val="155394560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22812352"/>
        <c:crosses val="autoZero"/>
        <c:auto val="1"/>
        <c:lblAlgn val="ctr"/>
        <c:lblOffset val="100"/>
        <c:tickMarkSkip val="1"/>
        <c:noMultiLvlLbl val="0"/>
      </c:catAx>
      <c:valAx>
        <c:axId val="222812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55394560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199" r="0.75000000000001199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127808"/>
        <c:axId val="223322112"/>
      </c:barChart>
      <c:catAx>
        <c:axId val="203127808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23322112"/>
        <c:crosses val="autoZero"/>
        <c:auto val="1"/>
        <c:lblAlgn val="ctr"/>
        <c:lblOffset val="100"/>
        <c:tickMarkSkip val="1"/>
        <c:noMultiLvlLbl val="0"/>
      </c:catAx>
      <c:valAx>
        <c:axId val="223322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03127808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199" r="0.75000000000001199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5"/>
    </mc:Choice>
    <mc:Fallback>
      <c:style val="45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1523875274706E-3"/>
          <c:y val="3.2679947150399097E-2"/>
          <c:w val="0.98510013411577002"/>
          <c:h val="0.9411824779314610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DATA!$D$237:$N$237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3128320"/>
        <c:axId val="223323840"/>
      </c:barChart>
      <c:catAx>
        <c:axId val="203128320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23840"/>
        <c:crosses val="autoZero"/>
        <c:auto val="1"/>
        <c:lblAlgn val="ctr"/>
        <c:lblOffset val="100"/>
        <c:tickMarkSkip val="1"/>
        <c:noMultiLvlLbl val="0"/>
      </c:catAx>
      <c:valAx>
        <c:axId val="223323840"/>
        <c:scaling>
          <c:orientation val="minMax"/>
        </c:scaling>
        <c:delete val="0"/>
        <c:axPos val="l"/>
        <c:majorGridlines/>
        <c:numFmt formatCode="#,##0.0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03128320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056478405315708E-3"/>
          <c:y val="3.2467635411284099E-2"/>
          <c:w val="0.98504983388704304"/>
          <c:h val="0.9415614269272110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DATA!$P$237:$Z$237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3395840"/>
        <c:axId val="223325568"/>
      </c:barChart>
      <c:catAx>
        <c:axId val="223395840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25568"/>
        <c:crosses val="autoZero"/>
        <c:auto val="1"/>
        <c:lblAlgn val="ctr"/>
        <c:lblOffset val="100"/>
        <c:tickMarkSkip val="1"/>
        <c:noMultiLvlLbl val="0"/>
      </c:catAx>
      <c:valAx>
        <c:axId val="223325568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95840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1523875274706E-3"/>
          <c:y val="3.2679947150399097E-2"/>
          <c:w val="0.98510013411577002"/>
          <c:h val="0.9411824779314610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DATA!$D$251:$N$251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3396352"/>
        <c:axId val="223327296"/>
      </c:barChart>
      <c:catAx>
        <c:axId val="223396352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27296"/>
        <c:crosses val="autoZero"/>
        <c:auto val="1"/>
        <c:lblAlgn val="ctr"/>
        <c:lblOffset val="100"/>
        <c:tickMarkSkip val="1"/>
        <c:noMultiLvlLbl val="0"/>
      </c:catAx>
      <c:valAx>
        <c:axId val="223327296"/>
        <c:scaling>
          <c:orientation val="minMax"/>
        </c:scaling>
        <c:delete val="0"/>
        <c:axPos val="l"/>
        <c:majorGridlines/>
        <c:numFmt formatCode="#,##0.0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96352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056478405315708E-3"/>
          <c:y val="3.2467635411284099E-2"/>
          <c:w val="0.98504983388704304"/>
          <c:h val="0.9415614269272110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DATA!$P$251:$Z$251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3396864"/>
        <c:axId val="223329024"/>
      </c:barChart>
      <c:catAx>
        <c:axId val="223396864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29024"/>
        <c:crosses val="autoZero"/>
        <c:auto val="1"/>
        <c:lblAlgn val="ctr"/>
        <c:lblOffset val="100"/>
        <c:tickMarkSkip val="1"/>
        <c:noMultiLvlLbl val="0"/>
      </c:catAx>
      <c:valAx>
        <c:axId val="22332902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96864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3397376"/>
        <c:axId val="230761024"/>
      </c:barChart>
      <c:catAx>
        <c:axId val="223397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30761024"/>
        <c:crosses val="autoZero"/>
        <c:auto val="1"/>
        <c:lblAlgn val="ctr"/>
        <c:lblOffset val="100"/>
        <c:tickMarkSkip val="1"/>
        <c:noMultiLvlLbl val="0"/>
      </c:catAx>
      <c:valAx>
        <c:axId val="230761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23397376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199" r="0.75000000000001199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3397888"/>
        <c:axId val="230762752"/>
      </c:barChart>
      <c:catAx>
        <c:axId val="223397888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30762752"/>
        <c:crosses val="autoZero"/>
        <c:auto val="1"/>
        <c:lblAlgn val="ctr"/>
        <c:lblOffset val="100"/>
        <c:tickMarkSkip val="1"/>
        <c:noMultiLvlLbl val="0"/>
      </c:catAx>
      <c:valAx>
        <c:axId val="23076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23397888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199" r="0.75000000000001199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1"/>
    </mc:Choice>
    <mc:Fallback>
      <c:style val="41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1523875274706E-3"/>
          <c:y val="3.2679947150399097E-2"/>
          <c:w val="0.98510013411577002"/>
          <c:h val="0.9411824779314610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DATA!$D$265:$N$265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3398400"/>
        <c:axId val="230764480"/>
      </c:barChart>
      <c:catAx>
        <c:axId val="223398400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30764480"/>
        <c:crosses val="autoZero"/>
        <c:auto val="1"/>
        <c:lblAlgn val="ctr"/>
        <c:lblOffset val="100"/>
        <c:tickMarkSkip val="1"/>
        <c:noMultiLvlLbl val="0"/>
      </c:catAx>
      <c:valAx>
        <c:axId val="23076448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98400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5"/>
    </mc:Choice>
    <mc:Fallback>
      <c:style val="45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056478405315708E-3"/>
          <c:y val="3.2467635411284099E-2"/>
          <c:w val="0.98504983388704304"/>
          <c:h val="0.9415614269272110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DATA!$P$265:$Z$265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3398912"/>
        <c:axId val="230766208"/>
      </c:barChart>
      <c:catAx>
        <c:axId val="223398912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30766208"/>
        <c:crosses val="autoZero"/>
        <c:auto val="1"/>
        <c:lblAlgn val="ctr"/>
        <c:lblOffset val="100"/>
        <c:tickMarkSkip val="1"/>
        <c:noMultiLvlLbl val="0"/>
      </c:catAx>
      <c:valAx>
        <c:axId val="230766208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3398912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strRef>
          <c:f>CHARTING!$B$7</c:f>
          <c:strCache>
            <c:ptCount val="1"/>
            <c:pt idx="0">
              <c:v>-</c:v>
            </c:pt>
          </c:strCache>
        </c:strRef>
      </c:tx>
      <c:layout>
        <c:manualLayout>
          <c:xMode val="edge"/>
          <c:yMode val="edge"/>
          <c:x val="6.6856003649711199E-2"/>
          <c:y val="2.8274870888407501E-2"/>
        </c:manualLayout>
      </c:layout>
      <c:overlay val="0"/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764088030585103E-2"/>
          <c:y val="8.3844388609550305E-2"/>
          <c:w val="0.81832186834479603"/>
          <c:h val="0.81496378289176097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CHARTING!$E$20</c:f>
              <c:strCache>
                <c:ptCount val="1"/>
                <c:pt idx="0">
                  <c:v>-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invertIfNegative val="0"/>
          <c:cat>
            <c:strRef>
              <c:f>CHARTING!$B$21:$B$140</c:f>
              <c:strCache>
                <c:ptCount val="120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  <c:pt idx="100">
                  <c:v>-</c:v>
                </c:pt>
                <c:pt idx="101">
                  <c:v>-</c:v>
                </c:pt>
                <c:pt idx="102">
                  <c:v>-</c:v>
                </c:pt>
                <c:pt idx="103">
                  <c:v>-</c:v>
                </c:pt>
                <c:pt idx="104">
                  <c:v>-</c:v>
                </c:pt>
                <c:pt idx="105">
                  <c:v>-</c:v>
                </c:pt>
                <c:pt idx="106">
                  <c:v>-</c:v>
                </c:pt>
                <c:pt idx="107">
                  <c:v>-</c:v>
                </c:pt>
                <c:pt idx="108">
                  <c:v>-</c:v>
                </c:pt>
                <c:pt idx="109">
                  <c:v>-</c:v>
                </c:pt>
                <c:pt idx="110">
                  <c:v>-</c:v>
                </c:pt>
                <c:pt idx="111">
                  <c:v>-</c:v>
                </c:pt>
                <c:pt idx="112">
                  <c:v>-</c:v>
                </c:pt>
                <c:pt idx="113">
                  <c:v>-</c:v>
                </c:pt>
                <c:pt idx="114">
                  <c:v>-</c:v>
                </c:pt>
                <c:pt idx="115">
                  <c:v>-</c:v>
                </c:pt>
                <c:pt idx="116">
                  <c:v>-</c:v>
                </c:pt>
                <c:pt idx="117">
                  <c:v>-</c:v>
                </c:pt>
                <c:pt idx="118">
                  <c:v>-</c:v>
                </c:pt>
                <c:pt idx="119">
                  <c:v>-</c:v>
                </c:pt>
              </c:strCache>
            </c:strRef>
          </c:cat>
          <c:val>
            <c:numRef>
              <c:f>CHARTING!$E$21:$E$140</c:f>
              <c:numCache>
                <c:formatCode>0.00%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31177216"/>
        <c:axId val="231546880"/>
      </c:barChart>
      <c:lineChart>
        <c:grouping val="standard"/>
        <c:varyColors val="0"/>
        <c:ser>
          <c:idx val="1"/>
          <c:order val="0"/>
          <c:tx>
            <c:strRef>
              <c:f>CHARTING!$C$20</c:f>
              <c:strCache>
                <c:ptCount val="1"/>
                <c:pt idx="0">
                  <c:v>-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CHARTING!$B$21:$B$140</c:f>
              <c:strCache>
                <c:ptCount val="120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  <c:pt idx="100">
                  <c:v>-</c:v>
                </c:pt>
                <c:pt idx="101">
                  <c:v>-</c:v>
                </c:pt>
                <c:pt idx="102">
                  <c:v>-</c:v>
                </c:pt>
                <c:pt idx="103">
                  <c:v>-</c:v>
                </c:pt>
                <c:pt idx="104">
                  <c:v>-</c:v>
                </c:pt>
                <c:pt idx="105">
                  <c:v>-</c:v>
                </c:pt>
                <c:pt idx="106">
                  <c:v>-</c:v>
                </c:pt>
                <c:pt idx="107">
                  <c:v>-</c:v>
                </c:pt>
                <c:pt idx="108">
                  <c:v>-</c:v>
                </c:pt>
                <c:pt idx="109">
                  <c:v>-</c:v>
                </c:pt>
                <c:pt idx="110">
                  <c:v>-</c:v>
                </c:pt>
                <c:pt idx="111">
                  <c:v>-</c:v>
                </c:pt>
                <c:pt idx="112">
                  <c:v>-</c:v>
                </c:pt>
                <c:pt idx="113">
                  <c:v>-</c:v>
                </c:pt>
                <c:pt idx="114">
                  <c:v>-</c:v>
                </c:pt>
                <c:pt idx="115">
                  <c:v>-</c:v>
                </c:pt>
                <c:pt idx="116">
                  <c:v>-</c:v>
                </c:pt>
                <c:pt idx="117">
                  <c:v>-</c:v>
                </c:pt>
                <c:pt idx="118">
                  <c:v>-</c:v>
                </c:pt>
                <c:pt idx="119">
                  <c:v>-</c:v>
                </c:pt>
              </c:strCache>
            </c:strRef>
          </c:cat>
          <c:val>
            <c:numRef>
              <c:f>CHARTING!$C$21:$C$140</c:f>
              <c:numCache>
                <c:formatCode>_(* #,##0.00_);_(* \(#,##0.00\);_(* "-"??_);_(@_)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176704"/>
        <c:axId val="230767936"/>
      </c:lineChart>
      <c:catAx>
        <c:axId val="231176704"/>
        <c:scaling>
          <c:orientation val="minMax"/>
        </c:scaling>
        <c:delete val="0"/>
        <c:axPos val="b"/>
        <c:numFmt formatCode="mm\-yy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0767936"/>
        <c:crosses val="autoZero"/>
        <c:auto val="1"/>
        <c:lblAlgn val="ctr"/>
        <c:lblOffset val="100"/>
        <c:noMultiLvlLbl val="1"/>
      </c:catAx>
      <c:valAx>
        <c:axId val="23076793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out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1176704"/>
        <c:crosses val="autoZero"/>
        <c:crossBetween val="between"/>
      </c:valAx>
      <c:catAx>
        <c:axId val="231177216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one"/>
        <c:crossAx val="231546880"/>
        <c:crosses val="autoZero"/>
        <c:auto val="1"/>
        <c:lblAlgn val="ctr"/>
        <c:lblOffset val="100"/>
        <c:noMultiLvlLbl val="1"/>
      </c:catAx>
      <c:valAx>
        <c:axId val="231546880"/>
        <c:scaling>
          <c:orientation val="minMax"/>
        </c:scaling>
        <c:delete val="0"/>
        <c:axPos val="r"/>
        <c:numFmt formatCode="0.00%" sourceLinked="1"/>
        <c:majorTickMark val="out"/>
        <c:minorTickMark val="out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11772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5" l="0.70000000000000095" r="0.70000000000000095" t="0.75000000000000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0" fmlaLink="B18" horiz="1" inc="2" max="14" page="10" val="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35718</xdr:colOff>
      <xdr:row>219</xdr:row>
      <xdr:rowOff>122632</xdr:rowOff>
    </xdr:from>
    <xdr:to>
      <xdr:col>18</xdr:col>
      <xdr:colOff>11906</xdr:colOff>
      <xdr:row>245</xdr:row>
      <xdr:rowOff>178593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431946</xdr:colOff>
      <xdr:row>2</xdr:row>
      <xdr:rowOff>22153</xdr:rowOff>
    </xdr:from>
    <xdr:to>
      <xdr:col>7</xdr:col>
      <xdr:colOff>730250</xdr:colOff>
      <xdr:row>5</xdr:row>
      <xdr:rowOff>10583</xdr:rowOff>
    </xdr:to>
    <xdr:sp macro="[0]!ADVFN_FINANCIALS_MAIN" textlink="">
      <xdr:nvSpPr>
        <xdr:cNvPr id="2" name="AutoShape 2"/>
        <xdr:cNvSpPr>
          <a:spLocks noChangeArrowheads="1"/>
        </xdr:cNvSpPr>
      </xdr:nvSpPr>
      <xdr:spPr bwMode="auto">
        <a:xfrm>
          <a:off x="4622946" y="403153"/>
          <a:ext cx="2743054" cy="559930"/>
        </a:xfrm>
        <a:prstGeom prst="bevel">
          <a:avLst>
            <a:gd name="adj" fmla="val 12500"/>
          </a:avLst>
        </a:prstGeom>
        <a:solidFill>
          <a:srgbClr val="0000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Courier New" pitchFamily="49" charset="0"/>
              <a:cs typeface="Courier New" pitchFamily="49" charset="0"/>
            </a:rPr>
            <a:t>REFRESH FINANCIAL DATA</a:t>
          </a:r>
        </a:p>
      </xdr:txBody>
    </xdr:sp>
    <xdr:clientData fPrintsWithSheet="0"/>
  </xdr:twoCellAnchor>
  <xdr:twoCellAnchor>
    <xdr:from>
      <xdr:col>3</xdr:col>
      <xdr:colOff>0</xdr:colOff>
      <xdr:row>225</xdr:row>
      <xdr:rowOff>0</xdr:rowOff>
    </xdr:from>
    <xdr:to>
      <xdr:col>14</xdr:col>
      <xdr:colOff>0</xdr:colOff>
      <xdr:row>225</xdr:row>
      <xdr:rowOff>0</xdr:rowOff>
    </xdr:to>
    <xdr:graphicFrame macro="">
      <xdr:nvGraphicFramePr>
        <xdr:cNvPr id="4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225</xdr:row>
      <xdr:rowOff>0</xdr:rowOff>
    </xdr:from>
    <xdr:to>
      <xdr:col>14</xdr:col>
      <xdr:colOff>0</xdr:colOff>
      <xdr:row>225</xdr:row>
      <xdr:rowOff>0</xdr:rowOff>
    </xdr:to>
    <xdr:graphicFrame macro="">
      <xdr:nvGraphicFramePr>
        <xdr:cNvPr id="4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253</xdr:row>
      <xdr:rowOff>0</xdr:rowOff>
    </xdr:from>
    <xdr:to>
      <xdr:col>14</xdr:col>
      <xdr:colOff>0</xdr:colOff>
      <xdr:row>253</xdr:row>
      <xdr:rowOff>0</xdr:rowOff>
    </xdr:to>
    <xdr:graphicFrame macro="">
      <xdr:nvGraphicFramePr>
        <xdr:cNvPr id="48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253</xdr:row>
      <xdr:rowOff>0</xdr:rowOff>
    </xdr:from>
    <xdr:to>
      <xdr:col>14</xdr:col>
      <xdr:colOff>0</xdr:colOff>
      <xdr:row>253</xdr:row>
      <xdr:rowOff>0</xdr:rowOff>
    </xdr:to>
    <xdr:graphicFrame macro="">
      <xdr:nvGraphicFramePr>
        <xdr:cNvPr id="49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212</xdr:row>
      <xdr:rowOff>0</xdr:rowOff>
    </xdr:from>
    <xdr:to>
      <xdr:col>14</xdr:col>
      <xdr:colOff>0</xdr:colOff>
      <xdr:row>221</xdr:row>
      <xdr:rowOff>0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212</xdr:row>
      <xdr:rowOff>0</xdr:rowOff>
    </xdr:from>
    <xdr:to>
      <xdr:col>26</xdr:col>
      <xdr:colOff>9525</xdr:colOff>
      <xdr:row>221</xdr:row>
      <xdr:rowOff>9525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225</xdr:row>
      <xdr:rowOff>0</xdr:rowOff>
    </xdr:from>
    <xdr:to>
      <xdr:col>14</xdr:col>
      <xdr:colOff>0</xdr:colOff>
      <xdr:row>225</xdr:row>
      <xdr:rowOff>0</xdr:rowOff>
    </xdr:to>
    <xdr:graphicFrame macro="">
      <xdr:nvGraphicFramePr>
        <xdr:cNvPr id="5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225</xdr:row>
      <xdr:rowOff>0</xdr:rowOff>
    </xdr:from>
    <xdr:to>
      <xdr:col>14</xdr:col>
      <xdr:colOff>0</xdr:colOff>
      <xdr:row>225</xdr:row>
      <xdr:rowOff>0</xdr:rowOff>
    </xdr:to>
    <xdr:graphicFrame macro="">
      <xdr:nvGraphicFramePr>
        <xdr:cNvPr id="5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226</xdr:row>
      <xdr:rowOff>0</xdr:rowOff>
    </xdr:from>
    <xdr:to>
      <xdr:col>14</xdr:col>
      <xdr:colOff>0</xdr:colOff>
      <xdr:row>235</xdr:row>
      <xdr:rowOff>0</xdr:rowOff>
    </xdr:to>
    <xdr:graphicFrame macro="">
      <xdr:nvGraphicFramePr>
        <xdr:cNvPr id="5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226</xdr:row>
      <xdr:rowOff>0</xdr:rowOff>
    </xdr:from>
    <xdr:to>
      <xdr:col>26</xdr:col>
      <xdr:colOff>9525</xdr:colOff>
      <xdr:row>235</xdr:row>
      <xdr:rowOff>9525</xdr:rowOff>
    </xdr:to>
    <xdr:graphicFrame macro="">
      <xdr:nvGraphicFramePr>
        <xdr:cNvPr id="5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240</xdr:row>
      <xdr:rowOff>0</xdr:rowOff>
    </xdr:from>
    <xdr:to>
      <xdr:col>14</xdr:col>
      <xdr:colOff>0</xdr:colOff>
      <xdr:row>249</xdr:row>
      <xdr:rowOff>0</xdr:rowOff>
    </xdr:to>
    <xdr:graphicFrame macro="">
      <xdr:nvGraphicFramePr>
        <xdr:cNvPr id="5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240</xdr:row>
      <xdr:rowOff>0</xdr:rowOff>
    </xdr:from>
    <xdr:to>
      <xdr:col>26</xdr:col>
      <xdr:colOff>9525</xdr:colOff>
      <xdr:row>249</xdr:row>
      <xdr:rowOff>9525</xdr:rowOff>
    </xdr:to>
    <xdr:graphicFrame macro="">
      <xdr:nvGraphicFramePr>
        <xdr:cNvPr id="59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0</xdr:colOff>
      <xdr:row>253</xdr:row>
      <xdr:rowOff>0</xdr:rowOff>
    </xdr:from>
    <xdr:to>
      <xdr:col>14</xdr:col>
      <xdr:colOff>0</xdr:colOff>
      <xdr:row>253</xdr:row>
      <xdr:rowOff>0</xdr:rowOff>
    </xdr:to>
    <xdr:graphicFrame macro="">
      <xdr:nvGraphicFramePr>
        <xdr:cNvPr id="60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0</xdr:colOff>
      <xdr:row>253</xdr:row>
      <xdr:rowOff>0</xdr:rowOff>
    </xdr:from>
    <xdr:to>
      <xdr:col>14</xdr:col>
      <xdr:colOff>0</xdr:colOff>
      <xdr:row>253</xdr:row>
      <xdr:rowOff>0</xdr:rowOff>
    </xdr:to>
    <xdr:graphicFrame macro="">
      <xdr:nvGraphicFramePr>
        <xdr:cNvPr id="61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254</xdr:row>
      <xdr:rowOff>0</xdr:rowOff>
    </xdr:from>
    <xdr:to>
      <xdr:col>14</xdr:col>
      <xdr:colOff>0</xdr:colOff>
      <xdr:row>263</xdr:row>
      <xdr:rowOff>0</xdr:rowOff>
    </xdr:to>
    <xdr:graphicFrame macro="">
      <xdr:nvGraphicFramePr>
        <xdr:cNvPr id="62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0</xdr:colOff>
      <xdr:row>254</xdr:row>
      <xdr:rowOff>0</xdr:rowOff>
    </xdr:from>
    <xdr:to>
      <xdr:col>26</xdr:col>
      <xdr:colOff>9525</xdr:colOff>
      <xdr:row>263</xdr:row>
      <xdr:rowOff>9525</xdr:rowOff>
    </xdr:to>
    <xdr:graphicFrame macro="">
      <xdr:nvGraphicFramePr>
        <xdr:cNvPr id="63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182880</xdr:rowOff>
    </xdr:from>
    <xdr:to>
      <xdr:col>6</xdr:col>
      <xdr:colOff>579120</xdr:colOff>
      <xdr:row>3</xdr:row>
      <xdr:rowOff>83820</xdr:rowOff>
    </xdr:to>
    <xdr:sp macro="[0]!COMPARABLE_TRANSACTIONS_MAIN" textlink="">
      <xdr:nvSpPr>
        <xdr:cNvPr id="2" name="Rectangle 1"/>
        <xdr:cNvSpPr/>
      </xdr:nvSpPr>
      <xdr:spPr>
        <a:xfrm>
          <a:off x="3124200" y="182880"/>
          <a:ext cx="1798320" cy="4724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100" b="1"/>
            <a:t>COMPARABLE MODEL</a:t>
          </a:r>
        </a:p>
      </xdr:txBody>
    </xdr:sp>
    <xdr:clientData/>
  </xdr:twoCellAnchor>
  <xdr:twoCellAnchor>
    <xdr:from>
      <xdr:col>4</xdr:col>
      <xdr:colOff>0</xdr:colOff>
      <xdr:row>4</xdr:row>
      <xdr:rowOff>38100</xdr:rowOff>
    </xdr:from>
    <xdr:to>
      <xdr:col>6</xdr:col>
      <xdr:colOff>579120</xdr:colOff>
      <xdr:row>6</xdr:row>
      <xdr:rowOff>129540</xdr:rowOff>
    </xdr:to>
    <xdr:sp macro="[0]!COMPARABLE_TRANSACTIONS_DATA_MAIN" textlink="">
      <xdr:nvSpPr>
        <xdr:cNvPr id="3" name="Rectangle 2"/>
        <xdr:cNvSpPr/>
      </xdr:nvSpPr>
      <xdr:spPr>
        <a:xfrm>
          <a:off x="3124200" y="800100"/>
          <a:ext cx="1798320" cy="4724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100" b="1"/>
            <a:t>COMPARABLE</a:t>
          </a:r>
          <a:r>
            <a:rPr lang="en-CA" sz="1100" b="1" baseline="0"/>
            <a:t> DATA</a:t>
          </a:r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0</xdr:colOff>
          <xdr:row>17</xdr:row>
          <xdr:rowOff>190500</xdr:rowOff>
        </xdr:to>
        <xdr:sp macro="" textlink="">
          <xdr:nvSpPr>
            <xdr:cNvPr id="6147" name="Scroll Bar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165435</xdr:colOff>
      <xdr:row>1</xdr:row>
      <xdr:rowOff>120316</xdr:rowOff>
    </xdr:from>
    <xdr:to>
      <xdr:col>14</xdr:col>
      <xdr:colOff>40105</xdr:colOff>
      <xdr:row>38</xdr:row>
      <xdr:rowOff>177966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LS/2.%20GITHUB/BGCVI/ADD-IN/BGCVI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GCVI"/>
    </sheetNames>
    <definedNames>
      <definedName name="PER_SHARE_TIME_SERIE_FUNC"/>
      <definedName name="YAHOO_HISTORICAL_DATA_SERIE_FUN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 enableFormatConditionsCalculation="0">
    <tabColor rgb="FFFF0000"/>
  </sheetPr>
  <dimension ref="B2:AG293"/>
  <sheetViews>
    <sheetView showGridLines="0" tabSelected="1" zoomScale="80" zoomScaleNormal="80" zoomScalePageLayoutView="80" workbookViewId="0"/>
  </sheetViews>
  <sheetFormatPr defaultColWidth="9.625" defaultRowHeight="15" customHeight="1" outlineLevelRow="2"/>
  <cols>
    <col min="1" max="1" width="3.125" style="314" customWidth="1"/>
    <col min="2" max="2" width="46.125" style="314" bestFit="1" customWidth="1"/>
    <col min="3" max="3" width="9.625" style="314" customWidth="1"/>
    <col min="4" max="16384" width="9.625" style="314"/>
  </cols>
  <sheetData>
    <row r="2" spans="2:17" ht="15" customHeight="1">
      <c r="B2" s="312" t="s">
        <v>487</v>
      </c>
      <c r="C2" s="313" t="b">
        <v>1</v>
      </c>
    </row>
    <row r="4" spans="2:17" ht="15" customHeight="1">
      <c r="B4" s="312" t="s">
        <v>488</v>
      </c>
      <c r="C4" s="368">
        <f t="shared" ref="C4:J4" si="0">IF($C$2=FALSE,"-",D4-1)</f>
        <v>2004</v>
      </c>
      <c r="D4" s="368">
        <f t="shared" si="0"/>
        <v>2005</v>
      </c>
      <c r="E4" s="368">
        <f t="shared" si="0"/>
        <v>2006</v>
      </c>
      <c r="F4" s="368">
        <f t="shared" si="0"/>
        <v>2007</v>
      </c>
      <c r="G4" s="368">
        <f t="shared" si="0"/>
        <v>2008</v>
      </c>
      <c r="H4" s="368">
        <f t="shared" si="0"/>
        <v>2009</v>
      </c>
      <c r="I4" s="368">
        <f t="shared" si="0"/>
        <v>2010</v>
      </c>
      <c r="J4" s="368">
        <f t="shared" si="0"/>
        <v>2011</v>
      </c>
      <c r="K4" s="368">
        <f>IF($C$2=FALSE,"-",L4-1)</f>
        <v>2012</v>
      </c>
      <c r="L4" s="368">
        <f>IF($C$2=FALSE,"-",YEAR(DATA!D273))</f>
        <v>2013</v>
      </c>
      <c r="M4" s="315"/>
      <c r="N4" s="312" t="str">
        <f>IF($C$2=FALSE,"-","3 YA")</f>
        <v>3 YA</v>
      </c>
      <c r="O4" s="312" t="str">
        <f>IF($C$2=FALSE,"-","5 YA")</f>
        <v>5 YA</v>
      </c>
      <c r="P4" s="312" t="str">
        <f>IF($C$2=FALSE,"-","7 YA")</f>
        <v>7 YA</v>
      </c>
      <c r="Q4" s="312" t="str">
        <f>IF($C$2=FALSE,"-","10 YA")</f>
        <v>10 YA</v>
      </c>
    </row>
    <row r="5" spans="2:17" ht="5.0999999999999996" customHeight="1">
      <c r="C5" s="316"/>
      <c r="D5" s="316"/>
      <c r="E5" s="316"/>
      <c r="F5" s="316"/>
      <c r="G5" s="316"/>
      <c r="H5" s="316"/>
      <c r="I5" s="316"/>
      <c r="J5" s="316"/>
      <c r="K5" s="316"/>
      <c r="L5" s="316"/>
      <c r="N5" s="316"/>
      <c r="O5" s="316"/>
      <c r="P5" s="316"/>
      <c r="Q5" s="316"/>
    </row>
    <row r="6" spans="2:17" ht="15" customHeight="1" outlineLevel="1">
      <c r="B6" s="317" t="s">
        <v>56</v>
      </c>
      <c r="C6" s="318">
        <f>IF($C$2=FALSE,"-",DATA!M282-DATA!M284)</f>
        <v>41444</v>
      </c>
      <c r="D6" s="318">
        <f>IF($C$2=FALSE,"-",DATA!L282-DATA!L284)</f>
        <v>49205</v>
      </c>
      <c r="E6" s="318">
        <f>IF($C$2=FALSE,"-",DATA!K282-DATA!K284)</f>
        <v>55908</v>
      </c>
      <c r="F6" s="318">
        <f>IF($C$2=FALSE,"-",DATA!J282-DATA!J284)</f>
        <v>57420</v>
      </c>
      <c r="G6" s="318">
        <f>IF($C$2=FALSE,"-",DATA!I282-DATA!I284)</f>
        <v>61133</v>
      </c>
      <c r="H6" s="318">
        <f>IF($C$2=FALSE,"-",DATA!H282-DATA!H284)</f>
        <v>61101</v>
      </c>
      <c r="I6" s="318">
        <f>IF($C$2=FALSE,"-",DATA!G282-DATA!G284)</f>
        <v>52902</v>
      </c>
      <c r="J6" s="318">
        <f>IF($C$2=FALSE,"-",DATA!F282-DATA!F284)</f>
        <v>61494</v>
      </c>
      <c r="K6" s="318">
        <f>IF($C$2=FALSE,"-",DATA!E282-DATA!E284)</f>
        <v>62071</v>
      </c>
      <c r="L6" s="318">
        <f>IF($C$2=FALSE,"-",DATA!D282-DATA!D284)</f>
        <v>56940</v>
      </c>
      <c r="N6" s="319"/>
    </row>
    <row r="7" spans="2:17" ht="15" customHeight="1" outlineLevel="2">
      <c r="B7" s="320" t="s">
        <v>489</v>
      </c>
      <c r="C7" s="572"/>
      <c r="D7" s="572">
        <f t="shared" ref="D7:L7" si="1">IF($C$2=FALSE,"-",(D6-C6)/C6)</f>
        <v>0.18726474278544541</v>
      </c>
      <c r="E7" s="572">
        <f t="shared" si="1"/>
        <v>0.13622599329336449</v>
      </c>
      <c r="F7" s="572">
        <f t="shared" si="1"/>
        <v>2.7044430135222151E-2</v>
      </c>
      <c r="G7" s="572">
        <f t="shared" si="1"/>
        <v>6.4663880181121555E-2</v>
      </c>
      <c r="H7" s="572">
        <f t="shared" si="1"/>
        <v>-5.234488737670325E-4</v>
      </c>
      <c r="I7" s="572">
        <f t="shared" si="1"/>
        <v>-0.13418765650316689</v>
      </c>
      <c r="J7" s="572">
        <f t="shared" si="1"/>
        <v>0.1624135193376432</v>
      </c>
      <c r="K7" s="572">
        <f t="shared" si="1"/>
        <v>9.3830292386249074E-3</v>
      </c>
      <c r="L7" s="572">
        <f t="shared" si="1"/>
        <v>-8.2663401588503493E-2</v>
      </c>
      <c r="N7" s="322">
        <f>IF($C$2=FALSE,"-",(L7+K7+J7)/3)</f>
        <v>2.971104899592154E-2</v>
      </c>
      <c r="O7" s="322">
        <f>IF($C$2=FALSE,"-",(L7+K7+J7+I7+H7)/5)</f>
        <v>-9.1155916778338612E-3</v>
      </c>
      <c r="P7" s="322">
        <f>IF($C$2=FALSE,"-",(L7+K7+J7+I7+H7+G7+F7)/7)</f>
        <v>6.5900502753106294E-3</v>
      </c>
      <c r="Q7" s="322">
        <f>IF($C$2=FALSE,"-",(L7+K7+J7+I7+H7+G7+F7+E7+D7+IF(C7&lt;&gt;"",C7,0))/IF(C7&lt;&gt;"",10,9))</f>
        <v>4.1069009778442703E-2</v>
      </c>
    </row>
    <row r="8" spans="2:17" ht="15" customHeight="1" outlineLevel="1">
      <c r="B8" s="320" t="s">
        <v>490</v>
      </c>
      <c r="C8" s="321">
        <f>IF($C$2=FALSE,"-",DATA!M285)</f>
        <v>33629</v>
      </c>
      <c r="D8" s="321">
        <f>IF($C$2=FALSE,"-",DATA!L285)</f>
        <v>39856</v>
      </c>
      <c r="E8" s="321">
        <f>IF($C$2=FALSE,"-",DATA!K285)</f>
        <v>45565</v>
      </c>
      <c r="F8" s="321">
        <f>IF($C$2=FALSE,"-",DATA!J285)</f>
        <v>47433</v>
      </c>
      <c r="G8" s="321">
        <f>IF($C$2=FALSE,"-",DATA!I285)</f>
        <v>48855</v>
      </c>
      <c r="H8" s="321">
        <f>IF($C$2=FALSE,"-",DATA!H285)</f>
        <v>49375</v>
      </c>
      <c r="I8" s="321">
        <f>IF($C$2=FALSE,"-",DATA!G285)</f>
        <v>42789</v>
      </c>
      <c r="J8" s="321">
        <f>IF($C$2=FALSE,"-",DATA!F285)</f>
        <v>49128</v>
      </c>
      <c r="K8" s="321">
        <f>IF($C$2=FALSE,"-",DATA!E285)</f>
        <v>47324</v>
      </c>
      <c r="L8" s="321">
        <f>IF($C$2=FALSE,"-",DATA!D285)</f>
        <v>43610</v>
      </c>
      <c r="N8" s="322"/>
      <c r="O8" s="322"/>
      <c r="P8" s="322"/>
      <c r="Q8" s="322"/>
    </row>
    <row r="9" spans="2:17" ht="15" customHeight="1" outlineLevel="2">
      <c r="B9" s="320" t="str">
        <f>IF($C$2=FALSE,"-",CONCATENATE(B8," ","% of Sales"))</f>
        <v>Cost of Goods Sold % of Sales</v>
      </c>
      <c r="C9" s="572">
        <f t="shared" ref="C9:L9" si="2">IF($C$2=FALSE,"-",C8/C6)</f>
        <v>0.81143229418009843</v>
      </c>
      <c r="D9" s="572">
        <f t="shared" si="2"/>
        <v>0.80999898384310542</v>
      </c>
      <c r="E9" s="572">
        <f t="shared" si="2"/>
        <v>0.81499964226944266</v>
      </c>
      <c r="F9" s="572">
        <f t="shared" si="2"/>
        <v>0.82607105538140024</v>
      </c>
      <c r="G9" s="572">
        <f t="shared" si="2"/>
        <v>0.79915921024651171</v>
      </c>
      <c r="H9" s="572">
        <f t="shared" si="2"/>
        <v>0.80808824732819429</v>
      </c>
      <c r="I9" s="572">
        <f t="shared" si="2"/>
        <v>0.80883520471815806</v>
      </c>
      <c r="J9" s="572">
        <f t="shared" si="2"/>
        <v>0.79890721045955704</v>
      </c>
      <c r="K9" s="572">
        <f t="shared" si="2"/>
        <v>0.76241723187962174</v>
      </c>
      <c r="L9" s="572">
        <f t="shared" si="2"/>
        <v>0.76589392342816998</v>
      </c>
      <c r="N9" s="322">
        <f>IF($C$2=FALSE,"-",(L9+K9+J9)/3)</f>
        <v>0.77573945525578292</v>
      </c>
      <c r="O9" s="322">
        <f>IF($C$2=FALSE,"-",(L9+K9+J9+I9+H9)/5)</f>
        <v>0.78882836356274022</v>
      </c>
      <c r="P9" s="322">
        <f>IF($C$2=FALSE,"-",(L9+K9+J9+I9+H9+G9+F9)/7)</f>
        <v>0.79562458334880193</v>
      </c>
      <c r="Q9" s="322">
        <f>IF($C$2=FALSE,"-",(L9+K9+J9+I9+H9+G9+F9+E9+D9+IF(C9&lt;&gt;"",C9,0))/IF(C9&lt;&gt;"",10,9))</f>
        <v>0.80058030037342598</v>
      </c>
    </row>
    <row r="10" spans="2:17" ht="15" customHeight="1" outlineLevel="1">
      <c r="B10" s="323" t="s">
        <v>134</v>
      </c>
      <c r="C10" s="324">
        <f t="shared" ref="C10:L10" si="3">IF($C$2=FALSE,"-",C6-C8)</f>
        <v>7815</v>
      </c>
      <c r="D10" s="324">
        <f t="shared" si="3"/>
        <v>9349</v>
      </c>
      <c r="E10" s="324">
        <f t="shared" si="3"/>
        <v>10343</v>
      </c>
      <c r="F10" s="324">
        <f t="shared" si="3"/>
        <v>9987</v>
      </c>
      <c r="G10" s="324">
        <f t="shared" si="3"/>
        <v>12278</v>
      </c>
      <c r="H10" s="324">
        <f t="shared" si="3"/>
        <v>11726</v>
      </c>
      <c r="I10" s="324">
        <f t="shared" si="3"/>
        <v>10113</v>
      </c>
      <c r="J10" s="324">
        <f t="shared" si="3"/>
        <v>12366</v>
      </c>
      <c r="K10" s="324">
        <f t="shared" si="3"/>
        <v>14747</v>
      </c>
      <c r="L10" s="324">
        <f t="shared" si="3"/>
        <v>13330</v>
      </c>
      <c r="N10" s="322"/>
      <c r="O10" s="322"/>
      <c r="P10" s="322"/>
      <c r="Q10" s="322"/>
    </row>
    <row r="11" spans="2:17" ht="15" customHeight="1" outlineLevel="1">
      <c r="B11" s="320" t="s">
        <v>491</v>
      </c>
      <c r="C11" s="321">
        <f>IF($C$2=FALSE,"-",DATA!M289+DATA!M290+DATA!M291)</f>
        <v>4008</v>
      </c>
      <c r="D11" s="321">
        <f>IF($C$2=FALSE,"-",DATA!L289+DATA!L290+DATA!L291)</f>
        <v>4761</v>
      </c>
      <c r="E11" s="321">
        <f>IF($C$2=FALSE,"-",DATA!K289+DATA!K290+DATA!K291)</f>
        <v>5603</v>
      </c>
      <c r="F11" s="321">
        <f>IF($C$2=FALSE,"-",DATA!J289+DATA!J290+DATA!J291)</f>
        <v>6446</v>
      </c>
      <c r="G11" s="321">
        <f>IF($C$2=FALSE,"-",DATA!I289+DATA!I290+DATA!I291)</f>
        <v>8148</v>
      </c>
      <c r="H11" s="321">
        <f>IF($C$2=FALSE,"-",DATA!H289+DATA!H290+DATA!H291)</f>
        <v>7765</v>
      </c>
      <c r="I11" s="321">
        <f>IF($C$2=FALSE,"-",DATA!G289+DATA!G290+DATA!G291)</f>
        <v>7089</v>
      </c>
      <c r="J11" s="321">
        <f>IF($C$2=FALSE,"-",DATA!F289+DATA!F290+DATA!F291)</f>
        <v>7963</v>
      </c>
      <c r="K11" s="321">
        <f>IF($C$2=FALSE,"-",DATA!E289+DATA!E290+DATA!E291)</f>
        <v>9380</v>
      </c>
      <c r="L11" s="321">
        <f>IF($C$2=FALSE,"-",DATA!D289+DATA!D290+DATA!D291)</f>
        <v>9174</v>
      </c>
      <c r="N11" s="322"/>
      <c r="O11" s="322"/>
      <c r="P11" s="322"/>
      <c r="Q11" s="322"/>
    </row>
    <row r="12" spans="2:17" ht="15" customHeight="1" outlineLevel="2">
      <c r="B12" s="320" t="str">
        <f>IF($C$2=FALSE,"-",CONCATENATE(B11," ","% of Sales"))</f>
        <v>SG&amp;A + R&amp;D Expense % of Sales</v>
      </c>
      <c r="C12" s="572">
        <f t="shared" ref="C12:L12" si="4">IF($C$2=FALSE,"-",C11/C6)</f>
        <v>9.6708811890744137E-2</v>
      </c>
      <c r="D12" s="572">
        <f t="shared" si="4"/>
        <v>9.6758459506147754E-2</v>
      </c>
      <c r="E12" s="572">
        <f t="shared" si="4"/>
        <v>0.10021821563997997</v>
      </c>
      <c r="F12" s="572">
        <f t="shared" si="4"/>
        <v>0.11226053639846743</v>
      </c>
      <c r="G12" s="572">
        <f t="shared" si="4"/>
        <v>0.13328316948293065</v>
      </c>
      <c r="H12" s="572">
        <f t="shared" si="4"/>
        <v>0.12708466309880362</v>
      </c>
      <c r="I12" s="572">
        <f t="shared" si="4"/>
        <v>0.13400249517976637</v>
      </c>
      <c r="J12" s="572">
        <f t="shared" si="4"/>
        <v>0.12949230819266921</v>
      </c>
      <c r="K12" s="572">
        <f t="shared" si="4"/>
        <v>0.15111726893396271</v>
      </c>
      <c r="L12" s="572">
        <f t="shared" si="4"/>
        <v>0.16111696522655428</v>
      </c>
      <c r="N12" s="322">
        <f>IF($C$2=FALSE,"-",(L12+K12+J12)/3)</f>
        <v>0.14724218078439541</v>
      </c>
      <c r="O12" s="322">
        <f>IF($C$2=FALSE,"-",(L12+K12+J12+I12+H12)/5)</f>
        <v>0.14056274012635123</v>
      </c>
      <c r="P12" s="322">
        <f>IF($C$2=FALSE,"-",(L12+K12+J12+I12+H12+G12+F12)/7)</f>
        <v>0.13547962950187917</v>
      </c>
      <c r="Q12" s="322">
        <f>IF($C$2=FALSE,"-",(L12+K12+J12+I12+H12+G12+F12+E12+D12+IF(C12&lt;&gt;"",C12,0))/IF(C12&lt;&gt;"",10,9))</f>
        <v>0.12420428935500261</v>
      </c>
    </row>
    <row r="13" spans="2:17" ht="15" customHeight="1" outlineLevel="1">
      <c r="B13" s="325" t="s">
        <v>492</v>
      </c>
      <c r="C13" s="321">
        <f>IF($C$2=FALSE,"-",DATA!M294+DATA!M296-DATA!M296)</f>
        <v>263</v>
      </c>
      <c r="D13" s="321">
        <f>IF($C$2=FALSE,"-",DATA!L294+DATA!L296-DATA!L296)</f>
        <v>334</v>
      </c>
      <c r="E13" s="321">
        <f>IF($C$2=FALSE,"-",DATA!K294+DATA!K296-DATA!K296)</f>
        <v>393</v>
      </c>
      <c r="F13" s="321">
        <f>IF($C$2=FALSE,"-",DATA!J294+DATA!J296-DATA!J296)</f>
        <v>471</v>
      </c>
      <c r="G13" s="321">
        <f>IF($C$2=FALSE,"-",DATA!I294+DATA!I296-DATA!I296)</f>
        <v>607</v>
      </c>
      <c r="H13" s="321">
        <f>IF($C$2=FALSE,"-",DATA!H294+DATA!H296-DATA!H296)</f>
        <v>769</v>
      </c>
      <c r="I13" s="321">
        <f>IF($C$2=FALSE,"-",DATA!G294+DATA!G296-DATA!G296)</f>
        <v>852</v>
      </c>
      <c r="J13" s="321">
        <f>IF($C$2=FALSE,"-",DATA!F294+DATA!F296-DATA!F296)</f>
        <v>970</v>
      </c>
      <c r="K13" s="321">
        <f>IF($C$2=FALSE,"-",DATA!E294+DATA!E296-DATA!E296)</f>
        <v>936</v>
      </c>
      <c r="L13" s="321">
        <f>IF($C$2=FALSE,"-",DATA!D294+DATA!D296-DATA!D296)</f>
        <v>1144</v>
      </c>
      <c r="N13" s="322"/>
      <c r="O13" s="322"/>
      <c r="P13" s="322"/>
      <c r="Q13" s="322"/>
    </row>
    <row r="14" spans="2:17" ht="15" customHeight="1" outlineLevel="2">
      <c r="B14" s="320" t="str">
        <f>IF($C$2=FALSE,"-",CONCATENATE(B13," ","% of Gross PPE"))</f>
        <v>Depreciation &amp; Amortization Expense % of Gross PPE</v>
      </c>
      <c r="C14" s="572">
        <f t="shared" ref="C14:L14" si="5">IF($C$2=FALSE,"-",C13/C43)</f>
        <v>9.9245283018867925E-2</v>
      </c>
      <c r="D14" s="572">
        <f t="shared" si="5"/>
        <v>0.11070599933708983</v>
      </c>
      <c r="E14" s="572">
        <f t="shared" si="5"/>
        <v>0.11026936026936027</v>
      </c>
      <c r="F14" s="572">
        <f t="shared" si="5"/>
        <v>0.11632501852309213</v>
      </c>
      <c r="G14" s="572">
        <f t="shared" si="5"/>
        <v>0.13155613350671869</v>
      </c>
      <c r="H14" s="572">
        <f t="shared" si="5"/>
        <v>0.17050997782705099</v>
      </c>
      <c r="I14" s="572">
        <f t="shared" si="5"/>
        <v>0.18314703353396389</v>
      </c>
      <c r="J14" s="572">
        <f t="shared" si="5"/>
        <v>0.20511736096426306</v>
      </c>
      <c r="K14" s="572">
        <f t="shared" si="5"/>
        <v>0.18970409404134578</v>
      </c>
      <c r="L14" s="572">
        <f t="shared" si="5"/>
        <v>0.2158490566037736</v>
      </c>
      <c r="N14" s="322">
        <f>IF($C$2=FALSE,"-",(L14+K14+J14)/3)</f>
        <v>0.20355683720312748</v>
      </c>
      <c r="O14" s="322">
        <f>IF($C$2=FALSE,"-",(L14+K14+J14+I14+H14)/5)</f>
        <v>0.19286550459407947</v>
      </c>
      <c r="P14" s="322">
        <f>IF($C$2=FALSE,"-",(L14+K14+J14+I14+H14+G14+F14)/7)</f>
        <v>0.17317266785717259</v>
      </c>
      <c r="Q14" s="322">
        <f>IF($C$2=FALSE,"-",(L14+K14+J14+I14+H14+G14+F14+E14+D14+IF(C14&lt;&gt;"",C14,0))/IF(C14&lt;&gt;"",10,9))</f>
        <v>0.1532429317625526</v>
      </c>
    </row>
    <row r="15" spans="2:17" ht="15" customHeight="1" outlineLevel="1">
      <c r="B15" s="320" t="s">
        <v>493</v>
      </c>
      <c r="C15" s="321">
        <f t="shared" ref="C15:L15" si="6">IF($C$2=FALSE,"-",C10-C11-C13)</f>
        <v>3544</v>
      </c>
      <c r="D15" s="321">
        <f t="shared" si="6"/>
        <v>4254</v>
      </c>
      <c r="E15" s="321">
        <f t="shared" si="6"/>
        <v>4347</v>
      </c>
      <c r="F15" s="321">
        <f t="shared" si="6"/>
        <v>3070</v>
      </c>
      <c r="G15" s="321">
        <f t="shared" si="6"/>
        <v>3523</v>
      </c>
      <c r="H15" s="321">
        <f t="shared" si="6"/>
        <v>3192</v>
      </c>
      <c r="I15" s="321">
        <f t="shared" si="6"/>
        <v>2172</v>
      </c>
      <c r="J15" s="321">
        <f t="shared" si="6"/>
        <v>3433</v>
      </c>
      <c r="K15" s="321">
        <f t="shared" si="6"/>
        <v>4431</v>
      </c>
      <c r="L15" s="321">
        <f t="shared" si="6"/>
        <v>3012</v>
      </c>
      <c r="N15" s="322"/>
      <c r="O15" s="322"/>
      <c r="P15" s="322"/>
      <c r="Q15" s="322"/>
    </row>
    <row r="16" spans="2:17" ht="15" customHeight="1" outlineLevel="1">
      <c r="B16" s="325" t="s">
        <v>494</v>
      </c>
      <c r="C16" s="321">
        <f>IF($C$2=FALSE,"-",DATA!M299+DATA!M300+DATA!M301+DATA!M302+DATA!M303+DATA!M304)</f>
        <v>194</v>
      </c>
      <c r="D16" s="321">
        <f>IF($C$2=FALSE,"-",DATA!L299+DATA!L300+DATA!L301+DATA!L302+DATA!L303+DATA!L304)</f>
        <v>191</v>
      </c>
      <c r="E16" s="321">
        <f>IF($C$2=FALSE,"-",DATA!K299+DATA!K300+DATA!K301+DATA!K302+DATA!K303+DATA!K304)</f>
        <v>227</v>
      </c>
      <c r="F16" s="321">
        <f>IF($C$2=FALSE,"-",DATA!J299+DATA!J300+DATA!J301+DATA!J302+DATA!J303+DATA!J304)</f>
        <v>320</v>
      </c>
      <c r="G16" s="321">
        <f>IF($C$2=FALSE,"-",DATA!I299+DATA!I300+DATA!I301+DATA!I302+DATA!I303+DATA!I304)</f>
        <v>349</v>
      </c>
      <c r="H16" s="321">
        <f>IF($C$2=FALSE,"-",DATA!H299+DATA!H300+DATA!H301+DATA!H302+DATA!H303+DATA!H304)</f>
        <v>225</v>
      </c>
      <c r="I16" s="321">
        <f>IF($C$2=FALSE,"-",DATA!G299+DATA!G300+DATA!G301+DATA!G302+DATA!G303+DATA!G304)</f>
        <v>12</v>
      </c>
      <c r="J16" s="321">
        <f>IF($C$2=FALSE,"-",DATA!F299+DATA!F300+DATA!F301+DATA!F302+DATA!F303+DATA!F304)</f>
        <v>116</v>
      </c>
      <c r="K16" s="321">
        <f>IF($C$2=FALSE,"-",DATA!E299+DATA!E300+DATA!E301+DATA!E302+DATA!E303+DATA!E304)</f>
        <v>88</v>
      </c>
      <c r="L16" s="321">
        <f>IF($C$2=FALSE,"-",DATA!D299+DATA!D300+DATA!D301+DATA!D302+DATA!D303+DATA!D304)</f>
        <v>99</v>
      </c>
      <c r="N16" s="322"/>
      <c r="O16" s="322"/>
      <c r="P16" s="322"/>
      <c r="Q16" s="322"/>
    </row>
    <row r="17" spans="2:31" ht="15" customHeight="1" outlineLevel="2">
      <c r="B17" s="320" t="str">
        <f>IF($C$2=FALSE,"-",CONCATENATE(B16," ","% of Sales"))</f>
        <v>Non-Operating Income (Expense) % of Sales</v>
      </c>
      <c r="C17" s="572">
        <f t="shared" ref="C17:L17" si="7">IF($C$2=FALSE,"-",C16/C6)</f>
        <v>4.6810153460090723E-3</v>
      </c>
      <c r="D17" s="572">
        <f t="shared" si="7"/>
        <v>3.8817193374657047E-3</v>
      </c>
      <c r="E17" s="572">
        <f t="shared" si="7"/>
        <v>4.0602418258567649E-3</v>
      </c>
      <c r="F17" s="572">
        <f t="shared" si="7"/>
        <v>5.5729710902124698E-3</v>
      </c>
      <c r="G17" s="572">
        <f t="shared" si="7"/>
        <v>5.7088642795216984E-3</v>
      </c>
      <c r="H17" s="572">
        <f t="shared" si="7"/>
        <v>3.6824274561791134E-3</v>
      </c>
      <c r="I17" s="572">
        <f t="shared" si="7"/>
        <v>2.2683452421458545E-4</v>
      </c>
      <c r="J17" s="572">
        <f t="shared" si="7"/>
        <v>1.8863628971932222E-3</v>
      </c>
      <c r="K17" s="572">
        <f t="shared" si="7"/>
        <v>1.4177313076960255E-3</v>
      </c>
      <c r="L17" s="572">
        <f t="shared" si="7"/>
        <v>1.738672286617492E-3</v>
      </c>
      <c r="N17" s="322">
        <f>IF($C$2=FALSE,"-",(L17+K17+J17)/3)</f>
        <v>1.6809221638355799E-3</v>
      </c>
      <c r="O17" s="322">
        <f>IF($C$2=FALSE,"-",(L17+K17+J17+I17+H17)/5)</f>
        <v>1.7904056943800876E-3</v>
      </c>
      <c r="P17" s="322">
        <f>IF($C$2=FALSE,"-",(L17+K17+J17+I17+H17+G17+F17)/7)</f>
        <v>2.8905519773763724E-3</v>
      </c>
      <c r="Q17" s="322">
        <f>IF($C$2=FALSE,"-",(L17+K17+J17+I17+H17+G17+F17+E17+D17+IF(C17&lt;&gt;"",C17,0))/IF(C17&lt;&gt;"",10,9))</f>
        <v>3.2856840350966145E-3</v>
      </c>
    </row>
    <row r="18" spans="2:31" ht="15" customHeight="1" outlineLevel="1">
      <c r="B18" s="323" t="s">
        <v>140</v>
      </c>
      <c r="C18" s="324">
        <f t="shared" ref="C18:L18" si="8">IF($C$2=FALSE,"-",C15+C16)</f>
        <v>3738</v>
      </c>
      <c r="D18" s="324">
        <f t="shared" si="8"/>
        <v>4445</v>
      </c>
      <c r="E18" s="324">
        <f t="shared" si="8"/>
        <v>4574</v>
      </c>
      <c r="F18" s="324">
        <f t="shared" si="8"/>
        <v>3390</v>
      </c>
      <c r="G18" s="324">
        <f t="shared" si="8"/>
        <v>3872</v>
      </c>
      <c r="H18" s="324">
        <f t="shared" si="8"/>
        <v>3417</v>
      </c>
      <c r="I18" s="324">
        <f t="shared" si="8"/>
        <v>2184</v>
      </c>
      <c r="J18" s="324">
        <f t="shared" si="8"/>
        <v>3549</v>
      </c>
      <c r="K18" s="324">
        <f t="shared" si="8"/>
        <v>4519</v>
      </c>
      <c r="L18" s="324">
        <f t="shared" si="8"/>
        <v>3111</v>
      </c>
      <c r="N18" s="322"/>
      <c r="O18" s="322"/>
      <c r="P18" s="322"/>
      <c r="Q18" s="322"/>
    </row>
    <row r="19" spans="2:31" ht="15" customHeight="1" outlineLevel="1">
      <c r="B19" s="325" t="s">
        <v>495</v>
      </c>
      <c r="C19" s="321">
        <f>IF($C$2=FALSE,"-",DATA!M307)</f>
        <v>14</v>
      </c>
      <c r="D19" s="321">
        <f>IF($C$2=FALSE,"-",DATA!L307)</f>
        <v>0</v>
      </c>
      <c r="E19" s="321">
        <f>IF($C$2=FALSE,"-",DATA!K307)</f>
        <v>0</v>
      </c>
      <c r="F19" s="321">
        <f>IF($C$2=FALSE,"-",DATA!J307)</f>
        <v>45</v>
      </c>
      <c r="G19" s="321">
        <f>IF($C$2=FALSE,"-",DATA!I307)</f>
        <v>45</v>
      </c>
      <c r="H19" s="321">
        <f>IF($C$2=FALSE,"-",DATA!H307)</f>
        <v>93</v>
      </c>
      <c r="I19" s="321">
        <f>IF($C$2=FALSE,"-",DATA!G307)</f>
        <v>160</v>
      </c>
      <c r="J19" s="321">
        <f>IF($C$2=FALSE,"-",DATA!F307)</f>
        <v>199</v>
      </c>
      <c r="K19" s="321">
        <f>IF($C$2=FALSE,"-",DATA!E307)</f>
        <v>279</v>
      </c>
      <c r="L19" s="321">
        <f>IF($C$2=FALSE,"-",DATA!D307)</f>
        <v>270</v>
      </c>
      <c r="N19" s="322"/>
      <c r="O19" s="322"/>
      <c r="P19" s="322"/>
      <c r="Q19" s="322"/>
    </row>
    <row r="20" spans="2:31" ht="15" customHeight="1" outlineLevel="2">
      <c r="B20" s="320" t="s">
        <v>496</v>
      </c>
      <c r="C20" s="572">
        <f>IF($C$2=FALSE,"-",IF(ISERROR(C19/(((C63+C59)+(N63+N59)+(C67+N67)/3))),0,C19/(((C63+C59)+(N63+N59)+(C67+N67)/3))))</f>
        <v>2.7722772277227723E-2</v>
      </c>
      <c r="D20" s="572">
        <f t="shared" ref="D20:L20" si="9">IF($C$2=FALSE,"-",IF(ISERROR(D19/(((D63+D59)+(C63+C59)+(D67+C67)/3))),0,D19/(((D63+D59)+(C63+C59)+(D67+C67)/3))))</f>
        <v>0</v>
      </c>
      <c r="E20" s="572">
        <f t="shared" si="9"/>
        <v>0</v>
      </c>
      <c r="F20" s="572">
        <f t="shared" si="9"/>
        <v>3.5685963521015066E-2</v>
      </c>
      <c r="G20" s="572">
        <f t="shared" si="9"/>
        <v>3.3482142857142856E-2</v>
      </c>
      <c r="H20" s="572">
        <f t="shared" si="9"/>
        <v>3.5796766743648963E-2</v>
      </c>
      <c r="I20" s="572">
        <f t="shared" si="9"/>
        <v>2.6268264652766375E-2</v>
      </c>
      <c r="J20" s="572">
        <f t="shared" si="9"/>
        <v>1.9747940855413319E-2</v>
      </c>
      <c r="K20" s="572">
        <f t="shared" si="9"/>
        <v>1.8293882368369287E-2</v>
      </c>
      <c r="L20" s="572">
        <f t="shared" si="9"/>
        <v>1.4722722067724521E-2</v>
      </c>
      <c r="N20" s="322">
        <f>IF($C$2=FALSE,"-",(L20+K20+J20)/3)</f>
        <v>1.7588181763835708E-2</v>
      </c>
      <c r="O20" s="322">
        <f>IF($C$2=FALSE,"-",(L20+K20+J20+I20+H20)/5)</f>
        <v>2.2965915337584492E-2</v>
      </c>
      <c r="P20" s="322">
        <f>IF($C$2=FALSE,"-",(L20+K20+J20+I20+H20+G20+F20)/7)</f>
        <v>2.6285383295154341E-2</v>
      </c>
      <c r="Q20" s="322">
        <f>IF($C$2=FALSE,"-",(L20+K20+J20+I20+H20+G20+F20+E20+D20+IF(C20&lt;&gt;"",C20,0))/IF(C20&lt;&gt;"",10,9))</f>
        <v>2.1172045534330809E-2</v>
      </c>
    </row>
    <row r="21" spans="2:31" ht="15" customHeight="1" outlineLevel="1">
      <c r="B21" s="320" t="s">
        <v>497</v>
      </c>
      <c r="C21" s="321">
        <f t="shared" ref="C21:L21" si="10">IF($C$2=FALSE,"-",C18-C19)</f>
        <v>3724</v>
      </c>
      <c r="D21" s="321">
        <f t="shared" si="10"/>
        <v>4445</v>
      </c>
      <c r="E21" s="321">
        <f t="shared" si="10"/>
        <v>4574</v>
      </c>
      <c r="F21" s="321">
        <f t="shared" si="10"/>
        <v>3345</v>
      </c>
      <c r="G21" s="321">
        <f t="shared" si="10"/>
        <v>3827</v>
      </c>
      <c r="H21" s="321">
        <f t="shared" si="10"/>
        <v>3324</v>
      </c>
      <c r="I21" s="321">
        <f t="shared" si="10"/>
        <v>2024</v>
      </c>
      <c r="J21" s="321">
        <f t="shared" si="10"/>
        <v>3350</v>
      </c>
      <c r="K21" s="321">
        <f t="shared" si="10"/>
        <v>4240</v>
      </c>
      <c r="L21" s="321">
        <f t="shared" si="10"/>
        <v>2841</v>
      </c>
      <c r="N21" s="322"/>
      <c r="O21" s="322"/>
      <c r="P21" s="322"/>
      <c r="Q21" s="322"/>
    </row>
    <row r="22" spans="2:31" ht="15" customHeight="1" outlineLevel="1">
      <c r="B22" s="325" t="s">
        <v>237</v>
      </c>
      <c r="C22" s="321">
        <f>IF($C$2=FALSE,"-",DATA!M309)</f>
        <v>1079</v>
      </c>
      <c r="D22" s="321">
        <f>IF($C$2=FALSE,"-",DATA!L309)</f>
        <v>1402</v>
      </c>
      <c r="E22" s="321">
        <f>IF($C$2=FALSE,"-",DATA!K309)</f>
        <v>1002</v>
      </c>
      <c r="F22" s="321">
        <f>IF($C$2=FALSE,"-",DATA!J309)</f>
        <v>762</v>
      </c>
      <c r="G22" s="321">
        <f>IF($C$2=FALSE,"-",DATA!I309)</f>
        <v>880</v>
      </c>
      <c r="H22" s="321">
        <f>IF($C$2=FALSE,"-",DATA!H309)</f>
        <v>846</v>
      </c>
      <c r="I22" s="321">
        <f>IF($C$2=FALSE,"-",DATA!G309)</f>
        <v>591</v>
      </c>
      <c r="J22" s="321">
        <f>IF($C$2=FALSE,"-",DATA!F309)</f>
        <v>715</v>
      </c>
      <c r="K22" s="321">
        <f>IF($C$2=FALSE,"-",DATA!E309)</f>
        <v>748</v>
      </c>
      <c r="L22" s="321">
        <f>IF($C$2=FALSE,"-",DATA!D309)</f>
        <v>469</v>
      </c>
      <c r="N22" s="322"/>
      <c r="O22" s="322"/>
      <c r="P22" s="322"/>
      <c r="Q22" s="322"/>
    </row>
    <row r="23" spans="2:31" ht="15" customHeight="1" outlineLevel="2">
      <c r="B23" s="320" t="s">
        <v>498</v>
      </c>
      <c r="C23" s="571">
        <f t="shared" ref="C23:L23" si="11">IF($C$2=FALSE,"-",C22/C21)</f>
        <v>0.28974221267454348</v>
      </c>
      <c r="D23" s="571">
        <f t="shared" si="11"/>
        <v>0.31541057367829023</v>
      </c>
      <c r="E23" s="571">
        <f t="shared" si="11"/>
        <v>0.21906427634455619</v>
      </c>
      <c r="F23" s="571">
        <f t="shared" si="11"/>
        <v>0.22780269058295965</v>
      </c>
      <c r="G23" s="571">
        <f t="shared" si="11"/>
        <v>0.22994512673112097</v>
      </c>
      <c r="H23" s="571">
        <f t="shared" si="11"/>
        <v>0.25451263537906138</v>
      </c>
      <c r="I23" s="571">
        <f t="shared" si="11"/>
        <v>0.29199604743083002</v>
      </c>
      <c r="J23" s="571">
        <f t="shared" si="11"/>
        <v>0.21343283582089553</v>
      </c>
      <c r="K23" s="571">
        <f t="shared" si="11"/>
        <v>0.17641509433962263</v>
      </c>
      <c r="L23" s="571">
        <f t="shared" si="11"/>
        <v>0.16508271735304469</v>
      </c>
      <c r="N23" s="322">
        <f>IF($C$2=FALSE,"-",(L23+K23+J23)/3)</f>
        <v>0.18497688250452096</v>
      </c>
      <c r="O23" s="322">
        <f>IF($C$2=FALSE,"-",(L23+K23+J23+I23+H23)/5)</f>
        <v>0.22028786606469089</v>
      </c>
      <c r="P23" s="322">
        <f>IF($C$2=FALSE,"-",(L23+K23+J23+I23+H23+G23+F23)/7)</f>
        <v>0.22274102109107646</v>
      </c>
      <c r="Q23" s="322">
        <f>IF($C$2=FALSE,"-",(L23+K23+J23+I23+H23+G23+F23+E23+D23+IF(C23&lt;&gt;"",C23,0))/IF(C23&lt;&gt;"",10,9))</f>
        <v>0.23834042103349251</v>
      </c>
    </row>
    <row r="24" spans="2:31" ht="15" customHeight="1" outlineLevel="1">
      <c r="B24" s="320" t="s">
        <v>499</v>
      </c>
      <c r="C24" s="321">
        <f>IF($C$2=FALSE,"-",DATA!M310+DATA!M311)</f>
        <v>0</v>
      </c>
      <c r="D24" s="321">
        <f>IF($C$2=FALSE,"-",DATA!L310+DATA!L311)</f>
        <v>0</v>
      </c>
      <c r="E24" s="321">
        <f>IF($C$2=FALSE,"-",DATA!K310+DATA!K311)</f>
        <v>0</v>
      </c>
      <c r="F24" s="321">
        <f>IF($C$2=FALSE,"-",DATA!J310+DATA!J311)</f>
        <v>0</v>
      </c>
      <c r="G24" s="321">
        <f>IF($C$2=FALSE,"-",DATA!I310+DATA!I311)</f>
        <v>0</v>
      </c>
      <c r="H24" s="321">
        <f>IF($C$2=FALSE,"-",DATA!H310+DATA!H311)</f>
        <v>0</v>
      </c>
      <c r="I24" s="321">
        <f>IF($C$2=FALSE,"-",DATA!G310+DATA!G311)</f>
        <v>0</v>
      </c>
      <c r="J24" s="321">
        <f>IF($C$2=FALSE,"-",DATA!F310+DATA!F311)</f>
        <v>0</v>
      </c>
      <c r="K24" s="321">
        <f>IF($C$2=FALSE,"-",DATA!E310+DATA!E311)</f>
        <v>0</v>
      </c>
      <c r="L24" s="321">
        <f>IF($C$2=FALSE,"-",DATA!D310+DATA!D311)</f>
        <v>0</v>
      </c>
      <c r="N24" s="322"/>
      <c r="O24" s="322"/>
      <c r="P24" s="322"/>
      <c r="Q24" s="322"/>
    </row>
    <row r="25" spans="2:31" ht="15" customHeight="1" outlineLevel="2">
      <c r="B25" s="320" t="str">
        <f>IF($C$2=FALSE,"-",CONCATENATE(B24," ","% of Sales"))</f>
        <v>After Tax Adjustments % of Sales</v>
      </c>
      <c r="C25" s="572">
        <f t="shared" ref="C25:L25" si="12">IF($C$2=FALSE,"-",C24/C6)</f>
        <v>0</v>
      </c>
      <c r="D25" s="572">
        <f t="shared" si="12"/>
        <v>0</v>
      </c>
      <c r="E25" s="572">
        <f t="shared" si="12"/>
        <v>0</v>
      </c>
      <c r="F25" s="572">
        <f t="shared" si="12"/>
        <v>0</v>
      </c>
      <c r="G25" s="572">
        <f t="shared" si="12"/>
        <v>0</v>
      </c>
      <c r="H25" s="572">
        <f t="shared" si="12"/>
        <v>0</v>
      </c>
      <c r="I25" s="572">
        <f t="shared" si="12"/>
        <v>0</v>
      </c>
      <c r="J25" s="572">
        <f t="shared" si="12"/>
        <v>0</v>
      </c>
      <c r="K25" s="572">
        <f t="shared" si="12"/>
        <v>0</v>
      </c>
      <c r="L25" s="572">
        <f t="shared" si="12"/>
        <v>0</v>
      </c>
      <c r="N25" s="322">
        <f>IF($C$2=FALSE,"-",(L25+K25+J25)/3)</f>
        <v>0</v>
      </c>
      <c r="O25" s="322">
        <f>IF($C$2=FALSE,"-",(L25+K25+J25+I25+H25)/5)</f>
        <v>0</v>
      </c>
      <c r="P25" s="322">
        <f>IF($C$2=FALSE,"-",(L25+K25+J25+I25+H25+G25+F25)/7)</f>
        <v>0</v>
      </c>
      <c r="Q25" s="322">
        <f>IF($C$2=FALSE,"-",(L25+K25+J25+I25+H25+G25+F25+E25+D25+IF(C25&lt;&gt;"",C25,0))/IF(C25&lt;&gt;"",10,9))</f>
        <v>0</v>
      </c>
    </row>
    <row r="26" spans="2:31" ht="15" customHeight="1" outlineLevel="1">
      <c r="B26" s="323" t="s">
        <v>500</v>
      </c>
      <c r="C26" s="324">
        <f>IF($C$2=FALSE,"-",C21-C22-C24+DATA!M314+DATA!M316+DATA!M317+DATA!M318+DATA!M319)</f>
        <v>2645</v>
      </c>
      <c r="D26" s="324">
        <f>IF($C$2=FALSE,"-",D21-D22-D24+DATA!L314+DATA!L316+DATA!L317+DATA!L318+DATA!L319)</f>
        <v>3043</v>
      </c>
      <c r="E26" s="324">
        <f>IF($C$2=FALSE,"-",E21-E22-E24+DATA!K314+DATA!K316+DATA!K317+DATA!K318+DATA!K319)</f>
        <v>3572</v>
      </c>
      <c r="F26" s="324">
        <f>IF($C$2=FALSE,"-",F21-F22-F24+DATA!J314+DATA!J316+DATA!J317+DATA!J318+DATA!J319)</f>
        <v>2583</v>
      </c>
      <c r="G26" s="324">
        <f>IF($C$2=FALSE,"-",G21-G22-G24+DATA!I314+DATA!I316+DATA!I317+DATA!I318+DATA!I319)</f>
        <v>2947</v>
      </c>
      <c r="H26" s="324">
        <f>IF($C$2=FALSE,"-",H21-H22-H24+DATA!H314+DATA!H316+DATA!H317+DATA!H318+DATA!H319)</f>
        <v>2478</v>
      </c>
      <c r="I26" s="324">
        <f>IF($C$2=FALSE,"-",I21-I22-I24+DATA!G314+DATA!G316+DATA!G317+DATA!G318+DATA!G319)</f>
        <v>1433</v>
      </c>
      <c r="J26" s="324">
        <f>IF($C$2=FALSE,"-",J21-J22-J24+DATA!F314+DATA!F316+DATA!F317+DATA!F318+DATA!F319)</f>
        <v>2635</v>
      </c>
      <c r="K26" s="324">
        <f>IF($C$2=FALSE,"-",K21-K22-K24+DATA!E314+DATA!E316+DATA!E317+DATA!E318+DATA!E319)</f>
        <v>3492</v>
      </c>
      <c r="L26" s="324">
        <f>IF($C$2=FALSE,"-",L21-L22-L24+DATA!D314+DATA!D316+DATA!D317+DATA!D318+DATA!D319)</f>
        <v>2372</v>
      </c>
      <c r="N26" s="319"/>
    </row>
    <row r="27" spans="2:31" ht="15" customHeight="1" outlineLevel="1">
      <c r="B27" s="326" t="s">
        <v>60</v>
      </c>
      <c r="C27" s="327">
        <f t="shared" ref="C27:L27" si="13">IF($C$2=FALSE,"-",C18+C13)</f>
        <v>4001</v>
      </c>
      <c r="D27" s="327">
        <f t="shared" si="13"/>
        <v>4779</v>
      </c>
      <c r="E27" s="327">
        <f t="shared" si="13"/>
        <v>4967</v>
      </c>
      <c r="F27" s="327">
        <f t="shared" si="13"/>
        <v>3861</v>
      </c>
      <c r="G27" s="327">
        <f t="shared" si="13"/>
        <v>4479</v>
      </c>
      <c r="H27" s="327">
        <f t="shared" si="13"/>
        <v>4186</v>
      </c>
      <c r="I27" s="327">
        <f t="shared" si="13"/>
        <v>3036</v>
      </c>
      <c r="J27" s="327">
        <f t="shared" si="13"/>
        <v>4519</v>
      </c>
      <c r="K27" s="327">
        <f t="shared" si="13"/>
        <v>5455</v>
      </c>
      <c r="L27" s="327">
        <f t="shared" si="13"/>
        <v>4255</v>
      </c>
      <c r="N27" s="319"/>
      <c r="S27" s="328"/>
      <c r="T27" s="328"/>
      <c r="U27" s="328"/>
      <c r="V27" s="328"/>
      <c r="W27" s="328"/>
      <c r="X27" s="328"/>
      <c r="Y27" s="328"/>
      <c r="Z27" s="328"/>
      <c r="AA27" s="328"/>
      <c r="AB27" s="328"/>
      <c r="AC27" s="329"/>
      <c r="AD27" s="329"/>
      <c r="AE27" s="329"/>
    </row>
    <row r="28" spans="2:31" ht="5.0999999999999996" customHeight="1" outlineLevel="1">
      <c r="B28" s="330"/>
      <c r="C28" s="331"/>
      <c r="D28" s="331"/>
      <c r="E28" s="331"/>
      <c r="F28" s="331"/>
      <c r="G28" s="331"/>
      <c r="H28" s="331"/>
      <c r="I28" s="331"/>
      <c r="J28" s="331"/>
      <c r="K28" s="331"/>
      <c r="L28" s="331"/>
      <c r="N28" s="319"/>
      <c r="S28" s="328"/>
      <c r="T28" s="328"/>
      <c r="U28" s="328"/>
      <c r="V28" s="328"/>
      <c r="W28" s="328"/>
      <c r="X28" s="328"/>
      <c r="Y28" s="328"/>
      <c r="Z28" s="328"/>
      <c r="AA28" s="328"/>
      <c r="AB28" s="328"/>
      <c r="AC28" s="329"/>
      <c r="AD28" s="329"/>
      <c r="AE28" s="329"/>
    </row>
    <row r="29" spans="2:31" ht="15" customHeight="1" outlineLevel="1">
      <c r="B29" s="569">
        <v>1</v>
      </c>
      <c r="C29" s="332" t="str">
        <f>IF($C$2=FALSE,"-",IF(ABS(C26-DATA!M320)&lt;=$B$29,"Balance","Error"))</f>
        <v>Balance</v>
      </c>
      <c r="D29" s="332" t="str">
        <f>IF($C$2=FALSE,"-",IF(ABS(D26-DATA!L320)&lt;=$B$29,"Balance","Error"))</f>
        <v>Balance</v>
      </c>
      <c r="E29" s="332" t="str">
        <f>IF($C$2=FALSE,"-",IF(ABS(E26-DATA!K320)&lt;=$B$29,"Balance","Error"))</f>
        <v>Balance</v>
      </c>
      <c r="F29" s="332" t="str">
        <f>IF($C$2=FALSE,"-",IF(ABS(F26-DATA!J320)&lt;=$B$29,"Balance","Error"))</f>
        <v>Balance</v>
      </c>
      <c r="G29" s="332" t="str">
        <f>IF($C$2=FALSE,"-",IF(ABS(G26-DATA!I320)&lt;=$B$29,"Balance","Error"))</f>
        <v>Balance</v>
      </c>
      <c r="H29" s="332" t="str">
        <f>IF($C$2=FALSE,"-",IF(ABS(H26-DATA!H320)&lt;=$B$29,"Balance","Error"))</f>
        <v>Balance</v>
      </c>
      <c r="I29" s="332" t="str">
        <f>IF($C$2=FALSE,"-",IF(ABS(I26-DATA!G320)&lt;=$B$29,"Balance","Error"))</f>
        <v>Balance</v>
      </c>
      <c r="J29" s="332" t="str">
        <f>IF($C$2=FALSE,"-",IF(ABS(J26-DATA!F320)&lt;=$B$29,"Balance","Error"))</f>
        <v>Balance</v>
      </c>
      <c r="K29" s="332" t="str">
        <f>IF($C$2=FALSE,"-",IF(ABS(K26-DATA!E320)&lt;=$B$29,"Balance","Error"))</f>
        <v>Balance</v>
      </c>
      <c r="L29" s="333" t="str">
        <f>IF($C$2=FALSE,"-",IF(ABS(L26-DATA!D320)&lt;=$B$29,"Balance","Error"))</f>
        <v>Balance</v>
      </c>
    </row>
    <row r="30" spans="2:31" ht="15" customHeight="1">
      <c r="B30" s="330"/>
      <c r="C30" s="334"/>
      <c r="D30" s="334"/>
      <c r="E30" s="334"/>
      <c r="F30" s="334"/>
      <c r="G30" s="334"/>
      <c r="H30" s="334"/>
      <c r="I30" s="334"/>
      <c r="J30" s="334"/>
      <c r="K30" s="334"/>
      <c r="L30" s="334"/>
    </row>
    <row r="31" spans="2:31" ht="15" customHeight="1">
      <c r="B31" s="312" t="s">
        <v>501</v>
      </c>
      <c r="C31" s="368">
        <f t="shared" ref="C31:L31" si="14">IF($C$2=FALSE,"-",C4)</f>
        <v>2004</v>
      </c>
      <c r="D31" s="368">
        <f t="shared" si="14"/>
        <v>2005</v>
      </c>
      <c r="E31" s="368">
        <f t="shared" si="14"/>
        <v>2006</v>
      </c>
      <c r="F31" s="368">
        <f t="shared" si="14"/>
        <v>2007</v>
      </c>
      <c r="G31" s="368">
        <f t="shared" si="14"/>
        <v>2008</v>
      </c>
      <c r="H31" s="368">
        <f t="shared" si="14"/>
        <v>2009</v>
      </c>
      <c r="I31" s="368">
        <f t="shared" si="14"/>
        <v>2010</v>
      </c>
      <c r="J31" s="368">
        <f t="shared" si="14"/>
        <v>2011</v>
      </c>
      <c r="K31" s="368">
        <f t="shared" si="14"/>
        <v>2012</v>
      </c>
      <c r="L31" s="368">
        <f t="shared" si="14"/>
        <v>2013</v>
      </c>
      <c r="M31" s="315"/>
      <c r="N31" s="312" t="str">
        <f>IF($C$2=FALSE,"-",N4)</f>
        <v>3 YA</v>
      </c>
      <c r="O31" s="312" t="str">
        <f>IF($C$2=FALSE,"-",O4)</f>
        <v>5 YA</v>
      </c>
      <c r="P31" s="312" t="str">
        <f>IF($C$2=FALSE,"-",P4)</f>
        <v>7 YA</v>
      </c>
      <c r="Q31" s="312" t="str">
        <f>IF($C$2=FALSE,"-",Q4)</f>
        <v>10 YA</v>
      </c>
    </row>
    <row r="32" spans="2:31" ht="5.0999999999999996" customHeight="1"/>
    <row r="33" spans="2:17" ht="15" customHeight="1" outlineLevel="1">
      <c r="B33" s="335" t="s">
        <v>120</v>
      </c>
    </row>
    <row r="34" spans="2:17" ht="15" customHeight="1" outlineLevel="1">
      <c r="B34" s="317" t="s">
        <v>502</v>
      </c>
      <c r="C34" s="318">
        <f>IF($C$2=FALSE,"-",DATA!M348+DATA!M349+DATA!M350)</f>
        <v>5152</v>
      </c>
      <c r="D34" s="318">
        <f>IF($C$2=FALSE,"-",DATA!L348+DATA!L349+DATA!L350)</f>
        <v>9807</v>
      </c>
      <c r="E34" s="318">
        <f>IF($C$2=FALSE,"-",DATA!K348+DATA!K349+DATA!K350)</f>
        <v>9058</v>
      </c>
      <c r="F34" s="318">
        <f>IF($C$2=FALSE,"-",DATA!J348+DATA!J349+DATA!J350)</f>
        <v>10298</v>
      </c>
      <c r="G34" s="318">
        <f>IF($C$2=FALSE,"-",DATA!I348+DATA!I349+DATA!I350)</f>
        <v>7972</v>
      </c>
      <c r="H34" s="318">
        <f>IF($C$2=FALSE,"-",DATA!H348+DATA!H349+DATA!H350)</f>
        <v>9092</v>
      </c>
      <c r="I34" s="318">
        <f>IF($C$2=FALSE,"-",DATA!G348+DATA!G349+DATA!G350)</f>
        <v>11008</v>
      </c>
      <c r="J34" s="318">
        <f>IF($C$2=FALSE,"-",DATA!F348+DATA!F349+DATA!F350)</f>
        <v>14365</v>
      </c>
      <c r="K34" s="318">
        <f>IF($C$2=FALSE,"-",DATA!E348+DATA!E349+DATA!E350)</f>
        <v>14818</v>
      </c>
      <c r="L34" s="318">
        <f>IF($C$2=FALSE,"-",DATA!D348+DATA!D349+DATA!D350)</f>
        <v>12777</v>
      </c>
    </row>
    <row r="35" spans="2:17" ht="15" customHeight="1" outlineLevel="2">
      <c r="B35" s="330" t="str">
        <f>IF($C$2=FALSE,"-",CONCATENATE(B34," ","% of Sales"))</f>
        <v>Cash &amp; Cash Equivalents (ST Inv) % of Sales</v>
      </c>
      <c r="C35" s="331">
        <f t="shared" ref="C35:L35" si="15">IF($C$2=FALSE,"-",C34/C$6)</f>
        <v>0.12431232506514815</v>
      </c>
      <c r="D35" s="331">
        <f t="shared" si="15"/>
        <v>0.19930901331165532</v>
      </c>
      <c r="E35" s="331">
        <f t="shared" si="15"/>
        <v>0.16201616942119196</v>
      </c>
      <c r="F35" s="331">
        <f t="shared" si="15"/>
        <v>0.17934517589690002</v>
      </c>
      <c r="G35" s="331">
        <f t="shared" si="15"/>
        <v>0.13040420067721198</v>
      </c>
      <c r="H35" s="331">
        <f t="shared" si="15"/>
        <v>0.14880280191813555</v>
      </c>
      <c r="I35" s="331">
        <f t="shared" si="15"/>
        <v>0.20808287021284638</v>
      </c>
      <c r="J35" s="331">
        <f t="shared" si="15"/>
        <v>0.23360002601879859</v>
      </c>
      <c r="K35" s="331">
        <f t="shared" si="15"/>
        <v>0.23872661951636029</v>
      </c>
      <c r="L35" s="331">
        <f t="shared" si="15"/>
        <v>0.22439409905163329</v>
      </c>
      <c r="N35" s="322">
        <f>IF($C$2=FALSE,"-",(L35+K35+J35)/3)</f>
        <v>0.23224024819559741</v>
      </c>
      <c r="O35" s="322">
        <f>IF($C$2=FALSE,"-",(L35+K35+J35+I35+H35)/5)</f>
        <v>0.21072128334355483</v>
      </c>
      <c r="P35" s="322">
        <f>IF($C$2=FALSE,"-",(L35+K35+J35+I35+H35+G35+F35)/7)</f>
        <v>0.19476511332741228</v>
      </c>
      <c r="Q35" s="322">
        <f>IF($C$2=FALSE,"-",(L35+K35+J35+I35+H35+G35+F35+E35+D35+IF(C35&lt;&gt;"",C35,0))/IF(C35&lt;&gt;"",10,9))</f>
        <v>0.18489933010898812</v>
      </c>
    </row>
    <row r="36" spans="2:17" ht="15" customHeight="1" outlineLevel="1">
      <c r="B36" s="330" t="s">
        <v>503</v>
      </c>
      <c r="C36" s="331">
        <f>IF($C$2=FALSE,"-",DATA!M354)</f>
        <v>3635</v>
      </c>
      <c r="D36" s="331">
        <f>IF($C$2=FALSE,"-",DATA!L354)</f>
        <v>4414</v>
      </c>
      <c r="E36" s="331">
        <f>IF($C$2=FALSE,"-",DATA!K354)</f>
        <v>5452</v>
      </c>
      <c r="F36" s="331">
        <f>IF($C$2=FALSE,"-",DATA!J354)</f>
        <v>6152</v>
      </c>
      <c r="G36" s="331">
        <f>IF($C$2=FALSE,"-",DATA!I354)</f>
        <v>7693</v>
      </c>
      <c r="H36" s="331">
        <f>IF($C$2=FALSE,"-",DATA!H354)</f>
        <v>6443</v>
      </c>
      <c r="I36" s="331">
        <f>IF($C$2=FALSE,"-",DATA!G354)</f>
        <v>8543</v>
      </c>
      <c r="J36" s="331">
        <f>IF($C$2=FALSE,"-",DATA!F354)</f>
        <v>10136</v>
      </c>
      <c r="K36" s="331">
        <f>IF($C$2=FALSE,"-",DATA!E354)</f>
        <v>9803</v>
      </c>
      <c r="L36" s="331">
        <f>IF($C$2=FALSE,"-",DATA!D354)</f>
        <v>9842</v>
      </c>
      <c r="N36" s="322"/>
      <c r="O36" s="322"/>
      <c r="P36" s="322"/>
      <c r="Q36" s="322"/>
    </row>
    <row r="37" spans="2:17" ht="15" customHeight="1" outlineLevel="2">
      <c r="B37" s="330" t="str">
        <f>IF($C$2=FALSE,"-",CONCATENATE(B36," ","% of Sales"))</f>
        <v>Total Accounts Receivable % of Sales</v>
      </c>
      <c r="C37" s="331">
        <f t="shared" ref="C37:L37" si="16">IF($C$2=FALSE,"-",C36/C$6)</f>
        <v>8.7708715374963803E-2</v>
      </c>
      <c r="D37" s="331">
        <f t="shared" si="16"/>
        <v>8.9706330657453509E-2</v>
      </c>
      <c r="E37" s="331">
        <f t="shared" si="16"/>
        <v>9.7517349932031192E-2</v>
      </c>
      <c r="F37" s="331">
        <f t="shared" si="16"/>
        <v>0.10714036920933473</v>
      </c>
      <c r="G37" s="331">
        <f t="shared" si="16"/>
        <v>0.12584038080905566</v>
      </c>
      <c r="H37" s="331">
        <f t="shared" si="16"/>
        <v>0.10544835600072013</v>
      </c>
      <c r="I37" s="331">
        <f t="shared" si="16"/>
        <v>0.16148727836376697</v>
      </c>
      <c r="J37" s="331">
        <f t="shared" si="16"/>
        <v>0.16482908901681464</v>
      </c>
      <c r="K37" s="331">
        <f t="shared" si="16"/>
        <v>0.15793204556072885</v>
      </c>
      <c r="L37" s="331">
        <f t="shared" si="16"/>
        <v>0.17284861257463996</v>
      </c>
      <c r="N37" s="322">
        <f>IF($C$2=FALSE,"-",(L37+K37+J37)/3)</f>
        <v>0.16520324905072784</v>
      </c>
      <c r="O37" s="322">
        <f>IF($C$2=FALSE,"-",(L37+K37+J37+I37+H37)/5)</f>
        <v>0.15250907630333413</v>
      </c>
      <c r="P37" s="322">
        <f>IF($C$2=FALSE,"-",(L37+K37+J37+I37+H37+G37+F37)/7)</f>
        <v>0.14221801879072299</v>
      </c>
      <c r="Q37" s="322">
        <f>IF($C$2=FALSE,"-",(L37+K37+J37+I37+H37+G37+F37+E37+D37+IF(C37&lt;&gt;"",C37,0))/IF(C37&lt;&gt;"",10,9))</f>
        <v>0.12704585274995095</v>
      </c>
    </row>
    <row r="38" spans="2:17" ht="15" customHeight="1" outlineLevel="1">
      <c r="B38" s="330" t="s">
        <v>112</v>
      </c>
      <c r="C38" s="331">
        <f>IF($C$2=FALSE,"-",DATA!M361)</f>
        <v>327</v>
      </c>
      <c r="D38" s="331">
        <f>IF($C$2=FALSE,"-",DATA!L361)</f>
        <v>459</v>
      </c>
      <c r="E38" s="331">
        <f>IF($C$2=FALSE,"-",DATA!K361)</f>
        <v>576</v>
      </c>
      <c r="F38" s="331">
        <f>IF($C$2=FALSE,"-",DATA!J361)</f>
        <v>660</v>
      </c>
      <c r="G38" s="331">
        <f>IF($C$2=FALSE,"-",DATA!I361)</f>
        <v>1180</v>
      </c>
      <c r="H38" s="331">
        <f>IF($C$2=FALSE,"-",DATA!H361)</f>
        <v>867</v>
      </c>
      <c r="I38" s="331">
        <f>IF($C$2=FALSE,"-",DATA!G361)</f>
        <v>1051</v>
      </c>
      <c r="J38" s="331">
        <f>IF($C$2=FALSE,"-",DATA!F361)</f>
        <v>1301</v>
      </c>
      <c r="K38" s="331">
        <f>IF($C$2=FALSE,"-",DATA!E361)</f>
        <v>1404</v>
      </c>
      <c r="L38" s="331">
        <f>IF($C$2=FALSE,"-",DATA!D361)</f>
        <v>1382</v>
      </c>
      <c r="N38" s="322"/>
      <c r="O38" s="322"/>
      <c r="P38" s="322"/>
      <c r="Q38" s="322"/>
    </row>
    <row r="39" spans="2:17" ht="15" customHeight="1" outlineLevel="2">
      <c r="B39" s="330" t="str">
        <f>IF($C$2=FALSE,"-",CONCATENATE(B38," ","% of Sales"))</f>
        <v>Inventories % of Sales</v>
      </c>
      <c r="C39" s="331">
        <f t="shared" ref="C39:L39" si="17">IF($C$2=FALSE,"-",C38/C$6)</f>
        <v>7.890165041984365E-3</v>
      </c>
      <c r="D39" s="331">
        <f t="shared" si="17"/>
        <v>9.3283202926531857E-3</v>
      </c>
      <c r="E39" s="331">
        <f t="shared" si="17"/>
        <v>1.03026400515132E-2</v>
      </c>
      <c r="F39" s="331">
        <f t="shared" si="17"/>
        <v>1.1494252873563218E-2</v>
      </c>
      <c r="G39" s="331">
        <f t="shared" si="17"/>
        <v>1.9302177220159325E-2</v>
      </c>
      <c r="H39" s="331">
        <f t="shared" si="17"/>
        <v>1.4189620464476849E-2</v>
      </c>
      <c r="I39" s="331">
        <f t="shared" si="17"/>
        <v>1.9866923745794109E-2</v>
      </c>
      <c r="J39" s="331">
        <f t="shared" si="17"/>
        <v>2.1156535596968808E-2</v>
      </c>
      <c r="K39" s="331">
        <f t="shared" si="17"/>
        <v>2.2619258590968406E-2</v>
      </c>
      <c r="L39" s="331">
        <f t="shared" si="17"/>
        <v>2.4271162627327012E-2</v>
      </c>
      <c r="N39" s="322">
        <f>IF($C$2=FALSE,"-",(L39+K39+J39)/3)</f>
        <v>2.2682318938421406E-2</v>
      </c>
      <c r="O39" s="322">
        <f>IF($C$2=FALSE,"-",(L39+K39+J39+I39+H39)/5)</f>
        <v>2.0420700205107035E-2</v>
      </c>
      <c r="P39" s="322">
        <f>IF($C$2=FALSE,"-",(L39+K39+J39+I39+H39+G39+F39)/7)</f>
        <v>1.8985704445608247E-2</v>
      </c>
      <c r="Q39" s="322">
        <f>IF($C$2=FALSE,"-",(L39+K39+J39+I39+H39+G39+F39+E39+D39+IF(C39&lt;&gt;"",C39,0))/IF(C39&lt;&gt;"",10,9))</f>
        <v>1.6042105650540851E-2</v>
      </c>
    </row>
    <row r="40" spans="2:17" ht="15" customHeight="1" outlineLevel="1">
      <c r="B40" s="330" t="s">
        <v>504</v>
      </c>
      <c r="C40" s="331">
        <f>IF($C$2=FALSE,"-",DATA!M364+DATA!M363+DATA!M362)</f>
        <v>1519</v>
      </c>
      <c r="D40" s="331">
        <f>IF($C$2=FALSE,"-",DATA!L364+DATA!L363+DATA!L362)</f>
        <v>2217</v>
      </c>
      <c r="E40" s="331">
        <f>IF($C$2=FALSE,"-",DATA!K364+DATA!K363+DATA!K362)</f>
        <v>2620</v>
      </c>
      <c r="F40" s="331">
        <f>IF($C$2=FALSE,"-",DATA!J364+DATA!J363+DATA!J362)</f>
        <v>2829</v>
      </c>
      <c r="G40" s="331">
        <f>IF($C$2=FALSE,"-",DATA!I364+DATA!I363+DATA!I362)</f>
        <v>3035</v>
      </c>
      <c r="H40" s="331">
        <f>IF($C$2=FALSE,"-",DATA!H364+DATA!H363+DATA!H362)</f>
        <v>3749</v>
      </c>
      <c r="I40" s="331">
        <f>IF($C$2=FALSE,"-",DATA!G364+DATA!G363+DATA!G362)</f>
        <v>3643</v>
      </c>
      <c r="J40" s="331">
        <f>IF($C$2=FALSE,"-",DATA!F364+DATA!F363+DATA!F362)</f>
        <v>3219</v>
      </c>
      <c r="K40" s="331">
        <f>IF($C$2=FALSE,"-",DATA!E364+DATA!E363+DATA!E362)</f>
        <v>3423</v>
      </c>
      <c r="L40" s="331">
        <f>IF($C$2=FALSE,"-",DATA!D364+DATA!D363+DATA!D362)</f>
        <v>3967</v>
      </c>
      <c r="N40" s="322"/>
      <c r="O40" s="322"/>
      <c r="P40" s="322"/>
      <c r="Q40" s="322"/>
    </row>
    <row r="41" spans="2:17" ht="15" customHeight="1" outlineLevel="2">
      <c r="B41" s="330" t="str">
        <f>IF($C$2=FALSE,"-",CONCATENATE(B40," ","% of Sales"))</f>
        <v>Other Current Assets % of Sales</v>
      </c>
      <c r="C41" s="331">
        <f t="shared" ref="C41:L41" si="18">IF($C$2=FALSE,"-",C40/C$6)</f>
        <v>3.6651867580349384E-2</v>
      </c>
      <c r="D41" s="331">
        <f t="shared" si="18"/>
        <v>4.5056396707651658E-2</v>
      </c>
      <c r="E41" s="331">
        <f t="shared" si="18"/>
        <v>4.6862703012091292E-2</v>
      </c>
      <c r="F41" s="331">
        <f t="shared" si="18"/>
        <v>4.926854754440961E-2</v>
      </c>
      <c r="G41" s="331">
        <f t="shared" si="18"/>
        <v>4.9645854121341995E-2</v>
      </c>
      <c r="H41" s="331">
        <f t="shared" si="18"/>
        <v>6.1357424592068867E-2</v>
      </c>
      <c r="I41" s="331">
        <f t="shared" si="18"/>
        <v>6.8863180976144564E-2</v>
      </c>
      <c r="J41" s="331">
        <f t="shared" si="18"/>
        <v>5.2346570397111915E-2</v>
      </c>
      <c r="K41" s="331">
        <f t="shared" si="18"/>
        <v>5.5146525752766989E-2</v>
      </c>
      <c r="L41" s="331">
        <f t="shared" si="18"/>
        <v>6.966982788900597E-2</v>
      </c>
      <c r="N41" s="322">
        <f>IF($C$2=FALSE,"-",(L41+K41+J41)/3)</f>
        <v>5.9054308012961625E-2</v>
      </c>
      <c r="O41" s="322">
        <f>IF($C$2=FALSE,"-",(L41+K41+J41+I41+H41)/5)</f>
        <v>6.1476705921419662E-2</v>
      </c>
      <c r="P41" s="322">
        <f>IF($C$2=FALSE,"-",(L41+K41+J41+I41+H41+G41+F41)/7)</f>
        <v>5.8042561610407127E-2</v>
      </c>
      <c r="Q41" s="322">
        <f>IF($C$2=FALSE,"-",(L41+K41+J41+I41+H41+G41+F41+E41+D41+IF(C41&lt;&gt;"",C41,0))/IF(C41&lt;&gt;"",10,9))</f>
        <v>5.3486889857294218E-2</v>
      </c>
    </row>
    <row r="42" spans="2:17" ht="15" customHeight="1" outlineLevel="1">
      <c r="B42" s="323" t="s">
        <v>505</v>
      </c>
      <c r="C42" s="324">
        <f t="shared" ref="C42:L42" si="19">IF($C$2=FALSE,"-",C40+C38+C36+C34)</f>
        <v>10633</v>
      </c>
      <c r="D42" s="324">
        <f t="shared" si="19"/>
        <v>16897</v>
      </c>
      <c r="E42" s="324">
        <f t="shared" si="19"/>
        <v>17706</v>
      </c>
      <c r="F42" s="324">
        <f t="shared" si="19"/>
        <v>19939</v>
      </c>
      <c r="G42" s="324">
        <f t="shared" si="19"/>
        <v>19880</v>
      </c>
      <c r="H42" s="324">
        <f t="shared" si="19"/>
        <v>20151</v>
      </c>
      <c r="I42" s="324">
        <f t="shared" si="19"/>
        <v>24245</v>
      </c>
      <c r="J42" s="324">
        <f t="shared" si="19"/>
        <v>29021</v>
      </c>
      <c r="K42" s="324">
        <f t="shared" si="19"/>
        <v>29448</v>
      </c>
      <c r="L42" s="324">
        <f t="shared" si="19"/>
        <v>27968</v>
      </c>
      <c r="N42" s="322"/>
      <c r="O42" s="322"/>
      <c r="P42" s="322"/>
      <c r="Q42" s="322"/>
    </row>
    <row r="43" spans="2:17" ht="15" customHeight="1" outlineLevel="1">
      <c r="B43" s="330" t="s">
        <v>506</v>
      </c>
      <c r="C43" s="331">
        <f>IF($C$2=FALSE,"-",DATA!M372)</f>
        <v>2650</v>
      </c>
      <c r="D43" s="331">
        <f>IF($C$2=FALSE,"-",DATA!L372)</f>
        <v>3017</v>
      </c>
      <c r="E43" s="331">
        <f>IF($C$2=FALSE,"-",DATA!K372)</f>
        <v>3564</v>
      </c>
      <c r="F43" s="331">
        <f>IF($C$2=FALSE,"-",DATA!J372)</f>
        <v>4049</v>
      </c>
      <c r="G43" s="331">
        <f>IF($C$2=FALSE,"-",DATA!I372)</f>
        <v>4614</v>
      </c>
      <c r="H43" s="331">
        <f>IF($C$2=FALSE,"-",DATA!H372)</f>
        <v>4510</v>
      </c>
      <c r="I43" s="331">
        <f>IF($C$2=FALSE,"-",DATA!G372)</f>
        <v>4652</v>
      </c>
      <c r="J43" s="331">
        <f>IF($C$2=FALSE,"-",DATA!F372)</f>
        <v>4729</v>
      </c>
      <c r="K43" s="331">
        <f>IF($C$2=FALSE,"-",DATA!E372)</f>
        <v>4934</v>
      </c>
      <c r="L43" s="331">
        <f>IF($C$2=FALSE,"-",DATA!D372)</f>
        <v>5300</v>
      </c>
      <c r="N43" s="322"/>
      <c r="O43" s="322"/>
      <c r="P43" s="322"/>
      <c r="Q43" s="322"/>
    </row>
    <row r="44" spans="2:17" ht="15" customHeight="1" outlineLevel="2">
      <c r="B44" s="330" t="str">
        <f>IF($C$2=FALSE,"-",CONCATENATE(B43," ","% of Sales"))</f>
        <v>Property, Plant &amp; Equipment - Gross % of Sales</v>
      </c>
      <c r="C44" s="331">
        <f t="shared" ref="C44:L44" si="20">IF($C$2=FALSE,"-",C43/C$6)</f>
        <v>6.3941704468680624E-2</v>
      </c>
      <c r="D44" s="331">
        <f t="shared" si="20"/>
        <v>6.131490702164414E-2</v>
      </c>
      <c r="E44" s="331">
        <f t="shared" si="20"/>
        <v>6.374758531873792E-2</v>
      </c>
      <c r="F44" s="331">
        <f t="shared" si="20"/>
        <v>7.0515499825844652E-2</v>
      </c>
      <c r="G44" s="331">
        <f t="shared" si="20"/>
        <v>7.5474784486284002E-2</v>
      </c>
      <c r="H44" s="331">
        <f t="shared" si="20"/>
        <v>7.3812212566079116E-2</v>
      </c>
      <c r="I44" s="331">
        <f t="shared" si="20"/>
        <v>8.793618388718763E-2</v>
      </c>
      <c r="J44" s="331">
        <f t="shared" si="20"/>
        <v>7.6901811558851271E-2</v>
      </c>
      <c r="K44" s="331">
        <f t="shared" si="20"/>
        <v>7.9489616729229426E-2</v>
      </c>
      <c r="L44" s="331">
        <f t="shared" si="20"/>
        <v>9.3080435546188972E-2</v>
      </c>
      <c r="N44" s="322">
        <f>IF($C$2=FALSE,"-",(L44+K44+J44)/3)</f>
        <v>8.3157287944756561E-2</v>
      </c>
      <c r="O44" s="322">
        <f>IF($C$2=FALSE,"-",(L44+K44+J44+I44+H44)/5)</f>
        <v>8.2244052057507275E-2</v>
      </c>
      <c r="P44" s="322">
        <f>IF($C$2=FALSE,"-",(L44+K44+J44+I44+H44+G44+F44)/7)</f>
        <v>7.9601506371380734E-2</v>
      </c>
      <c r="Q44" s="322">
        <f>IF($C$2=FALSE,"-",(L44+K44+J44+I44+H44+G44+F44+E44+D44+IF(C44&lt;&gt;"",C44,0))/IF(C44&lt;&gt;"",10,9))</f>
        <v>7.4621474140872779E-2</v>
      </c>
    </row>
    <row r="45" spans="2:17" ht="15" customHeight="1" outlineLevel="1">
      <c r="B45" s="330" t="s">
        <v>507</v>
      </c>
      <c r="C45" s="331">
        <f>IF($C$2=FALSE,"-",DATA!M373)</f>
        <v>1133</v>
      </c>
      <c r="D45" s="331">
        <f>IF($C$2=FALSE,"-",DATA!L373)</f>
        <v>1326</v>
      </c>
      <c r="E45" s="331">
        <f>IF($C$2=FALSE,"-",DATA!K373)</f>
        <v>1559</v>
      </c>
      <c r="F45" s="331">
        <f>IF($C$2=FALSE,"-",DATA!J373)</f>
        <v>1640</v>
      </c>
      <c r="G45" s="331">
        <f>IF($C$2=FALSE,"-",DATA!I373)</f>
        <v>1946</v>
      </c>
      <c r="H45" s="331">
        <f>IF($C$2=FALSE,"-",DATA!H373)</f>
        <v>2233</v>
      </c>
      <c r="I45" s="331">
        <f>IF($C$2=FALSE,"-",DATA!G373)</f>
        <v>2471</v>
      </c>
      <c r="J45" s="331">
        <f>IF($C$2=FALSE,"-",DATA!F373)</f>
        <v>2776</v>
      </c>
      <c r="K45" s="331">
        <f>IF($C$2=FALSE,"-",DATA!E373)</f>
        <v>2810</v>
      </c>
      <c r="L45" s="331">
        <f>IF($C$2=FALSE,"-",DATA!D373)</f>
        <v>3174</v>
      </c>
      <c r="N45" s="322"/>
      <c r="O45" s="322"/>
      <c r="P45" s="322"/>
      <c r="Q45" s="322"/>
    </row>
    <row r="46" spans="2:17" ht="15" customHeight="1" outlineLevel="2">
      <c r="B46" s="330" t="str">
        <f>IF($C$2=FALSE,"-",CONCATENATE(B45," ","% of Gross PPE"))</f>
        <v>Accumulated Depreciation % of Gross PPE</v>
      </c>
      <c r="C46" s="331">
        <f t="shared" ref="C46:L46" si="21">IF($C$2=FALSE,"-",C45/C43)</f>
        <v>0.42754716981132074</v>
      </c>
      <c r="D46" s="331">
        <f t="shared" si="21"/>
        <v>0.43950944647000334</v>
      </c>
      <c r="E46" s="331">
        <f t="shared" si="21"/>
        <v>0.43742985409652074</v>
      </c>
      <c r="F46" s="331">
        <f t="shared" si="21"/>
        <v>0.40503828105705114</v>
      </c>
      <c r="G46" s="331">
        <f t="shared" si="21"/>
        <v>0.42175986129172083</v>
      </c>
      <c r="H46" s="331">
        <f t="shared" si="21"/>
        <v>0.49512195121951219</v>
      </c>
      <c r="I46" s="331">
        <f t="shared" si="21"/>
        <v>0.53116938950988823</v>
      </c>
      <c r="J46" s="331">
        <f t="shared" si="21"/>
        <v>0.58701628251215898</v>
      </c>
      <c r="K46" s="331">
        <f t="shared" si="21"/>
        <v>0.5695176327523308</v>
      </c>
      <c r="L46" s="331">
        <f t="shared" si="21"/>
        <v>0.59886792452830184</v>
      </c>
      <c r="N46" s="322">
        <f>IF($C$2=FALSE,"-",(L46+K46+J46)/3)</f>
        <v>0.58513394659759721</v>
      </c>
      <c r="O46" s="322">
        <f>IF($C$2=FALSE,"-",(L46+K46+J46+I46+H46)/5)</f>
        <v>0.55633863610443846</v>
      </c>
      <c r="P46" s="322">
        <f>IF($C$2=FALSE,"-",(L46+K46+J46+I46+H46+G46+F46)/7)</f>
        <v>0.51549876041013776</v>
      </c>
      <c r="Q46" s="322">
        <f>IF($C$2=FALSE,"-",(L46+K46+J46+I46+H46+G46+F46+E46+D46+IF(C46&lt;&gt;"",C46,0))/IF(C46&lt;&gt;"",10,9))</f>
        <v>0.49129777932488095</v>
      </c>
    </row>
    <row r="47" spans="2:17" ht="15" customHeight="1" outlineLevel="1">
      <c r="B47" s="336" t="s">
        <v>508</v>
      </c>
      <c r="C47" s="324">
        <f t="shared" ref="C47:L47" si="22">IF($C$2=FALSE,"-",C43-C45)</f>
        <v>1517</v>
      </c>
      <c r="D47" s="324">
        <f t="shared" si="22"/>
        <v>1691</v>
      </c>
      <c r="E47" s="324">
        <f t="shared" si="22"/>
        <v>2005</v>
      </c>
      <c r="F47" s="324">
        <f t="shared" si="22"/>
        <v>2409</v>
      </c>
      <c r="G47" s="324">
        <f t="shared" si="22"/>
        <v>2668</v>
      </c>
      <c r="H47" s="324">
        <f t="shared" si="22"/>
        <v>2277</v>
      </c>
      <c r="I47" s="324">
        <f t="shared" si="22"/>
        <v>2181</v>
      </c>
      <c r="J47" s="324">
        <f t="shared" si="22"/>
        <v>1953</v>
      </c>
      <c r="K47" s="324">
        <f t="shared" si="22"/>
        <v>2124</v>
      </c>
      <c r="L47" s="324">
        <f t="shared" si="22"/>
        <v>2126</v>
      </c>
      <c r="N47" s="322"/>
      <c r="O47" s="322"/>
      <c r="P47" s="322"/>
      <c r="Q47" s="322"/>
    </row>
    <row r="48" spans="2:17" ht="15" customHeight="1" outlineLevel="1">
      <c r="B48" s="330" t="s">
        <v>509</v>
      </c>
      <c r="C48" s="331">
        <f>IF($C$2=FALSE,"-",DATA!M375+DATA!M376)</f>
        <v>0</v>
      </c>
      <c r="D48" s="331">
        <f>IF($C$2=FALSE,"-",DATA!L375+DATA!L376)</f>
        <v>0</v>
      </c>
      <c r="E48" s="331">
        <f>IF($C$2=FALSE,"-",DATA!K375+DATA!K376)</f>
        <v>0</v>
      </c>
      <c r="F48" s="331">
        <f>IF($C$2=FALSE,"-",DATA!J375+DATA!J376)</f>
        <v>0</v>
      </c>
      <c r="G48" s="331">
        <f>IF($C$2=FALSE,"-",DATA!I375+DATA!I376)</f>
        <v>2428</v>
      </c>
      <c r="H48" s="331">
        <f>IF($C$2=FALSE,"-",DATA!H375+DATA!H376)</f>
        <v>2461</v>
      </c>
      <c r="I48" s="331">
        <f>IF($C$2=FALSE,"-",DATA!G375+DATA!G376)</f>
        <v>5768</v>
      </c>
      <c r="J48" s="331">
        <f>IF($C$2=FALSE,"-",DATA!F375+DATA!F376)</f>
        <v>5860</v>
      </c>
      <c r="K48" s="331">
        <f>IF($C$2=FALSE,"-",DATA!E375+DATA!E376)</f>
        <v>7695</v>
      </c>
      <c r="L48" s="331">
        <f>IF($C$2=FALSE,"-",DATA!D375+DATA!D376)</f>
        <v>12678</v>
      </c>
      <c r="N48" s="322"/>
      <c r="O48" s="322"/>
      <c r="P48" s="322"/>
      <c r="Q48" s="322"/>
    </row>
    <row r="49" spans="2:17" ht="15" customHeight="1" outlineLevel="2">
      <c r="B49" s="330" t="str">
        <f>IF($C$2=FALSE,"-",CONCATENATE(B48," ","% of Sales"))</f>
        <v>Intangible Assets (Including Goodwill) % of Sales</v>
      </c>
      <c r="C49" s="331">
        <f t="shared" ref="C49:L49" si="23">IF($C$2=FALSE,"-",C48/C$6)</f>
        <v>0</v>
      </c>
      <c r="D49" s="331">
        <f t="shared" si="23"/>
        <v>0</v>
      </c>
      <c r="E49" s="331">
        <f t="shared" si="23"/>
        <v>0</v>
      </c>
      <c r="F49" s="331">
        <f t="shared" si="23"/>
        <v>0</v>
      </c>
      <c r="G49" s="331">
        <f t="shared" si="23"/>
        <v>3.9716683297073591E-2</v>
      </c>
      <c r="H49" s="331">
        <f t="shared" si="23"/>
        <v>4.0277573198474657E-2</v>
      </c>
      <c r="I49" s="331">
        <f t="shared" si="23"/>
        <v>0.10903179463914407</v>
      </c>
      <c r="J49" s="331">
        <f t="shared" si="23"/>
        <v>9.5293849806485184E-2</v>
      </c>
      <c r="K49" s="331">
        <f t="shared" si="23"/>
        <v>0.12397093650819223</v>
      </c>
      <c r="L49" s="331">
        <f t="shared" si="23"/>
        <v>0.22265542676501582</v>
      </c>
      <c r="N49" s="322">
        <f>IF($C$2=FALSE,"-",(L49+K49+J49)/3)</f>
        <v>0.14730673769323108</v>
      </c>
      <c r="O49" s="322">
        <f>IF($C$2=FALSE,"-",(L49+K49+J49+I49+H49)/5)</f>
        <v>0.1182459161834624</v>
      </c>
      <c r="P49" s="322">
        <f>IF($C$2=FALSE,"-",(L49+K49+J49+I49+H49+G49+F49)/7)</f>
        <v>9.0135180602055082E-2</v>
      </c>
      <c r="Q49" s="322">
        <f>IF($C$2=FALSE,"-",(L49+K49+J49+I49+H49+G49+F49+E49+D49+IF(C49&lt;&gt;"",C49,0))/IF(C49&lt;&gt;"",10,9))</f>
        <v>6.3094626421438565E-2</v>
      </c>
    </row>
    <row r="50" spans="2:17" ht="15" customHeight="1" outlineLevel="1">
      <c r="B50" s="330" t="s">
        <v>510</v>
      </c>
      <c r="C50" s="331">
        <f>IF($C$2=FALSE,"-",DATA!M378+DATA!M377)</f>
        <v>7161</v>
      </c>
      <c r="D50" s="331">
        <f>IF($C$2=FALSE,"-",DATA!L378+DATA!L377)</f>
        <v>4627</v>
      </c>
      <c r="E50" s="331">
        <f>IF($C$2=FALSE,"-",DATA!K378+DATA!K377)</f>
        <v>3398</v>
      </c>
      <c r="F50" s="331">
        <f>IF($C$2=FALSE,"-",DATA!J378+DATA!J377)</f>
        <v>3287</v>
      </c>
      <c r="G50" s="331">
        <f>IF($C$2=FALSE,"-",DATA!I378+DATA!I377)</f>
        <v>2585</v>
      </c>
      <c r="H50" s="331">
        <f>IF($C$2=FALSE,"-",DATA!H378+DATA!H377)</f>
        <v>1611</v>
      </c>
      <c r="I50" s="331">
        <f>IF($C$2=FALSE,"-",DATA!G378+DATA!G377)</f>
        <v>1458</v>
      </c>
      <c r="J50" s="331">
        <f>IF($C$2=FALSE,"-",DATA!F378+DATA!F377)</f>
        <v>1765</v>
      </c>
      <c r="K50" s="331">
        <f>IF($C$2=FALSE,"-",DATA!E378+DATA!E377)</f>
        <v>5266</v>
      </c>
      <c r="L50" s="331">
        <f>IF($C$2=FALSE,"-",DATA!D378+DATA!D377)</f>
        <v>4768</v>
      </c>
      <c r="N50" s="322"/>
      <c r="O50" s="322"/>
      <c r="P50" s="322"/>
      <c r="Q50" s="322"/>
    </row>
    <row r="51" spans="2:17" ht="15" customHeight="1" outlineLevel="2">
      <c r="B51" s="330" t="str">
        <f>IF($C$2=FALSE,"-",CONCATENATE(B50," ","% of Sales"))</f>
        <v>Other Non-Current Assets % of Sales</v>
      </c>
      <c r="C51" s="331">
        <f t="shared" ref="C51:L51" si="24">IF($C$2=FALSE,"-",C50/C$6)</f>
        <v>0.17278737573593284</v>
      </c>
      <c r="D51" s="331">
        <f t="shared" si="24"/>
        <v>9.4035159028554013E-2</v>
      </c>
      <c r="E51" s="331">
        <f t="shared" si="24"/>
        <v>6.0778421692780998E-2</v>
      </c>
      <c r="F51" s="331">
        <f t="shared" si="24"/>
        <v>5.7244862417276207E-2</v>
      </c>
      <c r="G51" s="331">
        <f t="shared" si="24"/>
        <v>4.2284854333993094E-2</v>
      </c>
      <c r="H51" s="331">
        <f t="shared" si="24"/>
        <v>2.636618058624245E-2</v>
      </c>
      <c r="I51" s="331">
        <f t="shared" si="24"/>
        <v>2.7560394692072134E-2</v>
      </c>
      <c r="J51" s="331">
        <f t="shared" si="24"/>
        <v>2.8701987185741698E-2</v>
      </c>
      <c r="K51" s="331">
        <f t="shared" si="24"/>
        <v>8.4838330299173523E-2</v>
      </c>
      <c r="L51" s="331">
        <f t="shared" si="24"/>
        <v>8.3737267298911136E-2</v>
      </c>
      <c r="N51" s="322">
        <f>IF($C$2=FALSE,"-",(L51+K51+J51)/3)</f>
        <v>6.5759194927942119E-2</v>
      </c>
      <c r="O51" s="322">
        <f>IF($C$2=FALSE,"-",(L51+K51+J51+I51+H51)/5)</f>
        <v>5.0240832012428183E-2</v>
      </c>
      <c r="P51" s="322">
        <f>IF($C$2=FALSE,"-",(L51+K51+J51+I51+H51+G51+F51)/7)</f>
        <v>5.0104839544772892E-2</v>
      </c>
      <c r="Q51" s="322">
        <f>IF($C$2=FALSE,"-",(L51+K51+J51+I51+H51+G51+F51+E51+D51+IF(C51&lt;&gt;"",C51,0))/IF(C51&lt;&gt;"",10,9))</f>
        <v>6.7833483327067803E-2</v>
      </c>
    </row>
    <row r="52" spans="2:17" ht="15" customHeight="1" outlineLevel="1">
      <c r="B52" s="323" t="s">
        <v>511</v>
      </c>
      <c r="C52" s="324">
        <f t="shared" ref="C52:L52" si="25">IF($C$2=FALSE,"-",C50+C48+C47+C42)</f>
        <v>19311</v>
      </c>
      <c r="D52" s="324">
        <f t="shared" si="25"/>
        <v>23215</v>
      </c>
      <c r="E52" s="324">
        <f t="shared" si="25"/>
        <v>23109</v>
      </c>
      <c r="F52" s="324">
        <f t="shared" si="25"/>
        <v>25635</v>
      </c>
      <c r="G52" s="324">
        <f t="shared" si="25"/>
        <v>27561</v>
      </c>
      <c r="H52" s="324">
        <f t="shared" si="25"/>
        <v>26500</v>
      </c>
      <c r="I52" s="324">
        <f t="shared" si="25"/>
        <v>33652</v>
      </c>
      <c r="J52" s="324">
        <f t="shared" si="25"/>
        <v>38599</v>
      </c>
      <c r="K52" s="324">
        <f t="shared" si="25"/>
        <v>44533</v>
      </c>
      <c r="L52" s="324">
        <f t="shared" si="25"/>
        <v>47540</v>
      </c>
    </row>
    <row r="53" spans="2:17" ht="5.0999999999999996" customHeight="1" outlineLevel="1">
      <c r="B53" s="320"/>
      <c r="C53" s="321"/>
      <c r="D53" s="321"/>
      <c r="E53" s="321"/>
      <c r="F53" s="321"/>
      <c r="G53" s="321"/>
      <c r="H53" s="321"/>
      <c r="I53" s="321"/>
      <c r="J53" s="321"/>
      <c r="K53" s="321"/>
      <c r="L53" s="321"/>
    </row>
    <row r="54" spans="2:17" ht="15" customHeight="1" outlineLevel="1">
      <c r="B54" s="569">
        <v>1</v>
      </c>
      <c r="C54" s="332" t="str">
        <f>IF($C$2=FALSE,"-",IF(ABS(C52-DATA!M380)&lt;=$B$54,"Balance","Error"))</f>
        <v>Balance</v>
      </c>
      <c r="D54" s="332" t="str">
        <f>IF($C$2=FALSE,"-",IF(ABS(D52-DATA!L380)&lt;=$B$54,"Balance","Error"))</f>
        <v>Balance</v>
      </c>
      <c r="E54" s="332" t="str">
        <f>IF($C$2=FALSE,"-",IF(ABS(E52-DATA!K380)&lt;=$B$54,"Balance","Error"))</f>
        <v>Balance</v>
      </c>
      <c r="F54" s="332" t="str">
        <f>IF($C$2=FALSE,"-",IF(ABS(F52-DATA!J380)&lt;=$B$54,"Balance","Error"))</f>
        <v>Balance</v>
      </c>
      <c r="G54" s="332" t="str">
        <f>IF($C$2=FALSE,"-",IF(ABS(G52-DATA!I380)&lt;=$B$54,"Balance","Error"))</f>
        <v>Balance</v>
      </c>
      <c r="H54" s="332" t="str">
        <f>IF($C$2=FALSE,"-",IF(ABS(H52-DATA!H380)&lt;=$B$54,"Balance","Error"))</f>
        <v>Balance</v>
      </c>
      <c r="I54" s="332" t="str">
        <f>IF($C$2=FALSE,"-",IF(ABS(I52-DATA!G380)&lt;=$B$54,"Balance","Error"))</f>
        <v>Balance</v>
      </c>
      <c r="J54" s="332" t="str">
        <f>IF($C$2=FALSE,"-",IF(ABS(J52-DATA!F380)&lt;=$B$54,"Balance","Error"))</f>
        <v>Balance</v>
      </c>
      <c r="K54" s="332" t="str">
        <f>IF($C$2=FALSE,"-",IF(ABS(K52-DATA!E380)&lt;=$B$54,"Balance","Error"))</f>
        <v>Balance</v>
      </c>
      <c r="L54" s="333" t="str">
        <f>IF($C$2=FALSE,"-",IF(ABS(L52-DATA!D380)&lt;=$B$54,"Balance","Error"))</f>
        <v>Balance</v>
      </c>
    </row>
    <row r="55" spans="2:17" ht="15" customHeight="1" outlineLevel="1">
      <c r="B55" s="330"/>
      <c r="C55" s="334"/>
      <c r="D55" s="334"/>
      <c r="E55" s="334"/>
      <c r="F55" s="334"/>
      <c r="G55" s="334"/>
      <c r="H55" s="334"/>
      <c r="I55" s="334"/>
      <c r="J55" s="334"/>
      <c r="K55" s="334"/>
      <c r="L55" s="334"/>
    </row>
    <row r="56" spans="2:17" ht="15" customHeight="1" outlineLevel="1">
      <c r="B56" s="335" t="s">
        <v>512</v>
      </c>
    </row>
    <row r="57" spans="2:17" ht="15" customHeight="1" outlineLevel="1">
      <c r="B57" s="317" t="s">
        <v>513</v>
      </c>
      <c r="C57" s="318">
        <f>IF($C$2=FALSE,"-",DATA!M382)</f>
        <v>7316</v>
      </c>
      <c r="D57" s="318">
        <f>IF($C$2=FALSE,"-",DATA!L382)</f>
        <v>8895</v>
      </c>
      <c r="E57" s="318">
        <f>IF($C$2=FALSE,"-",DATA!K382)</f>
        <v>9840</v>
      </c>
      <c r="F57" s="318">
        <f>IF($C$2=FALSE,"-",DATA!J382)</f>
        <v>10430</v>
      </c>
      <c r="G57" s="318">
        <f>IF($C$2=FALSE,"-",DATA!I382)</f>
        <v>11492</v>
      </c>
      <c r="H57" s="318">
        <f>IF($C$2=FALSE,"-",DATA!H382)</f>
        <v>8309</v>
      </c>
      <c r="I57" s="318">
        <f>IF($C$2=FALSE,"-",DATA!G382)</f>
        <v>11373</v>
      </c>
      <c r="J57" s="318">
        <f>IF($C$2=FALSE,"-",DATA!F382)</f>
        <v>11293</v>
      </c>
      <c r="K57" s="318">
        <f>IF($C$2=FALSE,"-",DATA!E382)</f>
        <v>11656</v>
      </c>
      <c r="L57" s="318">
        <f>IF($C$2=FALSE,"-",DATA!D382)</f>
        <v>11579</v>
      </c>
    </row>
    <row r="58" spans="2:17" ht="15" customHeight="1" outlineLevel="2">
      <c r="B58" s="320" t="str">
        <f>IF($C$2=FALSE,"-",CONCATENATE(B57," ","% of Sales"))</f>
        <v>Accounts Payable % of Sales</v>
      </c>
      <c r="C58" s="321">
        <f t="shared" ref="C58:L58" si="26">IF($C$2=FALSE,"-",C57/C$6)</f>
        <v>0.17652736222372359</v>
      </c>
      <c r="D58" s="321">
        <f t="shared" si="26"/>
        <v>0.18077431155370388</v>
      </c>
      <c r="E58" s="321">
        <f t="shared" si="26"/>
        <v>0.17600343421335052</v>
      </c>
      <c r="F58" s="321">
        <f t="shared" si="26"/>
        <v>0.18164402647161268</v>
      </c>
      <c r="G58" s="321">
        <f t="shared" si="26"/>
        <v>0.18798357679158556</v>
      </c>
      <c r="H58" s="321">
        <f t="shared" si="26"/>
        <v>0.13598795437063224</v>
      </c>
      <c r="I58" s="321">
        <f t="shared" si="26"/>
        <v>0.21498242032437337</v>
      </c>
      <c r="J58" s="321">
        <f t="shared" si="26"/>
        <v>0.18364393274140567</v>
      </c>
      <c r="K58" s="321">
        <f t="shared" si="26"/>
        <v>0.18778495593755537</v>
      </c>
      <c r="L58" s="321">
        <f t="shared" si="26"/>
        <v>0.20335440814892869</v>
      </c>
      <c r="N58" s="322">
        <f>IF($C$2=FALSE,"-",(L58+K58+J58)/3)</f>
        <v>0.19159443227596326</v>
      </c>
      <c r="O58" s="322">
        <f>IF($C$2=FALSE,"-",(L58+K58+J58+I58+H58)/5)</f>
        <v>0.1851507343045791</v>
      </c>
      <c r="P58" s="322">
        <f>IF($C$2=FALSE,"-",(L58+K58+J58+I58+H58+G58+F58)/7)</f>
        <v>0.1850544678265848</v>
      </c>
      <c r="Q58" s="322">
        <f>IF($C$2=FALSE,"-",(L58+K58+J58+I58+H58+G58+F58+E58+D58+IF(C58&lt;&gt;"",C58,0))/IF(C58&lt;&gt;"",10,9))</f>
        <v>0.18286863827768715</v>
      </c>
    </row>
    <row r="59" spans="2:17" ht="15" customHeight="1" outlineLevel="1">
      <c r="B59" s="320" t="s">
        <v>514</v>
      </c>
      <c r="C59" s="321">
        <f>IF($C$2=FALSE,"-",DATA!M383+DATA!M384)</f>
        <v>0</v>
      </c>
      <c r="D59" s="321">
        <f>IF($C$2=FALSE,"-",DATA!L383+DATA!L384)</f>
        <v>0</v>
      </c>
      <c r="E59" s="321">
        <f>IF($C$2=FALSE,"-",DATA!K383+DATA!K384)</f>
        <v>0</v>
      </c>
      <c r="F59" s="321">
        <f>IF($C$2=FALSE,"-",DATA!J383+DATA!J384)</f>
        <v>188</v>
      </c>
      <c r="G59" s="321">
        <f>IF($C$2=FALSE,"-",DATA!I383+DATA!I384)</f>
        <v>225</v>
      </c>
      <c r="H59" s="321">
        <f>IF($C$2=FALSE,"-",DATA!H383+DATA!H384)</f>
        <v>113</v>
      </c>
      <c r="I59" s="321">
        <f>IF($C$2=FALSE,"-",DATA!G383+DATA!G384)</f>
        <v>663</v>
      </c>
      <c r="J59" s="321">
        <f>IF($C$2=FALSE,"-",DATA!F383+DATA!F384)</f>
        <v>851</v>
      </c>
      <c r="K59" s="321">
        <f>IF($C$2=FALSE,"-",DATA!E383+DATA!E384)</f>
        <v>2867</v>
      </c>
      <c r="L59" s="321">
        <f>IF($C$2=FALSE,"-",DATA!D383+DATA!D384)</f>
        <v>3843</v>
      </c>
      <c r="N59" s="322"/>
      <c r="O59" s="322"/>
      <c r="P59" s="322"/>
      <c r="Q59" s="322"/>
    </row>
    <row r="60" spans="2:17" ht="15" customHeight="1" outlineLevel="1">
      <c r="B60" s="320" t="s">
        <v>515</v>
      </c>
      <c r="C60" s="321">
        <f>IF($C$2=FALSE,"-",DATA!M385+DATA!M386+DATA!M387+DATA!M388+DATA!M389)</f>
        <v>3580</v>
      </c>
      <c r="D60" s="321">
        <f>IF($C$2=FALSE,"-",DATA!L385+DATA!L386+DATA!L387+DATA!L388+DATA!L389)</f>
        <v>5241</v>
      </c>
      <c r="E60" s="321">
        <f>IF($C$2=FALSE,"-",DATA!K385+DATA!K386+DATA!K387+DATA!K388+DATA!K389)</f>
        <v>6087</v>
      </c>
      <c r="F60" s="321">
        <f>IF($C$2=FALSE,"-",DATA!J385+DATA!J386+DATA!J387+DATA!J388+DATA!J389)</f>
        <v>7173</v>
      </c>
      <c r="G60" s="321">
        <f>IF($C$2=FALSE,"-",DATA!I385+DATA!I386+DATA!I387+DATA!I388+DATA!I389)</f>
        <v>6809</v>
      </c>
      <c r="H60" s="321">
        <f>IF($C$2=FALSE,"-",DATA!H385+DATA!H386+DATA!H387+DATA!H388+DATA!H389)</f>
        <v>6437</v>
      </c>
      <c r="I60" s="321">
        <f>IF($C$2=FALSE,"-",DATA!G385+DATA!G386+DATA!G387+DATA!G388+DATA!G389)</f>
        <v>6924</v>
      </c>
      <c r="J60" s="321">
        <f>IF($C$2=FALSE,"-",DATA!F385+DATA!F386+DATA!F387+DATA!F388+DATA!F389)</f>
        <v>7339</v>
      </c>
      <c r="K60" s="321">
        <f>IF($C$2=FALSE,"-",DATA!E385+DATA!E386+DATA!E387+DATA!E388+DATA!E389)</f>
        <v>7478</v>
      </c>
      <c r="L60" s="321">
        <f>IF($C$2=FALSE,"-",DATA!D385+DATA!D386+DATA!D387+DATA!D388+DATA!D389)</f>
        <v>8017</v>
      </c>
      <c r="N60" s="322"/>
      <c r="O60" s="322"/>
      <c r="P60" s="322"/>
      <c r="Q60" s="322"/>
    </row>
    <row r="61" spans="2:17" ht="15" customHeight="1" outlineLevel="2">
      <c r="B61" s="320" t="str">
        <f>IF($C$2=FALSE,"-",CONCATENATE(B60," ","% of Sales"))</f>
        <v>Other Current Liabilities % of Sales</v>
      </c>
      <c r="C61" s="321">
        <f t="shared" ref="C61:L61" si="27">IF($C$2=FALSE,"-",C60/C$6)</f>
        <v>8.6381623395425156E-2</v>
      </c>
      <c r="D61" s="321">
        <f t="shared" si="27"/>
        <v>0.10651356569454323</v>
      </c>
      <c r="E61" s="321">
        <f t="shared" si="27"/>
        <v>0.10887529512770981</v>
      </c>
      <c r="F61" s="321">
        <f t="shared" si="27"/>
        <v>0.12492163009404389</v>
      </c>
      <c r="G61" s="321">
        <f t="shared" si="27"/>
        <v>0.11138010567124139</v>
      </c>
      <c r="H61" s="321">
        <f t="shared" si="27"/>
        <v>0.10535015793522201</v>
      </c>
      <c r="I61" s="321">
        <f t="shared" si="27"/>
        <v>0.13088352047181581</v>
      </c>
      <c r="J61" s="321">
        <f t="shared" si="27"/>
        <v>0.11934497674569877</v>
      </c>
      <c r="K61" s="321">
        <f t="shared" si="27"/>
        <v>0.12047493998807816</v>
      </c>
      <c r="L61" s="321">
        <f t="shared" si="27"/>
        <v>0.14079733052335791</v>
      </c>
      <c r="N61" s="322">
        <f>IF($C$2=FALSE,"-",(L61+K61+J61)/3)</f>
        <v>0.12687241575237829</v>
      </c>
      <c r="O61" s="322">
        <f>IF($C$2=FALSE,"-",(L61+K61+J61+I61+H61)/5)</f>
        <v>0.12337018513283456</v>
      </c>
      <c r="P61" s="322">
        <f>IF($C$2=FALSE,"-",(L61+K61+J61+I61+H61+G61+F61)/7)</f>
        <v>0.12187895163277972</v>
      </c>
      <c r="Q61" s="322">
        <f>IF($C$2=FALSE,"-",(L61+K61+J61+I61+H61+G61+F61+E61+D61+IF(C61&lt;&gt;"",C61,0))/IF(C61&lt;&gt;"",10,9))</f>
        <v>0.11549231456471361</v>
      </c>
    </row>
    <row r="62" spans="2:17" ht="15" customHeight="1" outlineLevel="1">
      <c r="B62" s="323" t="s">
        <v>516</v>
      </c>
      <c r="C62" s="324">
        <f t="shared" ref="C62:L62" si="28">IF($C$2=FALSE,"-",C60+C59+C57)</f>
        <v>10896</v>
      </c>
      <c r="D62" s="324">
        <f t="shared" si="28"/>
        <v>14136</v>
      </c>
      <c r="E62" s="324">
        <f t="shared" si="28"/>
        <v>15927</v>
      </c>
      <c r="F62" s="324">
        <f t="shared" si="28"/>
        <v>17791</v>
      </c>
      <c r="G62" s="324">
        <f t="shared" si="28"/>
        <v>18526</v>
      </c>
      <c r="H62" s="324">
        <f t="shared" si="28"/>
        <v>14859</v>
      </c>
      <c r="I62" s="324">
        <f t="shared" si="28"/>
        <v>18960</v>
      </c>
      <c r="J62" s="324">
        <f t="shared" si="28"/>
        <v>19483</v>
      </c>
      <c r="K62" s="324">
        <f t="shared" si="28"/>
        <v>22001</v>
      </c>
      <c r="L62" s="324">
        <f t="shared" si="28"/>
        <v>23439</v>
      </c>
      <c r="N62" s="322"/>
      <c r="O62" s="322"/>
      <c r="P62" s="322"/>
      <c r="Q62" s="322"/>
    </row>
    <row r="63" spans="2:17" ht="15" customHeight="1" outlineLevel="1">
      <c r="B63" s="320" t="s">
        <v>517</v>
      </c>
      <c r="C63" s="321">
        <f>IF($C$2=FALSE,"-",DATA!M391)</f>
        <v>505</v>
      </c>
      <c r="D63" s="321">
        <f>IF($C$2=FALSE,"-",DATA!L391)</f>
        <v>505</v>
      </c>
      <c r="E63" s="321">
        <f>IF($C$2=FALSE,"-",DATA!K391)</f>
        <v>504</v>
      </c>
      <c r="F63" s="321">
        <f>IF($C$2=FALSE,"-",DATA!J391)</f>
        <v>569</v>
      </c>
      <c r="G63" s="321">
        <f>IF($C$2=FALSE,"-",DATA!I391)</f>
        <v>362</v>
      </c>
      <c r="H63" s="321">
        <f>IF($C$2=FALSE,"-",DATA!H391)</f>
        <v>1898</v>
      </c>
      <c r="I63" s="321">
        <f>IF($C$2=FALSE,"-",DATA!G391)</f>
        <v>3417</v>
      </c>
      <c r="J63" s="321">
        <f>IF($C$2=FALSE,"-",DATA!F391)</f>
        <v>5146</v>
      </c>
      <c r="K63" s="321">
        <f>IF($C$2=FALSE,"-",DATA!E391)</f>
        <v>6387</v>
      </c>
      <c r="L63" s="321">
        <f>IF($C$2=FALSE,"-",DATA!D391)</f>
        <v>5242</v>
      </c>
      <c r="N63" s="322"/>
      <c r="O63" s="322"/>
      <c r="P63" s="322"/>
      <c r="Q63" s="322"/>
    </row>
    <row r="64" spans="2:17" ht="15" customHeight="1" outlineLevel="2">
      <c r="B64" s="320" t="s">
        <v>518</v>
      </c>
      <c r="C64" s="321">
        <f t="shared" ref="C64:L64" si="29">IF($C$2=FALSE,"-",C63/C52)</f>
        <v>2.6150898451659677E-2</v>
      </c>
      <c r="D64" s="321">
        <f t="shared" si="29"/>
        <v>2.175317682532845E-2</v>
      </c>
      <c r="E64" s="321">
        <f t="shared" si="29"/>
        <v>2.1809684538491497E-2</v>
      </c>
      <c r="F64" s="321">
        <f t="shared" si="29"/>
        <v>2.2196216110786034E-2</v>
      </c>
      <c r="G64" s="321">
        <f t="shared" si="29"/>
        <v>1.3134501650883494E-2</v>
      </c>
      <c r="H64" s="321">
        <f t="shared" si="29"/>
        <v>7.1622641509433968E-2</v>
      </c>
      <c r="I64" s="321">
        <f t="shared" si="29"/>
        <v>0.10153928444074646</v>
      </c>
      <c r="J64" s="321">
        <f t="shared" si="29"/>
        <v>0.1333195160496386</v>
      </c>
      <c r="K64" s="321">
        <f t="shared" si="29"/>
        <v>0.1434217321985943</v>
      </c>
      <c r="L64" s="321">
        <f t="shared" si="29"/>
        <v>0.11026503996634412</v>
      </c>
      <c r="N64" s="322">
        <f>IF($C$2=FALSE,"-",(L64+K64+J64)/3)</f>
        <v>0.12900209607152566</v>
      </c>
      <c r="O64" s="322">
        <f>IF($C$2=FALSE,"-",(L64+K64+J64+I64+H64)/5)</f>
        <v>0.11203364283295147</v>
      </c>
      <c r="P64" s="322">
        <f>IF($C$2=FALSE,"-",(L64+K64+J64+I64+H64+G64+F64)/7)</f>
        <v>8.5071275989489561E-2</v>
      </c>
      <c r="Q64" s="322">
        <f>IF($C$2=FALSE,"-",(L64+K64+J64+I64+H64+G64+F64+E64+D64+IF(C64&lt;&gt;"",C64,0))/IF(C64&lt;&gt;"",10,9))</f>
        <v>6.6521269174190642E-2</v>
      </c>
    </row>
    <row r="65" spans="2:17" ht="15" customHeight="1" outlineLevel="1">
      <c r="B65" s="320" t="s">
        <v>519</v>
      </c>
      <c r="C65" s="321">
        <f>IF($C$2=FALSE,"-",DATA!M393)</f>
        <v>0</v>
      </c>
      <c r="D65" s="321">
        <f>IF($C$2=FALSE,"-",DATA!L393)</f>
        <v>0</v>
      </c>
      <c r="E65" s="321">
        <f>IF($C$2=FALSE,"-",DATA!K393)</f>
        <v>0</v>
      </c>
      <c r="F65" s="321">
        <f>IF($C$2=FALSE,"-",DATA!J393)</f>
        <v>0</v>
      </c>
      <c r="G65" s="321">
        <f>IF($C$2=FALSE,"-",DATA!I393)</f>
        <v>0</v>
      </c>
      <c r="H65" s="321">
        <f>IF($C$2=FALSE,"-",DATA!H393)</f>
        <v>0</v>
      </c>
      <c r="I65" s="321">
        <f>IF($C$2=FALSE,"-",DATA!G393)</f>
        <v>0</v>
      </c>
      <c r="J65" s="321">
        <f>IF($C$2=FALSE,"-",DATA!F393)</f>
        <v>0</v>
      </c>
      <c r="K65" s="321">
        <f>IF($C$2=FALSE,"-",DATA!E393)</f>
        <v>405</v>
      </c>
      <c r="L65" s="321">
        <f>IF($C$2=FALSE,"-",DATA!D393)</f>
        <v>0</v>
      </c>
      <c r="N65" s="322"/>
      <c r="O65" s="322"/>
      <c r="P65" s="322"/>
      <c r="Q65" s="322"/>
    </row>
    <row r="66" spans="2:17" ht="15" customHeight="1" outlineLevel="2">
      <c r="B66" s="320" t="s">
        <v>520</v>
      </c>
      <c r="C66" s="321">
        <f t="shared" ref="C66:L66" si="30">IF($C$2=FALSE,"-",C65/C43)</f>
        <v>0</v>
      </c>
      <c r="D66" s="321">
        <f t="shared" si="30"/>
        <v>0</v>
      </c>
      <c r="E66" s="321">
        <f t="shared" si="30"/>
        <v>0</v>
      </c>
      <c r="F66" s="321">
        <f t="shared" si="30"/>
        <v>0</v>
      </c>
      <c r="G66" s="321">
        <f t="shared" si="30"/>
        <v>0</v>
      </c>
      <c r="H66" s="321">
        <f t="shared" si="30"/>
        <v>0</v>
      </c>
      <c r="I66" s="321">
        <f t="shared" si="30"/>
        <v>0</v>
      </c>
      <c r="J66" s="321">
        <f t="shared" si="30"/>
        <v>0</v>
      </c>
      <c r="K66" s="321">
        <f t="shared" si="30"/>
        <v>8.2083502229428451E-2</v>
      </c>
      <c r="L66" s="321">
        <f t="shared" si="30"/>
        <v>0</v>
      </c>
      <c r="N66" s="322">
        <f>IF($C$2=FALSE,"-",(L66+K66+J66)/3)</f>
        <v>2.7361167409809484E-2</v>
      </c>
      <c r="O66" s="322">
        <f>IF($C$2=FALSE,"-",(L66+K66+J66+I66+H66)/5)</f>
        <v>1.6416700445885689E-2</v>
      </c>
      <c r="P66" s="322">
        <f>IF($C$2=FALSE,"-",(L66+K66+J66+I66+H66+G66+F66)/7)</f>
        <v>1.1726214604204064E-2</v>
      </c>
      <c r="Q66" s="322">
        <f>IF($C$2=FALSE,"-",(L66+K66+J66+I66+H66+G66+F66+E66+D66+IF(C66&lt;&gt;"",C66,0))/IF(C66&lt;&gt;"",10,9))</f>
        <v>8.2083502229428444E-3</v>
      </c>
    </row>
    <row r="67" spans="2:17" ht="15" customHeight="1" outlineLevel="1">
      <c r="B67" s="320" t="s">
        <v>521</v>
      </c>
      <c r="C67" s="321">
        <f>IF($C$2=FALSE,"-",DATA!M392)</f>
        <v>0</v>
      </c>
      <c r="D67" s="321">
        <f>IF($C$2=FALSE,"-",DATA!L392)</f>
        <v>0</v>
      </c>
      <c r="E67" s="321">
        <f>IF($C$2=FALSE,"-",DATA!K392)</f>
        <v>0</v>
      </c>
      <c r="F67" s="321">
        <f>IF($C$2=FALSE,"-",DATA!J392)</f>
        <v>0</v>
      </c>
      <c r="G67" s="321">
        <f>IF($C$2=FALSE,"-",DATA!I392)</f>
        <v>0</v>
      </c>
      <c r="H67" s="321">
        <f>IF($C$2=FALSE,"-",DATA!H392)</f>
        <v>0</v>
      </c>
      <c r="I67" s="321">
        <f>IF($C$2=FALSE,"-",DATA!G392)</f>
        <v>0</v>
      </c>
      <c r="J67" s="321">
        <f>IF($C$2=FALSE,"-",DATA!F392)</f>
        <v>0</v>
      </c>
      <c r="K67" s="321">
        <f>IF($C$2=FALSE,"-",DATA!E392)</f>
        <v>0</v>
      </c>
      <c r="L67" s="321">
        <f>IF($C$2=FALSE,"-",DATA!D392)</f>
        <v>0</v>
      </c>
      <c r="N67" s="322"/>
      <c r="O67" s="322"/>
      <c r="P67" s="322"/>
      <c r="Q67" s="322"/>
    </row>
    <row r="68" spans="2:17" ht="15" customHeight="1" outlineLevel="2">
      <c r="B68" s="320" t="str">
        <f>IF($C$2=FALSE,"-",CONCATENATE(B67," ","% of Sales"))</f>
        <v>Capital Lease Obligations % of Sales</v>
      </c>
      <c r="C68" s="321">
        <f t="shared" ref="C68:L68" si="31">IF($C$2=FALSE,"-",C67/C$6)</f>
        <v>0</v>
      </c>
      <c r="D68" s="321">
        <f t="shared" si="31"/>
        <v>0</v>
      </c>
      <c r="E68" s="321">
        <f t="shared" si="31"/>
        <v>0</v>
      </c>
      <c r="F68" s="321">
        <f t="shared" si="31"/>
        <v>0</v>
      </c>
      <c r="G68" s="321">
        <f t="shared" si="31"/>
        <v>0</v>
      </c>
      <c r="H68" s="321">
        <f t="shared" si="31"/>
        <v>0</v>
      </c>
      <c r="I68" s="321">
        <f t="shared" si="31"/>
        <v>0</v>
      </c>
      <c r="J68" s="321">
        <f t="shared" si="31"/>
        <v>0</v>
      </c>
      <c r="K68" s="321">
        <f t="shared" si="31"/>
        <v>0</v>
      </c>
      <c r="L68" s="321">
        <f t="shared" si="31"/>
        <v>0</v>
      </c>
      <c r="N68" s="322">
        <f>IF($C$2=FALSE,"-",(L68+K68+J68)/3)</f>
        <v>0</v>
      </c>
      <c r="O68" s="322">
        <f>IF($C$2=FALSE,"-",(L68+K68+J68+I68+H68)/5)</f>
        <v>0</v>
      </c>
      <c r="P68" s="322">
        <f>IF($C$2=FALSE,"-",(L68+K68+J68+I68+H68+G68+F68)/7)</f>
        <v>0</v>
      </c>
      <c r="Q68" s="322">
        <f>IF($C$2=FALSE,"-",(L68+K68+J68+I68+H68+G68+F68+E68+D68+IF(C68&lt;&gt;"",C68,0))/IF(C68&lt;&gt;"",10,9))</f>
        <v>0</v>
      </c>
    </row>
    <row r="69" spans="2:17" ht="15" customHeight="1" outlineLevel="1">
      <c r="B69" s="320" t="s">
        <v>522</v>
      </c>
      <c r="C69" s="321">
        <f>IF($C$2=FALSE,"-",DATA!M395)</f>
        <v>0</v>
      </c>
      <c r="D69" s="321">
        <f>IF($C$2=FALSE,"-",DATA!L395)</f>
        <v>0</v>
      </c>
      <c r="E69" s="321">
        <f>IF($C$2=FALSE,"-",DATA!K395)</f>
        <v>0</v>
      </c>
      <c r="F69" s="321">
        <f>IF($C$2=FALSE,"-",DATA!J395)</f>
        <v>0</v>
      </c>
      <c r="G69" s="321">
        <f>IF($C$2=FALSE,"-",DATA!I395)</f>
        <v>0</v>
      </c>
      <c r="H69" s="321">
        <f>IF($C$2=FALSE,"-",DATA!H395)</f>
        <v>0</v>
      </c>
      <c r="I69" s="321">
        <f>IF($C$2=FALSE,"-",DATA!G395)</f>
        <v>0</v>
      </c>
      <c r="J69" s="321">
        <f>IF($C$2=FALSE,"-",DATA!F395)</f>
        <v>0</v>
      </c>
      <c r="K69" s="321">
        <f>IF($C$2=FALSE,"-",DATA!E395)</f>
        <v>0</v>
      </c>
      <c r="L69" s="321">
        <f>IF($C$2=FALSE,"-",DATA!D395)</f>
        <v>21</v>
      </c>
      <c r="N69" s="322"/>
      <c r="O69" s="322"/>
      <c r="P69" s="322"/>
      <c r="Q69" s="322"/>
    </row>
    <row r="70" spans="2:17" ht="15" customHeight="1" outlineLevel="2">
      <c r="B70" s="320" t="str">
        <f>IF($C$2=FALSE,"-",CONCATENATE(B69," ","% of Sales"))</f>
        <v>Minority Interest Liability % of Sales</v>
      </c>
      <c r="C70" s="321">
        <f t="shared" ref="C70:L70" si="32">IF($C$2=FALSE,"-",C69/C$6)</f>
        <v>0</v>
      </c>
      <c r="D70" s="321">
        <f t="shared" si="32"/>
        <v>0</v>
      </c>
      <c r="E70" s="321">
        <f t="shared" si="32"/>
        <v>0</v>
      </c>
      <c r="F70" s="321">
        <f t="shared" si="32"/>
        <v>0</v>
      </c>
      <c r="G70" s="321">
        <f t="shared" si="32"/>
        <v>0</v>
      </c>
      <c r="H70" s="321">
        <f t="shared" si="32"/>
        <v>0</v>
      </c>
      <c r="I70" s="321">
        <f t="shared" si="32"/>
        <v>0</v>
      </c>
      <c r="J70" s="321">
        <f t="shared" si="32"/>
        <v>0</v>
      </c>
      <c r="K70" s="321">
        <f t="shared" si="32"/>
        <v>0</v>
      </c>
      <c r="L70" s="321">
        <f t="shared" si="32"/>
        <v>3.6880927291886193E-4</v>
      </c>
      <c r="N70" s="322">
        <f>IF($C$2=FALSE,"-",(L70+K70+J70)/3)</f>
        <v>1.2293642430628732E-4</v>
      </c>
      <c r="O70" s="322">
        <f>IF($C$2=FALSE,"-",(L70+K70+J70+I70+H70)/5)</f>
        <v>7.3761854583772387E-5</v>
      </c>
      <c r="P70" s="322">
        <f>IF($C$2=FALSE,"-",(L70+K70+J70+I70+H70+G70+F70)/7)</f>
        <v>5.2687038988408848E-5</v>
      </c>
      <c r="Q70" s="322">
        <f>IF($C$2=FALSE,"-",(L70+K70+J70+I70+H70+G70+F70+E70+D70+IF(C70&lt;&gt;"",C70,0))/IF(C70&lt;&gt;"",10,9))</f>
        <v>3.6880927291886193E-5</v>
      </c>
    </row>
    <row r="71" spans="2:17" ht="15" customHeight="1" outlineLevel="1">
      <c r="B71" s="320" t="s">
        <v>523</v>
      </c>
      <c r="C71" s="321">
        <f>IF($C$2=FALSE,"-",DATA!M394)</f>
        <v>1630</v>
      </c>
      <c r="D71" s="321">
        <f>IF($C$2=FALSE,"-",DATA!L394)</f>
        <v>2089</v>
      </c>
      <c r="E71" s="321">
        <f>IF($C$2=FALSE,"-",DATA!K394)</f>
        <v>2549</v>
      </c>
      <c r="F71" s="321">
        <f>IF($C$2=FALSE,"-",DATA!J394)</f>
        <v>2947</v>
      </c>
      <c r="G71" s="321">
        <f>IF($C$2=FALSE,"-",DATA!I394)</f>
        <v>4938</v>
      </c>
      <c r="H71" s="321">
        <f>IF($C$2=FALSE,"-",DATA!H394)</f>
        <v>5472</v>
      </c>
      <c r="I71" s="321">
        <f>IF($C$2=FALSE,"-",DATA!G394)</f>
        <v>5634</v>
      </c>
      <c r="J71" s="321">
        <f>IF($C$2=FALSE,"-",DATA!F394)</f>
        <v>6204</v>
      </c>
      <c r="K71" s="321">
        <f>IF($C$2=FALSE,"-",DATA!E394)</f>
        <v>6823</v>
      </c>
      <c r="L71" s="321">
        <f>IF($C$2=FALSE,"-",DATA!D394)</f>
        <v>8158</v>
      </c>
      <c r="N71" s="322"/>
      <c r="O71" s="322"/>
      <c r="P71" s="322"/>
      <c r="Q71" s="322"/>
    </row>
    <row r="72" spans="2:17" ht="15" customHeight="1" outlineLevel="2">
      <c r="B72" s="320" t="str">
        <f>IF($C$2=FALSE,"-",CONCATENATE(B71," ","% of Sales"))</f>
        <v>Other Non- Current Liabilities % of Sales</v>
      </c>
      <c r="C72" s="321">
        <f t="shared" ref="C72:L72" si="33">IF($C$2=FALSE,"-",C71/C$6)</f>
        <v>3.9330180484509217E-2</v>
      </c>
      <c r="D72" s="321">
        <f t="shared" si="33"/>
        <v>4.2455035057412861E-2</v>
      </c>
      <c r="E72" s="321">
        <f t="shared" si="33"/>
        <v>4.559275953351935E-2</v>
      </c>
      <c r="F72" s="321">
        <f t="shared" si="33"/>
        <v>5.1323580633925461E-2</v>
      </c>
      <c r="G72" s="321">
        <f t="shared" si="33"/>
        <v>8.0774704333175212E-2</v>
      </c>
      <c r="H72" s="321">
        <f t="shared" si="33"/>
        <v>8.9556635734276038E-2</v>
      </c>
      <c r="I72" s="321">
        <f t="shared" si="33"/>
        <v>0.10649880911874787</v>
      </c>
      <c r="J72" s="321">
        <f t="shared" si="33"/>
        <v>0.10088789150160991</v>
      </c>
      <c r="K72" s="321">
        <f t="shared" si="33"/>
        <v>0.10992250809556797</v>
      </c>
      <c r="L72" s="321">
        <f t="shared" si="33"/>
        <v>0.14327362135581315</v>
      </c>
      <c r="N72" s="322">
        <f>IF($C$2=FALSE,"-",(L72+K72+J72)/3)</f>
        <v>0.11802800698433036</v>
      </c>
      <c r="O72" s="322">
        <f>IF($C$2=FALSE,"-",(L72+K72+J72+I72+H72)/5)</f>
        <v>0.11002789316120301</v>
      </c>
      <c r="P72" s="322">
        <f>IF($C$2=FALSE,"-",(L72+K72+J72+I72+H72+G72+F72)/7)</f>
        <v>9.7462535824730828E-2</v>
      </c>
      <c r="Q72" s="322">
        <f>IF($C$2=FALSE,"-",(L72+K72+J72+I72+H72+G72+F72+E72+D72+IF(C72&lt;&gt;"",C72,0))/IF(C72&lt;&gt;"",10,9))</f>
        <v>8.0961572584855729E-2</v>
      </c>
    </row>
    <row r="73" spans="2:17" ht="15" customHeight="1" outlineLevel="1">
      <c r="B73" s="323" t="s">
        <v>524</v>
      </c>
      <c r="C73" s="324">
        <f t="shared" ref="C73:L73" si="34">IF($C$2=FALSE,"-",C71+C69+C65+C63+C62+C67)</f>
        <v>13031</v>
      </c>
      <c r="D73" s="324">
        <f t="shared" si="34"/>
        <v>16730</v>
      </c>
      <c r="E73" s="324">
        <f t="shared" si="34"/>
        <v>18980</v>
      </c>
      <c r="F73" s="324">
        <f t="shared" si="34"/>
        <v>21307</v>
      </c>
      <c r="G73" s="324">
        <f t="shared" si="34"/>
        <v>23826</v>
      </c>
      <c r="H73" s="324">
        <f t="shared" si="34"/>
        <v>22229</v>
      </c>
      <c r="I73" s="324">
        <f t="shared" si="34"/>
        <v>28011</v>
      </c>
      <c r="J73" s="324">
        <f t="shared" si="34"/>
        <v>30833</v>
      </c>
      <c r="K73" s="324">
        <f t="shared" si="34"/>
        <v>35616</v>
      </c>
      <c r="L73" s="324">
        <f t="shared" si="34"/>
        <v>36860</v>
      </c>
    </row>
    <row r="74" spans="2:17" ht="15" customHeight="1" outlineLevel="1">
      <c r="B74" s="320" t="s">
        <v>525</v>
      </c>
      <c r="C74" s="321">
        <f>IF($C$2=FALSE,"-",DATA!M402+DATA!M403+DATA!M406+DATA!M407+DATA!M404)</f>
        <v>149</v>
      </c>
      <c r="D74" s="321">
        <f>IF($C$2=FALSE,"-",DATA!L402+DATA!L403+DATA!L406+DATA!L407+DATA!L404)</f>
        <v>-2689</v>
      </c>
      <c r="E74" s="321">
        <f>IF($C$2=FALSE,"-",DATA!K402+DATA!K403+DATA!K406+DATA!K407+DATA!K404)</f>
        <v>-8617</v>
      </c>
      <c r="F74" s="321">
        <f>IF($C$2=FALSE,"-",DATA!J402+DATA!J403+DATA!J406+DATA!J407+DATA!J404)</f>
        <v>-10954</v>
      </c>
      <c r="G74" s="321">
        <f>IF($C$2=FALSE,"-",DATA!I402+DATA!I403+DATA!I406+DATA!I407+DATA!I404)</f>
        <v>-14464</v>
      </c>
      <c r="H74" s="321">
        <f>IF($C$2=FALSE,"-",DATA!H402+DATA!H403+DATA!H406+DATA!H407+DATA!H404)</f>
        <v>-16406</v>
      </c>
      <c r="I74" s="321">
        <f>IF($C$2=FALSE,"-",DATA!G402+DATA!G403+DATA!G406+DATA!G407+DATA!G404)</f>
        <v>-16469</v>
      </c>
      <c r="J74" s="321">
        <f>IF($C$2=FALSE,"-",DATA!F402+DATA!F403+DATA!F406+DATA!F407+DATA!F404)</f>
        <v>-16978</v>
      </c>
      <c r="K74" s="321">
        <f>IF($C$2=FALSE,"-",DATA!E402+DATA!E403+DATA!E406+DATA!E407+DATA!E404)</f>
        <v>-19319</v>
      </c>
      <c r="L74" s="321">
        <f>IF($C$2=FALSE,"-",DATA!D402+DATA!D403+DATA!D406+DATA!D407+DATA!D404)</f>
        <v>-19650</v>
      </c>
    </row>
    <row r="75" spans="2:17" ht="15" customHeight="1" outlineLevel="1">
      <c r="B75" s="320" t="s">
        <v>526</v>
      </c>
      <c r="C75" s="321">
        <f>IF($C$2=FALSE,"-",DATA!M405)</f>
        <v>6131</v>
      </c>
      <c r="D75" s="321">
        <f>IF($C$2=FALSE,"-",DATA!L405)</f>
        <v>9174</v>
      </c>
      <c r="E75" s="321">
        <f>IF($C$2=FALSE,"-",DATA!K405)</f>
        <v>12746</v>
      </c>
      <c r="F75" s="321">
        <f>IF($C$2=FALSE,"-",DATA!J405)</f>
        <v>15282</v>
      </c>
      <c r="G75" s="321">
        <f>IF($C$2=FALSE,"-",DATA!I405)</f>
        <v>18199</v>
      </c>
      <c r="H75" s="321">
        <f>IF($C$2=FALSE,"-",DATA!H405)</f>
        <v>20677</v>
      </c>
      <c r="I75" s="321">
        <f>IF($C$2=FALSE,"-",DATA!G405)</f>
        <v>22110</v>
      </c>
      <c r="J75" s="321">
        <f>IF($C$2=FALSE,"-",DATA!F405)</f>
        <v>24744</v>
      </c>
      <c r="K75" s="321">
        <f>IF($C$2=FALSE,"-",DATA!E405)</f>
        <v>28236</v>
      </c>
      <c r="L75" s="321">
        <f>IF($C$2=FALSE,"-",DATA!D405)</f>
        <v>30330</v>
      </c>
    </row>
    <row r="76" spans="2:17" ht="15" customHeight="1" outlineLevel="1">
      <c r="B76" s="320" t="s">
        <v>527</v>
      </c>
      <c r="C76" s="321">
        <f>IF($C$2=FALSE,"-",DATA!M400)</f>
        <v>0</v>
      </c>
      <c r="D76" s="321">
        <f>IF($C$2=FALSE,"-",DATA!L400)</f>
        <v>0</v>
      </c>
      <c r="E76" s="321">
        <f>IF($C$2=FALSE,"-",DATA!K400)</f>
        <v>0</v>
      </c>
      <c r="F76" s="321">
        <f>IF($C$2=FALSE,"-",DATA!J400)</f>
        <v>0</v>
      </c>
      <c r="G76" s="321">
        <f>IF($C$2=FALSE,"-",DATA!I400)</f>
        <v>0</v>
      </c>
      <c r="H76" s="321">
        <f>IF($C$2=FALSE,"-",DATA!H400)</f>
        <v>0</v>
      </c>
      <c r="I76" s="321">
        <f>IF($C$2=FALSE,"-",DATA!G400)</f>
        <v>0</v>
      </c>
      <c r="J76" s="321">
        <f>IF($C$2=FALSE,"-",DATA!F400)</f>
        <v>0</v>
      </c>
      <c r="K76" s="321">
        <f>IF($C$2=FALSE,"-",DATA!E400)</f>
        <v>0</v>
      </c>
      <c r="L76" s="321">
        <f>IF($C$2=FALSE,"-",DATA!D400)</f>
        <v>0</v>
      </c>
    </row>
    <row r="77" spans="2:17" ht="15" customHeight="1" outlineLevel="1">
      <c r="B77" s="323" t="s">
        <v>528</v>
      </c>
      <c r="C77" s="324">
        <f t="shared" ref="C77:L77" si="35">IF($C$2=FALSE,"-",C76+C75+C74)</f>
        <v>6280</v>
      </c>
      <c r="D77" s="324">
        <f t="shared" si="35"/>
        <v>6485</v>
      </c>
      <c r="E77" s="324">
        <f t="shared" si="35"/>
        <v>4129</v>
      </c>
      <c r="F77" s="324">
        <f t="shared" si="35"/>
        <v>4328</v>
      </c>
      <c r="G77" s="324">
        <f t="shared" si="35"/>
        <v>3735</v>
      </c>
      <c r="H77" s="324">
        <f t="shared" si="35"/>
        <v>4271</v>
      </c>
      <c r="I77" s="324">
        <f t="shared" si="35"/>
        <v>5641</v>
      </c>
      <c r="J77" s="324">
        <f t="shared" si="35"/>
        <v>7766</v>
      </c>
      <c r="K77" s="324">
        <f t="shared" si="35"/>
        <v>8917</v>
      </c>
      <c r="L77" s="324">
        <f t="shared" si="35"/>
        <v>10680</v>
      </c>
    </row>
    <row r="78" spans="2:17" ht="15" customHeight="1" outlineLevel="1">
      <c r="B78" s="326" t="s">
        <v>529</v>
      </c>
      <c r="C78" s="327">
        <f t="shared" ref="C78:L78" si="36">IF($C$2=FALSE,"-",C77+C73)</f>
        <v>19311</v>
      </c>
      <c r="D78" s="327">
        <f t="shared" si="36"/>
        <v>23215</v>
      </c>
      <c r="E78" s="327">
        <f t="shared" si="36"/>
        <v>23109</v>
      </c>
      <c r="F78" s="327">
        <f t="shared" si="36"/>
        <v>25635</v>
      </c>
      <c r="G78" s="327">
        <f t="shared" si="36"/>
        <v>27561</v>
      </c>
      <c r="H78" s="327">
        <f t="shared" si="36"/>
        <v>26500</v>
      </c>
      <c r="I78" s="327">
        <f t="shared" si="36"/>
        <v>33652</v>
      </c>
      <c r="J78" s="327">
        <f t="shared" si="36"/>
        <v>38599</v>
      </c>
      <c r="K78" s="327">
        <f t="shared" si="36"/>
        <v>44533</v>
      </c>
      <c r="L78" s="327">
        <f t="shared" si="36"/>
        <v>47540</v>
      </c>
    </row>
    <row r="79" spans="2:17" ht="5.0999999999999996" customHeight="1" outlineLevel="1">
      <c r="B79" s="330"/>
      <c r="C79" s="331"/>
      <c r="D79" s="331"/>
      <c r="E79" s="331"/>
      <c r="F79" s="331"/>
      <c r="G79" s="331"/>
      <c r="H79" s="331"/>
      <c r="I79" s="331"/>
      <c r="J79" s="331"/>
      <c r="K79" s="331"/>
      <c r="L79" s="331"/>
    </row>
    <row r="80" spans="2:17" ht="15" customHeight="1" outlineLevel="1">
      <c r="B80" s="569">
        <v>1</v>
      </c>
      <c r="C80" s="332" t="str">
        <f>IF($C$2=FALSE,"-",IF(ABS(C78-DATA!M410)&lt;=$B$80,"Balance","Error"))</f>
        <v>Balance</v>
      </c>
      <c r="D80" s="332" t="str">
        <f>IF($C$2=FALSE,"-",IF(ABS(D78-DATA!L410)&lt;=$B$80,"Balance","Error"))</f>
        <v>Balance</v>
      </c>
      <c r="E80" s="332" t="str">
        <f>IF($C$2=FALSE,"-",IF(ABS(E78-DATA!K410)&lt;=$B$80,"Balance","Error"))</f>
        <v>Balance</v>
      </c>
      <c r="F80" s="332" t="str">
        <f>IF($C$2=FALSE,"-",IF(ABS(F78-DATA!J410)&lt;=$B$80,"Balance","Error"))</f>
        <v>Balance</v>
      </c>
      <c r="G80" s="332" t="str">
        <f>IF($C$2=FALSE,"-",IF(ABS(G78-DATA!I410)&lt;=$B$80,"Balance","Error"))</f>
        <v>Balance</v>
      </c>
      <c r="H80" s="332" t="str">
        <f>IF($C$2=FALSE,"-",IF(ABS(H78-DATA!H410)&lt;=$B$80,"Balance","Error"))</f>
        <v>Balance</v>
      </c>
      <c r="I80" s="332" t="str">
        <f>IF($C$2=FALSE,"-",IF(ABS(I78-DATA!G410)&lt;=$B$80,"Balance","Error"))</f>
        <v>Balance</v>
      </c>
      <c r="J80" s="332" t="str">
        <f>IF($C$2=FALSE,"-",IF(ABS(J78-DATA!F410)&lt;=$B$80,"Balance","Error"))</f>
        <v>Balance</v>
      </c>
      <c r="K80" s="332" t="str">
        <f>IF($C$2=FALSE,"-",IF(ABS(K78-DATA!E410)&lt;=$B$80,"Balance","Error"))</f>
        <v>Balance</v>
      </c>
      <c r="L80" s="333" t="str">
        <f>IF($C$2=FALSE,"-",IF(ABS(L78-DATA!D410)&lt;=$B$80,"Balance","Error"))</f>
        <v>Balance</v>
      </c>
    </row>
    <row r="81" spans="2:19" ht="15" customHeight="1">
      <c r="B81" s="330"/>
      <c r="C81" s="334"/>
      <c r="D81" s="334"/>
      <c r="E81" s="334"/>
      <c r="F81" s="334"/>
      <c r="G81" s="334"/>
      <c r="H81" s="334"/>
      <c r="I81" s="334"/>
      <c r="J81" s="334"/>
      <c r="K81" s="334"/>
      <c r="L81" s="334"/>
    </row>
    <row r="82" spans="2:19" ht="15" customHeight="1">
      <c r="B82" s="312" t="s">
        <v>530</v>
      </c>
      <c r="C82" s="368">
        <f t="shared" ref="C82:L82" si="37">IF($C$2=FALSE,"-",C4)</f>
        <v>2004</v>
      </c>
      <c r="D82" s="368">
        <f t="shared" si="37"/>
        <v>2005</v>
      </c>
      <c r="E82" s="368">
        <f t="shared" si="37"/>
        <v>2006</v>
      </c>
      <c r="F82" s="368">
        <f t="shared" si="37"/>
        <v>2007</v>
      </c>
      <c r="G82" s="368">
        <f t="shared" si="37"/>
        <v>2008</v>
      </c>
      <c r="H82" s="368">
        <f t="shared" si="37"/>
        <v>2009</v>
      </c>
      <c r="I82" s="368">
        <f t="shared" si="37"/>
        <v>2010</v>
      </c>
      <c r="J82" s="368">
        <f t="shared" si="37"/>
        <v>2011</v>
      </c>
      <c r="K82" s="368">
        <f t="shared" si="37"/>
        <v>2012</v>
      </c>
      <c r="L82" s="368">
        <f t="shared" si="37"/>
        <v>2013</v>
      </c>
      <c r="M82" s="315"/>
      <c r="N82" s="312" t="str">
        <f>IF($C$2=FALSE,"-",N4)</f>
        <v>3 YA</v>
      </c>
      <c r="O82" s="312" t="str">
        <f>IF($C$2=FALSE,"-",O4)</f>
        <v>5 YA</v>
      </c>
      <c r="P82" s="312" t="str">
        <f>IF($C$2=FALSE,"-",P4)</f>
        <v>7 YA</v>
      </c>
      <c r="Q82" s="312" t="str">
        <f>IF($C$2=FALSE,"-",Q4)</f>
        <v>10 YA</v>
      </c>
    </row>
    <row r="83" spans="2:19" ht="5.0999999999999996" customHeight="1"/>
    <row r="84" spans="2:19" ht="15" customHeight="1" outlineLevel="1">
      <c r="B84" s="335" t="s">
        <v>531</v>
      </c>
    </row>
    <row r="85" spans="2:19" ht="15" customHeight="1" outlineLevel="1">
      <c r="B85" s="317" t="s">
        <v>380</v>
      </c>
      <c r="C85" s="318">
        <f>IF($C$2=FALSE,"-",DATA!M456)</f>
        <v>0</v>
      </c>
      <c r="D85" s="318">
        <f>IF($C$2=FALSE,"-",DATA!L456)</f>
        <v>0</v>
      </c>
      <c r="E85" s="318">
        <f>IF($C$2=FALSE,"-",DATA!K456)</f>
        <v>0</v>
      </c>
      <c r="F85" s="318">
        <f>IF($C$2=FALSE,"-",DATA!J456)</f>
        <v>0</v>
      </c>
      <c r="G85" s="318">
        <f>IF($C$2=FALSE,"-",DATA!I456)</f>
        <v>0</v>
      </c>
      <c r="H85" s="318">
        <f>IF($C$2=FALSE,"-",DATA!H456)</f>
        <v>0</v>
      </c>
      <c r="I85" s="318">
        <f>IF($C$2=FALSE,"-",DATA!G456)</f>
        <v>0</v>
      </c>
      <c r="J85" s="318">
        <f>IF($C$2=FALSE,"-",DATA!F456)</f>
        <v>0</v>
      </c>
      <c r="K85" s="318">
        <f>IF($C$2=FALSE,"-",DATA!E456)</f>
        <v>0</v>
      </c>
      <c r="L85" s="318">
        <f>IF($C$2=FALSE,"-",DATA!D456)</f>
        <v>-278</v>
      </c>
      <c r="N85" s="337"/>
      <c r="O85" s="337"/>
      <c r="P85" s="337"/>
      <c r="Q85" s="337"/>
      <c r="R85" s="337"/>
      <c r="S85" s="337"/>
    </row>
    <row r="86" spans="2:19" ht="15" customHeight="1" outlineLevel="1">
      <c r="B86" s="326" t="s">
        <v>532</v>
      </c>
      <c r="C86" s="327">
        <f t="shared" ref="C86:L86" si="38">IF($C$2=FALSE,"-",(-C85)/(C26))</f>
        <v>0</v>
      </c>
      <c r="D86" s="327">
        <f t="shared" si="38"/>
        <v>0</v>
      </c>
      <c r="E86" s="327">
        <f t="shared" si="38"/>
        <v>0</v>
      </c>
      <c r="F86" s="327">
        <f t="shared" si="38"/>
        <v>0</v>
      </c>
      <c r="G86" s="327">
        <f t="shared" si="38"/>
        <v>0</v>
      </c>
      <c r="H86" s="327">
        <f t="shared" si="38"/>
        <v>0</v>
      </c>
      <c r="I86" s="327">
        <f t="shared" si="38"/>
        <v>0</v>
      </c>
      <c r="J86" s="327">
        <f t="shared" si="38"/>
        <v>0</v>
      </c>
      <c r="K86" s="327">
        <f t="shared" si="38"/>
        <v>0</v>
      </c>
      <c r="L86" s="327">
        <f t="shared" si="38"/>
        <v>0.11720067453625632</v>
      </c>
      <c r="N86" s="322">
        <f>IF($C$2=FALSE,"-",(L86+K86+J86)/3)</f>
        <v>3.9066891512085443E-2</v>
      </c>
      <c r="O86" s="322">
        <f>IF($C$2=FALSE,"-",(L86+K86+J86+I86+H86)/5)</f>
        <v>2.3440134907251265E-2</v>
      </c>
      <c r="P86" s="322">
        <f>IF($C$2=FALSE,"-",(L86+K86+J86+I86+H86+G86+F86)/7)</f>
        <v>1.6742953505179476E-2</v>
      </c>
      <c r="Q86" s="322">
        <f>IF($C$2=FALSE,"-",(L86+K86+J86+I86+H86+G86+F86+E86+D86+IF(C86&lt;&gt;"",C86,0))/IF(C86&lt;&gt;"",10,9))</f>
        <v>1.1720067453625633E-2</v>
      </c>
      <c r="R86" s="337"/>
      <c r="S86" s="337"/>
    </row>
    <row r="87" spans="2:19" ht="15" customHeight="1" outlineLevel="1">
      <c r="C87" s="328"/>
      <c r="D87" s="328"/>
      <c r="E87" s="328"/>
      <c r="F87" s="328"/>
      <c r="G87" s="328"/>
      <c r="H87" s="328"/>
      <c r="I87" s="328"/>
      <c r="J87" s="328"/>
      <c r="K87" s="328"/>
      <c r="L87" s="328"/>
    </row>
    <row r="89" spans="2:19" ht="15" customHeight="1">
      <c r="B89" s="338" t="s">
        <v>533</v>
      </c>
      <c r="C89" s="339" t="s">
        <v>534</v>
      </c>
      <c r="D89" s="340" t="s">
        <v>535</v>
      </c>
      <c r="E89" s="340" t="s">
        <v>536</v>
      </c>
      <c r="F89" s="340" t="s">
        <v>537</v>
      </c>
      <c r="G89" s="340" t="s">
        <v>538</v>
      </c>
      <c r="H89" s="340" t="s">
        <v>539</v>
      </c>
      <c r="I89" s="339" t="s">
        <v>540</v>
      </c>
      <c r="J89" s="339" t="s">
        <v>541</v>
      </c>
      <c r="K89" s="339" t="s">
        <v>542</v>
      </c>
      <c r="L89" s="339" t="s">
        <v>543</v>
      </c>
    </row>
    <row r="90" spans="2:19" ht="5.0999999999999996" customHeight="1">
      <c r="B90" s="341"/>
      <c r="C90" s="341"/>
      <c r="D90" s="341"/>
      <c r="E90" s="341"/>
      <c r="F90" s="341"/>
      <c r="G90" s="342"/>
      <c r="H90" s="342"/>
      <c r="I90" s="342"/>
      <c r="J90" s="342"/>
      <c r="K90" s="342"/>
      <c r="L90" s="342"/>
    </row>
    <row r="91" spans="2:19" ht="15" customHeight="1" outlineLevel="1">
      <c r="B91" s="343" t="s">
        <v>489</v>
      </c>
      <c r="C91" s="344">
        <f>IF($C$2=FALSE,"-",N7)</f>
        <v>2.971104899592154E-2</v>
      </c>
      <c r="D91" s="344">
        <f>IF($C$2=FALSE,"-",O7)</f>
        <v>-9.1155916778338612E-3</v>
      </c>
      <c r="E91" s="344">
        <f>IF($C$2=FALSE,"-",P7)</f>
        <v>6.5900502753106294E-3</v>
      </c>
      <c r="F91" s="344">
        <f>IF($C$2=FALSE,"-",Q7)</f>
        <v>4.1069009778442703E-2</v>
      </c>
      <c r="G91" s="344">
        <f>IF($C$2=FALSE,"-",L7)</f>
        <v>-8.2663401588503493E-2</v>
      </c>
      <c r="H91" s="344">
        <f t="shared" ref="H91:H113" si="39">IF($C$2=FALSE,"-",STDEV(C119:L119))</f>
        <v>0.1033776681723953</v>
      </c>
      <c r="I91" s="345">
        <v>-0.01</v>
      </c>
      <c r="J91" s="345">
        <v>0.05</v>
      </c>
      <c r="K91" s="346">
        <f t="shared" ref="K91:K115" si="40">IF($C$2=FALSE,"-",$C$249)</f>
        <v>10</v>
      </c>
      <c r="L91" s="347">
        <v>0.5</v>
      </c>
    </row>
    <row r="92" spans="2:19" ht="15" customHeight="1" outlineLevel="1">
      <c r="B92" s="348" t="s">
        <v>544</v>
      </c>
      <c r="C92" s="349">
        <f>IF($C$2=FALSE,"-",N9)</f>
        <v>0.77573945525578292</v>
      </c>
      <c r="D92" s="349">
        <f>IF($C$2=FALSE,"-",O9)</f>
        <v>0.78882836356274022</v>
      </c>
      <c r="E92" s="349">
        <f>IF($C$2=FALSE,"-",P9)</f>
        <v>0.79562458334880193</v>
      </c>
      <c r="F92" s="349">
        <f>IF($C$2=FALSE,"-",Q9)</f>
        <v>0.80058030037342598</v>
      </c>
      <c r="G92" s="349">
        <f>IF($C$2=FALSE,"-",L9)</f>
        <v>0.76589392342816998</v>
      </c>
      <c r="H92" s="349">
        <f t="shared" si="39"/>
        <v>2.0691032309108195E-2</v>
      </c>
      <c r="I92" s="350">
        <f>IF($C$2=FALSE,"-",G92+2%)</f>
        <v>0.78589392342816999</v>
      </c>
      <c r="J92" s="350">
        <f>IF($C$2=FALSE,"-",I92+7%)</f>
        <v>0.85589392342816994</v>
      </c>
      <c r="K92" s="351">
        <f t="shared" si="40"/>
        <v>10</v>
      </c>
      <c r="L92" s="352">
        <v>0</v>
      </c>
    </row>
    <row r="93" spans="2:19" ht="15" customHeight="1" outlineLevel="1">
      <c r="B93" s="348" t="s">
        <v>545</v>
      </c>
      <c r="C93" s="349">
        <f>IF($C$2=FALSE,"-",N12)</f>
        <v>0.14724218078439541</v>
      </c>
      <c r="D93" s="349">
        <f>IF($C$2=FALSE,"-",O12)</f>
        <v>0.14056274012635123</v>
      </c>
      <c r="E93" s="349">
        <f>IF($C$2=FALSE,"-",P12)</f>
        <v>0.13547962950187917</v>
      </c>
      <c r="F93" s="349">
        <f>IF($C$2=FALSE,"-",Q12)</f>
        <v>0.12420428935500261</v>
      </c>
      <c r="G93" s="349">
        <f>IF($C$2=FALSE,"-",L12)</f>
        <v>0.16111696522655428</v>
      </c>
      <c r="H93" s="349">
        <f t="shared" si="39"/>
        <v>2.2432131051829333E-2</v>
      </c>
      <c r="I93" s="350">
        <f>IF($C$2=FALSE,"-",G93+0.5%)</f>
        <v>0.16611696522655428</v>
      </c>
      <c r="J93" s="350">
        <v>0.33</v>
      </c>
      <c r="K93" s="351">
        <f t="shared" si="40"/>
        <v>10</v>
      </c>
      <c r="L93" s="352">
        <v>0.5</v>
      </c>
    </row>
    <row r="94" spans="2:19" ht="15" customHeight="1" outlineLevel="1">
      <c r="B94" s="348" t="s">
        <v>546</v>
      </c>
      <c r="C94" s="349">
        <f>IF($C$2=FALSE,"-",N14)</f>
        <v>0.20355683720312748</v>
      </c>
      <c r="D94" s="349">
        <f>IF($C$2=FALSE,"-",O14)</f>
        <v>0.19286550459407947</v>
      </c>
      <c r="E94" s="349">
        <f>IF($C$2=FALSE,"-",P14)</f>
        <v>0.17317266785717259</v>
      </c>
      <c r="F94" s="349">
        <f>IF($C$2=FALSE,"-",Q14)</f>
        <v>0.1532429317625526</v>
      </c>
      <c r="G94" s="349">
        <f>IF($C$2=FALSE,"-",L14)</f>
        <v>0.2158490566037736</v>
      </c>
      <c r="H94" s="349">
        <f t="shared" si="39"/>
        <v>4.4142974630861025E-2</v>
      </c>
      <c r="I94" s="350">
        <f t="shared" ref="I94:I111" si="41">IF($C$2=FALSE,"-",G94)</f>
        <v>0.2158490566037736</v>
      </c>
      <c r="J94" s="350">
        <f>IF($C$2=FALSE,"-",F94)</f>
        <v>0.1532429317625526</v>
      </c>
      <c r="K94" s="351">
        <f t="shared" si="40"/>
        <v>10</v>
      </c>
      <c r="L94" s="352">
        <v>0.5</v>
      </c>
    </row>
    <row r="95" spans="2:19" ht="15" customHeight="1" outlineLevel="1">
      <c r="B95" s="348" t="s">
        <v>547</v>
      </c>
      <c r="C95" s="349">
        <f>IF($C$2=FALSE,"-",N46)</f>
        <v>0.58513394659759721</v>
      </c>
      <c r="D95" s="349">
        <f>IF($C$2=FALSE,"-",O46)</f>
        <v>0.55633863610443846</v>
      </c>
      <c r="E95" s="349">
        <f>IF($C$2=FALSE,"-",P46)</f>
        <v>0.51549876041013776</v>
      </c>
      <c r="F95" s="349">
        <f>IF($C$2=FALSE,"-",Q46)</f>
        <v>0.49129777932488095</v>
      </c>
      <c r="G95" s="349">
        <f>IF($C$2=FALSE,"-",L46)</f>
        <v>0.59886792452830184</v>
      </c>
      <c r="H95" s="349">
        <f t="shared" si="39"/>
        <v>7.481847004478745E-2</v>
      </c>
      <c r="I95" s="350">
        <f t="shared" si="41"/>
        <v>0.59886792452830184</v>
      </c>
      <c r="J95" s="350">
        <f>IF($C$2=FALSE,"-",I95)</f>
        <v>0.59886792452830184</v>
      </c>
      <c r="K95" s="351">
        <f t="shared" si="40"/>
        <v>10</v>
      </c>
      <c r="L95" s="352">
        <v>0.5</v>
      </c>
    </row>
    <row r="96" spans="2:19" ht="15" customHeight="1" outlineLevel="1">
      <c r="B96" s="348" t="s">
        <v>548</v>
      </c>
      <c r="C96" s="349">
        <f>IF($C$2=FALSE,"-",N25)</f>
        <v>0</v>
      </c>
      <c r="D96" s="349">
        <f>IF($C$2=FALSE,"-",O25)</f>
        <v>0</v>
      </c>
      <c r="E96" s="349">
        <f>IF($C$2=FALSE,"-",P25)</f>
        <v>0</v>
      </c>
      <c r="F96" s="349">
        <f>IF($C$2=FALSE,"-",Q25)</f>
        <v>0</v>
      </c>
      <c r="G96" s="349">
        <f>IF($C$2=FALSE,"-",L25)</f>
        <v>0</v>
      </c>
      <c r="H96" s="349">
        <f t="shared" si="39"/>
        <v>0</v>
      </c>
      <c r="I96" s="350">
        <f t="shared" si="41"/>
        <v>0</v>
      </c>
      <c r="J96" s="350">
        <f>IF($C$2=FALSE,"-",D96)</f>
        <v>0</v>
      </c>
      <c r="K96" s="351">
        <f t="shared" si="40"/>
        <v>10</v>
      </c>
      <c r="L96" s="352">
        <v>0.5</v>
      </c>
    </row>
    <row r="97" spans="2:12" ht="15" customHeight="1" outlineLevel="1">
      <c r="B97" s="353" t="s">
        <v>549</v>
      </c>
      <c r="C97" s="354">
        <f>IF($C$2=FALSE,"-",N17)</f>
        <v>1.6809221638355799E-3</v>
      </c>
      <c r="D97" s="354">
        <f>IF($C$2=FALSE,"-",O17)</f>
        <v>1.7904056943800876E-3</v>
      </c>
      <c r="E97" s="354">
        <f>IF($C$2=FALSE,"-",P17)</f>
        <v>2.8905519773763724E-3</v>
      </c>
      <c r="F97" s="354">
        <f>IF($C$2=FALSE,"-",Q17)</f>
        <v>3.2856840350966145E-3</v>
      </c>
      <c r="G97" s="354">
        <f>IF($C$2=FALSE,"-",L17)</f>
        <v>1.738672286617492E-3</v>
      </c>
      <c r="H97" s="354">
        <f t="shared" si="39"/>
        <v>1.8666723199526642E-3</v>
      </c>
      <c r="I97" s="355">
        <f t="shared" si="41"/>
        <v>1.738672286617492E-3</v>
      </c>
      <c r="J97" s="355">
        <f>IF($C$2=FALSE,"-",D97)</f>
        <v>1.7904056943800876E-3</v>
      </c>
      <c r="K97" s="356">
        <f t="shared" si="40"/>
        <v>10</v>
      </c>
      <c r="L97" s="357">
        <v>0.5</v>
      </c>
    </row>
    <row r="98" spans="2:12" ht="15" customHeight="1" outlineLevel="1">
      <c r="B98" s="343" t="s">
        <v>550</v>
      </c>
      <c r="C98" s="344">
        <f>IF($C$2=FALSE,"-",N35)</f>
        <v>0.23224024819559741</v>
      </c>
      <c r="D98" s="344">
        <f>IF($C$2=FALSE,"-",O35)</f>
        <v>0.21072128334355483</v>
      </c>
      <c r="E98" s="344">
        <f>IF($C$2=FALSE,"-",P35)</f>
        <v>0.19476511332741228</v>
      </c>
      <c r="F98" s="344">
        <f>IF($C$2=FALSE,"-",Q35)</f>
        <v>0.18489933010898812</v>
      </c>
      <c r="G98" s="344">
        <f>IF($C$2=FALSE,"-",L35)</f>
        <v>0.22439409905163329</v>
      </c>
      <c r="H98" s="344">
        <f t="shared" si="39"/>
        <v>4.225851455834756E-2</v>
      </c>
      <c r="I98" s="345">
        <f t="shared" si="41"/>
        <v>0.22439409905163329</v>
      </c>
      <c r="J98" s="345">
        <f>IF($C$2=FALSE,"-",I98)</f>
        <v>0.22439409905163329</v>
      </c>
      <c r="K98" s="346">
        <f t="shared" si="40"/>
        <v>10</v>
      </c>
      <c r="L98" s="347">
        <v>0.5</v>
      </c>
    </row>
    <row r="99" spans="2:12" ht="15" customHeight="1" outlineLevel="1">
      <c r="B99" s="348" t="s">
        <v>551</v>
      </c>
      <c r="C99" s="349">
        <f>IF($C$2=FALSE,"-",N39)</f>
        <v>2.2682318938421406E-2</v>
      </c>
      <c r="D99" s="349">
        <f>IF($C$2=FALSE,"-",O39)</f>
        <v>2.0420700205107035E-2</v>
      </c>
      <c r="E99" s="349">
        <f>IF($C$2=FALSE,"-",P39)</f>
        <v>1.8985704445608247E-2</v>
      </c>
      <c r="F99" s="349">
        <f>IF($C$2=FALSE,"-",Q39)</f>
        <v>1.6042105650540851E-2</v>
      </c>
      <c r="G99" s="349">
        <f>IF($C$2=FALSE,"-",L39)</f>
        <v>2.4271162627327012E-2</v>
      </c>
      <c r="H99" s="349">
        <f t="shared" si="39"/>
        <v>6.0642503835730052E-3</v>
      </c>
      <c r="I99" s="350">
        <f t="shared" si="41"/>
        <v>2.4271162627327012E-2</v>
      </c>
      <c r="J99" s="350">
        <f>IF($C$2=FALSE,"-",D99)</f>
        <v>2.0420700205107035E-2</v>
      </c>
      <c r="K99" s="351">
        <f t="shared" si="40"/>
        <v>10</v>
      </c>
      <c r="L99" s="352">
        <v>0.5</v>
      </c>
    </row>
    <row r="100" spans="2:12" ht="15" customHeight="1" outlineLevel="1">
      <c r="B100" s="348" t="s">
        <v>552</v>
      </c>
      <c r="C100" s="349">
        <f>IF($C$2=FALSE,"-",N37)</f>
        <v>0.16520324905072784</v>
      </c>
      <c r="D100" s="349">
        <f>IF($C$2=FALSE,"-",O37)</f>
        <v>0.15250907630333413</v>
      </c>
      <c r="E100" s="349">
        <f>IF($C$2=FALSE,"-",P37)</f>
        <v>0.14221801879072299</v>
      </c>
      <c r="F100" s="349">
        <f>IF($C$2=FALSE,"-",Q37)</f>
        <v>0.12704585274995095</v>
      </c>
      <c r="G100" s="349">
        <f>IF($C$2=FALSE,"-",L37)</f>
        <v>0.17284861257463996</v>
      </c>
      <c r="H100" s="349">
        <f t="shared" si="39"/>
        <v>3.39007547016189E-2</v>
      </c>
      <c r="I100" s="350">
        <f t="shared" si="41"/>
        <v>0.17284861257463996</v>
      </c>
      <c r="J100" s="350">
        <f>IF($C$2=FALSE,"-",D100)</f>
        <v>0.15250907630333413</v>
      </c>
      <c r="K100" s="351">
        <f t="shared" si="40"/>
        <v>10</v>
      </c>
      <c r="L100" s="352">
        <v>0.5</v>
      </c>
    </row>
    <row r="101" spans="2:12" ht="15" customHeight="1" outlineLevel="1">
      <c r="B101" s="348" t="s">
        <v>553</v>
      </c>
      <c r="C101" s="349">
        <f>IF($C$2=FALSE,"-",N41)</f>
        <v>5.9054308012961625E-2</v>
      </c>
      <c r="D101" s="349">
        <f>IF($C$2=FALSE,"-",O41)</f>
        <v>6.1476705921419662E-2</v>
      </c>
      <c r="E101" s="349">
        <f>IF($C$2=FALSE,"-",P41)</f>
        <v>5.8042561610407127E-2</v>
      </c>
      <c r="F101" s="349">
        <f>IF($C$2=FALSE,"-",Q41)</f>
        <v>5.3486889857294218E-2</v>
      </c>
      <c r="G101" s="349">
        <f>IF($C$2=FALSE,"-",L41)</f>
        <v>6.966982788900597E-2</v>
      </c>
      <c r="H101" s="349">
        <f t="shared" si="39"/>
        <v>1.0515791602595956E-2</v>
      </c>
      <c r="I101" s="350">
        <f t="shared" si="41"/>
        <v>6.966982788900597E-2</v>
      </c>
      <c r="J101" s="350">
        <f>IF($C$2=FALSE,"-",D101)</f>
        <v>6.1476705921419662E-2</v>
      </c>
      <c r="K101" s="351">
        <f t="shared" si="40"/>
        <v>10</v>
      </c>
      <c r="L101" s="352">
        <v>0.5</v>
      </c>
    </row>
    <row r="102" spans="2:12" ht="15" customHeight="1" outlineLevel="1">
      <c r="B102" s="348" t="s">
        <v>554</v>
      </c>
      <c r="C102" s="349">
        <f>IF($C$2=FALSE,"-",N44)</f>
        <v>8.3157287944756561E-2</v>
      </c>
      <c r="D102" s="349">
        <f>IF($C$2=FALSE,"-",O44)</f>
        <v>8.2244052057507275E-2</v>
      </c>
      <c r="E102" s="349">
        <f>IF($C$2=FALSE,"-",P44)</f>
        <v>7.9601506371380734E-2</v>
      </c>
      <c r="F102" s="349">
        <f>IF($C$2=FALSE,"-",Q44)</f>
        <v>7.4621474140872779E-2</v>
      </c>
      <c r="G102" s="349">
        <f>IF($C$2=FALSE,"-",L44)</f>
        <v>9.3080435546188972E-2</v>
      </c>
      <c r="H102" s="349">
        <f t="shared" si="39"/>
        <v>1.0405763560938709E-2</v>
      </c>
      <c r="I102" s="350">
        <f t="shared" si="41"/>
        <v>9.3080435546188972E-2</v>
      </c>
      <c r="J102" s="350">
        <f>IF($C$2=FALSE,"-",G102+1%)</f>
        <v>0.10308043554618897</v>
      </c>
      <c r="K102" s="351">
        <f t="shared" si="40"/>
        <v>10</v>
      </c>
      <c r="L102" s="352">
        <v>0.5</v>
      </c>
    </row>
    <row r="103" spans="2:12" ht="15" customHeight="1" outlineLevel="1">
      <c r="B103" s="353" t="s">
        <v>555</v>
      </c>
      <c r="C103" s="354">
        <f>IF($C$2=FALSE,"-",N51)</f>
        <v>6.5759194927942119E-2</v>
      </c>
      <c r="D103" s="354">
        <f>IF($C$2=FALSE,"-",O51)</f>
        <v>5.0240832012428183E-2</v>
      </c>
      <c r="E103" s="354">
        <f>IF($C$2=FALSE,"-",P51)</f>
        <v>5.0104839544772892E-2</v>
      </c>
      <c r="F103" s="354">
        <f>IF($C$2=FALSE,"-",Q51)</f>
        <v>6.7833483327067803E-2</v>
      </c>
      <c r="G103" s="354">
        <f>IF($C$2=FALSE,"-",L51)</f>
        <v>8.3737267298911136E-2</v>
      </c>
      <c r="H103" s="354">
        <f t="shared" si="39"/>
        <v>4.4635935438744632E-2</v>
      </c>
      <c r="I103" s="355">
        <f t="shared" si="41"/>
        <v>8.3737267298911136E-2</v>
      </c>
      <c r="J103" s="355">
        <f t="shared" ref="J103:J108" si="42">IF($C$2=FALSE,"-",D103)</f>
        <v>5.0240832012428183E-2</v>
      </c>
      <c r="K103" s="356">
        <f t="shared" si="40"/>
        <v>10</v>
      </c>
      <c r="L103" s="357">
        <v>0.5</v>
      </c>
    </row>
    <row r="104" spans="2:12" ht="15" customHeight="1" outlineLevel="1">
      <c r="B104" s="343" t="s">
        <v>556</v>
      </c>
      <c r="C104" s="344">
        <f>IF($C$2=FALSE,"-",N58)</f>
        <v>0.19159443227596326</v>
      </c>
      <c r="D104" s="344">
        <f>IF($C$2=FALSE,"-",O58)</f>
        <v>0.1851507343045791</v>
      </c>
      <c r="E104" s="344">
        <f>IF($C$2=FALSE,"-",P58)</f>
        <v>0.1850544678265848</v>
      </c>
      <c r="F104" s="344">
        <f>IF($C$2=FALSE,"-",Q58)</f>
        <v>0.18286863827768715</v>
      </c>
      <c r="G104" s="344">
        <f>IF($C$2=FALSE,"-",L58)</f>
        <v>0.20335440814892869</v>
      </c>
      <c r="H104" s="344">
        <f t="shared" si="39"/>
        <v>2.0528903289243196E-2</v>
      </c>
      <c r="I104" s="345">
        <f t="shared" si="41"/>
        <v>0.20335440814892869</v>
      </c>
      <c r="J104" s="345">
        <f t="shared" si="42"/>
        <v>0.1851507343045791</v>
      </c>
      <c r="K104" s="346">
        <f t="shared" si="40"/>
        <v>10</v>
      </c>
      <c r="L104" s="347">
        <v>0.5</v>
      </c>
    </row>
    <row r="105" spans="2:12" ht="15" customHeight="1" outlineLevel="1">
      <c r="B105" s="348" t="s">
        <v>557</v>
      </c>
      <c r="C105" s="349">
        <f>IF($C$2=FALSE,"-",N70)</f>
        <v>1.2293642430628732E-4</v>
      </c>
      <c r="D105" s="349">
        <f>IF($C$2=FALSE,"-",O70)</f>
        <v>7.3761854583772387E-5</v>
      </c>
      <c r="E105" s="349">
        <f>IF($C$2=FALSE,"-",P70)</f>
        <v>5.2687038988408848E-5</v>
      </c>
      <c r="F105" s="349">
        <f>IF($C$2=FALSE,"-",Q70)</f>
        <v>3.6880927291886193E-5</v>
      </c>
      <c r="G105" s="349">
        <f>IF($C$2=FALSE,"-",L70)</f>
        <v>3.6880927291886193E-4</v>
      </c>
      <c r="H105" s="349">
        <f t="shared" si="39"/>
        <v>1.1662773246142598E-4</v>
      </c>
      <c r="I105" s="350">
        <f t="shared" si="41"/>
        <v>3.6880927291886193E-4</v>
      </c>
      <c r="J105" s="350">
        <f t="shared" si="42"/>
        <v>7.3761854583772387E-5</v>
      </c>
      <c r="K105" s="351">
        <f t="shared" si="40"/>
        <v>10</v>
      </c>
      <c r="L105" s="352">
        <v>0.5</v>
      </c>
    </row>
    <row r="106" spans="2:12" ht="15" customHeight="1" outlineLevel="1">
      <c r="B106" s="348" t="s">
        <v>558</v>
      </c>
      <c r="C106" s="349">
        <f>IF($C$2=FALSE,"-",N72)</f>
        <v>0.11802800698433036</v>
      </c>
      <c r="D106" s="349">
        <f>IF($C$2=FALSE,"-",O72)</f>
        <v>0.11002789316120301</v>
      </c>
      <c r="E106" s="349">
        <f>IF($C$2=FALSE,"-",P72)</f>
        <v>9.7462535824730828E-2</v>
      </c>
      <c r="F106" s="349">
        <f>IF($C$2=FALSE,"-",Q72)</f>
        <v>8.0961572584855729E-2</v>
      </c>
      <c r="G106" s="349">
        <f>IF($C$2=FALSE,"-",L72)</f>
        <v>0.14327362135581315</v>
      </c>
      <c r="H106" s="349">
        <f t="shared" si="39"/>
        <v>3.5260830672519679E-2</v>
      </c>
      <c r="I106" s="350">
        <f t="shared" si="41"/>
        <v>0.14327362135581315</v>
      </c>
      <c r="J106" s="350">
        <f t="shared" si="42"/>
        <v>0.11002789316120301</v>
      </c>
      <c r="K106" s="351">
        <f t="shared" si="40"/>
        <v>10</v>
      </c>
      <c r="L106" s="352">
        <v>0.5</v>
      </c>
    </row>
    <row r="107" spans="2:12" ht="15" customHeight="1" outlineLevel="1">
      <c r="B107" s="348" t="s">
        <v>559</v>
      </c>
      <c r="C107" s="349">
        <f>IF($C$2=FALSE,"-",N68)</f>
        <v>0</v>
      </c>
      <c r="D107" s="349">
        <f>IF($C$2=FALSE,"-",O68)</f>
        <v>0</v>
      </c>
      <c r="E107" s="349">
        <f>IF($C$2=FALSE,"-",P68)</f>
        <v>0</v>
      </c>
      <c r="F107" s="349">
        <f>IF($C$2=FALSE,"-",Q68)</f>
        <v>0</v>
      </c>
      <c r="G107" s="349">
        <f>IF($C$2=FALSE,"-",L68)</f>
        <v>0</v>
      </c>
      <c r="H107" s="349">
        <f t="shared" si="39"/>
        <v>0</v>
      </c>
      <c r="I107" s="350">
        <f t="shared" si="41"/>
        <v>0</v>
      </c>
      <c r="J107" s="350">
        <f t="shared" si="42"/>
        <v>0</v>
      </c>
      <c r="K107" s="351">
        <f t="shared" si="40"/>
        <v>10</v>
      </c>
      <c r="L107" s="352">
        <v>0.5</v>
      </c>
    </row>
    <row r="108" spans="2:12" ht="15" customHeight="1" outlineLevel="1">
      <c r="B108" s="353" t="s">
        <v>560</v>
      </c>
      <c r="C108" s="354">
        <f>IF($C$2=FALSE,"-",N61)</f>
        <v>0.12687241575237829</v>
      </c>
      <c r="D108" s="354">
        <f>IF($C$2=FALSE,"-",O61)</f>
        <v>0.12337018513283456</v>
      </c>
      <c r="E108" s="354">
        <f>IF($C$2=FALSE,"-",P61)</f>
        <v>0.12187895163277972</v>
      </c>
      <c r="F108" s="354">
        <f>IF($C$2=FALSE,"-",Q61)</f>
        <v>0.11549231456471361</v>
      </c>
      <c r="G108" s="354">
        <f>IF($C$2=FALSE,"-",L61)</f>
        <v>0.14079733052335791</v>
      </c>
      <c r="H108" s="354">
        <f t="shared" si="39"/>
        <v>1.5265878532137117E-2</v>
      </c>
      <c r="I108" s="355">
        <f t="shared" si="41"/>
        <v>0.14079733052335791</v>
      </c>
      <c r="J108" s="355">
        <f t="shared" si="42"/>
        <v>0.12337018513283456</v>
      </c>
      <c r="K108" s="356">
        <f t="shared" si="40"/>
        <v>10</v>
      </c>
      <c r="L108" s="357">
        <v>0.5</v>
      </c>
    </row>
    <row r="109" spans="2:12" ht="15" customHeight="1" outlineLevel="1">
      <c r="B109" s="323" t="s">
        <v>561</v>
      </c>
      <c r="C109" s="358">
        <f>IF($C$2=FALSE,"-",N49)</f>
        <v>0.14730673769323108</v>
      </c>
      <c r="D109" s="358">
        <f>IF($C$2=FALSE,"-",O49)</f>
        <v>0.1182459161834624</v>
      </c>
      <c r="E109" s="358">
        <f>IF($C$2=FALSE,"-",P49)</f>
        <v>9.0135180602055082E-2</v>
      </c>
      <c r="F109" s="358">
        <f>IF($C$2=FALSE,"-",Q49)</f>
        <v>6.3094626421438565E-2</v>
      </c>
      <c r="G109" s="358">
        <f>IF($C$2=FALSE,"-",L49)</f>
        <v>0.22265542676501582</v>
      </c>
      <c r="H109" s="358">
        <f t="shared" si="39"/>
        <v>7.4014609085018238E-2</v>
      </c>
      <c r="I109" s="359">
        <f t="shared" si="41"/>
        <v>0.22265542676501582</v>
      </c>
      <c r="J109" s="359">
        <v>0.8</v>
      </c>
      <c r="K109" s="360">
        <f t="shared" si="40"/>
        <v>10</v>
      </c>
      <c r="L109" s="361">
        <v>0.5</v>
      </c>
    </row>
    <row r="110" spans="2:12" ht="15" customHeight="1" outlineLevel="1">
      <c r="B110" s="362" t="s">
        <v>520</v>
      </c>
      <c r="C110" s="363">
        <f>IF($C$2=FALSE,"-",N66)</f>
        <v>2.7361167409809484E-2</v>
      </c>
      <c r="D110" s="363">
        <f>IF($C$2=FALSE,"-",O66)</f>
        <v>1.6416700445885689E-2</v>
      </c>
      <c r="E110" s="363">
        <f>IF($C$2=FALSE,"-",P66)</f>
        <v>1.1726214604204064E-2</v>
      </c>
      <c r="F110" s="363">
        <f>IF($C$2=FALSE,"-",Q66)</f>
        <v>8.2083502229428444E-3</v>
      </c>
      <c r="G110" s="363">
        <f>IF($C$2=FALSE,"-",L66)</f>
        <v>0</v>
      </c>
      <c r="H110" s="363">
        <f t="shared" si="39"/>
        <v>2.5957082536850293E-2</v>
      </c>
      <c r="I110" s="364">
        <f t="shared" si="41"/>
        <v>0</v>
      </c>
      <c r="J110" s="364">
        <f>IF($C$2=FALSE,"-",D110)</f>
        <v>1.6416700445885689E-2</v>
      </c>
      <c r="K110" s="365">
        <f t="shared" si="40"/>
        <v>10</v>
      </c>
      <c r="L110" s="366">
        <v>0.5</v>
      </c>
    </row>
    <row r="111" spans="2:12" ht="15" customHeight="1" outlineLevel="1">
      <c r="B111" s="362" t="s">
        <v>498</v>
      </c>
      <c r="C111" s="363">
        <f>IF($C$2=FALSE,"-",N23)</f>
        <v>0.18497688250452096</v>
      </c>
      <c r="D111" s="363">
        <f>IF($C$2=FALSE,"-",O23)</f>
        <v>0.22028786606469089</v>
      </c>
      <c r="E111" s="363">
        <f>IF($C$2=FALSE,"-",P23)</f>
        <v>0.22274102109107646</v>
      </c>
      <c r="F111" s="363">
        <f>IF($C$2=FALSE,"-",Q23)</f>
        <v>0.23834042103349251</v>
      </c>
      <c r="G111" s="363">
        <f>IF($C$2=FALSE,"-",L23)</f>
        <v>0.16508271735304469</v>
      </c>
      <c r="H111" s="363">
        <f t="shared" si="39"/>
        <v>4.9550578977298872E-2</v>
      </c>
      <c r="I111" s="364">
        <f t="shared" si="41"/>
        <v>0.16508271735304469</v>
      </c>
      <c r="J111" s="364">
        <v>0.4</v>
      </c>
      <c r="K111" s="365">
        <f t="shared" si="40"/>
        <v>10</v>
      </c>
      <c r="L111" s="366">
        <v>0.5</v>
      </c>
    </row>
    <row r="112" spans="2:12" ht="15" customHeight="1" outlineLevel="1">
      <c r="B112" s="353" t="s">
        <v>496</v>
      </c>
      <c r="C112" s="354">
        <f>IF($C$2=FALSE,"-",N20)</f>
        <v>1.7588181763835708E-2</v>
      </c>
      <c r="D112" s="354">
        <f>IF($C$2=FALSE,"-",O20)</f>
        <v>2.2965915337584492E-2</v>
      </c>
      <c r="E112" s="354">
        <f>IF($C$2=FALSE,"-",P20)</f>
        <v>2.6285383295154341E-2</v>
      </c>
      <c r="F112" s="354">
        <f>IF($C$2=FALSE,"-",Q20)</f>
        <v>2.1172045534330809E-2</v>
      </c>
      <c r="G112" s="354">
        <f>IF($C$2=FALSE,"-",L20)</f>
        <v>1.4722722067724521E-2</v>
      </c>
      <c r="H112" s="354">
        <f t="shared" si="39"/>
        <v>1.3305700310492162E-2</v>
      </c>
      <c r="I112" s="355">
        <f>IF($C$2=FALSE,"-",E112)</f>
        <v>2.6285383295154341E-2</v>
      </c>
      <c r="J112" s="355">
        <v>7.0000000000000007E-2</v>
      </c>
      <c r="K112" s="356">
        <f t="shared" si="40"/>
        <v>10</v>
      </c>
      <c r="L112" s="357">
        <v>0.5</v>
      </c>
    </row>
    <row r="113" spans="2:33" ht="15" customHeight="1" outlineLevel="1">
      <c r="B113" s="323" t="s">
        <v>518</v>
      </c>
      <c r="C113" s="358">
        <f>IF($C$2=FALSE,"-",N64)</f>
        <v>0.12900209607152566</v>
      </c>
      <c r="D113" s="358">
        <f>IF($C$2=FALSE,"-",O64)</f>
        <v>0.11203364283295147</v>
      </c>
      <c r="E113" s="358">
        <f>IF($C$2=FALSE,"-",P64)</f>
        <v>8.5071275989489561E-2</v>
      </c>
      <c r="F113" s="358">
        <f>IF($C$2=FALSE,"-",Q64)</f>
        <v>6.6521269174190642E-2</v>
      </c>
      <c r="G113" s="358">
        <f>IF($C$2=FALSE,"-",L64)</f>
        <v>0.11026503996634412</v>
      </c>
      <c r="H113" s="358">
        <f t="shared" si="39"/>
        <v>5.1628396445879736E-2</v>
      </c>
      <c r="I113" s="359">
        <f>IF($C$2=FALSE,"-",G113)</f>
        <v>0.11026503996634412</v>
      </c>
      <c r="J113" s="359">
        <f>IF($C$2=FALSE,"-",E113)</f>
        <v>8.5071275989489561E-2</v>
      </c>
      <c r="K113" s="360">
        <f t="shared" si="40"/>
        <v>10</v>
      </c>
      <c r="L113" s="361">
        <v>0.5</v>
      </c>
    </row>
    <row r="114" spans="2:33" ht="15" customHeight="1" outlineLevel="1">
      <c r="B114" s="362" t="s">
        <v>562</v>
      </c>
      <c r="C114" s="367"/>
      <c r="D114" s="367"/>
      <c r="E114" s="367"/>
      <c r="F114" s="367"/>
      <c r="G114" s="367"/>
      <c r="H114" s="363"/>
      <c r="I114" s="364">
        <v>5.0000000000000001E-3</v>
      </c>
      <c r="J114" s="364">
        <v>0.02</v>
      </c>
      <c r="K114" s="365">
        <f t="shared" si="40"/>
        <v>10</v>
      </c>
      <c r="L114" s="366">
        <v>0.5</v>
      </c>
    </row>
    <row r="115" spans="2:33" ht="15" customHeight="1" outlineLevel="1">
      <c r="B115" s="353" t="s">
        <v>563</v>
      </c>
      <c r="C115" s="354">
        <f>IF($C$2=FALSE,"-",N86)</f>
        <v>3.9066891512085443E-2</v>
      </c>
      <c r="D115" s="354">
        <f>IF($C$2=FALSE,"-",O86)</f>
        <v>2.3440134907251265E-2</v>
      </c>
      <c r="E115" s="354">
        <f>IF($C$2=FALSE,"-",P86)</f>
        <v>1.6742953505179476E-2</v>
      </c>
      <c r="F115" s="354">
        <f>IF($C$2=FALSE,"-",Q86)</f>
        <v>1.1720067453625633E-2</v>
      </c>
      <c r="G115" s="354">
        <f>IF($C$2=FALSE,"-",L86)</f>
        <v>0.11720067453625632</v>
      </c>
      <c r="H115" s="354">
        <f>IF($C$2=FALSE,"-",STDEV(C143:L143))</f>
        <v>3.7062107484266839E-2</v>
      </c>
      <c r="I115" s="355">
        <v>0</v>
      </c>
      <c r="J115" s="355">
        <v>0</v>
      </c>
      <c r="K115" s="356">
        <f t="shared" si="40"/>
        <v>10</v>
      </c>
      <c r="L115" s="357">
        <v>0.5</v>
      </c>
    </row>
    <row r="116" spans="2:33" ht="15" customHeight="1">
      <c r="B116" s="330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</row>
    <row r="117" spans="2:33" ht="15" customHeight="1">
      <c r="B117" s="338" t="s">
        <v>564</v>
      </c>
      <c r="C117" s="368">
        <f t="shared" ref="C117:K117" si="43">IF($C$2=FALSE,"-",$L$117+C118)</f>
        <v>2004</v>
      </c>
      <c r="D117" s="368">
        <f t="shared" si="43"/>
        <v>2005</v>
      </c>
      <c r="E117" s="368">
        <f t="shared" si="43"/>
        <v>2006</v>
      </c>
      <c r="F117" s="368">
        <f t="shared" si="43"/>
        <v>2007</v>
      </c>
      <c r="G117" s="368">
        <f t="shared" si="43"/>
        <v>2008</v>
      </c>
      <c r="H117" s="368">
        <f t="shared" si="43"/>
        <v>2009</v>
      </c>
      <c r="I117" s="368">
        <f t="shared" si="43"/>
        <v>2010</v>
      </c>
      <c r="J117" s="368">
        <f t="shared" si="43"/>
        <v>2011</v>
      </c>
      <c r="K117" s="368">
        <f t="shared" si="43"/>
        <v>2012</v>
      </c>
      <c r="L117" s="368">
        <f>IF($C$2=FALSE,"-",VALUE(LEFT(L4,4)))</f>
        <v>2013</v>
      </c>
      <c r="M117" s="369">
        <f t="shared" ref="M117:AF117" si="44">IF($C$2=FALSE,"-",$L$117+M118)</f>
        <v>2014</v>
      </c>
      <c r="N117" s="369">
        <f t="shared" si="44"/>
        <v>2015</v>
      </c>
      <c r="O117" s="369">
        <f t="shared" si="44"/>
        <v>2016</v>
      </c>
      <c r="P117" s="369">
        <f t="shared" si="44"/>
        <v>2017</v>
      </c>
      <c r="Q117" s="369">
        <f t="shared" si="44"/>
        <v>2018</v>
      </c>
      <c r="R117" s="369">
        <f t="shared" si="44"/>
        <v>2019</v>
      </c>
      <c r="S117" s="369">
        <f t="shared" si="44"/>
        <v>2020</v>
      </c>
      <c r="T117" s="369">
        <f t="shared" si="44"/>
        <v>2021</v>
      </c>
      <c r="U117" s="369">
        <f t="shared" si="44"/>
        <v>2022</v>
      </c>
      <c r="V117" s="369">
        <f t="shared" si="44"/>
        <v>2023</v>
      </c>
      <c r="W117" s="369">
        <f t="shared" si="44"/>
        <v>2024</v>
      </c>
      <c r="X117" s="369">
        <f t="shared" si="44"/>
        <v>2025</v>
      </c>
      <c r="Y117" s="369">
        <f t="shared" si="44"/>
        <v>2026</v>
      </c>
      <c r="Z117" s="369">
        <f t="shared" si="44"/>
        <v>2027</v>
      </c>
      <c r="AA117" s="369">
        <f t="shared" si="44"/>
        <v>2028</v>
      </c>
      <c r="AB117" s="369">
        <f t="shared" si="44"/>
        <v>2029</v>
      </c>
      <c r="AC117" s="369">
        <f t="shared" si="44"/>
        <v>2030</v>
      </c>
      <c r="AD117" s="369">
        <f t="shared" si="44"/>
        <v>2031</v>
      </c>
      <c r="AE117" s="369">
        <f t="shared" si="44"/>
        <v>2032</v>
      </c>
      <c r="AF117" s="369">
        <f t="shared" si="44"/>
        <v>2033</v>
      </c>
      <c r="AG117" s="341"/>
    </row>
    <row r="118" spans="2:33" s="370" customFormat="1" ht="5.0999999999999996" customHeight="1">
      <c r="C118" s="371">
        <f t="shared" ref="C118:K118" si="45">IF($C$2=FALSE,"-",D118-1)</f>
        <v>-9</v>
      </c>
      <c r="D118" s="371">
        <f t="shared" si="45"/>
        <v>-8</v>
      </c>
      <c r="E118" s="371">
        <f t="shared" si="45"/>
        <v>-7</v>
      </c>
      <c r="F118" s="371">
        <f t="shared" si="45"/>
        <v>-6</v>
      </c>
      <c r="G118" s="371">
        <f t="shared" si="45"/>
        <v>-5</v>
      </c>
      <c r="H118" s="371">
        <f t="shared" si="45"/>
        <v>-4</v>
      </c>
      <c r="I118" s="371">
        <f t="shared" si="45"/>
        <v>-3</v>
      </c>
      <c r="J118" s="371">
        <f t="shared" si="45"/>
        <v>-2</v>
      </c>
      <c r="K118" s="371">
        <f t="shared" si="45"/>
        <v>-1</v>
      </c>
      <c r="L118" s="371">
        <v>0</v>
      </c>
      <c r="M118" s="371">
        <f t="shared" ref="M118:AF118" si="46">IF($C$2=FALSE,"-",L118+1)</f>
        <v>1</v>
      </c>
      <c r="N118" s="371">
        <f t="shared" si="46"/>
        <v>2</v>
      </c>
      <c r="O118" s="371">
        <f t="shared" si="46"/>
        <v>3</v>
      </c>
      <c r="P118" s="371">
        <f t="shared" si="46"/>
        <v>4</v>
      </c>
      <c r="Q118" s="371">
        <f t="shared" si="46"/>
        <v>5</v>
      </c>
      <c r="R118" s="371">
        <f t="shared" si="46"/>
        <v>6</v>
      </c>
      <c r="S118" s="371">
        <f t="shared" si="46"/>
        <v>7</v>
      </c>
      <c r="T118" s="371">
        <f t="shared" si="46"/>
        <v>8</v>
      </c>
      <c r="U118" s="371">
        <f t="shared" si="46"/>
        <v>9</v>
      </c>
      <c r="V118" s="371">
        <f t="shared" si="46"/>
        <v>10</v>
      </c>
      <c r="W118" s="371">
        <f t="shared" si="46"/>
        <v>11</v>
      </c>
      <c r="X118" s="371">
        <f t="shared" si="46"/>
        <v>12</v>
      </c>
      <c r="Y118" s="371">
        <f t="shared" si="46"/>
        <v>13</v>
      </c>
      <c r="Z118" s="371">
        <f t="shared" si="46"/>
        <v>14</v>
      </c>
      <c r="AA118" s="371">
        <f t="shared" si="46"/>
        <v>15</v>
      </c>
      <c r="AB118" s="371">
        <f t="shared" si="46"/>
        <v>16</v>
      </c>
      <c r="AC118" s="371">
        <f t="shared" si="46"/>
        <v>17</v>
      </c>
      <c r="AD118" s="371">
        <f t="shared" si="46"/>
        <v>18</v>
      </c>
      <c r="AE118" s="371">
        <f t="shared" si="46"/>
        <v>19</v>
      </c>
      <c r="AF118" s="371">
        <f t="shared" si="46"/>
        <v>20</v>
      </c>
      <c r="AG118" s="372"/>
    </row>
    <row r="119" spans="2:33" ht="15" customHeight="1" outlineLevel="1">
      <c r="B119" s="373" t="str">
        <f t="shared" ref="B119:B143" si="47">IF($C$2=FALSE,"-",B91)</f>
        <v>Revenue Growth Rate %</v>
      </c>
      <c r="C119" s="344">
        <f t="shared" ref="C119:L119" si="48">IF($C$2=FALSE,"-",C7)</f>
        <v>0</v>
      </c>
      <c r="D119" s="344">
        <f t="shared" si="48"/>
        <v>0.18726474278544541</v>
      </c>
      <c r="E119" s="344">
        <f t="shared" si="48"/>
        <v>0.13622599329336449</v>
      </c>
      <c r="F119" s="344">
        <f t="shared" si="48"/>
        <v>2.7044430135222151E-2</v>
      </c>
      <c r="G119" s="344">
        <f t="shared" si="48"/>
        <v>6.4663880181121555E-2</v>
      </c>
      <c r="H119" s="344">
        <f t="shared" si="48"/>
        <v>-5.234488737670325E-4</v>
      </c>
      <c r="I119" s="344">
        <f t="shared" si="48"/>
        <v>-0.13418765650316689</v>
      </c>
      <c r="J119" s="344">
        <f t="shared" si="48"/>
        <v>0.1624135193376432</v>
      </c>
      <c r="K119" s="344">
        <f t="shared" si="48"/>
        <v>9.3830292386249074E-3</v>
      </c>
      <c r="L119" s="344">
        <f t="shared" si="48"/>
        <v>-8.2663401588503493E-2</v>
      </c>
      <c r="M119" s="560">
        <f t="shared" ref="M119:AF119" si="49">IF($C$2=FALSE,"-",IF(M$118&lt;=$K91,IF($L91=0,$I91-((IF($L91=0,($I91-$J91)/$K91,($J91-$I91)/(EXP(-$L91*$K91)-1)))*(M$118-1)),($I91-(IF($L91=0,($I91-$J91)/$K91,($J91-$I91)/(EXP(-$L91*$K91)-1))))+((IF($L91=0,($I91-$J91)/$K91,($J91-$I91)/(EXP(-$L91*$K91)-1)))*EXP(-$L91*(M$118-1)))),$J91))</f>
        <v>-1.0000000000000002E-2</v>
      </c>
      <c r="N119" s="561">
        <f t="shared" si="49"/>
        <v>1.3768310030485238E-2</v>
      </c>
      <c r="O119" s="561">
        <f t="shared" si="49"/>
        <v>2.8184518793529848E-2</v>
      </c>
      <c r="P119" s="561">
        <f t="shared" si="49"/>
        <v>3.6928391405134348E-2</v>
      </c>
      <c r="Q119" s="561">
        <f t="shared" si="49"/>
        <v>4.2231818228694047E-2</v>
      </c>
      <c r="R119" s="561">
        <f t="shared" si="49"/>
        <v>4.5448509198725388E-2</v>
      </c>
      <c r="S119" s="561">
        <f t="shared" si="49"/>
        <v>4.7399530894870166E-2</v>
      </c>
      <c r="T119" s="561">
        <f t="shared" si="49"/>
        <v>4.8582885371346522E-2</v>
      </c>
      <c r="U119" s="561">
        <f t="shared" si="49"/>
        <v>4.9300626142637624E-2</v>
      </c>
      <c r="V119" s="561">
        <f t="shared" si="49"/>
        <v>4.9735957926151472E-2</v>
      </c>
      <c r="W119" s="561">
        <f t="shared" si="49"/>
        <v>0.05</v>
      </c>
      <c r="X119" s="561">
        <f t="shared" si="49"/>
        <v>0.05</v>
      </c>
      <c r="Y119" s="561">
        <f t="shared" si="49"/>
        <v>0.05</v>
      </c>
      <c r="Z119" s="561">
        <f t="shared" si="49"/>
        <v>0.05</v>
      </c>
      <c r="AA119" s="561">
        <f t="shared" si="49"/>
        <v>0.05</v>
      </c>
      <c r="AB119" s="561">
        <f t="shared" si="49"/>
        <v>0.05</v>
      </c>
      <c r="AC119" s="561">
        <f t="shared" si="49"/>
        <v>0.05</v>
      </c>
      <c r="AD119" s="561">
        <f t="shared" si="49"/>
        <v>0.05</v>
      </c>
      <c r="AE119" s="561">
        <f t="shared" si="49"/>
        <v>0.05</v>
      </c>
      <c r="AF119" s="561">
        <f t="shared" si="49"/>
        <v>0.05</v>
      </c>
      <c r="AG119" s="341"/>
    </row>
    <row r="120" spans="2:33" ht="15" customHeight="1" outlineLevel="1">
      <c r="B120" s="374" t="str">
        <f t="shared" si="47"/>
        <v>Cost of Goods Sold % of Sales</v>
      </c>
      <c r="C120" s="363">
        <f t="shared" ref="C120:L120" si="50">IF($C$2=FALSE,"-",C9)</f>
        <v>0.81143229418009843</v>
      </c>
      <c r="D120" s="363">
        <f t="shared" si="50"/>
        <v>0.80999898384310542</v>
      </c>
      <c r="E120" s="363">
        <f t="shared" si="50"/>
        <v>0.81499964226944266</v>
      </c>
      <c r="F120" s="363">
        <f t="shared" si="50"/>
        <v>0.82607105538140024</v>
      </c>
      <c r="G120" s="363">
        <f t="shared" si="50"/>
        <v>0.79915921024651171</v>
      </c>
      <c r="H120" s="363">
        <f t="shared" si="50"/>
        <v>0.80808824732819429</v>
      </c>
      <c r="I120" s="363">
        <f t="shared" si="50"/>
        <v>0.80883520471815806</v>
      </c>
      <c r="J120" s="363">
        <f t="shared" si="50"/>
        <v>0.79890721045955704</v>
      </c>
      <c r="K120" s="363">
        <f t="shared" si="50"/>
        <v>0.76241723187962174</v>
      </c>
      <c r="L120" s="363">
        <f t="shared" si="50"/>
        <v>0.76589392342816998</v>
      </c>
      <c r="M120" s="562">
        <f t="shared" ref="M120:AF120" si="51">IF($C$2=FALSE,"-",IF(M$118&lt;=$K92,IF($L92=0,$I92-((IF($L92=0,($I92-$J92)/$K92,($J92-$I92)/(EXP(-$L92*$K92)-1)))*(M$118-1)),($I92-(IF($L92=0,($I92-$J92)/$K92,($J92-$I92)/(EXP(-$L92*$K92)-1))))+((IF($L92=0,($I92-$J92)/$K92,($J92-$I92)/(EXP(-$L92*$K92)-1)))*EXP(-$L92*(M$118-1)))),$J92))</f>
        <v>0.78589392342816999</v>
      </c>
      <c r="N120" s="563">
        <f t="shared" si="51"/>
        <v>0.79289392342817</v>
      </c>
      <c r="O120" s="563">
        <f t="shared" si="51"/>
        <v>0.79989392342817001</v>
      </c>
      <c r="P120" s="563">
        <f t="shared" si="51"/>
        <v>0.80689392342817001</v>
      </c>
      <c r="Q120" s="563">
        <f t="shared" si="51"/>
        <v>0.81389392342817002</v>
      </c>
      <c r="R120" s="563">
        <f t="shared" si="51"/>
        <v>0.82089392342817002</v>
      </c>
      <c r="S120" s="563">
        <f t="shared" si="51"/>
        <v>0.82789392342816992</v>
      </c>
      <c r="T120" s="563">
        <f t="shared" si="51"/>
        <v>0.83489392342816993</v>
      </c>
      <c r="U120" s="563">
        <f t="shared" si="51"/>
        <v>0.84189392342816993</v>
      </c>
      <c r="V120" s="563">
        <f t="shared" si="51"/>
        <v>0.84889392342816994</v>
      </c>
      <c r="W120" s="563">
        <f t="shared" si="51"/>
        <v>0.85589392342816994</v>
      </c>
      <c r="X120" s="563">
        <f t="shared" si="51"/>
        <v>0.85589392342816994</v>
      </c>
      <c r="Y120" s="563">
        <f t="shared" si="51"/>
        <v>0.85589392342816994</v>
      </c>
      <c r="Z120" s="563">
        <f t="shared" si="51"/>
        <v>0.85589392342816994</v>
      </c>
      <c r="AA120" s="563">
        <f t="shared" si="51"/>
        <v>0.85589392342816994</v>
      </c>
      <c r="AB120" s="563">
        <f t="shared" si="51"/>
        <v>0.85589392342816994</v>
      </c>
      <c r="AC120" s="563">
        <f t="shared" si="51"/>
        <v>0.85589392342816994</v>
      </c>
      <c r="AD120" s="563">
        <f t="shared" si="51"/>
        <v>0.85589392342816994</v>
      </c>
      <c r="AE120" s="563">
        <f t="shared" si="51"/>
        <v>0.85589392342816994</v>
      </c>
      <c r="AF120" s="563">
        <f t="shared" si="51"/>
        <v>0.85589392342816994</v>
      </c>
      <c r="AG120" s="341"/>
    </row>
    <row r="121" spans="2:33" ht="15" customHeight="1" outlineLevel="1">
      <c r="B121" s="374" t="str">
        <f t="shared" si="47"/>
        <v>SG&amp;A + R&amp;D Expense % of Sales</v>
      </c>
      <c r="C121" s="363">
        <f t="shared" ref="C121:L121" si="52">IF($C$2=FALSE,"-",C12)</f>
        <v>9.6708811890744137E-2</v>
      </c>
      <c r="D121" s="363">
        <f t="shared" si="52"/>
        <v>9.6758459506147754E-2</v>
      </c>
      <c r="E121" s="363">
        <f t="shared" si="52"/>
        <v>0.10021821563997997</v>
      </c>
      <c r="F121" s="363">
        <f t="shared" si="52"/>
        <v>0.11226053639846743</v>
      </c>
      <c r="G121" s="363">
        <f t="shared" si="52"/>
        <v>0.13328316948293065</v>
      </c>
      <c r="H121" s="363">
        <f t="shared" si="52"/>
        <v>0.12708466309880362</v>
      </c>
      <c r="I121" s="363">
        <f t="shared" si="52"/>
        <v>0.13400249517976637</v>
      </c>
      <c r="J121" s="363">
        <f t="shared" si="52"/>
        <v>0.12949230819266921</v>
      </c>
      <c r="K121" s="363">
        <f t="shared" si="52"/>
        <v>0.15111726893396271</v>
      </c>
      <c r="L121" s="363">
        <f t="shared" si="52"/>
        <v>0.16111696522655428</v>
      </c>
      <c r="M121" s="562">
        <f t="shared" ref="M121:AF121" si="53">IF($C$2=FALSE,"-",IF(M$118&lt;=$K93,IF($L93=0,$I93-((IF($L93=0,($I93-$J93)/$K93,($J93-$I93)/(EXP(-$L93*$K93)-1)))*(M$118-1)),($I93-(IF($L93=0,($I93-$J93)/$K93,($J93-$I93)/(EXP(-$L93*$K93)-1))))+((IF($L93=0,($I93-$J93)/$K93,($J93-$I93)/(EXP(-$L93*$K93)-1)))*EXP(-$L93*(M$118-1)))),$J93))</f>
        <v>0.16611696522655431</v>
      </c>
      <c r="N121" s="563">
        <f t="shared" si="53"/>
        <v>0.23103734488042182</v>
      </c>
      <c r="O121" s="563">
        <f t="shared" si="53"/>
        <v>0.27041354558067671</v>
      </c>
      <c r="P121" s="563">
        <f t="shared" si="53"/>
        <v>0.29429641856837935</v>
      </c>
      <c r="Q121" s="563">
        <f t="shared" si="53"/>
        <v>0.3087821132774437</v>
      </c>
      <c r="R121" s="563">
        <f t="shared" si="53"/>
        <v>0.31756813124572825</v>
      </c>
      <c r="S121" s="563">
        <f t="shared" si="53"/>
        <v>0.32289712052027897</v>
      </c>
      <c r="T121" s="563">
        <f t="shared" si="53"/>
        <v>0.32612931590057376</v>
      </c>
      <c r="U121" s="563">
        <f t="shared" si="53"/>
        <v>0.32808974149690406</v>
      </c>
      <c r="V121" s="563">
        <f t="shared" si="53"/>
        <v>0.32927879972716384</v>
      </c>
      <c r="W121" s="563">
        <f t="shared" si="53"/>
        <v>0.33</v>
      </c>
      <c r="X121" s="563">
        <f t="shared" si="53"/>
        <v>0.33</v>
      </c>
      <c r="Y121" s="563">
        <f t="shared" si="53"/>
        <v>0.33</v>
      </c>
      <c r="Z121" s="563">
        <f t="shared" si="53"/>
        <v>0.33</v>
      </c>
      <c r="AA121" s="563">
        <f t="shared" si="53"/>
        <v>0.33</v>
      </c>
      <c r="AB121" s="563">
        <f t="shared" si="53"/>
        <v>0.33</v>
      </c>
      <c r="AC121" s="563">
        <f t="shared" si="53"/>
        <v>0.33</v>
      </c>
      <c r="AD121" s="563">
        <f t="shared" si="53"/>
        <v>0.33</v>
      </c>
      <c r="AE121" s="563">
        <f t="shared" si="53"/>
        <v>0.33</v>
      </c>
      <c r="AF121" s="563">
        <f t="shared" si="53"/>
        <v>0.33</v>
      </c>
      <c r="AG121" s="341"/>
    </row>
    <row r="122" spans="2:33" ht="15" customHeight="1" outlineLevel="1">
      <c r="B122" s="374" t="str">
        <f t="shared" si="47"/>
        <v>Depreciation &amp; Amortization Expense % of Gross PPE</v>
      </c>
      <c r="C122" s="363">
        <f t="shared" ref="C122:L122" si="54">IF($C$2=FALSE,"-",C14)</f>
        <v>9.9245283018867925E-2</v>
      </c>
      <c r="D122" s="363">
        <f t="shared" si="54"/>
        <v>0.11070599933708983</v>
      </c>
      <c r="E122" s="363">
        <f t="shared" si="54"/>
        <v>0.11026936026936027</v>
      </c>
      <c r="F122" s="363">
        <f t="shared" si="54"/>
        <v>0.11632501852309213</v>
      </c>
      <c r="G122" s="363">
        <f t="shared" si="54"/>
        <v>0.13155613350671869</v>
      </c>
      <c r="H122" s="363">
        <f t="shared" si="54"/>
        <v>0.17050997782705099</v>
      </c>
      <c r="I122" s="363">
        <f t="shared" si="54"/>
        <v>0.18314703353396389</v>
      </c>
      <c r="J122" s="363">
        <f t="shared" si="54"/>
        <v>0.20511736096426306</v>
      </c>
      <c r="K122" s="363">
        <f t="shared" si="54"/>
        <v>0.18970409404134578</v>
      </c>
      <c r="L122" s="363">
        <f t="shared" si="54"/>
        <v>0.2158490566037736</v>
      </c>
      <c r="M122" s="562">
        <f t="shared" ref="M122:AF122" si="55">IF($C$2=FALSE,"-",IF(M$118&lt;=$K94,IF($L94=0,$I94-((IF($L94=0,($I94-$J94)/$K94,($J94-$I94)/(EXP(-$L94*$K94)-1)))*(M$118-1)),($I94-(IF($L94=0,($I94-$J94)/$K94,($J94-$I94)/(EXP(-$L94*$K94)-1))))+((IF($L94=0,($I94-$J94)/$K94,($J94-$I94)/(EXP(-$L94*$K94)-1)))*EXP(-$L94*(M$118-1)))),$J94))</f>
        <v>0.21584905660377363</v>
      </c>
      <c r="N122" s="563">
        <f t="shared" si="55"/>
        <v>0.19104836018655022</v>
      </c>
      <c r="O122" s="563">
        <f t="shared" si="55"/>
        <v>0.17600597742727897</v>
      </c>
      <c r="P122" s="563">
        <f t="shared" si="55"/>
        <v>0.16688231108864823</v>
      </c>
      <c r="Q122" s="563">
        <f t="shared" si="55"/>
        <v>0.16134852772528058</v>
      </c>
      <c r="R122" s="563">
        <f t="shared" si="55"/>
        <v>0.15799211845119041</v>
      </c>
      <c r="S122" s="563">
        <f t="shared" si="55"/>
        <v>0.1559563533199109</v>
      </c>
      <c r="T122" s="563">
        <f t="shared" si="55"/>
        <v>0.15472159935181595</v>
      </c>
      <c r="U122" s="563">
        <f t="shared" si="55"/>
        <v>0.15397268321296453</v>
      </c>
      <c r="V122" s="563">
        <f t="shared" si="55"/>
        <v>0.15351844261319755</v>
      </c>
      <c r="W122" s="563">
        <f t="shared" si="55"/>
        <v>0.1532429317625526</v>
      </c>
      <c r="X122" s="563">
        <f t="shared" si="55"/>
        <v>0.1532429317625526</v>
      </c>
      <c r="Y122" s="563">
        <f t="shared" si="55"/>
        <v>0.1532429317625526</v>
      </c>
      <c r="Z122" s="563">
        <f t="shared" si="55"/>
        <v>0.1532429317625526</v>
      </c>
      <c r="AA122" s="563">
        <f t="shared" si="55"/>
        <v>0.1532429317625526</v>
      </c>
      <c r="AB122" s="563">
        <f t="shared" si="55"/>
        <v>0.1532429317625526</v>
      </c>
      <c r="AC122" s="563">
        <f t="shared" si="55"/>
        <v>0.1532429317625526</v>
      </c>
      <c r="AD122" s="563">
        <f t="shared" si="55"/>
        <v>0.1532429317625526</v>
      </c>
      <c r="AE122" s="563">
        <f t="shared" si="55"/>
        <v>0.1532429317625526</v>
      </c>
      <c r="AF122" s="563">
        <f t="shared" si="55"/>
        <v>0.1532429317625526</v>
      </c>
      <c r="AG122" s="341"/>
    </row>
    <row r="123" spans="2:33" ht="15" customHeight="1" outlineLevel="1">
      <c r="B123" s="374" t="str">
        <f t="shared" si="47"/>
        <v>Accumulated Depreciation % of Gross PPE</v>
      </c>
      <c r="C123" s="363">
        <f t="shared" ref="C123:L123" si="56">IF($C$2=FALSE,"-",C46)</f>
        <v>0.42754716981132074</v>
      </c>
      <c r="D123" s="363">
        <f t="shared" si="56"/>
        <v>0.43950944647000334</v>
      </c>
      <c r="E123" s="363">
        <f t="shared" si="56"/>
        <v>0.43742985409652074</v>
      </c>
      <c r="F123" s="363">
        <f t="shared" si="56"/>
        <v>0.40503828105705114</v>
      </c>
      <c r="G123" s="363">
        <f t="shared" si="56"/>
        <v>0.42175986129172083</v>
      </c>
      <c r="H123" s="363">
        <f t="shared" si="56"/>
        <v>0.49512195121951219</v>
      </c>
      <c r="I123" s="363">
        <f t="shared" si="56"/>
        <v>0.53116938950988823</v>
      </c>
      <c r="J123" s="363">
        <f t="shared" si="56"/>
        <v>0.58701628251215898</v>
      </c>
      <c r="K123" s="363">
        <f t="shared" si="56"/>
        <v>0.5695176327523308</v>
      </c>
      <c r="L123" s="363">
        <f t="shared" si="56"/>
        <v>0.59886792452830184</v>
      </c>
      <c r="M123" s="562">
        <f t="shared" ref="M123:AF123" si="57">IF($C$2=FALSE,"-",IF(M$118&lt;=$K95,IF($L95=0,$I95-((IF($L95=0,($I95-$J95)/$K95,($J95-$I95)/(EXP(-$L95*$K95)-1)))*(M$118-1)),($I95-(IF($L95=0,($I95-$J95)/$K95,($J95-$I95)/(EXP(-$L95*$K95)-1))))+((IF($L95=0,($I95-$J95)/$K95,($J95-$I95)/(EXP(-$L95*$K95)-1)))*EXP(-$L95*(M$118-1)))),$J95))</f>
        <v>0.59886792452830184</v>
      </c>
      <c r="N123" s="563">
        <f t="shared" si="57"/>
        <v>0.59886792452830184</v>
      </c>
      <c r="O123" s="563">
        <f t="shared" si="57"/>
        <v>0.59886792452830184</v>
      </c>
      <c r="P123" s="563">
        <f t="shared" si="57"/>
        <v>0.59886792452830184</v>
      </c>
      <c r="Q123" s="563">
        <f t="shared" si="57"/>
        <v>0.59886792452830184</v>
      </c>
      <c r="R123" s="563">
        <f t="shared" si="57"/>
        <v>0.59886792452830184</v>
      </c>
      <c r="S123" s="563">
        <f t="shared" si="57"/>
        <v>0.59886792452830184</v>
      </c>
      <c r="T123" s="563">
        <f t="shared" si="57"/>
        <v>0.59886792452830184</v>
      </c>
      <c r="U123" s="563">
        <f t="shared" si="57"/>
        <v>0.59886792452830184</v>
      </c>
      <c r="V123" s="563">
        <f t="shared" si="57"/>
        <v>0.59886792452830184</v>
      </c>
      <c r="W123" s="563">
        <f t="shared" si="57"/>
        <v>0.59886792452830184</v>
      </c>
      <c r="X123" s="563">
        <f t="shared" si="57"/>
        <v>0.59886792452830184</v>
      </c>
      <c r="Y123" s="563">
        <f t="shared" si="57"/>
        <v>0.59886792452830184</v>
      </c>
      <c r="Z123" s="563">
        <f t="shared" si="57"/>
        <v>0.59886792452830184</v>
      </c>
      <c r="AA123" s="563">
        <f t="shared" si="57"/>
        <v>0.59886792452830184</v>
      </c>
      <c r="AB123" s="563">
        <f t="shared" si="57"/>
        <v>0.59886792452830184</v>
      </c>
      <c r="AC123" s="563">
        <f t="shared" si="57"/>
        <v>0.59886792452830184</v>
      </c>
      <c r="AD123" s="563">
        <f t="shared" si="57"/>
        <v>0.59886792452830184</v>
      </c>
      <c r="AE123" s="563">
        <f t="shared" si="57"/>
        <v>0.59886792452830184</v>
      </c>
      <c r="AF123" s="563">
        <f t="shared" si="57"/>
        <v>0.59886792452830184</v>
      </c>
      <c r="AG123" s="341"/>
    </row>
    <row r="124" spans="2:33" ht="15" customHeight="1" outlineLevel="1">
      <c r="B124" s="374" t="str">
        <f t="shared" si="47"/>
        <v>After Tax Adjustments % of Sales</v>
      </c>
      <c r="C124" s="363">
        <f t="shared" ref="C124:L124" si="58">IF($C$2=FALSE,"-",C25)</f>
        <v>0</v>
      </c>
      <c r="D124" s="363">
        <f t="shared" si="58"/>
        <v>0</v>
      </c>
      <c r="E124" s="363">
        <f t="shared" si="58"/>
        <v>0</v>
      </c>
      <c r="F124" s="363">
        <f t="shared" si="58"/>
        <v>0</v>
      </c>
      <c r="G124" s="363">
        <f t="shared" si="58"/>
        <v>0</v>
      </c>
      <c r="H124" s="363">
        <f t="shared" si="58"/>
        <v>0</v>
      </c>
      <c r="I124" s="363">
        <f t="shared" si="58"/>
        <v>0</v>
      </c>
      <c r="J124" s="363">
        <f t="shared" si="58"/>
        <v>0</v>
      </c>
      <c r="K124" s="363">
        <f t="shared" si="58"/>
        <v>0</v>
      </c>
      <c r="L124" s="363">
        <f t="shared" si="58"/>
        <v>0</v>
      </c>
      <c r="M124" s="562">
        <f t="shared" ref="M124:AF124" si="59">IF($C$2=FALSE,"-",IF(M$118&lt;=$K96,IF($L96=0,$I96-((IF($L96=0,($I96-$J96)/$K96,($J96-$I96)/(EXP(-$L96*$K96)-1)))*(M$118-1)),($I96-(IF($L96=0,($I96-$J96)/$K96,($J96-$I96)/(EXP(-$L96*$K96)-1))))+((IF($L96=0,($I96-$J96)/$K96,($J96-$I96)/(EXP(-$L96*$K96)-1)))*EXP(-$L96*(M$118-1)))),$J96))</f>
        <v>0</v>
      </c>
      <c r="N124" s="563">
        <f t="shared" si="59"/>
        <v>0</v>
      </c>
      <c r="O124" s="563">
        <f t="shared" si="59"/>
        <v>0</v>
      </c>
      <c r="P124" s="563">
        <f t="shared" si="59"/>
        <v>0</v>
      </c>
      <c r="Q124" s="563">
        <f t="shared" si="59"/>
        <v>0</v>
      </c>
      <c r="R124" s="563">
        <f t="shared" si="59"/>
        <v>0</v>
      </c>
      <c r="S124" s="563">
        <f t="shared" si="59"/>
        <v>0</v>
      </c>
      <c r="T124" s="563">
        <f t="shared" si="59"/>
        <v>0</v>
      </c>
      <c r="U124" s="563">
        <f t="shared" si="59"/>
        <v>0</v>
      </c>
      <c r="V124" s="563">
        <f t="shared" si="59"/>
        <v>0</v>
      </c>
      <c r="W124" s="563">
        <f t="shared" si="59"/>
        <v>0</v>
      </c>
      <c r="X124" s="563">
        <f t="shared" si="59"/>
        <v>0</v>
      </c>
      <c r="Y124" s="563">
        <f t="shared" si="59"/>
        <v>0</v>
      </c>
      <c r="Z124" s="563">
        <f t="shared" si="59"/>
        <v>0</v>
      </c>
      <c r="AA124" s="563">
        <f t="shared" si="59"/>
        <v>0</v>
      </c>
      <c r="AB124" s="563">
        <f t="shared" si="59"/>
        <v>0</v>
      </c>
      <c r="AC124" s="563">
        <f t="shared" si="59"/>
        <v>0</v>
      </c>
      <c r="AD124" s="563">
        <f t="shared" si="59"/>
        <v>0</v>
      </c>
      <c r="AE124" s="563">
        <f t="shared" si="59"/>
        <v>0</v>
      </c>
      <c r="AF124" s="563">
        <f t="shared" si="59"/>
        <v>0</v>
      </c>
      <c r="AG124" s="341"/>
    </row>
    <row r="125" spans="2:33" ht="15" customHeight="1" outlineLevel="1">
      <c r="B125" s="375" t="str">
        <f t="shared" si="47"/>
        <v>Non-Operating Income (Expense) % of Sales</v>
      </c>
      <c r="C125" s="354">
        <f t="shared" ref="C125:L125" si="60">IF($C$2=FALSE,"-",C17)</f>
        <v>4.6810153460090723E-3</v>
      </c>
      <c r="D125" s="354">
        <f t="shared" si="60"/>
        <v>3.8817193374657047E-3</v>
      </c>
      <c r="E125" s="354">
        <f t="shared" si="60"/>
        <v>4.0602418258567649E-3</v>
      </c>
      <c r="F125" s="354">
        <f t="shared" si="60"/>
        <v>5.5729710902124698E-3</v>
      </c>
      <c r="G125" s="354">
        <f t="shared" si="60"/>
        <v>5.7088642795216984E-3</v>
      </c>
      <c r="H125" s="354">
        <f t="shared" si="60"/>
        <v>3.6824274561791134E-3</v>
      </c>
      <c r="I125" s="354">
        <f t="shared" si="60"/>
        <v>2.2683452421458545E-4</v>
      </c>
      <c r="J125" s="354">
        <f t="shared" si="60"/>
        <v>1.8863628971932222E-3</v>
      </c>
      <c r="K125" s="354">
        <f t="shared" si="60"/>
        <v>1.4177313076960255E-3</v>
      </c>
      <c r="L125" s="354">
        <f t="shared" si="60"/>
        <v>1.738672286617492E-3</v>
      </c>
      <c r="M125" s="564">
        <f t="shared" ref="M125:AF125" si="61">IF($C$2=FALSE,"-",IF(M$118&lt;=$K97,IF($L97=0,$I97-((IF($L97=0,($I97-$J97)/$K97,($J97-$I97)/(EXP(-$L97*$K97)-1)))*(M$118-1)),($I97-(IF($L97=0,($I97-$J97)/$K97,($J97-$I97)/(EXP(-$L97*$K97)-1))))+((IF($L97=0,($I97-$J97)/$K97,($J97-$I97)/(EXP(-$L97*$K97)-1)))*EXP(-$L97*(M$118-1)))),$J97))</f>
        <v>1.738672286617492E-3</v>
      </c>
      <c r="N125" s="565">
        <f t="shared" si="61"/>
        <v>1.75916588119474E-3</v>
      </c>
      <c r="O125" s="565">
        <f t="shared" si="61"/>
        <v>1.7715958746335615E-3</v>
      </c>
      <c r="P125" s="565">
        <f t="shared" si="61"/>
        <v>1.7791350467542338E-3</v>
      </c>
      <c r="Q125" s="565">
        <f t="shared" si="61"/>
        <v>1.7837077857942719E-3</v>
      </c>
      <c r="R125" s="565">
        <f t="shared" si="61"/>
        <v>1.7864812922209201E-3</v>
      </c>
      <c r="S125" s="565">
        <f t="shared" si="61"/>
        <v>1.7881635089035924E-3</v>
      </c>
      <c r="T125" s="565">
        <f t="shared" si="61"/>
        <v>1.7891838248979132E-3</v>
      </c>
      <c r="U125" s="565">
        <f t="shared" si="61"/>
        <v>1.7898026778310637E-3</v>
      </c>
      <c r="V125" s="565">
        <f t="shared" si="61"/>
        <v>1.7901780311088728E-3</v>
      </c>
      <c r="W125" s="565">
        <f t="shared" si="61"/>
        <v>1.7904056943800876E-3</v>
      </c>
      <c r="X125" s="565">
        <f t="shared" si="61"/>
        <v>1.7904056943800876E-3</v>
      </c>
      <c r="Y125" s="565">
        <f t="shared" si="61"/>
        <v>1.7904056943800876E-3</v>
      </c>
      <c r="Z125" s="565">
        <f t="shared" si="61"/>
        <v>1.7904056943800876E-3</v>
      </c>
      <c r="AA125" s="565">
        <f t="shared" si="61"/>
        <v>1.7904056943800876E-3</v>
      </c>
      <c r="AB125" s="565">
        <f t="shared" si="61"/>
        <v>1.7904056943800876E-3</v>
      </c>
      <c r="AC125" s="565">
        <f t="shared" si="61"/>
        <v>1.7904056943800876E-3</v>
      </c>
      <c r="AD125" s="565">
        <f t="shared" si="61"/>
        <v>1.7904056943800876E-3</v>
      </c>
      <c r="AE125" s="565">
        <f t="shared" si="61"/>
        <v>1.7904056943800876E-3</v>
      </c>
      <c r="AF125" s="565">
        <f t="shared" si="61"/>
        <v>1.7904056943800876E-3</v>
      </c>
      <c r="AG125" s="341"/>
    </row>
    <row r="126" spans="2:33" ht="15" customHeight="1" outlineLevel="1">
      <c r="B126" s="374" t="str">
        <f t="shared" si="47"/>
        <v>Cash &amp; Cash Equivalents (ST Inv) % of Sales</v>
      </c>
      <c r="C126" s="363">
        <f t="shared" ref="C126:L126" si="62">IF($C$2=FALSE,"-",C35)</f>
        <v>0.12431232506514815</v>
      </c>
      <c r="D126" s="363">
        <f t="shared" si="62"/>
        <v>0.19930901331165532</v>
      </c>
      <c r="E126" s="363">
        <f t="shared" si="62"/>
        <v>0.16201616942119196</v>
      </c>
      <c r="F126" s="363">
        <f t="shared" si="62"/>
        <v>0.17934517589690002</v>
      </c>
      <c r="G126" s="363">
        <f t="shared" si="62"/>
        <v>0.13040420067721198</v>
      </c>
      <c r="H126" s="363">
        <f t="shared" si="62"/>
        <v>0.14880280191813555</v>
      </c>
      <c r="I126" s="363">
        <f t="shared" si="62"/>
        <v>0.20808287021284638</v>
      </c>
      <c r="J126" s="363">
        <f t="shared" si="62"/>
        <v>0.23360002601879859</v>
      </c>
      <c r="K126" s="363">
        <f t="shared" si="62"/>
        <v>0.23872661951636029</v>
      </c>
      <c r="L126" s="363">
        <f t="shared" si="62"/>
        <v>0.22439409905163329</v>
      </c>
      <c r="M126" s="573">
        <f t="shared" ref="M126:AF126" ca="1" si="63">IF($C$2=FALSE,"-",M170/M147)</f>
        <v>0.17745319920755084</v>
      </c>
      <c r="N126" s="574">
        <f t="shared" ca="1" si="63"/>
        <v>0</v>
      </c>
      <c r="O126" s="574">
        <f t="shared" ca="1" si="63"/>
        <v>0</v>
      </c>
      <c r="P126" s="574">
        <f t="shared" ca="1" si="63"/>
        <v>0</v>
      </c>
      <c r="Q126" s="574">
        <f t="shared" ca="1" si="63"/>
        <v>0</v>
      </c>
      <c r="R126" s="574">
        <f t="shared" ca="1" si="63"/>
        <v>0</v>
      </c>
      <c r="S126" s="574">
        <f t="shared" ca="1" si="63"/>
        <v>0</v>
      </c>
      <c r="T126" s="574">
        <f t="shared" ca="1" si="63"/>
        <v>0</v>
      </c>
      <c r="U126" s="574">
        <f t="shared" ca="1" si="63"/>
        <v>0</v>
      </c>
      <c r="V126" s="574">
        <f t="shared" ca="1" si="63"/>
        <v>0</v>
      </c>
      <c r="W126" s="574">
        <f t="shared" ca="1" si="63"/>
        <v>0</v>
      </c>
      <c r="X126" s="574">
        <f t="shared" ca="1" si="63"/>
        <v>0</v>
      </c>
      <c r="Y126" s="574">
        <f t="shared" ca="1" si="63"/>
        <v>0</v>
      </c>
      <c r="Z126" s="574">
        <f t="shared" ca="1" si="63"/>
        <v>0</v>
      </c>
      <c r="AA126" s="574">
        <f t="shared" ca="1" si="63"/>
        <v>0</v>
      </c>
      <c r="AB126" s="574">
        <f t="shared" ca="1" si="63"/>
        <v>0</v>
      </c>
      <c r="AC126" s="574">
        <f t="shared" ca="1" si="63"/>
        <v>0</v>
      </c>
      <c r="AD126" s="574">
        <f t="shared" ca="1" si="63"/>
        <v>0</v>
      </c>
      <c r="AE126" s="574">
        <f t="shared" ca="1" si="63"/>
        <v>0</v>
      </c>
      <c r="AF126" s="574">
        <f t="shared" ca="1" si="63"/>
        <v>0</v>
      </c>
      <c r="AG126" s="341"/>
    </row>
    <row r="127" spans="2:33" ht="15" customHeight="1" outlineLevel="1">
      <c r="B127" s="374" t="str">
        <f t="shared" si="47"/>
        <v>Inventories % of Sales</v>
      </c>
      <c r="C127" s="363">
        <f t="shared" ref="C127:L127" si="64">IF($C$2=FALSE,"-",C39)</f>
        <v>7.890165041984365E-3</v>
      </c>
      <c r="D127" s="363">
        <f t="shared" si="64"/>
        <v>9.3283202926531857E-3</v>
      </c>
      <c r="E127" s="363">
        <f t="shared" si="64"/>
        <v>1.03026400515132E-2</v>
      </c>
      <c r="F127" s="363">
        <f t="shared" si="64"/>
        <v>1.1494252873563218E-2</v>
      </c>
      <c r="G127" s="363">
        <f t="shared" si="64"/>
        <v>1.9302177220159325E-2</v>
      </c>
      <c r="H127" s="363">
        <f t="shared" si="64"/>
        <v>1.4189620464476849E-2</v>
      </c>
      <c r="I127" s="363">
        <f t="shared" si="64"/>
        <v>1.9866923745794109E-2</v>
      </c>
      <c r="J127" s="363">
        <f t="shared" si="64"/>
        <v>2.1156535596968808E-2</v>
      </c>
      <c r="K127" s="363">
        <f t="shared" si="64"/>
        <v>2.2619258590968406E-2</v>
      </c>
      <c r="L127" s="363">
        <f t="shared" si="64"/>
        <v>2.4271162627327012E-2</v>
      </c>
      <c r="M127" s="562">
        <f t="shared" ref="M127:AF127" si="65">IF($C$2=FALSE,"-",IF(M$118&lt;=$K99,IF($L99=0,$I99-((IF($L99=0,($I99-$J99)/$K99,($J99-$I99)/(EXP(-$L99*$K99)-1)))*(M$118-1)),($I99-(IF($L99=0,($I99-$J99)/$K99,($J99-$I99)/(EXP(-$L99*$K99)-1))))+((IF($L99=0,($I99-$J99)/$K99,($J99-$I99)/(EXP(-$L99*$K99)-1)))*EXP(-$L99*(M$118-1)))),$J99))</f>
        <v>2.4271162627327012E-2</v>
      </c>
      <c r="N127" s="563">
        <f t="shared" si="65"/>
        <v>2.2745846217126053E-2</v>
      </c>
      <c r="O127" s="563">
        <f t="shared" si="65"/>
        <v>2.1820695048576359E-2</v>
      </c>
      <c r="P127" s="563">
        <f t="shared" si="65"/>
        <v>2.1259562499981999E-2</v>
      </c>
      <c r="Q127" s="563">
        <f t="shared" si="65"/>
        <v>2.0919218405096831E-2</v>
      </c>
      <c r="R127" s="563">
        <f t="shared" si="65"/>
        <v>2.0712789276696831E-2</v>
      </c>
      <c r="S127" s="563">
        <f t="shared" si="65"/>
        <v>2.0587583681264475E-2</v>
      </c>
      <c r="T127" s="563">
        <f t="shared" si="65"/>
        <v>2.0511642648867175E-2</v>
      </c>
      <c r="U127" s="563">
        <f t="shared" si="65"/>
        <v>2.0465582084387982E-2</v>
      </c>
      <c r="V127" s="563">
        <f t="shared" si="65"/>
        <v>2.0437644939827682E-2</v>
      </c>
      <c r="W127" s="563">
        <f t="shared" si="65"/>
        <v>2.0420700205107035E-2</v>
      </c>
      <c r="X127" s="563">
        <f t="shared" si="65"/>
        <v>2.0420700205107035E-2</v>
      </c>
      <c r="Y127" s="563">
        <f t="shared" si="65"/>
        <v>2.0420700205107035E-2</v>
      </c>
      <c r="Z127" s="563">
        <f t="shared" si="65"/>
        <v>2.0420700205107035E-2</v>
      </c>
      <c r="AA127" s="563">
        <f t="shared" si="65"/>
        <v>2.0420700205107035E-2</v>
      </c>
      <c r="AB127" s="563">
        <f t="shared" si="65"/>
        <v>2.0420700205107035E-2</v>
      </c>
      <c r="AC127" s="563">
        <f t="shared" si="65"/>
        <v>2.0420700205107035E-2</v>
      </c>
      <c r="AD127" s="563">
        <f t="shared" si="65"/>
        <v>2.0420700205107035E-2</v>
      </c>
      <c r="AE127" s="563">
        <f t="shared" si="65"/>
        <v>2.0420700205107035E-2</v>
      </c>
      <c r="AF127" s="563">
        <f t="shared" si="65"/>
        <v>2.0420700205107035E-2</v>
      </c>
      <c r="AG127" s="341"/>
    </row>
    <row r="128" spans="2:33" ht="15" customHeight="1" outlineLevel="1">
      <c r="B128" s="374" t="str">
        <f t="shared" si="47"/>
        <v>Total Accounts Receivable % of Sales</v>
      </c>
      <c r="C128" s="363">
        <f t="shared" ref="C128:L128" si="66">IF($C$2=FALSE,"-",C37)</f>
        <v>8.7708715374963803E-2</v>
      </c>
      <c r="D128" s="363">
        <f t="shared" si="66"/>
        <v>8.9706330657453509E-2</v>
      </c>
      <c r="E128" s="363">
        <f t="shared" si="66"/>
        <v>9.7517349932031192E-2</v>
      </c>
      <c r="F128" s="363">
        <f t="shared" si="66"/>
        <v>0.10714036920933473</v>
      </c>
      <c r="G128" s="363">
        <f t="shared" si="66"/>
        <v>0.12584038080905566</v>
      </c>
      <c r="H128" s="363">
        <f t="shared" si="66"/>
        <v>0.10544835600072013</v>
      </c>
      <c r="I128" s="363">
        <f t="shared" si="66"/>
        <v>0.16148727836376697</v>
      </c>
      <c r="J128" s="363">
        <f t="shared" si="66"/>
        <v>0.16482908901681464</v>
      </c>
      <c r="K128" s="363">
        <f t="shared" si="66"/>
        <v>0.15793204556072885</v>
      </c>
      <c r="L128" s="363">
        <f t="shared" si="66"/>
        <v>0.17284861257463996</v>
      </c>
      <c r="M128" s="562">
        <f t="shared" ref="M128:AF128" si="67">IF($C$2=FALSE,"-",IF(M$118&lt;=$K100,IF($L100=0,$I100-((IF($L100=0,($I100-$J100)/$K100,($J100-$I100)/(EXP(-$L100*$K100)-1)))*(M$118-1)),($I100-(IF($L100=0,($I100-$J100)/$K100,($J100-$I100)/(EXP(-$L100*$K100)-1))))+((IF($L100=0,($I100-$J100)/$K100,($J100-$I100)/(EXP(-$L100*$K100)-1)))*EXP(-$L100*(M$118-1)))),$J100))</f>
        <v>0.17284861257463996</v>
      </c>
      <c r="N128" s="563">
        <f t="shared" si="67"/>
        <v>0.164791339175095</v>
      </c>
      <c r="O128" s="563">
        <f t="shared" si="67"/>
        <v>0.15990435582458395</v>
      </c>
      <c r="P128" s="563">
        <f t="shared" si="67"/>
        <v>0.15694025058899383</v>
      </c>
      <c r="Q128" s="563">
        <f t="shared" si="67"/>
        <v>0.15514242988499369</v>
      </c>
      <c r="R128" s="563">
        <f t="shared" si="67"/>
        <v>0.15405199650735144</v>
      </c>
      <c r="S128" s="563">
        <f t="shared" si="67"/>
        <v>0.15339061523143743</v>
      </c>
      <c r="T128" s="563">
        <f t="shared" si="67"/>
        <v>0.15298946720983572</v>
      </c>
      <c r="U128" s="563">
        <f t="shared" si="67"/>
        <v>0.15274615863565119</v>
      </c>
      <c r="V128" s="563">
        <f t="shared" si="67"/>
        <v>0.15259858452563735</v>
      </c>
      <c r="W128" s="563">
        <f t="shared" si="67"/>
        <v>0.15250907630333413</v>
      </c>
      <c r="X128" s="563">
        <f t="shared" si="67"/>
        <v>0.15250907630333413</v>
      </c>
      <c r="Y128" s="563">
        <f t="shared" si="67"/>
        <v>0.15250907630333413</v>
      </c>
      <c r="Z128" s="563">
        <f t="shared" si="67"/>
        <v>0.15250907630333413</v>
      </c>
      <c r="AA128" s="563">
        <f t="shared" si="67"/>
        <v>0.15250907630333413</v>
      </c>
      <c r="AB128" s="563">
        <f t="shared" si="67"/>
        <v>0.15250907630333413</v>
      </c>
      <c r="AC128" s="563">
        <f t="shared" si="67"/>
        <v>0.15250907630333413</v>
      </c>
      <c r="AD128" s="563">
        <f t="shared" si="67"/>
        <v>0.15250907630333413</v>
      </c>
      <c r="AE128" s="563">
        <f t="shared" si="67"/>
        <v>0.15250907630333413</v>
      </c>
      <c r="AF128" s="563">
        <f t="shared" si="67"/>
        <v>0.15250907630333413</v>
      </c>
      <c r="AG128" s="341"/>
    </row>
    <row r="129" spans="2:33" ht="15" customHeight="1" outlineLevel="1">
      <c r="B129" s="374" t="str">
        <f t="shared" si="47"/>
        <v>Other Current Assets % of Sales</v>
      </c>
      <c r="C129" s="363">
        <f t="shared" ref="C129:L129" si="68">IF($C$2=FALSE,"-",C41)</f>
        <v>3.6651867580349384E-2</v>
      </c>
      <c r="D129" s="363">
        <f t="shared" si="68"/>
        <v>4.5056396707651658E-2</v>
      </c>
      <c r="E129" s="363">
        <f t="shared" si="68"/>
        <v>4.6862703012091292E-2</v>
      </c>
      <c r="F129" s="363">
        <f t="shared" si="68"/>
        <v>4.926854754440961E-2</v>
      </c>
      <c r="G129" s="363">
        <f t="shared" si="68"/>
        <v>4.9645854121341995E-2</v>
      </c>
      <c r="H129" s="363">
        <f t="shared" si="68"/>
        <v>6.1357424592068867E-2</v>
      </c>
      <c r="I129" s="363">
        <f t="shared" si="68"/>
        <v>6.8863180976144564E-2</v>
      </c>
      <c r="J129" s="363">
        <f t="shared" si="68"/>
        <v>5.2346570397111915E-2</v>
      </c>
      <c r="K129" s="363">
        <f t="shared" si="68"/>
        <v>5.5146525752766989E-2</v>
      </c>
      <c r="L129" s="363">
        <f t="shared" si="68"/>
        <v>6.966982788900597E-2</v>
      </c>
      <c r="M129" s="562">
        <f t="shared" ref="M129:AF129" si="69">IF($C$2=FALSE,"-",IF(M$118&lt;=$K101,IF($L101=0,$I101-((IF($L101=0,($I101-$J101)/$K101,($J101-$I101)/(EXP(-$L101*$K101)-1)))*(M$118-1)),($I101-(IF($L101=0,($I101-$J101)/$K101,($J101-$I101)/(EXP(-$L101*$K101)-1))))+((IF($L101=0,($I101-$J101)/$K101,($J101-$I101)/(EXP(-$L101*$K101)-1)))*EXP(-$L101*(M$118-1)))),$J101))</f>
        <v>6.966982788900597E-2</v>
      </c>
      <c r="N129" s="563">
        <f t="shared" si="69"/>
        <v>6.6424216838286462E-2</v>
      </c>
      <c r="O129" s="563">
        <f t="shared" si="69"/>
        <v>6.445565422652294E-2</v>
      </c>
      <c r="P129" s="563">
        <f t="shared" si="69"/>
        <v>6.32616606469244E-2</v>
      </c>
      <c r="Q129" s="563">
        <f t="shared" si="69"/>
        <v>6.2537466933397831E-2</v>
      </c>
      <c r="R129" s="563">
        <f t="shared" si="69"/>
        <v>6.2098221242572832E-2</v>
      </c>
      <c r="S129" s="563">
        <f t="shared" si="69"/>
        <v>6.183180526394081E-2</v>
      </c>
      <c r="T129" s="563">
        <f t="shared" si="69"/>
        <v>6.1670215804663142E-2</v>
      </c>
      <c r="U129" s="563">
        <f t="shared" si="69"/>
        <v>6.1572206843324852E-2</v>
      </c>
      <c r="V129" s="563">
        <f t="shared" si="69"/>
        <v>6.1512761403346584E-2</v>
      </c>
      <c r="W129" s="563">
        <f t="shared" si="69"/>
        <v>6.1476705921419662E-2</v>
      </c>
      <c r="X129" s="563">
        <f t="shared" si="69"/>
        <v>6.1476705921419662E-2</v>
      </c>
      <c r="Y129" s="563">
        <f t="shared" si="69"/>
        <v>6.1476705921419662E-2</v>
      </c>
      <c r="Z129" s="563">
        <f t="shared" si="69"/>
        <v>6.1476705921419662E-2</v>
      </c>
      <c r="AA129" s="563">
        <f t="shared" si="69"/>
        <v>6.1476705921419662E-2</v>
      </c>
      <c r="AB129" s="563">
        <f t="shared" si="69"/>
        <v>6.1476705921419662E-2</v>
      </c>
      <c r="AC129" s="563">
        <f t="shared" si="69"/>
        <v>6.1476705921419662E-2</v>
      </c>
      <c r="AD129" s="563">
        <f t="shared" si="69"/>
        <v>6.1476705921419662E-2</v>
      </c>
      <c r="AE129" s="563">
        <f t="shared" si="69"/>
        <v>6.1476705921419662E-2</v>
      </c>
      <c r="AF129" s="563">
        <f t="shared" si="69"/>
        <v>6.1476705921419662E-2</v>
      </c>
      <c r="AG129" s="341"/>
    </row>
    <row r="130" spans="2:33" ht="15" customHeight="1" outlineLevel="1">
      <c r="B130" s="374" t="str">
        <f t="shared" si="47"/>
        <v>Property, Plant &amp; Equipment - Gross % of Sales</v>
      </c>
      <c r="C130" s="363">
        <f t="shared" ref="C130:L130" si="70">IF($C$2=FALSE,"-",C44)</f>
        <v>6.3941704468680624E-2</v>
      </c>
      <c r="D130" s="363">
        <f t="shared" si="70"/>
        <v>6.131490702164414E-2</v>
      </c>
      <c r="E130" s="363">
        <f t="shared" si="70"/>
        <v>6.374758531873792E-2</v>
      </c>
      <c r="F130" s="363">
        <f t="shared" si="70"/>
        <v>7.0515499825844652E-2</v>
      </c>
      <c r="G130" s="363">
        <f t="shared" si="70"/>
        <v>7.5474784486284002E-2</v>
      </c>
      <c r="H130" s="363">
        <f t="shared" si="70"/>
        <v>7.3812212566079116E-2</v>
      </c>
      <c r="I130" s="363">
        <f t="shared" si="70"/>
        <v>8.793618388718763E-2</v>
      </c>
      <c r="J130" s="363">
        <f t="shared" si="70"/>
        <v>7.6901811558851271E-2</v>
      </c>
      <c r="K130" s="363">
        <f t="shared" si="70"/>
        <v>7.9489616729229426E-2</v>
      </c>
      <c r="L130" s="363">
        <f t="shared" si="70"/>
        <v>9.3080435546188972E-2</v>
      </c>
      <c r="M130" s="562">
        <f t="shared" ref="M130:AF130" si="71">IF($C$2=FALSE,"-",IF(M$118&lt;=$K102,IF($L102=0,$I102-((IF($L102=0,($I102-$J102)/$K102,($J102-$I102)/(EXP(-$L102*$K102)-1)))*(M$118-1)),($I102-(IF($L102=0,($I102-$J102)/$K102,($J102-$I102)/(EXP(-$L102*$K102)-1))))+((IF($L102=0,($I102-$J102)/$K102,($J102-$I102)/(EXP(-$L102*$K102)-1)))*EXP(-$L102*(M$118-1)))),$J102))</f>
        <v>9.3080435546188972E-2</v>
      </c>
      <c r="N130" s="563">
        <f t="shared" si="71"/>
        <v>9.704182055126985E-2</v>
      </c>
      <c r="O130" s="563">
        <f t="shared" si="71"/>
        <v>9.9444522011777281E-2</v>
      </c>
      <c r="P130" s="563">
        <f t="shared" si="71"/>
        <v>0.10090183411371137</v>
      </c>
      <c r="Q130" s="563">
        <f t="shared" si="71"/>
        <v>0.10178573858430465</v>
      </c>
      <c r="R130" s="563">
        <f t="shared" si="71"/>
        <v>0.10232185374597653</v>
      </c>
      <c r="S130" s="563">
        <f t="shared" si="71"/>
        <v>0.10264702402866734</v>
      </c>
      <c r="T130" s="563">
        <f t="shared" si="71"/>
        <v>0.10284424977474672</v>
      </c>
      <c r="U130" s="563">
        <f t="shared" si="71"/>
        <v>0.10296387323662858</v>
      </c>
      <c r="V130" s="563">
        <f t="shared" si="71"/>
        <v>0.10303642853388088</v>
      </c>
      <c r="W130" s="563">
        <f t="shared" si="71"/>
        <v>0.10308043554618897</v>
      </c>
      <c r="X130" s="563">
        <f t="shared" si="71"/>
        <v>0.10308043554618897</v>
      </c>
      <c r="Y130" s="563">
        <f t="shared" si="71"/>
        <v>0.10308043554618897</v>
      </c>
      <c r="Z130" s="563">
        <f t="shared" si="71"/>
        <v>0.10308043554618897</v>
      </c>
      <c r="AA130" s="563">
        <f t="shared" si="71"/>
        <v>0.10308043554618897</v>
      </c>
      <c r="AB130" s="563">
        <f t="shared" si="71"/>
        <v>0.10308043554618897</v>
      </c>
      <c r="AC130" s="563">
        <f t="shared" si="71"/>
        <v>0.10308043554618897</v>
      </c>
      <c r="AD130" s="563">
        <f t="shared" si="71"/>
        <v>0.10308043554618897</v>
      </c>
      <c r="AE130" s="563">
        <f t="shared" si="71"/>
        <v>0.10308043554618897</v>
      </c>
      <c r="AF130" s="563">
        <f t="shared" si="71"/>
        <v>0.10308043554618897</v>
      </c>
      <c r="AG130" s="341"/>
    </row>
    <row r="131" spans="2:33" ht="15" customHeight="1" outlineLevel="1">
      <c r="B131" s="375" t="str">
        <f t="shared" si="47"/>
        <v>Other Non-Current Assets % of Sales</v>
      </c>
      <c r="C131" s="354">
        <f t="shared" ref="C131:L131" si="72">IF($C$2=FALSE,"-",C51)</f>
        <v>0.17278737573593284</v>
      </c>
      <c r="D131" s="354">
        <f t="shared" si="72"/>
        <v>9.4035159028554013E-2</v>
      </c>
      <c r="E131" s="354">
        <f t="shared" si="72"/>
        <v>6.0778421692780998E-2</v>
      </c>
      <c r="F131" s="354">
        <f t="shared" si="72"/>
        <v>5.7244862417276207E-2</v>
      </c>
      <c r="G131" s="354">
        <f t="shared" si="72"/>
        <v>4.2284854333993094E-2</v>
      </c>
      <c r="H131" s="354">
        <f t="shared" si="72"/>
        <v>2.636618058624245E-2</v>
      </c>
      <c r="I131" s="354">
        <f t="shared" si="72"/>
        <v>2.7560394692072134E-2</v>
      </c>
      <c r="J131" s="354">
        <f t="shared" si="72"/>
        <v>2.8701987185741698E-2</v>
      </c>
      <c r="K131" s="354">
        <f t="shared" si="72"/>
        <v>8.4838330299173523E-2</v>
      </c>
      <c r="L131" s="354">
        <f t="shared" si="72"/>
        <v>8.3737267298911136E-2</v>
      </c>
      <c r="M131" s="564">
        <f t="shared" ref="M131:AF131" si="73">IF($C$2=FALSE,"-",IF(M$118&lt;=$K103,IF($L103=0,$I103-((IF($L103=0,($I103-$J103)/$K103,($J103-$I103)/(EXP(-$L103*$K103)-1)))*(M$118-1)),($I103-(IF($L103=0,($I103-$J103)/$K103,($J103-$I103)/(EXP(-$L103*$K103)-1))))+((IF($L103=0,($I103-$J103)/$K103,($J103-$I103)/(EXP(-$L103*$K103)-1)))*EXP(-$L103*(M$118-1)))),$J103))</f>
        <v>8.3737267298911136E-2</v>
      </c>
      <c r="N131" s="565">
        <f t="shared" si="73"/>
        <v>7.0468039652157588E-2</v>
      </c>
      <c r="O131" s="565">
        <f t="shared" si="73"/>
        <v>6.2419846253695059E-2</v>
      </c>
      <c r="P131" s="565">
        <f t="shared" si="73"/>
        <v>5.753837020223071E-2</v>
      </c>
      <c r="Q131" s="565">
        <f t="shared" si="73"/>
        <v>5.4577605312364622E-2</v>
      </c>
      <c r="R131" s="565">
        <f t="shared" si="73"/>
        <v>5.2781810630460141E-2</v>
      </c>
      <c r="S131" s="565">
        <f t="shared" si="73"/>
        <v>5.1692606097336176E-2</v>
      </c>
      <c r="T131" s="565">
        <f t="shared" si="73"/>
        <v>5.1031970153298509E-2</v>
      </c>
      <c r="U131" s="565">
        <f t="shared" si="73"/>
        <v>5.0631274198331459E-2</v>
      </c>
      <c r="V131" s="565">
        <f t="shared" si="73"/>
        <v>5.0388239816421113E-2</v>
      </c>
      <c r="W131" s="565">
        <f t="shared" si="73"/>
        <v>5.0240832012428183E-2</v>
      </c>
      <c r="X131" s="565">
        <f t="shared" si="73"/>
        <v>5.0240832012428183E-2</v>
      </c>
      <c r="Y131" s="565">
        <f t="shared" si="73"/>
        <v>5.0240832012428183E-2</v>
      </c>
      <c r="Z131" s="565">
        <f t="shared" si="73"/>
        <v>5.0240832012428183E-2</v>
      </c>
      <c r="AA131" s="565">
        <f t="shared" si="73"/>
        <v>5.0240832012428183E-2</v>
      </c>
      <c r="AB131" s="565">
        <f t="shared" si="73"/>
        <v>5.0240832012428183E-2</v>
      </c>
      <c r="AC131" s="565">
        <f t="shared" si="73"/>
        <v>5.0240832012428183E-2</v>
      </c>
      <c r="AD131" s="565">
        <f t="shared" si="73"/>
        <v>5.0240832012428183E-2</v>
      </c>
      <c r="AE131" s="565">
        <f t="shared" si="73"/>
        <v>5.0240832012428183E-2</v>
      </c>
      <c r="AF131" s="565">
        <f t="shared" si="73"/>
        <v>5.0240832012428183E-2</v>
      </c>
      <c r="AG131" s="341"/>
    </row>
    <row r="132" spans="2:33" ht="15" customHeight="1" outlineLevel="1">
      <c r="B132" s="374" t="str">
        <f t="shared" si="47"/>
        <v>Accounts Payable % of Sales</v>
      </c>
      <c r="C132" s="363">
        <f t="shared" ref="C132:L132" si="74">IF($C$2=FALSE,"-",C58)</f>
        <v>0.17652736222372359</v>
      </c>
      <c r="D132" s="363">
        <f t="shared" si="74"/>
        <v>0.18077431155370388</v>
      </c>
      <c r="E132" s="363">
        <f t="shared" si="74"/>
        <v>0.17600343421335052</v>
      </c>
      <c r="F132" s="363">
        <f t="shared" si="74"/>
        <v>0.18164402647161268</v>
      </c>
      <c r="G132" s="363">
        <f t="shared" si="74"/>
        <v>0.18798357679158556</v>
      </c>
      <c r="H132" s="363">
        <f t="shared" si="74"/>
        <v>0.13598795437063224</v>
      </c>
      <c r="I132" s="363">
        <f t="shared" si="74"/>
        <v>0.21498242032437337</v>
      </c>
      <c r="J132" s="363">
        <f t="shared" si="74"/>
        <v>0.18364393274140567</v>
      </c>
      <c r="K132" s="363">
        <f t="shared" si="74"/>
        <v>0.18778495593755537</v>
      </c>
      <c r="L132" s="363">
        <f t="shared" si="74"/>
        <v>0.20335440814892869</v>
      </c>
      <c r="M132" s="562">
        <f t="shared" ref="M132:AF132" si="75">IF($C$2=FALSE,"-",IF(M$118&lt;=$K104,IF($L104=0,$I104-((IF($L104=0,($I104-$J104)/$K104,($J104-$I104)/(EXP(-$L104*$K104)-1)))*(M$118-1)),($I104-(IF($L104=0,($I104-$J104)/$K104,($J104-$I104)/(EXP(-$L104*$K104)-1))))+((IF($L104=0,($I104-$J104)/$K104,($J104-$I104)/(EXP(-$L104*$K104)-1)))*EXP(-$L104*(M$118-1)))),$J104))</f>
        <v>0.20335440814892869</v>
      </c>
      <c r="N132" s="563">
        <f t="shared" si="75"/>
        <v>0.19614323208848974</v>
      </c>
      <c r="O132" s="563">
        <f t="shared" si="75"/>
        <v>0.19176943271524777</v>
      </c>
      <c r="P132" s="563">
        <f t="shared" si="75"/>
        <v>0.1891165892959446</v>
      </c>
      <c r="Q132" s="563">
        <f t="shared" si="75"/>
        <v>0.18750755842672034</v>
      </c>
      <c r="R132" s="563">
        <f t="shared" si="75"/>
        <v>0.18653163187211177</v>
      </c>
      <c r="S132" s="563">
        <f t="shared" si="75"/>
        <v>0.18593970249511393</v>
      </c>
      <c r="T132" s="563">
        <f t="shared" si="75"/>
        <v>0.18558067917958015</v>
      </c>
      <c r="U132" s="563">
        <f t="shared" si="75"/>
        <v>0.18536292053115724</v>
      </c>
      <c r="V132" s="563">
        <f t="shared" si="75"/>
        <v>0.18523084323447117</v>
      </c>
      <c r="W132" s="563">
        <f t="shared" si="75"/>
        <v>0.1851507343045791</v>
      </c>
      <c r="X132" s="563">
        <f t="shared" si="75"/>
        <v>0.1851507343045791</v>
      </c>
      <c r="Y132" s="563">
        <f t="shared" si="75"/>
        <v>0.1851507343045791</v>
      </c>
      <c r="Z132" s="563">
        <f t="shared" si="75"/>
        <v>0.1851507343045791</v>
      </c>
      <c r="AA132" s="563">
        <f t="shared" si="75"/>
        <v>0.1851507343045791</v>
      </c>
      <c r="AB132" s="563">
        <f t="shared" si="75"/>
        <v>0.1851507343045791</v>
      </c>
      <c r="AC132" s="563">
        <f t="shared" si="75"/>
        <v>0.1851507343045791</v>
      </c>
      <c r="AD132" s="563">
        <f t="shared" si="75"/>
        <v>0.1851507343045791</v>
      </c>
      <c r="AE132" s="563">
        <f t="shared" si="75"/>
        <v>0.1851507343045791</v>
      </c>
      <c r="AF132" s="563">
        <f t="shared" si="75"/>
        <v>0.1851507343045791</v>
      </c>
      <c r="AG132" s="341"/>
    </row>
    <row r="133" spans="2:33" ht="15" customHeight="1" outlineLevel="1">
      <c r="B133" s="374" t="str">
        <f t="shared" si="47"/>
        <v>Minority Interest Liability % of Sales</v>
      </c>
      <c r="C133" s="363">
        <f t="shared" ref="C133:L133" si="76">IF($C$2=FALSE,"-",C70)</f>
        <v>0</v>
      </c>
      <c r="D133" s="363">
        <f t="shared" si="76"/>
        <v>0</v>
      </c>
      <c r="E133" s="363">
        <f t="shared" si="76"/>
        <v>0</v>
      </c>
      <c r="F133" s="363">
        <f t="shared" si="76"/>
        <v>0</v>
      </c>
      <c r="G133" s="363">
        <f t="shared" si="76"/>
        <v>0</v>
      </c>
      <c r="H133" s="363">
        <f t="shared" si="76"/>
        <v>0</v>
      </c>
      <c r="I133" s="363">
        <f t="shared" si="76"/>
        <v>0</v>
      </c>
      <c r="J133" s="363">
        <f t="shared" si="76"/>
        <v>0</v>
      </c>
      <c r="K133" s="363">
        <f t="shared" si="76"/>
        <v>0</v>
      </c>
      <c r="L133" s="363">
        <f t="shared" si="76"/>
        <v>3.6880927291886193E-4</v>
      </c>
      <c r="M133" s="562">
        <f t="shared" ref="M133:AF133" si="77">IF($C$2=FALSE,"-",IF(M$118&lt;=$K105,IF($L105=0,$I105-((IF($L105=0,($I105-$J105)/$K105,($J105-$I105)/(EXP(-$L105*$K105)-1)))*(M$118-1)),($I105-(IF($L105=0,($I105-$J105)/$K105,($J105-$I105)/(EXP(-$L105*$K105)-1))))+((IF($L105=0,($I105-$J105)/$K105,($J105-$I105)/(EXP(-$L105*$K105)-1)))*EXP(-$L105*(M$118-1)))),$J105))</f>
        <v>3.6880927291886193E-4</v>
      </c>
      <c r="N133" s="563">
        <f t="shared" si="77"/>
        <v>2.5192963104081728E-4</v>
      </c>
      <c r="O133" s="563">
        <f t="shared" si="77"/>
        <v>1.8103854474555044E-4</v>
      </c>
      <c r="P133" s="563">
        <f t="shared" si="77"/>
        <v>1.3804092740713706E-4</v>
      </c>
      <c r="Q133" s="563">
        <f t="shared" si="77"/>
        <v>1.1196155419679782E-4</v>
      </c>
      <c r="R133" s="563">
        <f t="shared" si="77"/>
        <v>9.6143614758638788E-5</v>
      </c>
      <c r="S133" s="563">
        <f t="shared" si="77"/>
        <v>8.6549549515917701E-5</v>
      </c>
      <c r="T133" s="563">
        <f t="shared" si="77"/>
        <v>8.0730454794924032E-5</v>
      </c>
      <c r="U133" s="563">
        <f t="shared" si="77"/>
        <v>7.720099543486944E-5</v>
      </c>
      <c r="V133" s="563">
        <f t="shared" si="77"/>
        <v>7.5060270120786608E-5</v>
      </c>
      <c r="W133" s="563">
        <f t="shared" si="77"/>
        <v>7.3761854583772387E-5</v>
      </c>
      <c r="X133" s="563">
        <f t="shared" si="77"/>
        <v>7.3761854583772387E-5</v>
      </c>
      <c r="Y133" s="563">
        <f t="shared" si="77"/>
        <v>7.3761854583772387E-5</v>
      </c>
      <c r="Z133" s="563">
        <f t="shared" si="77"/>
        <v>7.3761854583772387E-5</v>
      </c>
      <c r="AA133" s="563">
        <f t="shared" si="77"/>
        <v>7.3761854583772387E-5</v>
      </c>
      <c r="AB133" s="563">
        <f t="shared" si="77"/>
        <v>7.3761854583772387E-5</v>
      </c>
      <c r="AC133" s="563">
        <f t="shared" si="77"/>
        <v>7.3761854583772387E-5</v>
      </c>
      <c r="AD133" s="563">
        <f t="shared" si="77"/>
        <v>7.3761854583772387E-5</v>
      </c>
      <c r="AE133" s="563">
        <f t="shared" si="77"/>
        <v>7.3761854583772387E-5</v>
      </c>
      <c r="AF133" s="563">
        <f t="shared" si="77"/>
        <v>7.3761854583772387E-5</v>
      </c>
      <c r="AG133" s="341"/>
    </row>
    <row r="134" spans="2:33" ht="15" customHeight="1" outlineLevel="1">
      <c r="B134" s="374" t="str">
        <f t="shared" si="47"/>
        <v>Other Non- Current Liabilities % of Sales</v>
      </c>
      <c r="C134" s="363">
        <f t="shared" ref="C134:L134" si="78">IF($C$2=FALSE,"-",C72)</f>
        <v>3.9330180484509217E-2</v>
      </c>
      <c r="D134" s="363">
        <f t="shared" si="78"/>
        <v>4.2455035057412861E-2</v>
      </c>
      <c r="E134" s="363">
        <f t="shared" si="78"/>
        <v>4.559275953351935E-2</v>
      </c>
      <c r="F134" s="363">
        <f t="shared" si="78"/>
        <v>5.1323580633925461E-2</v>
      </c>
      <c r="G134" s="363">
        <f t="shared" si="78"/>
        <v>8.0774704333175212E-2</v>
      </c>
      <c r="H134" s="363">
        <f t="shared" si="78"/>
        <v>8.9556635734276038E-2</v>
      </c>
      <c r="I134" s="363">
        <f t="shared" si="78"/>
        <v>0.10649880911874787</v>
      </c>
      <c r="J134" s="363">
        <f t="shared" si="78"/>
        <v>0.10088789150160991</v>
      </c>
      <c r="K134" s="363">
        <f t="shared" si="78"/>
        <v>0.10992250809556797</v>
      </c>
      <c r="L134" s="363">
        <f t="shared" si="78"/>
        <v>0.14327362135581315</v>
      </c>
      <c r="M134" s="562">
        <f t="shared" ref="M134:AF134" si="79">IF($C$2=FALSE,"-",IF(M$118&lt;=$K106,IF($L106=0,$I106-((IF($L106=0,($I106-$J106)/$K106,($J106-$I106)/(EXP(-$L106*$K106)-1)))*(M$118-1)),($I106-(IF($L106=0,($I106-$J106)/$K106,($J106-$I106)/(EXP(-$L106*$K106)-1))))+((IF($L106=0,($I106-$J106)/$K106,($J106-$I106)/(EXP(-$L106*$K106)-1)))*EXP(-$L106*(M$118-1)))),$J106))</f>
        <v>0.14327362135581315</v>
      </c>
      <c r="N134" s="563">
        <f t="shared" si="79"/>
        <v>0.13010370844050084</v>
      </c>
      <c r="O134" s="563">
        <f t="shared" si="79"/>
        <v>0.12211575247161854</v>
      </c>
      <c r="P134" s="563">
        <f t="shared" si="79"/>
        <v>0.1172708122680569</v>
      </c>
      <c r="Q134" s="563">
        <f t="shared" si="79"/>
        <v>0.11433220749012239</v>
      </c>
      <c r="R134" s="563">
        <f t="shared" si="79"/>
        <v>0.11254985359552708</v>
      </c>
      <c r="S134" s="563">
        <f t="shared" si="79"/>
        <v>0.1114688013119968</v>
      </c>
      <c r="T134" s="563">
        <f t="shared" si="79"/>
        <v>0.11081310995728333</v>
      </c>
      <c r="U134" s="563">
        <f t="shared" si="79"/>
        <v>0.11041541304734111</v>
      </c>
      <c r="V134" s="563">
        <f t="shared" si="79"/>
        <v>0.11017419767818816</v>
      </c>
      <c r="W134" s="563">
        <f t="shared" si="79"/>
        <v>0.11002789316120301</v>
      </c>
      <c r="X134" s="563">
        <f t="shared" si="79"/>
        <v>0.11002789316120301</v>
      </c>
      <c r="Y134" s="563">
        <f t="shared" si="79"/>
        <v>0.11002789316120301</v>
      </c>
      <c r="Z134" s="563">
        <f t="shared" si="79"/>
        <v>0.11002789316120301</v>
      </c>
      <c r="AA134" s="563">
        <f t="shared" si="79"/>
        <v>0.11002789316120301</v>
      </c>
      <c r="AB134" s="563">
        <f t="shared" si="79"/>
        <v>0.11002789316120301</v>
      </c>
      <c r="AC134" s="563">
        <f t="shared" si="79"/>
        <v>0.11002789316120301</v>
      </c>
      <c r="AD134" s="563">
        <f t="shared" si="79"/>
        <v>0.11002789316120301</v>
      </c>
      <c r="AE134" s="563">
        <f t="shared" si="79"/>
        <v>0.11002789316120301</v>
      </c>
      <c r="AF134" s="563">
        <f t="shared" si="79"/>
        <v>0.11002789316120301</v>
      </c>
      <c r="AG134" s="341"/>
    </row>
    <row r="135" spans="2:33" ht="15" customHeight="1" outlineLevel="1">
      <c r="B135" s="374" t="str">
        <f t="shared" si="47"/>
        <v>Capital Lease Obligations % of Sales</v>
      </c>
      <c r="C135" s="363">
        <f t="shared" ref="C135:L135" si="80">IF($C$2=FALSE,"-",C68)</f>
        <v>0</v>
      </c>
      <c r="D135" s="363">
        <f t="shared" si="80"/>
        <v>0</v>
      </c>
      <c r="E135" s="363">
        <f t="shared" si="80"/>
        <v>0</v>
      </c>
      <c r="F135" s="363">
        <f t="shared" si="80"/>
        <v>0</v>
      </c>
      <c r="G135" s="363">
        <f t="shared" si="80"/>
        <v>0</v>
      </c>
      <c r="H135" s="363">
        <f t="shared" si="80"/>
        <v>0</v>
      </c>
      <c r="I135" s="363">
        <f t="shared" si="80"/>
        <v>0</v>
      </c>
      <c r="J135" s="363">
        <f t="shared" si="80"/>
        <v>0</v>
      </c>
      <c r="K135" s="363">
        <f t="shared" si="80"/>
        <v>0</v>
      </c>
      <c r="L135" s="363">
        <f t="shared" si="80"/>
        <v>0</v>
      </c>
      <c r="M135" s="562">
        <f t="shared" ref="M135:AF135" si="81">IF($C$2=FALSE,"-",IF(M$118&lt;=$K107,IF($L107=0,$I107-((IF($L107=0,($I107-$J107)/$K107,($J107-$I107)/(EXP(-$L107*$K107)-1)))*(M$118-1)),($I107-(IF($L107=0,($I107-$J107)/$K107,($J107-$I107)/(EXP(-$L107*$K107)-1))))+((IF($L107=0,($I107-$J107)/$K107,($J107-$I107)/(EXP(-$L107*$K107)-1)))*EXP(-$L107*(M$118-1)))),$J107))</f>
        <v>0</v>
      </c>
      <c r="N135" s="563">
        <f t="shared" si="81"/>
        <v>0</v>
      </c>
      <c r="O135" s="563">
        <f t="shared" si="81"/>
        <v>0</v>
      </c>
      <c r="P135" s="563">
        <f t="shared" si="81"/>
        <v>0</v>
      </c>
      <c r="Q135" s="563">
        <f t="shared" si="81"/>
        <v>0</v>
      </c>
      <c r="R135" s="563">
        <f t="shared" si="81"/>
        <v>0</v>
      </c>
      <c r="S135" s="563">
        <f t="shared" si="81"/>
        <v>0</v>
      </c>
      <c r="T135" s="563">
        <f t="shared" si="81"/>
        <v>0</v>
      </c>
      <c r="U135" s="563">
        <f t="shared" si="81"/>
        <v>0</v>
      </c>
      <c r="V135" s="563">
        <f t="shared" si="81"/>
        <v>0</v>
      </c>
      <c r="W135" s="563">
        <f t="shared" si="81"/>
        <v>0</v>
      </c>
      <c r="X135" s="563">
        <f t="shared" si="81"/>
        <v>0</v>
      </c>
      <c r="Y135" s="563">
        <f t="shared" si="81"/>
        <v>0</v>
      </c>
      <c r="Z135" s="563">
        <f t="shared" si="81"/>
        <v>0</v>
      </c>
      <c r="AA135" s="563">
        <f t="shared" si="81"/>
        <v>0</v>
      </c>
      <c r="AB135" s="563">
        <f t="shared" si="81"/>
        <v>0</v>
      </c>
      <c r="AC135" s="563">
        <f t="shared" si="81"/>
        <v>0</v>
      </c>
      <c r="AD135" s="563">
        <f t="shared" si="81"/>
        <v>0</v>
      </c>
      <c r="AE135" s="563">
        <f t="shared" si="81"/>
        <v>0</v>
      </c>
      <c r="AF135" s="563">
        <f t="shared" si="81"/>
        <v>0</v>
      </c>
      <c r="AG135" s="341"/>
    </row>
    <row r="136" spans="2:33" ht="15" customHeight="1" outlineLevel="1">
      <c r="B136" s="374" t="str">
        <f t="shared" si="47"/>
        <v>Other Current Liabilities % of Sales</v>
      </c>
      <c r="C136" s="363">
        <f t="shared" ref="C136:L136" si="82">IF($C$2=FALSE,"-",C61)</f>
        <v>8.6381623395425156E-2</v>
      </c>
      <c r="D136" s="363">
        <f t="shared" si="82"/>
        <v>0.10651356569454323</v>
      </c>
      <c r="E136" s="363">
        <f t="shared" si="82"/>
        <v>0.10887529512770981</v>
      </c>
      <c r="F136" s="363">
        <f t="shared" si="82"/>
        <v>0.12492163009404389</v>
      </c>
      <c r="G136" s="363">
        <f t="shared" si="82"/>
        <v>0.11138010567124139</v>
      </c>
      <c r="H136" s="363">
        <f t="shared" si="82"/>
        <v>0.10535015793522201</v>
      </c>
      <c r="I136" s="363">
        <f t="shared" si="82"/>
        <v>0.13088352047181581</v>
      </c>
      <c r="J136" s="363">
        <f t="shared" si="82"/>
        <v>0.11934497674569877</v>
      </c>
      <c r="K136" s="363">
        <f t="shared" si="82"/>
        <v>0.12047493998807816</v>
      </c>
      <c r="L136" s="363">
        <f t="shared" si="82"/>
        <v>0.14079733052335791</v>
      </c>
      <c r="M136" s="562">
        <f t="shared" ref="M136:AF136" si="83">IF($C$2=FALSE,"-",IF(M$118&lt;=$K108,IF($L108=0,$I108-((IF($L108=0,($I108-$J108)/$K108,($J108-$I108)/(EXP(-$L108*$K108)-1)))*(M$118-1)),($I108-(IF($L108=0,($I108-$J108)/$K108,($J108-$I108)/(EXP(-$L108*$K108)-1))))+((IF($L108=0,($I108-$J108)/$K108,($J108-$I108)/(EXP(-$L108*$K108)-1)))*EXP(-$L108*(M$118-1)))),$J108))</f>
        <v>0.14079733052335791</v>
      </c>
      <c r="N136" s="563">
        <f t="shared" si="83"/>
        <v>0.13389376728021957</v>
      </c>
      <c r="O136" s="563">
        <f t="shared" si="83"/>
        <v>0.12970654451199098</v>
      </c>
      <c r="P136" s="563">
        <f t="shared" si="83"/>
        <v>0.12716686552401354</v>
      </c>
      <c r="Q136" s="563">
        <f t="shared" si="83"/>
        <v>0.12562647235197727</v>
      </c>
      <c r="R136" s="563">
        <f t="shared" si="83"/>
        <v>0.12469217666512526</v>
      </c>
      <c r="S136" s="563">
        <f t="shared" si="83"/>
        <v>0.12412549768581226</v>
      </c>
      <c r="T136" s="563">
        <f t="shared" si="83"/>
        <v>0.12378178951064425</v>
      </c>
      <c r="U136" s="563">
        <f t="shared" si="83"/>
        <v>0.12357331996441098</v>
      </c>
      <c r="V136" s="563">
        <f t="shared" si="83"/>
        <v>0.12344687679300412</v>
      </c>
      <c r="W136" s="563">
        <f t="shared" si="83"/>
        <v>0.12337018513283456</v>
      </c>
      <c r="X136" s="563">
        <f t="shared" si="83"/>
        <v>0.12337018513283456</v>
      </c>
      <c r="Y136" s="563">
        <f t="shared" si="83"/>
        <v>0.12337018513283456</v>
      </c>
      <c r="Z136" s="563">
        <f t="shared" si="83"/>
        <v>0.12337018513283456</v>
      </c>
      <c r="AA136" s="563">
        <f t="shared" si="83"/>
        <v>0.12337018513283456</v>
      </c>
      <c r="AB136" s="563">
        <f t="shared" si="83"/>
        <v>0.12337018513283456</v>
      </c>
      <c r="AC136" s="563">
        <f t="shared" si="83"/>
        <v>0.12337018513283456</v>
      </c>
      <c r="AD136" s="563">
        <f t="shared" si="83"/>
        <v>0.12337018513283456</v>
      </c>
      <c r="AE136" s="563">
        <f t="shared" si="83"/>
        <v>0.12337018513283456</v>
      </c>
      <c r="AF136" s="563">
        <f t="shared" si="83"/>
        <v>0.12337018513283456</v>
      </c>
      <c r="AG136" s="341"/>
    </row>
    <row r="137" spans="2:33" ht="15" customHeight="1" outlineLevel="1">
      <c r="B137" s="376" t="str">
        <f t="shared" si="47"/>
        <v>Intangible Assets (Including Goodwill) % of Sales</v>
      </c>
      <c r="C137" s="358">
        <f t="shared" ref="C137:L137" si="84">IF($C$2=FALSE,"-",C49)</f>
        <v>0</v>
      </c>
      <c r="D137" s="358">
        <f t="shared" si="84"/>
        <v>0</v>
      </c>
      <c r="E137" s="358">
        <f t="shared" si="84"/>
        <v>0</v>
      </c>
      <c r="F137" s="358">
        <f t="shared" si="84"/>
        <v>0</v>
      </c>
      <c r="G137" s="358">
        <f t="shared" si="84"/>
        <v>3.9716683297073591E-2</v>
      </c>
      <c r="H137" s="358">
        <f t="shared" si="84"/>
        <v>4.0277573198474657E-2</v>
      </c>
      <c r="I137" s="358">
        <f t="shared" si="84"/>
        <v>0.10903179463914407</v>
      </c>
      <c r="J137" s="358">
        <f t="shared" si="84"/>
        <v>9.5293849806485184E-2</v>
      </c>
      <c r="K137" s="358">
        <f t="shared" si="84"/>
        <v>0.12397093650819223</v>
      </c>
      <c r="L137" s="358">
        <f t="shared" si="84"/>
        <v>0.22265542676501582</v>
      </c>
      <c r="M137" s="566">
        <f t="shared" ref="M137:AF137" si="85">IF($C$2=FALSE,"-",IF(M$118&lt;=$K109,IF($L109=0,$I109-((IF($L109=0,($I109-$J109)/$K109,($J109-$I109)/(EXP(-$L109*$K109)-1)))*(M$118-1)),($I109-(IF($L109=0,($I109-$J109)/$K109,($J109-$I109)/(EXP(-$L109*$K109)-1))))+((IF($L109=0,($I109-$J109)/$K109,($J109-$I109)/(EXP(-$L109*$K109)-1)))*EXP(-$L109*(M$118-1)))),$J109))</f>
        <v>0.22265542676501582</v>
      </c>
      <c r="N137" s="567">
        <f t="shared" si="85"/>
        <v>0.45136384028280402</v>
      </c>
      <c r="O137" s="567">
        <f t="shared" si="85"/>
        <v>0.59008250521557781</v>
      </c>
      <c r="P137" s="567">
        <f t="shared" si="85"/>
        <v>0.67421962857170892</v>
      </c>
      <c r="Q137" s="567">
        <f t="shared" si="85"/>
        <v>0.72525137350722635</v>
      </c>
      <c r="R137" s="567">
        <f t="shared" si="85"/>
        <v>0.75620369142925259</v>
      </c>
      <c r="S137" s="567">
        <f t="shared" si="85"/>
        <v>0.77497722123813428</v>
      </c>
      <c r="T137" s="567">
        <f t="shared" si="85"/>
        <v>0.78636394265825005</v>
      </c>
      <c r="U137" s="567">
        <f t="shared" si="85"/>
        <v>0.79327033831315696</v>
      </c>
      <c r="V137" s="567">
        <f t="shared" si="85"/>
        <v>0.79745927902596403</v>
      </c>
      <c r="W137" s="567">
        <f t="shared" si="85"/>
        <v>0.8</v>
      </c>
      <c r="X137" s="567">
        <f t="shared" si="85"/>
        <v>0.8</v>
      </c>
      <c r="Y137" s="567">
        <f t="shared" si="85"/>
        <v>0.8</v>
      </c>
      <c r="Z137" s="567">
        <f t="shared" si="85"/>
        <v>0.8</v>
      </c>
      <c r="AA137" s="567">
        <f t="shared" si="85"/>
        <v>0.8</v>
      </c>
      <c r="AB137" s="567">
        <f t="shared" si="85"/>
        <v>0.8</v>
      </c>
      <c r="AC137" s="567">
        <f t="shared" si="85"/>
        <v>0.8</v>
      </c>
      <c r="AD137" s="567">
        <f t="shared" si="85"/>
        <v>0.8</v>
      </c>
      <c r="AE137" s="567">
        <f t="shared" si="85"/>
        <v>0.8</v>
      </c>
      <c r="AF137" s="567">
        <f t="shared" si="85"/>
        <v>0.8</v>
      </c>
      <c r="AG137" s="341"/>
    </row>
    <row r="138" spans="2:33" ht="15" customHeight="1" outlineLevel="1">
      <c r="B138" s="374" t="str">
        <f t="shared" si="47"/>
        <v>Deferred Taxes / Gross PPE</v>
      </c>
      <c r="C138" s="363">
        <f t="shared" ref="C138:L138" si="86">IF($C$2=FALSE,"-",C66)</f>
        <v>0</v>
      </c>
      <c r="D138" s="363">
        <f t="shared" si="86"/>
        <v>0</v>
      </c>
      <c r="E138" s="363">
        <f t="shared" si="86"/>
        <v>0</v>
      </c>
      <c r="F138" s="363">
        <f t="shared" si="86"/>
        <v>0</v>
      </c>
      <c r="G138" s="363">
        <f t="shared" si="86"/>
        <v>0</v>
      </c>
      <c r="H138" s="363">
        <f t="shared" si="86"/>
        <v>0</v>
      </c>
      <c r="I138" s="363">
        <f t="shared" si="86"/>
        <v>0</v>
      </c>
      <c r="J138" s="363">
        <f t="shared" si="86"/>
        <v>0</v>
      </c>
      <c r="K138" s="363">
        <f t="shared" si="86"/>
        <v>8.2083502229428451E-2</v>
      </c>
      <c r="L138" s="363">
        <f t="shared" si="86"/>
        <v>0</v>
      </c>
      <c r="M138" s="562">
        <f t="shared" ref="M138:AF138" si="87">IF($C$2=FALSE,"-",IF(M$118&lt;=$K110,IF($L110=0,$I110-((IF($L110=0,($I110-$J110)/$K110,($J110-$I110)/(EXP(-$L110*$K110)-1)))*(M$118-1)),($I110-(IF($L110=0,($I110-$J110)/$K110,($J110-$I110)/(EXP(-$L110*$K110)-1))))+((IF($L110=0,($I110-$J110)/$K110,($J110-$I110)/(EXP(-$L110*$K110)-1)))*EXP(-$L110*(M$118-1)))),$J110))</f>
        <v>0</v>
      </c>
      <c r="N138" s="563">
        <f t="shared" si="87"/>
        <v>6.5032870979236049E-3</v>
      </c>
      <c r="O138" s="563">
        <f t="shared" si="87"/>
        <v>1.0447730111727865E-2</v>
      </c>
      <c r="P138" s="563">
        <f t="shared" si="87"/>
        <v>1.2840155735089452E-2</v>
      </c>
      <c r="Q138" s="563">
        <f t="shared" si="87"/>
        <v>1.4291235226740362E-2</v>
      </c>
      <c r="R138" s="563">
        <f t="shared" si="87"/>
        <v>1.5171359428106863E-2</v>
      </c>
      <c r="S138" s="563">
        <f t="shared" si="87"/>
        <v>1.570518174059074E-2</v>
      </c>
      <c r="T138" s="563">
        <f t="shared" si="87"/>
        <v>1.6028961339950912E-2</v>
      </c>
      <c r="U138" s="563">
        <f t="shared" si="87"/>
        <v>1.6225343593952328E-2</v>
      </c>
      <c r="V138" s="563">
        <f t="shared" si="87"/>
        <v>1.6344455452027659E-2</v>
      </c>
      <c r="W138" s="563">
        <f t="shared" si="87"/>
        <v>1.6416700445885689E-2</v>
      </c>
      <c r="X138" s="563">
        <f t="shared" si="87"/>
        <v>1.6416700445885689E-2</v>
      </c>
      <c r="Y138" s="563">
        <f t="shared" si="87"/>
        <v>1.6416700445885689E-2</v>
      </c>
      <c r="Z138" s="563">
        <f t="shared" si="87"/>
        <v>1.6416700445885689E-2</v>
      </c>
      <c r="AA138" s="563">
        <f t="shared" si="87"/>
        <v>1.6416700445885689E-2</v>
      </c>
      <c r="AB138" s="563">
        <f t="shared" si="87"/>
        <v>1.6416700445885689E-2</v>
      </c>
      <c r="AC138" s="563">
        <f t="shared" si="87"/>
        <v>1.6416700445885689E-2</v>
      </c>
      <c r="AD138" s="563">
        <f t="shared" si="87"/>
        <v>1.6416700445885689E-2</v>
      </c>
      <c r="AE138" s="563">
        <f t="shared" si="87"/>
        <v>1.6416700445885689E-2</v>
      </c>
      <c r="AF138" s="563">
        <f t="shared" si="87"/>
        <v>1.6416700445885689E-2</v>
      </c>
      <c r="AG138" s="341"/>
    </row>
    <row r="139" spans="2:33" ht="15" customHeight="1" outlineLevel="1">
      <c r="B139" s="374" t="str">
        <f t="shared" si="47"/>
        <v>Effective Tax Rate</v>
      </c>
      <c r="C139" s="363">
        <f t="shared" ref="C139:L139" si="88">IF($C$2=FALSE,"-",C23)</f>
        <v>0.28974221267454348</v>
      </c>
      <c r="D139" s="363">
        <f t="shared" si="88"/>
        <v>0.31541057367829023</v>
      </c>
      <c r="E139" s="363">
        <f t="shared" si="88"/>
        <v>0.21906427634455619</v>
      </c>
      <c r="F139" s="363">
        <f t="shared" si="88"/>
        <v>0.22780269058295965</v>
      </c>
      <c r="G139" s="363">
        <f t="shared" si="88"/>
        <v>0.22994512673112097</v>
      </c>
      <c r="H139" s="363">
        <f t="shared" si="88"/>
        <v>0.25451263537906138</v>
      </c>
      <c r="I139" s="363">
        <f t="shared" si="88"/>
        <v>0.29199604743083002</v>
      </c>
      <c r="J139" s="363">
        <f t="shared" si="88"/>
        <v>0.21343283582089553</v>
      </c>
      <c r="K139" s="363">
        <f t="shared" si="88"/>
        <v>0.17641509433962263</v>
      </c>
      <c r="L139" s="363">
        <f t="shared" si="88"/>
        <v>0.16508271735304469</v>
      </c>
      <c r="M139" s="562">
        <f t="shared" ref="M139:AF139" si="89">IF($C$2=FALSE,"-",IF(M$118&lt;=$K111,IF($L111=0,$I111-((IF($L111=0,($I111-$J111)/$K111,($J111-$I111)/(EXP(-$L111*$K111)-1)))*(M$118-1)),($I111-(IF($L111=0,($I111-$J111)/$K111,($J111-$I111)/(EXP(-$L111*$K111)-1))))+((IF($L111=0,($I111-$J111)/$K111,($J111-$I111)/(EXP(-$L111*$K111)-1)))*EXP(-$L111*(M$118-1)))),$J111))</f>
        <v>0.16508271735304469</v>
      </c>
      <c r="N139" s="563">
        <f t="shared" si="89"/>
        <v>0.25814249744424411</v>
      </c>
      <c r="O139" s="563">
        <f t="shared" si="89"/>
        <v>0.31458610725567182</v>
      </c>
      <c r="P139" s="563">
        <f t="shared" si="89"/>
        <v>0.34882088715115961</v>
      </c>
      <c r="Q139" s="563">
        <f t="shared" si="89"/>
        <v>0.36958533078628658</v>
      </c>
      <c r="R139" s="563">
        <f t="shared" si="89"/>
        <v>0.38217960248286592</v>
      </c>
      <c r="S139" s="563">
        <f t="shared" si="89"/>
        <v>0.38981841440359238</v>
      </c>
      <c r="T139" s="563">
        <f t="shared" si="89"/>
        <v>0.3944515880372913</v>
      </c>
      <c r="U139" s="563">
        <f t="shared" si="89"/>
        <v>0.39726174989790186</v>
      </c>
      <c r="V139" s="563">
        <f t="shared" si="89"/>
        <v>0.39896619922511734</v>
      </c>
      <c r="W139" s="563">
        <f t="shared" si="89"/>
        <v>0.4</v>
      </c>
      <c r="X139" s="563">
        <f t="shared" si="89"/>
        <v>0.4</v>
      </c>
      <c r="Y139" s="563">
        <f t="shared" si="89"/>
        <v>0.4</v>
      </c>
      <c r="Z139" s="563">
        <f t="shared" si="89"/>
        <v>0.4</v>
      </c>
      <c r="AA139" s="563">
        <f t="shared" si="89"/>
        <v>0.4</v>
      </c>
      <c r="AB139" s="563">
        <f t="shared" si="89"/>
        <v>0.4</v>
      </c>
      <c r="AC139" s="563">
        <f t="shared" si="89"/>
        <v>0.4</v>
      </c>
      <c r="AD139" s="563">
        <f t="shared" si="89"/>
        <v>0.4</v>
      </c>
      <c r="AE139" s="563">
        <f t="shared" si="89"/>
        <v>0.4</v>
      </c>
      <c r="AF139" s="563">
        <f t="shared" si="89"/>
        <v>0.4</v>
      </c>
      <c r="AG139" s="341"/>
    </row>
    <row r="140" spans="2:33" ht="15" customHeight="1" outlineLevel="1">
      <c r="B140" s="374" t="str">
        <f t="shared" si="47"/>
        <v>Effective Interest Rate</v>
      </c>
      <c r="C140" s="363">
        <f t="shared" ref="C140:L140" si="90">IF($C$2=FALSE,"-",C20)</f>
        <v>2.7722772277227723E-2</v>
      </c>
      <c r="D140" s="363">
        <f t="shared" si="90"/>
        <v>0</v>
      </c>
      <c r="E140" s="363">
        <f t="shared" si="90"/>
        <v>0</v>
      </c>
      <c r="F140" s="363">
        <f t="shared" si="90"/>
        <v>3.5685963521015066E-2</v>
      </c>
      <c r="G140" s="363">
        <f t="shared" si="90"/>
        <v>3.3482142857142856E-2</v>
      </c>
      <c r="H140" s="363">
        <f t="shared" si="90"/>
        <v>3.5796766743648963E-2</v>
      </c>
      <c r="I140" s="363">
        <f t="shared" si="90"/>
        <v>2.6268264652766375E-2</v>
      </c>
      <c r="J140" s="363">
        <f t="shared" si="90"/>
        <v>1.9747940855413319E-2</v>
      </c>
      <c r="K140" s="363">
        <f t="shared" si="90"/>
        <v>1.8293882368369287E-2</v>
      </c>
      <c r="L140" s="363">
        <f t="shared" si="90"/>
        <v>1.4722722067724521E-2</v>
      </c>
      <c r="M140" s="562">
        <f t="shared" ref="M140:AF140" si="91">IF($C$2=FALSE,"-",IF(M$118&lt;=$K112,IF($L112=0,$I112-((IF($L112=0,($I112-$J112)/$K112,($J112-$I112)/(EXP(-$L112*$K112)-1)))*(M$118-1)),($I112-(IF($L112=0,($I112-$J112)/$K112,($J112-$I112)/(EXP(-$L112*$K112)-1))))+((IF($L112=0,($I112-$J112)/$K112,($J112-$I112)/(EXP(-$L112*$K112)-1)))*EXP(-$L112*(M$118-1)))),$J112))</f>
        <v>2.6285383295154341E-2</v>
      </c>
      <c r="N140" s="563">
        <f t="shared" si="91"/>
        <v>4.360242600689769E-2</v>
      </c>
      <c r="O140" s="563">
        <f t="shared" si="91"/>
        <v>5.4105743347123231E-2</v>
      </c>
      <c r="P140" s="563">
        <f t="shared" si="91"/>
        <v>6.0476327342661368E-2</v>
      </c>
      <c r="Q140" s="563">
        <f t="shared" si="91"/>
        <v>6.4340281856229864E-2</v>
      </c>
      <c r="R140" s="563">
        <f t="shared" si="91"/>
        <v>6.6683888736444166E-2</v>
      </c>
      <c r="S140" s="563">
        <f t="shared" si="91"/>
        <v>6.8105358163607618E-2</v>
      </c>
      <c r="T140" s="563">
        <f t="shared" si="91"/>
        <v>6.8967522953026397E-2</v>
      </c>
      <c r="U140" s="563">
        <f t="shared" si="91"/>
        <v>6.9490452331533573E-2</v>
      </c>
      <c r="V140" s="563">
        <f t="shared" si="91"/>
        <v>6.9807625032462656E-2</v>
      </c>
      <c r="W140" s="563">
        <f t="shared" si="91"/>
        <v>7.0000000000000007E-2</v>
      </c>
      <c r="X140" s="563">
        <f t="shared" si="91"/>
        <v>7.0000000000000007E-2</v>
      </c>
      <c r="Y140" s="563">
        <f t="shared" si="91"/>
        <v>7.0000000000000007E-2</v>
      </c>
      <c r="Z140" s="563">
        <f t="shared" si="91"/>
        <v>7.0000000000000007E-2</v>
      </c>
      <c r="AA140" s="563">
        <f t="shared" si="91"/>
        <v>7.0000000000000007E-2</v>
      </c>
      <c r="AB140" s="563">
        <f t="shared" si="91"/>
        <v>7.0000000000000007E-2</v>
      </c>
      <c r="AC140" s="563">
        <f t="shared" si="91"/>
        <v>7.0000000000000007E-2</v>
      </c>
      <c r="AD140" s="563">
        <f t="shared" si="91"/>
        <v>7.0000000000000007E-2</v>
      </c>
      <c r="AE140" s="563">
        <f t="shared" si="91"/>
        <v>7.0000000000000007E-2</v>
      </c>
      <c r="AF140" s="563">
        <f t="shared" si="91"/>
        <v>7.0000000000000007E-2</v>
      </c>
      <c r="AG140" s="341"/>
    </row>
    <row r="141" spans="2:33" ht="15" customHeight="1" outlineLevel="1">
      <c r="B141" s="376" t="str">
        <f t="shared" si="47"/>
        <v>LTD / Last Years Assets</v>
      </c>
      <c r="C141" s="358">
        <f t="shared" ref="C141:L141" si="92">IF($C$2=FALSE,"-",C64)</f>
        <v>2.6150898451659677E-2</v>
      </c>
      <c r="D141" s="358">
        <f t="shared" si="92"/>
        <v>2.175317682532845E-2</v>
      </c>
      <c r="E141" s="358">
        <f t="shared" si="92"/>
        <v>2.1809684538491497E-2</v>
      </c>
      <c r="F141" s="358">
        <f t="shared" si="92"/>
        <v>2.2196216110786034E-2</v>
      </c>
      <c r="G141" s="358">
        <f t="shared" si="92"/>
        <v>1.3134501650883494E-2</v>
      </c>
      <c r="H141" s="358">
        <f t="shared" si="92"/>
        <v>7.1622641509433968E-2</v>
      </c>
      <c r="I141" s="358">
        <f t="shared" si="92"/>
        <v>0.10153928444074646</v>
      </c>
      <c r="J141" s="358">
        <f t="shared" si="92"/>
        <v>0.1333195160496386</v>
      </c>
      <c r="K141" s="358">
        <f t="shared" si="92"/>
        <v>0.1434217321985943</v>
      </c>
      <c r="L141" s="358">
        <f t="shared" si="92"/>
        <v>0.11026503996634412</v>
      </c>
      <c r="M141" s="566">
        <f t="shared" ref="M141:AF141" si="93">IF($C$2=FALSE,"-",IF(M$118&lt;=$K113,IF($L113=0,$I113-((IF($L113=0,($I113-$J113)/$K113,($J113-$I113)/(EXP(-$L113*$K113)-1)))*(M$118-1)),($I113-(IF($L113=0,($I113-$J113)/$K113,($J113-$I113)/(EXP(-$L113*$K113)-1))))+((IF($L113=0,($I113-$J113)/$K113,($J113-$I113)/(EXP(-$L113*$K113)-1)))*EXP(-$L113*(M$118-1)))),$J113))</f>
        <v>0.11026503996634412</v>
      </c>
      <c r="N141" s="567">
        <f t="shared" si="93"/>
        <v>0.10028482008239828</v>
      </c>
      <c r="O141" s="567">
        <f t="shared" si="93"/>
        <v>9.4231510732111473E-2</v>
      </c>
      <c r="P141" s="567">
        <f t="shared" si="93"/>
        <v>9.0559993018437368E-2</v>
      </c>
      <c r="Q141" s="567">
        <f t="shared" si="93"/>
        <v>8.8333104957415989E-2</v>
      </c>
      <c r="R141" s="567">
        <f t="shared" si="93"/>
        <v>8.6982429072658504E-2</v>
      </c>
      <c r="S141" s="567">
        <f t="shared" si="93"/>
        <v>8.61632027372186E-2</v>
      </c>
      <c r="T141" s="567">
        <f t="shared" si="93"/>
        <v>8.5666316847530274E-2</v>
      </c>
      <c r="U141" s="567">
        <f t="shared" si="93"/>
        <v>8.5364940321055724E-2</v>
      </c>
      <c r="V141" s="567">
        <f t="shared" si="93"/>
        <v>8.5182146217631205E-2</v>
      </c>
      <c r="W141" s="567">
        <f t="shared" si="93"/>
        <v>8.5071275989489561E-2</v>
      </c>
      <c r="X141" s="567">
        <f t="shared" si="93"/>
        <v>8.5071275989489561E-2</v>
      </c>
      <c r="Y141" s="567">
        <f t="shared" si="93"/>
        <v>8.5071275989489561E-2</v>
      </c>
      <c r="Z141" s="567">
        <f t="shared" si="93"/>
        <v>8.5071275989489561E-2</v>
      </c>
      <c r="AA141" s="567">
        <f t="shared" si="93"/>
        <v>8.5071275989489561E-2</v>
      </c>
      <c r="AB141" s="567">
        <f t="shared" si="93"/>
        <v>8.5071275989489561E-2</v>
      </c>
      <c r="AC141" s="567">
        <f t="shared" si="93"/>
        <v>8.5071275989489561E-2</v>
      </c>
      <c r="AD141" s="567">
        <f t="shared" si="93"/>
        <v>8.5071275989489561E-2</v>
      </c>
      <c r="AE141" s="567">
        <f t="shared" si="93"/>
        <v>8.5071275989489561E-2</v>
      </c>
      <c r="AF141" s="567">
        <f t="shared" si="93"/>
        <v>8.5071275989489561E-2</v>
      </c>
      <c r="AG141" s="341"/>
    </row>
    <row r="142" spans="2:33" ht="15" customHeight="1" outlineLevel="1">
      <c r="B142" s="374" t="str">
        <f t="shared" si="47"/>
        <v>Money Market Interest Rate</v>
      </c>
      <c r="C142" s="367" t="e">
        <f t="shared" ref="C142:L142" si="94">IF($C$2=FALSE,"-",NA())</f>
        <v>#N/A</v>
      </c>
      <c r="D142" s="367" t="e">
        <f t="shared" si="94"/>
        <v>#N/A</v>
      </c>
      <c r="E142" s="367" t="e">
        <f t="shared" si="94"/>
        <v>#N/A</v>
      </c>
      <c r="F142" s="367" t="e">
        <f t="shared" si="94"/>
        <v>#N/A</v>
      </c>
      <c r="G142" s="367" t="e">
        <f t="shared" si="94"/>
        <v>#N/A</v>
      </c>
      <c r="H142" s="367" t="e">
        <f t="shared" si="94"/>
        <v>#N/A</v>
      </c>
      <c r="I142" s="367" t="e">
        <f t="shared" si="94"/>
        <v>#N/A</v>
      </c>
      <c r="J142" s="367" t="e">
        <f t="shared" si="94"/>
        <v>#N/A</v>
      </c>
      <c r="K142" s="367" t="e">
        <f t="shared" si="94"/>
        <v>#N/A</v>
      </c>
      <c r="L142" s="367" t="e">
        <f t="shared" si="94"/>
        <v>#N/A</v>
      </c>
      <c r="M142" s="562">
        <f t="shared" ref="M142:AF142" si="95">IF($C$2=FALSE,"-",IF(M$118&lt;=$K114,IF($L114=0,$I114-((IF($L114=0,($I114-$J114)/$K114,($J114-$I114)/(EXP(-$L114*$K114)-1)))*(M$118-1)),($I114-(IF($L114=0,($I114-$J114)/$K114,($J114-$I114)/(EXP(-$L114*$K114)-1))))+((IF($L114=0,($I114-$J114)/$K114,($J114-$I114)/(EXP(-$L114*$K114)-1)))*EXP(-$L114*(M$118-1)))),$J114))</f>
        <v>5.000000000000001E-3</v>
      </c>
      <c r="N142" s="563">
        <f t="shared" si="95"/>
        <v>1.0942077507621309E-2</v>
      </c>
      <c r="O142" s="563">
        <f t="shared" si="95"/>
        <v>1.4546129698382461E-2</v>
      </c>
      <c r="P142" s="563">
        <f t="shared" si="95"/>
        <v>1.6732097851283587E-2</v>
      </c>
      <c r="Q142" s="563">
        <f t="shared" si="95"/>
        <v>1.805795455717351E-2</v>
      </c>
      <c r="R142" s="563">
        <f t="shared" si="95"/>
        <v>1.8862127299681349E-2</v>
      </c>
      <c r="S142" s="563">
        <f t="shared" si="95"/>
        <v>1.9349882723717543E-2</v>
      </c>
      <c r="T142" s="563">
        <f t="shared" si="95"/>
        <v>1.9645721342836632E-2</v>
      </c>
      <c r="U142" s="563">
        <f t="shared" si="95"/>
        <v>1.9825156535659406E-2</v>
      </c>
      <c r="V142" s="563">
        <f t="shared" si="95"/>
        <v>1.9933989481537868E-2</v>
      </c>
      <c r="W142" s="563">
        <f t="shared" si="95"/>
        <v>0.02</v>
      </c>
      <c r="X142" s="563">
        <f t="shared" si="95"/>
        <v>0.02</v>
      </c>
      <c r="Y142" s="563">
        <f t="shared" si="95"/>
        <v>0.02</v>
      </c>
      <c r="Z142" s="563">
        <f t="shared" si="95"/>
        <v>0.02</v>
      </c>
      <c r="AA142" s="563">
        <f t="shared" si="95"/>
        <v>0.02</v>
      </c>
      <c r="AB142" s="563">
        <f t="shared" si="95"/>
        <v>0.02</v>
      </c>
      <c r="AC142" s="563">
        <f t="shared" si="95"/>
        <v>0.02</v>
      </c>
      <c r="AD142" s="563">
        <f t="shared" si="95"/>
        <v>0.02</v>
      </c>
      <c r="AE142" s="563">
        <f t="shared" si="95"/>
        <v>0.02</v>
      </c>
      <c r="AF142" s="563">
        <f t="shared" si="95"/>
        <v>0.02</v>
      </c>
      <c r="AG142" s="341"/>
    </row>
    <row r="143" spans="2:33" ht="15" customHeight="1" outlineLevel="1">
      <c r="B143" s="375" t="str">
        <f t="shared" si="47"/>
        <v>Dividend Payout Ratio</v>
      </c>
      <c r="C143" s="354">
        <f t="shared" ref="C143:L143" si="96">IF($C$2=FALSE,"-",C86)</f>
        <v>0</v>
      </c>
      <c r="D143" s="354">
        <f t="shared" si="96"/>
        <v>0</v>
      </c>
      <c r="E143" s="354">
        <f t="shared" si="96"/>
        <v>0</v>
      </c>
      <c r="F143" s="354">
        <f t="shared" si="96"/>
        <v>0</v>
      </c>
      <c r="G143" s="354">
        <f t="shared" si="96"/>
        <v>0</v>
      </c>
      <c r="H143" s="354">
        <f t="shared" si="96"/>
        <v>0</v>
      </c>
      <c r="I143" s="354">
        <f t="shared" si="96"/>
        <v>0</v>
      </c>
      <c r="J143" s="354">
        <f t="shared" si="96"/>
        <v>0</v>
      </c>
      <c r="K143" s="354">
        <f t="shared" si="96"/>
        <v>0</v>
      </c>
      <c r="L143" s="354">
        <f t="shared" si="96"/>
        <v>0.11720067453625632</v>
      </c>
      <c r="M143" s="568">
        <f t="shared" ref="M143:AF143" si="97">IF($C$2=FALSE,"-",IF(M$118&lt;=$K115,IF($L115=0,$I115-((IF($L115=0,($I115-$J115)/$K115,($J115-$I115)/(EXP(-$L115*$K115)-1)))*(M$118-1)),($I115-(IF($L115=0,($I115-$J115)/$K115,($J115-$I115)/(EXP(-$L115*$K115)-1))))+((IF($L115=0,($I115-$J115)/$K115,($J115-$I115)/(EXP(-$L115*$K115)-1)))*EXP(-$L115*(M$118-1)))),$J115))</f>
        <v>0</v>
      </c>
      <c r="N143" s="355">
        <f t="shared" si="97"/>
        <v>0</v>
      </c>
      <c r="O143" s="355">
        <f t="shared" si="97"/>
        <v>0</v>
      </c>
      <c r="P143" s="355">
        <f t="shared" si="97"/>
        <v>0</v>
      </c>
      <c r="Q143" s="355">
        <f t="shared" si="97"/>
        <v>0</v>
      </c>
      <c r="R143" s="355">
        <f t="shared" si="97"/>
        <v>0</v>
      </c>
      <c r="S143" s="355">
        <f t="shared" si="97"/>
        <v>0</v>
      </c>
      <c r="T143" s="355">
        <f t="shared" si="97"/>
        <v>0</v>
      </c>
      <c r="U143" s="355">
        <f t="shared" si="97"/>
        <v>0</v>
      </c>
      <c r="V143" s="355">
        <f t="shared" si="97"/>
        <v>0</v>
      </c>
      <c r="W143" s="355">
        <f t="shared" si="97"/>
        <v>0</v>
      </c>
      <c r="X143" s="355">
        <f t="shared" si="97"/>
        <v>0</v>
      </c>
      <c r="Y143" s="355">
        <f t="shared" si="97"/>
        <v>0</v>
      </c>
      <c r="Z143" s="355">
        <f t="shared" si="97"/>
        <v>0</v>
      </c>
      <c r="AA143" s="355">
        <f t="shared" si="97"/>
        <v>0</v>
      </c>
      <c r="AB143" s="355">
        <f t="shared" si="97"/>
        <v>0</v>
      </c>
      <c r="AC143" s="355">
        <f t="shared" si="97"/>
        <v>0</v>
      </c>
      <c r="AD143" s="355">
        <f t="shared" si="97"/>
        <v>0</v>
      </c>
      <c r="AE143" s="355">
        <f t="shared" si="97"/>
        <v>0</v>
      </c>
      <c r="AF143" s="355">
        <f t="shared" si="97"/>
        <v>0</v>
      </c>
      <c r="AG143" s="341"/>
    </row>
    <row r="144" spans="2:33" ht="15" customHeight="1">
      <c r="C144" s="341"/>
      <c r="D144" s="341"/>
      <c r="E144" s="341"/>
      <c r="F144" s="341"/>
      <c r="G144" s="341"/>
      <c r="H144" s="341"/>
      <c r="I144" s="341"/>
      <c r="J144" s="341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  <c r="AD144" s="341"/>
      <c r="AE144" s="341"/>
      <c r="AF144" s="341"/>
      <c r="AG144" s="341"/>
    </row>
    <row r="145" spans="2:33" ht="15" customHeight="1">
      <c r="B145" s="338" t="s">
        <v>565</v>
      </c>
      <c r="C145" s="368">
        <f t="shared" ref="C145:AF145" si="98">IF($C$2=FALSE,"-",C117)</f>
        <v>2004</v>
      </c>
      <c r="D145" s="368">
        <f t="shared" si="98"/>
        <v>2005</v>
      </c>
      <c r="E145" s="368">
        <f t="shared" si="98"/>
        <v>2006</v>
      </c>
      <c r="F145" s="368">
        <f t="shared" si="98"/>
        <v>2007</v>
      </c>
      <c r="G145" s="368">
        <f t="shared" si="98"/>
        <v>2008</v>
      </c>
      <c r="H145" s="368">
        <f t="shared" si="98"/>
        <v>2009</v>
      </c>
      <c r="I145" s="368">
        <f t="shared" si="98"/>
        <v>2010</v>
      </c>
      <c r="J145" s="368">
        <f t="shared" si="98"/>
        <v>2011</v>
      </c>
      <c r="K145" s="368">
        <f t="shared" si="98"/>
        <v>2012</v>
      </c>
      <c r="L145" s="368">
        <f t="shared" si="98"/>
        <v>2013</v>
      </c>
      <c r="M145" s="369">
        <f t="shared" si="98"/>
        <v>2014</v>
      </c>
      <c r="N145" s="369">
        <f t="shared" si="98"/>
        <v>2015</v>
      </c>
      <c r="O145" s="369">
        <f t="shared" si="98"/>
        <v>2016</v>
      </c>
      <c r="P145" s="369">
        <f t="shared" si="98"/>
        <v>2017</v>
      </c>
      <c r="Q145" s="369">
        <f t="shared" si="98"/>
        <v>2018</v>
      </c>
      <c r="R145" s="369">
        <f t="shared" si="98"/>
        <v>2019</v>
      </c>
      <c r="S145" s="369">
        <f t="shared" si="98"/>
        <v>2020</v>
      </c>
      <c r="T145" s="369">
        <f t="shared" si="98"/>
        <v>2021</v>
      </c>
      <c r="U145" s="369">
        <f t="shared" si="98"/>
        <v>2022</v>
      </c>
      <c r="V145" s="369">
        <f t="shared" si="98"/>
        <v>2023</v>
      </c>
      <c r="W145" s="369">
        <f t="shared" si="98"/>
        <v>2024</v>
      </c>
      <c r="X145" s="369">
        <f t="shared" si="98"/>
        <v>2025</v>
      </c>
      <c r="Y145" s="369">
        <f t="shared" si="98"/>
        <v>2026</v>
      </c>
      <c r="Z145" s="369">
        <f t="shared" si="98"/>
        <v>2027</v>
      </c>
      <c r="AA145" s="369">
        <f t="shared" si="98"/>
        <v>2028</v>
      </c>
      <c r="AB145" s="369">
        <f t="shared" si="98"/>
        <v>2029</v>
      </c>
      <c r="AC145" s="369">
        <f t="shared" si="98"/>
        <v>2030</v>
      </c>
      <c r="AD145" s="369">
        <f t="shared" si="98"/>
        <v>2031</v>
      </c>
      <c r="AE145" s="369">
        <f t="shared" si="98"/>
        <v>2032</v>
      </c>
      <c r="AF145" s="369">
        <f t="shared" si="98"/>
        <v>2033</v>
      </c>
      <c r="AG145" s="341"/>
    </row>
    <row r="146" spans="2:33" ht="5.0999999999999996" customHeight="1">
      <c r="B146" s="341"/>
      <c r="C146" s="341"/>
      <c r="D146" s="341"/>
      <c r="E146" s="341"/>
      <c r="F146" s="341"/>
      <c r="G146" s="341"/>
      <c r="H146" s="341"/>
      <c r="I146" s="341"/>
      <c r="J146" s="341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  <c r="AD146" s="341"/>
      <c r="AE146" s="341"/>
      <c r="AF146" s="341"/>
      <c r="AG146" s="341"/>
    </row>
    <row r="147" spans="2:33" ht="15" customHeight="1" outlineLevel="1">
      <c r="B147" s="317" t="s">
        <v>56</v>
      </c>
      <c r="C147" s="318">
        <f t="shared" ref="C147:L147" si="99">IF($C$2=FALSE,"-",C6)</f>
        <v>41444</v>
      </c>
      <c r="D147" s="318">
        <f t="shared" si="99"/>
        <v>49205</v>
      </c>
      <c r="E147" s="318">
        <f t="shared" si="99"/>
        <v>55908</v>
      </c>
      <c r="F147" s="318">
        <f t="shared" si="99"/>
        <v>57420</v>
      </c>
      <c r="G147" s="318">
        <f t="shared" si="99"/>
        <v>61133</v>
      </c>
      <c r="H147" s="318">
        <f t="shared" si="99"/>
        <v>61101</v>
      </c>
      <c r="I147" s="318">
        <f t="shared" si="99"/>
        <v>52902</v>
      </c>
      <c r="J147" s="318">
        <f t="shared" si="99"/>
        <v>61494</v>
      </c>
      <c r="K147" s="318">
        <f t="shared" si="99"/>
        <v>62071</v>
      </c>
      <c r="L147" s="318">
        <f t="shared" si="99"/>
        <v>56940</v>
      </c>
      <c r="M147" s="377">
        <f t="shared" ref="M147:AF147" si="100">IF($C$2=FALSE,"-",L147*(1+M119))</f>
        <v>56370.6</v>
      </c>
      <c r="N147" s="318">
        <f t="shared" si="100"/>
        <v>57146.727897404475</v>
      </c>
      <c r="O147" s="318">
        <f t="shared" si="100"/>
        <v>58757.380923817611</v>
      </c>
      <c r="P147" s="318">
        <f t="shared" si="100"/>
        <v>60927.196484512926</v>
      </c>
      <c r="Q147" s="318">
        <f t="shared" si="100"/>
        <v>63500.262771630805</v>
      </c>
      <c r="R147" s="318">
        <f t="shared" si="100"/>
        <v>66386.255048328749</v>
      </c>
      <c r="S147" s="318">
        <f t="shared" si="100"/>
        <v>69532.932395486743</v>
      </c>
      <c r="T147" s="318">
        <f t="shared" si="100"/>
        <v>72911.04287959027</v>
      </c>
      <c r="U147" s="318">
        <f t="shared" si="100"/>
        <v>76505.602946266765</v>
      </c>
      <c r="V147" s="318">
        <f t="shared" si="100"/>
        <v>80310.682395517128</v>
      </c>
      <c r="W147" s="318">
        <f t="shared" si="100"/>
        <v>84326.216515292981</v>
      </c>
      <c r="X147" s="318">
        <f t="shared" si="100"/>
        <v>88542.527341057634</v>
      </c>
      <c r="Y147" s="318">
        <f t="shared" si="100"/>
        <v>92969.65370811052</v>
      </c>
      <c r="Z147" s="318">
        <f t="shared" si="100"/>
        <v>97618.136393516048</v>
      </c>
      <c r="AA147" s="318">
        <f t="shared" si="100"/>
        <v>102499.04321319185</v>
      </c>
      <c r="AB147" s="318">
        <f t="shared" si="100"/>
        <v>107623.99537385145</v>
      </c>
      <c r="AC147" s="318">
        <f t="shared" si="100"/>
        <v>113005.19514254402</v>
      </c>
      <c r="AD147" s="318">
        <f t="shared" si="100"/>
        <v>118655.45489967123</v>
      </c>
      <c r="AE147" s="318">
        <f t="shared" si="100"/>
        <v>124588.22764465479</v>
      </c>
      <c r="AF147" s="318">
        <f t="shared" si="100"/>
        <v>130817.63902688754</v>
      </c>
      <c r="AG147" s="341"/>
    </row>
    <row r="148" spans="2:33" ht="15" customHeight="1" outlineLevel="1">
      <c r="B148" s="330" t="s">
        <v>490</v>
      </c>
      <c r="C148" s="331">
        <f t="shared" ref="C148:L148" si="101">IF($C$2=FALSE,"-",C8)</f>
        <v>33629</v>
      </c>
      <c r="D148" s="331">
        <f t="shared" si="101"/>
        <v>39856</v>
      </c>
      <c r="E148" s="331">
        <f t="shared" si="101"/>
        <v>45565</v>
      </c>
      <c r="F148" s="331">
        <f t="shared" si="101"/>
        <v>47433</v>
      </c>
      <c r="G148" s="331">
        <f t="shared" si="101"/>
        <v>48855</v>
      </c>
      <c r="H148" s="331">
        <f t="shared" si="101"/>
        <v>49375</v>
      </c>
      <c r="I148" s="331">
        <f t="shared" si="101"/>
        <v>42789</v>
      </c>
      <c r="J148" s="331">
        <f t="shared" si="101"/>
        <v>49128</v>
      </c>
      <c r="K148" s="331">
        <f t="shared" si="101"/>
        <v>47324</v>
      </c>
      <c r="L148" s="331">
        <f t="shared" si="101"/>
        <v>43610</v>
      </c>
      <c r="M148" s="378">
        <f t="shared" ref="M148:AF148" si="102">IF($C$2=FALSE,"-",M$147*M120)</f>
        <v>44301.311999999998</v>
      </c>
      <c r="N148" s="331">
        <f t="shared" si="102"/>
        <v>45311.293293655093</v>
      </c>
      <c r="O148" s="331">
        <f t="shared" si="102"/>
        <v>46999.67195751598</v>
      </c>
      <c r="P148" s="331">
        <f t="shared" si="102"/>
        <v>49161.78461486764</v>
      </c>
      <c r="Q148" s="331">
        <f t="shared" si="102"/>
        <v>51682.478005922356</v>
      </c>
      <c r="R148" s="331">
        <f t="shared" si="102"/>
        <v>54496.073368325742</v>
      </c>
      <c r="S148" s="331">
        <f t="shared" si="102"/>
        <v>57565.892208365214</v>
      </c>
      <c r="T148" s="331">
        <f t="shared" si="102"/>
        <v>60872.986650980652</v>
      </c>
      <c r="U148" s="331">
        <f t="shared" si="102"/>
        <v>64409.602228670286</v>
      </c>
      <c r="V148" s="331">
        <f t="shared" si="102"/>
        <v>68175.250271924189</v>
      </c>
      <c r="W148" s="331">
        <f t="shared" si="102"/>
        <v>72174.296301127455</v>
      </c>
      <c r="X148" s="331">
        <f t="shared" si="102"/>
        <v>75783.011116183829</v>
      </c>
      <c r="Y148" s="331">
        <f t="shared" si="102"/>
        <v>79572.161671993017</v>
      </c>
      <c r="Z148" s="331">
        <f t="shared" si="102"/>
        <v>83550.769755592672</v>
      </c>
      <c r="AA148" s="331">
        <f t="shared" si="102"/>
        <v>87728.308243372303</v>
      </c>
      <c r="AB148" s="331">
        <f t="shared" si="102"/>
        <v>92114.723655540918</v>
      </c>
      <c r="AC148" s="331">
        <f t="shared" si="102"/>
        <v>96720.459838317969</v>
      </c>
      <c r="AD148" s="331">
        <f t="shared" si="102"/>
        <v>101556.48283023387</v>
      </c>
      <c r="AE148" s="331">
        <f t="shared" si="102"/>
        <v>106634.30697174558</v>
      </c>
      <c r="AF148" s="331">
        <f t="shared" si="102"/>
        <v>111966.02232033286</v>
      </c>
    </row>
    <row r="149" spans="2:33" ht="15" customHeight="1" outlineLevel="1">
      <c r="B149" s="323" t="s">
        <v>134</v>
      </c>
      <c r="C149" s="324">
        <f t="shared" ref="C149:AF149" si="103">IF($C$2=FALSE,"-",C147-C148)</f>
        <v>7815</v>
      </c>
      <c r="D149" s="324">
        <f t="shared" si="103"/>
        <v>9349</v>
      </c>
      <c r="E149" s="324">
        <f t="shared" si="103"/>
        <v>10343</v>
      </c>
      <c r="F149" s="324">
        <f t="shared" si="103"/>
        <v>9987</v>
      </c>
      <c r="G149" s="324">
        <f t="shared" si="103"/>
        <v>12278</v>
      </c>
      <c r="H149" s="324">
        <f t="shared" si="103"/>
        <v>11726</v>
      </c>
      <c r="I149" s="324">
        <f t="shared" si="103"/>
        <v>10113</v>
      </c>
      <c r="J149" s="324">
        <f t="shared" si="103"/>
        <v>12366</v>
      </c>
      <c r="K149" s="324">
        <f t="shared" si="103"/>
        <v>14747</v>
      </c>
      <c r="L149" s="324">
        <f t="shared" si="103"/>
        <v>13330</v>
      </c>
      <c r="M149" s="379">
        <f t="shared" si="103"/>
        <v>12069.288</v>
      </c>
      <c r="N149" s="324">
        <f t="shared" si="103"/>
        <v>11835.434603749381</v>
      </c>
      <c r="O149" s="324">
        <f t="shared" si="103"/>
        <v>11757.70896630163</v>
      </c>
      <c r="P149" s="324">
        <f t="shared" si="103"/>
        <v>11765.411869645286</v>
      </c>
      <c r="Q149" s="324">
        <f t="shared" si="103"/>
        <v>11817.784765708449</v>
      </c>
      <c r="R149" s="324">
        <f t="shared" si="103"/>
        <v>11890.181680003006</v>
      </c>
      <c r="S149" s="324">
        <f t="shared" si="103"/>
        <v>11967.040187121529</v>
      </c>
      <c r="T149" s="324">
        <f t="shared" si="103"/>
        <v>12038.056228609617</v>
      </c>
      <c r="U149" s="324">
        <f t="shared" si="103"/>
        <v>12096.000717596478</v>
      </c>
      <c r="V149" s="324">
        <f t="shared" si="103"/>
        <v>12135.432123592938</v>
      </c>
      <c r="W149" s="324">
        <f t="shared" si="103"/>
        <v>12151.920214165526</v>
      </c>
      <c r="X149" s="324">
        <f t="shared" si="103"/>
        <v>12759.516224873805</v>
      </c>
      <c r="Y149" s="324">
        <f t="shared" si="103"/>
        <v>13397.492036117503</v>
      </c>
      <c r="Z149" s="324">
        <f t="shared" si="103"/>
        <v>14067.366637923376</v>
      </c>
      <c r="AA149" s="324">
        <f t="shared" si="103"/>
        <v>14770.734969819547</v>
      </c>
      <c r="AB149" s="324">
        <f t="shared" si="103"/>
        <v>15509.271718310527</v>
      </c>
      <c r="AC149" s="324">
        <f t="shared" si="103"/>
        <v>16284.735304226051</v>
      </c>
      <c r="AD149" s="324">
        <f t="shared" si="103"/>
        <v>17098.972069437354</v>
      </c>
      <c r="AE149" s="324">
        <f t="shared" si="103"/>
        <v>17953.920672909211</v>
      </c>
      <c r="AF149" s="324">
        <f t="shared" si="103"/>
        <v>18851.616706554676</v>
      </c>
    </row>
    <row r="150" spans="2:33" ht="15" customHeight="1" outlineLevel="1">
      <c r="B150" s="330" t="s">
        <v>491</v>
      </c>
      <c r="C150" s="331">
        <f t="shared" ref="C150:L150" si="104">IF($C$2=FALSE,"-",C11)</f>
        <v>4008</v>
      </c>
      <c r="D150" s="331">
        <f t="shared" si="104"/>
        <v>4761</v>
      </c>
      <c r="E150" s="331">
        <f t="shared" si="104"/>
        <v>5603</v>
      </c>
      <c r="F150" s="331">
        <f t="shared" si="104"/>
        <v>6446</v>
      </c>
      <c r="G150" s="331">
        <f t="shared" si="104"/>
        <v>8148</v>
      </c>
      <c r="H150" s="331">
        <f t="shared" si="104"/>
        <v>7765</v>
      </c>
      <c r="I150" s="331">
        <f t="shared" si="104"/>
        <v>7089</v>
      </c>
      <c r="J150" s="331">
        <f t="shared" si="104"/>
        <v>7963</v>
      </c>
      <c r="K150" s="331">
        <f t="shared" si="104"/>
        <v>9380</v>
      </c>
      <c r="L150" s="331">
        <f t="shared" si="104"/>
        <v>9174</v>
      </c>
      <c r="M150" s="378">
        <f t="shared" ref="M150:AF150" si="105">IF($C$2=FALSE,"-",M$147*M121)</f>
        <v>9364.1130000000012</v>
      </c>
      <c r="N150" s="331">
        <f t="shared" si="105"/>
        <v>13203.028282020261</v>
      </c>
      <c r="O150" s="331">
        <f t="shared" si="105"/>
        <v>15888.791704643938</v>
      </c>
      <c r="P150" s="331">
        <f t="shared" si="105"/>
        <v>17930.655718804108</v>
      </c>
      <c r="Q150" s="331">
        <f t="shared" si="105"/>
        <v>19607.745332297145</v>
      </c>
      <c r="R150" s="331">
        <f t="shared" si="105"/>
        <v>21082.158956100055</v>
      </c>
      <c r="S150" s="331">
        <f t="shared" si="105"/>
        <v>22451.983651833893</v>
      </c>
      <c r="T150" s="331">
        <f t="shared" si="105"/>
        <v>23778.428535918174</v>
      </c>
      <c r="U150" s="331">
        <f t="shared" si="105"/>
        <v>25100.703493705445</v>
      </c>
      <c r="V150" s="331">
        <f t="shared" si="105"/>
        <v>26444.605104465347</v>
      </c>
      <c r="W150" s="331">
        <f t="shared" si="105"/>
        <v>27827.651450046684</v>
      </c>
      <c r="X150" s="331">
        <f t="shared" si="105"/>
        <v>29219.034022549022</v>
      </c>
      <c r="Y150" s="331">
        <f t="shared" si="105"/>
        <v>30679.985723676473</v>
      </c>
      <c r="Z150" s="331">
        <f t="shared" si="105"/>
        <v>32213.985009860298</v>
      </c>
      <c r="AA150" s="331">
        <f t="shared" si="105"/>
        <v>33824.684260353315</v>
      </c>
      <c r="AB150" s="331">
        <f t="shared" si="105"/>
        <v>35515.918473370977</v>
      </c>
      <c r="AC150" s="331">
        <f t="shared" si="105"/>
        <v>37291.714397039526</v>
      </c>
      <c r="AD150" s="331">
        <f t="shared" si="105"/>
        <v>39156.300116891507</v>
      </c>
      <c r="AE150" s="331">
        <f t="shared" si="105"/>
        <v>41114.115122736082</v>
      </c>
      <c r="AF150" s="331">
        <f t="shared" si="105"/>
        <v>43169.820878872888</v>
      </c>
    </row>
    <row r="151" spans="2:33" ht="15" customHeight="1" outlineLevel="1">
      <c r="B151" s="330" t="s">
        <v>492</v>
      </c>
      <c r="C151" s="331">
        <f t="shared" ref="C151:L151" si="106">IF($C$2=FALSE,"-",C13)</f>
        <v>263</v>
      </c>
      <c r="D151" s="331">
        <f t="shared" si="106"/>
        <v>334</v>
      </c>
      <c r="E151" s="331">
        <f t="shared" si="106"/>
        <v>393</v>
      </c>
      <c r="F151" s="331">
        <f t="shared" si="106"/>
        <v>471</v>
      </c>
      <c r="G151" s="331">
        <f t="shared" si="106"/>
        <v>607</v>
      </c>
      <c r="H151" s="331">
        <f t="shared" si="106"/>
        <v>769</v>
      </c>
      <c r="I151" s="331">
        <f t="shared" si="106"/>
        <v>852</v>
      </c>
      <c r="J151" s="331">
        <f t="shared" si="106"/>
        <v>970</v>
      </c>
      <c r="K151" s="331">
        <f t="shared" si="106"/>
        <v>936</v>
      </c>
      <c r="L151" s="331">
        <f t="shared" si="106"/>
        <v>1144</v>
      </c>
      <c r="M151" s="378">
        <f t="shared" ref="M151:AF151" si="107">IF($C$2=FALSE,"-",M$175*M122)</f>
        <v>1132.5600000000002</v>
      </c>
      <c r="N151" s="331">
        <f t="shared" si="107"/>
        <v>1059.4820874583249</v>
      </c>
      <c r="O151" s="331">
        <f t="shared" si="107"/>
        <v>1028.4204669747066</v>
      </c>
      <c r="P151" s="331">
        <f t="shared" si="107"/>
        <v>1025.9366886359564</v>
      </c>
      <c r="Q151" s="331">
        <f t="shared" si="107"/>
        <v>1042.8634860574891</v>
      </c>
      <c r="R151" s="331">
        <f t="shared" si="107"/>
        <v>1073.2032819017381</v>
      </c>
      <c r="S151" s="331">
        <f t="shared" si="107"/>
        <v>1113.1148572815241</v>
      </c>
      <c r="T151" s="331">
        <f t="shared" si="107"/>
        <v>1160.1770512016503</v>
      </c>
      <c r="U151" s="331">
        <f t="shared" si="107"/>
        <v>1212.8910504750966</v>
      </c>
      <c r="V151" s="331">
        <f t="shared" si="107"/>
        <v>1270.3537349353462</v>
      </c>
      <c r="W151" s="331">
        <f t="shared" si="107"/>
        <v>1332.04627428654</v>
      </c>
      <c r="X151" s="331">
        <f t="shared" si="107"/>
        <v>1398.6485880008668</v>
      </c>
      <c r="Y151" s="331">
        <f t="shared" si="107"/>
        <v>1468.5810174009102</v>
      </c>
      <c r="Z151" s="331">
        <f t="shared" si="107"/>
        <v>1542.0100682709558</v>
      </c>
      <c r="AA151" s="331">
        <f t="shared" si="107"/>
        <v>1619.1105716845036</v>
      </c>
      <c r="AB151" s="331">
        <f t="shared" si="107"/>
        <v>1700.0661002687289</v>
      </c>
      <c r="AC151" s="331">
        <f t="shared" si="107"/>
        <v>1785.0694052821652</v>
      </c>
      <c r="AD151" s="331">
        <f t="shared" si="107"/>
        <v>1874.3228755462735</v>
      </c>
      <c r="AE151" s="331">
        <f t="shared" si="107"/>
        <v>1968.0390193235871</v>
      </c>
      <c r="AF151" s="331">
        <f t="shared" si="107"/>
        <v>2066.4409702897669</v>
      </c>
    </row>
    <row r="152" spans="2:33" ht="15" customHeight="1" outlineLevel="1">
      <c r="B152" s="323" t="s">
        <v>493</v>
      </c>
      <c r="C152" s="324">
        <f t="shared" ref="C152:AF152" si="108">IF($C$2=FALSE,"-",C149-C150-C151)</f>
        <v>3544</v>
      </c>
      <c r="D152" s="324">
        <f t="shared" si="108"/>
        <v>4254</v>
      </c>
      <c r="E152" s="324">
        <f t="shared" si="108"/>
        <v>4347</v>
      </c>
      <c r="F152" s="324">
        <f t="shared" si="108"/>
        <v>3070</v>
      </c>
      <c r="G152" s="324">
        <f t="shared" si="108"/>
        <v>3523</v>
      </c>
      <c r="H152" s="324">
        <f t="shared" si="108"/>
        <v>3192</v>
      </c>
      <c r="I152" s="324">
        <f t="shared" si="108"/>
        <v>2172</v>
      </c>
      <c r="J152" s="324">
        <f t="shared" si="108"/>
        <v>3433</v>
      </c>
      <c r="K152" s="324">
        <f t="shared" si="108"/>
        <v>4431</v>
      </c>
      <c r="L152" s="324">
        <f t="shared" si="108"/>
        <v>3012</v>
      </c>
      <c r="M152" s="379">
        <f t="shared" si="108"/>
        <v>1572.6149999999991</v>
      </c>
      <c r="N152" s="324">
        <f t="shared" si="108"/>
        <v>-2427.0757657292042</v>
      </c>
      <c r="O152" s="324">
        <f t="shared" si="108"/>
        <v>-5159.5032053170144</v>
      </c>
      <c r="P152" s="324">
        <f t="shared" si="108"/>
        <v>-7191.1805377947785</v>
      </c>
      <c r="Q152" s="324">
        <f t="shared" si="108"/>
        <v>-8832.824052646185</v>
      </c>
      <c r="R152" s="324">
        <f t="shared" si="108"/>
        <v>-10265.180557998787</v>
      </c>
      <c r="S152" s="324">
        <f t="shared" si="108"/>
        <v>-11598.058321993887</v>
      </c>
      <c r="T152" s="324">
        <f t="shared" si="108"/>
        <v>-12900.549358510207</v>
      </c>
      <c r="U152" s="324">
        <f t="shared" si="108"/>
        <v>-14217.593826584063</v>
      </c>
      <c r="V152" s="324">
        <f t="shared" si="108"/>
        <v>-15579.526715807755</v>
      </c>
      <c r="W152" s="324">
        <f t="shared" si="108"/>
        <v>-17007.777510167696</v>
      </c>
      <c r="X152" s="324">
        <f t="shared" si="108"/>
        <v>-17858.166385676082</v>
      </c>
      <c r="Y152" s="324">
        <f t="shared" si="108"/>
        <v>-18751.074704959879</v>
      </c>
      <c r="Z152" s="324">
        <f t="shared" si="108"/>
        <v>-19688.628440207878</v>
      </c>
      <c r="AA152" s="324">
        <f t="shared" si="108"/>
        <v>-20673.059862218273</v>
      </c>
      <c r="AB152" s="324">
        <f t="shared" si="108"/>
        <v>-21706.71285532918</v>
      </c>
      <c r="AC152" s="324">
        <f t="shared" si="108"/>
        <v>-22792.048498095639</v>
      </c>
      <c r="AD152" s="324">
        <f t="shared" si="108"/>
        <v>-23931.650923000427</v>
      </c>
      <c r="AE152" s="324">
        <f t="shared" si="108"/>
        <v>-25128.233469150458</v>
      </c>
      <c r="AF152" s="324">
        <f t="shared" si="108"/>
        <v>-26384.64514260798</v>
      </c>
    </row>
    <row r="153" spans="2:33" ht="15" customHeight="1" outlineLevel="1">
      <c r="B153" s="330" t="s">
        <v>494</v>
      </c>
      <c r="C153" s="331">
        <f t="shared" ref="C153:L153" si="109">IF($C$2=FALSE,"-",C16)</f>
        <v>194</v>
      </c>
      <c r="D153" s="331">
        <f t="shared" si="109"/>
        <v>191</v>
      </c>
      <c r="E153" s="331">
        <f t="shared" si="109"/>
        <v>227</v>
      </c>
      <c r="F153" s="331">
        <f t="shared" si="109"/>
        <v>320</v>
      </c>
      <c r="G153" s="331">
        <f t="shared" si="109"/>
        <v>349</v>
      </c>
      <c r="H153" s="331">
        <f t="shared" si="109"/>
        <v>225</v>
      </c>
      <c r="I153" s="331">
        <f t="shared" si="109"/>
        <v>12</v>
      </c>
      <c r="J153" s="331">
        <f t="shared" si="109"/>
        <v>116</v>
      </c>
      <c r="K153" s="331">
        <f t="shared" si="109"/>
        <v>88</v>
      </c>
      <c r="L153" s="331">
        <f t="shared" si="109"/>
        <v>99</v>
      </c>
      <c r="M153" s="378">
        <f t="shared" ref="M153:AF153" si="110">IF($C$2=FALSE,"-",M$147*M125)</f>
        <v>98.009999999999991</v>
      </c>
      <c r="N153" s="331">
        <f t="shared" si="110"/>
        <v>100.53057393903357</v>
      </c>
      <c r="O153" s="331">
        <f t="shared" si="110"/>
        <v>104.09433364890801</v>
      </c>
      <c r="P153" s="331">
        <f t="shared" si="110"/>
        <v>108.39771056607829</v>
      </c>
      <c r="Q153" s="331">
        <f t="shared" si="110"/>
        <v>113.26591310574003</v>
      </c>
      <c r="R153" s="331">
        <f t="shared" si="110"/>
        <v>118.59780270444593</v>
      </c>
      <c r="S153" s="331">
        <f t="shared" si="110"/>
        <v>124.33625237666985</v>
      </c>
      <c r="T153" s="331">
        <f t="shared" si="110"/>
        <v>130.45125857660108</v>
      </c>
      <c r="U153" s="331">
        <f t="shared" si="110"/>
        <v>136.92993302230838</v>
      </c>
      <c r="V153" s="331">
        <f t="shared" si="110"/>
        <v>143.77041928781685</v>
      </c>
      <c r="W153" s="331">
        <f t="shared" si="110"/>
        <v>150.97813823450875</v>
      </c>
      <c r="X153" s="331">
        <f t="shared" si="110"/>
        <v>158.52704514623417</v>
      </c>
      <c r="Y153" s="331">
        <f t="shared" si="110"/>
        <v>166.45339740354589</v>
      </c>
      <c r="Z153" s="331">
        <f t="shared" si="110"/>
        <v>174.77606727372321</v>
      </c>
      <c r="AA153" s="331">
        <f t="shared" si="110"/>
        <v>183.51487063740936</v>
      </c>
      <c r="AB153" s="331">
        <f t="shared" si="110"/>
        <v>192.69061416927983</v>
      </c>
      <c r="AC153" s="331">
        <f t="shared" si="110"/>
        <v>202.32514487774384</v>
      </c>
      <c r="AD153" s="331">
        <f t="shared" si="110"/>
        <v>212.44140212163103</v>
      </c>
      <c r="AE153" s="331">
        <f t="shared" si="110"/>
        <v>223.06347222771259</v>
      </c>
      <c r="AF153" s="331">
        <f t="shared" si="110"/>
        <v>234.21664583909825</v>
      </c>
    </row>
    <row r="154" spans="2:33" ht="15" customHeight="1" outlineLevel="1">
      <c r="B154" s="323" t="s">
        <v>140</v>
      </c>
      <c r="C154" s="324">
        <f t="shared" ref="C154:L154" si="111">IF($C$2=FALSE,"-",C152+C153)</f>
        <v>3738</v>
      </c>
      <c r="D154" s="324">
        <f t="shared" si="111"/>
        <v>4445</v>
      </c>
      <c r="E154" s="324">
        <f t="shared" si="111"/>
        <v>4574</v>
      </c>
      <c r="F154" s="324">
        <f t="shared" si="111"/>
        <v>3390</v>
      </c>
      <c r="G154" s="324">
        <f t="shared" si="111"/>
        <v>3872</v>
      </c>
      <c r="H154" s="324">
        <f t="shared" si="111"/>
        <v>3417</v>
      </c>
      <c r="I154" s="324">
        <f t="shared" si="111"/>
        <v>2184</v>
      </c>
      <c r="J154" s="324">
        <f t="shared" si="111"/>
        <v>3549</v>
      </c>
      <c r="K154" s="324">
        <f t="shared" si="111"/>
        <v>4519</v>
      </c>
      <c r="L154" s="324">
        <f t="shared" si="111"/>
        <v>3111</v>
      </c>
      <c r="M154" s="379">
        <f t="shared" ref="M154:AF154" si="112">IF($C$2=FALSE,"-",M152-M153)</f>
        <v>1474.6049999999991</v>
      </c>
      <c r="N154" s="324">
        <f t="shared" si="112"/>
        <v>-2527.606339668238</v>
      </c>
      <c r="O154" s="324">
        <f t="shared" si="112"/>
        <v>-5263.5975389659225</v>
      </c>
      <c r="P154" s="324">
        <f t="shared" si="112"/>
        <v>-7299.5782483608564</v>
      </c>
      <c r="Q154" s="324">
        <f t="shared" si="112"/>
        <v>-8946.0899657519258</v>
      </c>
      <c r="R154" s="324">
        <f t="shared" si="112"/>
        <v>-10383.778360703232</v>
      </c>
      <c r="S154" s="324">
        <f t="shared" si="112"/>
        <v>-11722.394574370557</v>
      </c>
      <c r="T154" s="324">
        <f t="shared" si="112"/>
        <v>-13031.000617086807</v>
      </c>
      <c r="U154" s="324">
        <f t="shared" si="112"/>
        <v>-14354.523759606371</v>
      </c>
      <c r="V154" s="324">
        <f t="shared" si="112"/>
        <v>-15723.297135095572</v>
      </c>
      <c r="W154" s="324">
        <f t="shared" si="112"/>
        <v>-17158.755648402206</v>
      </c>
      <c r="X154" s="324">
        <f t="shared" si="112"/>
        <v>-18016.693430822317</v>
      </c>
      <c r="Y154" s="324">
        <f t="shared" si="112"/>
        <v>-18917.528102363427</v>
      </c>
      <c r="Z154" s="324">
        <f t="shared" si="112"/>
        <v>-19863.404507481602</v>
      </c>
      <c r="AA154" s="324">
        <f t="shared" si="112"/>
        <v>-20856.574732855683</v>
      </c>
      <c r="AB154" s="324">
        <f t="shared" si="112"/>
        <v>-21899.403469498462</v>
      </c>
      <c r="AC154" s="324">
        <f t="shared" si="112"/>
        <v>-22994.373642973384</v>
      </c>
      <c r="AD154" s="324">
        <f t="shared" si="112"/>
        <v>-24144.092325122059</v>
      </c>
      <c r="AE154" s="324">
        <f t="shared" si="112"/>
        <v>-25351.296941378172</v>
      </c>
      <c r="AF154" s="324">
        <f t="shared" si="112"/>
        <v>-26618.861788447077</v>
      </c>
    </row>
    <row r="155" spans="2:33" ht="15" customHeight="1" outlineLevel="1">
      <c r="B155" s="330" t="s">
        <v>495</v>
      </c>
      <c r="C155" s="331">
        <f t="shared" ref="C155:L155" si="113">IF($C$2=FALSE,"-",C19)</f>
        <v>14</v>
      </c>
      <c r="D155" s="331">
        <f t="shared" si="113"/>
        <v>0</v>
      </c>
      <c r="E155" s="331">
        <f t="shared" si="113"/>
        <v>0</v>
      </c>
      <c r="F155" s="331">
        <f t="shared" si="113"/>
        <v>45</v>
      </c>
      <c r="G155" s="331">
        <f t="shared" si="113"/>
        <v>45</v>
      </c>
      <c r="H155" s="331">
        <f t="shared" si="113"/>
        <v>93</v>
      </c>
      <c r="I155" s="331">
        <f t="shared" si="113"/>
        <v>160</v>
      </c>
      <c r="J155" s="331">
        <f t="shared" si="113"/>
        <v>199</v>
      </c>
      <c r="K155" s="331">
        <f t="shared" si="113"/>
        <v>279</v>
      </c>
      <c r="L155" s="331">
        <f t="shared" si="113"/>
        <v>270</v>
      </c>
      <c r="M155" s="378">
        <f t="shared" ref="M155:AF155" ca="1" si="114">IF($C$2=FALSE,"-",(M140*((M187+L187)/2))-(M142*L170))</f>
        <v>71.6411820989631</v>
      </c>
      <c r="N155" s="331">
        <f t="shared" ca="1" si="114"/>
        <v>100.52790136529467</v>
      </c>
      <c r="O155" s="331">
        <f t="shared" ca="1" si="114"/>
        <v>253.04709888850249</v>
      </c>
      <c r="P155" s="331">
        <f t="shared" ca="1" si="114"/>
        <v>304.97175934513496</v>
      </c>
      <c r="Q155" s="331">
        <f t="shared" ca="1" si="114"/>
        <v>353.62209778178027</v>
      </c>
      <c r="R155" s="331">
        <f t="shared" ca="1" si="114"/>
        <v>392.16894333786593</v>
      </c>
      <c r="S155" s="331">
        <f t="shared" ca="1" si="114"/>
        <v>424.91252802421644</v>
      </c>
      <c r="T155" s="331">
        <f t="shared" ca="1" si="114"/>
        <v>454.50106687719142</v>
      </c>
      <c r="U155" s="331">
        <f t="shared" ca="1" si="114"/>
        <v>482.57669790911564</v>
      </c>
      <c r="V155" s="331">
        <f t="shared" ca="1" si="114"/>
        <v>510.17719949595607</v>
      </c>
      <c r="W155" s="331">
        <f t="shared" ca="1" si="114"/>
        <v>537.97417823257535</v>
      </c>
      <c r="X155" s="331">
        <f t="shared" ca="1" si="114"/>
        <v>565.49752349556309</v>
      </c>
      <c r="Y155" s="331">
        <f t="shared" ca="1" si="114"/>
        <v>594.05718278141205</v>
      </c>
      <c r="Z155" s="331">
        <f t="shared" ca="1" si="114"/>
        <v>623.76004192048254</v>
      </c>
      <c r="AA155" s="331">
        <f t="shared" ca="1" si="114"/>
        <v>654.94804401650674</v>
      </c>
      <c r="AB155" s="331">
        <f t="shared" ca="1" si="114"/>
        <v>687.69544621733201</v>
      </c>
      <c r="AC155" s="331">
        <f t="shared" ca="1" si="114"/>
        <v>722.08021852819866</v>
      </c>
      <c r="AD155" s="331">
        <f t="shared" ca="1" si="114"/>
        <v>758.18422945460873</v>
      </c>
      <c r="AE155" s="331">
        <f t="shared" ca="1" si="114"/>
        <v>796.0934409273392</v>
      </c>
      <c r="AF155" s="331">
        <f t="shared" ca="1" si="114"/>
        <v>835.89811297370613</v>
      </c>
    </row>
    <row r="156" spans="2:33" ht="15" customHeight="1" outlineLevel="1">
      <c r="B156" s="323" t="s">
        <v>497</v>
      </c>
      <c r="C156" s="324">
        <f t="shared" ref="C156:AF156" si="115">IF($C$2=FALSE,"-",C154-C155)</f>
        <v>3724</v>
      </c>
      <c r="D156" s="324">
        <f t="shared" si="115"/>
        <v>4445</v>
      </c>
      <c r="E156" s="324">
        <f t="shared" si="115"/>
        <v>4574</v>
      </c>
      <c r="F156" s="324">
        <f t="shared" si="115"/>
        <v>3345</v>
      </c>
      <c r="G156" s="324">
        <f t="shared" si="115"/>
        <v>3827</v>
      </c>
      <c r="H156" s="324">
        <f t="shared" si="115"/>
        <v>3324</v>
      </c>
      <c r="I156" s="324">
        <f t="shared" si="115"/>
        <v>2024</v>
      </c>
      <c r="J156" s="324">
        <f t="shared" si="115"/>
        <v>3350</v>
      </c>
      <c r="K156" s="324">
        <f t="shared" si="115"/>
        <v>4240</v>
      </c>
      <c r="L156" s="324">
        <f t="shared" si="115"/>
        <v>2841</v>
      </c>
      <c r="M156" s="379">
        <f t="shared" ca="1" si="115"/>
        <v>1402.963817901036</v>
      </c>
      <c r="N156" s="324">
        <f t="shared" ca="1" si="115"/>
        <v>-2628.1342410335328</v>
      </c>
      <c r="O156" s="324">
        <f t="shared" ca="1" si="115"/>
        <v>-5516.6446378544251</v>
      </c>
      <c r="P156" s="324">
        <f t="shared" ca="1" si="115"/>
        <v>-7604.5500077059914</v>
      </c>
      <c r="Q156" s="324">
        <f t="shared" ca="1" si="115"/>
        <v>-9299.7120635337069</v>
      </c>
      <c r="R156" s="324">
        <f t="shared" ca="1" si="115"/>
        <v>-10775.947304041098</v>
      </c>
      <c r="S156" s="324">
        <f t="shared" ca="1" si="115"/>
        <v>-12147.307102394774</v>
      </c>
      <c r="T156" s="324">
        <f t="shared" ca="1" si="115"/>
        <v>-13485.501683963999</v>
      </c>
      <c r="U156" s="324">
        <f t="shared" ca="1" si="115"/>
        <v>-14837.100457515486</v>
      </c>
      <c r="V156" s="324">
        <f t="shared" ca="1" si="115"/>
        <v>-16233.474334591529</v>
      </c>
      <c r="W156" s="324">
        <f t="shared" ca="1" si="115"/>
        <v>-17696.729826634783</v>
      </c>
      <c r="X156" s="324">
        <f t="shared" ca="1" si="115"/>
        <v>-18582.190954317881</v>
      </c>
      <c r="Y156" s="324">
        <f t="shared" ca="1" si="115"/>
        <v>-19511.58528514484</v>
      </c>
      <c r="Z156" s="324">
        <f t="shared" ca="1" si="115"/>
        <v>-20487.164549402085</v>
      </c>
      <c r="AA156" s="324">
        <f t="shared" ca="1" si="115"/>
        <v>-21511.522776872189</v>
      </c>
      <c r="AB156" s="324">
        <f t="shared" ca="1" si="115"/>
        <v>-22587.098915715793</v>
      </c>
      <c r="AC156" s="324">
        <f t="shared" ca="1" si="115"/>
        <v>-23716.453861501581</v>
      </c>
      <c r="AD156" s="324">
        <f t="shared" ca="1" si="115"/>
        <v>-24902.276554576667</v>
      </c>
      <c r="AE156" s="324">
        <f t="shared" ca="1" si="115"/>
        <v>-26147.390382305512</v>
      </c>
      <c r="AF156" s="324">
        <f t="shared" ca="1" si="115"/>
        <v>-27454.759901420784</v>
      </c>
    </row>
    <row r="157" spans="2:33" ht="15" customHeight="1" outlineLevel="1">
      <c r="B157" s="330" t="s">
        <v>237</v>
      </c>
      <c r="C157" s="331">
        <f t="shared" ref="C157:L157" si="116">IF($C$2=FALSE,"-",C22)</f>
        <v>1079</v>
      </c>
      <c r="D157" s="331">
        <f t="shared" si="116"/>
        <v>1402</v>
      </c>
      <c r="E157" s="331">
        <f t="shared" si="116"/>
        <v>1002</v>
      </c>
      <c r="F157" s="331">
        <f t="shared" si="116"/>
        <v>762</v>
      </c>
      <c r="G157" s="331">
        <f t="shared" si="116"/>
        <v>880</v>
      </c>
      <c r="H157" s="331">
        <f t="shared" si="116"/>
        <v>846</v>
      </c>
      <c r="I157" s="331">
        <f t="shared" si="116"/>
        <v>591</v>
      </c>
      <c r="J157" s="331">
        <f t="shared" si="116"/>
        <v>715</v>
      </c>
      <c r="K157" s="331">
        <f t="shared" si="116"/>
        <v>748</v>
      </c>
      <c r="L157" s="331">
        <f t="shared" si="116"/>
        <v>469</v>
      </c>
      <c r="M157" s="378">
        <f t="shared" ref="M157:AF157" ca="1" si="117">IF($C$2=FALSE,"-",M156*M139)</f>
        <v>231.60507940710519</v>
      </c>
      <c r="N157" s="331">
        <f t="shared" ca="1" si="117"/>
        <v>-678.43313659912917</v>
      </c>
      <c r="O157" s="331">
        <f t="shared" ca="1" si="117"/>
        <v>-1735.4597617354991</v>
      </c>
      <c r="P157" s="331">
        <f t="shared" ca="1" si="117"/>
        <v>-2652.6258800733617</v>
      </c>
      <c r="Q157" s="331">
        <f t="shared" ca="1" si="117"/>
        <v>-3437.0371592183246</v>
      </c>
      <c r="R157" s="331">
        <f t="shared" ca="1" si="117"/>
        <v>-4118.3472570347376</v>
      </c>
      <c r="S157" s="331">
        <f t="shared" ca="1" si="117"/>
        <v>-4735.2439939290271</v>
      </c>
      <c r="T157" s="331">
        <f t="shared" ca="1" si="117"/>
        <v>-5319.3775547191653</v>
      </c>
      <c r="U157" s="331">
        <f t="shared" ca="1" si="117"/>
        <v>-5894.2124911635619</v>
      </c>
      <c r="V157" s="331">
        <f t="shared" ca="1" si="117"/>
        <v>-6476.6075554904728</v>
      </c>
      <c r="W157" s="331">
        <f t="shared" ca="1" si="117"/>
        <v>-7078.691930653913</v>
      </c>
      <c r="X157" s="331">
        <f t="shared" ca="1" si="117"/>
        <v>-7432.8763817271529</v>
      </c>
      <c r="Y157" s="331">
        <f t="shared" ca="1" si="117"/>
        <v>-7804.6341140579361</v>
      </c>
      <c r="Z157" s="331">
        <f t="shared" ca="1" si="117"/>
        <v>-8194.8658197608347</v>
      </c>
      <c r="AA157" s="331">
        <f t="shared" ca="1" si="117"/>
        <v>-8604.6091107488755</v>
      </c>
      <c r="AB157" s="331">
        <f t="shared" ca="1" si="117"/>
        <v>-9034.8395662863168</v>
      </c>
      <c r="AC157" s="331">
        <f t="shared" ca="1" si="117"/>
        <v>-9486.5815446006327</v>
      </c>
      <c r="AD157" s="331">
        <f t="shared" ca="1" si="117"/>
        <v>-9960.9106218306679</v>
      </c>
      <c r="AE157" s="331">
        <f t="shared" ca="1" si="117"/>
        <v>-10458.956152922205</v>
      </c>
      <c r="AF157" s="331">
        <f t="shared" ca="1" si="117"/>
        <v>-10981.903960568314</v>
      </c>
    </row>
    <row r="158" spans="2:33" ht="15" customHeight="1" outlineLevel="1">
      <c r="B158" s="330" t="s">
        <v>499</v>
      </c>
      <c r="C158" s="331">
        <f t="shared" ref="C158:L158" si="118">IF($C$2=FALSE,"-",C24)</f>
        <v>0</v>
      </c>
      <c r="D158" s="331">
        <f t="shared" si="118"/>
        <v>0</v>
      </c>
      <c r="E158" s="331">
        <f t="shared" si="118"/>
        <v>0</v>
      </c>
      <c r="F158" s="331">
        <f t="shared" si="118"/>
        <v>0</v>
      </c>
      <c r="G158" s="331">
        <f t="shared" si="118"/>
        <v>0</v>
      </c>
      <c r="H158" s="331">
        <f t="shared" si="118"/>
        <v>0</v>
      </c>
      <c r="I158" s="331">
        <f t="shared" si="118"/>
        <v>0</v>
      </c>
      <c r="J158" s="331">
        <f t="shared" si="118"/>
        <v>0</v>
      </c>
      <c r="K158" s="331">
        <f t="shared" si="118"/>
        <v>0</v>
      </c>
      <c r="L158" s="331">
        <f t="shared" si="118"/>
        <v>0</v>
      </c>
      <c r="M158" s="378">
        <f t="shared" ref="M158:AF158" si="119">IF($C$2=FALSE,"-",M$147*M124)</f>
        <v>0</v>
      </c>
      <c r="N158" s="331">
        <f t="shared" si="119"/>
        <v>0</v>
      </c>
      <c r="O158" s="331">
        <f t="shared" si="119"/>
        <v>0</v>
      </c>
      <c r="P158" s="331">
        <f t="shared" si="119"/>
        <v>0</v>
      </c>
      <c r="Q158" s="331">
        <f t="shared" si="119"/>
        <v>0</v>
      </c>
      <c r="R158" s="331">
        <f t="shared" si="119"/>
        <v>0</v>
      </c>
      <c r="S158" s="331">
        <f t="shared" si="119"/>
        <v>0</v>
      </c>
      <c r="T158" s="331">
        <f t="shared" si="119"/>
        <v>0</v>
      </c>
      <c r="U158" s="331">
        <f t="shared" si="119"/>
        <v>0</v>
      </c>
      <c r="V158" s="331">
        <f t="shared" si="119"/>
        <v>0</v>
      </c>
      <c r="W158" s="331">
        <f t="shared" si="119"/>
        <v>0</v>
      </c>
      <c r="X158" s="331">
        <f t="shared" si="119"/>
        <v>0</v>
      </c>
      <c r="Y158" s="331">
        <f t="shared" si="119"/>
        <v>0</v>
      </c>
      <c r="Z158" s="331">
        <f t="shared" si="119"/>
        <v>0</v>
      </c>
      <c r="AA158" s="331">
        <f t="shared" si="119"/>
        <v>0</v>
      </c>
      <c r="AB158" s="331">
        <f t="shared" si="119"/>
        <v>0</v>
      </c>
      <c r="AC158" s="331">
        <f t="shared" si="119"/>
        <v>0</v>
      </c>
      <c r="AD158" s="331">
        <f t="shared" si="119"/>
        <v>0</v>
      </c>
      <c r="AE158" s="331">
        <f t="shared" si="119"/>
        <v>0</v>
      </c>
      <c r="AF158" s="331">
        <f t="shared" si="119"/>
        <v>0</v>
      </c>
    </row>
    <row r="159" spans="2:33" ht="15" customHeight="1" outlineLevel="1">
      <c r="B159" s="323" t="s">
        <v>500</v>
      </c>
      <c r="C159" s="324">
        <f t="shared" ref="C159:AF159" si="120">IF($C$2=FALSE,"-",C156-C157-C158)</f>
        <v>2645</v>
      </c>
      <c r="D159" s="324">
        <f t="shared" si="120"/>
        <v>3043</v>
      </c>
      <c r="E159" s="324">
        <f t="shared" si="120"/>
        <v>3572</v>
      </c>
      <c r="F159" s="324">
        <f t="shared" si="120"/>
        <v>2583</v>
      </c>
      <c r="G159" s="324">
        <f t="shared" si="120"/>
        <v>2947</v>
      </c>
      <c r="H159" s="324">
        <f t="shared" si="120"/>
        <v>2478</v>
      </c>
      <c r="I159" s="324">
        <f t="shared" si="120"/>
        <v>1433</v>
      </c>
      <c r="J159" s="324">
        <f t="shared" si="120"/>
        <v>2635</v>
      </c>
      <c r="K159" s="324">
        <f t="shared" si="120"/>
        <v>3492</v>
      </c>
      <c r="L159" s="324">
        <f t="shared" si="120"/>
        <v>2372</v>
      </c>
      <c r="M159" s="379">
        <f t="shared" ca="1" si="120"/>
        <v>1171.3587384939308</v>
      </c>
      <c r="N159" s="324">
        <f t="shared" ca="1" si="120"/>
        <v>-1949.7011044344035</v>
      </c>
      <c r="O159" s="324">
        <f t="shared" ca="1" si="120"/>
        <v>-3781.1848761189258</v>
      </c>
      <c r="P159" s="324">
        <f t="shared" ca="1" si="120"/>
        <v>-4951.9241276326302</v>
      </c>
      <c r="Q159" s="324">
        <f t="shared" ca="1" si="120"/>
        <v>-5862.6749043153823</v>
      </c>
      <c r="R159" s="324">
        <f t="shared" ca="1" si="120"/>
        <v>-6657.60004700636</v>
      </c>
      <c r="S159" s="324">
        <f t="shared" ca="1" si="120"/>
        <v>-7412.0631084657471</v>
      </c>
      <c r="T159" s="324">
        <f t="shared" ca="1" si="120"/>
        <v>-8166.124129244834</v>
      </c>
      <c r="U159" s="324">
        <f t="shared" ca="1" si="120"/>
        <v>-8942.8879663519238</v>
      </c>
      <c r="V159" s="324">
        <f t="shared" ca="1" si="120"/>
        <v>-9756.8667791010557</v>
      </c>
      <c r="W159" s="324">
        <f t="shared" ca="1" si="120"/>
        <v>-10618.03789598087</v>
      </c>
      <c r="X159" s="324">
        <f t="shared" ca="1" si="120"/>
        <v>-11149.314572590727</v>
      </c>
      <c r="Y159" s="324">
        <f t="shared" ca="1" si="120"/>
        <v>-11706.951171086905</v>
      </c>
      <c r="Z159" s="324">
        <f t="shared" ca="1" si="120"/>
        <v>-12292.29872964125</v>
      </c>
      <c r="AA159" s="324">
        <f t="shared" ca="1" si="120"/>
        <v>-12906.913666123313</v>
      </c>
      <c r="AB159" s="324">
        <f t="shared" ca="1" si="120"/>
        <v>-13552.259349429476</v>
      </c>
      <c r="AC159" s="324">
        <f t="shared" ca="1" si="120"/>
        <v>-14229.872316900948</v>
      </c>
      <c r="AD159" s="324">
        <f t="shared" ca="1" si="120"/>
        <v>-14941.365932745999</v>
      </c>
      <c r="AE159" s="324">
        <f t="shared" ca="1" si="120"/>
        <v>-15688.434229383307</v>
      </c>
      <c r="AF159" s="324">
        <f t="shared" ca="1" si="120"/>
        <v>-16472.855940852471</v>
      </c>
    </row>
    <row r="160" spans="2:33" ht="15" customHeight="1" outlineLevel="1">
      <c r="B160" s="330" t="s">
        <v>60</v>
      </c>
      <c r="C160" s="331">
        <f t="shared" ref="C160:AF160" si="121">IF($C$2=FALSE,"-",C154+C151)</f>
        <v>4001</v>
      </c>
      <c r="D160" s="331">
        <f t="shared" si="121"/>
        <v>4779</v>
      </c>
      <c r="E160" s="331">
        <f t="shared" si="121"/>
        <v>4967</v>
      </c>
      <c r="F160" s="331">
        <f t="shared" si="121"/>
        <v>3861</v>
      </c>
      <c r="G160" s="331">
        <f t="shared" si="121"/>
        <v>4479</v>
      </c>
      <c r="H160" s="331">
        <f t="shared" si="121"/>
        <v>4186</v>
      </c>
      <c r="I160" s="331">
        <f t="shared" si="121"/>
        <v>3036</v>
      </c>
      <c r="J160" s="331">
        <f t="shared" si="121"/>
        <v>4519</v>
      </c>
      <c r="K160" s="331">
        <f t="shared" si="121"/>
        <v>5455</v>
      </c>
      <c r="L160" s="331">
        <f t="shared" si="121"/>
        <v>4255</v>
      </c>
      <c r="M160" s="378">
        <f t="shared" si="121"/>
        <v>2607.1649999999991</v>
      </c>
      <c r="N160" s="331">
        <f t="shared" si="121"/>
        <v>-1468.124252209913</v>
      </c>
      <c r="O160" s="331">
        <f t="shared" si="121"/>
        <v>-4235.1770719912156</v>
      </c>
      <c r="P160" s="331">
        <f t="shared" si="121"/>
        <v>-6273.6415597248997</v>
      </c>
      <c r="Q160" s="331">
        <f t="shared" si="121"/>
        <v>-7903.2264796944364</v>
      </c>
      <c r="R160" s="331">
        <f t="shared" si="121"/>
        <v>-9310.5750788014939</v>
      </c>
      <c r="S160" s="331">
        <f t="shared" si="121"/>
        <v>-10609.279717089034</v>
      </c>
      <c r="T160" s="331">
        <f t="shared" si="121"/>
        <v>-11870.823565885157</v>
      </c>
      <c r="U160" s="331">
        <f t="shared" si="121"/>
        <v>-13141.632709131274</v>
      </c>
      <c r="V160" s="331">
        <f t="shared" si="121"/>
        <v>-14452.943400160226</v>
      </c>
      <c r="W160" s="331">
        <f t="shared" si="121"/>
        <v>-15826.709374115666</v>
      </c>
      <c r="X160" s="331">
        <f t="shared" si="121"/>
        <v>-16618.044842821451</v>
      </c>
      <c r="Y160" s="331">
        <f t="shared" si="121"/>
        <v>-17448.947084962518</v>
      </c>
      <c r="Z160" s="331">
        <f t="shared" si="121"/>
        <v>-18321.394439210646</v>
      </c>
      <c r="AA160" s="331">
        <f t="shared" si="121"/>
        <v>-19237.464161171178</v>
      </c>
      <c r="AB160" s="331">
        <f t="shared" si="121"/>
        <v>-20199.337369229732</v>
      </c>
      <c r="AC160" s="331">
        <f t="shared" si="121"/>
        <v>-21209.30423769122</v>
      </c>
      <c r="AD160" s="331">
        <f t="shared" si="121"/>
        <v>-22269.769449575786</v>
      </c>
      <c r="AE160" s="331">
        <f t="shared" si="121"/>
        <v>-23383.257922054585</v>
      </c>
      <c r="AF160" s="331">
        <f t="shared" si="121"/>
        <v>-24552.420818157309</v>
      </c>
    </row>
    <row r="161" spans="2:32" ht="15" customHeight="1" outlineLevel="1">
      <c r="B161" s="330" t="s">
        <v>566</v>
      </c>
      <c r="C161" s="331">
        <f t="shared" ref="C161:L161" si="122">IF($C$2=FALSE,"-",-C85)</f>
        <v>0</v>
      </c>
      <c r="D161" s="331">
        <f t="shared" si="122"/>
        <v>0</v>
      </c>
      <c r="E161" s="331">
        <f t="shared" si="122"/>
        <v>0</v>
      </c>
      <c r="F161" s="331">
        <f t="shared" si="122"/>
        <v>0</v>
      </c>
      <c r="G161" s="331">
        <f t="shared" si="122"/>
        <v>0</v>
      </c>
      <c r="H161" s="331">
        <f t="shared" si="122"/>
        <v>0</v>
      </c>
      <c r="I161" s="331">
        <f t="shared" si="122"/>
        <v>0</v>
      </c>
      <c r="J161" s="331">
        <f t="shared" si="122"/>
        <v>0</v>
      </c>
      <c r="K161" s="331">
        <f t="shared" si="122"/>
        <v>0</v>
      </c>
      <c r="L161" s="331">
        <f t="shared" si="122"/>
        <v>278</v>
      </c>
      <c r="M161" s="378">
        <f t="shared" ref="M161:AF161" ca="1" si="123">IF($C$2=FALSE,"-",M159*M143)</f>
        <v>0</v>
      </c>
      <c r="N161" s="331">
        <f t="shared" ca="1" si="123"/>
        <v>0</v>
      </c>
      <c r="O161" s="331">
        <f t="shared" ca="1" si="123"/>
        <v>0</v>
      </c>
      <c r="P161" s="331">
        <f t="shared" ca="1" si="123"/>
        <v>0</v>
      </c>
      <c r="Q161" s="331">
        <f t="shared" ca="1" si="123"/>
        <v>0</v>
      </c>
      <c r="R161" s="331">
        <f t="shared" ca="1" si="123"/>
        <v>0</v>
      </c>
      <c r="S161" s="331">
        <f t="shared" ca="1" si="123"/>
        <v>0</v>
      </c>
      <c r="T161" s="331">
        <f t="shared" ca="1" si="123"/>
        <v>0</v>
      </c>
      <c r="U161" s="331">
        <f t="shared" ca="1" si="123"/>
        <v>0</v>
      </c>
      <c r="V161" s="331">
        <f t="shared" ca="1" si="123"/>
        <v>0</v>
      </c>
      <c r="W161" s="331">
        <f t="shared" ca="1" si="123"/>
        <v>0</v>
      </c>
      <c r="X161" s="331">
        <f t="shared" ca="1" si="123"/>
        <v>0</v>
      </c>
      <c r="Y161" s="331">
        <f t="shared" ca="1" si="123"/>
        <v>0</v>
      </c>
      <c r="Z161" s="331">
        <f t="shared" ca="1" si="123"/>
        <v>0</v>
      </c>
      <c r="AA161" s="331">
        <f t="shared" ca="1" si="123"/>
        <v>0</v>
      </c>
      <c r="AB161" s="331">
        <f t="shared" ca="1" si="123"/>
        <v>0</v>
      </c>
      <c r="AC161" s="331">
        <f t="shared" ca="1" si="123"/>
        <v>0</v>
      </c>
      <c r="AD161" s="331">
        <f t="shared" ca="1" si="123"/>
        <v>0</v>
      </c>
      <c r="AE161" s="331">
        <f t="shared" ca="1" si="123"/>
        <v>0</v>
      </c>
      <c r="AF161" s="331">
        <f t="shared" ca="1" si="123"/>
        <v>0</v>
      </c>
    </row>
    <row r="162" spans="2:32" ht="15" customHeight="1" outlineLevel="1">
      <c r="B162" s="323" t="s">
        <v>567</v>
      </c>
      <c r="C162" s="324">
        <f t="shared" ref="C162:AF162" si="124">IF($C$2=FALSE,"-",C159-C161)</f>
        <v>2645</v>
      </c>
      <c r="D162" s="324">
        <f t="shared" si="124"/>
        <v>3043</v>
      </c>
      <c r="E162" s="324">
        <f t="shared" si="124"/>
        <v>3572</v>
      </c>
      <c r="F162" s="324">
        <f t="shared" si="124"/>
        <v>2583</v>
      </c>
      <c r="G162" s="324">
        <f t="shared" si="124"/>
        <v>2947</v>
      </c>
      <c r="H162" s="324">
        <f t="shared" si="124"/>
        <v>2478</v>
      </c>
      <c r="I162" s="324">
        <f t="shared" si="124"/>
        <v>1433</v>
      </c>
      <c r="J162" s="324">
        <f t="shared" si="124"/>
        <v>2635</v>
      </c>
      <c r="K162" s="324">
        <f t="shared" si="124"/>
        <v>3492</v>
      </c>
      <c r="L162" s="324">
        <f t="shared" si="124"/>
        <v>2094</v>
      </c>
      <c r="M162" s="379">
        <f t="shared" ca="1" si="124"/>
        <v>1171.3587384939308</v>
      </c>
      <c r="N162" s="324">
        <f t="shared" ca="1" si="124"/>
        <v>-1949.7011044344035</v>
      </c>
      <c r="O162" s="324">
        <f t="shared" ca="1" si="124"/>
        <v>-3781.1848761189258</v>
      </c>
      <c r="P162" s="324">
        <f t="shared" ca="1" si="124"/>
        <v>-4951.9241276326302</v>
      </c>
      <c r="Q162" s="324">
        <f t="shared" ca="1" si="124"/>
        <v>-5862.6749043153823</v>
      </c>
      <c r="R162" s="324">
        <f t="shared" ca="1" si="124"/>
        <v>-6657.60004700636</v>
      </c>
      <c r="S162" s="324">
        <f t="shared" ca="1" si="124"/>
        <v>-7412.0631084657471</v>
      </c>
      <c r="T162" s="324">
        <f t="shared" ca="1" si="124"/>
        <v>-8166.124129244834</v>
      </c>
      <c r="U162" s="324">
        <f t="shared" ca="1" si="124"/>
        <v>-8942.8879663519238</v>
      </c>
      <c r="V162" s="324">
        <f t="shared" ca="1" si="124"/>
        <v>-9756.8667791010557</v>
      </c>
      <c r="W162" s="324">
        <f t="shared" ca="1" si="124"/>
        <v>-10618.03789598087</v>
      </c>
      <c r="X162" s="324">
        <f t="shared" ca="1" si="124"/>
        <v>-11149.314572590727</v>
      </c>
      <c r="Y162" s="324">
        <f t="shared" ca="1" si="124"/>
        <v>-11706.951171086905</v>
      </c>
      <c r="Z162" s="324">
        <f t="shared" ca="1" si="124"/>
        <v>-12292.29872964125</v>
      </c>
      <c r="AA162" s="324">
        <f t="shared" ca="1" si="124"/>
        <v>-12906.913666123313</v>
      </c>
      <c r="AB162" s="324">
        <f t="shared" ca="1" si="124"/>
        <v>-13552.259349429476</v>
      </c>
      <c r="AC162" s="324">
        <f t="shared" ca="1" si="124"/>
        <v>-14229.872316900948</v>
      </c>
      <c r="AD162" s="324">
        <f t="shared" ca="1" si="124"/>
        <v>-14941.365932745999</v>
      </c>
      <c r="AE162" s="324">
        <f t="shared" ca="1" si="124"/>
        <v>-15688.434229383307</v>
      </c>
      <c r="AF162" s="324">
        <f t="shared" ca="1" si="124"/>
        <v>-16472.855940852471</v>
      </c>
    </row>
    <row r="163" spans="2:32" ht="15" customHeight="1" outlineLevel="1">
      <c r="B163" s="380" t="s">
        <v>568</v>
      </c>
      <c r="C163" s="324">
        <f t="shared" ref="C163:AF163" si="125">IF($C$2=FALSE,"-",C159/$C$274)</f>
        <v>1.5071225071225072</v>
      </c>
      <c r="D163" s="324">
        <f t="shared" si="125"/>
        <v>1.7339031339031339</v>
      </c>
      <c r="E163" s="324">
        <f t="shared" si="125"/>
        <v>2.0353276353276355</v>
      </c>
      <c r="F163" s="324">
        <f t="shared" si="125"/>
        <v>1.4717948717948719</v>
      </c>
      <c r="G163" s="324">
        <f t="shared" si="125"/>
        <v>1.6792022792022792</v>
      </c>
      <c r="H163" s="324">
        <f t="shared" si="125"/>
        <v>1.4119658119658121</v>
      </c>
      <c r="I163" s="324">
        <f t="shared" si="125"/>
        <v>0.81652421652421647</v>
      </c>
      <c r="J163" s="324">
        <f t="shared" si="125"/>
        <v>1.5014245014245013</v>
      </c>
      <c r="K163" s="324">
        <f t="shared" si="125"/>
        <v>1.9897435897435898</v>
      </c>
      <c r="L163" s="324">
        <f t="shared" si="125"/>
        <v>1.3515669515669515</v>
      </c>
      <c r="M163" s="379">
        <f t="shared" ca="1" si="125"/>
        <v>0.66744087663471841</v>
      </c>
      <c r="N163" s="324">
        <f t="shared" ca="1" si="125"/>
        <v>-1.1109408002475234</v>
      </c>
      <c r="O163" s="324">
        <f t="shared" ca="1" si="125"/>
        <v>-2.154521296933861</v>
      </c>
      <c r="P163" s="324">
        <f t="shared" ca="1" si="125"/>
        <v>-2.8216091895342621</v>
      </c>
      <c r="Q163" s="324">
        <f t="shared" ca="1" si="125"/>
        <v>-3.3405555010344057</v>
      </c>
      <c r="R163" s="324">
        <f t="shared" ca="1" si="125"/>
        <v>-3.7935043002885243</v>
      </c>
      <c r="S163" s="324">
        <f t="shared" ca="1" si="125"/>
        <v>-4.2233977826015652</v>
      </c>
      <c r="T163" s="324">
        <f t="shared" ca="1" si="125"/>
        <v>-4.6530621819058879</v>
      </c>
      <c r="U163" s="324">
        <f t="shared" ca="1" si="125"/>
        <v>-5.0956626588899852</v>
      </c>
      <c r="V163" s="324">
        <f t="shared" ca="1" si="125"/>
        <v>-5.5594682502000321</v>
      </c>
      <c r="W163" s="324">
        <f t="shared" ca="1" si="125"/>
        <v>-6.0501640432939423</v>
      </c>
      <c r="X163" s="324">
        <f t="shared" ca="1" si="125"/>
        <v>-6.3528857963479926</v>
      </c>
      <c r="Y163" s="324">
        <f t="shared" ca="1" si="125"/>
        <v>-6.6706274479127661</v>
      </c>
      <c r="Z163" s="324">
        <f t="shared" ca="1" si="125"/>
        <v>-7.0041588203084046</v>
      </c>
      <c r="AA163" s="324">
        <f t="shared" ca="1" si="125"/>
        <v>-7.3543667613238251</v>
      </c>
      <c r="AB163" s="324">
        <f t="shared" ca="1" si="125"/>
        <v>-7.7220850993900152</v>
      </c>
      <c r="AC163" s="324">
        <f t="shared" ca="1" si="125"/>
        <v>-8.1081893543595154</v>
      </c>
      <c r="AD163" s="324">
        <f t="shared" ca="1" si="125"/>
        <v>-8.5135988220774923</v>
      </c>
      <c r="AE163" s="324">
        <f t="shared" ca="1" si="125"/>
        <v>-8.9392787631813722</v>
      </c>
      <c r="AF163" s="324">
        <f t="shared" ca="1" si="125"/>
        <v>-9.3862427013404393</v>
      </c>
    </row>
    <row r="164" spans="2:32" ht="15" customHeight="1">
      <c r="B164" s="330"/>
      <c r="C164" s="331"/>
      <c r="D164" s="331"/>
      <c r="E164" s="331"/>
      <c r="F164" s="331"/>
      <c r="G164" s="331"/>
      <c r="H164" s="331"/>
      <c r="I164" s="331"/>
      <c r="J164" s="331"/>
      <c r="K164" s="331"/>
      <c r="L164" s="331"/>
      <c r="M164" s="331"/>
      <c r="N164" s="331"/>
      <c r="O164" s="331"/>
      <c r="P164" s="331"/>
      <c r="Q164" s="331"/>
      <c r="R164" s="331"/>
      <c r="S164" s="331"/>
      <c r="T164" s="331"/>
      <c r="U164" s="331"/>
      <c r="V164" s="331"/>
      <c r="W164" s="331"/>
      <c r="X164" s="331"/>
      <c r="Y164" s="331"/>
      <c r="Z164" s="331"/>
      <c r="AA164" s="331"/>
      <c r="AB164" s="331"/>
      <c r="AC164" s="331"/>
      <c r="AD164" s="331"/>
      <c r="AE164" s="331"/>
      <c r="AF164" s="331"/>
    </row>
    <row r="165" spans="2:32" ht="15" customHeight="1">
      <c r="B165" s="338" t="s">
        <v>569</v>
      </c>
      <c r="C165" s="368">
        <f t="shared" ref="C165:AF165" si="126">IF($C$2=FALSE,"-",C145)</f>
        <v>2004</v>
      </c>
      <c r="D165" s="368">
        <f t="shared" si="126"/>
        <v>2005</v>
      </c>
      <c r="E165" s="368">
        <f t="shared" si="126"/>
        <v>2006</v>
      </c>
      <c r="F165" s="368">
        <f t="shared" si="126"/>
        <v>2007</v>
      </c>
      <c r="G165" s="368">
        <f t="shared" si="126"/>
        <v>2008</v>
      </c>
      <c r="H165" s="368">
        <f t="shared" si="126"/>
        <v>2009</v>
      </c>
      <c r="I165" s="368">
        <f t="shared" si="126"/>
        <v>2010</v>
      </c>
      <c r="J165" s="368">
        <f t="shared" si="126"/>
        <v>2011</v>
      </c>
      <c r="K165" s="368">
        <f t="shared" si="126"/>
        <v>2012</v>
      </c>
      <c r="L165" s="368">
        <f t="shared" si="126"/>
        <v>2013</v>
      </c>
      <c r="M165" s="369">
        <f t="shared" si="126"/>
        <v>2014</v>
      </c>
      <c r="N165" s="369">
        <f t="shared" si="126"/>
        <v>2015</v>
      </c>
      <c r="O165" s="369">
        <f t="shared" si="126"/>
        <v>2016</v>
      </c>
      <c r="P165" s="369">
        <f t="shared" si="126"/>
        <v>2017</v>
      </c>
      <c r="Q165" s="369">
        <f t="shared" si="126"/>
        <v>2018</v>
      </c>
      <c r="R165" s="369">
        <f t="shared" si="126"/>
        <v>2019</v>
      </c>
      <c r="S165" s="369">
        <f t="shared" si="126"/>
        <v>2020</v>
      </c>
      <c r="T165" s="369">
        <f t="shared" si="126"/>
        <v>2021</v>
      </c>
      <c r="U165" s="369">
        <f t="shared" si="126"/>
        <v>2022</v>
      </c>
      <c r="V165" s="369">
        <f t="shared" si="126"/>
        <v>2023</v>
      </c>
      <c r="W165" s="369">
        <f t="shared" si="126"/>
        <v>2024</v>
      </c>
      <c r="X165" s="369">
        <f t="shared" si="126"/>
        <v>2025</v>
      </c>
      <c r="Y165" s="369">
        <f t="shared" si="126"/>
        <v>2026</v>
      </c>
      <c r="Z165" s="369">
        <f t="shared" si="126"/>
        <v>2027</v>
      </c>
      <c r="AA165" s="369">
        <f t="shared" si="126"/>
        <v>2028</v>
      </c>
      <c r="AB165" s="369">
        <f t="shared" si="126"/>
        <v>2029</v>
      </c>
      <c r="AC165" s="369">
        <f t="shared" si="126"/>
        <v>2030</v>
      </c>
      <c r="AD165" s="369">
        <f t="shared" si="126"/>
        <v>2031</v>
      </c>
      <c r="AE165" s="369">
        <f t="shared" si="126"/>
        <v>2032</v>
      </c>
      <c r="AF165" s="369">
        <f t="shared" si="126"/>
        <v>2033</v>
      </c>
    </row>
    <row r="166" spans="2:32" ht="5.0999999999999996" customHeight="1">
      <c r="B166" s="330"/>
      <c r="C166" s="331"/>
      <c r="D166" s="331"/>
      <c r="E166" s="331"/>
      <c r="F166" s="331"/>
      <c r="G166" s="331"/>
      <c r="H166" s="331"/>
      <c r="I166" s="331"/>
      <c r="J166" s="331"/>
      <c r="K166" s="331"/>
      <c r="L166" s="331"/>
      <c r="M166" s="331"/>
      <c r="N166" s="331"/>
      <c r="O166" s="331"/>
      <c r="P166" s="331"/>
      <c r="Q166" s="331"/>
      <c r="R166" s="331"/>
      <c r="S166" s="331"/>
      <c r="T166" s="331"/>
      <c r="U166" s="331"/>
      <c r="V166" s="331"/>
      <c r="W166" s="331"/>
      <c r="X166" s="331"/>
      <c r="Y166" s="331"/>
      <c r="Z166" s="331"/>
      <c r="AA166" s="331"/>
      <c r="AB166" s="331"/>
      <c r="AC166" s="331"/>
      <c r="AD166" s="331"/>
      <c r="AE166" s="331"/>
      <c r="AF166" s="331"/>
    </row>
    <row r="167" spans="2:32" ht="15.6" customHeight="1">
      <c r="B167" s="312" t="str">
        <f>"CIRCULAR BREAKER "&amp;IF($C$167=TRUE,"ON","OFF")</f>
        <v>CIRCULAR BREAKER ON</v>
      </c>
      <c r="C167" s="381" t="b">
        <v>1</v>
      </c>
      <c r="D167" s="331"/>
      <c r="E167" s="331"/>
      <c r="F167" s="331"/>
      <c r="G167" s="331"/>
      <c r="H167" s="331"/>
      <c r="I167" s="331"/>
      <c r="J167" s="331"/>
      <c r="K167" s="331"/>
      <c r="L167" s="331"/>
      <c r="M167" s="331"/>
      <c r="N167" s="331"/>
      <c r="O167" s="331"/>
      <c r="P167" s="331"/>
      <c r="Q167" s="331"/>
      <c r="R167" s="331"/>
      <c r="S167" s="331"/>
      <c r="T167" s="331"/>
      <c r="U167" s="331"/>
      <c r="V167" s="331"/>
      <c r="W167" s="331"/>
      <c r="X167" s="331"/>
      <c r="Y167" s="331"/>
      <c r="Z167" s="331"/>
      <c r="AA167" s="331"/>
      <c r="AB167" s="331"/>
      <c r="AC167" s="331"/>
      <c r="AD167" s="331"/>
      <c r="AE167" s="331"/>
      <c r="AF167" s="331"/>
    </row>
    <row r="168" spans="2:32" ht="5.0999999999999996" customHeight="1">
      <c r="B168" s="330"/>
      <c r="C168" s="331"/>
      <c r="D168" s="331"/>
      <c r="E168" s="331"/>
      <c r="F168" s="331"/>
      <c r="G168" s="331"/>
      <c r="H168" s="331"/>
      <c r="I168" s="331"/>
      <c r="J168" s="331"/>
      <c r="K168" s="331"/>
      <c r="L168" s="331"/>
      <c r="M168" s="331"/>
      <c r="N168" s="331"/>
      <c r="O168" s="331"/>
      <c r="P168" s="331"/>
      <c r="Q168" s="331"/>
      <c r="R168" s="331"/>
      <c r="S168" s="331"/>
      <c r="T168" s="331"/>
      <c r="U168" s="331"/>
      <c r="V168" s="331"/>
      <c r="W168" s="331"/>
      <c r="X168" s="331"/>
      <c r="Y168" s="331"/>
      <c r="Z168" s="331"/>
      <c r="AA168" s="331"/>
      <c r="AB168" s="331"/>
      <c r="AC168" s="331"/>
      <c r="AD168" s="331"/>
      <c r="AE168" s="331"/>
      <c r="AF168" s="331"/>
    </row>
    <row r="169" spans="2:32" ht="15" customHeight="1" outlineLevel="1">
      <c r="B169" s="335" t="s">
        <v>120</v>
      </c>
      <c r="D169" s="382"/>
      <c r="E169" s="382"/>
      <c r="F169" s="382"/>
      <c r="G169" s="382"/>
      <c r="H169" s="382"/>
      <c r="I169" s="382"/>
      <c r="J169" s="382"/>
      <c r="K169" s="382"/>
      <c r="L169" s="382"/>
      <c r="M169" s="382"/>
      <c r="N169" s="382"/>
      <c r="O169" s="382"/>
      <c r="P169" s="382"/>
      <c r="Q169" s="382"/>
      <c r="R169" s="382"/>
      <c r="S169" s="382"/>
    </row>
    <row r="170" spans="2:32" ht="15" customHeight="1" outlineLevel="1">
      <c r="B170" s="317" t="s">
        <v>502</v>
      </c>
      <c r="C170" s="318">
        <f t="shared" ref="C170:L170" si="127">IF($C$2=FALSE,"-",C34)</f>
        <v>5152</v>
      </c>
      <c r="D170" s="318">
        <f t="shared" si="127"/>
        <v>9807</v>
      </c>
      <c r="E170" s="318">
        <f t="shared" si="127"/>
        <v>9058</v>
      </c>
      <c r="F170" s="318">
        <f t="shared" si="127"/>
        <v>10298</v>
      </c>
      <c r="G170" s="318">
        <f t="shared" si="127"/>
        <v>7972</v>
      </c>
      <c r="H170" s="318">
        <f t="shared" si="127"/>
        <v>9092</v>
      </c>
      <c r="I170" s="318">
        <f t="shared" si="127"/>
        <v>11008</v>
      </c>
      <c r="J170" s="318">
        <f t="shared" si="127"/>
        <v>14365</v>
      </c>
      <c r="K170" s="318">
        <f t="shared" si="127"/>
        <v>14818</v>
      </c>
      <c r="L170" s="318">
        <f t="shared" si="127"/>
        <v>12777</v>
      </c>
      <c r="M170" s="377">
        <f ca="1">IF($C$2=FALSE,"-",IF($C$167=TRUE,M206,0))</f>
        <v>10003.143311249165</v>
      </c>
      <c r="N170" s="318">
        <f t="shared" ref="M170:AF170" ca="1" si="128">IF($C$2=FALSE,"-",IF($C$167=TRUE,N206,0))</f>
        <v>0</v>
      </c>
      <c r="O170" s="318">
        <f t="shared" ca="1" si="128"/>
        <v>0</v>
      </c>
      <c r="P170" s="318">
        <f t="shared" ca="1" si="128"/>
        <v>0</v>
      </c>
      <c r="Q170" s="318">
        <f t="shared" ca="1" si="128"/>
        <v>0</v>
      </c>
      <c r="R170" s="318">
        <f t="shared" ca="1" si="128"/>
        <v>0</v>
      </c>
      <c r="S170" s="318">
        <f t="shared" ca="1" si="128"/>
        <v>0</v>
      </c>
      <c r="T170" s="318">
        <f t="shared" ca="1" si="128"/>
        <v>0</v>
      </c>
      <c r="U170" s="318">
        <f t="shared" ca="1" si="128"/>
        <v>0</v>
      </c>
      <c r="V170" s="318">
        <f t="shared" ca="1" si="128"/>
        <v>0</v>
      </c>
      <c r="W170" s="318">
        <f t="shared" ca="1" si="128"/>
        <v>0</v>
      </c>
      <c r="X170" s="318">
        <f t="shared" ca="1" si="128"/>
        <v>0</v>
      </c>
      <c r="Y170" s="318">
        <f t="shared" ca="1" si="128"/>
        <v>0</v>
      </c>
      <c r="Z170" s="318">
        <f t="shared" ca="1" si="128"/>
        <v>0</v>
      </c>
      <c r="AA170" s="318">
        <f t="shared" ca="1" si="128"/>
        <v>0</v>
      </c>
      <c r="AB170" s="318">
        <f t="shared" ca="1" si="128"/>
        <v>0</v>
      </c>
      <c r="AC170" s="318">
        <f t="shared" ca="1" si="128"/>
        <v>0</v>
      </c>
      <c r="AD170" s="318">
        <f t="shared" ca="1" si="128"/>
        <v>0</v>
      </c>
      <c r="AE170" s="318">
        <f t="shared" ca="1" si="128"/>
        <v>0</v>
      </c>
      <c r="AF170" s="318">
        <f t="shared" ca="1" si="128"/>
        <v>0</v>
      </c>
    </row>
    <row r="171" spans="2:32" ht="15" customHeight="1" outlineLevel="1">
      <c r="B171" s="330" t="s">
        <v>503</v>
      </c>
      <c r="C171" s="331">
        <f t="shared" ref="C171:L171" si="129">IF($C$2=FALSE,"-",C36)</f>
        <v>3635</v>
      </c>
      <c r="D171" s="331">
        <f t="shared" si="129"/>
        <v>4414</v>
      </c>
      <c r="E171" s="331">
        <f t="shared" si="129"/>
        <v>5452</v>
      </c>
      <c r="F171" s="331">
        <f t="shared" si="129"/>
        <v>6152</v>
      </c>
      <c r="G171" s="331">
        <f t="shared" si="129"/>
        <v>7693</v>
      </c>
      <c r="H171" s="331">
        <f t="shared" si="129"/>
        <v>6443</v>
      </c>
      <c r="I171" s="331">
        <f t="shared" si="129"/>
        <v>8543</v>
      </c>
      <c r="J171" s="331">
        <f t="shared" si="129"/>
        <v>10136</v>
      </c>
      <c r="K171" s="331">
        <f t="shared" si="129"/>
        <v>9803</v>
      </c>
      <c r="L171" s="331">
        <f t="shared" si="129"/>
        <v>9842</v>
      </c>
      <c r="M171" s="378">
        <f t="shared" ref="M171:AF171" si="130">IF($C$2=FALSE,"-",M$147*M128)</f>
        <v>9743.58</v>
      </c>
      <c r="N171" s="331">
        <f t="shared" si="130"/>
        <v>9417.2858196880443</v>
      </c>
      <c r="O171" s="331">
        <f t="shared" si="130"/>
        <v>9395.5611465627535</v>
      </c>
      <c r="P171" s="331">
        <f t="shared" si="130"/>
        <v>9561.9294839643226</v>
      </c>
      <c r="Q171" s="331">
        <f t="shared" si="130"/>
        <v>9851.5850647264069</v>
      </c>
      <c r="R171" s="331">
        <f t="shared" si="130"/>
        <v>10226.935130841282</v>
      </c>
      <c r="S171" s="331">
        <f t="shared" si="130"/>
        <v>10665.699278989658</v>
      </c>
      <c r="T171" s="331">
        <f t="shared" si="130"/>
        <v>11154.621603862002</v>
      </c>
      <c r="U171" s="331">
        <f t="shared" si="130"/>
        <v>11685.936964146606</v>
      </c>
      <c r="V171" s="331">
        <f t="shared" si="130"/>
        <v>12255.296455843936</v>
      </c>
      <c r="W171" s="331">
        <f t="shared" si="130"/>
        <v>12860.513388902293</v>
      </c>
      <c r="X171" s="331">
        <f t="shared" si="130"/>
        <v>13503.539058347407</v>
      </c>
      <c r="Y171" s="331">
        <f t="shared" si="130"/>
        <v>14178.716011264778</v>
      </c>
      <c r="Z171" s="331">
        <f t="shared" si="130"/>
        <v>14887.651811828016</v>
      </c>
      <c r="AA171" s="331">
        <f t="shared" si="130"/>
        <v>15632.034402419418</v>
      </c>
      <c r="AB171" s="331">
        <f t="shared" si="130"/>
        <v>16413.636122540389</v>
      </c>
      <c r="AC171" s="331">
        <f t="shared" si="130"/>
        <v>17234.317928667409</v>
      </c>
      <c r="AD171" s="331">
        <f t="shared" si="130"/>
        <v>18096.033825100782</v>
      </c>
      <c r="AE171" s="331">
        <f t="shared" si="130"/>
        <v>19000.835516355819</v>
      </c>
      <c r="AF171" s="331">
        <f t="shared" si="130"/>
        <v>19950.877292173613</v>
      </c>
    </row>
    <row r="172" spans="2:32" ht="15" customHeight="1" outlineLevel="1">
      <c r="B172" s="330" t="s">
        <v>112</v>
      </c>
      <c r="C172" s="331">
        <f t="shared" ref="C172:L172" si="131">IF($C$2=FALSE,"-",C38)</f>
        <v>327</v>
      </c>
      <c r="D172" s="331">
        <f t="shared" si="131"/>
        <v>459</v>
      </c>
      <c r="E172" s="331">
        <f t="shared" si="131"/>
        <v>576</v>
      </c>
      <c r="F172" s="331">
        <f t="shared" si="131"/>
        <v>660</v>
      </c>
      <c r="G172" s="331">
        <f t="shared" si="131"/>
        <v>1180</v>
      </c>
      <c r="H172" s="331">
        <f t="shared" si="131"/>
        <v>867</v>
      </c>
      <c r="I172" s="331">
        <f t="shared" si="131"/>
        <v>1051</v>
      </c>
      <c r="J172" s="331">
        <f t="shared" si="131"/>
        <v>1301</v>
      </c>
      <c r="K172" s="331">
        <f t="shared" si="131"/>
        <v>1404</v>
      </c>
      <c r="L172" s="331">
        <f t="shared" si="131"/>
        <v>1382</v>
      </c>
      <c r="M172" s="378">
        <f t="shared" ref="M172:AF172" si="132">IF($C$2=FALSE,"-",M$147*M127)</f>
        <v>1368.18</v>
      </c>
      <c r="N172" s="331">
        <f t="shared" si="132"/>
        <v>1299.8506845663094</v>
      </c>
      <c r="O172" s="331">
        <f t="shared" si="132"/>
        <v>1282.1268909916619</v>
      </c>
      <c r="P172" s="331">
        <f t="shared" si="132"/>
        <v>1295.2855416111861</v>
      </c>
      <c r="Q172" s="331">
        <f t="shared" si="132"/>
        <v>1328.3758657007843</v>
      </c>
      <c r="R172" s="331">
        <f t="shared" si="132"/>
        <v>1375.0445116850847</v>
      </c>
      <c r="S172" s="331">
        <f t="shared" si="132"/>
        <v>1431.5150642957888</v>
      </c>
      <c r="T172" s="331">
        <f t="shared" si="132"/>
        <v>1495.5252567023872</v>
      </c>
      <c r="U172" s="331">
        <f t="shared" si="132"/>
        <v>1565.7316970124175</v>
      </c>
      <c r="V172" s="331">
        <f t="shared" si="132"/>
        <v>1641.3612116748488</v>
      </c>
      <c r="W172" s="331">
        <f t="shared" si="132"/>
        <v>1722.0003868897436</v>
      </c>
      <c r="X172" s="331">
        <f t="shared" si="132"/>
        <v>1808.1004062342308</v>
      </c>
      <c r="Y172" s="331">
        <f t="shared" si="132"/>
        <v>1898.5054265459426</v>
      </c>
      <c r="Z172" s="331">
        <f t="shared" si="132"/>
        <v>1993.4306978732398</v>
      </c>
      <c r="AA172" s="331">
        <f t="shared" si="132"/>
        <v>2093.1022327669016</v>
      </c>
      <c r="AB172" s="331">
        <f t="shared" si="132"/>
        <v>2197.7573444052468</v>
      </c>
      <c r="AC172" s="331">
        <f t="shared" si="132"/>
        <v>2307.6452116255091</v>
      </c>
      <c r="AD172" s="331">
        <f t="shared" si="132"/>
        <v>2423.0274722067848</v>
      </c>
      <c r="AE172" s="331">
        <f t="shared" si="132"/>
        <v>2544.1788458171241</v>
      </c>
      <c r="AF172" s="331">
        <f t="shared" si="132"/>
        <v>2671.3877881079807</v>
      </c>
    </row>
    <row r="173" spans="2:32" ht="15" customHeight="1" outlineLevel="1">
      <c r="B173" s="330" t="s">
        <v>504</v>
      </c>
      <c r="C173" s="331">
        <f t="shared" ref="C173:L173" si="133">IF($C$2=FALSE,"-",C40)</f>
        <v>1519</v>
      </c>
      <c r="D173" s="331">
        <f t="shared" si="133"/>
        <v>2217</v>
      </c>
      <c r="E173" s="331">
        <f t="shared" si="133"/>
        <v>2620</v>
      </c>
      <c r="F173" s="331">
        <f t="shared" si="133"/>
        <v>2829</v>
      </c>
      <c r="G173" s="331">
        <f t="shared" si="133"/>
        <v>3035</v>
      </c>
      <c r="H173" s="331">
        <f t="shared" si="133"/>
        <v>3749</v>
      </c>
      <c r="I173" s="331">
        <f t="shared" si="133"/>
        <v>3643</v>
      </c>
      <c r="J173" s="331">
        <f t="shared" si="133"/>
        <v>3219</v>
      </c>
      <c r="K173" s="331">
        <f t="shared" si="133"/>
        <v>3423</v>
      </c>
      <c r="L173" s="331">
        <f t="shared" si="133"/>
        <v>3967</v>
      </c>
      <c r="M173" s="378">
        <f t="shared" ref="M173:AF173" si="134">IF($C$2=FALSE,"-",M$147*M129)</f>
        <v>3927.33</v>
      </c>
      <c r="N173" s="331">
        <f t="shared" si="134"/>
        <v>3795.9266454557492</v>
      </c>
      <c r="O173" s="331">
        <f t="shared" si="134"/>
        <v>3787.2454280816828</v>
      </c>
      <c r="P173" s="331">
        <f t="shared" si="134"/>
        <v>3854.355628171742</v>
      </c>
      <c r="Q173" s="331">
        <f t="shared" si="134"/>
        <v>3971.145583342935</v>
      </c>
      <c r="R173" s="331">
        <f t="shared" si="134"/>
        <v>4122.4683534569858</v>
      </c>
      <c r="S173" s="331">
        <f t="shared" si="134"/>
        <v>4299.346735308498</v>
      </c>
      <c r="T173" s="331">
        <f t="shared" si="134"/>
        <v>4496.4397489273797</v>
      </c>
      <c r="U173" s="331">
        <f t="shared" si="134"/>
        <v>4710.6188092808206</v>
      </c>
      <c r="V173" s="331">
        <f t="shared" si="134"/>
        <v>4940.1318443353921</v>
      </c>
      <c r="W173" s="331">
        <f t="shared" si="134"/>
        <v>5184.0980141766286</v>
      </c>
      <c r="X173" s="331">
        <f t="shared" si="134"/>
        <v>5443.3029148854603</v>
      </c>
      <c r="Y173" s="331">
        <f t="shared" si="134"/>
        <v>5715.4680606297334</v>
      </c>
      <c r="Z173" s="331">
        <f t="shared" si="134"/>
        <v>6001.2414636612202</v>
      </c>
      <c r="AA173" s="331">
        <f t="shared" si="134"/>
        <v>6301.3035368442816</v>
      </c>
      <c r="AB173" s="331">
        <f t="shared" si="134"/>
        <v>6616.3687136864955</v>
      </c>
      <c r="AC173" s="331">
        <f t="shared" si="134"/>
        <v>6947.1871493708204</v>
      </c>
      <c r="AD173" s="331">
        <f t="shared" si="134"/>
        <v>7294.5465068393614</v>
      </c>
      <c r="AE173" s="331">
        <f t="shared" si="134"/>
        <v>7659.2738321813304</v>
      </c>
      <c r="AF173" s="331">
        <f t="shared" si="134"/>
        <v>8042.2375237903971</v>
      </c>
    </row>
    <row r="174" spans="2:32" ht="15" customHeight="1" outlineLevel="1">
      <c r="B174" s="323" t="s">
        <v>505</v>
      </c>
      <c r="C174" s="324">
        <f t="shared" ref="C174:AF174" si="135">IF($C$2=FALSE,"-",C173+C172+C171+C170)</f>
        <v>10633</v>
      </c>
      <c r="D174" s="324">
        <f t="shared" si="135"/>
        <v>16897</v>
      </c>
      <c r="E174" s="324">
        <f t="shared" si="135"/>
        <v>17706</v>
      </c>
      <c r="F174" s="324">
        <f t="shared" si="135"/>
        <v>19939</v>
      </c>
      <c r="G174" s="324">
        <f t="shared" si="135"/>
        <v>19880</v>
      </c>
      <c r="H174" s="324">
        <f t="shared" si="135"/>
        <v>20151</v>
      </c>
      <c r="I174" s="324">
        <f t="shared" si="135"/>
        <v>24245</v>
      </c>
      <c r="J174" s="324">
        <f t="shared" si="135"/>
        <v>29021</v>
      </c>
      <c r="K174" s="324">
        <f t="shared" si="135"/>
        <v>29448</v>
      </c>
      <c r="L174" s="324">
        <f t="shared" si="135"/>
        <v>27968</v>
      </c>
      <c r="M174" s="379">
        <f t="shared" ca="1" si="135"/>
        <v>25042.233311249165</v>
      </c>
      <c r="N174" s="324">
        <f t="shared" ca="1" si="135"/>
        <v>14513.063149710102</v>
      </c>
      <c r="O174" s="324">
        <f t="shared" ca="1" si="135"/>
        <v>14464.933465636099</v>
      </c>
      <c r="P174" s="324">
        <f t="shared" ca="1" si="135"/>
        <v>14711.570653747251</v>
      </c>
      <c r="Q174" s="324">
        <f t="shared" ca="1" si="135"/>
        <v>15151.106513770126</v>
      </c>
      <c r="R174" s="324">
        <f t="shared" ca="1" si="135"/>
        <v>15724.447995983353</v>
      </c>
      <c r="S174" s="324">
        <f t="shared" ca="1" si="135"/>
        <v>16396.561078593943</v>
      </c>
      <c r="T174" s="324">
        <f t="shared" ca="1" si="135"/>
        <v>17146.586609491769</v>
      </c>
      <c r="U174" s="324">
        <f t="shared" ca="1" si="135"/>
        <v>17962.287470439842</v>
      </c>
      <c r="V174" s="324">
        <f t="shared" ca="1" si="135"/>
        <v>18836.789511854178</v>
      </c>
      <c r="W174" s="324">
        <f t="shared" ca="1" si="135"/>
        <v>19766.611789968665</v>
      </c>
      <c r="X174" s="324">
        <f t="shared" ca="1" si="135"/>
        <v>20754.942379467098</v>
      </c>
      <c r="Y174" s="324">
        <f t="shared" ca="1" si="135"/>
        <v>21792.689498440453</v>
      </c>
      <c r="Z174" s="324">
        <f t="shared" ca="1" si="135"/>
        <v>22882.323973362476</v>
      </c>
      <c r="AA174" s="324">
        <f t="shared" ca="1" si="135"/>
        <v>24026.440172030601</v>
      </c>
      <c r="AB174" s="324">
        <f t="shared" ca="1" si="135"/>
        <v>25227.762180632133</v>
      </c>
      <c r="AC174" s="324">
        <f t="shared" ca="1" si="135"/>
        <v>26489.150289663739</v>
      </c>
      <c r="AD174" s="324">
        <f t="shared" ca="1" si="135"/>
        <v>27813.60780414693</v>
      </c>
      <c r="AE174" s="324">
        <f t="shared" ca="1" si="135"/>
        <v>29204.288194354274</v>
      </c>
      <c r="AF174" s="324">
        <f t="shared" ca="1" si="135"/>
        <v>30664.502604071989</v>
      </c>
    </row>
    <row r="175" spans="2:32" ht="15" customHeight="1" outlineLevel="1">
      <c r="B175" s="330" t="s">
        <v>506</v>
      </c>
      <c r="C175" s="331">
        <f t="shared" ref="C175:L175" si="136">IF($C$2=FALSE,"-",C43)</f>
        <v>2650</v>
      </c>
      <c r="D175" s="331">
        <f t="shared" si="136"/>
        <v>3017</v>
      </c>
      <c r="E175" s="331">
        <f t="shared" si="136"/>
        <v>3564</v>
      </c>
      <c r="F175" s="331">
        <f t="shared" si="136"/>
        <v>4049</v>
      </c>
      <c r="G175" s="331">
        <f t="shared" si="136"/>
        <v>4614</v>
      </c>
      <c r="H175" s="331">
        <f t="shared" si="136"/>
        <v>4510</v>
      </c>
      <c r="I175" s="331">
        <f t="shared" si="136"/>
        <v>4652</v>
      </c>
      <c r="J175" s="331">
        <f t="shared" si="136"/>
        <v>4729</v>
      </c>
      <c r="K175" s="331">
        <f t="shared" si="136"/>
        <v>4934</v>
      </c>
      <c r="L175" s="331">
        <f t="shared" si="136"/>
        <v>5300</v>
      </c>
      <c r="M175" s="378">
        <f t="shared" ref="M175:AF175" si="137">IF($C$2=FALSE,"-",M$147*M130)</f>
        <v>5247</v>
      </c>
      <c r="N175" s="331">
        <f t="shared" si="137"/>
        <v>5545.6225137121719</v>
      </c>
      <c r="O175" s="331">
        <f t="shared" si="137"/>
        <v>5843.0996606329627</v>
      </c>
      <c r="P175" s="331">
        <f t="shared" si="137"/>
        <v>6147.6658726938222</v>
      </c>
      <c r="Q175" s="331">
        <f t="shared" si="137"/>
        <v>6463.4211465078652</v>
      </c>
      <c r="R175" s="331">
        <f t="shared" si="137"/>
        <v>6792.7646797981906</v>
      </c>
      <c r="S175" s="331">
        <f t="shared" si="137"/>
        <v>7137.3485823832289</v>
      </c>
      <c r="T175" s="331">
        <f t="shared" si="137"/>
        <v>7498.4815052458507</v>
      </c>
      <c r="U175" s="331">
        <f t="shared" si="137"/>
        <v>7877.3132036512488</v>
      </c>
      <c r="V175" s="331">
        <f t="shared" si="137"/>
        <v>8274.9258871529055</v>
      </c>
      <c r="W175" s="331">
        <f t="shared" si="137"/>
        <v>8692.3831263586344</v>
      </c>
      <c r="X175" s="331">
        <f t="shared" si="137"/>
        <v>9127.0022826765653</v>
      </c>
      <c r="Y175" s="331">
        <f t="shared" si="137"/>
        <v>9583.3523968103946</v>
      </c>
      <c r="Z175" s="331">
        <f t="shared" si="137"/>
        <v>10062.520016650915</v>
      </c>
      <c r="AA175" s="331">
        <f t="shared" si="137"/>
        <v>10565.646017483461</v>
      </c>
      <c r="AB175" s="331">
        <f t="shared" si="137"/>
        <v>11093.928318357634</v>
      </c>
      <c r="AC175" s="331">
        <f t="shared" si="137"/>
        <v>11648.624734275516</v>
      </c>
      <c r="AD175" s="331">
        <f t="shared" si="137"/>
        <v>12231.055970989291</v>
      </c>
      <c r="AE175" s="331">
        <f t="shared" si="137"/>
        <v>12842.608769538756</v>
      </c>
      <c r="AF175" s="331">
        <f t="shared" si="137"/>
        <v>13484.739208015695</v>
      </c>
    </row>
    <row r="176" spans="2:32" ht="15" customHeight="1" outlineLevel="1">
      <c r="B176" s="330" t="s">
        <v>507</v>
      </c>
      <c r="C176" s="331">
        <f t="shared" ref="C176:L176" si="138">IF($C$2=FALSE,"-",C45)</f>
        <v>1133</v>
      </c>
      <c r="D176" s="331">
        <f t="shared" si="138"/>
        <v>1326</v>
      </c>
      <c r="E176" s="331">
        <f t="shared" si="138"/>
        <v>1559</v>
      </c>
      <c r="F176" s="331">
        <f t="shared" si="138"/>
        <v>1640</v>
      </c>
      <c r="G176" s="331">
        <f t="shared" si="138"/>
        <v>1946</v>
      </c>
      <c r="H176" s="331">
        <f t="shared" si="138"/>
        <v>2233</v>
      </c>
      <c r="I176" s="331">
        <f t="shared" si="138"/>
        <v>2471</v>
      </c>
      <c r="J176" s="331">
        <f t="shared" si="138"/>
        <v>2776</v>
      </c>
      <c r="K176" s="331">
        <f t="shared" si="138"/>
        <v>2810</v>
      </c>
      <c r="L176" s="331">
        <f t="shared" si="138"/>
        <v>3174</v>
      </c>
      <c r="M176" s="378">
        <f t="shared" ref="M176:AF176" si="139">IF($C$2=FALSE,"-",M$175*M123)</f>
        <v>3142.2599999999998</v>
      </c>
      <c r="N176" s="331">
        <f t="shared" si="139"/>
        <v>3321.0954450042327</v>
      </c>
      <c r="O176" s="331">
        <f t="shared" si="139"/>
        <v>3499.2449665752874</v>
      </c>
      <c r="P176" s="331">
        <f t="shared" si="139"/>
        <v>3681.6399018736206</v>
      </c>
      <c r="Q176" s="331">
        <f t="shared" si="139"/>
        <v>3870.7356073615024</v>
      </c>
      <c r="R176" s="331">
        <f t="shared" si="139"/>
        <v>4067.9688855998975</v>
      </c>
      <c r="S176" s="331">
        <f t="shared" si="139"/>
        <v>4274.3291321668612</v>
      </c>
      <c r="T176" s="331">
        <f t="shared" si="139"/>
        <v>4490.6000561604396</v>
      </c>
      <c r="U176" s="331">
        <f t="shared" si="139"/>
        <v>4717.4702091300114</v>
      </c>
      <c r="V176" s="331">
        <f t="shared" si="139"/>
        <v>4955.5876916647776</v>
      </c>
      <c r="W176" s="331">
        <f t="shared" si="139"/>
        <v>5205.5894420872273</v>
      </c>
      <c r="X176" s="331">
        <f t="shared" si="139"/>
        <v>5465.8689141915884</v>
      </c>
      <c r="Y176" s="331">
        <f t="shared" si="139"/>
        <v>5739.1623599011682</v>
      </c>
      <c r="Z176" s="331">
        <f t="shared" si="139"/>
        <v>6026.1204778962265</v>
      </c>
      <c r="AA176" s="331">
        <f t="shared" si="139"/>
        <v>6327.4265017910384</v>
      </c>
      <c r="AB176" s="331">
        <f t="shared" si="139"/>
        <v>6643.79782688059</v>
      </c>
      <c r="AC176" s="331">
        <f t="shared" si="139"/>
        <v>6975.98771822462</v>
      </c>
      <c r="AD176" s="331">
        <f t="shared" si="139"/>
        <v>7324.7871041358503</v>
      </c>
      <c r="AE176" s="331">
        <f t="shared" si="139"/>
        <v>7691.0264593426427</v>
      </c>
      <c r="AF176" s="331">
        <f t="shared" si="139"/>
        <v>8075.577782309776</v>
      </c>
    </row>
    <row r="177" spans="2:32" ht="15" customHeight="1" outlineLevel="1">
      <c r="B177" s="336" t="s">
        <v>508</v>
      </c>
      <c r="C177" s="324">
        <f t="shared" ref="C177:AF177" si="140">IF($C$2=FALSE,"-",C175-C176)</f>
        <v>1517</v>
      </c>
      <c r="D177" s="324">
        <f t="shared" si="140"/>
        <v>1691</v>
      </c>
      <c r="E177" s="324">
        <f t="shared" si="140"/>
        <v>2005</v>
      </c>
      <c r="F177" s="324">
        <f t="shared" si="140"/>
        <v>2409</v>
      </c>
      <c r="G177" s="324">
        <f t="shared" si="140"/>
        <v>2668</v>
      </c>
      <c r="H177" s="324">
        <f t="shared" si="140"/>
        <v>2277</v>
      </c>
      <c r="I177" s="324">
        <f t="shared" si="140"/>
        <v>2181</v>
      </c>
      <c r="J177" s="324">
        <f t="shared" si="140"/>
        <v>1953</v>
      </c>
      <c r="K177" s="324">
        <f t="shared" si="140"/>
        <v>2124</v>
      </c>
      <c r="L177" s="324">
        <f t="shared" si="140"/>
        <v>2126</v>
      </c>
      <c r="M177" s="379">
        <f t="shared" si="140"/>
        <v>2104.7400000000002</v>
      </c>
      <c r="N177" s="324">
        <f t="shared" si="140"/>
        <v>2224.5270687079392</v>
      </c>
      <c r="O177" s="324">
        <f t="shared" si="140"/>
        <v>2343.8546940576753</v>
      </c>
      <c r="P177" s="324">
        <f t="shared" si="140"/>
        <v>2466.0259708202016</v>
      </c>
      <c r="Q177" s="324">
        <f t="shared" si="140"/>
        <v>2592.6855391463628</v>
      </c>
      <c r="R177" s="324">
        <f t="shared" si="140"/>
        <v>2724.7957941982932</v>
      </c>
      <c r="S177" s="324">
        <f t="shared" si="140"/>
        <v>2863.0194502163677</v>
      </c>
      <c r="T177" s="324">
        <f t="shared" si="140"/>
        <v>3007.8814490854111</v>
      </c>
      <c r="U177" s="324">
        <f t="shared" si="140"/>
        <v>3159.8429945212374</v>
      </c>
      <c r="V177" s="324">
        <f t="shared" si="140"/>
        <v>3319.3381954881279</v>
      </c>
      <c r="W177" s="324">
        <f t="shared" si="140"/>
        <v>3486.7936842714071</v>
      </c>
      <c r="X177" s="324">
        <f t="shared" si="140"/>
        <v>3661.1333684849769</v>
      </c>
      <c r="Y177" s="324">
        <f t="shared" si="140"/>
        <v>3844.1900369092264</v>
      </c>
      <c r="Z177" s="324">
        <f t="shared" si="140"/>
        <v>4036.3995387546884</v>
      </c>
      <c r="AA177" s="324">
        <f t="shared" si="140"/>
        <v>4238.2195156924226</v>
      </c>
      <c r="AB177" s="324">
        <f t="shared" si="140"/>
        <v>4450.1304914770435</v>
      </c>
      <c r="AC177" s="324">
        <f t="shared" si="140"/>
        <v>4672.6370160508959</v>
      </c>
      <c r="AD177" s="324">
        <f t="shared" si="140"/>
        <v>4906.2688668534411</v>
      </c>
      <c r="AE177" s="324">
        <f t="shared" si="140"/>
        <v>5151.5823101961132</v>
      </c>
      <c r="AF177" s="324">
        <f t="shared" si="140"/>
        <v>5409.1614257059191</v>
      </c>
    </row>
    <row r="178" spans="2:32" ht="15" customHeight="1" outlineLevel="1">
      <c r="B178" s="330" t="s">
        <v>509</v>
      </c>
      <c r="C178" s="331">
        <f t="shared" ref="C178:L178" si="141">IF($C$2=FALSE,"-",C48)</f>
        <v>0</v>
      </c>
      <c r="D178" s="331">
        <f t="shared" si="141"/>
        <v>0</v>
      </c>
      <c r="E178" s="331">
        <f t="shared" si="141"/>
        <v>0</v>
      </c>
      <c r="F178" s="331">
        <f t="shared" si="141"/>
        <v>0</v>
      </c>
      <c r="G178" s="331">
        <f t="shared" si="141"/>
        <v>2428</v>
      </c>
      <c r="H178" s="331">
        <f t="shared" si="141"/>
        <v>2461</v>
      </c>
      <c r="I178" s="331">
        <f t="shared" si="141"/>
        <v>5768</v>
      </c>
      <c r="J178" s="331">
        <f t="shared" si="141"/>
        <v>5860</v>
      </c>
      <c r="K178" s="331">
        <f t="shared" si="141"/>
        <v>7695</v>
      </c>
      <c r="L178" s="331">
        <f t="shared" si="141"/>
        <v>12678</v>
      </c>
      <c r="M178" s="378">
        <f t="shared" ref="M178:AF178" si="142">IF($C$2=FALSE,"-",M$147*M137)</f>
        <v>12551.220000000001</v>
      </c>
      <c r="N178" s="331">
        <f t="shared" si="142"/>
        <v>25793.966563368933</v>
      </c>
      <c r="O178" s="331">
        <f t="shared" si="142"/>
        <v>34671.702535432298</v>
      </c>
      <c r="P178" s="331">
        <f t="shared" si="142"/>
        <v>41078.311783703837</v>
      </c>
      <c r="Q178" s="331">
        <f t="shared" si="142"/>
        <v>46053.652793195033</v>
      </c>
      <c r="R178" s="331">
        <f t="shared" si="142"/>
        <v>50201.531127710055</v>
      </c>
      <c r="S178" s="331">
        <f t="shared" si="142"/>
        <v>53886.438732393362</v>
      </c>
      <c r="T178" s="331">
        <f t="shared" si="142"/>
        <v>57334.615142119335</v>
      </c>
      <c r="U178" s="331">
        <f t="shared" si="142"/>
        <v>60689.625532037098</v>
      </c>
      <c r="V178" s="331">
        <f t="shared" si="142"/>
        <v>64044.498881212268</v>
      </c>
      <c r="W178" s="331">
        <f t="shared" si="142"/>
        <v>67460.973212234385</v>
      </c>
      <c r="X178" s="331">
        <f t="shared" si="142"/>
        <v>70834.021872846104</v>
      </c>
      <c r="Y178" s="331">
        <f t="shared" si="142"/>
        <v>74375.722966488422</v>
      </c>
      <c r="Z178" s="331">
        <f t="shared" si="142"/>
        <v>78094.509114812841</v>
      </c>
      <c r="AA178" s="331">
        <f t="shared" si="142"/>
        <v>81999.234570553483</v>
      </c>
      <c r="AB178" s="331">
        <f t="shared" si="142"/>
        <v>86099.196299081159</v>
      </c>
      <c r="AC178" s="331">
        <f t="shared" si="142"/>
        <v>90404.156114035228</v>
      </c>
      <c r="AD178" s="331">
        <f t="shared" si="142"/>
        <v>94924.363919736992</v>
      </c>
      <c r="AE178" s="331">
        <f t="shared" si="142"/>
        <v>99670.582115723839</v>
      </c>
      <c r="AF178" s="331">
        <f t="shared" si="142"/>
        <v>104654.11122151004</v>
      </c>
    </row>
    <row r="179" spans="2:32" ht="15" customHeight="1" outlineLevel="1">
      <c r="B179" s="330" t="s">
        <v>510</v>
      </c>
      <c r="C179" s="331">
        <f t="shared" ref="C179:L179" si="143">IF($C$2=FALSE,"-",C50)</f>
        <v>7161</v>
      </c>
      <c r="D179" s="331">
        <f t="shared" si="143"/>
        <v>4627</v>
      </c>
      <c r="E179" s="331">
        <f t="shared" si="143"/>
        <v>3398</v>
      </c>
      <c r="F179" s="331">
        <f t="shared" si="143"/>
        <v>3287</v>
      </c>
      <c r="G179" s="331">
        <f t="shared" si="143"/>
        <v>2585</v>
      </c>
      <c r="H179" s="331">
        <f t="shared" si="143"/>
        <v>1611</v>
      </c>
      <c r="I179" s="331">
        <f t="shared" si="143"/>
        <v>1458</v>
      </c>
      <c r="J179" s="331">
        <f t="shared" si="143"/>
        <v>1765</v>
      </c>
      <c r="K179" s="331">
        <f t="shared" si="143"/>
        <v>5266</v>
      </c>
      <c r="L179" s="331">
        <f t="shared" si="143"/>
        <v>4768</v>
      </c>
      <c r="M179" s="378">
        <f t="shared" ref="M179:AF179" si="144">IF($C$2=FALSE,"-",M$147*M131)</f>
        <v>4720.32</v>
      </c>
      <c r="N179" s="331">
        <f t="shared" si="144"/>
        <v>4027.0178874653589</v>
      </c>
      <c r="O179" s="331">
        <f t="shared" si="144"/>
        <v>3667.6266835344904</v>
      </c>
      <c r="P179" s="331">
        <f t="shared" si="144"/>
        <v>3505.6515867099542</v>
      </c>
      <c r="Q179" s="331">
        <f t="shared" si="144"/>
        <v>3465.692278781507</v>
      </c>
      <c r="R179" s="331">
        <f t="shared" si="144"/>
        <v>3503.9867424263166</v>
      </c>
      <c r="S179" s="331">
        <f t="shared" si="144"/>
        <v>3594.338485112602</v>
      </c>
      <c r="T179" s="331">
        <f t="shared" si="144"/>
        <v>3720.7941640771182</v>
      </c>
      <c r="U179" s="331">
        <f t="shared" si="144"/>
        <v>3873.5761604811078</v>
      </c>
      <c r="V179" s="331">
        <f t="shared" si="144"/>
        <v>4046.7139243657462</v>
      </c>
      <c r="W179" s="331">
        <f t="shared" si="144"/>
        <v>4236.619278188482</v>
      </c>
      <c r="X179" s="331">
        <f t="shared" si="144"/>
        <v>4448.4502420979061</v>
      </c>
      <c r="Y179" s="331">
        <f t="shared" si="144"/>
        <v>4670.8727542028018</v>
      </c>
      <c r="Z179" s="331">
        <f t="shared" si="144"/>
        <v>4904.4163919129414</v>
      </c>
      <c r="AA179" s="331">
        <f t="shared" si="144"/>
        <v>5149.6372115085887</v>
      </c>
      <c r="AB179" s="331">
        <f t="shared" si="144"/>
        <v>5407.1190720840186</v>
      </c>
      <c r="AC179" s="331">
        <f t="shared" si="144"/>
        <v>5677.4750256882198</v>
      </c>
      <c r="AD179" s="331">
        <f t="shared" si="144"/>
        <v>5961.3487769726307</v>
      </c>
      <c r="AE179" s="331">
        <f t="shared" si="144"/>
        <v>6259.4162158212621</v>
      </c>
      <c r="AF179" s="331">
        <f t="shared" si="144"/>
        <v>6572.3870266123258</v>
      </c>
    </row>
    <row r="180" spans="2:32" ht="15" customHeight="1" outlineLevel="1">
      <c r="B180" s="323" t="s">
        <v>511</v>
      </c>
      <c r="C180" s="324">
        <f t="shared" ref="C180:AF180" si="145">IF($C$2=FALSE,"-",C179+C178+C177+C174)</f>
        <v>19311</v>
      </c>
      <c r="D180" s="324">
        <f t="shared" si="145"/>
        <v>23215</v>
      </c>
      <c r="E180" s="324">
        <f t="shared" si="145"/>
        <v>23109</v>
      </c>
      <c r="F180" s="324">
        <f t="shared" si="145"/>
        <v>25635</v>
      </c>
      <c r="G180" s="324">
        <f t="shared" si="145"/>
        <v>27561</v>
      </c>
      <c r="H180" s="324">
        <f t="shared" si="145"/>
        <v>26500</v>
      </c>
      <c r="I180" s="324">
        <f t="shared" si="145"/>
        <v>33652</v>
      </c>
      <c r="J180" s="324">
        <f t="shared" si="145"/>
        <v>38599</v>
      </c>
      <c r="K180" s="324">
        <f t="shared" si="145"/>
        <v>44533</v>
      </c>
      <c r="L180" s="324">
        <f t="shared" si="145"/>
        <v>47540</v>
      </c>
      <c r="M180" s="379">
        <f t="shared" ca="1" si="145"/>
        <v>44418.513311249168</v>
      </c>
      <c r="N180" s="324">
        <f t="shared" ca="1" si="145"/>
        <v>46558.574669252332</v>
      </c>
      <c r="O180" s="324">
        <f t="shared" ca="1" si="145"/>
        <v>55148.117378660565</v>
      </c>
      <c r="P180" s="324">
        <f t="shared" ca="1" si="145"/>
        <v>61761.559994981239</v>
      </c>
      <c r="Q180" s="324">
        <f t="shared" ca="1" si="145"/>
        <v>67263.137124893023</v>
      </c>
      <c r="R180" s="324">
        <f t="shared" ca="1" si="145"/>
        <v>72154.761660318021</v>
      </c>
      <c r="S180" s="324">
        <f t="shared" ca="1" si="145"/>
        <v>76740.357746316266</v>
      </c>
      <c r="T180" s="324">
        <f t="shared" ca="1" si="145"/>
        <v>81209.877364773638</v>
      </c>
      <c r="U180" s="324">
        <f t="shared" ca="1" si="145"/>
        <v>85685.332157479279</v>
      </c>
      <c r="V180" s="324">
        <f t="shared" ca="1" si="145"/>
        <v>90247.340512920331</v>
      </c>
      <c r="W180" s="324">
        <f t="shared" ca="1" si="145"/>
        <v>94950.997964662936</v>
      </c>
      <c r="X180" s="324">
        <f t="shared" ca="1" si="145"/>
        <v>99698.547862896099</v>
      </c>
      <c r="Y180" s="324">
        <f t="shared" ca="1" si="145"/>
        <v>104683.47525604091</v>
      </c>
      <c r="Z180" s="324">
        <f t="shared" ca="1" si="145"/>
        <v>109917.64901884295</v>
      </c>
      <c r="AA180" s="324">
        <f t="shared" ca="1" si="145"/>
        <v>115413.5314697851</v>
      </c>
      <c r="AB180" s="324">
        <f t="shared" ca="1" si="145"/>
        <v>121184.20804327435</v>
      </c>
      <c r="AC180" s="324">
        <f t="shared" ca="1" si="145"/>
        <v>127243.41844543809</v>
      </c>
      <c r="AD180" s="324">
        <f t="shared" ca="1" si="145"/>
        <v>133605.58936771</v>
      </c>
      <c r="AE180" s="324">
        <f t="shared" ca="1" si="145"/>
        <v>140285.8688360955</v>
      </c>
      <c r="AF180" s="324">
        <f t="shared" ca="1" si="145"/>
        <v>147300.16227790026</v>
      </c>
    </row>
    <row r="181" spans="2:32" ht="15" customHeight="1" outlineLevel="1">
      <c r="B181" s="330"/>
      <c r="C181" s="331"/>
      <c r="D181" s="331"/>
      <c r="E181" s="331"/>
      <c r="F181" s="331"/>
      <c r="G181" s="331"/>
      <c r="H181" s="331"/>
      <c r="I181" s="331"/>
      <c r="J181" s="331"/>
      <c r="K181" s="331"/>
      <c r="L181" s="331"/>
      <c r="M181" s="331"/>
      <c r="N181" s="331"/>
      <c r="O181" s="331"/>
      <c r="P181" s="331"/>
      <c r="Q181" s="331"/>
      <c r="R181" s="331"/>
      <c r="S181" s="331"/>
      <c r="T181" s="331"/>
      <c r="U181" s="331"/>
      <c r="V181" s="331"/>
      <c r="W181" s="331"/>
      <c r="X181" s="331"/>
      <c r="Y181" s="331"/>
      <c r="Z181" s="331"/>
      <c r="AA181" s="331"/>
      <c r="AB181" s="331"/>
      <c r="AC181" s="331"/>
      <c r="AD181" s="331"/>
      <c r="AE181" s="331"/>
      <c r="AF181" s="331"/>
    </row>
    <row r="182" spans="2:32" ht="15" customHeight="1" outlineLevel="1">
      <c r="B182" s="335" t="s">
        <v>512</v>
      </c>
    </row>
    <row r="183" spans="2:32" ht="15" customHeight="1" outlineLevel="1">
      <c r="B183" s="317" t="s">
        <v>513</v>
      </c>
      <c r="C183" s="318">
        <f t="shared" ref="C183:L183" si="146">IF($C$2=FALSE,"-",C57)</f>
        <v>7316</v>
      </c>
      <c r="D183" s="318">
        <f t="shared" si="146"/>
        <v>8895</v>
      </c>
      <c r="E183" s="318">
        <f t="shared" si="146"/>
        <v>9840</v>
      </c>
      <c r="F183" s="318">
        <f t="shared" si="146"/>
        <v>10430</v>
      </c>
      <c r="G183" s="318">
        <f t="shared" si="146"/>
        <v>11492</v>
      </c>
      <c r="H183" s="318">
        <f t="shared" si="146"/>
        <v>8309</v>
      </c>
      <c r="I183" s="318">
        <f t="shared" si="146"/>
        <v>11373</v>
      </c>
      <c r="J183" s="318">
        <f t="shared" si="146"/>
        <v>11293</v>
      </c>
      <c r="K183" s="318">
        <f t="shared" si="146"/>
        <v>11656</v>
      </c>
      <c r="L183" s="318">
        <f t="shared" si="146"/>
        <v>11579</v>
      </c>
      <c r="M183" s="377">
        <f t="shared" ref="M183:AF183" si="147">IF($C$2=FALSE,"-",M$147*M132)</f>
        <v>11463.21</v>
      </c>
      <c r="N183" s="318">
        <f t="shared" si="147"/>
        <v>11208.943913078378</v>
      </c>
      <c r="O183" s="318">
        <f t="shared" si="147"/>
        <v>11267.869607594224</v>
      </c>
      <c r="P183" s="318">
        <f t="shared" si="147"/>
        <v>11522.34359451495</v>
      </c>
      <c r="Q183" s="318">
        <f t="shared" si="147"/>
        <v>11906.779231763658</v>
      </c>
      <c r="R183" s="318">
        <f t="shared" si="147"/>
        <v>12383.136488042979</v>
      </c>
      <c r="S183" s="318">
        <f t="shared" si="147"/>
        <v>12928.932763229675</v>
      </c>
      <c r="T183" s="318">
        <f t="shared" si="147"/>
        <v>13530.880857285854</v>
      </c>
      <c r="U183" s="318">
        <f t="shared" si="147"/>
        <v>14181.301999117115</v>
      </c>
      <c r="V183" s="318">
        <f t="shared" si="147"/>
        <v>14876.015420857437</v>
      </c>
      <c r="W183" s="318">
        <f t="shared" si="147"/>
        <v>15613.060908933421</v>
      </c>
      <c r="X183" s="318">
        <f t="shared" si="147"/>
        <v>16393.713954380091</v>
      </c>
      <c r="Y183" s="318">
        <f t="shared" si="147"/>
        <v>17213.399652099099</v>
      </c>
      <c r="Z183" s="318">
        <f t="shared" si="147"/>
        <v>18074.069634704054</v>
      </c>
      <c r="AA183" s="318">
        <f t="shared" si="147"/>
        <v>18977.773116439253</v>
      </c>
      <c r="AB183" s="318">
        <f t="shared" si="147"/>
        <v>19926.661772261217</v>
      </c>
      <c r="AC183" s="318">
        <f t="shared" si="147"/>
        <v>20922.994860874282</v>
      </c>
      <c r="AD183" s="318">
        <f t="shared" si="147"/>
        <v>21969.144603917994</v>
      </c>
      <c r="AE183" s="318">
        <f t="shared" si="147"/>
        <v>23067.601834113895</v>
      </c>
      <c r="AF183" s="318">
        <f t="shared" si="147"/>
        <v>24220.981925819593</v>
      </c>
    </row>
    <row r="184" spans="2:32" ht="15" customHeight="1" outlineLevel="1">
      <c r="B184" s="320" t="s">
        <v>570</v>
      </c>
      <c r="C184" s="321">
        <f t="shared" ref="C184:L184" si="148">IF($C$2=FALSE,"-",C59)</f>
        <v>0</v>
      </c>
      <c r="D184" s="321">
        <f t="shared" si="148"/>
        <v>0</v>
      </c>
      <c r="E184" s="321">
        <f t="shared" si="148"/>
        <v>0</v>
      </c>
      <c r="F184" s="321">
        <f t="shared" si="148"/>
        <v>188</v>
      </c>
      <c r="G184" s="321">
        <f t="shared" si="148"/>
        <v>225</v>
      </c>
      <c r="H184" s="321">
        <f t="shared" si="148"/>
        <v>113</v>
      </c>
      <c r="I184" s="321">
        <f t="shared" si="148"/>
        <v>663</v>
      </c>
      <c r="J184" s="321">
        <f t="shared" si="148"/>
        <v>851</v>
      </c>
      <c r="K184" s="321">
        <f t="shared" si="148"/>
        <v>2867</v>
      </c>
      <c r="L184" s="321">
        <f t="shared" si="148"/>
        <v>3843</v>
      </c>
      <c r="M184" s="378">
        <f t="shared" ref="M184:AF184" ca="1" si="149">IF($C$2=FALSE,"-",M205)</f>
        <v>0</v>
      </c>
      <c r="N184" s="321">
        <f t="shared" ca="1" si="149"/>
        <v>5749.1090322104574</v>
      </c>
      <c r="O184" s="321">
        <f t="shared" ca="1" si="149"/>
        <v>18099.684283523107</v>
      </c>
      <c r="P184" s="321">
        <f t="shared" ca="1" si="149"/>
        <v>28796.748129810672</v>
      </c>
      <c r="Q184" s="321">
        <f t="shared" ca="1" si="149"/>
        <v>39014.989026349453</v>
      </c>
      <c r="R184" s="321">
        <f t="shared" ca="1" si="149"/>
        <v>49200.849728951565</v>
      </c>
      <c r="S184" s="321">
        <f t="shared" ca="1" si="149"/>
        <v>59660.900366973641</v>
      </c>
      <c r="T184" s="321">
        <f t="shared" ca="1" si="149"/>
        <v>70612.764836381451</v>
      </c>
      <c r="U184" s="321">
        <f t="shared" ca="1" si="149"/>
        <v>82218.164359342496</v>
      </c>
      <c r="V184" s="321">
        <f t="shared" ca="1" si="149"/>
        <v>94604.286860504915</v>
      </c>
      <c r="W184" s="321">
        <f t="shared" ca="1" si="149"/>
        <v>107877.6165806342</v>
      </c>
      <c r="X184" s="321">
        <f t="shared" ca="1" si="149"/>
        <v>121600.29001193243</v>
      </c>
      <c r="Y184" s="321">
        <f t="shared" ca="1" si="149"/>
        <v>136017.40464497852</v>
      </c>
      <c r="Z184" s="321">
        <f t="shared" ca="1" si="149"/>
        <v>151155.37500967691</v>
      </c>
      <c r="AA184" s="321">
        <f t="shared" ca="1" si="149"/>
        <v>167050.24389261019</v>
      </c>
      <c r="AB184" s="321">
        <f t="shared" ca="1" si="149"/>
        <v>183739.85621969015</v>
      </c>
      <c r="AC184" s="321">
        <f t="shared" ca="1" si="149"/>
        <v>201263.94916312414</v>
      </c>
      <c r="AD184" s="321">
        <f t="shared" ca="1" si="149"/>
        <v>219664.24675372982</v>
      </c>
      <c r="AE184" s="321">
        <f t="shared" ca="1" si="149"/>
        <v>238984.55922386574</v>
      </c>
      <c r="AF184" s="321">
        <f t="shared" ca="1" si="149"/>
        <v>259270.88731750852</v>
      </c>
    </row>
    <row r="185" spans="2:32" ht="15" customHeight="1" outlineLevel="1">
      <c r="B185" s="320" t="s">
        <v>515</v>
      </c>
      <c r="C185" s="321">
        <f t="shared" ref="C185:L185" si="150">IF($C$2=FALSE,"-",C60)</f>
        <v>3580</v>
      </c>
      <c r="D185" s="321">
        <f t="shared" si="150"/>
        <v>5241</v>
      </c>
      <c r="E185" s="321">
        <f t="shared" si="150"/>
        <v>6087</v>
      </c>
      <c r="F185" s="321">
        <f t="shared" si="150"/>
        <v>7173</v>
      </c>
      <c r="G185" s="321">
        <f t="shared" si="150"/>
        <v>6809</v>
      </c>
      <c r="H185" s="321">
        <f t="shared" si="150"/>
        <v>6437</v>
      </c>
      <c r="I185" s="321">
        <f t="shared" si="150"/>
        <v>6924</v>
      </c>
      <c r="J185" s="321">
        <f t="shared" si="150"/>
        <v>7339</v>
      </c>
      <c r="K185" s="321">
        <f t="shared" si="150"/>
        <v>7478</v>
      </c>
      <c r="L185" s="321">
        <f t="shared" si="150"/>
        <v>8017</v>
      </c>
      <c r="M185" s="378">
        <f t="shared" ref="M185:AF185" si="151">IF($C$2=FALSE,"-",M$147*M136)</f>
        <v>7936.829999999999</v>
      </c>
      <c r="N185" s="321">
        <f t="shared" si="151"/>
        <v>7651.5906859211063</v>
      </c>
      <c r="O185" s="321">
        <f t="shared" si="151"/>
        <v>7621.2168442031589</v>
      </c>
      <c r="P185" s="321">
        <f t="shared" si="151"/>
        <v>7747.920602101206</v>
      </c>
      <c r="Q185" s="321">
        <f t="shared" si="151"/>
        <v>7977.3140054235691</v>
      </c>
      <c r="R185" s="321">
        <f t="shared" si="151"/>
        <v>8277.8466426222712</v>
      </c>
      <c r="S185" s="321">
        <f t="shared" si="151"/>
        <v>8630.8098391437306</v>
      </c>
      <c r="T185" s="321">
        <f t="shared" si="151"/>
        <v>9025.059362723001</v>
      </c>
      <c r="U185" s="321">
        <f t="shared" si="151"/>
        <v>9454.0513519492069</v>
      </c>
      <c r="V185" s="321">
        <f t="shared" si="151"/>
        <v>9914.1029148414873</v>
      </c>
      <c r="W185" s="321">
        <f t="shared" si="151"/>
        <v>10403.340943043186</v>
      </c>
      <c r="X185" s="321">
        <f t="shared" si="151"/>
        <v>10923.507990195345</v>
      </c>
      <c r="Y185" s="321">
        <f t="shared" si="151"/>
        <v>11469.683389705113</v>
      </c>
      <c r="Z185" s="321">
        <f t="shared" si="151"/>
        <v>12043.16755919037</v>
      </c>
      <c r="AA185" s="321">
        <f t="shared" si="151"/>
        <v>12645.325937149888</v>
      </c>
      <c r="AB185" s="321">
        <f t="shared" si="151"/>
        <v>13277.592234007383</v>
      </c>
      <c r="AC185" s="321">
        <f t="shared" si="151"/>
        <v>13941.471845707752</v>
      </c>
      <c r="AD185" s="321">
        <f t="shared" si="151"/>
        <v>14638.54543799314</v>
      </c>
      <c r="AE185" s="321">
        <f t="shared" si="151"/>
        <v>15370.472709892798</v>
      </c>
      <c r="AF185" s="321">
        <f t="shared" si="151"/>
        <v>16138.996345387439</v>
      </c>
    </row>
    <row r="186" spans="2:32" ht="15" customHeight="1" outlineLevel="1">
      <c r="B186" s="323" t="s">
        <v>516</v>
      </c>
      <c r="C186" s="324">
        <f t="shared" ref="C186:AF186" si="152">IF($C$2=FALSE,"-",C185+C184+C183)</f>
        <v>10896</v>
      </c>
      <c r="D186" s="324">
        <f t="shared" si="152"/>
        <v>14136</v>
      </c>
      <c r="E186" s="324">
        <f t="shared" si="152"/>
        <v>15927</v>
      </c>
      <c r="F186" s="324">
        <f t="shared" si="152"/>
        <v>17791</v>
      </c>
      <c r="G186" s="324">
        <f t="shared" si="152"/>
        <v>18526</v>
      </c>
      <c r="H186" s="324">
        <f t="shared" si="152"/>
        <v>14859</v>
      </c>
      <c r="I186" s="324">
        <f t="shared" si="152"/>
        <v>18960</v>
      </c>
      <c r="J186" s="324">
        <f t="shared" si="152"/>
        <v>19483</v>
      </c>
      <c r="K186" s="324">
        <f t="shared" si="152"/>
        <v>22001</v>
      </c>
      <c r="L186" s="324">
        <f t="shared" si="152"/>
        <v>23439</v>
      </c>
      <c r="M186" s="379">
        <f t="shared" ca="1" si="152"/>
        <v>19400.039999999997</v>
      </c>
      <c r="N186" s="324">
        <f t="shared" ca="1" si="152"/>
        <v>24609.643631209939</v>
      </c>
      <c r="O186" s="324">
        <f t="shared" ca="1" si="152"/>
        <v>36988.77073532049</v>
      </c>
      <c r="P186" s="324">
        <f t="shared" ca="1" si="152"/>
        <v>48067.012326426833</v>
      </c>
      <c r="Q186" s="324">
        <f t="shared" ca="1" si="152"/>
        <v>58899.082263536679</v>
      </c>
      <c r="R186" s="324">
        <f t="shared" ca="1" si="152"/>
        <v>69861.832859616814</v>
      </c>
      <c r="S186" s="324">
        <f t="shared" ca="1" si="152"/>
        <v>81220.642969347042</v>
      </c>
      <c r="T186" s="324">
        <f t="shared" ca="1" si="152"/>
        <v>93168.705056390303</v>
      </c>
      <c r="U186" s="324">
        <f t="shared" ca="1" si="152"/>
        <v>105853.51771040882</v>
      </c>
      <c r="V186" s="324">
        <f t="shared" ca="1" si="152"/>
        <v>119394.40519620384</v>
      </c>
      <c r="W186" s="324">
        <f t="shared" ca="1" si="152"/>
        <v>133894.01843261081</v>
      </c>
      <c r="X186" s="324">
        <f t="shared" ca="1" si="152"/>
        <v>148917.51195650789</v>
      </c>
      <c r="Y186" s="324">
        <f t="shared" ca="1" si="152"/>
        <v>164700.48768678273</v>
      </c>
      <c r="Z186" s="324">
        <f t="shared" ca="1" si="152"/>
        <v>181272.61220357133</v>
      </c>
      <c r="AA186" s="324">
        <f t="shared" ca="1" si="152"/>
        <v>198673.34294619935</v>
      </c>
      <c r="AB186" s="324">
        <f t="shared" ca="1" si="152"/>
        <v>216944.11022595875</v>
      </c>
      <c r="AC186" s="324">
        <f t="shared" ca="1" si="152"/>
        <v>236128.41586970616</v>
      </c>
      <c r="AD186" s="324">
        <f t="shared" ca="1" si="152"/>
        <v>256271.93679564094</v>
      </c>
      <c r="AE186" s="324">
        <f t="shared" ca="1" si="152"/>
        <v>277422.63376787241</v>
      </c>
      <c r="AF186" s="324">
        <f t="shared" ca="1" si="152"/>
        <v>299630.86558871553</v>
      </c>
    </row>
    <row r="187" spans="2:32" ht="15" customHeight="1" outlineLevel="1">
      <c r="B187" s="320" t="s">
        <v>517</v>
      </c>
      <c r="C187" s="321">
        <f t="shared" ref="C187:L187" si="153">IF($C$2=FALSE,"-",C63)</f>
        <v>505</v>
      </c>
      <c r="D187" s="321">
        <f t="shared" si="153"/>
        <v>505</v>
      </c>
      <c r="E187" s="321">
        <f t="shared" si="153"/>
        <v>504</v>
      </c>
      <c r="F187" s="321">
        <f t="shared" si="153"/>
        <v>569</v>
      </c>
      <c r="G187" s="321">
        <f t="shared" si="153"/>
        <v>362</v>
      </c>
      <c r="H187" s="321">
        <f t="shared" si="153"/>
        <v>1898</v>
      </c>
      <c r="I187" s="321">
        <f t="shared" si="153"/>
        <v>3417</v>
      </c>
      <c r="J187" s="321">
        <f t="shared" si="153"/>
        <v>5146</v>
      </c>
      <c r="K187" s="321">
        <f t="shared" si="153"/>
        <v>6387</v>
      </c>
      <c r="L187" s="321">
        <f t="shared" si="153"/>
        <v>5242</v>
      </c>
      <c r="M187" s="378">
        <f t="shared" ref="M187:AF187" ca="1" si="154">IF($C$2=FALSE,"-",((L180+M180)/2)*M141)</f>
        <v>5069.9045727552393</v>
      </c>
      <c r="N187" s="321">
        <f t="shared" ca="1" si="154"/>
        <v>4561.8104498725561</v>
      </c>
      <c r="O187" s="321">
        <f t="shared" ca="1" si="154"/>
        <v>4791.9876216202301</v>
      </c>
      <c r="P187" s="321">
        <f t="shared" ca="1" si="154"/>
        <v>5293.6697833723838</v>
      </c>
      <c r="Q187" s="321">
        <f t="shared" ca="1" si="154"/>
        <v>5698.5760563943313</v>
      </c>
      <c r="R187" s="321">
        <f t="shared" ca="1" si="154"/>
        <v>6063.4537462718499</v>
      </c>
      <c r="S187" s="321">
        <f t="shared" ca="1" si="154"/>
        <v>6414.6401800081012</v>
      </c>
      <c r="T187" s="321">
        <f t="shared" ca="1" si="154"/>
        <v>6765.5074435842635</v>
      </c>
      <c r="U187" s="321">
        <f t="shared" ca="1" si="154"/>
        <v>7123.4998003686051</v>
      </c>
      <c r="V187" s="321">
        <f t="shared" ca="1" si="154"/>
        <v>7493.1613239343142</v>
      </c>
      <c r="W187" s="321">
        <f t="shared" ca="1" si="154"/>
        <v>7877.5294827106945</v>
      </c>
      <c r="X187" s="321">
        <f t="shared" ca="1" si="154"/>
        <v>8279.542617162535</v>
      </c>
      <c r="Y187" s="321">
        <f t="shared" ca="1" si="154"/>
        <v>8693.5197480206625</v>
      </c>
      <c r="Z187" s="321">
        <f t="shared" ca="1" si="154"/>
        <v>9128.1957354216956</v>
      </c>
      <c r="AA187" s="321">
        <f t="shared" ca="1" si="154"/>
        <v>9584.60552219278</v>
      </c>
      <c r="AB187" s="321">
        <f t="shared" ca="1" si="154"/>
        <v>10063.83579830242</v>
      </c>
      <c r="AC187" s="321">
        <f t="shared" ca="1" si="154"/>
        <v>10567.027588217541</v>
      </c>
      <c r="AD187" s="321">
        <f t="shared" ca="1" si="154"/>
        <v>11095.37896762842</v>
      </c>
      <c r="AE187" s="321">
        <f t="shared" ca="1" si="154"/>
        <v>11650.147916009841</v>
      </c>
      <c r="AF187" s="321">
        <f t="shared" ca="1" si="154"/>
        <v>12232.655311810333</v>
      </c>
    </row>
    <row r="188" spans="2:32" ht="15" customHeight="1" outlineLevel="1">
      <c r="B188" s="320" t="s">
        <v>519</v>
      </c>
      <c r="C188" s="321">
        <f t="shared" ref="C188:L188" si="155">IF($C$2=FALSE,"-",C65)</f>
        <v>0</v>
      </c>
      <c r="D188" s="321">
        <f t="shared" si="155"/>
        <v>0</v>
      </c>
      <c r="E188" s="321">
        <f t="shared" si="155"/>
        <v>0</v>
      </c>
      <c r="F188" s="321">
        <f t="shared" si="155"/>
        <v>0</v>
      </c>
      <c r="G188" s="321">
        <f t="shared" si="155"/>
        <v>0</v>
      </c>
      <c r="H188" s="321">
        <f t="shared" si="155"/>
        <v>0</v>
      </c>
      <c r="I188" s="321">
        <f t="shared" si="155"/>
        <v>0</v>
      </c>
      <c r="J188" s="321">
        <f t="shared" si="155"/>
        <v>0</v>
      </c>
      <c r="K188" s="321">
        <f t="shared" si="155"/>
        <v>405</v>
      </c>
      <c r="L188" s="321">
        <f t="shared" si="155"/>
        <v>0</v>
      </c>
      <c r="M188" s="378">
        <f t="shared" ref="M188:AF188" si="156">IF($C$2=FALSE,"-",M$175*M138)</f>
        <v>0</v>
      </c>
      <c r="N188" s="321">
        <f t="shared" si="156"/>
        <v>36.06477534337904</v>
      </c>
      <c r="O188" s="321">
        <f t="shared" si="156"/>
        <v>61.047128270221876</v>
      </c>
      <c r="P188" s="321">
        <f t="shared" si="156"/>
        <v>78.936987212683277</v>
      </c>
      <c r="Q188" s="321">
        <f t="shared" si="156"/>
        <v>92.370271974231784</v>
      </c>
      <c r="R188" s="321">
        <f t="shared" si="156"/>
        <v>103.05547446776758</v>
      </c>
      <c r="S188" s="321">
        <f t="shared" si="156"/>
        <v>112.09335663227628</v>
      </c>
      <c r="T188" s="321">
        <f t="shared" si="156"/>
        <v>120.19287015592266</v>
      </c>
      <c r="U188" s="321">
        <f t="shared" si="156"/>
        <v>127.81211332641888</v>
      </c>
      <c r="V188" s="321">
        <f t="shared" si="156"/>
        <v>135.24915753140112</v>
      </c>
      <c r="W188" s="321">
        <f t="shared" si="156"/>
        <v>142.70024994630103</v>
      </c>
      <c r="X188" s="321">
        <f t="shared" si="156"/>
        <v>149.83526244361607</v>
      </c>
      <c r="Y188" s="321">
        <f t="shared" si="156"/>
        <v>157.3270255657969</v>
      </c>
      <c r="Z188" s="321">
        <f t="shared" si="156"/>
        <v>165.19337684408674</v>
      </c>
      <c r="AA188" s="321">
        <f t="shared" si="156"/>
        <v>173.45304568629109</v>
      </c>
      <c r="AB188" s="321">
        <f t="shared" si="156"/>
        <v>182.12569797060564</v>
      </c>
      <c r="AC188" s="321">
        <f t="shared" si="156"/>
        <v>191.23198286913592</v>
      </c>
      <c r="AD188" s="321">
        <f t="shared" si="156"/>
        <v>200.79358201259271</v>
      </c>
      <c r="AE188" s="321">
        <f t="shared" si="156"/>
        <v>210.83326111322236</v>
      </c>
      <c r="AF188" s="321">
        <f t="shared" si="156"/>
        <v>221.3749241688835</v>
      </c>
    </row>
    <row r="189" spans="2:32" ht="15" customHeight="1" outlineLevel="1">
      <c r="B189" s="320" t="s">
        <v>521</v>
      </c>
      <c r="C189" s="321">
        <f t="shared" ref="C189:L189" si="157">IF($C$2=FALSE,"-",C67)</f>
        <v>0</v>
      </c>
      <c r="D189" s="321">
        <f t="shared" si="157"/>
        <v>0</v>
      </c>
      <c r="E189" s="321">
        <f t="shared" si="157"/>
        <v>0</v>
      </c>
      <c r="F189" s="321">
        <f t="shared" si="157"/>
        <v>0</v>
      </c>
      <c r="G189" s="321">
        <f t="shared" si="157"/>
        <v>0</v>
      </c>
      <c r="H189" s="321">
        <f t="shared" si="157"/>
        <v>0</v>
      </c>
      <c r="I189" s="321">
        <f t="shared" si="157"/>
        <v>0</v>
      </c>
      <c r="J189" s="321">
        <f t="shared" si="157"/>
        <v>0</v>
      </c>
      <c r="K189" s="321">
        <f t="shared" si="157"/>
        <v>0</v>
      </c>
      <c r="L189" s="321">
        <f t="shared" si="157"/>
        <v>0</v>
      </c>
      <c r="M189" s="378">
        <f t="shared" ref="M189:AF189" si="158">IF($C$2=FALSE,"-",M$147*M135)</f>
        <v>0</v>
      </c>
      <c r="N189" s="321">
        <f t="shared" si="158"/>
        <v>0</v>
      </c>
      <c r="O189" s="321">
        <f t="shared" si="158"/>
        <v>0</v>
      </c>
      <c r="P189" s="321">
        <f t="shared" si="158"/>
        <v>0</v>
      </c>
      <c r="Q189" s="321">
        <f t="shared" si="158"/>
        <v>0</v>
      </c>
      <c r="R189" s="321">
        <f t="shared" si="158"/>
        <v>0</v>
      </c>
      <c r="S189" s="321">
        <f t="shared" si="158"/>
        <v>0</v>
      </c>
      <c r="T189" s="321">
        <f t="shared" si="158"/>
        <v>0</v>
      </c>
      <c r="U189" s="321">
        <f t="shared" si="158"/>
        <v>0</v>
      </c>
      <c r="V189" s="321">
        <f t="shared" si="158"/>
        <v>0</v>
      </c>
      <c r="W189" s="321">
        <f t="shared" si="158"/>
        <v>0</v>
      </c>
      <c r="X189" s="321">
        <f t="shared" si="158"/>
        <v>0</v>
      </c>
      <c r="Y189" s="321">
        <f t="shared" si="158"/>
        <v>0</v>
      </c>
      <c r="Z189" s="321">
        <f t="shared" si="158"/>
        <v>0</v>
      </c>
      <c r="AA189" s="321">
        <f t="shared" si="158"/>
        <v>0</v>
      </c>
      <c r="AB189" s="321">
        <f t="shared" si="158"/>
        <v>0</v>
      </c>
      <c r="AC189" s="321">
        <f t="shared" si="158"/>
        <v>0</v>
      </c>
      <c r="AD189" s="321">
        <f t="shared" si="158"/>
        <v>0</v>
      </c>
      <c r="AE189" s="321">
        <f t="shared" si="158"/>
        <v>0</v>
      </c>
      <c r="AF189" s="321">
        <f t="shared" si="158"/>
        <v>0</v>
      </c>
    </row>
    <row r="190" spans="2:32" ht="15" customHeight="1" outlineLevel="1">
      <c r="B190" s="320" t="s">
        <v>522</v>
      </c>
      <c r="C190" s="321">
        <f t="shared" ref="C190:L190" si="159">IF($C$2=FALSE,"-",C69)</f>
        <v>0</v>
      </c>
      <c r="D190" s="321">
        <f t="shared" si="159"/>
        <v>0</v>
      </c>
      <c r="E190" s="321">
        <f t="shared" si="159"/>
        <v>0</v>
      </c>
      <c r="F190" s="321">
        <f t="shared" si="159"/>
        <v>0</v>
      </c>
      <c r="G190" s="321">
        <f t="shared" si="159"/>
        <v>0</v>
      </c>
      <c r="H190" s="321">
        <f t="shared" si="159"/>
        <v>0</v>
      </c>
      <c r="I190" s="321">
        <f t="shared" si="159"/>
        <v>0</v>
      </c>
      <c r="J190" s="321">
        <f t="shared" si="159"/>
        <v>0</v>
      </c>
      <c r="K190" s="321">
        <f t="shared" si="159"/>
        <v>0</v>
      </c>
      <c r="L190" s="321">
        <f t="shared" si="159"/>
        <v>21</v>
      </c>
      <c r="M190" s="378">
        <f t="shared" ref="M190:AF190" si="160">IF($C$2=FALSE,"-",M$147*M133)</f>
        <v>20.79</v>
      </c>
      <c r="N190" s="321">
        <f t="shared" si="160"/>
        <v>14.396954074383089</v>
      </c>
      <c r="O190" s="321">
        <f t="shared" si="160"/>
        <v>10.637350735507907</v>
      </c>
      <c r="P190" s="321">
        <f t="shared" si="160"/>
        <v>8.410446707039025</v>
      </c>
      <c r="Q190" s="321">
        <f t="shared" si="160"/>
        <v>7.1095881118168451</v>
      </c>
      <c r="R190" s="321">
        <f t="shared" si="160"/>
        <v>6.3826145306352586</v>
      </c>
      <c r="S190" s="321">
        <f t="shared" si="160"/>
        <v>6.018043975350138</v>
      </c>
      <c r="T190" s="321">
        <f t="shared" si="160"/>
        <v>5.8861416512415303</v>
      </c>
      <c r="U190" s="321">
        <f t="shared" si="160"/>
        <v>5.9063087037966744</v>
      </c>
      <c r="V190" s="321">
        <f t="shared" si="160"/>
        <v>6.0281415141922174</v>
      </c>
      <c r="W190" s="321">
        <f t="shared" si="160"/>
        <v>6.2200581202007461</v>
      </c>
      <c r="X190" s="321">
        <f t="shared" si="160"/>
        <v>6.531061026210784</v>
      </c>
      <c r="Y190" s="321">
        <f t="shared" si="160"/>
        <v>6.8576140775213235</v>
      </c>
      <c r="Z190" s="321">
        <f t="shared" si="160"/>
        <v>7.2004947813973894</v>
      </c>
      <c r="AA190" s="321">
        <f t="shared" si="160"/>
        <v>7.5605195204672588</v>
      </c>
      <c r="AB190" s="321">
        <f t="shared" si="160"/>
        <v>7.9385454964906224</v>
      </c>
      <c r="AC190" s="321">
        <f t="shared" si="160"/>
        <v>8.3354727713151533</v>
      </c>
      <c r="AD190" s="321">
        <f t="shared" si="160"/>
        <v>8.752246409880911</v>
      </c>
      <c r="AE190" s="321">
        <f t="shared" si="160"/>
        <v>9.1898587303749579</v>
      </c>
      <c r="AF190" s="321">
        <f t="shared" si="160"/>
        <v>9.6493516668937058</v>
      </c>
    </row>
    <row r="191" spans="2:32" ht="15" customHeight="1" outlineLevel="1">
      <c r="B191" s="320" t="s">
        <v>523</v>
      </c>
      <c r="C191" s="321">
        <f t="shared" ref="C191:L191" si="161">IF($C$2=FALSE,"-",C71)</f>
        <v>1630</v>
      </c>
      <c r="D191" s="321">
        <f t="shared" si="161"/>
        <v>2089</v>
      </c>
      <c r="E191" s="321">
        <f t="shared" si="161"/>
        <v>2549</v>
      </c>
      <c r="F191" s="321">
        <f t="shared" si="161"/>
        <v>2947</v>
      </c>
      <c r="G191" s="321">
        <f t="shared" si="161"/>
        <v>4938</v>
      </c>
      <c r="H191" s="321">
        <f t="shared" si="161"/>
        <v>5472</v>
      </c>
      <c r="I191" s="321">
        <f t="shared" si="161"/>
        <v>5634</v>
      </c>
      <c r="J191" s="321">
        <f t="shared" si="161"/>
        <v>6204</v>
      </c>
      <c r="K191" s="321">
        <f t="shared" si="161"/>
        <v>6823</v>
      </c>
      <c r="L191" s="321">
        <f t="shared" si="161"/>
        <v>8158</v>
      </c>
      <c r="M191" s="378">
        <f t="shared" ref="M191:AF191" si="162">IF($C$2=FALSE,"-",M$147*M134)</f>
        <v>8076.42</v>
      </c>
      <c r="N191" s="321">
        <f t="shared" si="162"/>
        <v>7435.0012246925471</v>
      </c>
      <c r="O191" s="321">
        <f t="shared" si="162"/>
        <v>7175.2017847735124</v>
      </c>
      <c r="P191" s="321">
        <f t="shared" si="162"/>
        <v>7144.9818209543319</v>
      </c>
      <c r="Q191" s="321">
        <f t="shared" si="162"/>
        <v>7260.1252188833878</v>
      </c>
      <c r="R191" s="321">
        <f t="shared" si="162"/>
        <v>7471.7632864447214</v>
      </c>
      <c r="S191" s="321">
        <f t="shared" si="162"/>
        <v>7750.7526258330172</v>
      </c>
      <c r="T191" s="321">
        <f t="shared" si="162"/>
        <v>8079.499411716236</v>
      </c>
      <c r="U191" s="321">
        <f t="shared" si="162"/>
        <v>8447.3977497479209</v>
      </c>
      <c r="V191" s="321">
        <f t="shared" si="162"/>
        <v>8848.1649979138892</v>
      </c>
      <c r="W191" s="321">
        <f t="shared" si="162"/>
        <v>9278.2359414331295</v>
      </c>
      <c r="X191" s="321">
        <f t="shared" si="162"/>
        <v>9742.1477385047856</v>
      </c>
      <c r="Y191" s="321">
        <f t="shared" si="162"/>
        <v>10229.255125430025</v>
      </c>
      <c r="Z191" s="321">
        <f t="shared" si="162"/>
        <v>10740.717881701526</v>
      </c>
      <c r="AA191" s="321">
        <f t="shared" si="162"/>
        <v>11277.753775786603</v>
      </c>
      <c r="AB191" s="321">
        <f t="shared" si="162"/>
        <v>11841.641464575934</v>
      </c>
      <c r="AC191" s="321">
        <f t="shared" si="162"/>
        <v>12433.723537804732</v>
      </c>
      <c r="AD191" s="321">
        <f t="shared" si="162"/>
        <v>13055.409714694968</v>
      </c>
      <c r="AE191" s="321">
        <f t="shared" si="162"/>
        <v>13708.180200429717</v>
      </c>
      <c r="AF191" s="321">
        <f t="shared" si="162"/>
        <v>14393.589210451204</v>
      </c>
    </row>
    <row r="192" spans="2:32" ht="15" customHeight="1" outlineLevel="1">
      <c r="B192" s="323" t="s">
        <v>524</v>
      </c>
      <c r="C192" s="324">
        <f t="shared" ref="C192:AF192" si="163">IF($C$2=FALSE,"-",C191+C190+C189+C188+C187+C186)</f>
        <v>13031</v>
      </c>
      <c r="D192" s="324">
        <f t="shared" si="163"/>
        <v>16730</v>
      </c>
      <c r="E192" s="324">
        <f t="shared" si="163"/>
        <v>18980</v>
      </c>
      <c r="F192" s="324">
        <f t="shared" si="163"/>
        <v>21307</v>
      </c>
      <c r="G192" s="324">
        <f t="shared" si="163"/>
        <v>23826</v>
      </c>
      <c r="H192" s="324">
        <f t="shared" si="163"/>
        <v>22229</v>
      </c>
      <c r="I192" s="324">
        <f t="shared" si="163"/>
        <v>28011</v>
      </c>
      <c r="J192" s="324">
        <f t="shared" si="163"/>
        <v>30833</v>
      </c>
      <c r="K192" s="324">
        <f t="shared" si="163"/>
        <v>35616</v>
      </c>
      <c r="L192" s="324">
        <f t="shared" si="163"/>
        <v>36860</v>
      </c>
      <c r="M192" s="379">
        <f t="shared" ca="1" si="163"/>
        <v>32567.154572755237</v>
      </c>
      <c r="N192" s="324">
        <f t="shared" ca="1" si="163"/>
        <v>36656.917035192804</v>
      </c>
      <c r="O192" s="324">
        <f t="shared" ca="1" si="163"/>
        <v>49027.644620719962</v>
      </c>
      <c r="P192" s="324">
        <f t="shared" ca="1" si="163"/>
        <v>60593.011364673272</v>
      </c>
      <c r="Q192" s="324">
        <f t="shared" ca="1" si="163"/>
        <v>71957.263398900453</v>
      </c>
      <c r="R192" s="324">
        <f t="shared" ca="1" si="163"/>
        <v>83506.487981331797</v>
      </c>
      <c r="S192" s="324">
        <f t="shared" ca="1" si="163"/>
        <v>95504.147175795792</v>
      </c>
      <c r="T192" s="324">
        <f t="shared" ca="1" si="163"/>
        <v>108139.79092349796</v>
      </c>
      <c r="U192" s="324">
        <f t="shared" ca="1" si="163"/>
        <v>121558.13368255556</v>
      </c>
      <c r="V192" s="324">
        <f t="shared" ca="1" si="163"/>
        <v>135877.00881709764</v>
      </c>
      <c r="W192" s="324">
        <f t="shared" ca="1" si="163"/>
        <v>151198.70416482113</v>
      </c>
      <c r="X192" s="324">
        <f t="shared" ca="1" si="163"/>
        <v>167095.56863564503</v>
      </c>
      <c r="Y192" s="324">
        <f t="shared" ca="1" si="163"/>
        <v>183787.44719987674</v>
      </c>
      <c r="Z192" s="324">
        <f t="shared" ca="1" si="163"/>
        <v>201313.91969232005</v>
      </c>
      <c r="AA192" s="324">
        <f t="shared" ca="1" si="163"/>
        <v>219716.7158093855</v>
      </c>
      <c r="AB192" s="324">
        <f t="shared" ca="1" si="163"/>
        <v>239039.65173230419</v>
      </c>
      <c r="AC192" s="324">
        <f t="shared" ca="1" si="163"/>
        <v>259328.73445136889</v>
      </c>
      <c r="AD192" s="324">
        <f t="shared" ca="1" si="163"/>
        <v>280632.2713063868</v>
      </c>
      <c r="AE192" s="324">
        <f t="shared" ca="1" si="163"/>
        <v>303000.98500415555</v>
      </c>
      <c r="AF192" s="324">
        <f t="shared" ca="1" si="163"/>
        <v>326488.13438681286</v>
      </c>
    </row>
    <row r="193" spans="2:32" ht="15" customHeight="1" outlineLevel="1">
      <c r="B193" s="320" t="s">
        <v>525</v>
      </c>
      <c r="C193" s="321">
        <f t="shared" ref="C193:L193" si="164">IF($C$2=FALSE,"-",C74)</f>
        <v>149</v>
      </c>
      <c r="D193" s="321">
        <f t="shared" si="164"/>
        <v>-2689</v>
      </c>
      <c r="E193" s="321">
        <f t="shared" si="164"/>
        <v>-8617</v>
      </c>
      <c r="F193" s="321">
        <f t="shared" si="164"/>
        <v>-10954</v>
      </c>
      <c r="G193" s="321">
        <f t="shared" si="164"/>
        <v>-14464</v>
      </c>
      <c r="H193" s="321">
        <f t="shared" si="164"/>
        <v>-16406</v>
      </c>
      <c r="I193" s="321">
        <f t="shared" si="164"/>
        <v>-16469</v>
      </c>
      <c r="J193" s="321">
        <f t="shared" si="164"/>
        <v>-16978</v>
      </c>
      <c r="K193" s="321">
        <f t="shared" si="164"/>
        <v>-19319</v>
      </c>
      <c r="L193" s="321">
        <f t="shared" si="164"/>
        <v>-19650</v>
      </c>
      <c r="M193" s="378">
        <f t="shared" ref="M193:AF193" si="165">IF($C$2=FALSE,"-",L193)</f>
        <v>-19650</v>
      </c>
      <c r="N193" s="321">
        <f t="shared" si="165"/>
        <v>-19650</v>
      </c>
      <c r="O193" s="321">
        <f t="shared" si="165"/>
        <v>-19650</v>
      </c>
      <c r="P193" s="321">
        <f t="shared" si="165"/>
        <v>-19650</v>
      </c>
      <c r="Q193" s="321">
        <f t="shared" si="165"/>
        <v>-19650</v>
      </c>
      <c r="R193" s="321">
        <f t="shared" si="165"/>
        <v>-19650</v>
      </c>
      <c r="S193" s="321">
        <f t="shared" si="165"/>
        <v>-19650</v>
      </c>
      <c r="T193" s="321">
        <f t="shared" si="165"/>
        <v>-19650</v>
      </c>
      <c r="U193" s="321">
        <f t="shared" si="165"/>
        <v>-19650</v>
      </c>
      <c r="V193" s="321">
        <f t="shared" si="165"/>
        <v>-19650</v>
      </c>
      <c r="W193" s="321">
        <f t="shared" si="165"/>
        <v>-19650</v>
      </c>
      <c r="X193" s="321">
        <f t="shared" si="165"/>
        <v>-19650</v>
      </c>
      <c r="Y193" s="321">
        <f t="shared" si="165"/>
        <v>-19650</v>
      </c>
      <c r="Z193" s="321">
        <f t="shared" si="165"/>
        <v>-19650</v>
      </c>
      <c r="AA193" s="321">
        <f t="shared" si="165"/>
        <v>-19650</v>
      </c>
      <c r="AB193" s="321">
        <f t="shared" si="165"/>
        <v>-19650</v>
      </c>
      <c r="AC193" s="321">
        <f t="shared" si="165"/>
        <v>-19650</v>
      </c>
      <c r="AD193" s="321">
        <f t="shared" si="165"/>
        <v>-19650</v>
      </c>
      <c r="AE193" s="321">
        <f t="shared" si="165"/>
        <v>-19650</v>
      </c>
      <c r="AF193" s="321">
        <f t="shared" si="165"/>
        <v>-19650</v>
      </c>
    </row>
    <row r="194" spans="2:32" ht="15" customHeight="1" outlineLevel="1">
      <c r="B194" s="320" t="s">
        <v>526</v>
      </c>
      <c r="C194" s="321">
        <f t="shared" ref="C194:L194" si="166">IF($C$2=FALSE,"-",C75)</f>
        <v>6131</v>
      </c>
      <c r="D194" s="321">
        <f t="shared" si="166"/>
        <v>9174</v>
      </c>
      <c r="E194" s="321">
        <f t="shared" si="166"/>
        <v>12746</v>
      </c>
      <c r="F194" s="321">
        <f t="shared" si="166"/>
        <v>15282</v>
      </c>
      <c r="G194" s="321">
        <f t="shared" si="166"/>
        <v>18199</v>
      </c>
      <c r="H194" s="321">
        <f t="shared" si="166"/>
        <v>20677</v>
      </c>
      <c r="I194" s="321">
        <f t="shared" si="166"/>
        <v>22110</v>
      </c>
      <c r="J194" s="321">
        <f t="shared" si="166"/>
        <v>24744</v>
      </c>
      <c r="K194" s="321">
        <f t="shared" si="166"/>
        <v>28236</v>
      </c>
      <c r="L194" s="321">
        <f t="shared" si="166"/>
        <v>30330</v>
      </c>
      <c r="M194" s="378">
        <f t="shared" ref="M194:AF194" ca="1" si="167">IF($C$2=FALSE,"-",L194+M162)</f>
        <v>31501.358738493931</v>
      </c>
      <c r="N194" s="321">
        <f t="shared" ca="1" si="167"/>
        <v>29551.657634059527</v>
      </c>
      <c r="O194" s="321">
        <f t="shared" ca="1" si="167"/>
        <v>25770.472757940603</v>
      </c>
      <c r="P194" s="321">
        <f t="shared" ca="1" si="167"/>
        <v>20818.548630307974</v>
      </c>
      <c r="Q194" s="321">
        <f t="shared" ca="1" si="167"/>
        <v>14955.873725992591</v>
      </c>
      <c r="R194" s="321">
        <f t="shared" ca="1" si="167"/>
        <v>8298.273678986232</v>
      </c>
      <c r="S194" s="321">
        <f t="shared" ca="1" si="167"/>
        <v>886.21057052048491</v>
      </c>
      <c r="T194" s="321">
        <f t="shared" ca="1" si="167"/>
        <v>-7279.9135587243491</v>
      </c>
      <c r="U194" s="321">
        <f t="shared" ca="1" si="167"/>
        <v>-16222.801525076273</v>
      </c>
      <c r="V194" s="321">
        <f t="shared" ca="1" si="167"/>
        <v>-25979.668304177329</v>
      </c>
      <c r="W194" s="321">
        <f t="shared" ca="1" si="167"/>
        <v>-36597.706200158194</v>
      </c>
      <c r="X194" s="321">
        <f t="shared" ca="1" si="167"/>
        <v>-47747.020772748918</v>
      </c>
      <c r="Y194" s="321">
        <f t="shared" ca="1" si="167"/>
        <v>-59453.971943835822</v>
      </c>
      <c r="Z194" s="321">
        <f t="shared" ca="1" si="167"/>
        <v>-71746.270673477076</v>
      </c>
      <c r="AA194" s="321">
        <f t="shared" ca="1" si="167"/>
        <v>-84653.184339600382</v>
      </c>
      <c r="AB194" s="321">
        <f t="shared" ca="1" si="167"/>
        <v>-98205.443689029853</v>
      </c>
      <c r="AC194" s="321">
        <f t="shared" ca="1" si="167"/>
        <v>-112435.3160059308</v>
      </c>
      <c r="AD194" s="321">
        <f t="shared" ca="1" si="167"/>
        <v>-127376.6819386768</v>
      </c>
      <c r="AE194" s="321">
        <f t="shared" ca="1" si="167"/>
        <v>-143065.11616806011</v>
      </c>
      <c r="AF194" s="321">
        <f t="shared" ca="1" si="167"/>
        <v>-159537.97210891257</v>
      </c>
    </row>
    <row r="195" spans="2:32" ht="15" customHeight="1" outlineLevel="1">
      <c r="B195" s="320" t="s">
        <v>527</v>
      </c>
      <c r="C195" s="321">
        <f t="shared" ref="C195:L195" si="168">IF($C$2=FALSE,"-",C76)</f>
        <v>0</v>
      </c>
      <c r="D195" s="321">
        <f t="shared" si="168"/>
        <v>0</v>
      </c>
      <c r="E195" s="321">
        <f t="shared" si="168"/>
        <v>0</v>
      </c>
      <c r="F195" s="321">
        <f t="shared" si="168"/>
        <v>0</v>
      </c>
      <c r="G195" s="321">
        <f t="shared" si="168"/>
        <v>0</v>
      </c>
      <c r="H195" s="321">
        <f t="shared" si="168"/>
        <v>0</v>
      </c>
      <c r="I195" s="321">
        <f t="shared" si="168"/>
        <v>0</v>
      </c>
      <c r="J195" s="321">
        <f t="shared" si="168"/>
        <v>0</v>
      </c>
      <c r="K195" s="321">
        <f t="shared" si="168"/>
        <v>0</v>
      </c>
      <c r="L195" s="321">
        <f t="shared" si="168"/>
        <v>0</v>
      </c>
      <c r="M195" s="378">
        <f t="shared" ref="M195:AF195" si="169">IF($C$2=FALSE,"-",L195)</f>
        <v>0</v>
      </c>
      <c r="N195" s="321">
        <f t="shared" si="169"/>
        <v>0</v>
      </c>
      <c r="O195" s="321">
        <f t="shared" si="169"/>
        <v>0</v>
      </c>
      <c r="P195" s="321">
        <f t="shared" si="169"/>
        <v>0</v>
      </c>
      <c r="Q195" s="321">
        <f t="shared" si="169"/>
        <v>0</v>
      </c>
      <c r="R195" s="321">
        <f t="shared" si="169"/>
        <v>0</v>
      </c>
      <c r="S195" s="321">
        <f t="shared" si="169"/>
        <v>0</v>
      </c>
      <c r="T195" s="321">
        <f t="shared" si="169"/>
        <v>0</v>
      </c>
      <c r="U195" s="321">
        <f t="shared" si="169"/>
        <v>0</v>
      </c>
      <c r="V195" s="321">
        <f t="shared" si="169"/>
        <v>0</v>
      </c>
      <c r="W195" s="321">
        <f t="shared" si="169"/>
        <v>0</v>
      </c>
      <c r="X195" s="321">
        <f t="shared" si="169"/>
        <v>0</v>
      </c>
      <c r="Y195" s="321">
        <f t="shared" si="169"/>
        <v>0</v>
      </c>
      <c r="Z195" s="321">
        <f t="shared" si="169"/>
        <v>0</v>
      </c>
      <c r="AA195" s="321">
        <f t="shared" si="169"/>
        <v>0</v>
      </c>
      <c r="AB195" s="321">
        <f t="shared" si="169"/>
        <v>0</v>
      </c>
      <c r="AC195" s="321">
        <f t="shared" si="169"/>
        <v>0</v>
      </c>
      <c r="AD195" s="321">
        <f t="shared" si="169"/>
        <v>0</v>
      </c>
      <c r="AE195" s="321">
        <f t="shared" si="169"/>
        <v>0</v>
      </c>
      <c r="AF195" s="321">
        <f t="shared" si="169"/>
        <v>0</v>
      </c>
    </row>
    <row r="196" spans="2:32" ht="15" customHeight="1" outlineLevel="1">
      <c r="B196" s="323" t="s">
        <v>528</v>
      </c>
      <c r="C196" s="324">
        <f t="shared" ref="C196:AF196" si="170">IF($C$2=FALSE,"-",C195+C194+C193)</f>
        <v>6280</v>
      </c>
      <c r="D196" s="324">
        <f t="shared" si="170"/>
        <v>6485</v>
      </c>
      <c r="E196" s="324">
        <f t="shared" si="170"/>
        <v>4129</v>
      </c>
      <c r="F196" s="324">
        <f t="shared" si="170"/>
        <v>4328</v>
      </c>
      <c r="G196" s="324">
        <f t="shared" si="170"/>
        <v>3735</v>
      </c>
      <c r="H196" s="324">
        <f t="shared" si="170"/>
        <v>4271</v>
      </c>
      <c r="I196" s="324">
        <f t="shared" si="170"/>
        <v>5641</v>
      </c>
      <c r="J196" s="324">
        <f t="shared" si="170"/>
        <v>7766</v>
      </c>
      <c r="K196" s="324">
        <f t="shared" si="170"/>
        <v>8917</v>
      </c>
      <c r="L196" s="324">
        <f t="shared" si="170"/>
        <v>10680</v>
      </c>
      <c r="M196" s="379">
        <f t="shared" ca="1" si="170"/>
        <v>11851.358738493931</v>
      </c>
      <c r="N196" s="324">
        <f t="shared" ca="1" si="170"/>
        <v>9901.6576340595275</v>
      </c>
      <c r="O196" s="324">
        <f t="shared" ca="1" si="170"/>
        <v>6120.4727579406026</v>
      </c>
      <c r="P196" s="324">
        <f t="shared" ca="1" si="170"/>
        <v>1168.5486303079742</v>
      </c>
      <c r="Q196" s="324">
        <f t="shared" ca="1" si="170"/>
        <v>-4694.1262740074089</v>
      </c>
      <c r="R196" s="324">
        <f t="shared" ca="1" si="170"/>
        <v>-11351.726321013768</v>
      </c>
      <c r="S196" s="324">
        <f t="shared" ca="1" si="170"/>
        <v>-18763.789429479515</v>
      </c>
      <c r="T196" s="324">
        <f t="shared" ca="1" si="170"/>
        <v>-26929.913558724351</v>
      </c>
      <c r="U196" s="324">
        <f t="shared" ca="1" si="170"/>
        <v>-35872.801525076269</v>
      </c>
      <c r="V196" s="324">
        <f t="shared" ca="1" si="170"/>
        <v>-45629.668304177329</v>
      </c>
      <c r="W196" s="324">
        <f t="shared" ca="1" si="170"/>
        <v>-56247.706200158194</v>
      </c>
      <c r="X196" s="324">
        <f t="shared" ca="1" si="170"/>
        <v>-67397.020772748918</v>
      </c>
      <c r="Y196" s="324">
        <f t="shared" ca="1" si="170"/>
        <v>-79103.971943835815</v>
      </c>
      <c r="Z196" s="324">
        <f t="shared" ca="1" si="170"/>
        <v>-91396.270673477076</v>
      </c>
      <c r="AA196" s="324">
        <f t="shared" ca="1" si="170"/>
        <v>-104303.18433960038</v>
      </c>
      <c r="AB196" s="324">
        <f t="shared" ca="1" si="170"/>
        <v>-117855.44368902985</v>
      </c>
      <c r="AC196" s="324">
        <f t="shared" ca="1" si="170"/>
        <v>-132085.3160059308</v>
      </c>
      <c r="AD196" s="324">
        <f t="shared" ca="1" si="170"/>
        <v>-147026.6819386768</v>
      </c>
      <c r="AE196" s="324">
        <f t="shared" ca="1" si="170"/>
        <v>-162715.11616806011</v>
      </c>
      <c r="AF196" s="324">
        <f t="shared" ca="1" si="170"/>
        <v>-179187.97210891257</v>
      </c>
    </row>
    <row r="197" spans="2:32" ht="15" customHeight="1" outlineLevel="1">
      <c r="B197" s="326" t="s">
        <v>529</v>
      </c>
      <c r="C197" s="327">
        <f t="shared" ref="C197:AF197" si="171">IF($C$2=FALSE,"-",C196+C192)</f>
        <v>19311</v>
      </c>
      <c r="D197" s="327">
        <f t="shared" si="171"/>
        <v>23215</v>
      </c>
      <c r="E197" s="327">
        <f t="shared" si="171"/>
        <v>23109</v>
      </c>
      <c r="F197" s="327">
        <f t="shared" si="171"/>
        <v>25635</v>
      </c>
      <c r="G197" s="327">
        <f t="shared" si="171"/>
        <v>27561</v>
      </c>
      <c r="H197" s="327">
        <f t="shared" si="171"/>
        <v>26500</v>
      </c>
      <c r="I197" s="327">
        <f t="shared" si="171"/>
        <v>33652</v>
      </c>
      <c r="J197" s="327">
        <f t="shared" si="171"/>
        <v>38599</v>
      </c>
      <c r="K197" s="327">
        <f t="shared" si="171"/>
        <v>44533</v>
      </c>
      <c r="L197" s="327">
        <f t="shared" si="171"/>
        <v>47540</v>
      </c>
      <c r="M197" s="383">
        <f t="shared" ca="1" si="171"/>
        <v>44418.513311249168</v>
      </c>
      <c r="N197" s="327">
        <f t="shared" ca="1" si="171"/>
        <v>46558.574669252332</v>
      </c>
      <c r="O197" s="327">
        <f t="shared" ca="1" si="171"/>
        <v>55148.117378660565</v>
      </c>
      <c r="P197" s="327">
        <f t="shared" ca="1" si="171"/>
        <v>61761.559994981246</v>
      </c>
      <c r="Q197" s="327">
        <f t="shared" ca="1" si="171"/>
        <v>67263.137124893052</v>
      </c>
      <c r="R197" s="327">
        <f t="shared" ca="1" si="171"/>
        <v>72154.761660318036</v>
      </c>
      <c r="S197" s="327">
        <f t="shared" ca="1" si="171"/>
        <v>76740.35774631628</v>
      </c>
      <c r="T197" s="327">
        <f t="shared" ca="1" si="171"/>
        <v>81209.877364773609</v>
      </c>
      <c r="U197" s="327">
        <f t="shared" ca="1" si="171"/>
        <v>85685.332157479294</v>
      </c>
      <c r="V197" s="327">
        <f t="shared" ca="1" si="171"/>
        <v>90247.340512920317</v>
      </c>
      <c r="W197" s="327">
        <f t="shared" ca="1" si="171"/>
        <v>94950.997964662936</v>
      </c>
      <c r="X197" s="327">
        <f t="shared" ca="1" si="171"/>
        <v>99698.547862896114</v>
      </c>
      <c r="Y197" s="327">
        <f t="shared" ca="1" si="171"/>
        <v>104683.47525604093</v>
      </c>
      <c r="Z197" s="327">
        <f t="shared" ca="1" si="171"/>
        <v>109917.64901884297</v>
      </c>
      <c r="AA197" s="327">
        <f t="shared" ca="1" si="171"/>
        <v>115413.53146978511</v>
      </c>
      <c r="AB197" s="327">
        <f t="shared" ca="1" si="171"/>
        <v>121184.20804327434</v>
      </c>
      <c r="AC197" s="327">
        <f t="shared" ca="1" si="171"/>
        <v>127243.41844543809</v>
      </c>
      <c r="AD197" s="327">
        <f t="shared" ca="1" si="171"/>
        <v>133605.58936771</v>
      </c>
      <c r="AE197" s="327">
        <f t="shared" ca="1" si="171"/>
        <v>140285.86883609544</v>
      </c>
      <c r="AF197" s="327">
        <f t="shared" ca="1" si="171"/>
        <v>147300.16227790029</v>
      </c>
    </row>
    <row r="198" spans="2:32" ht="15" customHeight="1" outlineLevel="1">
      <c r="B198" s="330"/>
      <c r="C198" s="331"/>
      <c r="D198" s="331"/>
      <c r="E198" s="331"/>
      <c r="F198" s="331"/>
      <c r="G198" s="331"/>
      <c r="H198" s="331"/>
      <c r="I198" s="331"/>
      <c r="J198" s="331"/>
      <c r="K198" s="331"/>
      <c r="L198" s="331"/>
      <c r="M198" s="331"/>
      <c r="N198" s="331"/>
      <c r="O198" s="331"/>
      <c r="P198" s="331"/>
      <c r="Q198" s="331"/>
      <c r="R198" s="331"/>
      <c r="S198" s="331"/>
      <c r="T198" s="331"/>
      <c r="U198" s="331"/>
      <c r="V198" s="331"/>
      <c r="W198" s="331"/>
      <c r="X198" s="331"/>
      <c r="Y198" s="331"/>
      <c r="Z198" s="331"/>
      <c r="AA198" s="331"/>
      <c r="AB198" s="331"/>
      <c r="AC198" s="331"/>
      <c r="AD198" s="331"/>
      <c r="AE198" s="331"/>
      <c r="AF198" s="331"/>
    </row>
    <row r="199" spans="2:32" ht="15" customHeight="1" outlineLevel="1">
      <c r="B199" s="570">
        <v>1</v>
      </c>
      <c r="C199" s="332" t="str">
        <f t="shared" ref="C199:L199" si="172">IF($C$2=FALSE,"-",IF(ABS(C180-C197)&lt;=$B$199,"Balance","Error"))</f>
        <v>Balance</v>
      </c>
      <c r="D199" s="332" t="str">
        <f t="shared" si="172"/>
        <v>Balance</v>
      </c>
      <c r="E199" s="332" t="str">
        <f t="shared" si="172"/>
        <v>Balance</v>
      </c>
      <c r="F199" s="332" t="str">
        <f t="shared" si="172"/>
        <v>Balance</v>
      </c>
      <c r="G199" s="332" t="str">
        <f t="shared" si="172"/>
        <v>Balance</v>
      </c>
      <c r="H199" s="332" t="str">
        <f t="shared" si="172"/>
        <v>Balance</v>
      </c>
      <c r="I199" s="332" t="str">
        <f t="shared" si="172"/>
        <v>Balance</v>
      </c>
      <c r="J199" s="332" t="str">
        <f t="shared" si="172"/>
        <v>Balance</v>
      </c>
      <c r="K199" s="332" t="str">
        <f t="shared" si="172"/>
        <v>Balance</v>
      </c>
      <c r="L199" s="332" t="str">
        <f t="shared" si="172"/>
        <v>Balance</v>
      </c>
      <c r="M199" s="384" t="str">
        <f t="shared" ref="M199:AF199" ca="1" si="173">IF($C$2=FALSE,"-",IF(ABS(M180-M197)&lt;0.005,"Balance","Error"))</f>
        <v>Balance</v>
      </c>
      <c r="N199" s="332" t="str">
        <f t="shared" ca="1" si="173"/>
        <v>Balance</v>
      </c>
      <c r="O199" s="332" t="str">
        <f t="shared" ca="1" si="173"/>
        <v>Balance</v>
      </c>
      <c r="P199" s="332" t="str">
        <f t="shared" ca="1" si="173"/>
        <v>Balance</v>
      </c>
      <c r="Q199" s="332" t="str">
        <f t="shared" ca="1" si="173"/>
        <v>Balance</v>
      </c>
      <c r="R199" s="332" t="str">
        <f t="shared" ca="1" si="173"/>
        <v>Balance</v>
      </c>
      <c r="S199" s="332" t="str">
        <f t="shared" ca="1" si="173"/>
        <v>Balance</v>
      </c>
      <c r="T199" s="332" t="str">
        <f t="shared" ca="1" si="173"/>
        <v>Balance</v>
      </c>
      <c r="U199" s="332" t="str">
        <f t="shared" ca="1" si="173"/>
        <v>Balance</v>
      </c>
      <c r="V199" s="332" t="str">
        <f t="shared" ca="1" si="173"/>
        <v>Balance</v>
      </c>
      <c r="W199" s="332" t="str">
        <f t="shared" ca="1" si="173"/>
        <v>Balance</v>
      </c>
      <c r="X199" s="332" t="str">
        <f t="shared" ca="1" si="173"/>
        <v>Balance</v>
      </c>
      <c r="Y199" s="332" t="str">
        <f t="shared" ca="1" si="173"/>
        <v>Balance</v>
      </c>
      <c r="Z199" s="332" t="str">
        <f t="shared" ca="1" si="173"/>
        <v>Balance</v>
      </c>
      <c r="AA199" s="332" t="str">
        <f t="shared" ca="1" si="173"/>
        <v>Balance</v>
      </c>
      <c r="AB199" s="332" t="str">
        <f t="shared" ca="1" si="173"/>
        <v>Balance</v>
      </c>
      <c r="AC199" s="332" t="str">
        <f t="shared" ca="1" si="173"/>
        <v>Balance</v>
      </c>
      <c r="AD199" s="332" t="str">
        <f t="shared" ca="1" si="173"/>
        <v>Balance</v>
      </c>
      <c r="AE199" s="332" t="str">
        <f t="shared" ca="1" si="173"/>
        <v>Balance</v>
      </c>
      <c r="AF199" s="333" t="str">
        <f t="shared" ca="1" si="173"/>
        <v>Balance</v>
      </c>
    </row>
    <row r="200" spans="2:32" ht="15" customHeight="1" outlineLevel="1">
      <c r="B200" s="330"/>
      <c r="C200" s="334"/>
      <c r="D200" s="334"/>
      <c r="E200" s="334"/>
      <c r="F200" s="334"/>
      <c r="G200" s="334"/>
      <c r="H200" s="334"/>
      <c r="I200" s="334"/>
      <c r="J200" s="334"/>
      <c r="K200" s="334"/>
      <c r="L200" s="334"/>
      <c r="M200" s="334"/>
      <c r="N200" s="334"/>
      <c r="O200" s="334"/>
      <c r="P200" s="334"/>
      <c r="Q200" s="334"/>
      <c r="R200" s="334"/>
      <c r="S200" s="334"/>
      <c r="T200" s="334"/>
      <c r="U200" s="334"/>
      <c r="V200" s="334"/>
      <c r="W200" s="334"/>
      <c r="X200" s="334"/>
      <c r="Y200" s="334"/>
      <c r="Z200" s="334"/>
      <c r="AA200" s="334"/>
      <c r="AB200" s="334"/>
      <c r="AC200" s="334"/>
      <c r="AD200" s="334"/>
      <c r="AE200" s="334"/>
      <c r="AF200" s="334"/>
    </row>
    <row r="201" spans="2:32" ht="15" customHeight="1" outlineLevel="1">
      <c r="B201" s="385" t="s">
        <v>571</v>
      </c>
      <c r="C201" s="318" t="e">
        <f t="shared" ref="C201:L203" si="174">IF($C$2=FALSE,"-",NA())</f>
        <v>#N/A</v>
      </c>
      <c r="D201" s="318" t="e">
        <f t="shared" si="174"/>
        <v>#N/A</v>
      </c>
      <c r="E201" s="318" t="e">
        <f t="shared" si="174"/>
        <v>#N/A</v>
      </c>
      <c r="F201" s="318" t="e">
        <f t="shared" si="174"/>
        <v>#N/A</v>
      </c>
      <c r="G201" s="318" t="e">
        <f t="shared" si="174"/>
        <v>#N/A</v>
      </c>
      <c r="H201" s="318" t="e">
        <f t="shared" si="174"/>
        <v>#N/A</v>
      </c>
      <c r="I201" s="318" t="e">
        <f t="shared" si="174"/>
        <v>#N/A</v>
      </c>
      <c r="J201" s="318" t="e">
        <f t="shared" si="174"/>
        <v>#N/A</v>
      </c>
      <c r="K201" s="318" t="e">
        <f t="shared" si="174"/>
        <v>#N/A</v>
      </c>
      <c r="L201" s="318" t="e">
        <f t="shared" si="174"/>
        <v>#N/A</v>
      </c>
      <c r="M201" s="377">
        <f t="shared" ref="M201:AF201" si="175">IF($C$2=FALSE,"-",M171+M172+M173+M177+M178+M179)</f>
        <v>34415.370000000003</v>
      </c>
      <c r="N201" s="318">
        <f t="shared" si="175"/>
        <v>46558.574669252332</v>
      </c>
      <c r="O201" s="318">
        <f t="shared" si="175"/>
        <v>55148.117378660565</v>
      </c>
      <c r="P201" s="318">
        <f t="shared" si="175"/>
        <v>61761.559994981246</v>
      </c>
      <c r="Q201" s="318">
        <f t="shared" si="175"/>
        <v>67263.137124893037</v>
      </c>
      <c r="R201" s="318">
        <f t="shared" si="175"/>
        <v>72154.761660318021</v>
      </c>
      <c r="S201" s="318">
        <f t="shared" si="175"/>
        <v>76740.35774631628</v>
      </c>
      <c r="T201" s="318">
        <f t="shared" si="175"/>
        <v>81209.877364773623</v>
      </c>
      <c r="U201" s="318">
        <f t="shared" si="175"/>
        <v>85685.332157479294</v>
      </c>
      <c r="V201" s="318">
        <f t="shared" si="175"/>
        <v>90247.340512920317</v>
      </c>
      <c r="W201" s="318">
        <f t="shared" si="175"/>
        <v>94950.997964662936</v>
      </c>
      <c r="X201" s="318">
        <f t="shared" si="175"/>
        <v>99698.547862896099</v>
      </c>
      <c r="Y201" s="318">
        <f t="shared" si="175"/>
        <v>104683.47525604091</v>
      </c>
      <c r="Z201" s="318">
        <f t="shared" si="175"/>
        <v>109917.64901884295</v>
      </c>
      <c r="AA201" s="318">
        <f t="shared" si="175"/>
        <v>115413.53146978508</v>
      </c>
      <c r="AB201" s="318">
        <f t="shared" si="175"/>
        <v>121184.20804327435</v>
      </c>
      <c r="AC201" s="318">
        <f t="shared" si="175"/>
        <v>127243.41844543809</v>
      </c>
      <c r="AD201" s="318">
        <f t="shared" si="175"/>
        <v>133605.58936771</v>
      </c>
      <c r="AE201" s="318">
        <f t="shared" si="175"/>
        <v>140285.86883609547</v>
      </c>
      <c r="AF201" s="386">
        <f t="shared" si="175"/>
        <v>147300.16227790029</v>
      </c>
    </row>
    <row r="202" spans="2:32" ht="15" customHeight="1" outlineLevel="1">
      <c r="B202" s="387" t="s">
        <v>572</v>
      </c>
      <c r="C202" s="321" t="e">
        <f t="shared" si="174"/>
        <v>#N/A</v>
      </c>
      <c r="D202" s="321" t="e">
        <f t="shared" si="174"/>
        <v>#N/A</v>
      </c>
      <c r="E202" s="321" t="e">
        <f t="shared" si="174"/>
        <v>#N/A</v>
      </c>
      <c r="F202" s="321" t="e">
        <f t="shared" si="174"/>
        <v>#N/A</v>
      </c>
      <c r="G202" s="321" t="e">
        <f t="shared" si="174"/>
        <v>#N/A</v>
      </c>
      <c r="H202" s="321" t="e">
        <f t="shared" si="174"/>
        <v>#N/A</v>
      </c>
      <c r="I202" s="321" t="e">
        <f t="shared" si="174"/>
        <v>#N/A</v>
      </c>
      <c r="J202" s="321" t="e">
        <f t="shared" si="174"/>
        <v>#N/A</v>
      </c>
      <c r="K202" s="321" t="e">
        <f t="shared" si="174"/>
        <v>#N/A</v>
      </c>
      <c r="L202" s="321" t="e">
        <f t="shared" si="174"/>
        <v>#N/A</v>
      </c>
      <c r="M202" s="378">
        <f t="shared" ref="M202:AF202" ca="1" si="176">IF($C$2=FALSE,"-",M185+M183+M187+M188+M189+M190+M191+M196)</f>
        <v>44418.513311249168</v>
      </c>
      <c r="N202" s="321">
        <f t="shared" ca="1" si="176"/>
        <v>40809.465637041874</v>
      </c>
      <c r="O202" s="321">
        <f t="shared" ca="1" si="176"/>
        <v>37048.433095137458</v>
      </c>
      <c r="P202" s="321">
        <f t="shared" ca="1" si="176"/>
        <v>32964.811865170574</v>
      </c>
      <c r="Q202" s="321">
        <f t="shared" ca="1" si="176"/>
        <v>28248.148098543585</v>
      </c>
      <c r="R202" s="321">
        <f t="shared" ca="1" si="176"/>
        <v>22953.911931366456</v>
      </c>
      <c r="S202" s="321">
        <f t="shared" ca="1" si="176"/>
        <v>17079.457379342635</v>
      </c>
      <c r="T202" s="321">
        <f t="shared" ca="1" si="176"/>
        <v>10597.112528392172</v>
      </c>
      <c r="U202" s="321">
        <f t="shared" ca="1" si="176"/>
        <v>3467.1677981367975</v>
      </c>
      <c r="V202" s="321">
        <f t="shared" ca="1" si="176"/>
        <v>-4356.946347584606</v>
      </c>
      <c r="W202" s="321">
        <f t="shared" ca="1" si="176"/>
        <v>-12926.618615971267</v>
      </c>
      <c r="X202" s="321">
        <f t="shared" ca="1" si="176"/>
        <v>-21901.742149036334</v>
      </c>
      <c r="Y202" s="321">
        <f t="shared" ca="1" si="176"/>
        <v>-31333.929388937599</v>
      </c>
      <c r="Z202" s="321">
        <f t="shared" ca="1" si="176"/>
        <v>-41237.725990833947</v>
      </c>
      <c r="AA202" s="321">
        <f t="shared" ca="1" si="176"/>
        <v>-51636.712422825098</v>
      </c>
      <c r="AB202" s="321">
        <f t="shared" ca="1" si="176"/>
        <v>-62555.648176415794</v>
      </c>
      <c r="AC202" s="321">
        <f t="shared" ca="1" si="176"/>
        <v>-74020.530717686052</v>
      </c>
      <c r="AD202" s="321">
        <f t="shared" ca="1" si="176"/>
        <v>-86058.657386019811</v>
      </c>
      <c r="AE202" s="321">
        <f t="shared" ca="1" si="176"/>
        <v>-98698.690387770257</v>
      </c>
      <c r="AF202" s="388">
        <f t="shared" ca="1" si="176"/>
        <v>-111970.72503960822</v>
      </c>
    </row>
    <row r="203" spans="2:32" ht="15" customHeight="1" outlineLevel="1">
      <c r="B203" s="389" t="s">
        <v>573</v>
      </c>
      <c r="C203" s="327" t="e">
        <f t="shared" si="174"/>
        <v>#N/A</v>
      </c>
      <c r="D203" s="327" t="e">
        <f t="shared" si="174"/>
        <v>#N/A</v>
      </c>
      <c r="E203" s="327" t="e">
        <f t="shared" si="174"/>
        <v>#N/A</v>
      </c>
      <c r="F203" s="327" t="e">
        <f t="shared" si="174"/>
        <v>#N/A</v>
      </c>
      <c r="G203" s="327" t="e">
        <f t="shared" si="174"/>
        <v>#N/A</v>
      </c>
      <c r="H203" s="327" t="e">
        <f t="shared" si="174"/>
        <v>#N/A</v>
      </c>
      <c r="I203" s="327" t="e">
        <f t="shared" si="174"/>
        <v>#N/A</v>
      </c>
      <c r="J203" s="327" t="e">
        <f t="shared" si="174"/>
        <v>#N/A</v>
      </c>
      <c r="K203" s="327" t="e">
        <f t="shared" si="174"/>
        <v>#N/A</v>
      </c>
      <c r="L203" s="327" t="e">
        <f t="shared" si="174"/>
        <v>#N/A</v>
      </c>
      <c r="M203" s="383">
        <f t="shared" ref="M203:AF203" ca="1" si="177">IF($C$2=FALSE,"-",M201-M202)</f>
        <v>-10003.143311249165</v>
      </c>
      <c r="N203" s="327">
        <f t="shared" ca="1" si="177"/>
        <v>5749.1090322104574</v>
      </c>
      <c r="O203" s="327">
        <f t="shared" ca="1" si="177"/>
        <v>18099.684283523107</v>
      </c>
      <c r="P203" s="327">
        <f t="shared" ca="1" si="177"/>
        <v>28796.748129810672</v>
      </c>
      <c r="Q203" s="327">
        <f t="shared" ca="1" si="177"/>
        <v>39014.989026349453</v>
      </c>
      <c r="R203" s="327">
        <f t="shared" ca="1" si="177"/>
        <v>49200.849728951565</v>
      </c>
      <c r="S203" s="327">
        <f t="shared" ca="1" si="177"/>
        <v>59660.900366973641</v>
      </c>
      <c r="T203" s="327">
        <f t="shared" ca="1" si="177"/>
        <v>70612.764836381451</v>
      </c>
      <c r="U203" s="327">
        <f t="shared" ca="1" si="177"/>
        <v>82218.164359342496</v>
      </c>
      <c r="V203" s="327">
        <f t="shared" ca="1" si="177"/>
        <v>94604.286860504915</v>
      </c>
      <c r="W203" s="327">
        <f t="shared" ca="1" si="177"/>
        <v>107877.6165806342</v>
      </c>
      <c r="X203" s="327">
        <f t="shared" ca="1" si="177"/>
        <v>121600.29001193243</v>
      </c>
      <c r="Y203" s="327">
        <f t="shared" ca="1" si="177"/>
        <v>136017.40464497852</v>
      </c>
      <c r="Z203" s="327">
        <f t="shared" ca="1" si="177"/>
        <v>151155.37500967691</v>
      </c>
      <c r="AA203" s="327">
        <f t="shared" ca="1" si="177"/>
        <v>167050.24389261019</v>
      </c>
      <c r="AB203" s="327">
        <f t="shared" ca="1" si="177"/>
        <v>183739.85621969015</v>
      </c>
      <c r="AC203" s="327">
        <f t="shared" ca="1" si="177"/>
        <v>201263.94916312414</v>
      </c>
      <c r="AD203" s="327">
        <f t="shared" ca="1" si="177"/>
        <v>219664.24675372982</v>
      </c>
      <c r="AE203" s="327">
        <f t="shared" ca="1" si="177"/>
        <v>238984.55922386574</v>
      </c>
      <c r="AF203" s="390">
        <f t="shared" ca="1" si="177"/>
        <v>259270.88731750852</v>
      </c>
    </row>
    <row r="204" spans="2:32" ht="15" customHeight="1" outlineLevel="1">
      <c r="B204" s="391"/>
      <c r="C204" s="331"/>
      <c r="D204" s="331"/>
      <c r="E204" s="331"/>
      <c r="F204" s="331"/>
      <c r="G204" s="331"/>
      <c r="H204" s="331"/>
      <c r="I204" s="331"/>
      <c r="J204" s="331"/>
      <c r="K204" s="331"/>
      <c r="L204" s="331"/>
      <c r="M204" s="331"/>
      <c r="N204" s="331"/>
      <c r="O204" s="331"/>
      <c r="P204" s="331"/>
      <c r="Q204" s="331"/>
      <c r="R204" s="331"/>
      <c r="S204" s="331"/>
      <c r="T204" s="331"/>
      <c r="U204" s="331"/>
      <c r="V204" s="331"/>
      <c r="W204" s="331"/>
      <c r="X204" s="331"/>
      <c r="Y204" s="331"/>
      <c r="Z204" s="331"/>
      <c r="AA204" s="331"/>
      <c r="AB204" s="331"/>
      <c r="AC204" s="331"/>
      <c r="AD204" s="331"/>
      <c r="AE204" s="331"/>
      <c r="AF204" s="331"/>
    </row>
    <row r="205" spans="2:32" ht="15" customHeight="1" outlineLevel="1">
      <c r="B205" s="385" t="s">
        <v>574</v>
      </c>
      <c r="C205" s="318" t="e">
        <f t="shared" ref="C205:L206" si="178">IF($C$2=FALSE,"-",NA())</f>
        <v>#N/A</v>
      </c>
      <c r="D205" s="318" t="e">
        <f t="shared" si="178"/>
        <v>#N/A</v>
      </c>
      <c r="E205" s="318" t="e">
        <f t="shared" si="178"/>
        <v>#N/A</v>
      </c>
      <c r="F205" s="318" t="e">
        <f t="shared" si="178"/>
        <v>#N/A</v>
      </c>
      <c r="G205" s="318" t="e">
        <f t="shared" si="178"/>
        <v>#N/A</v>
      </c>
      <c r="H205" s="318" t="e">
        <f t="shared" si="178"/>
        <v>#N/A</v>
      </c>
      <c r="I205" s="318" t="e">
        <f t="shared" si="178"/>
        <v>#N/A</v>
      </c>
      <c r="J205" s="318" t="e">
        <f t="shared" si="178"/>
        <v>#N/A</v>
      </c>
      <c r="K205" s="318" t="e">
        <f t="shared" si="178"/>
        <v>#N/A</v>
      </c>
      <c r="L205" s="318" t="e">
        <f t="shared" si="178"/>
        <v>#N/A</v>
      </c>
      <c r="M205" s="377">
        <f t="shared" ref="M205:AF205" ca="1" si="179">IF($C$2=FALSE,"-",MAX(0,M203))</f>
        <v>0</v>
      </c>
      <c r="N205" s="318">
        <f t="shared" ca="1" si="179"/>
        <v>5749.1090322104574</v>
      </c>
      <c r="O205" s="318">
        <f t="shared" ca="1" si="179"/>
        <v>18099.684283523107</v>
      </c>
      <c r="P205" s="318">
        <f t="shared" ca="1" si="179"/>
        <v>28796.748129810672</v>
      </c>
      <c r="Q205" s="318">
        <f t="shared" ca="1" si="179"/>
        <v>39014.989026349453</v>
      </c>
      <c r="R205" s="318">
        <f t="shared" ca="1" si="179"/>
        <v>49200.849728951565</v>
      </c>
      <c r="S205" s="318">
        <f t="shared" ca="1" si="179"/>
        <v>59660.900366973641</v>
      </c>
      <c r="T205" s="318">
        <f t="shared" ca="1" si="179"/>
        <v>70612.764836381451</v>
      </c>
      <c r="U205" s="318">
        <f t="shared" ca="1" si="179"/>
        <v>82218.164359342496</v>
      </c>
      <c r="V205" s="318">
        <f t="shared" ca="1" si="179"/>
        <v>94604.286860504915</v>
      </c>
      <c r="W205" s="318">
        <f t="shared" ca="1" si="179"/>
        <v>107877.6165806342</v>
      </c>
      <c r="X205" s="318">
        <f t="shared" ca="1" si="179"/>
        <v>121600.29001193243</v>
      </c>
      <c r="Y205" s="318">
        <f t="shared" ca="1" si="179"/>
        <v>136017.40464497852</v>
      </c>
      <c r="Z205" s="318">
        <f t="shared" ca="1" si="179"/>
        <v>151155.37500967691</v>
      </c>
      <c r="AA205" s="318">
        <f t="shared" ca="1" si="179"/>
        <v>167050.24389261019</v>
      </c>
      <c r="AB205" s="318">
        <f t="shared" ca="1" si="179"/>
        <v>183739.85621969015</v>
      </c>
      <c r="AC205" s="318">
        <f t="shared" ca="1" si="179"/>
        <v>201263.94916312414</v>
      </c>
      <c r="AD205" s="318">
        <f t="shared" ca="1" si="179"/>
        <v>219664.24675372982</v>
      </c>
      <c r="AE205" s="318">
        <f t="shared" ca="1" si="179"/>
        <v>238984.55922386574</v>
      </c>
      <c r="AF205" s="386">
        <f t="shared" ca="1" si="179"/>
        <v>259270.88731750852</v>
      </c>
    </row>
    <row r="206" spans="2:32" ht="15" customHeight="1" outlineLevel="1">
      <c r="B206" s="389" t="s">
        <v>575</v>
      </c>
      <c r="C206" s="327" t="e">
        <f t="shared" si="178"/>
        <v>#N/A</v>
      </c>
      <c r="D206" s="327" t="e">
        <f t="shared" si="178"/>
        <v>#N/A</v>
      </c>
      <c r="E206" s="327" t="e">
        <f t="shared" si="178"/>
        <v>#N/A</v>
      </c>
      <c r="F206" s="327" t="e">
        <f t="shared" si="178"/>
        <v>#N/A</v>
      </c>
      <c r="G206" s="327" t="e">
        <f t="shared" si="178"/>
        <v>#N/A</v>
      </c>
      <c r="H206" s="327" t="e">
        <f t="shared" si="178"/>
        <v>#N/A</v>
      </c>
      <c r="I206" s="327" t="e">
        <f t="shared" si="178"/>
        <v>#N/A</v>
      </c>
      <c r="J206" s="327" t="e">
        <f t="shared" si="178"/>
        <v>#N/A</v>
      </c>
      <c r="K206" s="327" t="e">
        <f t="shared" si="178"/>
        <v>#N/A</v>
      </c>
      <c r="L206" s="327" t="e">
        <f t="shared" si="178"/>
        <v>#N/A</v>
      </c>
      <c r="M206" s="383">
        <f ca="1">IF($C$2=FALSE,"-",MAX(0,-M203))</f>
        <v>10003.143311249165</v>
      </c>
      <c r="N206" s="327">
        <f t="shared" ref="M206:AF206" ca="1" si="180">IF($C$2=FALSE,"-",MAX(0,-N203))</f>
        <v>0</v>
      </c>
      <c r="O206" s="327">
        <f t="shared" ca="1" si="180"/>
        <v>0</v>
      </c>
      <c r="P206" s="327">
        <f t="shared" ca="1" si="180"/>
        <v>0</v>
      </c>
      <c r="Q206" s="327">
        <f t="shared" ca="1" si="180"/>
        <v>0</v>
      </c>
      <c r="R206" s="327">
        <f t="shared" ca="1" si="180"/>
        <v>0</v>
      </c>
      <c r="S206" s="327">
        <f t="shared" ca="1" si="180"/>
        <v>0</v>
      </c>
      <c r="T206" s="327">
        <f t="shared" ca="1" si="180"/>
        <v>0</v>
      </c>
      <c r="U206" s="327">
        <f t="shared" ca="1" si="180"/>
        <v>0</v>
      </c>
      <c r="V206" s="327">
        <f t="shared" ca="1" si="180"/>
        <v>0</v>
      </c>
      <c r="W206" s="327">
        <f t="shared" ca="1" si="180"/>
        <v>0</v>
      </c>
      <c r="X206" s="327">
        <f t="shared" ca="1" si="180"/>
        <v>0</v>
      </c>
      <c r="Y206" s="327">
        <f t="shared" ca="1" si="180"/>
        <v>0</v>
      </c>
      <c r="Z206" s="327">
        <f t="shared" ca="1" si="180"/>
        <v>0</v>
      </c>
      <c r="AA206" s="327">
        <f t="shared" ca="1" si="180"/>
        <v>0</v>
      </c>
      <c r="AB206" s="327">
        <f t="shared" ca="1" si="180"/>
        <v>0</v>
      </c>
      <c r="AC206" s="327">
        <f t="shared" ca="1" si="180"/>
        <v>0</v>
      </c>
      <c r="AD206" s="327">
        <f t="shared" ca="1" si="180"/>
        <v>0</v>
      </c>
      <c r="AE206" s="327">
        <f t="shared" ca="1" si="180"/>
        <v>0</v>
      </c>
      <c r="AF206" s="390">
        <f t="shared" ca="1" si="180"/>
        <v>0</v>
      </c>
    </row>
    <row r="207" spans="2:32" ht="15" customHeight="1">
      <c r="B207" s="330"/>
      <c r="L207" s="392"/>
      <c r="M207" s="392"/>
      <c r="N207" s="334"/>
      <c r="O207" s="334"/>
      <c r="P207" s="334"/>
      <c r="Q207" s="334"/>
      <c r="R207" s="334"/>
      <c r="S207" s="334"/>
      <c r="T207" s="334"/>
      <c r="U207" s="334"/>
      <c r="V207" s="334"/>
      <c r="W207" s="334"/>
      <c r="X207" s="334"/>
      <c r="Y207" s="334"/>
      <c r="Z207" s="334"/>
      <c r="AA207" s="334"/>
      <c r="AB207" s="334"/>
      <c r="AC207" s="334"/>
      <c r="AD207" s="334"/>
      <c r="AE207" s="334"/>
      <c r="AF207" s="334"/>
    </row>
    <row r="208" spans="2:32" ht="15" customHeight="1">
      <c r="B208" s="338" t="s">
        <v>576</v>
      </c>
      <c r="C208" s="368">
        <f t="shared" ref="C208:AF208" si="181">IF($C$2=FALSE,"-",C165)</f>
        <v>2004</v>
      </c>
      <c r="D208" s="368">
        <f t="shared" si="181"/>
        <v>2005</v>
      </c>
      <c r="E208" s="368">
        <f t="shared" si="181"/>
        <v>2006</v>
      </c>
      <c r="F208" s="368">
        <f t="shared" si="181"/>
        <v>2007</v>
      </c>
      <c r="G208" s="368">
        <f t="shared" si="181"/>
        <v>2008</v>
      </c>
      <c r="H208" s="368">
        <f t="shared" si="181"/>
        <v>2009</v>
      </c>
      <c r="I208" s="368">
        <f t="shared" si="181"/>
        <v>2010</v>
      </c>
      <c r="J208" s="368">
        <f t="shared" si="181"/>
        <v>2011</v>
      </c>
      <c r="K208" s="368">
        <f t="shared" si="181"/>
        <v>2012</v>
      </c>
      <c r="L208" s="368">
        <f t="shared" si="181"/>
        <v>2013</v>
      </c>
      <c r="M208" s="369">
        <f t="shared" si="181"/>
        <v>2014</v>
      </c>
      <c r="N208" s="369">
        <f t="shared" si="181"/>
        <v>2015</v>
      </c>
      <c r="O208" s="369">
        <f t="shared" si="181"/>
        <v>2016</v>
      </c>
      <c r="P208" s="369">
        <f t="shared" si="181"/>
        <v>2017</v>
      </c>
      <c r="Q208" s="369">
        <f t="shared" si="181"/>
        <v>2018</v>
      </c>
      <c r="R208" s="369">
        <f t="shared" si="181"/>
        <v>2019</v>
      </c>
      <c r="S208" s="369">
        <f t="shared" si="181"/>
        <v>2020</v>
      </c>
      <c r="T208" s="369">
        <f t="shared" si="181"/>
        <v>2021</v>
      </c>
      <c r="U208" s="369">
        <f t="shared" si="181"/>
        <v>2022</v>
      </c>
      <c r="V208" s="369">
        <f t="shared" si="181"/>
        <v>2023</v>
      </c>
      <c r="W208" s="369">
        <f t="shared" si="181"/>
        <v>2024</v>
      </c>
      <c r="X208" s="369">
        <f t="shared" si="181"/>
        <v>2025</v>
      </c>
      <c r="Y208" s="369">
        <f t="shared" si="181"/>
        <v>2026</v>
      </c>
      <c r="Z208" s="369">
        <f t="shared" si="181"/>
        <v>2027</v>
      </c>
      <c r="AA208" s="369">
        <f t="shared" si="181"/>
        <v>2028</v>
      </c>
      <c r="AB208" s="369">
        <f t="shared" si="181"/>
        <v>2029</v>
      </c>
      <c r="AC208" s="369">
        <f t="shared" si="181"/>
        <v>2030</v>
      </c>
      <c r="AD208" s="369">
        <f t="shared" si="181"/>
        <v>2031</v>
      </c>
      <c r="AE208" s="369">
        <f t="shared" si="181"/>
        <v>2032</v>
      </c>
      <c r="AF208" s="369">
        <f t="shared" si="181"/>
        <v>2033</v>
      </c>
    </row>
    <row r="209" spans="2:33" ht="5.0999999999999996" customHeight="1"/>
    <row r="210" spans="2:33" ht="15" customHeight="1" outlineLevel="1">
      <c r="B210" s="393" t="s">
        <v>60</v>
      </c>
      <c r="C210" s="318">
        <f t="shared" ref="C210:AF210" si="182">IF($C$2=FALSE,"-",C154+C151)</f>
        <v>4001</v>
      </c>
      <c r="D210" s="318">
        <f t="shared" si="182"/>
        <v>4779</v>
      </c>
      <c r="E210" s="318">
        <f t="shared" si="182"/>
        <v>4967</v>
      </c>
      <c r="F210" s="318">
        <f t="shared" si="182"/>
        <v>3861</v>
      </c>
      <c r="G210" s="318">
        <f t="shared" si="182"/>
        <v>4479</v>
      </c>
      <c r="H210" s="318">
        <f t="shared" si="182"/>
        <v>4186</v>
      </c>
      <c r="I210" s="318">
        <f t="shared" si="182"/>
        <v>3036</v>
      </c>
      <c r="J210" s="318">
        <f t="shared" si="182"/>
        <v>4519</v>
      </c>
      <c r="K210" s="318">
        <f t="shared" si="182"/>
        <v>5455</v>
      </c>
      <c r="L210" s="318">
        <f t="shared" si="182"/>
        <v>4255</v>
      </c>
      <c r="M210" s="377">
        <f t="shared" si="182"/>
        <v>2607.1649999999991</v>
      </c>
      <c r="N210" s="318">
        <f t="shared" si="182"/>
        <v>-1468.124252209913</v>
      </c>
      <c r="O210" s="318">
        <f t="shared" si="182"/>
        <v>-4235.1770719912156</v>
      </c>
      <c r="P210" s="318">
        <f t="shared" si="182"/>
        <v>-6273.6415597248997</v>
      </c>
      <c r="Q210" s="318">
        <f t="shared" si="182"/>
        <v>-7903.2264796944364</v>
      </c>
      <c r="R210" s="318">
        <f t="shared" si="182"/>
        <v>-9310.5750788014939</v>
      </c>
      <c r="S210" s="318">
        <f t="shared" si="182"/>
        <v>-10609.279717089034</v>
      </c>
      <c r="T210" s="318">
        <f t="shared" si="182"/>
        <v>-11870.823565885157</v>
      </c>
      <c r="U210" s="318">
        <f t="shared" si="182"/>
        <v>-13141.632709131274</v>
      </c>
      <c r="V210" s="318">
        <f t="shared" si="182"/>
        <v>-14452.943400160226</v>
      </c>
      <c r="W210" s="318">
        <f t="shared" si="182"/>
        <v>-15826.709374115666</v>
      </c>
      <c r="X210" s="318">
        <f t="shared" si="182"/>
        <v>-16618.044842821451</v>
      </c>
      <c r="Y210" s="318">
        <f t="shared" si="182"/>
        <v>-17448.947084962518</v>
      </c>
      <c r="Z210" s="318">
        <f t="shared" si="182"/>
        <v>-18321.394439210646</v>
      </c>
      <c r="AA210" s="318">
        <f t="shared" si="182"/>
        <v>-19237.464161171178</v>
      </c>
      <c r="AB210" s="318">
        <f t="shared" si="182"/>
        <v>-20199.337369229732</v>
      </c>
      <c r="AC210" s="318">
        <f t="shared" si="182"/>
        <v>-21209.30423769122</v>
      </c>
      <c r="AD210" s="318">
        <f t="shared" si="182"/>
        <v>-22269.769449575786</v>
      </c>
      <c r="AE210" s="318">
        <f t="shared" si="182"/>
        <v>-23383.257922054585</v>
      </c>
      <c r="AF210" s="386">
        <f t="shared" si="182"/>
        <v>-24552.420818157309</v>
      </c>
    </row>
    <row r="211" spans="2:33" ht="15" customHeight="1" outlineLevel="1">
      <c r="B211" s="394" t="s">
        <v>577</v>
      </c>
      <c r="C211" s="395">
        <f t="shared" ref="C211:AF211" si="183">IF($C$2=FALSE,"-",C159/C147)</f>
        <v>6.382105974326803E-2</v>
      </c>
      <c r="D211" s="395">
        <f t="shared" si="183"/>
        <v>6.1843308606848897E-2</v>
      </c>
      <c r="E211" s="395">
        <f t="shared" si="183"/>
        <v>6.3890677541675614E-2</v>
      </c>
      <c r="F211" s="395">
        <f t="shared" si="183"/>
        <v>4.4984326018808779E-2</v>
      </c>
      <c r="G211" s="395">
        <f t="shared" si="183"/>
        <v>4.8206369718482654E-2</v>
      </c>
      <c r="H211" s="395">
        <f t="shared" si="183"/>
        <v>4.0555801050719299E-2</v>
      </c>
      <c r="I211" s="395">
        <f t="shared" si="183"/>
        <v>2.708782276662508E-2</v>
      </c>
      <c r="J211" s="395">
        <f t="shared" si="183"/>
        <v>4.2849708914690865E-2</v>
      </c>
      <c r="K211" s="395">
        <f t="shared" si="183"/>
        <v>5.6258155982665016E-2</v>
      </c>
      <c r="L211" s="395">
        <f t="shared" si="183"/>
        <v>4.1657885493501932E-2</v>
      </c>
      <c r="M211" s="396">
        <f t="shared" ca="1" si="183"/>
        <v>2.0779603880283885E-2</v>
      </c>
      <c r="N211" s="395">
        <f t="shared" ca="1" si="183"/>
        <v>-3.4117458272233926E-2</v>
      </c>
      <c r="O211" s="395">
        <f t="shared" ca="1" si="183"/>
        <v>-6.4352508853678381E-2</v>
      </c>
      <c r="P211" s="395">
        <f t="shared" ca="1" si="183"/>
        <v>-8.1276087090128277E-2</v>
      </c>
      <c r="Q211" s="395">
        <f t="shared" ca="1" si="183"/>
        <v>-9.2325206990081524E-2</v>
      </c>
      <c r="R211" s="395">
        <f t="shared" ca="1" si="183"/>
        <v>-0.10028582034277535</v>
      </c>
      <c r="S211" s="395">
        <f t="shared" ca="1" si="183"/>
        <v>-0.10659787892027477</v>
      </c>
      <c r="T211" s="395">
        <f t="shared" ca="1" si="183"/>
        <v>-0.11200119771611096</v>
      </c>
      <c r="U211" s="395">
        <f t="shared" ca="1" si="183"/>
        <v>-0.11689193499504742</v>
      </c>
      <c r="V211" s="395">
        <f t="shared" ca="1" si="183"/>
        <v>-0.12148902845888003</v>
      </c>
      <c r="W211" s="395">
        <f t="shared" ca="1" si="183"/>
        <v>-0.12591621366120742</v>
      </c>
      <c r="X211" s="395">
        <f t="shared" ca="1" si="183"/>
        <v>-0.12592044644992567</v>
      </c>
      <c r="Y211" s="395">
        <f t="shared" ca="1" si="183"/>
        <v>-0.12592228436003747</v>
      </c>
      <c r="Z211" s="395">
        <f t="shared" ca="1" si="183"/>
        <v>-0.12592228436003747</v>
      </c>
      <c r="AA211" s="395">
        <f t="shared" ca="1" si="183"/>
        <v>-0.12592228436003747</v>
      </c>
      <c r="AB211" s="395">
        <f t="shared" ca="1" si="183"/>
        <v>-0.12592228436003744</v>
      </c>
      <c r="AC211" s="395">
        <f t="shared" ca="1" si="183"/>
        <v>-0.12592228436003741</v>
      </c>
      <c r="AD211" s="395">
        <f t="shared" ca="1" si="183"/>
        <v>-0.12592228436003744</v>
      </c>
      <c r="AE211" s="395">
        <f t="shared" ca="1" si="183"/>
        <v>-0.12592228436003752</v>
      </c>
      <c r="AF211" s="397">
        <f t="shared" ca="1" si="183"/>
        <v>-0.1259222843600375</v>
      </c>
    </row>
    <row r="212" spans="2:33" ht="15" customHeight="1" outlineLevel="1">
      <c r="B212" s="398" t="s">
        <v>578</v>
      </c>
      <c r="C212" s="399">
        <f t="shared" ref="C212:AF212" si="184">IF($C$2=FALSE,"-",(C147-C148)/C148)</f>
        <v>0.23238871212346487</v>
      </c>
      <c r="D212" s="399">
        <f t="shared" si="184"/>
        <v>0.23456945002007226</v>
      </c>
      <c r="E212" s="399">
        <f t="shared" si="184"/>
        <v>0.22699440359925382</v>
      </c>
      <c r="F212" s="399">
        <f t="shared" si="184"/>
        <v>0.21054961735500602</v>
      </c>
      <c r="G212" s="399">
        <f t="shared" si="184"/>
        <v>0.25131511616006552</v>
      </c>
      <c r="H212" s="399">
        <f t="shared" si="184"/>
        <v>0.2374886075949367</v>
      </c>
      <c r="I212" s="399">
        <f t="shared" si="184"/>
        <v>0.23634578980579121</v>
      </c>
      <c r="J212" s="399">
        <f t="shared" si="184"/>
        <v>0.25170981924767954</v>
      </c>
      <c r="K212" s="399">
        <f t="shared" si="184"/>
        <v>0.31161778378835264</v>
      </c>
      <c r="L212" s="399">
        <f t="shared" si="184"/>
        <v>0.30566383856913554</v>
      </c>
      <c r="M212" s="400">
        <f t="shared" si="184"/>
        <v>0.27243635583524028</v>
      </c>
      <c r="N212" s="399">
        <f t="shared" si="184"/>
        <v>0.26120275417975519</v>
      </c>
      <c r="O212" s="399">
        <f t="shared" si="184"/>
        <v>0.25016576662342832</v>
      </c>
      <c r="P212" s="399">
        <f t="shared" si="184"/>
        <v>0.23932027614162643</v>
      </c>
      <c r="Q212" s="399">
        <f t="shared" si="184"/>
        <v>0.22866134174824659</v>
      </c>
      <c r="R212" s="399">
        <f t="shared" si="184"/>
        <v>0.21818419099005817</v>
      </c>
      <c r="S212" s="399">
        <f t="shared" si="184"/>
        <v>0.20788421282181627</v>
      </c>
      <c r="T212" s="399">
        <f t="shared" si="184"/>
        <v>0.19775695083979727</v>
      </c>
      <c r="U212" s="399">
        <f t="shared" si="184"/>
        <v>0.18779809685289833</v>
      </c>
      <c r="V212" s="399">
        <f t="shared" si="184"/>
        <v>0.17800348477181213</v>
      </c>
      <c r="W212" s="399">
        <f t="shared" si="184"/>
        <v>0.16836908479806956</v>
      </c>
      <c r="X212" s="399">
        <f t="shared" si="184"/>
        <v>0.16836908479806958</v>
      </c>
      <c r="Y212" s="399">
        <f t="shared" si="184"/>
        <v>0.1683690847980697</v>
      </c>
      <c r="Z212" s="399">
        <f t="shared" si="184"/>
        <v>0.16836908479806967</v>
      </c>
      <c r="AA212" s="399">
        <f t="shared" si="184"/>
        <v>0.16836908479806967</v>
      </c>
      <c r="AB212" s="399">
        <f t="shared" si="184"/>
        <v>0.16836908479806972</v>
      </c>
      <c r="AC212" s="399">
        <f t="shared" si="184"/>
        <v>0.16836908479806967</v>
      </c>
      <c r="AD212" s="399">
        <f t="shared" si="184"/>
        <v>0.16836908479806967</v>
      </c>
      <c r="AE212" s="399">
        <f t="shared" si="184"/>
        <v>0.16836908479806956</v>
      </c>
      <c r="AF212" s="401">
        <f t="shared" si="184"/>
        <v>0.16836908479806958</v>
      </c>
    </row>
    <row r="213" spans="2:33" ht="15" customHeight="1" outlineLevel="1"/>
    <row r="214" spans="2:33" ht="15" customHeight="1" outlineLevel="1">
      <c r="B214" s="393" t="s">
        <v>578</v>
      </c>
      <c r="C214" s="402">
        <f t="shared" ref="C214:L214" si="185">IF($C$2=FALSE,"-",C10/C6)</f>
        <v>0.18856770581990157</v>
      </c>
      <c r="D214" s="402">
        <f t="shared" si="185"/>
        <v>0.19000101615689463</v>
      </c>
      <c r="E214" s="402">
        <f t="shared" si="185"/>
        <v>0.18500035773055734</v>
      </c>
      <c r="F214" s="402">
        <f t="shared" si="185"/>
        <v>0.17392894461859978</v>
      </c>
      <c r="G214" s="402">
        <f t="shared" si="185"/>
        <v>0.20084078975348829</v>
      </c>
      <c r="H214" s="402">
        <f t="shared" si="185"/>
        <v>0.19191175267180569</v>
      </c>
      <c r="I214" s="402">
        <f t="shared" si="185"/>
        <v>0.19116479528184191</v>
      </c>
      <c r="J214" s="402">
        <f t="shared" si="185"/>
        <v>0.20109278954044296</v>
      </c>
      <c r="K214" s="402">
        <f t="shared" si="185"/>
        <v>0.23758276812037826</v>
      </c>
      <c r="L214" s="402">
        <f t="shared" si="185"/>
        <v>0.23410607657183</v>
      </c>
      <c r="M214" s="403">
        <f t="shared" ref="M214:AF214" si="186">IF($C$2=FALSE,"-",M149/M147)</f>
        <v>0.21410607657183001</v>
      </c>
      <c r="N214" s="402">
        <f t="shared" si="186"/>
        <v>0.20710607657182994</v>
      </c>
      <c r="O214" s="402">
        <f t="shared" si="186"/>
        <v>0.20010607657182999</v>
      </c>
      <c r="P214" s="402">
        <f t="shared" si="186"/>
        <v>0.19310607657183002</v>
      </c>
      <c r="Q214" s="402">
        <f t="shared" si="186"/>
        <v>0.18610607657183001</v>
      </c>
      <c r="R214" s="402">
        <f t="shared" si="186"/>
        <v>0.17910607657183003</v>
      </c>
      <c r="S214" s="402">
        <f t="shared" si="186"/>
        <v>0.17210607657183014</v>
      </c>
      <c r="T214" s="402">
        <f t="shared" si="186"/>
        <v>0.16510607657183007</v>
      </c>
      <c r="U214" s="402">
        <f t="shared" si="186"/>
        <v>0.15810607657183004</v>
      </c>
      <c r="V214" s="402">
        <f t="shared" si="186"/>
        <v>0.15110607657183009</v>
      </c>
      <c r="W214" s="402">
        <f t="shared" si="186"/>
        <v>0.14410607657183</v>
      </c>
      <c r="X214" s="402">
        <f t="shared" si="186"/>
        <v>0.14410607657183003</v>
      </c>
      <c r="Y214" s="402">
        <f t="shared" si="186"/>
        <v>0.14410607657183011</v>
      </c>
      <c r="Z214" s="402">
        <f t="shared" si="186"/>
        <v>0.14410607657183008</v>
      </c>
      <c r="AA214" s="402">
        <f t="shared" si="186"/>
        <v>0.14410607657183008</v>
      </c>
      <c r="AB214" s="402">
        <f t="shared" si="186"/>
        <v>0.14410607657183011</v>
      </c>
      <c r="AC214" s="402">
        <f t="shared" si="186"/>
        <v>0.14410607657183011</v>
      </c>
      <c r="AD214" s="402">
        <f t="shared" si="186"/>
        <v>0.14410607657183008</v>
      </c>
      <c r="AE214" s="402">
        <f t="shared" si="186"/>
        <v>0.14410607657183</v>
      </c>
      <c r="AF214" s="404">
        <f t="shared" si="186"/>
        <v>0.14410607657183003</v>
      </c>
      <c r="AG214" s="328"/>
    </row>
    <row r="215" spans="2:33" ht="15" customHeight="1" outlineLevel="1">
      <c r="B215" s="394" t="s">
        <v>579</v>
      </c>
      <c r="C215" s="405">
        <f t="shared" ref="C215:L215" si="187">IF($C$2=FALSE,"-",C26/C6)</f>
        <v>6.382105974326803E-2</v>
      </c>
      <c r="D215" s="405">
        <f t="shared" si="187"/>
        <v>6.1843308606848897E-2</v>
      </c>
      <c r="E215" s="405">
        <f t="shared" si="187"/>
        <v>6.3890677541675614E-2</v>
      </c>
      <c r="F215" s="405">
        <f t="shared" si="187"/>
        <v>4.4984326018808779E-2</v>
      </c>
      <c r="G215" s="405">
        <f t="shared" si="187"/>
        <v>4.8206369718482654E-2</v>
      </c>
      <c r="H215" s="405">
        <f t="shared" si="187"/>
        <v>4.0555801050719299E-2</v>
      </c>
      <c r="I215" s="405">
        <f t="shared" si="187"/>
        <v>2.708782276662508E-2</v>
      </c>
      <c r="J215" s="405">
        <f t="shared" si="187"/>
        <v>4.2849708914690865E-2</v>
      </c>
      <c r="K215" s="405">
        <f t="shared" si="187"/>
        <v>5.6258155982665016E-2</v>
      </c>
      <c r="L215" s="405">
        <f t="shared" si="187"/>
        <v>4.1657885493501932E-2</v>
      </c>
      <c r="M215" s="406">
        <f t="shared" ref="M215:AF215" ca="1" si="188">IF($C$2=FALSE,"-",M159/M147)</f>
        <v>2.0779603880283885E-2</v>
      </c>
      <c r="N215" s="405">
        <f t="shared" ca="1" si="188"/>
        <v>-3.4117458272233926E-2</v>
      </c>
      <c r="O215" s="405">
        <f t="shared" ca="1" si="188"/>
        <v>-6.4352508853678381E-2</v>
      </c>
      <c r="P215" s="405">
        <f t="shared" ca="1" si="188"/>
        <v>-8.1276087090128277E-2</v>
      </c>
      <c r="Q215" s="405">
        <f t="shared" ca="1" si="188"/>
        <v>-9.2325206990081524E-2</v>
      </c>
      <c r="R215" s="405">
        <f t="shared" ca="1" si="188"/>
        <v>-0.10028582034277535</v>
      </c>
      <c r="S215" s="405">
        <f t="shared" ca="1" si="188"/>
        <v>-0.10659787892027477</v>
      </c>
      <c r="T215" s="405">
        <f t="shared" ca="1" si="188"/>
        <v>-0.11200119771611096</v>
      </c>
      <c r="U215" s="405">
        <f t="shared" ca="1" si="188"/>
        <v>-0.11689193499504742</v>
      </c>
      <c r="V215" s="405">
        <f t="shared" ca="1" si="188"/>
        <v>-0.12148902845888003</v>
      </c>
      <c r="W215" s="405">
        <f t="shared" ca="1" si="188"/>
        <v>-0.12591621366120742</v>
      </c>
      <c r="X215" s="405">
        <f t="shared" ca="1" si="188"/>
        <v>-0.12592044644992567</v>
      </c>
      <c r="Y215" s="405">
        <f t="shared" ca="1" si="188"/>
        <v>-0.12592228436003747</v>
      </c>
      <c r="Z215" s="405">
        <f t="shared" ca="1" si="188"/>
        <v>-0.12592228436003747</v>
      </c>
      <c r="AA215" s="405">
        <f t="shared" ca="1" si="188"/>
        <v>-0.12592228436003747</v>
      </c>
      <c r="AB215" s="405">
        <f t="shared" ca="1" si="188"/>
        <v>-0.12592228436003744</v>
      </c>
      <c r="AC215" s="405">
        <f t="shared" ca="1" si="188"/>
        <v>-0.12592228436003741</v>
      </c>
      <c r="AD215" s="405">
        <f t="shared" ca="1" si="188"/>
        <v>-0.12592228436003744</v>
      </c>
      <c r="AE215" s="405">
        <f t="shared" ca="1" si="188"/>
        <v>-0.12592228436003752</v>
      </c>
      <c r="AF215" s="407">
        <f t="shared" ca="1" si="188"/>
        <v>-0.1259222843600375</v>
      </c>
      <c r="AG215" s="328"/>
    </row>
    <row r="216" spans="2:33" ht="15" customHeight="1" outlineLevel="1">
      <c r="B216" s="394" t="s">
        <v>580</v>
      </c>
      <c r="C216" s="405">
        <f t="shared" ref="C216:L216" si="189">IF($C$2=FALSE,"-",C26/C52)</f>
        <v>0.13696856713790068</v>
      </c>
      <c r="D216" s="405">
        <f t="shared" si="189"/>
        <v>0.13107904372173165</v>
      </c>
      <c r="E216" s="405">
        <f t="shared" si="189"/>
        <v>0.15457181184819768</v>
      </c>
      <c r="F216" s="405">
        <f t="shared" si="189"/>
        <v>0.10076067875950849</v>
      </c>
      <c r="G216" s="405">
        <f t="shared" si="189"/>
        <v>0.10692645404738579</v>
      </c>
      <c r="H216" s="405">
        <f t="shared" si="189"/>
        <v>9.3509433962264146E-2</v>
      </c>
      <c r="I216" s="405">
        <f t="shared" si="189"/>
        <v>4.2582907405206226E-2</v>
      </c>
      <c r="J216" s="405">
        <f t="shared" si="189"/>
        <v>6.8266017254333011E-2</v>
      </c>
      <c r="K216" s="405">
        <f t="shared" si="189"/>
        <v>7.841376058204029E-2</v>
      </c>
      <c r="L216" s="405">
        <f t="shared" si="189"/>
        <v>4.98948254101809E-2</v>
      </c>
      <c r="M216" s="406">
        <f t="shared" ref="M216:AF216" ca="1" si="190">IF($C$2=FALSE,"-",M159/M180)</f>
        <v>2.6370957764524718E-2</v>
      </c>
      <c r="N216" s="405">
        <f t="shared" ca="1" si="190"/>
        <v>-4.1876305670542839E-2</v>
      </c>
      <c r="O216" s="405">
        <f t="shared" ca="1" si="190"/>
        <v>-6.8564169655264545E-2</v>
      </c>
      <c r="P216" s="405">
        <f t="shared" ca="1" si="190"/>
        <v>-8.0178093429554315E-2</v>
      </c>
      <c r="Q216" s="405">
        <f t="shared" ca="1" si="190"/>
        <v>-8.7160295444288743E-2</v>
      </c>
      <c r="R216" s="405">
        <f t="shared" ca="1" si="190"/>
        <v>-9.2268339522043635E-2</v>
      </c>
      <c r="S216" s="405">
        <f t="shared" ca="1" si="190"/>
        <v>-9.6586246482823379E-2</v>
      </c>
      <c r="T216" s="405">
        <f t="shared" ca="1" si="190"/>
        <v>-0.10055579929722994</v>
      </c>
      <c r="U216" s="405">
        <f t="shared" ca="1" si="190"/>
        <v>-0.10436894788382191</v>
      </c>
      <c r="V216" s="405">
        <f t="shared" ca="1" si="190"/>
        <v>-0.10811251305188552</v>
      </c>
      <c r="W216" s="405">
        <f t="shared" ca="1" si="190"/>
        <v>-0.11182650128577364</v>
      </c>
      <c r="X216" s="405">
        <f t="shared" ca="1" si="190"/>
        <v>-0.1118302604359202</v>
      </c>
      <c r="Y216" s="405">
        <f t="shared" ca="1" si="190"/>
        <v>-0.11183189268844357</v>
      </c>
      <c r="Z216" s="405">
        <f t="shared" ca="1" si="190"/>
        <v>-0.11183189268844358</v>
      </c>
      <c r="AA216" s="405">
        <f t="shared" ca="1" si="190"/>
        <v>-0.11183189268844358</v>
      </c>
      <c r="AB216" s="405">
        <f t="shared" ca="1" si="190"/>
        <v>-0.11183189268844355</v>
      </c>
      <c r="AC216" s="405">
        <f t="shared" ca="1" si="190"/>
        <v>-0.11183189268844353</v>
      </c>
      <c r="AD216" s="405">
        <f t="shared" ca="1" si="190"/>
        <v>-0.11183189268844355</v>
      </c>
      <c r="AE216" s="405">
        <f t="shared" ca="1" si="190"/>
        <v>-0.11183189268844361</v>
      </c>
      <c r="AF216" s="407">
        <f t="shared" ca="1" si="190"/>
        <v>-0.1118318926884436</v>
      </c>
      <c r="AG216" s="328"/>
    </row>
    <row r="217" spans="2:33" ht="15" customHeight="1" outlineLevel="1">
      <c r="B217" s="394" t="s">
        <v>581</v>
      </c>
      <c r="C217" s="405">
        <f t="shared" ref="C217:L217" si="191">IF($C$2=FALSE,"-",C26/C77)</f>
        <v>0.42117834394904458</v>
      </c>
      <c r="D217" s="405">
        <f t="shared" si="191"/>
        <v>0.469236700077101</v>
      </c>
      <c r="E217" s="405">
        <f t="shared" si="191"/>
        <v>0.86510050859772347</v>
      </c>
      <c r="F217" s="405">
        <f t="shared" si="191"/>
        <v>0.59681146025878007</v>
      </c>
      <c r="G217" s="405">
        <f t="shared" si="191"/>
        <v>0.78902275769745644</v>
      </c>
      <c r="H217" s="405">
        <f t="shared" si="191"/>
        <v>0.58019199250760944</v>
      </c>
      <c r="I217" s="405">
        <f t="shared" si="191"/>
        <v>0.25403297287714943</v>
      </c>
      <c r="J217" s="405">
        <f t="shared" si="191"/>
        <v>0.33929951068761266</v>
      </c>
      <c r="K217" s="405">
        <f t="shared" si="191"/>
        <v>0.39161152854098913</v>
      </c>
      <c r="L217" s="405">
        <f t="shared" si="191"/>
        <v>0.22209737827715356</v>
      </c>
      <c r="M217" s="406">
        <f t="shared" ref="M217:AF217" ca="1" si="192">IF($C$2=FALSE,"-",M159/M196)</f>
        <v>9.8837505837139725E-2</v>
      </c>
      <c r="N217" s="405">
        <f t="shared" ca="1" si="192"/>
        <v>-0.19690653590443888</v>
      </c>
      <c r="O217" s="405">
        <f t="shared" ca="1" si="192"/>
        <v>-0.61779294274503183</v>
      </c>
      <c r="P217" s="405">
        <f t="shared" ca="1" si="192"/>
        <v>-4.2376705591854886</v>
      </c>
      <c r="Q217" s="405">
        <f t="shared" ca="1" si="192"/>
        <v>1.2489384737642295</v>
      </c>
      <c r="R217" s="405">
        <f t="shared" ca="1" si="192"/>
        <v>0.58648348795038618</v>
      </c>
      <c r="S217" s="405">
        <f t="shared" ca="1" si="192"/>
        <v>0.3950195207808484</v>
      </c>
      <c r="T217" s="405">
        <f t="shared" ca="1" si="192"/>
        <v>0.30323618051864465</v>
      </c>
      <c r="U217" s="405">
        <f t="shared" ca="1" si="192"/>
        <v>0.24929438421754016</v>
      </c>
      <c r="V217" s="405">
        <f t="shared" ca="1" si="192"/>
        <v>0.21382725629429633</v>
      </c>
      <c r="W217" s="405">
        <f t="shared" ca="1" si="192"/>
        <v>0.18877281605398172</v>
      </c>
      <c r="X217" s="405">
        <f t="shared" ca="1" si="192"/>
        <v>0.16542740976910961</v>
      </c>
      <c r="Y217" s="405">
        <f t="shared" ca="1" si="192"/>
        <v>0.14799447971334354</v>
      </c>
      <c r="Z217" s="405">
        <f t="shared" ca="1" si="192"/>
        <v>0.13449453286290858</v>
      </c>
      <c r="AA217" s="405">
        <f t="shared" ca="1" si="192"/>
        <v>0.12374419580613893</v>
      </c>
      <c r="AB217" s="405">
        <f t="shared" ca="1" si="192"/>
        <v>0.114990525046837</v>
      </c>
      <c r="AC217" s="405">
        <f t="shared" ca="1" si="192"/>
        <v>0.10773243194014094</v>
      </c>
      <c r="AD217" s="405">
        <f t="shared" ca="1" si="192"/>
        <v>0.10162349946098816</v>
      </c>
      <c r="AE217" s="405">
        <f t="shared" ca="1" si="192"/>
        <v>9.6416575170431784E-2</v>
      </c>
      <c r="AF217" s="407">
        <f t="shared" ca="1" si="192"/>
        <v>9.1930589687348407E-2</v>
      </c>
      <c r="AG217" s="328"/>
    </row>
    <row r="218" spans="2:33" ht="15" customHeight="1" outlineLevel="1">
      <c r="B218" s="394" t="s">
        <v>582</v>
      </c>
      <c r="C218" s="408">
        <f t="shared" ref="C218:L218" si="193">IF($C$2=FALSE,"-",C52/C77)</f>
        <v>3.0750000000000002</v>
      </c>
      <c r="D218" s="408">
        <f t="shared" si="193"/>
        <v>3.5797995373939862</v>
      </c>
      <c r="E218" s="408">
        <f t="shared" si="193"/>
        <v>5.5967546621457984</v>
      </c>
      <c r="F218" s="408">
        <f t="shared" si="193"/>
        <v>5.9230591497227358</v>
      </c>
      <c r="G218" s="408">
        <f t="shared" si="193"/>
        <v>7.3791164658634534</v>
      </c>
      <c r="H218" s="408">
        <f t="shared" si="193"/>
        <v>6.2046359166471552</v>
      </c>
      <c r="I218" s="408">
        <f t="shared" si="193"/>
        <v>5.9656089345860659</v>
      </c>
      <c r="J218" s="408">
        <f t="shared" si="193"/>
        <v>4.9702549575070822</v>
      </c>
      <c r="K218" s="408">
        <f t="shared" si="193"/>
        <v>4.9941684423012225</v>
      </c>
      <c r="L218" s="408">
        <f t="shared" si="193"/>
        <v>4.4513108614232211</v>
      </c>
      <c r="M218" s="409">
        <f t="shared" ref="M218:AF218" ca="1" si="194">IF($C$2=FALSE,"-",M180/M196)</f>
        <v>3.7479680002407778</v>
      </c>
      <c r="N218" s="408">
        <f t="shared" ca="1" si="194"/>
        <v>4.7020990211882365</v>
      </c>
      <c r="O218" s="408">
        <f t="shared" ca="1" si="194"/>
        <v>9.0104342523397865</v>
      </c>
      <c r="P218" s="408">
        <f t="shared" ca="1" si="194"/>
        <v>52.853221845550244</v>
      </c>
      <c r="Q218" s="408">
        <f t="shared" ca="1" si="194"/>
        <v>-14.329213403854602</v>
      </c>
      <c r="R218" s="408">
        <f t="shared" ca="1" si="194"/>
        <v>-6.356280940877566</v>
      </c>
      <c r="S218" s="408">
        <f t="shared" ca="1" si="194"/>
        <v>-4.0898112843747123</v>
      </c>
      <c r="T218" s="408">
        <f t="shared" ca="1" si="194"/>
        <v>-3.0156011153799072</v>
      </c>
      <c r="U218" s="408">
        <f t="shared" ca="1" si="194"/>
        <v>-2.3885876908047567</v>
      </c>
      <c r="V218" s="408">
        <f t="shared" ca="1" si="194"/>
        <v>-1.9778215329401885</v>
      </c>
      <c r="W218" s="408">
        <f t="shared" ca="1" si="194"/>
        <v>-1.6880865795091906</v>
      </c>
      <c r="X218" s="408">
        <f t="shared" ca="1" si="194"/>
        <v>-1.4792723286547389</v>
      </c>
      <c r="Y218" s="408">
        <f t="shared" ca="1" si="194"/>
        <v>-1.3233655995221916</v>
      </c>
      <c r="Z218" s="408">
        <f t="shared" ca="1" si="194"/>
        <v>-1.2026491694779917</v>
      </c>
      <c r="AA218" s="408">
        <f t="shared" ca="1" si="194"/>
        <v>-1.1065197309222179</v>
      </c>
      <c r="AB218" s="408">
        <f t="shared" ca="1" si="194"/>
        <v>-1.0282444683932266</v>
      </c>
      <c r="AC218" s="408">
        <f t="shared" ca="1" si="194"/>
        <v>-0.96334265074343839</v>
      </c>
      <c r="AD218" s="408">
        <f t="shared" ca="1" si="194"/>
        <v>-0.9087166193646089</v>
      </c>
      <c r="AE218" s="408">
        <f t="shared" ca="1" si="194"/>
        <v>-0.86215633888127152</v>
      </c>
      <c r="AF218" s="410">
        <f t="shared" ca="1" si="194"/>
        <v>-0.82204268815749248</v>
      </c>
      <c r="AG218" s="411"/>
    </row>
    <row r="219" spans="2:33" ht="15" customHeight="1" outlineLevel="1">
      <c r="B219" s="398" t="s">
        <v>583</v>
      </c>
      <c r="C219" s="412">
        <f t="shared" ref="C219:AF219" si="195">IF($C$2=FALSE,"-",C119)</f>
        <v>0</v>
      </c>
      <c r="D219" s="412">
        <f t="shared" si="195"/>
        <v>0.18726474278544541</v>
      </c>
      <c r="E219" s="412">
        <f t="shared" si="195"/>
        <v>0.13622599329336449</v>
      </c>
      <c r="F219" s="412">
        <f t="shared" si="195"/>
        <v>2.7044430135222151E-2</v>
      </c>
      <c r="G219" s="412">
        <f t="shared" si="195"/>
        <v>6.4663880181121555E-2</v>
      </c>
      <c r="H219" s="412">
        <f t="shared" si="195"/>
        <v>-5.234488737670325E-4</v>
      </c>
      <c r="I219" s="412">
        <f t="shared" si="195"/>
        <v>-0.13418765650316689</v>
      </c>
      <c r="J219" s="412">
        <f t="shared" si="195"/>
        <v>0.1624135193376432</v>
      </c>
      <c r="K219" s="412">
        <f t="shared" si="195"/>
        <v>9.3830292386249074E-3</v>
      </c>
      <c r="L219" s="412">
        <f t="shared" si="195"/>
        <v>-8.2663401588503493E-2</v>
      </c>
      <c r="M219" s="413">
        <f t="shared" si="195"/>
        <v>-1.0000000000000002E-2</v>
      </c>
      <c r="N219" s="412">
        <f t="shared" si="195"/>
        <v>1.3768310030485238E-2</v>
      </c>
      <c r="O219" s="412">
        <f t="shared" si="195"/>
        <v>2.8184518793529848E-2</v>
      </c>
      <c r="P219" s="412">
        <f t="shared" si="195"/>
        <v>3.6928391405134348E-2</v>
      </c>
      <c r="Q219" s="412">
        <f t="shared" si="195"/>
        <v>4.2231818228694047E-2</v>
      </c>
      <c r="R219" s="412">
        <f t="shared" si="195"/>
        <v>4.5448509198725388E-2</v>
      </c>
      <c r="S219" s="412">
        <f t="shared" si="195"/>
        <v>4.7399530894870166E-2</v>
      </c>
      <c r="T219" s="412">
        <f t="shared" si="195"/>
        <v>4.8582885371346522E-2</v>
      </c>
      <c r="U219" s="412">
        <f t="shared" si="195"/>
        <v>4.9300626142637624E-2</v>
      </c>
      <c r="V219" s="412">
        <f t="shared" si="195"/>
        <v>4.9735957926151472E-2</v>
      </c>
      <c r="W219" s="412">
        <f t="shared" si="195"/>
        <v>0.05</v>
      </c>
      <c r="X219" s="412">
        <f t="shared" si="195"/>
        <v>0.05</v>
      </c>
      <c r="Y219" s="412">
        <f t="shared" si="195"/>
        <v>0.05</v>
      </c>
      <c r="Z219" s="412">
        <f t="shared" si="195"/>
        <v>0.05</v>
      </c>
      <c r="AA219" s="412">
        <f t="shared" si="195"/>
        <v>0.05</v>
      </c>
      <c r="AB219" s="412">
        <f t="shared" si="195"/>
        <v>0.05</v>
      </c>
      <c r="AC219" s="412">
        <f t="shared" si="195"/>
        <v>0.05</v>
      </c>
      <c r="AD219" s="412">
        <f t="shared" si="195"/>
        <v>0.05</v>
      </c>
      <c r="AE219" s="412">
        <f t="shared" si="195"/>
        <v>0.05</v>
      </c>
      <c r="AF219" s="414">
        <f t="shared" si="195"/>
        <v>0.05</v>
      </c>
      <c r="AG219" s="328"/>
    </row>
    <row r="220" spans="2:33" ht="15" customHeight="1" outlineLevel="1"/>
    <row r="221" spans="2:33" ht="15" customHeight="1" outlineLevel="1"/>
    <row r="222" spans="2:33" ht="15" customHeight="1" outlineLevel="1"/>
    <row r="223" spans="2:33" ht="15" customHeight="1" outlineLevel="1"/>
    <row r="224" spans="2:33" ht="15" customHeight="1" outlineLevel="1"/>
    <row r="225" ht="15" customHeight="1" outlineLevel="1"/>
    <row r="226" ht="15" customHeight="1" outlineLevel="1"/>
    <row r="227" ht="15" customHeight="1" outlineLevel="1"/>
    <row r="228" ht="15" customHeight="1" outlineLevel="1"/>
    <row r="229" ht="15" customHeight="1" outlineLevel="1"/>
    <row r="230" ht="15" customHeight="1" outlineLevel="1"/>
    <row r="231" ht="15" customHeight="1" outlineLevel="1"/>
    <row r="232" ht="15" customHeight="1" outlineLevel="1"/>
    <row r="233" ht="15" customHeight="1" outlineLevel="1"/>
    <row r="234" ht="15" customHeight="1" outlineLevel="1"/>
    <row r="235" ht="15" customHeight="1" outlineLevel="1"/>
    <row r="236" ht="15" customHeight="1" outlineLevel="1"/>
    <row r="237" ht="15" customHeight="1" outlineLevel="1"/>
    <row r="238" ht="15" customHeight="1" outlineLevel="1"/>
    <row r="239" ht="15" customHeight="1" outlineLevel="1"/>
    <row r="240" ht="15" customHeight="1" outlineLevel="1"/>
    <row r="241" spans="2:29" ht="15" customHeight="1" outlineLevel="1"/>
    <row r="242" spans="2:29" ht="15" customHeight="1" outlineLevel="1"/>
    <row r="243" spans="2:29" ht="15" customHeight="1" outlineLevel="1"/>
    <row r="244" spans="2:29" ht="15" customHeight="1" outlineLevel="1"/>
    <row r="245" spans="2:29" ht="15" customHeight="1" outlineLevel="1"/>
    <row r="246" spans="2:29" ht="15" customHeight="1" outlineLevel="1"/>
    <row r="247" spans="2:29" ht="15" customHeight="1" outlineLevel="1"/>
    <row r="249" spans="2:29" ht="15" customHeight="1">
      <c r="B249" s="415" t="str">
        <f ca="1">IF($C$2=FALSE,"-","EXIT YEAR: "&amp;OFFSET($C$251,0,$C$249)&amp;"E")</f>
        <v>EXIT YEAR: 2023E</v>
      </c>
      <c r="C249" s="416">
        <v>10</v>
      </c>
    </row>
    <row r="250" spans="2:29" ht="5.0999999999999996" customHeight="1"/>
    <row r="251" spans="2:29" ht="15" customHeight="1">
      <c r="B251" s="417" t="s">
        <v>584</v>
      </c>
      <c r="C251" s="418">
        <f t="shared" ref="C251:M251" si="196">IF($C$2=FALSE,"-",L$145)</f>
        <v>2013</v>
      </c>
      <c r="D251" s="419">
        <f t="shared" si="196"/>
        <v>2014</v>
      </c>
      <c r="E251" s="419">
        <f t="shared" si="196"/>
        <v>2015</v>
      </c>
      <c r="F251" s="419">
        <f t="shared" si="196"/>
        <v>2016</v>
      </c>
      <c r="G251" s="419">
        <f t="shared" si="196"/>
        <v>2017</v>
      </c>
      <c r="H251" s="419">
        <f t="shared" si="196"/>
        <v>2018</v>
      </c>
      <c r="I251" s="419">
        <f t="shared" si="196"/>
        <v>2019</v>
      </c>
      <c r="J251" s="419">
        <f t="shared" si="196"/>
        <v>2020</v>
      </c>
      <c r="K251" s="419">
        <f t="shared" si="196"/>
        <v>2021</v>
      </c>
      <c r="L251" s="419">
        <f t="shared" si="196"/>
        <v>2022</v>
      </c>
      <c r="M251" s="419">
        <f t="shared" si="196"/>
        <v>2023</v>
      </c>
      <c r="N251" s="420"/>
      <c r="O251" s="421" t="s">
        <v>585</v>
      </c>
      <c r="P251" s="421"/>
      <c r="Q251" s="421"/>
      <c r="R251" s="421"/>
      <c r="S251" s="421"/>
      <c r="T251" s="421"/>
      <c r="U251" s="421"/>
      <c r="V251" s="421"/>
      <c r="W251" s="421"/>
      <c r="X251" s="421"/>
      <c r="Y251" s="421"/>
      <c r="Z251" s="421"/>
      <c r="AA251" s="421"/>
      <c r="AB251" s="421"/>
      <c r="AC251" s="421"/>
    </row>
    <row r="252" spans="2:29" ht="5.0999999999999996" customHeight="1">
      <c r="B252" s="420"/>
      <c r="C252" s="422">
        <v>0</v>
      </c>
      <c r="D252" s="422">
        <f t="shared" ref="D252:M252" si="197">IF($C$2=FALSE,"-",C252+1)</f>
        <v>1</v>
      </c>
      <c r="E252" s="422">
        <f t="shared" si="197"/>
        <v>2</v>
      </c>
      <c r="F252" s="422">
        <f t="shared" si="197"/>
        <v>3</v>
      </c>
      <c r="G252" s="422">
        <f t="shared" si="197"/>
        <v>4</v>
      </c>
      <c r="H252" s="422">
        <f t="shared" si="197"/>
        <v>5</v>
      </c>
      <c r="I252" s="422">
        <f t="shared" si="197"/>
        <v>6</v>
      </c>
      <c r="J252" s="422">
        <f t="shared" si="197"/>
        <v>7</v>
      </c>
      <c r="K252" s="422">
        <f t="shared" si="197"/>
        <v>8</v>
      </c>
      <c r="L252" s="422">
        <f t="shared" si="197"/>
        <v>9</v>
      </c>
      <c r="M252" s="422">
        <f t="shared" si="197"/>
        <v>10</v>
      </c>
      <c r="N252" s="420"/>
      <c r="O252" s="423"/>
      <c r="P252" s="423"/>
      <c r="Q252" s="423"/>
      <c r="R252" s="423"/>
      <c r="S252" s="423"/>
      <c r="T252" s="423"/>
      <c r="U252" s="423"/>
      <c r="V252" s="423"/>
      <c r="W252" s="423"/>
      <c r="X252" s="423"/>
      <c r="Y252" s="423"/>
      <c r="Z252" s="423"/>
      <c r="AA252" s="423"/>
      <c r="AB252" s="423"/>
      <c r="AC252" s="423"/>
    </row>
    <row r="253" spans="2:29" ht="15" customHeight="1" outlineLevel="1">
      <c r="B253" s="420" t="s">
        <v>586</v>
      </c>
      <c r="C253" s="424">
        <f t="shared" ref="C253:M253" si="198">IF($C$2=FALSE,"-",L175)</f>
        <v>5300</v>
      </c>
      <c r="D253" s="424">
        <f t="shared" si="198"/>
        <v>5247</v>
      </c>
      <c r="E253" s="424">
        <f t="shared" si="198"/>
        <v>5545.6225137121719</v>
      </c>
      <c r="F253" s="424">
        <f t="shared" si="198"/>
        <v>5843.0996606329627</v>
      </c>
      <c r="G253" s="424">
        <f t="shared" si="198"/>
        <v>6147.6658726938222</v>
      </c>
      <c r="H253" s="424">
        <f t="shared" si="198"/>
        <v>6463.4211465078652</v>
      </c>
      <c r="I253" s="424">
        <f t="shared" si="198"/>
        <v>6792.7646797981906</v>
      </c>
      <c r="J253" s="424">
        <f t="shared" si="198"/>
        <v>7137.3485823832289</v>
      </c>
      <c r="K253" s="424">
        <f t="shared" si="198"/>
        <v>7498.4815052458507</v>
      </c>
      <c r="L253" s="424">
        <f t="shared" si="198"/>
        <v>7877.3132036512488</v>
      </c>
      <c r="M253" s="424">
        <f t="shared" si="198"/>
        <v>8274.9258871529055</v>
      </c>
      <c r="N253" s="420"/>
      <c r="O253" s="425" t="str">
        <f ca="1">IF($C$2=FALSE,"-","EXIT YEAR: "&amp;OFFSET($C$251,0,$C$249))</f>
        <v>EXIT YEAR: 2023</v>
      </c>
      <c r="P253" s="426"/>
      <c r="Q253" s="423"/>
      <c r="R253" s="427" t="s">
        <v>587</v>
      </c>
      <c r="S253" s="428">
        <v>300</v>
      </c>
      <c r="W253" s="423"/>
      <c r="X253" s="423"/>
      <c r="Y253" s="423"/>
      <c r="Z253" s="423"/>
      <c r="AA253" s="423"/>
      <c r="AB253" s="423"/>
      <c r="AC253" s="423"/>
    </row>
    <row r="254" spans="2:29" ht="15" customHeight="1" outlineLevel="1">
      <c r="B254" s="429">
        <v>0.08</v>
      </c>
      <c r="C254" s="424">
        <f t="shared" ref="C254:M254" si="199">IF($C$2=FALSE,"-",(L174-(L170*(1-$B$254)))-(L186-L184))</f>
        <v>-3382.84</v>
      </c>
      <c r="D254" s="424">
        <f t="shared" ca="1" si="199"/>
        <v>-3560.698535100064</v>
      </c>
      <c r="E254" s="424">
        <f t="shared" ca="1" si="199"/>
        <v>-4347.47144928938</v>
      </c>
      <c r="F254" s="424">
        <f t="shared" ca="1" si="199"/>
        <v>-4424.1529861612835</v>
      </c>
      <c r="G254" s="424">
        <f t="shared" ca="1" si="199"/>
        <v>-4558.6935428689103</v>
      </c>
      <c r="H254" s="424">
        <f t="shared" ca="1" si="199"/>
        <v>-4732.9867234170997</v>
      </c>
      <c r="I254" s="424">
        <f t="shared" ca="1" si="199"/>
        <v>-4936.5351346818952</v>
      </c>
      <c r="J254" s="424">
        <f t="shared" ca="1" si="199"/>
        <v>-5163.1815237794581</v>
      </c>
      <c r="K254" s="424">
        <f t="shared" ca="1" si="199"/>
        <v>-5409.3536105170824</v>
      </c>
      <c r="L254" s="424">
        <f t="shared" ca="1" si="199"/>
        <v>-5673.0658806264837</v>
      </c>
      <c r="M254" s="424">
        <f t="shared" ca="1" si="199"/>
        <v>-5953.3288238447421</v>
      </c>
      <c r="N254" s="420"/>
      <c r="O254" s="430" t="s">
        <v>60</v>
      </c>
      <c r="P254" s="431">
        <f ca="1">IF($C$2=FALSE,"-",OFFSET($L$160,0,$C$249))</f>
        <v>-14452.943400160226</v>
      </c>
      <c r="Q254" s="423"/>
      <c r="R254" s="432" t="s">
        <v>588</v>
      </c>
      <c r="S254" s="433">
        <v>0.01</v>
      </c>
      <c r="W254" s="423"/>
      <c r="X254" s="423"/>
      <c r="Y254" s="423"/>
      <c r="Z254" s="423"/>
      <c r="AA254" s="423"/>
      <c r="AB254" s="423"/>
      <c r="AC254" s="423"/>
    </row>
    <row r="255" spans="2:29" ht="15" customHeight="1" outlineLevel="1">
      <c r="B255" s="420" t="s">
        <v>519</v>
      </c>
      <c r="C255" s="424">
        <f t="shared" ref="C255:M255" si="200">IF($C$2=FALSE,"-",L188)</f>
        <v>0</v>
      </c>
      <c r="D255" s="424">
        <f t="shared" si="200"/>
        <v>0</v>
      </c>
      <c r="E255" s="424">
        <f t="shared" si="200"/>
        <v>36.06477534337904</v>
      </c>
      <c r="F255" s="424">
        <f t="shared" si="200"/>
        <v>61.047128270221876</v>
      </c>
      <c r="G255" s="424">
        <f t="shared" si="200"/>
        <v>78.936987212683277</v>
      </c>
      <c r="H255" s="424">
        <f t="shared" si="200"/>
        <v>92.370271974231784</v>
      </c>
      <c r="I255" s="424">
        <f t="shared" si="200"/>
        <v>103.05547446776758</v>
      </c>
      <c r="J255" s="424">
        <f t="shared" si="200"/>
        <v>112.09335663227628</v>
      </c>
      <c r="K255" s="424">
        <f t="shared" si="200"/>
        <v>120.19287015592266</v>
      </c>
      <c r="L255" s="424">
        <f t="shared" si="200"/>
        <v>127.81211332641888</v>
      </c>
      <c r="M255" s="424">
        <f t="shared" si="200"/>
        <v>135.24915753140112</v>
      </c>
      <c r="N255" s="420"/>
      <c r="O255" s="434" t="s">
        <v>589</v>
      </c>
      <c r="P255" s="435">
        <f ca="1">IF($C$2=FALSE,"-",OFFSET($C$262,0,$C$249))</f>
        <v>-8560.8114816016005</v>
      </c>
      <c r="Q255" s="423"/>
      <c r="R255" s="436" t="s">
        <v>590</v>
      </c>
      <c r="S255" s="437">
        <v>1</v>
      </c>
      <c r="W255" s="423"/>
      <c r="X255" s="423"/>
      <c r="Y255" s="423"/>
      <c r="Z255" s="423"/>
      <c r="AA255" s="423"/>
      <c r="AB255" s="423"/>
      <c r="AC255" s="423"/>
    </row>
    <row r="256" spans="2:29" ht="15" customHeight="1" outlineLevel="1">
      <c r="N256" s="420"/>
      <c r="O256" s="423"/>
      <c r="P256" s="423"/>
      <c r="Q256" s="423"/>
      <c r="R256" s="423"/>
      <c r="S256" s="423"/>
      <c r="T256" s="423"/>
      <c r="U256" s="423"/>
      <c r="V256" s="423"/>
      <c r="W256" s="423"/>
      <c r="X256" s="423"/>
      <c r="Y256" s="423"/>
      <c r="Z256" s="423"/>
      <c r="AA256" s="423"/>
      <c r="AB256" s="423"/>
      <c r="AC256" s="423"/>
    </row>
    <row r="257" spans="2:29" ht="15" customHeight="1" outlineLevel="1">
      <c r="B257" s="420" t="s">
        <v>591</v>
      </c>
      <c r="C257" s="424">
        <f>IF($C$2=FALSE,"-",(L156-L157+(L155*(L140)))+(C255-K65))</f>
        <v>1970.9751349582857</v>
      </c>
      <c r="D257" s="424">
        <f t="shared" ref="D257:M257" ca="1" si="201">IF($C$2=FALSE,"-",(M156-M157+(M155*(M140)))+(D255-C255))</f>
        <v>1173.24185442512</v>
      </c>
      <c r="E257" s="424">
        <f t="shared" ca="1" si="201"/>
        <v>-1909.2530687101155</v>
      </c>
      <c r="F257" s="424">
        <f t="shared" ca="1" si="201"/>
        <v>-3742.5112218048876</v>
      </c>
      <c r="G257" s="424">
        <f t="shared" ca="1" si="201"/>
        <v>-4915.590696741745</v>
      </c>
      <c r="H257" s="424">
        <f t="shared" ca="1" si="201"/>
        <v>-5826.4894741119624</v>
      </c>
      <c r="I257" s="424">
        <f t="shared" ca="1" si="201"/>
        <v>-6620.7634943293924</v>
      </c>
      <c r="J257" s="424">
        <f t="shared" ca="1" si="201"/>
        <v>-7374.0864063919444</v>
      </c>
      <c r="K257" s="424">
        <f t="shared" ca="1" si="201"/>
        <v>-8126.6788029591598</v>
      </c>
      <c r="L257" s="424">
        <f t="shared" ca="1" si="201"/>
        <v>-8901.7342501590647</v>
      </c>
      <c r="M257" s="424">
        <f t="shared" ca="1" si="201"/>
        <v>-9713.8154762535487</v>
      </c>
      <c r="N257" s="420"/>
      <c r="O257" s="438" t="s">
        <v>592</v>
      </c>
      <c r="P257" s="439"/>
      <c r="Q257" s="439"/>
      <c r="R257" s="439"/>
      <c r="S257" s="439"/>
      <c r="T257" s="439"/>
      <c r="U257" s="440"/>
      <c r="V257" s="441"/>
      <c r="W257" s="438" t="s">
        <v>593</v>
      </c>
      <c r="X257" s="439"/>
      <c r="Y257" s="439"/>
      <c r="Z257" s="439"/>
      <c r="AA257" s="439"/>
      <c r="AB257" s="439"/>
      <c r="AC257" s="440"/>
    </row>
    <row r="258" spans="2:29" ht="15" customHeight="1" outlineLevel="1">
      <c r="B258" s="420" t="s">
        <v>594</v>
      </c>
      <c r="C258" s="442">
        <f t="shared" ref="C258:M258" si="202">IF($C$2=FALSE,"-",L151)</f>
        <v>1144</v>
      </c>
      <c r="D258" s="442">
        <f t="shared" si="202"/>
        <v>1132.5600000000002</v>
      </c>
      <c r="E258" s="442">
        <f t="shared" si="202"/>
        <v>1059.4820874583249</v>
      </c>
      <c r="F258" s="442">
        <f t="shared" si="202"/>
        <v>1028.4204669747066</v>
      </c>
      <c r="G258" s="442">
        <f t="shared" si="202"/>
        <v>1025.9366886359564</v>
      </c>
      <c r="H258" s="442">
        <f t="shared" si="202"/>
        <v>1042.8634860574891</v>
      </c>
      <c r="I258" s="442">
        <f t="shared" si="202"/>
        <v>1073.2032819017381</v>
      </c>
      <c r="J258" s="442">
        <f t="shared" si="202"/>
        <v>1113.1148572815241</v>
      </c>
      <c r="K258" s="442">
        <f t="shared" si="202"/>
        <v>1160.1770512016503</v>
      </c>
      <c r="L258" s="442">
        <f t="shared" si="202"/>
        <v>1212.8910504750966</v>
      </c>
      <c r="M258" s="442">
        <f t="shared" si="202"/>
        <v>1270.3537349353462</v>
      </c>
      <c r="N258" s="420"/>
      <c r="O258" s="443"/>
      <c r="P258" s="444"/>
      <c r="Q258" s="445" t="s">
        <v>595</v>
      </c>
      <c r="R258" s="445"/>
      <c r="S258" s="445"/>
      <c r="T258" s="445"/>
      <c r="U258" s="446"/>
      <c r="V258" s="447"/>
      <c r="W258" s="443"/>
      <c r="X258" s="444"/>
      <c r="Y258" s="445" t="str">
        <f>IF($C$2=FALSE,"-",$Q$258)</f>
        <v>Exit Multiple</v>
      </c>
      <c r="Z258" s="445"/>
      <c r="AA258" s="445"/>
      <c r="AB258" s="445"/>
      <c r="AC258" s="446"/>
    </row>
    <row r="259" spans="2:29" ht="15" customHeight="1" outlineLevel="1">
      <c r="B259" s="420" t="s">
        <v>596</v>
      </c>
      <c r="C259" s="442"/>
      <c r="D259" s="442">
        <f t="shared" ref="D259:M259" ca="1" si="203">IF($C$2=FALSE,"-",D254-C254)</f>
        <v>-177.85853510006382</v>
      </c>
      <c r="E259" s="442">
        <f t="shared" ca="1" si="203"/>
        <v>-786.772914189316</v>
      </c>
      <c r="F259" s="442">
        <f t="shared" ca="1" si="203"/>
        <v>-76.681536871903518</v>
      </c>
      <c r="G259" s="442">
        <f t="shared" ca="1" si="203"/>
        <v>-134.54055670762682</v>
      </c>
      <c r="H259" s="442">
        <f t="shared" ca="1" si="203"/>
        <v>-174.29318054818941</v>
      </c>
      <c r="I259" s="442">
        <f t="shared" ca="1" si="203"/>
        <v>-203.5484112647955</v>
      </c>
      <c r="J259" s="442">
        <f t="shared" ca="1" si="203"/>
        <v>-226.64638909756286</v>
      </c>
      <c r="K259" s="442">
        <f t="shared" ca="1" si="203"/>
        <v>-246.17208673762434</v>
      </c>
      <c r="L259" s="442">
        <f t="shared" ca="1" si="203"/>
        <v>-263.71227010940129</v>
      </c>
      <c r="M259" s="442">
        <f t="shared" ca="1" si="203"/>
        <v>-280.26294321825844</v>
      </c>
      <c r="N259" s="420"/>
      <c r="O259" s="443"/>
      <c r="P259" s="448"/>
      <c r="Q259" s="449">
        <f>IF($C$2=FALSE,"-",R259-$S$255)</f>
        <v>8</v>
      </c>
      <c r="R259" s="450">
        <f>IF($C$2=FALSE,"-",S259-$S$255)</f>
        <v>9</v>
      </c>
      <c r="S259" s="450">
        <f>IF($C$2=FALSE,"-",$C$267)</f>
        <v>10</v>
      </c>
      <c r="T259" s="450">
        <f>IF($C$2=FALSE,"-",S259+$S$255)</f>
        <v>11</v>
      </c>
      <c r="U259" s="451">
        <f>IF($C$2=FALSE,"-",T259+$S$255)</f>
        <v>12</v>
      </c>
      <c r="V259" s="452"/>
      <c r="W259" s="443"/>
      <c r="X259" s="448"/>
      <c r="Y259" s="449">
        <f>IF($C$2=FALSE,"-",$Q$259)</f>
        <v>8</v>
      </c>
      <c r="Z259" s="450">
        <f>IF($C$2=FALSE,"-",$R$259)</f>
        <v>9</v>
      </c>
      <c r="AA259" s="450">
        <f>IF($C$2=FALSE,"-",$S$259)</f>
        <v>10</v>
      </c>
      <c r="AB259" s="450">
        <f>IF($C$2=FALSE,"-",$T$259)</f>
        <v>11</v>
      </c>
      <c r="AC259" s="451">
        <f>IF($C$2=FALSE,"-",$U$259)</f>
        <v>12</v>
      </c>
    </row>
    <row r="260" spans="2:29" ht="15" customHeight="1" outlineLevel="1">
      <c r="B260" s="420" t="s">
        <v>597</v>
      </c>
      <c r="C260" s="442"/>
      <c r="D260" s="442">
        <f t="shared" ref="D260:M260" si="204">IF($C$2=FALSE,"-",D253-C253)</f>
        <v>-53</v>
      </c>
      <c r="E260" s="442">
        <f t="shared" si="204"/>
        <v>298.62251371217189</v>
      </c>
      <c r="F260" s="442">
        <f t="shared" si="204"/>
        <v>297.4771469207908</v>
      </c>
      <c r="G260" s="442">
        <f t="shared" si="204"/>
        <v>304.56621206085947</v>
      </c>
      <c r="H260" s="442">
        <f t="shared" si="204"/>
        <v>315.75527381404299</v>
      </c>
      <c r="I260" s="442">
        <f t="shared" si="204"/>
        <v>329.34353329032547</v>
      </c>
      <c r="J260" s="442">
        <f t="shared" si="204"/>
        <v>344.58390258503823</v>
      </c>
      <c r="K260" s="442">
        <f t="shared" si="204"/>
        <v>361.13292286262185</v>
      </c>
      <c r="L260" s="442">
        <f t="shared" si="204"/>
        <v>378.83169840539813</v>
      </c>
      <c r="M260" s="442">
        <f t="shared" si="204"/>
        <v>397.61268350165665</v>
      </c>
      <c r="N260" s="420"/>
      <c r="O260" s="453"/>
      <c r="P260" s="454">
        <f>IF($C$2=FALSE,"-",P261-$S$254)</f>
        <v>5.19869549464477E-2</v>
      </c>
      <c r="Q260" s="455">
        <f t="shared" ref="Q260:U264" ca="1" si="205">IF($C$2=FALSE,"-",(($P$254*Q$259)/((1+$P260)^$C$249))+(IF($C$249=3,NPV($P260,$D$262:$F$262),IF($C$249=4,NPV($P260,$D$262:$G$262),IF($C$249=5,NPV($P260,$D$262:$H$262),IF($C$249=6,NPV($P260,$D$262:$I$262),IF($C$249=7,NPV($P260,$D$262:$J$262),IF($C$249=8,NPV($P260,$D$262:$K$262),IF($C$249=9,NPV($P260,$D$262:$L$262),IF($C$249=10,NPV($P260, $D$262:$M$262)))))))))))</f>
        <v>-100710.66687391806</v>
      </c>
      <c r="R260" s="456">
        <f t="shared" ca="1" si="205"/>
        <v>-109417.35037591503</v>
      </c>
      <c r="S260" s="456">
        <f t="shared" ca="1" si="205"/>
        <v>-118124.03387791201</v>
      </c>
      <c r="T260" s="456">
        <f t="shared" ca="1" si="205"/>
        <v>-126830.71737990899</v>
      </c>
      <c r="U260" s="457">
        <f t="shared" ca="1" si="205"/>
        <v>-135537.40088190595</v>
      </c>
      <c r="V260" s="458"/>
      <c r="W260" s="453"/>
      <c r="X260" s="454">
        <f>IF($C$2=FALSE,"-",$P$260)</f>
        <v>5.19869549464477E-2</v>
      </c>
      <c r="Y260" s="455">
        <f t="shared" ref="Y260:AC264" ca="1" si="206">IF($C$2=FALSE,"-",Q260+$C$269-$C$270-$C$271-$C$272)</f>
        <v>-104705.86687391806</v>
      </c>
      <c r="Z260" s="456">
        <f t="shared" ca="1" si="206"/>
        <v>-113412.55037591503</v>
      </c>
      <c r="AA260" s="456">
        <f t="shared" ca="1" si="206"/>
        <v>-122119.233877912</v>
      </c>
      <c r="AB260" s="456">
        <f t="shared" ca="1" si="206"/>
        <v>-130825.91737990899</v>
      </c>
      <c r="AC260" s="457">
        <f t="shared" ca="1" si="206"/>
        <v>-139532.60088190594</v>
      </c>
    </row>
    <row r="261" spans="2:29" ht="15" customHeight="1" outlineLevel="1">
      <c r="N261" s="420"/>
      <c r="O261" s="453"/>
      <c r="P261" s="454">
        <f>IF($C$2=FALSE,"-",P262-$S$254)</f>
        <v>6.1986954946447702E-2</v>
      </c>
      <c r="Q261" s="459">
        <f t="shared" ca="1" si="205"/>
        <v>-92338.211189945636</v>
      </c>
      <c r="R261" s="460">
        <f t="shared" ca="1" si="205"/>
        <v>-100258.92790981021</v>
      </c>
      <c r="S261" s="461">
        <f t="shared" ca="1" si="205"/>
        <v>-108179.64462967479</v>
      </c>
      <c r="T261" s="462">
        <f t="shared" ca="1" si="205"/>
        <v>-116100.36134953937</v>
      </c>
      <c r="U261" s="463">
        <f t="shared" ca="1" si="205"/>
        <v>-124021.07806940393</v>
      </c>
      <c r="V261" s="458"/>
      <c r="W261" s="453"/>
      <c r="X261" s="454">
        <f>IF($C$2=FALSE,"-",$P$261)</f>
        <v>6.1986954946447702E-2</v>
      </c>
      <c r="Y261" s="459">
        <f t="shared" ca="1" si="206"/>
        <v>-96333.411189945633</v>
      </c>
      <c r="Z261" s="460">
        <f t="shared" ca="1" si="206"/>
        <v>-104254.12790981021</v>
      </c>
      <c r="AA261" s="461">
        <f t="shared" ca="1" si="206"/>
        <v>-112174.84462967479</v>
      </c>
      <c r="AB261" s="462">
        <f t="shared" ca="1" si="206"/>
        <v>-120095.56134953936</v>
      </c>
      <c r="AC261" s="463">
        <f t="shared" ca="1" si="206"/>
        <v>-128016.27806940392</v>
      </c>
    </row>
    <row r="262" spans="2:29" ht="15" customHeight="1" outlineLevel="1">
      <c r="B262" s="420" t="s">
        <v>589</v>
      </c>
      <c r="C262" s="442"/>
      <c r="D262" s="424">
        <f t="shared" ref="D262:M262" ca="1" si="207">IF($C$2=FALSE,"-",D257+D258-D259-D260)</f>
        <v>2536.6603895251837</v>
      </c>
      <c r="E262" s="424">
        <f t="shared" ca="1" si="207"/>
        <v>-361.62058077464644</v>
      </c>
      <c r="F262" s="424">
        <f t="shared" ca="1" si="207"/>
        <v>-2934.8863648790684</v>
      </c>
      <c r="G262" s="424">
        <f t="shared" ca="1" si="207"/>
        <v>-4059.679663459021</v>
      </c>
      <c r="H262" s="424">
        <f t="shared" ca="1" si="207"/>
        <v>-4925.0880813203266</v>
      </c>
      <c r="I262" s="424">
        <f t="shared" ca="1" si="207"/>
        <v>-5673.3553344531838</v>
      </c>
      <c r="J262" s="424">
        <f t="shared" ca="1" si="207"/>
        <v>-6378.9090625978952</v>
      </c>
      <c r="K262" s="424">
        <f t="shared" ca="1" si="207"/>
        <v>-7081.4625878825073</v>
      </c>
      <c r="L262" s="424">
        <f t="shared" ca="1" si="207"/>
        <v>-7803.962627979965</v>
      </c>
      <c r="M262" s="424">
        <f t="shared" ca="1" si="207"/>
        <v>-8560.8114816016005</v>
      </c>
      <c r="N262" s="424"/>
      <c r="O262" s="464" t="s">
        <v>598</v>
      </c>
      <c r="P262" s="454">
        <f>IF($C$2=FALSE,"-",C289)</f>
        <v>7.1986954946447704E-2</v>
      </c>
      <c r="Q262" s="459">
        <f t="shared" ca="1" si="205"/>
        <v>-84747.813074421065</v>
      </c>
      <c r="R262" s="465">
        <f t="shared" ca="1" si="205"/>
        <v>-91959.905728833517</v>
      </c>
      <c r="S262" s="466">
        <f t="shared" ca="1" si="205"/>
        <v>-99171.998383245984</v>
      </c>
      <c r="T262" s="467">
        <f t="shared" ca="1" si="205"/>
        <v>-106384.09103765845</v>
      </c>
      <c r="U262" s="463">
        <f t="shared" ca="1" si="205"/>
        <v>-113596.18369207089</v>
      </c>
      <c r="V262" s="458"/>
      <c r="W262" s="464" t="str">
        <f>IF($C$2=FALSE,"-",$O$262)</f>
        <v>WACC</v>
      </c>
      <c r="X262" s="454">
        <f>IF($C$2=FALSE,"-",$P$262)</f>
        <v>7.1986954946447704E-2</v>
      </c>
      <c r="Y262" s="459">
        <f t="shared" ca="1" si="206"/>
        <v>-88743.013074421062</v>
      </c>
      <c r="Z262" s="465">
        <f t="shared" ca="1" si="206"/>
        <v>-95955.105728833514</v>
      </c>
      <c r="AA262" s="466">
        <f t="shared" ca="1" si="206"/>
        <v>-103167.19838324598</v>
      </c>
      <c r="AB262" s="467">
        <f t="shared" ca="1" si="206"/>
        <v>-110379.29103765845</v>
      </c>
      <c r="AC262" s="463">
        <f t="shared" ca="1" si="206"/>
        <v>-117591.38369207089</v>
      </c>
    </row>
    <row r="263" spans="2:29" ht="15" customHeight="1" outlineLevel="1">
      <c r="B263" s="420" t="s">
        <v>599</v>
      </c>
      <c r="C263" s="424"/>
      <c r="D263" s="424"/>
      <c r="E263" s="442"/>
      <c r="F263" s="442" t="str">
        <f t="shared" ref="F263:M263" si="208">IF($C$2=FALSE,"-",IF($C$249=F252,($C$267*O210),""))</f>
        <v/>
      </c>
      <c r="G263" s="442" t="str">
        <f t="shared" si="208"/>
        <v/>
      </c>
      <c r="H263" s="442" t="str">
        <f t="shared" si="208"/>
        <v/>
      </c>
      <c r="I263" s="442" t="str">
        <f t="shared" si="208"/>
        <v/>
      </c>
      <c r="J263" s="442" t="str">
        <f t="shared" si="208"/>
        <v/>
      </c>
      <c r="K263" s="442" t="str">
        <f t="shared" si="208"/>
        <v/>
      </c>
      <c r="L263" s="442" t="str">
        <f t="shared" si="208"/>
        <v/>
      </c>
      <c r="M263" s="442">
        <f t="shared" si="208"/>
        <v>-144529.43400160226</v>
      </c>
      <c r="N263" s="420"/>
      <c r="O263" s="453"/>
      <c r="P263" s="454">
        <f>IF($C$2=FALSE,"-",P262+$S$254)</f>
        <v>8.1986954946447699E-2</v>
      </c>
      <c r="Q263" s="459">
        <f t="shared" ca="1" si="205"/>
        <v>-77858.924888564638</v>
      </c>
      <c r="R263" s="468">
        <f t="shared" ca="1" si="205"/>
        <v>-84431.507521550317</v>
      </c>
      <c r="S263" s="469">
        <f t="shared" ca="1" si="205"/>
        <v>-91004.090154535996</v>
      </c>
      <c r="T263" s="470">
        <f t="shared" ca="1" si="205"/>
        <v>-97576.672787521675</v>
      </c>
      <c r="U263" s="463">
        <f t="shared" ca="1" si="205"/>
        <v>-104149.25542050735</v>
      </c>
      <c r="V263" s="458"/>
      <c r="W263" s="453"/>
      <c r="X263" s="454">
        <f>IF($C$2=FALSE,"-",$P$263)</f>
        <v>8.1986954946447699E-2</v>
      </c>
      <c r="Y263" s="459">
        <f t="shared" ca="1" si="206"/>
        <v>-81854.124888564635</v>
      </c>
      <c r="Z263" s="468">
        <f t="shared" ca="1" si="206"/>
        <v>-88426.707521550314</v>
      </c>
      <c r="AA263" s="469">
        <f t="shared" ca="1" si="206"/>
        <v>-94999.290154535993</v>
      </c>
      <c r="AB263" s="470">
        <f t="shared" ca="1" si="206"/>
        <v>-101571.87278752167</v>
      </c>
      <c r="AC263" s="463">
        <f t="shared" ca="1" si="206"/>
        <v>-108144.45542050735</v>
      </c>
    </row>
    <row r="264" spans="2:29" ht="15" customHeight="1" outlineLevel="1">
      <c r="B264" s="420" t="s">
        <v>600</v>
      </c>
      <c r="C264" s="424"/>
      <c r="D264" s="424">
        <f t="shared" ref="D264:M264" ca="1" si="209">IF($C$2=FALSE,"-",SUM(D262:D263))</f>
        <v>2536.6603895251837</v>
      </c>
      <c r="E264" s="424">
        <f t="shared" ca="1" si="209"/>
        <v>-361.62058077464644</v>
      </c>
      <c r="F264" s="424">
        <f t="shared" ca="1" si="209"/>
        <v>-2934.8863648790684</v>
      </c>
      <c r="G264" s="424">
        <f t="shared" ca="1" si="209"/>
        <v>-4059.679663459021</v>
      </c>
      <c r="H264" s="424">
        <f t="shared" ca="1" si="209"/>
        <v>-4925.0880813203266</v>
      </c>
      <c r="I264" s="424">
        <f t="shared" ca="1" si="209"/>
        <v>-5673.3553344531838</v>
      </c>
      <c r="J264" s="424">
        <f t="shared" ca="1" si="209"/>
        <v>-6378.9090625978952</v>
      </c>
      <c r="K264" s="424">
        <f t="shared" ca="1" si="209"/>
        <v>-7081.4625878825073</v>
      </c>
      <c r="L264" s="424">
        <f t="shared" ca="1" si="209"/>
        <v>-7803.962627979965</v>
      </c>
      <c r="M264" s="424">
        <f t="shared" ca="1" si="209"/>
        <v>-153090.24548320385</v>
      </c>
      <c r="N264" s="420"/>
      <c r="O264" s="471"/>
      <c r="P264" s="472">
        <f>IF($C$2=FALSE,"-",P263+$S$254)</f>
        <v>9.1986954946447694E-2</v>
      </c>
      <c r="Q264" s="473">
        <f t="shared" ca="1" si="205"/>
        <v>-71600.00264733244</v>
      </c>
      <c r="R264" s="474">
        <f t="shared" ca="1" si="205"/>
        <v>-77594.900664451881</v>
      </c>
      <c r="S264" s="474">
        <f t="shared" ca="1" si="205"/>
        <v>-83589.798681571338</v>
      </c>
      <c r="T264" s="474">
        <f t="shared" ca="1" si="205"/>
        <v>-89584.696698690779</v>
      </c>
      <c r="U264" s="475">
        <f t="shared" ca="1" si="205"/>
        <v>-95579.594715810221</v>
      </c>
      <c r="V264" s="458"/>
      <c r="W264" s="471"/>
      <c r="X264" s="472">
        <f>IF($C$2=FALSE,"-",$P$264)</f>
        <v>9.1986954946447694E-2</v>
      </c>
      <c r="Y264" s="473">
        <f t="shared" ca="1" si="206"/>
        <v>-75595.202647332437</v>
      </c>
      <c r="Z264" s="474">
        <f t="shared" ca="1" si="206"/>
        <v>-81590.100664451878</v>
      </c>
      <c r="AA264" s="474">
        <f t="shared" ca="1" si="206"/>
        <v>-87584.998681571335</v>
      </c>
      <c r="AB264" s="474">
        <f t="shared" ca="1" si="206"/>
        <v>-93579.896698690776</v>
      </c>
      <c r="AC264" s="475">
        <f t="shared" ca="1" si="206"/>
        <v>-99574.794715810218</v>
      </c>
    </row>
    <row r="265" spans="2:29" ht="15" customHeight="1" outlineLevel="1">
      <c r="B265" s="420" t="s">
        <v>78</v>
      </c>
      <c r="C265" s="442">
        <f ca="1">IF($C$2=FALSE,"-",IF($C$249=3,NPV(C289,D264:F264),IF($C$249=4,NPV(C289,D264:G264),IF($C$249=5,NPV(C289,D264:H264),IF(C249=6,NPV(C289,D264:I264),IF(C249=7,NPV(C289,D264:J264),IF(C249=8,NPV(C289,D264:K264),IF(C249=9,NPV(C289,D264:L264),IF(C249=10,NPV(C289,D264:M264))))))))))</f>
        <v>-99171.998383245998</v>
      </c>
      <c r="D265" s="476"/>
      <c r="E265" s="476"/>
      <c r="F265" s="476"/>
      <c r="G265" s="476"/>
      <c r="H265" s="476"/>
      <c r="I265" s="476"/>
      <c r="J265" s="476"/>
      <c r="K265" s="476"/>
      <c r="L265" s="476"/>
      <c r="M265" s="476"/>
      <c r="N265" s="420"/>
      <c r="O265" s="441"/>
      <c r="P265" s="448"/>
      <c r="Q265" s="477"/>
      <c r="R265" s="477"/>
      <c r="S265" s="477"/>
      <c r="T265" s="477"/>
      <c r="U265" s="477"/>
      <c r="V265" s="478"/>
      <c r="W265" s="478"/>
      <c r="X265" s="478"/>
      <c r="Y265" s="478"/>
      <c r="Z265" s="478"/>
      <c r="AA265" s="478"/>
      <c r="AB265" s="478"/>
      <c r="AC265" s="478"/>
    </row>
    <row r="266" spans="2:29" ht="15" customHeight="1" outlineLevel="1">
      <c r="D266" s="476"/>
      <c r="E266" s="476"/>
      <c r="F266" s="476"/>
      <c r="G266" s="476"/>
      <c r="H266" s="476"/>
      <c r="I266" s="476"/>
      <c r="J266" s="476"/>
      <c r="K266" s="476"/>
      <c r="L266" s="476"/>
      <c r="M266" s="476"/>
      <c r="N266" s="420"/>
      <c r="O266" s="438" t="s">
        <v>601</v>
      </c>
      <c r="P266" s="439"/>
      <c r="Q266" s="439"/>
      <c r="R266" s="439"/>
      <c r="S266" s="439"/>
      <c r="T266" s="439"/>
      <c r="U266" s="440"/>
      <c r="V266" s="479"/>
      <c r="W266" s="438" t="s">
        <v>602</v>
      </c>
      <c r="X266" s="439"/>
      <c r="Y266" s="439"/>
      <c r="Z266" s="439"/>
      <c r="AA266" s="439"/>
      <c r="AB266" s="439"/>
      <c r="AC266" s="440"/>
    </row>
    <row r="267" spans="2:29" ht="15" customHeight="1" outlineLevel="1">
      <c r="B267" s="314" t="str">
        <f ca="1">$B$249&amp;" - "&amp;"EV ÷ EBITDA"</f>
        <v>EXIT YEAR: 2023E - EV ÷ EBITDA</v>
      </c>
      <c r="C267" s="558">
        <f>IF($C$2=FALSE,"-",IF(E267="",D267,E267))</f>
        <v>10</v>
      </c>
      <c r="D267" s="558"/>
      <c r="E267" s="559">
        <v>10</v>
      </c>
      <c r="F267" s="476"/>
      <c r="G267" s="476"/>
      <c r="H267" s="476"/>
      <c r="I267" s="476"/>
      <c r="J267" s="476"/>
      <c r="K267" s="476"/>
      <c r="L267" s="476"/>
      <c r="M267" s="476"/>
      <c r="N267" s="420"/>
      <c r="O267" s="443"/>
      <c r="P267" s="444"/>
      <c r="Q267" s="445" t="str">
        <f>IF($C$2=FALSE,"-",$Q$258)</f>
        <v>Exit Multiple</v>
      </c>
      <c r="R267" s="445"/>
      <c r="S267" s="445"/>
      <c r="T267" s="445"/>
      <c r="U267" s="446"/>
      <c r="V267" s="447"/>
      <c r="W267" s="443"/>
      <c r="X267" s="444"/>
      <c r="Y267" s="445" t="str">
        <f>IF($C$2=FALSE,"-",$Q$258)</f>
        <v>Exit Multiple</v>
      </c>
      <c r="Z267" s="445"/>
      <c r="AA267" s="445"/>
      <c r="AB267" s="445"/>
      <c r="AC267" s="446"/>
    </row>
    <row r="268" spans="2:29" ht="15" customHeight="1" outlineLevel="1">
      <c r="F268" s="476"/>
      <c r="G268" s="476"/>
      <c r="H268" s="476"/>
      <c r="I268" s="476"/>
      <c r="J268" s="476"/>
      <c r="K268" s="476"/>
      <c r="L268" s="476"/>
      <c r="M268" s="476"/>
      <c r="N268" s="420"/>
      <c r="O268" s="443"/>
      <c r="P268" s="448"/>
      <c r="Q268" s="449">
        <f>IF($C$2=FALSE,"-",$Q$259)</f>
        <v>8</v>
      </c>
      <c r="R268" s="450">
        <f>IF($C$2=FALSE,"-",$R$259)</f>
        <v>9</v>
      </c>
      <c r="S268" s="450">
        <f>IF($C$2=FALSE,"-",$S$259)</f>
        <v>10</v>
      </c>
      <c r="T268" s="450">
        <f>IF($C$2=FALSE,"-",$T$259)</f>
        <v>11</v>
      </c>
      <c r="U268" s="451">
        <f>IF($C$2=FALSE,"-",$U$259)</f>
        <v>12</v>
      </c>
      <c r="V268" s="447"/>
      <c r="W268" s="443"/>
      <c r="X268" s="448"/>
      <c r="Y268" s="449">
        <f>IF($C$2=FALSE,"-",$Q$259)</f>
        <v>8</v>
      </c>
      <c r="Z268" s="450">
        <f>IF($C$2=FALSE,"-",$R$259)</f>
        <v>9</v>
      </c>
      <c r="AA268" s="450">
        <f>IF($C$2=FALSE,"-",$S$259)</f>
        <v>10</v>
      </c>
      <c r="AB268" s="450">
        <f>IF($C$2=FALSE,"-",$T$259)</f>
        <v>11</v>
      </c>
      <c r="AC268" s="451">
        <f>IF($C$2=FALSE,"-",$U$259)</f>
        <v>12</v>
      </c>
    </row>
    <row r="269" spans="2:29" ht="15" customHeight="1" outlineLevel="1">
      <c r="B269" s="480" t="s">
        <v>603</v>
      </c>
      <c r="C269" s="481">
        <f>IF($C$2=FALSE,"-",IF(E269="",D269,E269))</f>
        <v>5110.8</v>
      </c>
      <c r="D269" s="481">
        <f>IF($C$2=FALSE,"-",L170)</f>
        <v>12777</v>
      </c>
      <c r="E269" s="482">
        <f>IF($C$2=FALSE,"-",D269*0.4)</f>
        <v>5110.8</v>
      </c>
      <c r="F269" s="476"/>
      <c r="G269" s="476"/>
      <c r="H269" s="476"/>
      <c r="I269" s="476"/>
      <c r="J269" s="476"/>
      <c r="K269" s="476"/>
      <c r="L269" s="476"/>
      <c r="M269" s="476"/>
      <c r="N269" s="420"/>
      <c r="O269" s="453"/>
      <c r="P269" s="454">
        <f>IF($C$2=FALSE,"-",$P$260)</f>
        <v>5.19869549464477E-2</v>
      </c>
      <c r="Q269" s="483">
        <f t="shared" ref="Q269:U273" ca="1" si="210">IF($C$2=FALSE,"-",Y260/$C$274)</f>
        <v>-59.661462606221114</v>
      </c>
      <c r="R269" s="484">
        <f t="shared" ca="1" si="210"/>
        <v>-64.622535826732218</v>
      </c>
      <c r="S269" s="484">
        <f t="shared" ca="1" si="210"/>
        <v>-69.5836090472433</v>
      </c>
      <c r="T269" s="484">
        <f t="shared" ca="1" si="210"/>
        <v>-74.544682267754411</v>
      </c>
      <c r="U269" s="485">
        <f t="shared" ca="1" si="210"/>
        <v>-79.505755488265493</v>
      </c>
      <c r="V269" s="458"/>
      <c r="W269" s="453"/>
      <c r="X269" s="454">
        <f>IF($C$2=FALSE,"-",$P$260)</f>
        <v>5.19869549464477E-2</v>
      </c>
      <c r="Y269" s="455">
        <f t="shared" ref="Y269:AC273" ca="1" si="211">IF($C$2=FALSE,"-",(($P$254*Y$268)/((1+$X269)^$C$249)))</f>
        <v>-69653.468015975799</v>
      </c>
      <c r="Z269" s="456">
        <f t="shared" ca="1" si="211"/>
        <v>-78360.151517972772</v>
      </c>
      <c r="AA269" s="456">
        <f t="shared" ca="1" si="211"/>
        <v>-87066.835019969745</v>
      </c>
      <c r="AB269" s="456">
        <f t="shared" ca="1" si="211"/>
        <v>-95773.518521966733</v>
      </c>
      <c r="AC269" s="457">
        <f t="shared" ca="1" si="211"/>
        <v>-104480.20202396369</v>
      </c>
    </row>
    <row r="270" spans="2:29" ht="15" customHeight="1" outlineLevel="1">
      <c r="B270" s="420" t="s">
        <v>604</v>
      </c>
      <c r="C270" s="442">
        <f>IF($C$2=FALSE,"-",L187+L184+L189)</f>
        <v>9085</v>
      </c>
      <c r="D270" s="476"/>
      <c r="E270" s="476"/>
      <c r="F270" s="476"/>
      <c r="G270" s="476"/>
      <c r="H270" s="476"/>
      <c r="I270" s="476"/>
      <c r="J270" s="476"/>
      <c r="K270" s="476"/>
      <c r="L270" s="476"/>
      <c r="M270" s="476"/>
      <c r="N270" s="420"/>
      <c r="O270" s="453"/>
      <c r="P270" s="454">
        <f>IF($C$2=FALSE,"-",$P$261)</f>
        <v>6.1986954946447702E-2</v>
      </c>
      <c r="Q270" s="486">
        <f t="shared" ca="1" si="210"/>
        <v>-54.89083258686361</v>
      </c>
      <c r="R270" s="487">
        <f t="shared" ca="1" si="210"/>
        <v>-59.404061487071345</v>
      </c>
      <c r="S270" s="488">
        <f t="shared" ca="1" si="210"/>
        <v>-63.917290387279081</v>
      </c>
      <c r="T270" s="489">
        <f t="shared" ca="1" si="210"/>
        <v>-68.430519287486817</v>
      </c>
      <c r="U270" s="490">
        <f t="shared" ca="1" si="210"/>
        <v>-72.943748187694538</v>
      </c>
      <c r="V270" s="458"/>
      <c r="W270" s="453"/>
      <c r="X270" s="454">
        <f>IF($C$2=FALSE,"-",$P$261)</f>
        <v>6.1986954946447702E-2</v>
      </c>
      <c r="Y270" s="459">
        <f t="shared" ca="1" si="211"/>
        <v>-63365.733758916598</v>
      </c>
      <c r="Z270" s="460">
        <f t="shared" ca="1" si="211"/>
        <v>-71286.450478781175</v>
      </c>
      <c r="AA270" s="461">
        <f t="shared" ca="1" si="211"/>
        <v>-79207.167198645751</v>
      </c>
      <c r="AB270" s="462">
        <f t="shared" ca="1" si="211"/>
        <v>-87127.883918510328</v>
      </c>
      <c r="AC270" s="463">
        <f t="shared" ca="1" si="211"/>
        <v>-95048.60063837489</v>
      </c>
    </row>
    <row r="271" spans="2:29" ht="15" customHeight="1" outlineLevel="1">
      <c r="B271" s="420" t="s">
        <v>527</v>
      </c>
      <c r="C271" s="442">
        <f>IF($C$2=FALSE,"-",L76)</f>
        <v>0</v>
      </c>
      <c r="D271" s="476"/>
      <c r="E271" s="476"/>
      <c r="F271" s="476"/>
      <c r="G271" s="476"/>
      <c r="H271" s="476"/>
      <c r="I271" s="476"/>
      <c r="J271" s="476"/>
      <c r="K271" s="476"/>
      <c r="L271" s="476"/>
      <c r="M271" s="476"/>
      <c r="N271" s="420"/>
      <c r="O271" s="464" t="str">
        <f>IF($C$2=FALSE,"-",$O$262)</f>
        <v>WACC</v>
      </c>
      <c r="P271" s="454">
        <f>IF($C$2=FALSE,"-",$P$262)</f>
        <v>7.1986954946447704E-2</v>
      </c>
      <c r="Q271" s="486">
        <f t="shared" ca="1" si="210"/>
        <v>-50.565819415624539</v>
      </c>
      <c r="R271" s="491">
        <f t="shared" ca="1" si="210"/>
        <v>-54.675273919563253</v>
      </c>
      <c r="S271" s="492">
        <f t="shared" ca="1" si="210"/>
        <v>-58.784728423501981</v>
      </c>
      <c r="T271" s="493">
        <f t="shared" ca="1" si="210"/>
        <v>-62.89418292744071</v>
      </c>
      <c r="U271" s="490">
        <f t="shared" ca="1" si="210"/>
        <v>-67.003637431379417</v>
      </c>
      <c r="V271" s="458"/>
      <c r="W271" s="464" t="str">
        <f>IF($C$2=FALSE,"-",$O$262)</f>
        <v>WACC</v>
      </c>
      <c r="X271" s="454">
        <f>IF($C$2=FALSE,"-",$P$262)</f>
        <v>7.1986954946447704E-2</v>
      </c>
      <c r="Y271" s="459">
        <f t="shared" ca="1" si="211"/>
        <v>-57696.741235299662</v>
      </c>
      <c r="Z271" s="465">
        <f t="shared" ca="1" si="211"/>
        <v>-64908.833889712114</v>
      </c>
      <c r="AA271" s="466">
        <f t="shared" ca="1" si="211"/>
        <v>-72120.926544124581</v>
      </c>
      <c r="AB271" s="467">
        <f t="shared" ca="1" si="211"/>
        <v>-79333.019198537047</v>
      </c>
      <c r="AC271" s="463">
        <f t="shared" ca="1" si="211"/>
        <v>-86545.111852949485</v>
      </c>
    </row>
    <row r="272" spans="2:29" ht="15" customHeight="1" outlineLevel="1">
      <c r="B272" s="420" t="s">
        <v>605</v>
      </c>
      <c r="C272" s="442">
        <f>IF($C$2=FALSE,"-",L69)</f>
        <v>21</v>
      </c>
      <c r="D272" s="476"/>
      <c r="E272" s="476"/>
      <c r="F272" s="495"/>
      <c r="G272" s="495"/>
      <c r="H272" s="495"/>
      <c r="I272" s="495"/>
      <c r="J272" s="495"/>
      <c r="K272" s="495"/>
      <c r="L272" s="495"/>
      <c r="M272" s="495"/>
      <c r="N272" s="420"/>
      <c r="O272" s="453"/>
      <c r="P272" s="454">
        <f>IF($C$2=FALSE,"-",$P$263)</f>
        <v>8.1986954946447699E-2</v>
      </c>
      <c r="Q272" s="486">
        <f t="shared" ca="1" si="210"/>
        <v>-46.640527002031128</v>
      </c>
      <c r="R272" s="496">
        <f t="shared" ca="1" si="210"/>
        <v>-50.3855883313677</v>
      </c>
      <c r="S272" s="497">
        <f t="shared" ca="1" si="210"/>
        <v>-54.130649660704272</v>
      </c>
      <c r="T272" s="498">
        <f t="shared" ca="1" si="210"/>
        <v>-57.875710990040837</v>
      </c>
      <c r="U272" s="490">
        <f t="shared" ca="1" si="210"/>
        <v>-61.620772319377409</v>
      </c>
      <c r="V272" s="458"/>
      <c r="W272" s="453"/>
      <c r="X272" s="454">
        <f>IF($C$2=FALSE,"-",$P$263)</f>
        <v>8.1986954946447699E-2</v>
      </c>
      <c r="Y272" s="459">
        <f t="shared" ca="1" si="211"/>
        <v>-52580.661063885418</v>
      </c>
      <c r="Z272" s="468">
        <f t="shared" ca="1" si="211"/>
        <v>-59153.243696871097</v>
      </c>
      <c r="AA272" s="469">
        <f t="shared" ca="1" si="211"/>
        <v>-65725.826329856776</v>
      </c>
      <c r="AB272" s="470">
        <f t="shared" ca="1" si="211"/>
        <v>-72298.408962842455</v>
      </c>
      <c r="AC272" s="463">
        <f t="shared" ca="1" si="211"/>
        <v>-78870.991595828134</v>
      </c>
    </row>
    <row r="273" spans="2:29" ht="15" customHeight="1" outlineLevel="1">
      <c r="B273" s="420" t="s">
        <v>593</v>
      </c>
      <c r="C273" s="442">
        <f ca="1">IF($C$2=FALSE,"-",C265+C269-C270-C271-C272)</f>
        <v>-103167.198383246</v>
      </c>
      <c r="D273" s="476"/>
      <c r="E273" s="476"/>
      <c r="F273" s="420"/>
      <c r="G273" s="420"/>
      <c r="H273" s="420"/>
      <c r="I273" s="420"/>
      <c r="J273" s="420"/>
      <c r="K273" s="420"/>
      <c r="L273" s="420"/>
      <c r="M273" s="420"/>
      <c r="N273" s="420"/>
      <c r="O273" s="471"/>
      <c r="P273" s="472">
        <f>IF($C$2=FALSE,"-",$P$264)</f>
        <v>9.1986954946447694E-2</v>
      </c>
      <c r="Q273" s="499">
        <f t="shared" ca="1" si="210"/>
        <v>-43.074189542639566</v>
      </c>
      <c r="R273" s="500">
        <f t="shared" ca="1" si="210"/>
        <v>-46.490085848690526</v>
      </c>
      <c r="S273" s="500">
        <f t="shared" ca="1" si="210"/>
        <v>-49.905982154741501</v>
      </c>
      <c r="T273" s="500">
        <f t="shared" ca="1" si="210"/>
        <v>-53.321878460792462</v>
      </c>
      <c r="U273" s="501">
        <f t="shared" ca="1" si="210"/>
        <v>-56.73777476684343</v>
      </c>
      <c r="V273" s="458"/>
      <c r="W273" s="471"/>
      <c r="X273" s="472">
        <f>IF($C$2=FALSE,"-",$P$264)</f>
        <v>9.1986954946447694E-2</v>
      </c>
      <c r="Y273" s="473">
        <f t="shared" ca="1" si="211"/>
        <v>-47959.184136955562</v>
      </c>
      <c r="Z273" s="474">
        <f t="shared" ca="1" si="211"/>
        <v>-53954.082154075004</v>
      </c>
      <c r="AA273" s="474">
        <f t="shared" ca="1" si="211"/>
        <v>-59948.980171194453</v>
      </c>
      <c r="AB273" s="474">
        <f t="shared" ca="1" si="211"/>
        <v>-65943.878188313902</v>
      </c>
      <c r="AC273" s="475">
        <f t="shared" ca="1" si="211"/>
        <v>-71938.776205433343</v>
      </c>
    </row>
    <row r="274" spans="2:29" ht="15" customHeight="1" outlineLevel="1">
      <c r="B274" s="480" t="s">
        <v>606</v>
      </c>
      <c r="C274" s="481">
        <f>IF($C$2=FALSE,"-",IF(E274="",D274,E274))</f>
        <v>1755</v>
      </c>
      <c r="D274" s="494">
        <f>IF($C$2=FALSE,"-",DATA!D421)</f>
        <v>1755</v>
      </c>
      <c r="E274" s="482"/>
      <c r="F274" s="420"/>
      <c r="G274" s="420"/>
      <c r="H274" s="420"/>
      <c r="I274" s="420"/>
      <c r="J274" s="420"/>
      <c r="K274" s="420"/>
      <c r="L274" s="420"/>
      <c r="M274" s="420"/>
      <c r="N274" s="420"/>
      <c r="O274" s="504"/>
      <c r="P274" s="478"/>
      <c r="Q274" s="478"/>
      <c r="R274" s="478"/>
      <c r="S274" s="478"/>
      <c r="T274" s="478"/>
      <c r="U274" s="478"/>
      <c r="V274" s="478"/>
      <c r="W274" s="478"/>
      <c r="X274" s="478"/>
      <c r="Y274" s="478"/>
      <c r="Z274" s="478"/>
      <c r="AA274" s="478"/>
      <c r="AB274" s="478"/>
      <c r="AC274" s="478"/>
    </row>
    <row r="275" spans="2:29" ht="15" customHeight="1" outlineLevel="1">
      <c r="D275" s="420"/>
      <c r="E275" s="420"/>
      <c r="F275" s="420"/>
      <c r="G275" s="420"/>
      <c r="H275" s="420"/>
      <c r="I275" s="420"/>
      <c r="J275" s="420"/>
      <c r="K275" s="420"/>
      <c r="L275" s="420"/>
      <c r="M275" s="420"/>
      <c r="N275" s="420"/>
      <c r="O275" s="438" t="s">
        <v>602</v>
      </c>
      <c r="P275" s="439"/>
      <c r="Q275" s="439"/>
      <c r="R275" s="439"/>
      <c r="S275" s="439"/>
      <c r="T275" s="439"/>
      <c r="U275" s="440"/>
      <c r="V275" s="447"/>
      <c r="W275" s="438" t="s">
        <v>608</v>
      </c>
      <c r="X275" s="439"/>
      <c r="Y275" s="439"/>
      <c r="Z275" s="439"/>
      <c r="AA275" s="439"/>
      <c r="AB275" s="439"/>
      <c r="AC275" s="440"/>
    </row>
    <row r="276" spans="2:29" ht="15" customHeight="1" outlineLevel="1">
      <c r="B276" s="502" t="s">
        <v>607</v>
      </c>
      <c r="C276" s="503">
        <f ca="1">IF($C$2=FALSE,"-",C273/C274)</f>
        <v>-58.784728423501988</v>
      </c>
      <c r="D276" s="420"/>
      <c r="E276" s="424"/>
      <c r="F276" s="420"/>
      <c r="G276" s="508"/>
      <c r="H276" s="508"/>
      <c r="I276" s="508"/>
      <c r="J276" s="508"/>
      <c r="K276" s="420"/>
      <c r="L276" s="420"/>
      <c r="M276" s="420"/>
      <c r="N276" s="420"/>
      <c r="O276" s="443"/>
      <c r="P276" s="444"/>
      <c r="Q276" s="445" t="str">
        <f>IF($C$2=FALSE,"-",$Q$258)</f>
        <v>Exit Multiple</v>
      </c>
      <c r="R276" s="445"/>
      <c r="S276" s="445"/>
      <c r="T276" s="445"/>
      <c r="U276" s="446"/>
      <c r="V276" s="447"/>
      <c r="W276" s="443"/>
      <c r="X276" s="444"/>
      <c r="Y276" s="445" t="str">
        <f>IF($C$2=FALSE,"-",$Q$258)</f>
        <v>Exit Multiple</v>
      </c>
      <c r="Z276" s="445"/>
      <c r="AA276" s="445"/>
      <c r="AB276" s="445"/>
      <c r="AC276" s="446"/>
    </row>
    <row r="277" spans="2:29" ht="15" customHeight="1" outlineLevel="1">
      <c r="F277" s="420"/>
      <c r="G277" s="420"/>
      <c r="H277" s="420"/>
      <c r="I277" s="420"/>
      <c r="J277" s="420"/>
      <c r="K277" s="420"/>
      <c r="L277" s="420"/>
      <c r="M277" s="420"/>
      <c r="N277" s="420"/>
      <c r="O277" s="443"/>
      <c r="P277" s="448"/>
      <c r="Q277" s="449">
        <f>IF($C$2=FALSE,"-",$Q$259)</f>
        <v>8</v>
      </c>
      <c r="R277" s="450">
        <f>IF($C$2=FALSE,"-",$R$259)</f>
        <v>9</v>
      </c>
      <c r="S277" s="450">
        <f>IF($C$2=FALSE,"-",$S$259)</f>
        <v>10</v>
      </c>
      <c r="T277" s="450">
        <f>IF($C$2=FALSE,"-",$T$259)</f>
        <v>11</v>
      </c>
      <c r="U277" s="451">
        <f>IF($C$2=FALSE,"-",$U$259)</f>
        <v>12</v>
      </c>
      <c r="V277" s="447"/>
      <c r="W277" s="443"/>
      <c r="X277" s="448"/>
      <c r="Y277" s="449">
        <f>IF($C$2=FALSE,"-",$Q$259)</f>
        <v>8</v>
      </c>
      <c r="Z277" s="450">
        <f>IF($C$2=FALSE,"-",$R$259)</f>
        <v>9</v>
      </c>
      <c r="AA277" s="450">
        <f>IF($C$2=FALSE,"-",$S$259)</f>
        <v>10</v>
      </c>
      <c r="AB277" s="450">
        <f>IF($C$2=FALSE,"-",$T$259)</f>
        <v>11</v>
      </c>
      <c r="AC277" s="451">
        <f>IF($C$2=FALSE,"-",$U$259)</f>
        <v>12</v>
      </c>
    </row>
    <row r="278" spans="2:29" ht="15" customHeight="1" outlineLevel="1">
      <c r="B278" s="393" t="s">
        <v>609</v>
      </c>
      <c r="C278" s="505">
        <f>IF($C$2=FALSE,"-",IF(E278="",D278,E278))</f>
        <v>1</v>
      </c>
      <c r="D278" s="506"/>
      <c r="E278" s="507">
        <v>1</v>
      </c>
      <c r="F278" s="420"/>
      <c r="G278" s="420"/>
      <c r="H278" s="420"/>
      <c r="I278" s="420"/>
      <c r="J278" s="420"/>
      <c r="K278" s="420"/>
      <c r="L278" s="420"/>
      <c r="M278" s="420"/>
      <c r="N278" s="420"/>
      <c r="O278" s="453"/>
      <c r="P278" s="454">
        <f>IF($C$2=FALSE,"-",$P$260)</f>
        <v>5.19869549464477E-2</v>
      </c>
      <c r="Q278" s="515">
        <f t="shared" ref="Q278:U282" ca="1" si="212">IF($C$2=FALSE,"-",(($P$254*Q$277)/((1+$P278)^$C$249))/Q260)</f>
        <v>0.69161956898941535</v>
      </c>
      <c r="R278" s="516">
        <f t="shared" ca="1" si="212"/>
        <v>0.71615837203842059</v>
      </c>
      <c r="S278" s="516">
        <f t="shared" ca="1" si="212"/>
        <v>0.73707976405511455</v>
      </c>
      <c r="T278" s="516">
        <f t="shared" ca="1" si="212"/>
        <v>0.7551287298571886</v>
      </c>
      <c r="U278" s="517">
        <f t="shared" ca="1" si="212"/>
        <v>0.77085882822113083</v>
      </c>
      <c r="V278" s="458"/>
      <c r="W278" s="453"/>
      <c r="X278" s="454">
        <f>IF($C$2=FALSE,"-",$P$260)</f>
        <v>5.19869549464477E-2</v>
      </c>
      <c r="Y278" s="515">
        <f t="shared" ref="Y278:AC282" ca="1" si="213">IF($C$2=FALSE,"-",+($P$254*Y$277*$X278-$P$255)/(($P$254*Y$277)+$P$255))</f>
        <v>-2.053314418614904E-2</v>
      </c>
      <c r="Z278" s="516">
        <f t="shared" ca="1" si="213"/>
        <v>-1.2972921415010571E-2</v>
      </c>
      <c r="AA278" s="516">
        <f t="shared" ca="1" si="213"/>
        <v>-6.8401896176958346E-3</v>
      </c>
      <c r="AB278" s="516">
        <f t="shared" ca="1" si="213"/>
        <v>-1.7655256075074044E-3</v>
      </c>
      <c r="AC278" s="517">
        <f t="shared" ca="1" si="213"/>
        <v>2.5031451016824737E-3</v>
      </c>
    </row>
    <row r="279" spans="2:29" ht="15" customHeight="1" outlineLevel="1">
      <c r="B279" s="394" t="s">
        <v>610</v>
      </c>
      <c r="C279" s="509">
        <f>IF($C$2=FALSE,"-",IF(E279="",D279,E279))</f>
        <v>3.5400000000000001E-2</v>
      </c>
      <c r="D279" s="510"/>
      <c r="E279" s="511">
        <v>3.5400000000000001E-2</v>
      </c>
      <c r="F279" s="420"/>
      <c r="G279" s="420"/>
      <c r="H279" s="420"/>
      <c r="I279" s="420"/>
      <c r="J279" s="420"/>
      <c r="K279" s="420"/>
      <c r="L279" s="420"/>
      <c r="M279" s="420"/>
      <c r="N279" s="420"/>
      <c r="O279" s="453"/>
      <c r="P279" s="454">
        <f>IF($C$2=FALSE,"-",$P$261)</f>
        <v>6.1986954946447702E-2</v>
      </c>
      <c r="Q279" s="519">
        <f t="shared" ca="1" si="212"/>
        <v>0.68623523178902834</v>
      </c>
      <c r="R279" s="520">
        <f t="shared" ca="1" si="212"/>
        <v>0.71102346658751658</v>
      </c>
      <c r="S279" s="521">
        <f t="shared" ca="1" si="212"/>
        <v>0.73218180249890019</v>
      </c>
      <c r="T279" s="522">
        <f t="shared" ca="1" si="212"/>
        <v>0.75045316746428892</v>
      </c>
      <c r="U279" s="523">
        <f t="shared" ca="1" si="212"/>
        <v>0.76639069840357588</v>
      </c>
      <c r="V279" s="458"/>
      <c r="W279" s="453"/>
      <c r="X279" s="454">
        <f>IF($C$2=FALSE,"-",$P$261)</f>
        <v>6.1986954946447702E-2</v>
      </c>
      <c r="Y279" s="519">
        <f t="shared" ca="1" si="213"/>
        <v>-1.1222507288910024E-2</v>
      </c>
      <c r="Z279" s="520">
        <f t="shared" ca="1" si="213"/>
        <v>-3.5904183911471704E-3</v>
      </c>
      <c r="AA279" s="521">
        <f t="shared" ca="1" si="213"/>
        <v>2.600610058692384E-3</v>
      </c>
      <c r="AB279" s="522">
        <f t="shared" ca="1" si="213"/>
        <v>7.7235129181015905E-3</v>
      </c>
      <c r="AC279" s="523">
        <f t="shared" ca="1" si="213"/>
        <v>1.2032760848226744E-2</v>
      </c>
    </row>
    <row r="280" spans="2:29" ht="15" customHeight="1" outlineLevel="1">
      <c r="B280" s="398" t="s">
        <v>611</v>
      </c>
      <c r="C280" s="512">
        <f>IF($C$2=FALSE,"-",IF(E280="",D280,E280))</f>
        <v>5.0999999999999997E-2</v>
      </c>
      <c r="D280" s="513"/>
      <c r="E280" s="514">
        <v>5.0999999999999997E-2</v>
      </c>
      <c r="F280" s="420"/>
      <c r="G280" s="420"/>
      <c r="H280" s="420"/>
      <c r="I280" s="420"/>
      <c r="J280" s="420"/>
      <c r="K280" s="420"/>
      <c r="L280" s="420"/>
      <c r="M280" s="420"/>
      <c r="N280" s="420"/>
      <c r="O280" s="464" t="str">
        <f>IF($C$2=FALSE,"-",$O$262)</f>
        <v>WACC</v>
      </c>
      <c r="P280" s="454">
        <f>IF($C$2=FALSE,"-",$P$262)</f>
        <v>7.1986954946447704E-2</v>
      </c>
      <c r="Q280" s="519">
        <f t="shared" ca="1" si="212"/>
        <v>0.6808050749891732</v>
      </c>
      <c r="R280" s="524">
        <f t="shared" ca="1" si="212"/>
        <v>0.70583841267858449</v>
      </c>
      <c r="S280" s="525">
        <f t="shared" ca="1" si="212"/>
        <v>0.72723074779048336</v>
      </c>
      <c r="T280" s="526">
        <f t="shared" ca="1" si="212"/>
        <v>0.74572258337437214</v>
      </c>
      <c r="U280" s="523">
        <f t="shared" ca="1" si="212"/>
        <v>0.76186636769022376</v>
      </c>
      <c r="V280" s="458"/>
      <c r="W280" s="464" t="str">
        <f>IF($C$2=FALSE,"-",$O$262)</f>
        <v>WACC</v>
      </c>
      <c r="X280" s="454">
        <f>IF($C$2=FALSE,"-",$P$262)</f>
        <v>7.1986954946447704E-2</v>
      </c>
      <c r="Y280" s="519">
        <f t="shared" ca="1" si="213"/>
        <v>-1.911870391671007E-3</v>
      </c>
      <c r="Z280" s="524">
        <f t="shared" ca="1" si="213"/>
        <v>5.7920846327162295E-3</v>
      </c>
      <c r="AA280" s="525">
        <f t="shared" ca="1" si="213"/>
        <v>1.2041409735080591E-2</v>
      </c>
      <c r="AB280" s="526">
        <f t="shared" ca="1" si="213"/>
        <v>1.7212551443710575E-2</v>
      </c>
      <c r="AC280" s="523">
        <f t="shared" ca="1" si="213"/>
        <v>2.1562376594771015E-2</v>
      </c>
    </row>
    <row r="281" spans="2:29" ht="15" customHeight="1" outlineLevel="1">
      <c r="B281" s="518" t="s">
        <v>612</v>
      </c>
      <c r="C281" s="395">
        <f>IF($C$2=FALSE,"-",C280+C279)</f>
        <v>8.6400000000000005E-2</v>
      </c>
      <c r="D281" s="420"/>
      <c r="E281" s="420"/>
      <c r="F281" s="420"/>
      <c r="G281" s="420"/>
      <c r="H281" s="420"/>
      <c r="I281" s="420"/>
      <c r="J281" s="420"/>
      <c r="K281" s="420"/>
      <c r="L281" s="420"/>
      <c r="M281" s="420"/>
      <c r="N281" s="420"/>
      <c r="O281" s="453"/>
      <c r="P281" s="454">
        <f>IF($C$2=FALSE,"-",$P$263)</f>
        <v>8.1986954946447699E-2</v>
      </c>
      <c r="Q281" s="519">
        <f t="shared" ca="1" si="212"/>
        <v>0.67533248293810044</v>
      </c>
      <c r="R281" s="530">
        <f t="shared" ca="1" si="212"/>
        <v>0.70060627167852962</v>
      </c>
      <c r="S281" s="531">
        <f t="shared" ca="1" si="212"/>
        <v>0.72222936593560072</v>
      </c>
      <c r="T281" s="532">
        <f t="shared" ca="1" si="212"/>
        <v>0.74093947761752477</v>
      </c>
      <c r="U281" s="523">
        <f t="shared" ca="1" si="212"/>
        <v>0.75728809848311374</v>
      </c>
      <c r="V281" s="458"/>
      <c r="W281" s="453"/>
      <c r="X281" s="454">
        <f>IF($C$2=FALSE,"-",$P$263)</f>
        <v>8.1986954946447699E-2</v>
      </c>
      <c r="Y281" s="519">
        <f t="shared" ca="1" si="213"/>
        <v>7.3987665055679948E-3</v>
      </c>
      <c r="Z281" s="530">
        <f t="shared" ca="1" si="213"/>
        <v>1.5174587656579624E-2</v>
      </c>
      <c r="AA281" s="531">
        <f t="shared" ca="1" si="213"/>
        <v>2.1482209411468799E-2</v>
      </c>
      <c r="AB281" s="532">
        <f t="shared" ca="1" si="213"/>
        <v>2.6701589969319556E-2</v>
      </c>
      <c r="AC281" s="523">
        <f t="shared" ca="1" si="213"/>
        <v>3.1091992341315277E-2</v>
      </c>
    </row>
    <row r="282" spans="2:29" ht="15" customHeight="1" outlineLevel="1">
      <c r="D282" s="420"/>
      <c r="E282" s="420"/>
      <c r="F282" s="420"/>
      <c r="G282" s="420"/>
      <c r="H282" s="420"/>
      <c r="I282" s="420"/>
      <c r="J282" s="420"/>
      <c r="K282" s="420"/>
      <c r="L282" s="420"/>
      <c r="M282" s="420"/>
      <c r="N282" s="420"/>
      <c r="O282" s="471"/>
      <c r="P282" s="472">
        <f>IF($C$2=FALSE,"-",$P$264)</f>
        <v>9.1986954946447694E-2</v>
      </c>
      <c r="Q282" s="533">
        <f t="shared" ca="1" si="212"/>
        <v>0.66982098273347412</v>
      </c>
      <c r="R282" s="534">
        <f t="shared" ca="1" si="212"/>
        <v>0.69533025613876054</v>
      </c>
      <c r="S282" s="534">
        <f t="shared" ca="1" si="212"/>
        <v>0.71718057845270455</v>
      </c>
      <c r="T282" s="534">
        <f t="shared" ca="1" si="212"/>
        <v>0.73610650723202853</v>
      </c>
      <c r="U282" s="535">
        <f t="shared" ca="1" si="212"/>
        <v>0.75265830975043513</v>
      </c>
      <c r="V282" s="458"/>
      <c r="W282" s="471"/>
      <c r="X282" s="472">
        <f>IF($C$2=FALSE,"-",$P$264)</f>
        <v>9.1986954946447694E-2</v>
      </c>
      <c r="Y282" s="533">
        <f t="shared" ca="1" si="213"/>
        <v>1.6709403402806997E-2</v>
      </c>
      <c r="Z282" s="534">
        <f t="shared" ca="1" si="213"/>
        <v>2.4557090680443018E-2</v>
      </c>
      <c r="AA282" s="534">
        <f t="shared" ca="1" si="213"/>
        <v>3.0923009087857004E-2</v>
      </c>
      <c r="AB282" s="534">
        <f t="shared" ca="1" si="213"/>
        <v>3.6190628494928538E-2</v>
      </c>
      <c r="AC282" s="535">
        <f t="shared" ca="1" si="213"/>
        <v>4.062160808785955E-2</v>
      </c>
    </row>
    <row r="283" spans="2:29" ht="15" customHeight="1" outlineLevel="1">
      <c r="B283" s="393" t="s">
        <v>613</v>
      </c>
      <c r="C283" s="527">
        <f>IF($C$2=FALSE,"-",IF(E283="",D283,E283))</f>
        <v>8.6400000000000005E-2</v>
      </c>
      <c r="D283" s="528">
        <f>IF($C$2=FALSE,"-",(C278*C280)+C279)</f>
        <v>8.6400000000000005E-2</v>
      </c>
      <c r="E283" s="529"/>
      <c r="F283" s="420"/>
      <c r="G283" s="420"/>
      <c r="H283" s="420"/>
      <c r="I283" s="420"/>
      <c r="J283" s="420"/>
      <c r="K283" s="420"/>
      <c r="L283" s="420"/>
      <c r="M283" s="420"/>
      <c r="N283" s="420"/>
      <c r="O283" s="423"/>
      <c r="P283" s="423"/>
      <c r="Q283" s="423"/>
      <c r="R283" s="423"/>
      <c r="S283" s="423"/>
      <c r="T283" s="423"/>
      <c r="U283" s="423"/>
      <c r="V283" s="423"/>
      <c r="W283" s="423"/>
      <c r="X283" s="423"/>
      <c r="Y283" s="423"/>
      <c r="Z283" s="423"/>
      <c r="AA283" s="423"/>
      <c r="AB283" s="423"/>
      <c r="AC283" s="423"/>
    </row>
    <row r="284" spans="2:29" ht="15" customHeight="1" outlineLevel="1">
      <c r="B284" s="394" t="s">
        <v>614</v>
      </c>
      <c r="C284" s="509">
        <f>IF($C$2=FALSE,"-",IF(E284="",D284,E284))</f>
        <v>1.7588181763835708E-2</v>
      </c>
      <c r="D284" s="395">
        <f>IF($C$2=FALSE,"-",C112)</f>
        <v>1.7588181763835708E-2</v>
      </c>
      <c r="E284" s="511"/>
      <c r="F284" s="420"/>
      <c r="G284" s="420"/>
      <c r="H284" s="420"/>
      <c r="I284" s="420"/>
      <c r="J284" s="420"/>
      <c r="K284" s="420"/>
      <c r="L284" s="420"/>
      <c r="M284" s="420"/>
      <c r="N284" s="420"/>
      <c r="O284" s="438" t="s">
        <v>602</v>
      </c>
      <c r="P284" s="439"/>
      <c r="Q284" s="439"/>
      <c r="R284" s="439"/>
      <c r="S284" s="439"/>
      <c r="T284" s="439"/>
      <c r="U284" s="440"/>
      <c r="V284" s="423"/>
      <c r="W284" s="438" t="s">
        <v>602</v>
      </c>
      <c r="X284" s="439"/>
      <c r="Y284" s="439"/>
      <c r="Z284" s="439"/>
      <c r="AA284" s="439"/>
      <c r="AB284" s="439"/>
      <c r="AC284" s="440"/>
    </row>
    <row r="285" spans="2:29" ht="15" customHeight="1" outlineLevel="1">
      <c r="B285" s="398" t="s">
        <v>615</v>
      </c>
      <c r="C285" s="512">
        <f>IF($C$2=FALSE,"-",IF(E285="",D285,E285))</f>
        <v>0.2</v>
      </c>
      <c r="D285" s="399"/>
      <c r="E285" s="514">
        <v>0.2</v>
      </c>
      <c r="F285" s="420"/>
      <c r="G285" s="420"/>
      <c r="H285" s="420"/>
      <c r="I285" s="420"/>
      <c r="J285" s="420"/>
      <c r="K285" s="420"/>
      <c r="L285" s="420"/>
      <c r="M285" s="420"/>
      <c r="N285" s="420"/>
      <c r="O285" s="443"/>
      <c r="P285" s="444"/>
      <c r="Q285" s="445" t="str">
        <f>IF($C$2=FALSE,"-",$Q$258)</f>
        <v>Exit Multiple</v>
      </c>
      <c r="R285" s="445"/>
      <c r="S285" s="445"/>
      <c r="T285" s="445"/>
      <c r="U285" s="446"/>
      <c r="V285" s="423"/>
      <c r="W285" s="443"/>
      <c r="X285" s="444"/>
      <c r="Y285" s="445" t="str">
        <f>IF($C$2=FALSE,"-",$Q$258)</f>
        <v>Exit Multiple</v>
      </c>
      <c r="Z285" s="445"/>
      <c r="AA285" s="445"/>
      <c r="AB285" s="445"/>
      <c r="AC285" s="446"/>
    </row>
    <row r="286" spans="2:29" ht="15" customHeight="1" outlineLevel="1">
      <c r="B286" s="518" t="s">
        <v>616</v>
      </c>
      <c r="C286" s="395">
        <f>IF($C$2=FALSE,"-",1-C285)</f>
        <v>0.8</v>
      </c>
      <c r="D286" s="420"/>
      <c r="E286" s="420"/>
      <c r="F286" s="420"/>
      <c r="G286" s="420"/>
      <c r="H286" s="420"/>
      <c r="I286" s="420"/>
      <c r="J286" s="420"/>
      <c r="K286" s="420"/>
      <c r="L286" s="420"/>
      <c r="M286" s="420"/>
      <c r="N286" s="420"/>
      <c r="O286" s="443"/>
      <c r="P286" s="448"/>
      <c r="Q286" s="449">
        <f>IF($C$2=FALSE,"-",$Q$259)</f>
        <v>8</v>
      </c>
      <c r="R286" s="450">
        <f>IF($C$2=FALSE,"-",$R$259)</f>
        <v>9</v>
      </c>
      <c r="S286" s="450">
        <f>IF($C$2=FALSE,"-",$S$259)</f>
        <v>10</v>
      </c>
      <c r="T286" s="450">
        <f>IF($C$2=FALSE,"-",$T$259)</f>
        <v>11</v>
      </c>
      <c r="U286" s="451">
        <f>IF($C$2=FALSE,"-",$U$259)</f>
        <v>12</v>
      </c>
      <c r="V286" s="423"/>
      <c r="W286" s="443"/>
      <c r="X286" s="448"/>
      <c r="Y286" s="449">
        <f>IF($C$2=FALSE,"-",$Q$259)</f>
        <v>8</v>
      </c>
      <c r="Z286" s="450">
        <f>IF($C$2=FALSE,"-",$R$259)</f>
        <v>9</v>
      </c>
      <c r="AA286" s="450">
        <f>IF($C$2=FALSE,"-",$S$259)</f>
        <v>10</v>
      </c>
      <c r="AB286" s="450">
        <f>IF($C$2=FALSE,"-",$T$259)</f>
        <v>11</v>
      </c>
      <c r="AC286" s="451">
        <f>IF($C$2=FALSE,"-",$U$259)</f>
        <v>12</v>
      </c>
    </row>
    <row r="287" spans="2:29" ht="15" customHeight="1" outlineLevel="1">
      <c r="B287" s="536" t="s">
        <v>617</v>
      </c>
      <c r="C287" s="537">
        <f>IF($C$2=FALSE,"-",C111)</f>
        <v>0.18497688250452096</v>
      </c>
      <c r="D287" s="537">
        <f>IF($C$2=FALSE,"-",C111)</f>
        <v>0.18497688250452096</v>
      </c>
      <c r="E287" s="538"/>
      <c r="F287" s="420"/>
      <c r="G287" s="420"/>
      <c r="H287" s="420"/>
      <c r="I287" s="420"/>
      <c r="J287" s="420"/>
      <c r="K287" s="420"/>
      <c r="L287" s="420"/>
      <c r="M287" s="420"/>
      <c r="N287" s="420"/>
      <c r="O287" s="453"/>
      <c r="P287" s="454">
        <f>IF($C$2=FALSE,"-",$P$260)</f>
        <v>5.19869549464477E-2</v>
      </c>
      <c r="Q287" s="541">
        <f t="shared" ref="Q287:U291" ca="1" si="214">IF($C$2=FALSE,"-",Q260/$L$160)</f>
        <v>-23.668781874011295</v>
      </c>
      <c r="R287" s="542">
        <f t="shared" ca="1" si="214"/>
        <v>-25.715005963787316</v>
      </c>
      <c r="S287" s="542">
        <f t="shared" ca="1" si="214"/>
        <v>-27.761230053563338</v>
      </c>
      <c r="T287" s="542">
        <f t="shared" ca="1" si="214"/>
        <v>-29.807454143339363</v>
      </c>
      <c r="U287" s="543">
        <f t="shared" ca="1" si="214"/>
        <v>-31.853678233115382</v>
      </c>
      <c r="V287" s="423"/>
      <c r="W287" s="453"/>
      <c r="X287" s="454">
        <f>IF($C$2=FALSE,"-",$P$260)</f>
        <v>5.19869549464477E-2</v>
      </c>
      <c r="Y287" s="515">
        <f t="shared" ref="Y287:AC291" ca="1" si="215">IF($C$2=FALSE,"-",($S$253-Q269)/Q269)</f>
        <v>-6.0283715298779468</v>
      </c>
      <c r="Z287" s="516">
        <f t="shared" ca="1" si="215"/>
        <v>-5.6423433584279108</v>
      </c>
      <c r="AA287" s="516">
        <f t="shared" ca="1" si="215"/>
        <v>-5.311360162366932</v>
      </c>
      <c r="AB287" s="516">
        <f t="shared" ca="1" si="215"/>
        <v>-5.0244319363041967</v>
      </c>
      <c r="AC287" s="517">
        <f t="shared" ca="1" si="215"/>
        <v>-4.7733117326867989</v>
      </c>
    </row>
    <row r="288" spans="2:29" ht="15" customHeight="1" outlineLevel="1">
      <c r="D288" s="420"/>
      <c r="E288" s="420"/>
      <c r="F288" s="420"/>
      <c r="G288" s="420"/>
      <c r="H288" s="420"/>
      <c r="I288" s="420"/>
      <c r="J288" s="420"/>
      <c r="K288" s="420"/>
      <c r="L288" s="420"/>
      <c r="M288" s="420"/>
      <c r="N288" s="420"/>
      <c r="O288" s="453"/>
      <c r="P288" s="454">
        <f>IF($C$2=FALSE,"-",$P$261)</f>
        <v>6.1986954946447702E-2</v>
      </c>
      <c r="Q288" s="544">
        <f t="shared" ca="1" si="214"/>
        <v>-21.701107212678174</v>
      </c>
      <c r="R288" s="545">
        <f t="shared" ca="1" si="214"/>
        <v>-23.56261525494952</v>
      </c>
      <c r="S288" s="546">
        <f t="shared" ca="1" si="214"/>
        <v>-25.424123297220866</v>
      </c>
      <c r="T288" s="547">
        <f t="shared" ca="1" si="214"/>
        <v>-27.285631339492213</v>
      </c>
      <c r="U288" s="548">
        <f t="shared" ca="1" si="214"/>
        <v>-29.147139381763555</v>
      </c>
      <c r="V288" s="423"/>
      <c r="W288" s="453"/>
      <c r="X288" s="454">
        <f>IF($C$2=FALSE,"-",$P$261)</f>
        <v>6.1986954946447702E-2</v>
      </c>
      <c r="Y288" s="519">
        <f t="shared" ca="1" si="215"/>
        <v>-6.4653935067437027</v>
      </c>
      <c r="Z288" s="520">
        <f t="shared" ca="1" si="215"/>
        <v>-6.0501597448061988</v>
      </c>
      <c r="AA288" s="521">
        <f t="shared" ca="1" si="215"/>
        <v>-5.6935656718593703</v>
      </c>
      <c r="AB288" s="522">
        <f t="shared" ca="1" si="215"/>
        <v>-5.3840088183410577</v>
      </c>
      <c r="AC288" s="523">
        <f t="shared" ca="1" si="215"/>
        <v>-5.1127582205956532</v>
      </c>
    </row>
    <row r="289" spans="2:29" ht="15" customHeight="1" outlineLevel="1">
      <c r="B289" s="539" t="s">
        <v>598</v>
      </c>
      <c r="C289" s="540">
        <f>IF($C$2=FALSE,"-",((C284*(1-C287))*C285)+(C286*C283))</f>
        <v>7.1986954946447704E-2</v>
      </c>
      <c r="F289" s="423"/>
      <c r="G289" s="423"/>
      <c r="H289" s="423"/>
      <c r="I289" s="423"/>
      <c r="J289" s="423"/>
      <c r="K289" s="423"/>
      <c r="L289" s="423"/>
      <c r="M289" s="423"/>
      <c r="N289" s="423"/>
      <c r="O289" s="464" t="str">
        <f>IF($C$2=FALSE,"-",$O$262)</f>
        <v>WACC</v>
      </c>
      <c r="P289" s="454">
        <f>IF($C$2=FALSE,"-",$P$262)</f>
        <v>7.1986954946447704E-2</v>
      </c>
      <c r="Q289" s="544">
        <f t="shared" ca="1" si="214"/>
        <v>-19.917229864728807</v>
      </c>
      <c r="R289" s="549">
        <f t="shared" ca="1" si="214"/>
        <v>-21.612198761182967</v>
      </c>
      <c r="S289" s="550">
        <f t="shared" ca="1" si="214"/>
        <v>-23.30716765763713</v>
      </c>
      <c r="T289" s="551">
        <f t="shared" ca="1" si="214"/>
        <v>-25.002136554091294</v>
      </c>
      <c r="U289" s="548">
        <f t="shared" ca="1" si="214"/>
        <v>-26.69710545054545</v>
      </c>
      <c r="V289" s="423"/>
      <c r="W289" s="464" t="str">
        <f>IF($C$2=FALSE,"-",$O$262)</f>
        <v>WACC</v>
      </c>
      <c r="X289" s="454">
        <f>IF($C$2=FALSE,"-",$P$262)</f>
        <v>7.1986954946447704E-2</v>
      </c>
      <c r="Y289" s="519">
        <f t="shared" ca="1" si="215"/>
        <v>-6.9328614361839414</v>
      </c>
      <c r="Z289" s="524">
        <f t="shared" ca="1" si="215"/>
        <v>-6.4869409605766526</v>
      </c>
      <c r="AA289" s="525">
        <f t="shared" ca="1" si="215"/>
        <v>-6.103366266128071</v>
      </c>
      <c r="AB289" s="526">
        <f t="shared" ca="1" si="215"/>
        <v>-5.7699164856963288</v>
      </c>
      <c r="AC289" s="523">
        <f t="shared" ca="1" si="215"/>
        <v>-5.4773688638507068</v>
      </c>
    </row>
    <row r="290" spans="2:29" ht="15" customHeight="1" outlineLevel="1">
      <c r="B290" s="423"/>
      <c r="C290" s="423"/>
      <c r="D290" s="423"/>
      <c r="E290" s="423"/>
      <c r="F290" s="423"/>
      <c r="G290" s="423"/>
      <c r="H290" s="423"/>
      <c r="I290" s="423"/>
      <c r="J290" s="423"/>
      <c r="K290" s="423"/>
      <c r="L290" s="423"/>
      <c r="M290" s="423"/>
      <c r="N290" s="423"/>
      <c r="O290" s="453"/>
      <c r="P290" s="454">
        <f>IF($C$2=FALSE,"-",$P$263)</f>
        <v>8.1986954946447699E-2</v>
      </c>
      <c r="Q290" s="544">
        <f t="shared" ca="1" si="214"/>
        <v>-18.298219715291335</v>
      </c>
      <c r="R290" s="552">
        <f t="shared" ca="1" si="214"/>
        <v>-19.842892484500663</v>
      </c>
      <c r="S290" s="553">
        <f t="shared" ca="1" si="214"/>
        <v>-21.387565253709987</v>
      </c>
      <c r="T290" s="554">
        <f t="shared" ca="1" si="214"/>
        <v>-22.932238022919311</v>
      </c>
      <c r="U290" s="548">
        <f t="shared" ca="1" si="214"/>
        <v>-24.476910792128638</v>
      </c>
      <c r="V290" s="423"/>
      <c r="W290" s="453"/>
      <c r="X290" s="454">
        <f>IF($C$2=FALSE,"-",$P$263)</f>
        <v>8.1986954946447699E-2</v>
      </c>
      <c r="Y290" s="519">
        <f t="shared" ca="1" si="215"/>
        <v>-7.4321743188479719</v>
      </c>
      <c r="Z290" s="530">
        <f t="shared" ca="1" si="215"/>
        <v>-6.9540834975868302</v>
      </c>
      <c r="AA290" s="531">
        <f t="shared" ca="1" si="215"/>
        <v>-6.5421466743966068</v>
      </c>
      <c r="AB290" s="532">
        <f t="shared" ca="1" si="215"/>
        <v>-6.1835216339998578</v>
      </c>
      <c r="AC290" s="523">
        <f t="shared" ca="1" si="215"/>
        <v>-5.8684881527468509</v>
      </c>
    </row>
    <row r="291" spans="2:29" ht="15" customHeight="1" outlineLevel="1">
      <c r="B291" s="423"/>
      <c r="O291" s="471"/>
      <c r="P291" s="472">
        <f>IF($C$2=FALSE,"-",$P$264)</f>
        <v>9.1986954946447694E-2</v>
      </c>
      <c r="Q291" s="555">
        <f t="shared" ca="1" si="214"/>
        <v>-16.827262666823135</v>
      </c>
      <c r="R291" s="556">
        <f t="shared" ca="1" si="214"/>
        <v>-18.236169368848856</v>
      </c>
      <c r="S291" s="556">
        <f t="shared" ca="1" si="214"/>
        <v>-19.64507607087458</v>
      </c>
      <c r="T291" s="556">
        <f t="shared" ca="1" si="214"/>
        <v>-21.053982772900302</v>
      </c>
      <c r="U291" s="557">
        <f t="shared" ca="1" si="214"/>
        <v>-22.462889474926023</v>
      </c>
      <c r="V291" s="423"/>
      <c r="W291" s="471"/>
      <c r="X291" s="472">
        <f>IF($C$2=FALSE,"-",$P$264)</f>
        <v>9.1986954946447694E-2</v>
      </c>
      <c r="Y291" s="533">
        <f t="shared" ca="1" si="215"/>
        <v>-7.96472767532926</v>
      </c>
      <c r="Z291" s="534">
        <f t="shared" ca="1" si="215"/>
        <v>-7.4529887291754697</v>
      </c>
      <c r="AA291" s="534">
        <f t="shared" ca="1" si="215"/>
        <v>-7.0113033958494571</v>
      </c>
      <c r="AB291" s="534">
        <f t="shared" ca="1" si="215"/>
        <v>-6.626208390625056</v>
      </c>
      <c r="AC291" s="535">
        <f t="shared" ca="1" si="215"/>
        <v>-6.2874826556524521</v>
      </c>
    </row>
    <row r="292" spans="2:29" ht="15" customHeight="1" outlineLevel="1">
      <c r="O292" s="575"/>
      <c r="P292" s="576"/>
      <c r="Q292" s="577"/>
      <c r="R292" s="577"/>
      <c r="S292" s="577"/>
      <c r="T292" s="577"/>
      <c r="U292" s="577"/>
      <c r="W292" s="575"/>
      <c r="X292" s="576"/>
      <c r="Y292" s="578"/>
      <c r="Z292" s="578"/>
      <c r="AA292" s="578"/>
      <c r="AB292" s="578"/>
      <c r="AC292" s="578"/>
    </row>
    <row r="293" spans="2:29" ht="15" customHeight="1">
      <c r="B293" s="423"/>
      <c r="R293" s="423"/>
      <c r="S293" s="423"/>
      <c r="T293" s="423"/>
      <c r="U293" s="423"/>
      <c r="V293" s="423"/>
      <c r="W293" s="423"/>
      <c r="X293" s="423"/>
      <c r="Y293" s="423"/>
      <c r="Z293" s="423"/>
      <c r="AA293" s="423"/>
    </row>
  </sheetData>
  <dataValidations count="2">
    <dataValidation type="list" allowBlank="1" showInputMessage="1" showErrorMessage="1" sqref="C167 C2">
      <formula1>"TRUE, FALSE"</formula1>
    </dataValidation>
    <dataValidation type="list" allowBlank="1" showInputMessage="1" showErrorMessage="1" sqref="C249">
      <formula1>"1,2,3,4,5,6,7,8,9,10"</formula1>
    </dataValidation>
  </dataValidations>
  <pageMargins left="0.7" right="0.7" top="0.75" bottom="0.75" header="0.3" footer="0.3"/>
  <pageSetup orientation="portrait" verticalDpi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70C0"/>
  </sheetPr>
  <dimension ref="A1:AT616"/>
  <sheetViews>
    <sheetView showGridLines="0" showZeros="0" zoomScale="90" zoomScaleNormal="90" zoomScalePageLayoutView="60" workbookViewId="0">
      <selection activeCell="C288" sqref="C288"/>
    </sheetView>
  </sheetViews>
  <sheetFormatPr defaultColWidth="8.625" defaultRowHeight="15" customHeight="1" outlineLevelRow="1" outlineLevelCol="1"/>
  <cols>
    <col min="1" max="1" width="3.625" style="2" customWidth="1"/>
    <col min="2" max="2" width="45" style="2" hidden="1" customWidth="1" outlineLevel="1"/>
    <col min="3" max="3" width="40.625" style="2" customWidth="1" collapsed="1"/>
    <col min="4" max="33" width="10.625" style="3" customWidth="1"/>
    <col min="34" max="16384" width="8.625" style="2"/>
  </cols>
  <sheetData>
    <row r="1" spans="3:33" ht="15" customHeight="1">
      <c r="C1" s="12"/>
    </row>
    <row r="2" spans="3:33" ht="15" customHeight="1">
      <c r="C2" s="4" t="s">
        <v>201</v>
      </c>
      <c r="D2" s="1" t="b">
        <v>0</v>
      </c>
      <c r="N2" s="273"/>
      <c r="O2" s="272"/>
    </row>
    <row r="3" spans="3:33" ht="15" customHeight="1">
      <c r="C3" s="4" t="s">
        <v>618</v>
      </c>
      <c r="D3" s="5" t="s">
        <v>628</v>
      </c>
      <c r="N3" s="273"/>
      <c r="O3" s="272"/>
    </row>
    <row r="4" spans="3:33" ht="15" customHeight="1">
      <c r="C4" s="6" t="s">
        <v>1</v>
      </c>
      <c r="D4" s="7">
        <v>1</v>
      </c>
      <c r="N4" s="273"/>
      <c r="O4" s="272"/>
    </row>
    <row r="5" spans="3:33" ht="15" customHeight="1">
      <c r="C5" s="6" t="s">
        <v>626</v>
      </c>
      <c r="D5" s="7" t="s">
        <v>627</v>
      </c>
      <c r="E5" s="8"/>
      <c r="F5" s="9"/>
      <c r="G5" s="9"/>
      <c r="H5" s="9"/>
      <c r="I5" s="9"/>
      <c r="J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3:33" ht="15" customHeight="1" thickBot="1">
      <c r="C6" s="10"/>
      <c r="D6" s="8"/>
      <c r="E6" s="8"/>
      <c r="F6" s="9"/>
      <c r="G6" s="9"/>
      <c r="H6" s="9"/>
      <c r="I6" s="9"/>
      <c r="J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3:33" s="11" customFormat="1" ht="15" customHeight="1" thickBot="1">
      <c r="C7" s="220" t="s">
        <v>2</v>
      </c>
      <c r="D7" s="221">
        <v>1</v>
      </c>
      <c r="E7" s="221">
        <v>1</v>
      </c>
      <c r="F7" s="221">
        <v>1</v>
      </c>
      <c r="G7" s="221">
        <v>1</v>
      </c>
      <c r="H7" s="221">
        <v>1</v>
      </c>
      <c r="I7" s="221">
        <v>1</v>
      </c>
      <c r="J7" s="221">
        <v>1</v>
      </c>
      <c r="K7" s="221">
        <v>1</v>
      </c>
      <c r="L7" s="221">
        <v>1</v>
      </c>
      <c r="M7" s="222">
        <v>1</v>
      </c>
      <c r="N7" s="223">
        <v>1</v>
      </c>
      <c r="O7" s="221">
        <v>1</v>
      </c>
      <c r="P7" s="221">
        <v>1</v>
      </c>
      <c r="Q7" s="221">
        <v>1</v>
      </c>
      <c r="R7" s="221">
        <v>1</v>
      </c>
      <c r="S7" s="221">
        <v>1</v>
      </c>
      <c r="T7" s="221">
        <v>1</v>
      </c>
      <c r="U7" s="221">
        <v>1</v>
      </c>
      <c r="V7" s="221">
        <v>1</v>
      </c>
      <c r="W7" s="221">
        <v>1</v>
      </c>
      <c r="X7" s="221">
        <v>1</v>
      </c>
      <c r="Y7" s="221">
        <v>1</v>
      </c>
      <c r="Z7" s="221">
        <v>1</v>
      </c>
      <c r="AA7" s="221">
        <v>1</v>
      </c>
      <c r="AB7" s="221">
        <v>1</v>
      </c>
      <c r="AC7" s="221">
        <v>1</v>
      </c>
      <c r="AD7" s="221">
        <v>1</v>
      </c>
      <c r="AE7" s="221">
        <v>1</v>
      </c>
      <c r="AF7" s="221">
        <v>1</v>
      </c>
      <c r="AG7" s="222">
        <v>1</v>
      </c>
    </row>
    <row r="8" spans="3:33" s="12" customFormat="1" ht="15" customHeight="1" thickBot="1">
      <c r="C8" s="216" t="s">
        <v>3</v>
      </c>
      <c r="D8" s="217" t="s">
        <v>4</v>
      </c>
      <c r="E8" s="218"/>
      <c r="F8" s="218"/>
      <c r="G8" s="218"/>
      <c r="H8" s="218"/>
      <c r="I8" s="218"/>
      <c r="J8" s="218"/>
      <c r="K8" s="218"/>
      <c r="L8" s="218"/>
      <c r="M8" s="219"/>
      <c r="N8" s="217" t="s">
        <v>5</v>
      </c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9"/>
    </row>
    <row r="9" spans="3:33" ht="15" customHeight="1">
      <c r="C9" s="13"/>
      <c r="D9" s="14" t="str">
        <f t="shared" ref="D9:AG9" si="0">IF($D$2=FALSE,"-",+D273)</f>
        <v>-</v>
      </c>
      <c r="E9" s="15" t="str">
        <f t="shared" si="0"/>
        <v>-</v>
      </c>
      <c r="F9" s="15" t="str">
        <f t="shared" si="0"/>
        <v>-</v>
      </c>
      <c r="G9" s="16" t="str">
        <f t="shared" si="0"/>
        <v>-</v>
      </c>
      <c r="H9" s="17" t="str">
        <f t="shared" si="0"/>
        <v>-</v>
      </c>
      <c r="I9" s="18" t="str">
        <f t="shared" si="0"/>
        <v>-</v>
      </c>
      <c r="J9" s="15" t="str">
        <f t="shared" si="0"/>
        <v>-</v>
      </c>
      <c r="K9" s="15" t="str">
        <f t="shared" si="0"/>
        <v>-</v>
      </c>
      <c r="L9" s="15" t="str">
        <f t="shared" si="0"/>
        <v>-</v>
      </c>
      <c r="M9" s="19" t="str">
        <f t="shared" si="0"/>
        <v>-</v>
      </c>
      <c r="N9" s="20" t="str">
        <f t="shared" si="0"/>
        <v>-</v>
      </c>
      <c r="O9" s="21" t="str">
        <f t="shared" si="0"/>
        <v>-</v>
      </c>
      <c r="P9" s="21" t="str">
        <f t="shared" si="0"/>
        <v>-</v>
      </c>
      <c r="Q9" s="21" t="str">
        <f t="shared" si="0"/>
        <v>-</v>
      </c>
      <c r="R9" s="21" t="str">
        <f t="shared" si="0"/>
        <v>-</v>
      </c>
      <c r="S9" s="21" t="str">
        <f t="shared" si="0"/>
        <v>-</v>
      </c>
      <c r="T9" s="21" t="str">
        <f t="shared" si="0"/>
        <v>-</v>
      </c>
      <c r="U9" s="21" t="str">
        <f t="shared" si="0"/>
        <v>-</v>
      </c>
      <c r="V9" s="21" t="str">
        <f t="shared" si="0"/>
        <v>-</v>
      </c>
      <c r="W9" s="21" t="str">
        <f t="shared" si="0"/>
        <v>-</v>
      </c>
      <c r="X9" s="21" t="str">
        <f t="shared" si="0"/>
        <v>-</v>
      </c>
      <c r="Y9" s="21" t="str">
        <f t="shared" si="0"/>
        <v>-</v>
      </c>
      <c r="Z9" s="21" t="str">
        <f t="shared" si="0"/>
        <v>-</v>
      </c>
      <c r="AA9" s="21" t="str">
        <f t="shared" si="0"/>
        <v>-</v>
      </c>
      <c r="AB9" s="21" t="str">
        <f t="shared" si="0"/>
        <v>-</v>
      </c>
      <c r="AC9" s="21" t="str">
        <f t="shared" si="0"/>
        <v>-</v>
      </c>
      <c r="AD9" s="21" t="str">
        <f t="shared" si="0"/>
        <v>-</v>
      </c>
      <c r="AE9" s="21" t="str">
        <f t="shared" si="0"/>
        <v>-</v>
      </c>
      <c r="AF9" s="21" t="str">
        <f t="shared" si="0"/>
        <v>-</v>
      </c>
      <c r="AG9" s="22" t="str">
        <f t="shared" si="0"/>
        <v>-</v>
      </c>
    </row>
    <row r="10" spans="3:33" ht="15" customHeight="1">
      <c r="C10" s="23" t="s">
        <v>6</v>
      </c>
      <c r="D10" s="24"/>
      <c r="E10" s="25"/>
      <c r="F10" s="25"/>
      <c r="G10" s="25"/>
      <c r="H10" s="25"/>
      <c r="I10" s="25"/>
      <c r="J10" s="25"/>
      <c r="K10" s="25"/>
      <c r="L10" s="25"/>
      <c r="M10" s="26"/>
      <c r="N10" s="24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6"/>
    </row>
    <row r="11" spans="3:33" ht="15" hidden="1" customHeight="1" outlineLevel="1">
      <c r="C11" s="27" t="s">
        <v>7</v>
      </c>
      <c r="D11" s="28" t="str">
        <f t="shared" ref="D11:AG11" si="1">IF($D$2=FALSE,"-",+D177*D7)</f>
        <v>-</v>
      </c>
      <c r="E11" s="29" t="str">
        <f t="shared" si="1"/>
        <v>-</v>
      </c>
      <c r="F11" s="29" t="str">
        <f t="shared" si="1"/>
        <v>-</v>
      </c>
      <c r="G11" s="30" t="str">
        <f t="shared" si="1"/>
        <v>-</v>
      </c>
      <c r="H11" s="31" t="str">
        <f t="shared" si="1"/>
        <v>-</v>
      </c>
      <c r="I11" s="32" t="str">
        <f t="shared" si="1"/>
        <v>-</v>
      </c>
      <c r="J11" s="29" t="str">
        <f t="shared" si="1"/>
        <v>-</v>
      </c>
      <c r="K11" s="29" t="str">
        <f t="shared" si="1"/>
        <v>-</v>
      </c>
      <c r="L11" s="29" t="str">
        <f t="shared" si="1"/>
        <v>-</v>
      </c>
      <c r="M11" s="33" t="str">
        <f t="shared" si="1"/>
        <v>-</v>
      </c>
      <c r="N11" s="28" t="str">
        <f t="shared" si="1"/>
        <v>-</v>
      </c>
      <c r="O11" s="29" t="str">
        <f t="shared" si="1"/>
        <v>-</v>
      </c>
      <c r="P11" s="29" t="str">
        <f t="shared" si="1"/>
        <v>-</v>
      </c>
      <c r="Q11" s="29" t="str">
        <f t="shared" si="1"/>
        <v>-</v>
      </c>
      <c r="R11" s="29" t="str">
        <f t="shared" si="1"/>
        <v>-</v>
      </c>
      <c r="S11" s="29" t="str">
        <f t="shared" si="1"/>
        <v>-</v>
      </c>
      <c r="T11" s="29" t="str">
        <f t="shared" si="1"/>
        <v>-</v>
      </c>
      <c r="U11" s="29" t="str">
        <f t="shared" si="1"/>
        <v>-</v>
      </c>
      <c r="V11" s="29" t="str">
        <f t="shared" si="1"/>
        <v>-</v>
      </c>
      <c r="W11" s="29" t="str">
        <f t="shared" si="1"/>
        <v>-</v>
      </c>
      <c r="X11" s="29" t="str">
        <f t="shared" si="1"/>
        <v>-</v>
      </c>
      <c r="Y11" s="29" t="str">
        <f t="shared" si="1"/>
        <v>-</v>
      </c>
      <c r="Z11" s="29" t="str">
        <f t="shared" si="1"/>
        <v>-</v>
      </c>
      <c r="AA11" s="29" t="str">
        <f t="shared" si="1"/>
        <v>-</v>
      </c>
      <c r="AB11" s="29" t="str">
        <f t="shared" si="1"/>
        <v>-</v>
      </c>
      <c r="AC11" s="29" t="str">
        <f t="shared" si="1"/>
        <v>-</v>
      </c>
      <c r="AD11" s="29" t="str">
        <f t="shared" si="1"/>
        <v>-</v>
      </c>
      <c r="AE11" s="29" t="str">
        <f t="shared" si="1"/>
        <v>-</v>
      </c>
      <c r="AF11" s="29" t="str">
        <f t="shared" si="1"/>
        <v>-</v>
      </c>
      <c r="AG11" s="33" t="str">
        <f t="shared" si="1"/>
        <v>-</v>
      </c>
    </row>
    <row r="12" spans="3:33" ht="15" hidden="1" customHeight="1" outlineLevel="1">
      <c r="C12" s="34" t="s">
        <v>8</v>
      </c>
      <c r="D12" s="35" t="str">
        <f t="shared" ref="D12:AG12" si="2">IF($D$2=FALSE,"-",IF(D178=0,D177,D178)*D7)</f>
        <v>-</v>
      </c>
      <c r="E12" s="31" t="str">
        <f t="shared" si="2"/>
        <v>-</v>
      </c>
      <c r="F12" s="31" t="str">
        <f t="shared" si="2"/>
        <v>-</v>
      </c>
      <c r="G12" s="36" t="str">
        <f t="shared" si="2"/>
        <v>-</v>
      </c>
      <c r="H12" s="31" t="str">
        <f t="shared" si="2"/>
        <v>-</v>
      </c>
      <c r="I12" s="37" t="str">
        <f t="shared" si="2"/>
        <v>-</v>
      </c>
      <c r="J12" s="31" t="str">
        <f t="shared" si="2"/>
        <v>-</v>
      </c>
      <c r="K12" s="31" t="str">
        <f t="shared" si="2"/>
        <v>-</v>
      </c>
      <c r="L12" s="31" t="str">
        <f t="shared" si="2"/>
        <v>-</v>
      </c>
      <c r="M12" s="38" t="str">
        <f t="shared" si="2"/>
        <v>-</v>
      </c>
      <c r="N12" s="35" t="str">
        <f t="shared" si="2"/>
        <v>-</v>
      </c>
      <c r="O12" s="31" t="str">
        <f t="shared" si="2"/>
        <v>-</v>
      </c>
      <c r="P12" s="31" t="str">
        <f t="shared" si="2"/>
        <v>-</v>
      </c>
      <c r="Q12" s="31" t="str">
        <f t="shared" si="2"/>
        <v>-</v>
      </c>
      <c r="R12" s="31" t="str">
        <f t="shared" si="2"/>
        <v>-</v>
      </c>
      <c r="S12" s="31" t="str">
        <f t="shared" si="2"/>
        <v>-</v>
      </c>
      <c r="T12" s="31" t="str">
        <f t="shared" si="2"/>
        <v>-</v>
      </c>
      <c r="U12" s="31" t="str">
        <f t="shared" si="2"/>
        <v>-</v>
      </c>
      <c r="V12" s="31" t="str">
        <f t="shared" si="2"/>
        <v>-</v>
      </c>
      <c r="W12" s="31" t="str">
        <f t="shared" si="2"/>
        <v>-</v>
      </c>
      <c r="X12" s="31" t="str">
        <f t="shared" si="2"/>
        <v>-</v>
      </c>
      <c r="Y12" s="31" t="str">
        <f t="shared" si="2"/>
        <v>-</v>
      </c>
      <c r="Z12" s="31" t="str">
        <f t="shared" si="2"/>
        <v>-</v>
      </c>
      <c r="AA12" s="31" t="str">
        <f t="shared" si="2"/>
        <v>-</v>
      </c>
      <c r="AB12" s="31" t="str">
        <f t="shared" si="2"/>
        <v>-</v>
      </c>
      <c r="AC12" s="31" t="str">
        <f t="shared" si="2"/>
        <v>-</v>
      </c>
      <c r="AD12" s="31" t="str">
        <f t="shared" si="2"/>
        <v>-</v>
      </c>
      <c r="AE12" s="31" t="str">
        <f t="shared" si="2"/>
        <v>-</v>
      </c>
      <c r="AF12" s="31" t="str">
        <f t="shared" si="2"/>
        <v>-</v>
      </c>
      <c r="AG12" s="38" t="str">
        <f t="shared" si="2"/>
        <v>-</v>
      </c>
    </row>
    <row r="13" spans="3:33" ht="15" hidden="1" customHeight="1" outlineLevel="1">
      <c r="C13" s="34" t="s">
        <v>9</v>
      </c>
      <c r="D13" s="39" t="str">
        <f t="shared" ref="D13:AG13" si="3">IF($D$2=FALSE,"-",D529*D534)</f>
        <v>-</v>
      </c>
      <c r="E13" s="31" t="str">
        <f t="shared" si="3"/>
        <v>-</v>
      </c>
      <c r="F13" s="31" t="str">
        <f t="shared" si="3"/>
        <v>-</v>
      </c>
      <c r="G13" s="36" t="str">
        <f t="shared" si="3"/>
        <v>-</v>
      </c>
      <c r="H13" s="31" t="str">
        <f t="shared" si="3"/>
        <v>-</v>
      </c>
      <c r="I13" s="37" t="str">
        <f t="shared" si="3"/>
        <v>-</v>
      </c>
      <c r="J13" s="31" t="str">
        <f t="shared" si="3"/>
        <v>-</v>
      </c>
      <c r="K13" s="31" t="str">
        <f t="shared" si="3"/>
        <v>-</v>
      </c>
      <c r="L13" s="31" t="str">
        <f t="shared" si="3"/>
        <v>-</v>
      </c>
      <c r="M13" s="37" t="str">
        <f t="shared" si="3"/>
        <v>-</v>
      </c>
      <c r="N13" s="35" t="str">
        <f t="shared" si="3"/>
        <v>-</v>
      </c>
      <c r="O13" s="31" t="str">
        <f t="shared" si="3"/>
        <v>-</v>
      </c>
      <c r="P13" s="31" t="str">
        <f t="shared" si="3"/>
        <v>-</v>
      </c>
      <c r="Q13" s="31" t="str">
        <f t="shared" si="3"/>
        <v>-</v>
      </c>
      <c r="R13" s="31" t="str">
        <f t="shared" si="3"/>
        <v>-</v>
      </c>
      <c r="S13" s="31" t="str">
        <f t="shared" si="3"/>
        <v>-</v>
      </c>
      <c r="T13" s="31" t="str">
        <f t="shared" si="3"/>
        <v>-</v>
      </c>
      <c r="U13" s="31" t="str">
        <f t="shared" si="3"/>
        <v>-</v>
      </c>
      <c r="V13" s="31" t="str">
        <f t="shared" si="3"/>
        <v>-</v>
      </c>
      <c r="W13" s="31" t="str">
        <f t="shared" si="3"/>
        <v>-</v>
      </c>
      <c r="X13" s="31" t="str">
        <f t="shared" si="3"/>
        <v>-</v>
      </c>
      <c r="Y13" s="31" t="str">
        <f t="shared" si="3"/>
        <v>-</v>
      </c>
      <c r="Z13" s="31" t="str">
        <f t="shared" si="3"/>
        <v>-</v>
      </c>
      <c r="AA13" s="31" t="str">
        <f t="shared" si="3"/>
        <v>-</v>
      </c>
      <c r="AB13" s="31" t="str">
        <f t="shared" si="3"/>
        <v>-</v>
      </c>
      <c r="AC13" s="31" t="str">
        <f t="shared" si="3"/>
        <v>-</v>
      </c>
      <c r="AD13" s="31" t="str">
        <f t="shared" si="3"/>
        <v>-</v>
      </c>
      <c r="AE13" s="31" t="str">
        <f t="shared" si="3"/>
        <v>-</v>
      </c>
      <c r="AF13" s="31" t="str">
        <f t="shared" si="3"/>
        <v>-</v>
      </c>
      <c r="AG13" s="38" t="str">
        <f t="shared" si="3"/>
        <v>-</v>
      </c>
    </row>
    <row r="14" spans="3:33" ht="15" hidden="1" customHeight="1" outlineLevel="1">
      <c r="C14" s="34" t="s">
        <v>10</v>
      </c>
      <c r="D14" s="35" t="str">
        <f t="shared" ref="D14:AG14" si="4">IF($D$2=FALSE,"-",+D11*D13)</f>
        <v>-</v>
      </c>
      <c r="E14" s="31" t="str">
        <f t="shared" si="4"/>
        <v>-</v>
      </c>
      <c r="F14" s="31" t="str">
        <f t="shared" si="4"/>
        <v>-</v>
      </c>
      <c r="G14" s="36" t="str">
        <f t="shared" si="4"/>
        <v>-</v>
      </c>
      <c r="H14" s="31" t="str">
        <f t="shared" si="4"/>
        <v>-</v>
      </c>
      <c r="I14" s="37" t="str">
        <f t="shared" si="4"/>
        <v>-</v>
      </c>
      <c r="J14" s="31" t="str">
        <f t="shared" si="4"/>
        <v>-</v>
      </c>
      <c r="K14" s="31" t="str">
        <f t="shared" si="4"/>
        <v>-</v>
      </c>
      <c r="L14" s="31" t="str">
        <f t="shared" si="4"/>
        <v>-</v>
      </c>
      <c r="M14" s="38" t="str">
        <f t="shared" si="4"/>
        <v>-</v>
      </c>
      <c r="N14" s="35" t="str">
        <f t="shared" si="4"/>
        <v>-</v>
      </c>
      <c r="O14" s="31" t="str">
        <f t="shared" si="4"/>
        <v>-</v>
      </c>
      <c r="P14" s="31" t="str">
        <f t="shared" si="4"/>
        <v>-</v>
      </c>
      <c r="Q14" s="31" t="str">
        <f t="shared" si="4"/>
        <v>-</v>
      </c>
      <c r="R14" s="31" t="str">
        <f t="shared" si="4"/>
        <v>-</v>
      </c>
      <c r="S14" s="31" t="str">
        <f t="shared" si="4"/>
        <v>-</v>
      </c>
      <c r="T14" s="31" t="str">
        <f t="shared" si="4"/>
        <v>-</v>
      </c>
      <c r="U14" s="31" t="str">
        <f t="shared" si="4"/>
        <v>-</v>
      </c>
      <c r="V14" s="31" t="str">
        <f t="shared" si="4"/>
        <v>-</v>
      </c>
      <c r="W14" s="31" t="str">
        <f t="shared" si="4"/>
        <v>-</v>
      </c>
      <c r="X14" s="31" t="str">
        <f t="shared" si="4"/>
        <v>-</v>
      </c>
      <c r="Y14" s="31" t="str">
        <f t="shared" si="4"/>
        <v>-</v>
      </c>
      <c r="Z14" s="31" t="str">
        <f t="shared" si="4"/>
        <v>-</v>
      </c>
      <c r="AA14" s="31" t="str">
        <f t="shared" si="4"/>
        <v>-</v>
      </c>
      <c r="AB14" s="31" t="str">
        <f t="shared" si="4"/>
        <v>-</v>
      </c>
      <c r="AC14" s="31" t="str">
        <f t="shared" si="4"/>
        <v>-</v>
      </c>
      <c r="AD14" s="31" t="str">
        <f t="shared" si="4"/>
        <v>-</v>
      </c>
      <c r="AE14" s="31" t="str">
        <f t="shared" si="4"/>
        <v>-</v>
      </c>
      <c r="AF14" s="31" t="str">
        <f t="shared" si="4"/>
        <v>-</v>
      </c>
      <c r="AG14" s="38" t="str">
        <f t="shared" si="4"/>
        <v>-</v>
      </c>
    </row>
    <row r="15" spans="3:33" ht="15" customHeight="1" collapsed="1">
      <c r="C15" s="23" t="s">
        <v>11</v>
      </c>
      <c r="D15" s="24"/>
      <c r="E15" s="25"/>
      <c r="F15" s="25"/>
      <c r="G15" s="25"/>
      <c r="H15" s="25"/>
      <c r="I15" s="25"/>
      <c r="J15" s="25"/>
      <c r="K15" s="25"/>
      <c r="L15" s="25"/>
      <c r="M15" s="26"/>
      <c r="N15" s="24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6"/>
    </row>
    <row r="16" spans="3:33" ht="15" hidden="1" customHeight="1" outlineLevel="1">
      <c r="C16" s="40" t="s">
        <v>12</v>
      </c>
      <c r="D16" s="41" t="str">
        <f t="shared" ref="D16:AG16" si="5">IF($D$2=FALSE,"-",+D174/D12)</f>
        <v>-</v>
      </c>
      <c r="E16" s="42" t="str">
        <f t="shared" si="5"/>
        <v>-</v>
      </c>
      <c r="F16" s="42" t="str">
        <f t="shared" si="5"/>
        <v>-</v>
      </c>
      <c r="G16" s="43" t="str">
        <f t="shared" si="5"/>
        <v>-</v>
      </c>
      <c r="H16" s="31" t="str">
        <f t="shared" si="5"/>
        <v>-</v>
      </c>
      <c r="I16" s="44" t="str">
        <f t="shared" si="5"/>
        <v>-</v>
      </c>
      <c r="J16" s="42" t="str">
        <f t="shared" si="5"/>
        <v>-</v>
      </c>
      <c r="K16" s="42" t="str">
        <f t="shared" si="5"/>
        <v>-</v>
      </c>
      <c r="L16" s="42" t="str">
        <f t="shared" si="5"/>
        <v>-</v>
      </c>
      <c r="M16" s="45" t="str">
        <f t="shared" si="5"/>
        <v>-</v>
      </c>
      <c r="N16" s="41" t="str">
        <f t="shared" si="5"/>
        <v>-</v>
      </c>
      <c r="O16" s="42" t="str">
        <f t="shared" si="5"/>
        <v>-</v>
      </c>
      <c r="P16" s="42" t="str">
        <f t="shared" si="5"/>
        <v>-</v>
      </c>
      <c r="Q16" s="42" t="str">
        <f t="shared" si="5"/>
        <v>-</v>
      </c>
      <c r="R16" s="42" t="str">
        <f t="shared" si="5"/>
        <v>-</v>
      </c>
      <c r="S16" s="42" t="str">
        <f t="shared" si="5"/>
        <v>-</v>
      </c>
      <c r="T16" s="42" t="str">
        <f t="shared" si="5"/>
        <v>-</v>
      </c>
      <c r="U16" s="42" t="str">
        <f t="shared" si="5"/>
        <v>-</v>
      </c>
      <c r="V16" s="42" t="str">
        <f t="shared" si="5"/>
        <v>-</v>
      </c>
      <c r="W16" s="42" t="str">
        <f t="shared" si="5"/>
        <v>-</v>
      </c>
      <c r="X16" s="42" t="str">
        <f t="shared" si="5"/>
        <v>-</v>
      </c>
      <c r="Y16" s="42" t="str">
        <f t="shared" si="5"/>
        <v>-</v>
      </c>
      <c r="Z16" s="42" t="str">
        <f t="shared" si="5"/>
        <v>-</v>
      </c>
      <c r="AA16" s="42" t="str">
        <f t="shared" si="5"/>
        <v>-</v>
      </c>
      <c r="AB16" s="42" t="str">
        <f t="shared" si="5"/>
        <v>-</v>
      </c>
      <c r="AC16" s="42" t="str">
        <f t="shared" si="5"/>
        <v>-</v>
      </c>
      <c r="AD16" s="42" t="str">
        <f t="shared" si="5"/>
        <v>-</v>
      </c>
      <c r="AE16" s="42" t="str">
        <f t="shared" si="5"/>
        <v>-</v>
      </c>
      <c r="AF16" s="42" t="str">
        <f t="shared" si="5"/>
        <v>-</v>
      </c>
      <c r="AG16" s="45" t="str">
        <f t="shared" si="5"/>
        <v>-</v>
      </c>
    </row>
    <row r="17" spans="3:33" s="46" customFormat="1" ht="15" hidden="1" customHeight="1" outlineLevel="1">
      <c r="C17" s="47" t="s">
        <v>13</v>
      </c>
      <c r="D17" s="48" t="str">
        <f t="shared" ref="D17:L17" si="6">IF($D$2=FALSE,"-",IF(OR(E16=0,E16="",D16=0,D16=""),0,(D16-E16)/ABS(E16)))</f>
        <v>-</v>
      </c>
      <c r="E17" s="49" t="str">
        <f t="shared" si="6"/>
        <v>-</v>
      </c>
      <c r="F17" s="49" t="str">
        <f t="shared" si="6"/>
        <v>-</v>
      </c>
      <c r="G17" s="50" t="str">
        <f t="shared" si="6"/>
        <v>-</v>
      </c>
      <c r="H17" s="49" t="str">
        <f t="shared" si="6"/>
        <v>-</v>
      </c>
      <c r="I17" s="51" t="str">
        <f t="shared" si="6"/>
        <v>-</v>
      </c>
      <c r="J17" s="49" t="str">
        <f t="shared" si="6"/>
        <v>-</v>
      </c>
      <c r="K17" s="49" t="str">
        <f t="shared" si="6"/>
        <v>-</v>
      </c>
      <c r="L17" s="49" t="str">
        <f t="shared" si="6"/>
        <v>-</v>
      </c>
      <c r="M17" s="52"/>
      <c r="N17" s="48" t="str">
        <f t="shared" ref="N17:AG17" si="7">IF($D$2=FALSE,"-",IF(OR(O16=0,O16="",N16=0,N16=""),0,(N16-O16)/ABS(O16)))</f>
        <v>-</v>
      </c>
      <c r="O17" s="49" t="str">
        <f t="shared" si="7"/>
        <v>-</v>
      </c>
      <c r="P17" s="49" t="str">
        <f t="shared" si="7"/>
        <v>-</v>
      </c>
      <c r="Q17" s="49" t="str">
        <f t="shared" si="7"/>
        <v>-</v>
      </c>
      <c r="R17" s="49" t="str">
        <f t="shared" si="7"/>
        <v>-</v>
      </c>
      <c r="S17" s="49" t="str">
        <f t="shared" si="7"/>
        <v>-</v>
      </c>
      <c r="T17" s="49" t="str">
        <f t="shared" si="7"/>
        <v>-</v>
      </c>
      <c r="U17" s="49" t="str">
        <f t="shared" si="7"/>
        <v>-</v>
      </c>
      <c r="V17" s="49" t="str">
        <f t="shared" si="7"/>
        <v>-</v>
      </c>
      <c r="W17" s="49" t="str">
        <f t="shared" si="7"/>
        <v>-</v>
      </c>
      <c r="X17" s="49" t="str">
        <f t="shared" si="7"/>
        <v>-</v>
      </c>
      <c r="Y17" s="49" t="str">
        <f t="shared" si="7"/>
        <v>-</v>
      </c>
      <c r="Z17" s="49" t="str">
        <f t="shared" si="7"/>
        <v>-</v>
      </c>
      <c r="AA17" s="49" t="str">
        <f t="shared" si="7"/>
        <v>-</v>
      </c>
      <c r="AB17" s="49" t="str">
        <f t="shared" si="7"/>
        <v>-</v>
      </c>
      <c r="AC17" s="49" t="str">
        <f t="shared" si="7"/>
        <v>-</v>
      </c>
      <c r="AD17" s="49" t="str">
        <f t="shared" si="7"/>
        <v>-</v>
      </c>
      <c r="AE17" s="49" t="str">
        <f t="shared" si="7"/>
        <v>-</v>
      </c>
      <c r="AF17" s="49" t="str">
        <f t="shared" si="7"/>
        <v>-</v>
      </c>
      <c r="AG17" s="52" t="str">
        <f t="shared" si="7"/>
        <v>-</v>
      </c>
    </row>
    <row r="18" spans="3:33" ht="15" hidden="1" customHeight="1" outlineLevel="1">
      <c r="C18" s="27" t="s">
        <v>14</v>
      </c>
      <c r="D18" s="28" t="str">
        <f t="shared" ref="D18:AG18" si="8">IF($D$2=FALSE,"-",+D160/D12)</f>
        <v>-</v>
      </c>
      <c r="E18" s="29" t="str">
        <f t="shared" si="8"/>
        <v>-</v>
      </c>
      <c r="F18" s="29" t="str">
        <f t="shared" si="8"/>
        <v>-</v>
      </c>
      <c r="G18" s="30" t="str">
        <f t="shared" si="8"/>
        <v>-</v>
      </c>
      <c r="H18" s="31" t="str">
        <f t="shared" si="8"/>
        <v>-</v>
      </c>
      <c r="I18" s="32" t="str">
        <f t="shared" si="8"/>
        <v>-</v>
      </c>
      <c r="J18" s="29" t="str">
        <f t="shared" si="8"/>
        <v>-</v>
      </c>
      <c r="K18" s="29" t="str">
        <f t="shared" si="8"/>
        <v>-</v>
      </c>
      <c r="L18" s="29" t="str">
        <f t="shared" si="8"/>
        <v>-</v>
      </c>
      <c r="M18" s="33" t="str">
        <f t="shared" si="8"/>
        <v>-</v>
      </c>
      <c r="N18" s="28" t="str">
        <f t="shared" si="8"/>
        <v>-</v>
      </c>
      <c r="O18" s="29" t="str">
        <f t="shared" si="8"/>
        <v>-</v>
      </c>
      <c r="P18" s="29" t="str">
        <f t="shared" si="8"/>
        <v>-</v>
      </c>
      <c r="Q18" s="29" t="str">
        <f t="shared" si="8"/>
        <v>-</v>
      </c>
      <c r="R18" s="29" t="str">
        <f t="shared" si="8"/>
        <v>-</v>
      </c>
      <c r="S18" s="29" t="str">
        <f t="shared" si="8"/>
        <v>-</v>
      </c>
      <c r="T18" s="29" t="str">
        <f t="shared" si="8"/>
        <v>-</v>
      </c>
      <c r="U18" s="29" t="str">
        <f t="shared" si="8"/>
        <v>-</v>
      </c>
      <c r="V18" s="29" t="str">
        <f t="shared" si="8"/>
        <v>-</v>
      </c>
      <c r="W18" s="29" t="str">
        <f t="shared" si="8"/>
        <v>-</v>
      </c>
      <c r="X18" s="29" t="str">
        <f t="shared" si="8"/>
        <v>-</v>
      </c>
      <c r="Y18" s="29" t="str">
        <f t="shared" si="8"/>
        <v>-</v>
      </c>
      <c r="Z18" s="29" t="str">
        <f t="shared" si="8"/>
        <v>-</v>
      </c>
      <c r="AA18" s="29" t="str">
        <f t="shared" si="8"/>
        <v>-</v>
      </c>
      <c r="AB18" s="29" t="str">
        <f t="shared" si="8"/>
        <v>-</v>
      </c>
      <c r="AC18" s="29" t="str">
        <f t="shared" si="8"/>
        <v>-</v>
      </c>
      <c r="AD18" s="29" t="str">
        <f t="shared" si="8"/>
        <v>-</v>
      </c>
      <c r="AE18" s="29" t="str">
        <f t="shared" si="8"/>
        <v>-</v>
      </c>
      <c r="AF18" s="29" t="str">
        <f t="shared" si="8"/>
        <v>-</v>
      </c>
      <c r="AG18" s="33" t="str">
        <f t="shared" si="8"/>
        <v>-</v>
      </c>
    </row>
    <row r="19" spans="3:33" s="46" customFormat="1" ht="15" hidden="1" customHeight="1" outlineLevel="1">
      <c r="C19" s="47" t="s">
        <v>13</v>
      </c>
      <c r="D19" s="48" t="str">
        <f t="shared" ref="D19:L19" si="9">IF($D$2=FALSE,"-",IF(OR(E18=0,E18="",D18=0,D18=""),0,(D18-E18)/ABS(E18)))</f>
        <v>-</v>
      </c>
      <c r="E19" s="49" t="str">
        <f t="shared" si="9"/>
        <v>-</v>
      </c>
      <c r="F19" s="49" t="str">
        <f t="shared" si="9"/>
        <v>-</v>
      </c>
      <c r="G19" s="50" t="str">
        <f t="shared" si="9"/>
        <v>-</v>
      </c>
      <c r="H19" s="49" t="str">
        <f t="shared" si="9"/>
        <v>-</v>
      </c>
      <c r="I19" s="51" t="str">
        <f t="shared" si="9"/>
        <v>-</v>
      </c>
      <c r="J19" s="49" t="str">
        <f t="shared" si="9"/>
        <v>-</v>
      </c>
      <c r="K19" s="49" t="str">
        <f t="shared" si="9"/>
        <v>-</v>
      </c>
      <c r="L19" s="49" t="str">
        <f t="shared" si="9"/>
        <v>-</v>
      </c>
      <c r="M19" s="52"/>
      <c r="N19" s="48" t="str">
        <f t="shared" ref="N19:AG19" si="10">IF($D$2=FALSE,"-",IF(OR(O18=0,O18="",N18=0,N18=""),0,(N18-O18)/ABS(O18)))</f>
        <v>-</v>
      </c>
      <c r="O19" s="49" t="str">
        <f t="shared" si="10"/>
        <v>-</v>
      </c>
      <c r="P19" s="49" t="str">
        <f t="shared" si="10"/>
        <v>-</v>
      </c>
      <c r="Q19" s="49" t="str">
        <f t="shared" si="10"/>
        <v>-</v>
      </c>
      <c r="R19" s="49" t="str">
        <f t="shared" si="10"/>
        <v>-</v>
      </c>
      <c r="S19" s="49" t="str">
        <f t="shared" si="10"/>
        <v>-</v>
      </c>
      <c r="T19" s="49" t="str">
        <f t="shared" si="10"/>
        <v>-</v>
      </c>
      <c r="U19" s="49" t="str">
        <f t="shared" si="10"/>
        <v>-</v>
      </c>
      <c r="V19" s="49" t="str">
        <f t="shared" si="10"/>
        <v>-</v>
      </c>
      <c r="W19" s="49" t="str">
        <f t="shared" si="10"/>
        <v>-</v>
      </c>
      <c r="X19" s="49" t="str">
        <f t="shared" si="10"/>
        <v>-</v>
      </c>
      <c r="Y19" s="49" t="str">
        <f t="shared" si="10"/>
        <v>-</v>
      </c>
      <c r="Z19" s="49" t="str">
        <f t="shared" si="10"/>
        <v>-</v>
      </c>
      <c r="AA19" s="49" t="str">
        <f t="shared" si="10"/>
        <v>-</v>
      </c>
      <c r="AB19" s="49" t="str">
        <f t="shared" si="10"/>
        <v>-</v>
      </c>
      <c r="AC19" s="49" t="str">
        <f t="shared" si="10"/>
        <v>-</v>
      </c>
      <c r="AD19" s="49" t="str">
        <f t="shared" si="10"/>
        <v>-</v>
      </c>
      <c r="AE19" s="49" t="str">
        <f t="shared" si="10"/>
        <v>-</v>
      </c>
      <c r="AF19" s="49" t="str">
        <f t="shared" si="10"/>
        <v>-</v>
      </c>
      <c r="AG19" s="52" t="str">
        <f t="shared" si="10"/>
        <v>-</v>
      </c>
    </row>
    <row r="20" spans="3:33" ht="15" hidden="1" customHeight="1" outlineLevel="1">
      <c r="C20" s="34" t="s">
        <v>15</v>
      </c>
      <c r="D20" s="35" t="str">
        <f t="shared" ref="D20:AG20" si="11">IF($D$2=FALSE,"-",+D157/D12)</f>
        <v>-</v>
      </c>
      <c r="E20" s="31" t="str">
        <f t="shared" si="11"/>
        <v>-</v>
      </c>
      <c r="F20" s="31" t="str">
        <f t="shared" si="11"/>
        <v>-</v>
      </c>
      <c r="G20" s="36" t="str">
        <f t="shared" si="11"/>
        <v>-</v>
      </c>
      <c r="H20" s="31" t="str">
        <f t="shared" si="11"/>
        <v>-</v>
      </c>
      <c r="I20" s="37" t="str">
        <f t="shared" si="11"/>
        <v>-</v>
      </c>
      <c r="J20" s="31" t="str">
        <f t="shared" si="11"/>
        <v>-</v>
      </c>
      <c r="K20" s="31" t="str">
        <f t="shared" si="11"/>
        <v>-</v>
      </c>
      <c r="L20" s="31" t="str">
        <f t="shared" si="11"/>
        <v>-</v>
      </c>
      <c r="M20" s="38" t="str">
        <f t="shared" si="11"/>
        <v>-</v>
      </c>
      <c r="N20" s="35" t="str">
        <f t="shared" si="11"/>
        <v>-</v>
      </c>
      <c r="O20" s="31" t="str">
        <f t="shared" si="11"/>
        <v>-</v>
      </c>
      <c r="P20" s="31" t="str">
        <f t="shared" si="11"/>
        <v>-</v>
      </c>
      <c r="Q20" s="31" t="str">
        <f t="shared" si="11"/>
        <v>-</v>
      </c>
      <c r="R20" s="31" t="str">
        <f t="shared" si="11"/>
        <v>-</v>
      </c>
      <c r="S20" s="31" t="str">
        <f t="shared" si="11"/>
        <v>-</v>
      </c>
      <c r="T20" s="31" t="str">
        <f t="shared" si="11"/>
        <v>-</v>
      </c>
      <c r="U20" s="31" t="str">
        <f t="shared" si="11"/>
        <v>-</v>
      </c>
      <c r="V20" s="31" t="str">
        <f t="shared" si="11"/>
        <v>-</v>
      </c>
      <c r="W20" s="31" t="str">
        <f t="shared" si="11"/>
        <v>-</v>
      </c>
      <c r="X20" s="31" t="str">
        <f t="shared" si="11"/>
        <v>-</v>
      </c>
      <c r="Y20" s="31" t="str">
        <f t="shared" si="11"/>
        <v>-</v>
      </c>
      <c r="Z20" s="31" t="str">
        <f t="shared" si="11"/>
        <v>-</v>
      </c>
      <c r="AA20" s="31" t="str">
        <f t="shared" si="11"/>
        <v>-</v>
      </c>
      <c r="AB20" s="31" t="str">
        <f t="shared" si="11"/>
        <v>-</v>
      </c>
      <c r="AC20" s="31" t="str">
        <f t="shared" si="11"/>
        <v>-</v>
      </c>
      <c r="AD20" s="31" t="str">
        <f t="shared" si="11"/>
        <v>-</v>
      </c>
      <c r="AE20" s="31" t="str">
        <f t="shared" si="11"/>
        <v>-</v>
      </c>
      <c r="AF20" s="31" t="str">
        <f t="shared" si="11"/>
        <v>-</v>
      </c>
      <c r="AG20" s="38" t="str">
        <f t="shared" si="11"/>
        <v>-</v>
      </c>
    </row>
    <row r="21" spans="3:33" s="46" customFormat="1" ht="15" hidden="1" customHeight="1" outlineLevel="1">
      <c r="C21" s="47" t="s">
        <v>13</v>
      </c>
      <c r="D21" s="48" t="str">
        <f t="shared" ref="D21:L21" si="12">IF($D$2=FALSE,"-",IF(OR(E20=0,E20="",D20=0,D20=""),0,(D20-E20)/ABS(E20)))</f>
        <v>-</v>
      </c>
      <c r="E21" s="49" t="str">
        <f t="shared" si="12"/>
        <v>-</v>
      </c>
      <c r="F21" s="49" t="str">
        <f t="shared" si="12"/>
        <v>-</v>
      </c>
      <c r="G21" s="50" t="str">
        <f t="shared" si="12"/>
        <v>-</v>
      </c>
      <c r="H21" s="49" t="str">
        <f t="shared" si="12"/>
        <v>-</v>
      </c>
      <c r="I21" s="51" t="str">
        <f t="shared" si="12"/>
        <v>-</v>
      </c>
      <c r="J21" s="49" t="str">
        <f t="shared" si="12"/>
        <v>-</v>
      </c>
      <c r="K21" s="49" t="str">
        <f t="shared" si="12"/>
        <v>-</v>
      </c>
      <c r="L21" s="49" t="str">
        <f t="shared" si="12"/>
        <v>-</v>
      </c>
      <c r="M21" s="52"/>
      <c r="N21" s="48" t="str">
        <f t="shared" ref="N21:AG21" si="13">IF($D$2=FALSE,"-",IF(OR(O20=0,O20="",N20=0,N20=""),0,(N20-O20)/ABS(O20)))</f>
        <v>-</v>
      </c>
      <c r="O21" s="49" t="str">
        <f t="shared" si="13"/>
        <v>-</v>
      </c>
      <c r="P21" s="49" t="str">
        <f t="shared" si="13"/>
        <v>-</v>
      </c>
      <c r="Q21" s="49" t="str">
        <f t="shared" si="13"/>
        <v>-</v>
      </c>
      <c r="R21" s="49" t="str">
        <f t="shared" si="13"/>
        <v>-</v>
      </c>
      <c r="S21" s="49" t="str">
        <f t="shared" si="13"/>
        <v>-</v>
      </c>
      <c r="T21" s="49" t="str">
        <f t="shared" si="13"/>
        <v>-</v>
      </c>
      <c r="U21" s="49" t="str">
        <f t="shared" si="13"/>
        <v>-</v>
      </c>
      <c r="V21" s="49" t="str">
        <f t="shared" si="13"/>
        <v>-</v>
      </c>
      <c r="W21" s="49" t="str">
        <f t="shared" si="13"/>
        <v>-</v>
      </c>
      <c r="X21" s="49" t="str">
        <f t="shared" si="13"/>
        <v>-</v>
      </c>
      <c r="Y21" s="49" t="str">
        <f t="shared" si="13"/>
        <v>-</v>
      </c>
      <c r="Z21" s="49" t="str">
        <f t="shared" si="13"/>
        <v>-</v>
      </c>
      <c r="AA21" s="49" t="str">
        <f t="shared" si="13"/>
        <v>-</v>
      </c>
      <c r="AB21" s="49" t="str">
        <f t="shared" si="13"/>
        <v>-</v>
      </c>
      <c r="AC21" s="49" t="str">
        <f t="shared" si="13"/>
        <v>-</v>
      </c>
      <c r="AD21" s="49" t="str">
        <f t="shared" si="13"/>
        <v>-</v>
      </c>
      <c r="AE21" s="49" t="str">
        <f t="shared" si="13"/>
        <v>-</v>
      </c>
      <c r="AF21" s="49" t="str">
        <f t="shared" si="13"/>
        <v>-</v>
      </c>
      <c r="AG21" s="52" t="str">
        <f t="shared" si="13"/>
        <v>-</v>
      </c>
    </row>
    <row r="22" spans="3:33" ht="15" hidden="1" customHeight="1" outlineLevel="1">
      <c r="C22" s="34" t="s">
        <v>16</v>
      </c>
      <c r="D22" s="35" t="str">
        <f t="shared" ref="D22:AG22" si="14">IF($D$2=FALSE,"-",(+D182+D183)/D12)</f>
        <v>-</v>
      </c>
      <c r="E22" s="31" t="str">
        <f t="shared" si="14"/>
        <v>-</v>
      </c>
      <c r="F22" s="31" t="str">
        <f t="shared" si="14"/>
        <v>-</v>
      </c>
      <c r="G22" s="36" t="str">
        <f t="shared" si="14"/>
        <v>-</v>
      </c>
      <c r="H22" s="31" t="str">
        <f t="shared" si="14"/>
        <v>-</v>
      </c>
      <c r="I22" s="37" t="str">
        <f t="shared" si="14"/>
        <v>-</v>
      </c>
      <c r="J22" s="31" t="str">
        <f t="shared" si="14"/>
        <v>-</v>
      </c>
      <c r="K22" s="31" t="str">
        <f t="shared" si="14"/>
        <v>-</v>
      </c>
      <c r="L22" s="31" t="str">
        <f t="shared" si="14"/>
        <v>-</v>
      </c>
      <c r="M22" s="38" t="str">
        <f t="shared" si="14"/>
        <v>-</v>
      </c>
      <c r="N22" s="35" t="str">
        <f t="shared" si="14"/>
        <v>-</v>
      </c>
      <c r="O22" s="31" t="str">
        <f t="shared" si="14"/>
        <v>-</v>
      </c>
      <c r="P22" s="31" t="str">
        <f t="shared" si="14"/>
        <v>-</v>
      </c>
      <c r="Q22" s="31" t="str">
        <f t="shared" si="14"/>
        <v>-</v>
      </c>
      <c r="R22" s="31" t="str">
        <f t="shared" si="14"/>
        <v>-</v>
      </c>
      <c r="S22" s="31" t="str">
        <f t="shared" si="14"/>
        <v>-</v>
      </c>
      <c r="T22" s="31" t="str">
        <f t="shared" si="14"/>
        <v>-</v>
      </c>
      <c r="U22" s="31" t="str">
        <f t="shared" si="14"/>
        <v>-</v>
      </c>
      <c r="V22" s="31" t="str">
        <f t="shared" si="14"/>
        <v>-</v>
      </c>
      <c r="W22" s="31" t="str">
        <f t="shared" si="14"/>
        <v>-</v>
      </c>
      <c r="X22" s="31" t="str">
        <f t="shared" si="14"/>
        <v>-</v>
      </c>
      <c r="Y22" s="31" t="str">
        <f t="shared" si="14"/>
        <v>-</v>
      </c>
      <c r="Z22" s="31" t="str">
        <f t="shared" si="14"/>
        <v>-</v>
      </c>
      <c r="AA22" s="31" t="str">
        <f t="shared" si="14"/>
        <v>-</v>
      </c>
      <c r="AB22" s="31" t="str">
        <f t="shared" si="14"/>
        <v>-</v>
      </c>
      <c r="AC22" s="31" t="str">
        <f t="shared" si="14"/>
        <v>-</v>
      </c>
      <c r="AD22" s="31" t="str">
        <f t="shared" si="14"/>
        <v>-</v>
      </c>
      <c r="AE22" s="31" t="str">
        <f t="shared" si="14"/>
        <v>-</v>
      </c>
      <c r="AF22" s="31" t="str">
        <f t="shared" si="14"/>
        <v>-</v>
      </c>
      <c r="AG22" s="38" t="str">
        <f t="shared" si="14"/>
        <v>-</v>
      </c>
    </row>
    <row r="23" spans="3:33" s="46" customFormat="1" ht="15" hidden="1" customHeight="1" outlineLevel="1">
      <c r="C23" s="47" t="s">
        <v>13</v>
      </c>
      <c r="D23" s="48" t="str">
        <f t="shared" ref="D23:L23" si="15">IF($D$2=FALSE,"-",IF(OR(E22=0,E22="",D22=0,D22=""),0,(D22-E22)/ABS(E22)))</f>
        <v>-</v>
      </c>
      <c r="E23" s="49" t="str">
        <f t="shared" si="15"/>
        <v>-</v>
      </c>
      <c r="F23" s="49" t="str">
        <f t="shared" si="15"/>
        <v>-</v>
      </c>
      <c r="G23" s="50" t="str">
        <f t="shared" si="15"/>
        <v>-</v>
      </c>
      <c r="H23" s="49" t="str">
        <f t="shared" si="15"/>
        <v>-</v>
      </c>
      <c r="I23" s="51" t="str">
        <f t="shared" si="15"/>
        <v>-</v>
      </c>
      <c r="J23" s="49" t="str">
        <f t="shared" si="15"/>
        <v>-</v>
      </c>
      <c r="K23" s="49" t="str">
        <f t="shared" si="15"/>
        <v>-</v>
      </c>
      <c r="L23" s="49" t="str">
        <f t="shared" si="15"/>
        <v>-</v>
      </c>
      <c r="M23" s="52"/>
      <c r="N23" s="48" t="str">
        <f t="shared" ref="N23:AG23" si="16">IF($D$2=FALSE,"-",IF(OR(O22=0,O22="",N22=0,N22=""),0,(N22-O22)/ABS(O22)))</f>
        <v>-</v>
      </c>
      <c r="O23" s="49" t="str">
        <f t="shared" si="16"/>
        <v>-</v>
      </c>
      <c r="P23" s="49" t="str">
        <f t="shared" si="16"/>
        <v>-</v>
      </c>
      <c r="Q23" s="49" t="str">
        <f t="shared" si="16"/>
        <v>-</v>
      </c>
      <c r="R23" s="49" t="str">
        <f t="shared" si="16"/>
        <v>-</v>
      </c>
      <c r="S23" s="49" t="str">
        <f t="shared" si="16"/>
        <v>-</v>
      </c>
      <c r="T23" s="49" t="str">
        <f t="shared" si="16"/>
        <v>-</v>
      </c>
      <c r="U23" s="49" t="str">
        <f t="shared" si="16"/>
        <v>-</v>
      </c>
      <c r="V23" s="49" t="str">
        <f t="shared" si="16"/>
        <v>-</v>
      </c>
      <c r="W23" s="49" t="str">
        <f t="shared" si="16"/>
        <v>-</v>
      </c>
      <c r="X23" s="49" t="str">
        <f t="shared" si="16"/>
        <v>-</v>
      </c>
      <c r="Y23" s="49" t="str">
        <f t="shared" si="16"/>
        <v>-</v>
      </c>
      <c r="Z23" s="49" t="str">
        <f t="shared" si="16"/>
        <v>-</v>
      </c>
      <c r="AA23" s="49" t="str">
        <f t="shared" si="16"/>
        <v>-</v>
      </c>
      <c r="AB23" s="49" t="str">
        <f t="shared" si="16"/>
        <v>-</v>
      </c>
      <c r="AC23" s="49" t="str">
        <f t="shared" si="16"/>
        <v>-</v>
      </c>
      <c r="AD23" s="49" t="str">
        <f t="shared" si="16"/>
        <v>-</v>
      </c>
      <c r="AE23" s="49" t="str">
        <f t="shared" si="16"/>
        <v>-</v>
      </c>
      <c r="AF23" s="49" t="str">
        <f t="shared" si="16"/>
        <v>-</v>
      </c>
      <c r="AG23" s="52" t="str">
        <f t="shared" si="16"/>
        <v>-</v>
      </c>
    </row>
    <row r="24" spans="3:33" ht="15" hidden="1" customHeight="1" outlineLevel="1">
      <c r="C24" s="34" t="s">
        <v>17</v>
      </c>
      <c r="D24" s="35" t="str">
        <f t="shared" ref="D24:AG24" si="17">IF($D$2=FALSE,"-",+D104/D12)</f>
        <v>-</v>
      </c>
      <c r="E24" s="31" t="str">
        <f t="shared" si="17"/>
        <v>-</v>
      </c>
      <c r="F24" s="31" t="str">
        <f t="shared" si="17"/>
        <v>-</v>
      </c>
      <c r="G24" s="36" t="str">
        <f t="shared" si="17"/>
        <v>-</v>
      </c>
      <c r="H24" s="31" t="str">
        <f t="shared" si="17"/>
        <v>-</v>
      </c>
      <c r="I24" s="37" t="str">
        <f t="shared" si="17"/>
        <v>-</v>
      </c>
      <c r="J24" s="31" t="str">
        <f t="shared" si="17"/>
        <v>-</v>
      </c>
      <c r="K24" s="31" t="str">
        <f t="shared" si="17"/>
        <v>-</v>
      </c>
      <c r="L24" s="31" t="str">
        <f t="shared" si="17"/>
        <v>-</v>
      </c>
      <c r="M24" s="38" t="str">
        <f t="shared" si="17"/>
        <v>-</v>
      </c>
      <c r="N24" s="35" t="str">
        <f t="shared" si="17"/>
        <v>-</v>
      </c>
      <c r="O24" s="31" t="str">
        <f t="shared" si="17"/>
        <v>-</v>
      </c>
      <c r="P24" s="31" t="str">
        <f t="shared" si="17"/>
        <v>-</v>
      </c>
      <c r="Q24" s="31" t="str">
        <f t="shared" si="17"/>
        <v>-</v>
      </c>
      <c r="R24" s="31" t="str">
        <f t="shared" si="17"/>
        <v>-</v>
      </c>
      <c r="S24" s="31" t="str">
        <f t="shared" si="17"/>
        <v>-</v>
      </c>
      <c r="T24" s="31" t="str">
        <f t="shared" si="17"/>
        <v>-</v>
      </c>
      <c r="U24" s="31" t="str">
        <f t="shared" si="17"/>
        <v>-</v>
      </c>
      <c r="V24" s="31" t="str">
        <f t="shared" si="17"/>
        <v>-</v>
      </c>
      <c r="W24" s="31" t="str">
        <f t="shared" si="17"/>
        <v>-</v>
      </c>
      <c r="X24" s="31" t="str">
        <f t="shared" si="17"/>
        <v>-</v>
      </c>
      <c r="Y24" s="31" t="str">
        <f t="shared" si="17"/>
        <v>-</v>
      </c>
      <c r="Z24" s="31" t="str">
        <f t="shared" si="17"/>
        <v>-</v>
      </c>
      <c r="AA24" s="31" t="str">
        <f t="shared" si="17"/>
        <v>-</v>
      </c>
      <c r="AB24" s="31" t="str">
        <f t="shared" si="17"/>
        <v>-</v>
      </c>
      <c r="AC24" s="31" t="str">
        <f t="shared" si="17"/>
        <v>-</v>
      </c>
      <c r="AD24" s="31" t="str">
        <f t="shared" si="17"/>
        <v>-</v>
      </c>
      <c r="AE24" s="31" t="str">
        <f t="shared" si="17"/>
        <v>-</v>
      </c>
      <c r="AF24" s="31" t="str">
        <f t="shared" si="17"/>
        <v>-</v>
      </c>
      <c r="AG24" s="38" t="str">
        <f t="shared" si="17"/>
        <v>-</v>
      </c>
    </row>
    <row r="25" spans="3:33" s="46" customFormat="1" ht="15" hidden="1" customHeight="1" outlineLevel="1">
      <c r="C25" s="47" t="s">
        <v>13</v>
      </c>
      <c r="D25" s="48" t="str">
        <f t="shared" ref="D25:L25" si="18">IF($D$2=FALSE,"-",IF(OR(E24=0,E24="",D24=0,D24=""),0,(D24-E24)/ABS(E24)))</f>
        <v>-</v>
      </c>
      <c r="E25" s="49" t="str">
        <f t="shared" si="18"/>
        <v>-</v>
      </c>
      <c r="F25" s="49" t="str">
        <f t="shared" si="18"/>
        <v>-</v>
      </c>
      <c r="G25" s="50" t="str">
        <f t="shared" si="18"/>
        <v>-</v>
      </c>
      <c r="H25" s="49" t="str">
        <f t="shared" si="18"/>
        <v>-</v>
      </c>
      <c r="I25" s="51" t="str">
        <f t="shared" si="18"/>
        <v>-</v>
      </c>
      <c r="J25" s="49" t="str">
        <f t="shared" si="18"/>
        <v>-</v>
      </c>
      <c r="K25" s="49" t="str">
        <f t="shared" si="18"/>
        <v>-</v>
      </c>
      <c r="L25" s="49" t="str">
        <f t="shared" si="18"/>
        <v>-</v>
      </c>
      <c r="M25" s="52"/>
      <c r="N25" s="48" t="str">
        <f t="shared" ref="N25:AG25" si="19">IF($D$2=FALSE,"-",IF(OR(O24=0,O24="",N24=0,N24=""),0,(N24-O24)/ABS(O24)))</f>
        <v>-</v>
      </c>
      <c r="O25" s="49" t="str">
        <f t="shared" si="19"/>
        <v>-</v>
      </c>
      <c r="P25" s="49" t="str">
        <f t="shared" si="19"/>
        <v>-</v>
      </c>
      <c r="Q25" s="49" t="str">
        <f t="shared" si="19"/>
        <v>-</v>
      </c>
      <c r="R25" s="49" t="str">
        <f t="shared" si="19"/>
        <v>-</v>
      </c>
      <c r="S25" s="49" t="str">
        <f t="shared" si="19"/>
        <v>-</v>
      </c>
      <c r="T25" s="49" t="str">
        <f t="shared" si="19"/>
        <v>-</v>
      </c>
      <c r="U25" s="49" t="str">
        <f t="shared" si="19"/>
        <v>-</v>
      </c>
      <c r="V25" s="49" t="str">
        <f t="shared" si="19"/>
        <v>-</v>
      </c>
      <c r="W25" s="49" t="str">
        <f t="shared" si="19"/>
        <v>-</v>
      </c>
      <c r="X25" s="49" t="str">
        <f t="shared" si="19"/>
        <v>-</v>
      </c>
      <c r="Y25" s="49" t="str">
        <f t="shared" si="19"/>
        <v>-</v>
      </c>
      <c r="Z25" s="49" t="str">
        <f t="shared" si="19"/>
        <v>-</v>
      </c>
      <c r="AA25" s="49" t="str">
        <f t="shared" si="19"/>
        <v>-</v>
      </c>
      <c r="AB25" s="49" t="str">
        <f t="shared" si="19"/>
        <v>-</v>
      </c>
      <c r="AC25" s="49" t="str">
        <f t="shared" si="19"/>
        <v>-</v>
      </c>
      <c r="AD25" s="49" t="str">
        <f t="shared" si="19"/>
        <v>-</v>
      </c>
      <c r="AE25" s="49" t="str">
        <f t="shared" si="19"/>
        <v>-</v>
      </c>
      <c r="AF25" s="49" t="str">
        <f t="shared" si="19"/>
        <v>-</v>
      </c>
      <c r="AG25" s="52" t="str">
        <f t="shared" si="19"/>
        <v>-</v>
      </c>
    </row>
    <row r="26" spans="3:33" ht="15" hidden="1" customHeight="1" outlineLevel="1">
      <c r="C26" s="34" t="s">
        <v>18</v>
      </c>
      <c r="D26" s="35" t="str">
        <f t="shared" ref="D26:AG26" si="20">IF($D$2=FALSE,"-",IF(D12=0,0,+D100/D12))</f>
        <v>-</v>
      </c>
      <c r="E26" s="31" t="str">
        <f t="shared" si="20"/>
        <v>-</v>
      </c>
      <c r="F26" s="31" t="str">
        <f t="shared" si="20"/>
        <v>-</v>
      </c>
      <c r="G26" s="36" t="str">
        <f t="shared" si="20"/>
        <v>-</v>
      </c>
      <c r="H26" s="31" t="str">
        <f t="shared" si="20"/>
        <v>-</v>
      </c>
      <c r="I26" s="37" t="str">
        <f t="shared" si="20"/>
        <v>-</v>
      </c>
      <c r="J26" s="31" t="str">
        <f t="shared" si="20"/>
        <v>-</v>
      </c>
      <c r="K26" s="31" t="str">
        <f t="shared" si="20"/>
        <v>-</v>
      </c>
      <c r="L26" s="31" t="str">
        <f t="shared" si="20"/>
        <v>-</v>
      </c>
      <c r="M26" s="38" t="str">
        <f t="shared" si="20"/>
        <v>-</v>
      </c>
      <c r="N26" s="35" t="str">
        <f t="shared" si="20"/>
        <v>-</v>
      </c>
      <c r="O26" s="31" t="str">
        <f t="shared" si="20"/>
        <v>-</v>
      </c>
      <c r="P26" s="31" t="str">
        <f t="shared" si="20"/>
        <v>-</v>
      </c>
      <c r="Q26" s="31" t="str">
        <f t="shared" si="20"/>
        <v>-</v>
      </c>
      <c r="R26" s="31" t="str">
        <f t="shared" si="20"/>
        <v>-</v>
      </c>
      <c r="S26" s="31" t="str">
        <f t="shared" si="20"/>
        <v>-</v>
      </c>
      <c r="T26" s="31" t="str">
        <f t="shared" si="20"/>
        <v>-</v>
      </c>
      <c r="U26" s="31" t="str">
        <f t="shared" si="20"/>
        <v>-</v>
      </c>
      <c r="V26" s="31" t="str">
        <f t="shared" si="20"/>
        <v>-</v>
      </c>
      <c r="W26" s="31" t="str">
        <f t="shared" si="20"/>
        <v>-</v>
      </c>
      <c r="X26" s="31" t="str">
        <f t="shared" si="20"/>
        <v>-</v>
      </c>
      <c r="Y26" s="31" t="str">
        <f t="shared" si="20"/>
        <v>-</v>
      </c>
      <c r="Z26" s="31" t="str">
        <f t="shared" si="20"/>
        <v>-</v>
      </c>
      <c r="AA26" s="31" t="str">
        <f t="shared" si="20"/>
        <v>-</v>
      </c>
      <c r="AB26" s="31" t="str">
        <f t="shared" si="20"/>
        <v>-</v>
      </c>
      <c r="AC26" s="31" t="str">
        <f t="shared" si="20"/>
        <v>-</v>
      </c>
      <c r="AD26" s="31" t="str">
        <f t="shared" si="20"/>
        <v>-</v>
      </c>
      <c r="AE26" s="31" t="str">
        <f t="shared" si="20"/>
        <v>-</v>
      </c>
      <c r="AF26" s="31" t="str">
        <f t="shared" si="20"/>
        <v>-</v>
      </c>
      <c r="AG26" s="38" t="str">
        <f t="shared" si="20"/>
        <v>-</v>
      </c>
    </row>
    <row r="27" spans="3:33" s="46" customFormat="1" ht="15" hidden="1" customHeight="1" outlineLevel="1">
      <c r="C27" s="47" t="s">
        <v>13</v>
      </c>
      <c r="D27" s="48" t="str">
        <f t="shared" ref="D27:L27" si="21">IF($D$2=FALSE,"-",IF(OR(E26=0,E26="",D26=0,D26=""),0,(D26-E26)/ABS(E26)))</f>
        <v>-</v>
      </c>
      <c r="E27" s="49" t="str">
        <f t="shared" si="21"/>
        <v>-</v>
      </c>
      <c r="F27" s="49" t="str">
        <f t="shared" si="21"/>
        <v>-</v>
      </c>
      <c r="G27" s="50" t="str">
        <f t="shared" si="21"/>
        <v>-</v>
      </c>
      <c r="H27" s="49" t="str">
        <f t="shared" si="21"/>
        <v>-</v>
      </c>
      <c r="I27" s="51" t="str">
        <f t="shared" si="21"/>
        <v>-</v>
      </c>
      <c r="J27" s="49" t="str">
        <f t="shared" si="21"/>
        <v>-</v>
      </c>
      <c r="K27" s="49" t="str">
        <f t="shared" si="21"/>
        <v>-</v>
      </c>
      <c r="L27" s="49" t="str">
        <f t="shared" si="21"/>
        <v>-</v>
      </c>
      <c r="M27" s="52"/>
      <c r="N27" s="48" t="str">
        <f t="shared" ref="N27:AG27" si="22">IF($D$2=FALSE,"-",IF(OR(O26=0,O26="",N26=0,N26=""),0,(N26-O26)/ABS(O26)))</f>
        <v>-</v>
      </c>
      <c r="O27" s="49" t="str">
        <f t="shared" si="22"/>
        <v>-</v>
      </c>
      <c r="P27" s="49" t="str">
        <f t="shared" si="22"/>
        <v>-</v>
      </c>
      <c r="Q27" s="49" t="str">
        <f t="shared" si="22"/>
        <v>-</v>
      </c>
      <c r="R27" s="49" t="str">
        <f t="shared" si="22"/>
        <v>-</v>
      </c>
      <c r="S27" s="49" t="str">
        <f t="shared" si="22"/>
        <v>-</v>
      </c>
      <c r="T27" s="49" t="str">
        <f t="shared" si="22"/>
        <v>-</v>
      </c>
      <c r="U27" s="49" t="str">
        <f t="shared" si="22"/>
        <v>-</v>
      </c>
      <c r="V27" s="49" t="str">
        <f t="shared" si="22"/>
        <v>-</v>
      </c>
      <c r="W27" s="49" t="str">
        <f t="shared" si="22"/>
        <v>-</v>
      </c>
      <c r="X27" s="49" t="str">
        <f t="shared" si="22"/>
        <v>-</v>
      </c>
      <c r="Y27" s="49" t="str">
        <f t="shared" si="22"/>
        <v>-</v>
      </c>
      <c r="Z27" s="49" t="str">
        <f t="shared" si="22"/>
        <v>-</v>
      </c>
      <c r="AA27" s="49" t="str">
        <f t="shared" si="22"/>
        <v>-</v>
      </c>
      <c r="AB27" s="49" t="str">
        <f t="shared" si="22"/>
        <v>-</v>
      </c>
      <c r="AC27" s="49" t="str">
        <f t="shared" si="22"/>
        <v>-</v>
      </c>
      <c r="AD27" s="49" t="str">
        <f t="shared" si="22"/>
        <v>-</v>
      </c>
      <c r="AE27" s="49" t="str">
        <f t="shared" si="22"/>
        <v>-</v>
      </c>
      <c r="AF27" s="49" t="str">
        <f t="shared" si="22"/>
        <v>-</v>
      </c>
      <c r="AG27" s="52" t="str">
        <f t="shared" si="22"/>
        <v>-</v>
      </c>
    </row>
    <row r="28" spans="3:33" ht="15" hidden="1" customHeight="1" outlineLevel="1">
      <c r="C28" s="34" t="s">
        <v>19</v>
      </c>
      <c r="D28" s="35" t="str">
        <f t="shared" ref="D28:AG28" si="23">IF($D$2=FALSE,"-",+D121/D12)</f>
        <v>-</v>
      </c>
      <c r="E28" s="31" t="str">
        <f t="shared" si="23"/>
        <v>-</v>
      </c>
      <c r="F28" s="31" t="str">
        <f t="shared" si="23"/>
        <v>-</v>
      </c>
      <c r="G28" s="36" t="str">
        <f t="shared" si="23"/>
        <v>-</v>
      </c>
      <c r="H28" s="31" t="str">
        <f t="shared" si="23"/>
        <v>-</v>
      </c>
      <c r="I28" s="37" t="str">
        <f t="shared" si="23"/>
        <v>-</v>
      </c>
      <c r="J28" s="31" t="str">
        <f t="shared" si="23"/>
        <v>-</v>
      </c>
      <c r="K28" s="31" t="str">
        <f t="shared" si="23"/>
        <v>-</v>
      </c>
      <c r="L28" s="31" t="str">
        <f t="shared" si="23"/>
        <v>-</v>
      </c>
      <c r="M28" s="38" t="str">
        <f t="shared" si="23"/>
        <v>-</v>
      </c>
      <c r="N28" s="35" t="str">
        <f t="shared" si="23"/>
        <v>-</v>
      </c>
      <c r="O28" s="31" t="str">
        <f t="shared" si="23"/>
        <v>-</v>
      </c>
      <c r="P28" s="31" t="str">
        <f t="shared" si="23"/>
        <v>-</v>
      </c>
      <c r="Q28" s="31" t="str">
        <f t="shared" si="23"/>
        <v>-</v>
      </c>
      <c r="R28" s="31" t="str">
        <f t="shared" si="23"/>
        <v>-</v>
      </c>
      <c r="S28" s="31" t="str">
        <f t="shared" si="23"/>
        <v>-</v>
      </c>
      <c r="T28" s="31" t="str">
        <f t="shared" si="23"/>
        <v>-</v>
      </c>
      <c r="U28" s="31" t="str">
        <f t="shared" si="23"/>
        <v>-</v>
      </c>
      <c r="V28" s="31" t="str">
        <f t="shared" si="23"/>
        <v>-</v>
      </c>
      <c r="W28" s="31" t="str">
        <f t="shared" si="23"/>
        <v>-</v>
      </c>
      <c r="X28" s="31" t="str">
        <f t="shared" si="23"/>
        <v>-</v>
      </c>
      <c r="Y28" s="31" t="str">
        <f t="shared" si="23"/>
        <v>-</v>
      </c>
      <c r="Z28" s="31" t="str">
        <f t="shared" si="23"/>
        <v>-</v>
      </c>
      <c r="AA28" s="31" t="str">
        <f t="shared" si="23"/>
        <v>-</v>
      </c>
      <c r="AB28" s="31" t="str">
        <f t="shared" si="23"/>
        <v>-</v>
      </c>
      <c r="AC28" s="31" t="str">
        <f t="shared" si="23"/>
        <v>-</v>
      </c>
      <c r="AD28" s="31" t="str">
        <f t="shared" si="23"/>
        <v>-</v>
      </c>
      <c r="AE28" s="31" t="str">
        <f t="shared" si="23"/>
        <v>-</v>
      </c>
      <c r="AF28" s="31" t="str">
        <f t="shared" si="23"/>
        <v>-</v>
      </c>
      <c r="AG28" s="38" t="str">
        <f t="shared" si="23"/>
        <v>-</v>
      </c>
    </row>
    <row r="29" spans="3:33" s="46" customFormat="1" ht="15" hidden="1" customHeight="1" outlineLevel="1">
      <c r="C29" s="47" t="s">
        <v>13</v>
      </c>
      <c r="D29" s="48" t="str">
        <f t="shared" ref="D29:L29" si="24">IF($D$2=FALSE,"-",IF(OR(E28=0,E28="",D28=0,D28=""),0,(D28-E28)/ABS(E28)))</f>
        <v>-</v>
      </c>
      <c r="E29" s="49" t="str">
        <f t="shared" si="24"/>
        <v>-</v>
      </c>
      <c r="F29" s="49" t="str">
        <f t="shared" si="24"/>
        <v>-</v>
      </c>
      <c r="G29" s="50" t="str">
        <f t="shared" si="24"/>
        <v>-</v>
      </c>
      <c r="H29" s="49" t="str">
        <f t="shared" si="24"/>
        <v>-</v>
      </c>
      <c r="I29" s="51" t="str">
        <f t="shared" si="24"/>
        <v>-</v>
      </c>
      <c r="J29" s="49" t="str">
        <f t="shared" si="24"/>
        <v>-</v>
      </c>
      <c r="K29" s="49" t="str">
        <f t="shared" si="24"/>
        <v>-</v>
      </c>
      <c r="L29" s="49" t="str">
        <f t="shared" si="24"/>
        <v>-</v>
      </c>
      <c r="M29" s="52"/>
      <c r="N29" s="48" t="str">
        <f t="shared" ref="N29:AG29" si="25">IF($D$2=FALSE,"-",IF(OR(O28=0,O28="",N28=0,N28=""),0,(N28-O28)/ABS(O28)))</f>
        <v>-</v>
      </c>
      <c r="O29" s="49" t="str">
        <f t="shared" si="25"/>
        <v>-</v>
      </c>
      <c r="P29" s="49" t="str">
        <f t="shared" si="25"/>
        <v>-</v>
      </c>
      <c r="Q29" s="49" t="str">
        <f t="shared" si="25"/>
        <v>-</v>
      </c>
      <c r="R29" s="49" t="str">
        <f t="shared" si="25"/>
        <v>-</v>
      </c>
      <c r="S29" s="49" t="str">
        <f t="shared" si="25"/>
        <v>-</v>
      </c>
      <c r="T29" s="49" t="str">
        <f t="shared" si="25"/>
        <v>-</v>
      </c>
      <c r="U29" s="49" t="str">
        <f t="shared" si="25"/>
        <v>-</v>
      </c>
      <c r="V29" s="49" t="str">
        <f t="shared" si="25"/>
        <v>-</v>
      </c>
      <c r="W29" s="49" t="str">
        <f t="shared" si="25"/>
        <v>-</v>
      </c>
      <c r="X29" s="49" t="str">
        <f t="shared" si="25"/>
        <v>-</v>
      </c>
      <c r="Y29" s="49" t="str">
        <f t="shared" si="25"/>
        <v>-</v>
      </c>
      <c r="Z29" s="49" t="str">
        <f t="shared" si="25"/>
        <v>-</v>
      </c>
      <c r="AA29" s="49" t="str">
        <f t="shared" si="25"/>
        <v>-</v>
      </c>
      <c r="AB29" s="49" t="str">
        <f t="shared" si="25"/>
        <v>-</v>
      </c>
      <c r="AC29" s="49" t="str">
        <f t="shared" si="25"/>
        <v>-</v>
      </c>
      <c r="AD29" s="49" t="str">
        <f t="shared" si="25"/>
        <v>-</v>
      </c>
      <c r="AE29" s="49" t="str">
        <f t="shared" si="25"/>
        <v>-</v>
      </c>
      <c r="AF29" s="49" t="str">
        <f t="shared" si="25"/>
        <v>-</v>
      </c>
      <c r="AG29" s="52" t="str">
        <f t="shared" si="25"/>
        <v>-</v>
      </c>
    </row>
    <row r="30" spans="3:33" ht="15" hidden="1" customHeight="1" outlineLevel="1">
      <c r="C30" s="34" t="s">
        <v>20</v>
      </c>
      <c r="D30" s="35" t="str">
        <f t="shared" ref="D30:AG30" si="26">IF($D$2=FALSE,"-",IF(D12=0,0,(+D131+D132)/D12))</f>
        <v>-</v>
      </c>
      <c r="E30" s="31" t="str">
        <f t="shared" si="26"/>
        <v>-</v>
      </c>
      <c r="F30" s="31" t="str">
        <f t="shared" si="26"/>
        <v>-</v>
      </c>
      <c r="G30" s="36" t="str">
        <f t="shared" si="26"/>
        <v>-</v>
      </c>
      <c r="H30" s="31" t="str">
        <f t="shared" si="26"/>
        <v>-</v>
      </c>
      <c r="I30" s="37" t="str">
        <f t="shared" si="26"/>
        <v>-</v>
      </c>
      <c r="J30" s="31" t="str">
        <f t="shared" si="26"/>
        <v>-</v>
      </c>
      <c r="K30" s="31" t="str">
        <f t="shared" si="26"/>
        <v>-</v>
      </c>
      <c r="L30" s="31" t="str">
        <f t="shared" si="26"/>
        <v>-</v>
      </c>
      <c r="M30" s="38" t="str">
        <f t="shared" si="26"/>
        <v>-</v>
      </c>
      <c r="N30" s="35" t="str">
        <f t="shared" si="26"/>
        <v>-</v>
      </c>
      <c r="O30" s="31" t="str">
        <f t="shared" si="26"/>
        <v>-</v>
      </c>
      <c r="P30" s="31" t="str">
        <f t="shared" si="26"/>
        <v>-</v>
      </c>
      <c r="Q30" s="31" t="str">
        <f t="shared" si="26"/>
        <v>-</v>
      </c>
      <c r="R30" s="31" t="str">
        <f t="shared" si="26"/>
        <v>-</v>
      </c>
      <c r="S30" s="31" t="str">
        <f t="shared" si="26"/>
        <v>-</v>
      </c>
      <c r="T30" s="31" t="str">
        <f t="shared" si="26"/>
        <v>-</v>
      </c>
      <c r="U30" s="31" t="str">
        <f t="shared" si="26"/>
        <v>-</v>
      </c>
      <c r="V30" s="31" t="str">
        <f t="shared" si="26"/>
        <v>-</v>
      </c>
      <c r="W30" s="31" t="str">
        <f t="shared" si="26"/>
        <v>-</v>
      </c>
      <c r="X30" s="31" t="str">
        <f t="shared" si="26"/>
        <v>-</v>
      </c>
      <c r="Y30" s="31" t="str">
        <f t="shared" si="26"/>
        <v>-</v>
      </c>
      <c r="Z30" s="31" t="str">
        <f t="shared" si="26"/>
        <v>-</v>
      </c>
      <c r="AA30" s="31" t="str">
        <f t="shared" si="26"/>
        <v>-</v>
      </c>
      <c r="AB30" s="31" t="str">
        <f t="shared" si="26"/>
        <v>-</v>
      </c>
      <c r="AC30" s="31" t="str">
        <f t="shared" si="26"/>
        <v>-</v>
      </c>
      <c r="AD30" s="31" t="str">
        <f t="shared" si="26"/>
        <v>-</v>
      </c>
      <c r="AE30" s="31" t="str">
        <f t="shared" si="26"/>
        <v>-</v>
      </c>
      <c r="AF30" s="31" t="str">
        <f t="shared" si="26"/>
        <v>-</v>
      </c>
      <c r="AG30" s="38" t="str">
        <f t="shared" si="26"/>
        <v>-</v>
      </c>
    </row>
    <row r="31" spans="3:33" s="46" customFormat="1" ht="15" hidden="1" customHeight="1" outlineLevel="1">
      <c r="C31" s="47" t="s">
        <v>13</v>
      </c>
      <c r="D31" s="48" t="str">
        <f t="shared" ref="D31:L31" si="27">IF($D$2=FALSE,"-",IF(OR(E30=0,E30="",D30=0,D30=""),0,(D30-E30)/ABS(E30)))</f>
        <v>-</v>
      </c>
      <c r="E31" s="49" t="str">
        <f t="shared" si="27"/>
        <v>-</v>
      </c>
      <c r="F31" s="49" t="str">
        <f t="shared" si="27"/>
        <v>-</v>
      </c>
      <c r="G31" s="50" t="str">
        <f t="shared" si="27"/>
        <v>-</v>
      </c>
      <c r="H31" s="49" t="str">
        <f t="shared" si="27"/>
        <v>-</v>
      </c>
      <c r="I31" s="51" t="str">
        <f t="shared" si="27"/>
        <v>-</v>
      </c>
      <c r="J31" s="49" t="str">
        <f t="shared" si="27"/>
        <v>-</v>
      </c>
      <c r="K31" s="49" t="str">
        <f t="shared" si="27"/>
        <v>-</v>
      </c>
      <c r="L31" s="49" t="str">
        <f t="shared" si="27"/>
        <v>-</v>
      </c>
      <c r="M31" s="52"/>
      <c r="N31" s="48" t="str">
        <f t="shared" ref="N31:AG31" si="28">IF($D$2=FALSE,"-",IF(OR(O30=0,O30="",N30=0,N30=""),0,(N30-O30)/ABS(O30)))</f>
        <v>-</v>
      </c>
      <c r="O31" s="49" t="str">
        <f t="shared" si="28"/>
        <v>-</v>
      </c>
      <c r="P31" s="49" t="str">
        <f t="shared" si="28"/>
        <v>-</v>
      </c>
      <c r="Q31" s="49" t="str">
        <f t="shared" si="28"/>
        <v>-</v>
      </c>
      <c r="R31" s="49" t="str">
        <f t="shared" si="28"/>
        <v>-</v>
      </c>
      <c r="S31" s="49" t="str">
        <f t="shared" si="28"/>
        <v>-</v>
      </c>
      <c r="T31" s="49" t="str">
        <f t="shared" si="28"/>
        <v>-</v>
      </c>
      <c r="U31" s="49" t="str">
        <f t="shared" si="28"/>
        <v>-</v>
      </c>
      <c r="V31" s="49" t="str">
        <f t="shared" si="28"/>
        <v>-</v>
      </c>
      <c r="W31" s="49" t="str">
        <f t="shared" si="28"/>
        <v>-</v>
      </c>
      <c r="X31" s="49" t="str">
        <f t="shared" si="28"/>
        <v>-</v>
      </c>
      <c r="Y31" s="49" t="str">
        <f t="shared" si="28"/>
        <v>-</v>
      </c>
      <c r="Z31" s="49" t="str">
        <f t="shared" si="28"/>
        <v>-</v>
      </c>
      <c r="AA31" s="49" t="str">
        <f t="shared" si="28"/>
        <v>-</v>
      </c>
      <c r="AB31" s="49" t="str">
        <f t="shared" si="28"/>
        <v>-</v>
      </c>
      <c r="AC31" s="49" t="str">
        <f t="shared" si="28"/>
        <v>-</v>
      </c>
      <c r="AD31" s="49" t="str">
        <f t="shared" si="28"/>
        <v>-</v>
      </c>
      <c r="AE31" s="49" t="str">
        <f t="shared" si="28"/>
        <v>-</v>
      </c>
      <c r="AF31" s="49" t="str">
        <f t="shared" si="28"/>
        <v>-</v>
      </c>
      <c r="AG31" s="52" t="str">
        <f t="shared" si="28"/>
        <v>-</v>
      </c>
    </row>
    <row r="32" spans="3:33" s="12" customFormat="1" ht="15" customHeight="1" collapsed="1">
      <c r="C32" s="23" t="s">
        <v>21</v>
      </c>
      <c r="D32" s="24"/>
      <c r="E32" s="25"/>
      <c r="F32" s="25"/>
      <c r="G32" s="25"/>
      <c r="H32" s="25"/>
      <c r="I32" s="25"/>
      <c r="J32" s="25"/>
      <c r="K32" s="25"/>
      <c r="L32" s="25"/>
      <c r="M32" s="26"/>
      <c r="N32" s="24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6"/>
    </row>
    <row r="33" spans="3:33" ht="15" hidden="1" customHeight="1" outlineLevel="1">
      <c r="C33" s="34" t="s">
        <v>22</v>
      </c>
      <c r="D33" s="35" t="str">
        <f t="shared" ref="D33:AG33" si="29">IF($D$2=FALSE,"-",+D468)</f>
        <v>-</v>
      </c>
      <c r="E33" s="31" t="str">
        <f t="shared" si="29"/>
        <v>-</v>
      </c>
      <c r="F33" s="31" t="str">
        <f t="shared" si="29"/>
        <v>-</v>
      </c>
      <c r="G33" s="36" t="str">
        <f t="shared" si="29"/>
        <v>-</v>
      </c>
      <c r="H33" s="31" t="str">
        <f t="shared" si="29"/>
        <v>-</v>
      </c>
      <c r="I33" s="37" t="str">
        <f t="shared" si="29"/>
        <v>-</v>
      </c>
      <c r="J33" s="31" t="str">
        <f t="shared" si="29"/>
        <v>-</v>
      </c>
      <c r="K33" s="31" t="str">
        <f t="shared" si="29"/>
        <v>-</v>
      </c>
      <c r="L33" s="31" t="str">
        <f t="shared" si="29"/>
        <v>-</v>
      </c>
      <c r="M33" s="38" t="str">
        <f t="shared" si="29"/>
        <v>-</v>
      </c>
      <c r="N33" s="35" t="str">
        <f t="shared" si="29"/>
        <v>-</v>
      </c>
      <c r="O33" s="31" t="str">
        <f t="shared" si="29"/>
        <v>-</v>
      </c>
      <c r="P33" s="31" t="str">
        <f t="shared" si="29"/>
        <v>-</v>
      </c>
      <c r="Q33" s="31" t="str">
        <f t="shared" si="29"/>
        <v>-</v>
      </c>
      <c r="R33" s="31" t="str">
        <f t="shared" si="29"/>
        <v>-</v>
      </c>
      <c r="S33" s="31" t="str">
        <f t="shared" si="29"/>
        <v>-</v>
      </c>
      <c r="T33" s="31" t="str">
        <f t="shared" si="29"/>
        <v>-</v>
      </c>
      <c r="U33" s="31" t="str">
        <f t="shared" si="29"/>
        <v>-</v>
      </c>
      <c r="V33" s="31" t="str">
        <f t="shared" si="29"/>
        <v>-</v>
      </c>
      <c r="W33" s="31" t="str">
        <f t="shared" si="29"/>
        <v>-</v>
      </c>
      <c r="X33" s="31" t="str">
        <f t="shared" si="29"/>
        <v>-</v>
      </c>
      <c r="Y33" s="31" t="str">
        <f t="shared" si="29"/>
        <v>-</v>
      </c>
      <c r="Z33" s="31" t="str">
        <f t="shared" si="29"/>
        <v>-</v>
      </c>
      <c r="AA33" s="31" t="str">
        <f t="shared" si="29"/>
        <v>-</v>
      </c>
      <c r="AB33" s="31" t="str">
        <f t="shared" si="29"/>
        <v>-</v>
      </c>
      <c r="AC33" s="31" t="str">
        <f t="shared" si="29"/>
        <v>-</v>
      </c>
      <c r="AD33" s="31" t="str">
        <f t="shared" si="29"/>
        <v>-</v>
      </c>
      <c r="AE33" s="31" t="str">
        <f t="shared" si="29"/>
        <v>-</v>
      </c>
      <c r="AF33" s="31" t="str">
        <f t="shared" si="29"/>
        <v>-</v>
      </c>
      <c r="AG33" s="38" t="str">
        <f t="shared" si="29"/>
        <v>-</v>
      </c>
    </row>
    <row r="34" spans="3:33" ht="15" hidden="1" customHeight="1" outlineLevel="1">
      <c r="C34" s="53" t="s">
        <v>23</v>
      </c>
      <c r="D34" s="54" t="str">
        <f t="shared" ref="D34:AG34" si="30">IF($D$2=FALSE,"-",+D469)</f>
        <v>-</v>
      </c>
      <c r="E34" s="55" t="str">
        <f t="shared" si="30"/>
        <v>-</v>
      </c>
      <c r="F34" s="55" t="str">
        <f t="shared" si="30"/>
        <v>-</v>
      </c>
      <c r="G34" s="56" t="str">
        <f t="shared" si="30"/>
        <v>-</v>
      </c>
      <c r="H34" s="55" t="str">
        <f t="shared" si="30"/>
        <v>-</v>
      </c>
      <c r="I34" s="57" t="str">
        <f t="shared" si="30"/>
        <v>-</v>
      </c>
      <c r="J34" s="55" t="str">
        <f t="shared" si="30"/>
        <v>-</v>
      </c>
      <c r="K34" s="55" t="str">
        <f t="shared" si="30"/>
        <v>-</v>
      </c>
      <c r="L34" s="55" t="str">
        <f t="shared" si="30"/>
        <v>-</v>
      </c>
      <c r="M34" s="58" t="str">
        <f t="shared" si="30"/>
        <v>-</v>
      </c>
      <c r="N34" s="54" t="str">
        <f t="shared" si="30"/>
        <v>-</v>
      </c>
      <c r="O34" s="55" t="str">
        <f t="shared" si="30"/>
        <v>-</v>
      </c>
      <c r="P34" s="55" t="str">
        <f t="shared" si="30"/>
        <v>-</v>
      </c>
      <c r="Q34" s="55" t="str">
        <f t="shared" si="30"/>
        <v>-</v>
      </c>
      <c r="R34" s="55" t="str">
        <f t="shared" si="30"/>
        <v>-</v>
      </c>
      <c r="S34" s="55" t="str">
        <f t="shared" si="30"/>
        <v>-</v>
      </c>
      <c r="T34" s="55" t="str">
        <f t="shared" si="30"/>
        <v>-</v>
      </c>
      <c r="U34" s="55" t="str">
        <f t="shared" si="30"/>
        <v>-</v>
      </c>
      <c r="V34" s="55" t="str">
        <f t="shared" si="30"/>
        <v>-</v>
      </c>
      <c r="W34" s="55" t="str">
        <f t="shared" si="30"/>
        <v>-</v>
      </c>
      <c r="X34" s="55" t="str">
        <f t="shared" si="30"/>
        <v>-</v>
      </c>
      <c r="Y34" s="55" t="str">
        <f t="shared" si="30"/>
        <v>-</v>
      </c>
      <c r="Z34" s="55" t="str">
        <f t="shared" si="30"/>
        <v>-</v>
      </c>
      <c r="AA34" s="55" t="str">
        <f t="shared" si="30"/>
        <v>-</v>
      </c>
      <c r="AB34" s="55" t="str">
        <f t="shared" si="30"/>
        <v>-</v>
      </c>
      <c r="AC34" s="55" t="str">
        <f t="shared" si="30"/>
        <v>-</v>
      </c>
      <c r="AD34" s="55" t="str">
        <f t="shared" si="30"/>
        <v>-</v>
      </c>
      <c r="AE34" s="55" t="str">
        <f t="shared" si="30"/>
        <v>-</v>
      </c>
      <c r="AF34" s="55" t="str">
        <f t="shared" si="30"/>
        <v>-</v>
      </c>
      <c r="AG34" s="58" t="str">
        <f t="shared" si="30"/>
        <v>-</v>
      </c>
    </row>
    <row r="35" spans="3:33" ht="15" hidden="1" customHeight="1" outlineLevel="1">
      <c r="C35" s="53" t="s">
        <v>24</v>
      </c>
      <c r="D35" s="54" t="str">
        <f t="shared" ref="D35:AG35" si="31">IF($D$2=FALSE,"-",+D470)</f>
        <v>-</v>
      </c>
      <c r="E35" s="55" t="str">
        <f t="shared" si="31"/>
        <v>-</v>
      </c>
      <c r="F35" s="55" t="str">
        <f t="shared" si="31"/>
        <v>-</v>
      </c>
      <c r="G35" s="56" t="str">
        <f t="shared" si="31"/>
        <v>-</v>
      </c>
      <c r="H35" s="55" t="str">
        <f t="shared" si="31"/>
        <v>-</v>
      </c>
      <c r="I35" s="57" t="str">
        <f t="shared" si="31"/>
        <v>-</v>
      </c>
      <c r="J35" s="55" t="str">
        <f t="shared" si="31"/>
        <v>-</v>
      </c>
      <c r="K35" s="55" t="str">
        <f t="shared" si="31"/>
        <v>-</v>
      </c>
      <c r="L35" s="55" t="str">
        <f t="shared" si="31"/>
        <v>-</v>
      </c>
      <c r="M35" s="58" t="str">
        <f t="shared" si="31"/>
        <v>-</v>
      </c>
      <c r="N35" s="54" t="str">
        <f t="shared" si="31"/>
        <v>-</v>
      </c>
      <c r="O35" s="55" t="str">
        <f t="shared" si="31"/>
        <v>-</v>
      </c>
      <c r="P35" s="55" t="str">
        <f t="shared" si="31"/>
        <v>-</v>
      </c>
      <c r="Q35" s="55" t="str">
        <f t="shared" si="31"/>
        <v>-</v>
      </c>
      <c r="R35" s="55" t="str">
        <f t="shared" si="31"/>
        <v>-</v>
      </c>
      <c r="S35" s="55" t="str">
        <f t="shared" si="31"/>
        <v>-</v>
      </c>
      <c r="T35" s="55" t="str">
        <f t="shared" si="31"/>
        <v>-</v>
      </c>
      <c r="U35" s="55" t="str">
        <f t="shared" si="31"/>
        <v>-</v>
      </c>
      <c r="V35" s="55" t="str">
        <f t="shared" si="31"/>
        <v>-</v>
      </c>
      <c r="W35" s="55" t="str">
        <f t="shared" si="31"/>
        <v>-</v>
      </c>
      <c r="X35" s="55" t="str">
        <f t="shared" si="31"/>
        <v>-</v>
      </c>
      <c r="Y35" s="55" t="str">
        <f t="shared" si="31"/>
        <v>-</v>
      </c>
      <c r="Z35" s="55" t="str">
        <f t="shared" si="31"/>
        <v>-</v>
      </c>
      <c r="AA35" s="55" t="str">
        <f t="shared" si="31"/>
        <v>-</v>
      </c>
      <c r="AB35" s="55" t="str">
        <f t="shared" si="31"/>
        <v>-</v>
      </c>
      <c r="AC35" s="55" t="str">
        <f t="shared" si="31"/>
        <v>-</v>
      </c>
      <c r="AD35" s="55" t="str">
        <f t="shared" si="31"/>
        <v>-</v>
      </c>
      <c r="AE35" s="55" t="str">
        <f t="shared" si="31"/>
        <v>-</v>
      </c>
      <c r="AF35" s="59" t="str">
        <f t="shared" si="31"/>
        <v>-</v>
      </c>
      <c r="AG35" s="58" t="str">
        <f t="shared" si="31"/>
        <v>-</v>
      </c>
    </row>
    <row r="36" spans="3:33" ht="15" hidden="1" customHeight="1" outlineLevel="1">
      <c r="C36" s="34" t="s">
        <v>25</v>
      </c>
      <c r="D36" s="35" t="str">
        <f t="shared" ref="D36:M36" si="32">IF($D$2=FALSE,"-",+D13/D18)</f>
        <v>-</v>
      </c>
      <c r="E36" s="31" t="str">
        <f t="shared" si="32"/>
        <v>-</v>
      </c>
      <c r="F36" s="31" t="str">
        <f t="shared" si="32"/>
        <v>-</v>
      </c>
      <c r="G36" s="36" t="str">
        <f t="shared" si="32"/>
        <v>-</v>
      </c>
      <c r="H36" s="31" t="str">
        <f t="shared" si="32"/>
        <v>-</v>
      </c>
      <c r="I36" s="37" t="str">
        <f t="shared" si="32"/>
        <v>-</v>
      </c>
      <c r="J36" s="31" t="str">
        <f t="shared" si="32"/>
        <v>-</v>
      </c>
      <c r="K36" s="31" t="str">
        <f t="shared" si="32"/>
        <v>-</v>
      </c>
      <c r="L36" s="31" t="str">
        <f t="shared" si="32"/>
        <v>-</v>
      </c>
      <c r="M36" s="38" t="str">
        <f t="shared" si="32"/>
        <v>-</v>
      </c>
      <c r="N36" s="35" t="str">
        <f t="shared" ref="N36:AG36" si="33">IF($D$2=FALSE,"-",+N524)</f>
        <v>-</v>
      </c>
      <c r="O36" s="31" t="str">
        <f t="shared" si="33"/>
        <v>-</v>
      </c>
      <c r="P36" s="31" t="str">
        <f t="shared" si="33"/>
        <v>-</v>
      </c>
      <c r="Q36" s="31" t="str">
        <f t="shared" si="33"/>
        <v>-</v>
      </c>
      <c r="R36" s="31" t="str">
        <f t="shared" si="33"/>
        <v>-</v>
      </c>
      <c r="S36" s="31" t="str">
        <f t="shared" si="33"/>
        <v>-</v>
      </c>
      <c r="T36" s="31" t="str">
        <f t="shared" si="33"/>
        <v>-</v>
      </c>
      <c r="U36" s="31" t="str">
        <f t="shared" si="33"/>
        <v>-</v>
      </c>
      <c r="V36" s="31" t="str">
        <f t="shared" si="33"/>
        <v>-</v>
      </c>
      <c r="W36" s="31" t="str">
        <f t="shared" si="33"/>
        <v>-</v>
      </c>
      <c r="X36" s="31" t="str">
        <f t="shared" si="33"/>
        <v>-</v>
      </c>
      <c r="Y36" s="31" t="str">
        <f t="shared" si="33"/>
        <v>-</v>
      </c>
      <c r="Z36" s="31" t="str">
        <f t="shared" si="33"/>
        <v>-</v>
      </c>
      <c r="AA36" s="31" t="str">
        <f t="shared" si="33"/>
        <v>-</v>
      </c>
      <c r="AB36" s="31" t="str">
        <f t="shared" si="33"/>
        <v>-</v>
      </c>
      <c r="AC36" s="31" t="str">
        <f t="shared" si="33"/>
        <v>-</v>
      </c>
      <c r="AD36" s="31" t="str">
        <f t="shared" si="33"/>
        <v>-</v>
      </c>
      <c r="AE36" s="31" t="str">
        <f t="shared" si="33"/>
        <v>-</v>
      </c>
      <c r="AF36" s="31" t="str">
        <f t="shared" si="33"/>
        <v>-</v>
      </c>
      <c r="AG36" s="38" t="str">
        <f t="shared" si="33"/>
        <v>-</v>
      </c>
    </row>
    <row r="37" spans="3:33" ht="15" hidden="1" customHeight="1" outlineLevel="1">
      <c r="C37" s="34" t="s">
        <v>26</v>
      </c>
      <c r="D37" s="35" t="str">
        <f t="shared" ref="D37:M37" si="34">IF($D$2=FALSE,"-",+D13/D20)</f>
        <v>-</v>
      </c>
      <c r="E37" s="31" t="str">
        <f t="shared" si="34"/>
        <v>-</v>
      </c>
      <c r="F37" s="31" t="str">
        <f t="shared" si="34"/>
        <v>-</v>
      </c>
      <c r="G37" s="36" t="str">
        <f t="shared" si="34"/>
        <v>-</v>
      </c>
      <c r="H37" s="31" t="str">
        <f t="shared" si="34"/>
        <v>-</v>
      </c>
      <c r="I37" s="37" t="str">
        <f t="shared" si="34"/>
        <v>-</v>
      </c>
      <c r="J37" s="31" t="str">
        <f t="shared" si="34"/>
        <v>-</v>
      </c>
      <c r="K37" s="31" t="str">
        <f t="shared" si="34"/>
        <v>-</v>
      </c>
      <c r="L37" s="31" t="str">
        <f t="shared" si="34"/>
        <v>-</v>
      </c>
      <c r="M37" s="38" t="str">
        <f t="shared" si="34"/>
        <v>-</v>
      </c>
      <c r="N37" s="35" t="str">
        <f t="shared" ref="N37:AG37" si="35">IF($D$2=FALSE,"-",+N525)</f>
        <v>-</v>
      </c>
      <c r="O37" s="31" t="str">
        <f t="shared" si="35"/>
        <v>-</v>
      </c>
      <c r="P37" s="31" t="str">
        <f t="shared" si="35"/>
        <v>-</v>
      </c>
      <c r="Q37" s="31" t="str">
        <f t="shared" si="35"/>
        <v>-</v>
      </c>
      <c r="R37" s="31" t="str">
        <f t="shared" si="35"/>
        <v>-</v>
      </c>
      <c r="S37" s="31" t="str">
        <f t="shared" si="35"/>
        <v>-</v>
      </c>
      <c r="T37" s="31" t="str">
        <f t="shared" si="35"/>
        <v>-</v>
      </c>
      <c r="U37" s="31" t="str">
        <f t="shared" si="35"/>
        <v>-</v>
      </c>
      <c r="V37" s="31" t="str">
        <f t="shared" si="35"/>
        <v>-</v>
      </c>
      <c r="W37" s="31" t="str">
        <f t="shared" si="35"/>
        <v>-</v>
      </c>
      <c r="X37" s="31" t="str">
        <f t="shared" si="35"/>
        <v>-</v>
      </c>
      <c r="Y37" s="31" t="str">
        <f t="shared" si="35"/>
        <v>-</v>
      </c>
      <c r="Z37" s="31" t="str">
        <f t="shared" si="35"/>
        <v>-</v>
      </c>
      <c r="AA37" s="31" t="str">
        <f t="shared" si="35"/>
        <v>-</v>
      </c>
      <c r="AB37" s="31" t="str">
        <f t="shared" si="35"/>
        <v>-</v>
      </c>
      <c r="AC37" s="31" t="str">
        <f t="shared" si="35"/>
        <v>-</v>
      </c>
      <c r="AD37" s="31" t="str">
        <f t="shared" si="35"/>
        <v>-</v>
      </c>
      <c r="AE37" s="31" t="str">
        <f t="shared" si="35"/>
        <v>-</v>
      </c>
      <c r="AF37" s="31" t="str">
        <f t="shared" si="35"/>
        <v>-</v>
      </c>
      <c r="AG37" s="38" t="str">
        <f t="shared" si="35"/>
        <v>-</v>
      </c>
    </row>
    <row r="38" spans="3:33" ht="15" hidden="1" customHeight="1" outlineLevel="1">
      <c r="C38" s="34" t="s">
        <v>27</v>
      </c>
      <c r="D38" s="35" t="str">
        <f t="shared" ref="D38:M38" si="36">IF($D$2=FALSE,"-",+D13/D22)</f>
        <v>-</v>
      </c>
      <c r="E38" s="31" t="str">
        <f t="shared" si="36"/>
        <v>-</v>
      </c>
      <c r="F38" s="31" t="str">
        <f t="shared" si="36"/>
        <v>-</v>
      </c>
      <c r="G38" s="36" t="str">
        <f t="shared" si="36"/>
        <v>-</v>
      </c>
      <c r="H38" s="31" t="str">
        <f t="shared" si="36"/>
        <v>-</v>
      </c>
      <c r="I38" s="37" t="str">
        <f t="shared" si="36"/>
        <v>-</v>
      </c>
      <c r="J38" s="31" t="str">
        <f t="shared" si="36"/>
        <v>-</v>
      </c>
      <c r="K38" s="31" t="str">
        <f t="shared" si="36"/>
        <v>-</v>
      </c>
      <c r="L38" s="31" t="str">
        <f t="shared" si="36"/>
        <v>-</v>
      </c>
      <c r="M38" s="38" t="str">
        <f t="shared" si="36"/>
        <v>-</v>
      </c>
      <c r="N38" s="35" t="str">
        <f t="shared" ref="N38:AG38" si="37">IF($D$2=FALSE,"-",+N534)</f>
        <v>-</v>
      </c>
      <c r="O38" s="31" t="str">
        <f t="shared" si="37"/>
        <v>-</v>
      </c>
      <c r="P38" s="31" t="str">
        <f t="shared" si="37"/>
        <v>-</v>
      </c>
      <c r="Q38" s="31" t="str">
        <f t="shared" si="37"/>
        <v>-</v>
      </c>
      <c r="R38" s="31" t="str">
        <f t="shared" si="37"/>
        <v>-</v>
      </c>
      <c r="S38" s="31" t="str">
        <f t="shared" si="37"/>
        <v>-</v>
      </c>
      <c r="T38" s="31" t="str">
        <f t="shared" si="37"/>
        <v>-</v>
      </c>
      <c r="U38" s="31" t="str">
        <f t="shared" si="37"/>
        <v>-</v>
      </c>
      <c r="V38" s="31" t="str">
        <f t="shared" si="37"/>
        <v>-</v>
      </c>
      <c r="W38" s="31" t="str">
        <f t="shared" si="37"/>
        <v>-</v>
      </c>
      <c r="X38" s="31" t="str">
        <f t="shared" si="37"/>
        <v>-</v>
      </c>
      <c r="Y38" s="31" t="str">
        <f t="shared" si="37"/>
        <v>-</v>
      </c>
      <c r="Z38" s="31" t="str">
        <f t="shared" si="37"/>
        <v>-</v>
      </c>
      <c r="AA38" s="31" t="str">
        <f t="shared" si="37"/>
        <v>-</v>
      </c>
      <c r="AB38" s="31" t="str">
        <f t="shared" si="37"/>
        <v>-</v>
      </c>
      <c r="AC38" s="31" t="str">
        <f t="shared" si="37"/>
        <v>-</v>
      </c>
      <c r="AD38" s="31" t="str">
        <f t="shared" si="37"/>
        <v>-</v>
      </c>
      <c r="AE38" s="31" t="str">
        <f t="shared" si="37"/>
        <v>-</v>
      </c>
      <c r="AF38" s="31" t="str">
        <f t="shared" si="37"/>
        <v>-</v>
      </c>
      <c r="AG38" s="38" t="str">
        <f t="shared" si="37"/>
        <v>-</v>
      </c>
    </row>
    <row r="39" spans="3:33" ht="15" hidden="1" customHeight="1" outlineLevel="1">
      <c r="C39" s="34" t="s">
        <v>28</v>
      </c>
      <c r="D39" s="35" t="str">
        <f t="shared" ref="D39:M39" si="38">IF($D$2=FALSE,"-",+D13/D24)</f>
        <v>-</v>
      </c>
      <c r="E39" s="31" t="str">
        <f t="shared" si="38"/>
        <v>-</v>
      </c>
      <c r="F39" s="31" t="str">
        <f t="shared" si="38"/>
        <v>-</v>
      </c>
      <c r="G39" s="36" t="str">
        <f t="shared" si="38"/>
        <v>-</v>
      </c>
      <c r="H39" s="31" t="str">
        <f t="shared" si="38"/>
        <v>-</v>
      </c>
      <c r="I39" s="37" t="str">
        <f t="shared" si="38"/>
        <v>-</v>
      </c>
      <c r="J39" s="31" t="str">
        <f t="shared" si="38"/>
        <v>-</v>
      </c>
      <c r="K39" s="31" t="str">
        <f t="shared" si="38"/>
        <v>-</v>
      </c>
      <c r="L39" s="31" t="str">
        <f t="shared" si="38"/>
        <v>-</v>
      </c>
      <c r="M39" s="38" t="str">
        <f t="shared" si="38"/>
        <v>-</v>
      </c>
      <c r="N39" s="35" t="str">
        <f t="shared" ref="N39:AG39" si="39">IF($D$2=FALSE,"-",+N535)</f>
        <v>-</v>
      </c>
      <c r="O39" s="31" t="str">
        <f t="shared" si="39"/>
        <v>-</v>
      </c>
      <c r="P39" s="31" t="str">
        <f t="shared" si="39"/>
        <v>-</v>
      </c>
      <c r="Q39" s="31" t="str">
        <f t="shared" si="39"/>
        <v>-</v>
      </c>
      <c r="R39" s="31" t="str">
        <f t="shared" si="39"/>
        <v>-</v>
      </c>
      <c r="S39" s="31" t="str">
        <f t="shared" si="39"/>
        <v>-</v>
      </c>
      <c r="T39" s="31" t="str">
        <f t="shared" si="39"/>
        <v>-</v>
      </c>
      <c r="U39" s="31" t="str">
        <f t="shared" si="39"/>
        <v>-</v>
      </c>
      <c r="V39" s="31" t="str">
        <f t="shared" si="39"/>
        <v>-</v>
      </c>
      <c r="W39" s="31" t="str">
        <f t="shared" si="39"/>
        <v>-</v>
      </c>
      <c r="X39" s="31" t="str">
        <f t="shared" si="39"/>
        <v>-</v>
      </c>
      <c r="Y39" s="31" t="str">
        <f t="shared" si="39"/>
        <v>-</v>
      </c>
      <c r="Z39" s="31" t="str">
        <f t="shared" si="39"/>
        <v>-</v>
      </c>
      <c r="AA39" s="31" t="str">
        <f t="shared" si="39"/>
        <v>-</v>
      </c>
      <c r="AB39" s="31" t="str">
        <f t="shared" si="39"/>
        <v>-</v>
      </c>
      <c r="AC39" s="31" t="str">
        <f t="shared" si="39"/>
        <v>-</v>
      </c>
      <c r="AD39" s="31" t="str">
        <f t="shared" si="39"/>
        <v>-</v>
      </c>
      <c r="AE39" s="31" t="str">
        <f t="shared" si="39"/>
        <v>-</v>
      </c>
      <c r="AF39" s="31" t="str">
        <f t="shared" si="39"/>
        <v>-</v>
      </c>
      <c r="AG39" s="38" t="str">
        <f t="shared" si="39"/>
        <v>-</v>
      </c>
    </row>
    <row r="40" spans="3:33" ht="15" hidden="1" customHeight="1" outlineLevel="1">
      <c r="C40" s="34" t="s">
        <v>29</v>
      </c>
      <c r="D40" s="35" t="str">
        <f t="shared" ref="D40:AG40" si="40">IF($D$2=FALSE,"-",+D13/D26)</f>
        <v>-</v>
      </c>
      <c r="E40" s="31" t="str">
        <f t="shared" si="40"/>
        <v>-</v>
      </c>
      <c r="F40" s="31" t="str">
        <f t="shared" si="40"/>
        <v>-</v>
      </c>
      <c r="G40" s="36" t="str">
        <f t="shared" si="40"/>
        <v>-</v>
      </c>
      <c r="H40" s="31" t="str">
        <f t="shared" si="40"/>
        <v>-</v>
      </c>
      <c r="I40" s="37" t="str">
        <f t="shared" si="40"/>
        <v>-</v>
      </c>
      <c r="J40" s="31" t="str">
        <f t="shared" si="40"/>
        <v>-</v>
      </c>
      <c r="K40" s="31" t="str">
        <f t="shared" si="40"/>
        <v>-</v>
      </c>
      <c r="L40" s="31" t="str">
        <f t="shared" si="40"/>
        <v>-</v>
      </c>
      <c r="M40" s="38" t="str">
        <f t="shared" si="40"/>
        <v>-</v>
      </c>
      <c r="N40" s="35" t="str">
        <f t="shared" si="40"/>
        <v>-</v>
      </c>
      <c r="O40" s="31" t="str">
        <f t="shared" si="40"/>
        <v>-</v>
      </c>
      <c r="P40" s="31" t="str">
        <f t="shared" si="40"/>
        <v>-</v>
      </c>
      <c r="Q40" s="31" t="str">
        <f t="shared" si="40"/>
        <v>-</v>
      </c>
      <c r="R40" s="31" t="str">
        <f t="shared" si="40"/>
        <v>-</v>
      </c>
      <c r="S40" s="31" t="str">
        <f t="shared" si="40"/>
        <v>-</v>
      </c>
      <c r="T40" s="31" t="str">
        <f t="shared" si="40"/>
        <v>-</v>
      </c>
      <c r="U40" s="31" t="str">
        <f t="shared" si="40"/>
        <v>-</v>
      </c>
      <c r="V40" s="31" t="str">
        <f t="shared" si="40"/>
        <v>-</v>
      </c>
      <c r="W40" s="31" t="str">
        <f t="shared" si="40"/>
        <v>-</v>
      </c>
      <c r="X40" s="31" t="str">
        <f t="shared" si="40"/>
        <v>-</v>
      </c>
      <c r="Y40" s="31" t="str">
        <f t="shared" si="40"/>
        <v>-</v>
      </c>
      <c r="Z40" s="31" t="str">
        <f t="shared" si="40"/>
        <v>-</v>
      </c>
      <c r="AA40" s="31" t="str">
        <f t="shared" si="40"/>
        <v>-</v>
      </c>
      <c r="AB40" s="31" t="str">
        <f t="shared" si="40"/>
        <v>-</v>
      </c>
      <c r="AC40" s="31" t="str">
        <f t="shared" si="40"/>
        <v>-</v>
      </c>
      <c r="AD40" s="31" t="str">
        <f t="shared" si="40"/>
        <v>-</v>
      </c>
      <c r="AE40" s="31" t="str">
        <f t="shared" si="40"/>
        <v>-</v>
      </c>
      <c r="AF40" s="31" t="str">
        <f t="shared" si="40"/>
        <v>-</v>
      </c>
      <c r="AG40" s="38" t="str">
        <f t="shared" si="40"/>
        <v>-</v>
      </c>
    </row>
    <row r="41" spans="3:33" ht="15" hidden="1" customHeight="1" outlineLevel="1">
      <c r="C41" s="34" t="s">
        <v>30</v>
      </c>
      <c r="D41" s="35" t="str">
        <f t="shared" ref="D41:AG41" si="41">IF($D$2=FALSE,"-",+D26/D24)</f>
        <v>-</v>
      </c>
      <c r="E41" s="31" t="str">
        <f t="shared" si="41"/>
        <v>-</v>
      </c>
      <c r="F41" s="31" t="str">
        <f t="shared" si="41"/>
        <v>-</v>
      </c>
      <c r="G41" s="36" t="str">
        <f t="shared" si="41"/>
        <v>-</v>
      </c>
      <c r="H41" s="31" t="str">
        <f t="shared" si="41"/>
        <v>-</v>
      </c>
      <c r="I41" s="37" t="str">
        <f t="shared" si="41"/>
        <v>-</v>
      </c>
      <c r="J41" s="31" t="str">
        <f t="shared" si="41"/>
        <v>-</v>
      </c>
      <c r="K41" s="31" t="str">
        <f t="shared" si="41"/>
        <v>-</v>
      </c>
      <c r="L41" s="31" t="str">
        <f t="shared" si="41"/>
        <v>-</v>
      </c>
      <c r="M41" s="38" t="str">
        <f t="shared" si="41"/>
        <v>-</v>
      </c>
      <c r="N41" s="35" t="str">
        <f t="shared" si="41"/>
        <v>-</v>
      </c>
      <c r="O41" s="31" t="str">
        <f t="shared" si="41"/>
        <v>-</v>
      </c>
      <c r="P41" s="31" t="str">
        <f t="shared" si="41"/>
        <v>-</v>
      </c>
      <c r="Q41" s="31" t="str">
        <f t="shared" si="41"/>
        <v>-</v>
      </c>
      <c r="R41" s="31" t="str">
        <f t="shared" si="41"/>
        <v>-</v>
      </c>
      <c r="S41" s="31" t="str">
        <f t="shared" si="41"/>
        <v>-</v>
      </c>
      <c r="T41" s="31" t="str">
        <f t="shared" si="41"/>
        <v>-</v>
      </c>
      <c r="U41" s="31" t="str">
        <f t="shared" si="41"/>
        <v>-</v>
      </c>
      <c r="V41" s="31" t="str">
        <f t="shared" si="41"/>
        <v>-</v>
      </c>
      <c r="W41" s="31" t="str">
        <f t="shared" si="41"/>
        <v>-</v>
      </c>
      <c r="X41" s="31" t="str">
        <f t="shared" si="41"/>
        <v>-</v>
      </c>
      <c r="Y41" s="31" t="str">
        <f t="shared" si="41"/>
        <v>-</v>
      </c>
      <c r="Z41" s="31" t="str">
        <f t="shared" si="41"/>
        <v>-</v>
      </c>
      <c r="AA41" s="31" t="str">
        <f t="shared" si="41"/>
        <v>-</v>
      </c>
      <c r="AB41" s="31" t="str">
        <f t="shared" si="41"/>
        <v>-</v>
      </c>
      <c r="AC41" s="31" t="str">
        <f t="shared" si="41"/>
        <v>-</v>
      </c>
      <c r="AD41" s="31" t="str">
        <f t="shared" si="41"/>
        <v>-</v>
      </c>
      <c r="AE41" s="31" t="str">
        <f t="shared" si="41"/>
        <v>-</v>
      </c>
      <c r="AF41" s="31" t="str">
        <f t="shared" si="41"/>
        <v>-</v>
      </c>
      <c r="AG41" s="38" t="str">
        <f t="shared" si="41"/>
        <v>-</v>
      </c>
    </row>
    <row r="42" spans="3:33" s="12" customFormat="1" ht="15" customHeight="1" collapsed="1">
      <c r="C42" s="23" t="s">
        <v>31</v>
      </c>
      <c r="D42" s="24"/>
      <c r="E42" s="25"/>
      <c r="F42" s="25"/>
      <c r="G42" s="25"/>
      <c r="H42" s="25"/>
      <c r="I42" s="25"/>
      <c r="J42" s="25"/>
      <c r="K42" s="25"/>
      <c r="L42" s="25"/>
      <c r="M42" s="26"/>
      <c r="N42" s="24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6"/>
    </row>
    <row r="43" spans="3:33" ht="15" hidden="1" customHeight="1" outlineLevel="1">
      <c r="C43" s="34" t="s">
        <v>32</v>
      </c>
      <c r="D43" s="60" t="str">
        <f t="shared" ref="D43:M43" si="42">IF($D$2=FALSE,"-",+D160)</f>
        <v>-</v>
      </c>
      <c r="E43" s="61" t="str">
        <f t="shared" si="42"/>
        <v>-</v>
      </c>
      <c r="F43" s="61" t="str">
        <f t="shared" si="42"/>
        <v>-</v>
      </c>
      <c r="G43" s="62" t="str">
        <f t="shared" si="42"/>
        <v>-</v>
      </c>
      <c r="H43" s="61" t="str">
        <f t="shared" si="42"/>
        <v>-</v>
      </c>
      <c r="I43" s="63" t="str">
        <f t="shared" si="42"/>
        <v>-</v>
      </c>
      <c r="J43" s="61" t="str">
        <f t="shared" si="42"/>
        <v>-</v>
      </c>
      <c r="K43" s="61" t="str">
        <f t="shared" si="42"/>
        <v>-</v>
      </c>
      <c r="L43" s="61" t="str">
        <f t="shared" si="42"/>
        <v>-</v>
      </c>
      <c r="M43" s="64" t="str">
        <f t="shared" si="42"/>
        <v>-</v>
      </c>
      <c r="N43" s="60" t="str">
        <f t="shared" ref="N43:AG43" si="43">IF($D$2=FALSE,"-",IF(Q160=0,0,N160+O160+P160+Q160))</f>
        <v>-</v>
      </c>
      <c r="O43" s="61" t="str">
        <f t="shared" si="43"/>
        <v>-</v>
      </c>
      <c r="P43" s="61" t="str">
        <f t="shared" si="43"/>
        <v>-</v>
      </c>
      <c r="Q43" s="61" t="str">
        <f t="shared" si="43"/>
        <v>-</v>
      </c>
      <c r="R43" s="61" t="str">
        <f t="shared" si="43"/>
        <v>-</v>
      </c>
      <c r="S43" s="61" t="str">
        <f t="shared" si="43"/>
        <v>-</v>
      </c>
      <c r="T43" s="61" t="str">
        <f t="shared" si="43"/>
        <v>-</v>
      </c>
      <c r="U43" s="61" t="str">
        <f t="shared" si="43"/>
        <v>-</v>
      </c>
      <c r="V43" s="61" t="str">
        <f t="shared" si="43"/>
        <v>-</v>
      </c>
      <c r="W43" s="61" t="str">
        <f t="shared" si="43"/>
        <v>-</v>
      </c>
      <c r="X43" s="61" t="str">
        <f t="shared" si="43"/>
        <v>-</v>
      </c>
      <c r="Y43" s="61" t="str">
        <f t="shared" si="43"/>
        <v>-</v>
      </c>
      <c r="Z43" s="61" t="str">
        <f t="shared" si="43"/>
        <v>-</v>
      </c>
      <c r="AA43" s="61" t="str">
        <f t="shared" si="43"/>
        <v>-</v>
      </c>
      <c r="AB43" s="61" t="str">
        <f t="shared" si="43"/>
        <v>-</v>
      </c>
      <c r="AC43" s="61" t="str">
        <f t="shared" si="43"/>
        <v>-</v>
      </c>
      <c r="AD43" s="61" t="str">
        <f t="shared" si="43"/>
        <v>-</v>
      </c>
      <c r="AE43" s="61" t="str">
        <f t="shared" si="43"/>
        <v>-</v>
      </c>
      <c r="AF43" s="61" t="str">
        <f t="shared" si="43"/>
        <v>-</v>
      </c>
      <c r="AG43" s="64" t="str">
        <f t="shared" si="43"/>
        <v>-</v>
      </c>
    </row>
    <row r="44" spans="3:33" ht="15" hidden="1" customHeight="1" outlineLevel="1">
      <c r="C44" s="34" t="s">
        <v>33</v>
      </c>
      <c r="D44" s="60" t="str">
        <f t="shared" ref="D44:M44" si="44">IF($D$2=FALSE,"-",+D174-D173)</f>
        <v>-</v>
      </c>
      <c r="E44" s="61" t="str">
        <f t="shared" si="44"/>
        <v>-</v>
      </c>
      <c r="F44" s="61" t="str">
        <f t="shared" si="44"/>
        <v>-</v>
      </c>
      <c r="G44" s="62" t="str">
        <f t="shared" si="44"/>
        <v>-</v>
      </c>
      <c r="H44" s="61" t="str">
        <f t="shared" si="44"/>
        <v>-</v>
      </c>
      <c r="I44" s="63" t="str">
        <f t="shared" si="44"/>
        <v>-</v>
      </c>
      <c r="J44" s="61" t="str">
        <f t="shared" si="44"/>
        <v>-</v>
      </c>
      <c r="K44" s="61" t="str">
        <f t="shared" si="44"/>
        <v>-</v>
      </c>
      <c r="L44" s="61" t="str">
        <f t="shared" si="44"/>
        <v>-</v>
      </c>
      <c r="M44" s="64" t="str">
        <f t="shared" si="44"/>
        <v>-</v>
      </c>
      <c r="N44" s="60" t="str">
        <f t="shared" ref="N44:AG44" si="45">IF($D$2=FALSE,"-",IF(Q174=0,0,N174-N173+O174-O173+P174-P173+Q174-Q173))</f>
        <v>-</v>
      </c>
      <c r="O44" s="61" t="str">
        <f t="shared" si="45"/>
        <v>-</v>
      </c>
      <c r="P44" s="61" t="str">
        <f t="shared" si="45"/>
        <v>-</v>
      </c>
      <c r="Q44" s="61" t="str">
        <f t="shared" si="45"/>
        <v>-</v>
      </c>
      <c r="R44" s="61" t="str">
        <f t="shared" si="45"/>
        <v>-</v>
      </c>
      <c r="S44" s="61" t="str">
        <f t="shared" si="45"/>
        <v>-</v>
      </c>
      <c r="T44" s="61" t="str">
        <f t="shared" si="45"/>
        <v>-</v>
      </c>
      <c r="U44" s="61" t="str">
        <f t="shared" si="45"/>
        <v>-</v>
      </c>
      <c r="V44" s="61" t="str">
        <f t="shared" si="45"/>
        <v>-</v>
      </c>
      <c r="W44" s="61" t="str">
        <f t="shared" si="45"/>
        <v>-</v>
      </c>
      <c r="X44" s="61" t="str">
        <f t="shared" si="45"/>
        <v>-</v>
      </c>
      <c r="Y44" s="61" t="str">
        <f t="shared" si="45"/>
        <v>-</v>
      </c>
      <c r="Z44" s="61" t="str">
        <f t="shared" si="45"/>
        <v>-</v>
      </c>
      <c r="AA44" s="61" t="str">
        <f t="shared" si="45"/>
        <v>-</v>
      </c>
      <c r="AB44" s="61" t="str">
        <f t="shared" si="45"/>
        <v>-</v>
      </c>
      <c r="AC44" s="61" t="str">
        <f t="shared" si="45"/>
        <v>-</v>
      </c>
      <c r="AD44" s="61" t="str">
        <f t="shared" si="45"/>
        <v>-</v>
      </c>
      <c r="AE44" s="61" t="str">
        <f t="shared" si="45"/>
        <v>-</v>
      </c>
      <c r="AF44" s="61" t="str">
        <f t="shared" si="45"/>
        <v>-</v>
      </c>
      <c r="AG44" s="64" t="str">
        <f t="shared" si="45"/>
        <v>-</v>
      </c>
    </row>
    <row r="45" spans="3:33" ht="15" hidden="1" customHeight="1" outlineLevel="1">
      <c r="C45" s="34" t="s">
        <v>34</v>
      </c>
      <c r="D45" s="60" t="str">
        <f t="shared" ref="D45:M45" si="46">IF($D$2=FALSE,"-",+D174)</f>
        <v>-</v>
      </c>
      <c r="E45" s="61" t="str">
        <f t="shared" si="46"/>
        <v>-</v>
      </c>
      <c r="F45" s="61" t="str">
        <f t="shared" si="46"/>
        <v>-</v>
      </c>
      <c r="G45" s="62" t="str">
        <f t="shared" si="46"/>
        <v>-</v>
      </c>
      <c r="H45" s="61" t="str">
        <f t="shared" si="46"/>
        <v>-</v>
      </c>
      <c r="I45" s="63" t="str">
        <f t="shared" si="46"/>
        <v>-</v>
      </c>
      <c r="J45" s="61" t="str">
        <f t="shared" si="46"/>
        <v>-</v>
      </c>
      <c r="K45" s="61" t="str">
        <f t="shared" si="46"/>
        <v>-</v>
      </c>
      <c r="L45" s="61" t="str">
        <f t="shared" si="46"/>
        <v>-</v>
      </c>
      <c r="M45" s="64" t="str">
        <f t="shared" si="46"/>
        <v>-</v>
      </c>
      <c r="N45" s="60" t="str">
        <f t="shared" ref="N45:AG45" si="47">IF($D$2=FALSE,"-",IF(Q174=0,0,N174+O174+P174+Q174))</f>
        <v>-</v>
      </c>
      <c r="O45" s="61" t="str">
        <f t="shared" si="47"/>
        <v>-</v>
      </c>
      <c r="P45" s="61" t="str">
        <f t="shared" si="47"/>
        <v>-</v>
      </c>
      <c r="Q45" s="61" t="str">
        <f t="shared" si="47"/>
        <v>-</v>
      </c>
      <c r="R45" s="61" t="str">
        <f t="shared" si="47"/>
        <v>-</v>
      </c>
      <c r="S45" s="61" t="str">
        <f t="shared" si="47"/>
        <v>-</v>
      </c>
      <c r="T45" s="61" t="str">
        <f t="shared" si="47"/>
        <v>-</v>
      </c>
      <c r="U45" s="61" t="str">
        <f t="shared" si="47"/>
        <v>-</v>
      </c>
      <c r="V45" s="61" t="str">
        <f t="shared" si="47"/>
        <v>-</v>
      </c>
      <c r="W45" s="61" t="str">
        <f t="shared" si="47"/>
        <v>-</v>
      </c>
      <c r="X45" s="61" t="str">
        <f t="shared" si="47"/>
        <v>-</v>
      </c>
      <c r="Y45" s="61" t="str">
        <f t="shared" si="47"/>
        <v>-</v>
      </c>
      <c r="Z45" s="61" t="str">
        <f t="shared" si="47"/>
        <v>-</v>
      </c>
      <c r="AA45" s="61" t="str">
        <f t="shared" si="47"/>
        <v>-</v>
      </c>
      <c r="AB45" s="61" t="str">
        <f t="shared" si="47"/>
        <v>-</v>
      </c>
      <c r="AC45" s="61" t="str">
        <f t="shared" si="47"/>
        <v>-</v>
      </c>
      <c r="AD45" s="61" t="str">
        <f t="shared" si="47"/>
        <v>-</v>
      </c>
      <c r="AE45" s="61" t="str">
        <f t="shared" si="47"/>
        <v>-</v>
      </c>
      <c r="AF45" s="61" t="str">
        <f t="shared" si="47"/>
        <v>-</v>
      </c>
      <c r="AG45" s="64" t="str">
        <f t="shared" si="47"/>
        <v>-</v>
      </c>
    </row>
    <row r="46" spans="3:33" ht="15" hidden="1" customHeight="1" outlineLevel="1">
      <c r="C46" s="34" t="s">
        <v>35</v>
      </c>
      <c r="D46" s="60" t="str">
        <f t="shared" ref="D46:AG46" si="48">IF($D$2=FALSE,"-",+D145)</f>
        <v>-</v>
      </c>
      <c r="E46" s="61" t="str">
        <f t="shared" si="48"/>
        <v>-</v>
      </c>
      <c r="F46" s="61" t="str">
        <f t="shared" si="48"/>
        <v>-</v>
      </c>
      <c r="G46" s="62" t="str">
        <f t="shared" si="48"/>
        <v>-</v>
      </c>
      <c r="H46" s="61" t="str">
        <f t="shared" si="48"/>
        <v>-</v>
      </c>
      <c r="I46" s="63" t="str">
        <f t="shared" si="48"/>
        <v>-</v>
      </c>
      <c r="J46" s="61" t="str">
        <f t="shared" si="48"/>
        <v>-</v>
      </c>
      <c r="K46" s="61" t="str">
        <f t="shared" si="48"/>
        <v>-</v>
      </c>
      <c r="L46" s="61" t="str">
        <f t="shared" si="48"/>
        <v>-</v>
      </c>
      <c r="M46" s="64" t="str">
        <f t="shared" si="48"/>
        <v>-</v>
      </c>
      <c r="N46" s="60" t="str">
        <f t="shared" si="48"/>
        <v>-</v>
      </c>
      <c r="O46" s="61" t="str">
        <f t="shared" si="48"/>
        <v>-</v>
      </c>
      <c r="P46" s="61" t="str">
        <f t="shared" si="48"/>
        <v>-</v>
      </c>
      <c r="Q46" s="61" t="str">
        <f t="shared" si="48"/>
        <v>-</v>
      </c>
      <c r="R46" s="61" t="str">
        <f t="shared" si="48"/>
        <v>-</v>
      </c>
      <c r="S46" s="61" t="str">
        <f t="shared" si="48"/>
        <v>-</v>
      </c>
      <c r="T46" s="61" t="str">
        <f t="shared" si="48"/>
        <v>-</v>
      </c>
      <c r="U46" s="61" t="str">
        <f t="shared" si="48"/>
        <v>-</v>
      </c>
      <c r="V46" s="61" t="str">
        <f t="shared" si="48"/>
        <v>-</v>
      </c>
      <c r="W46" s="61" t="str">
        <f t="shared" si="48"/>
        <v>-</v>
      </c>
      <c r="X46" s="61" t="str">
        <f t="shared" si="48"/>
        <v>-</v>
      </c>
      <c r="Y46" s="61" t="str">
        <f t="shared" si="48"/>
        <v>-</v>
      </c>
      <c r="Z46" s="61" t="str">
        <f t="shared" si="48"/>
        <v>-</v>
      </c>
      <c r="AA46" s="61" t="str">
        <f t="shared" si="48"/>
        <v>-</v>
      </c>
      <c r="AB46" s="61" t="str">
        <f t="shared" si="48"/>
        <v>-</v>
      </c>
      <c r="AC46" s="61" t="str">
        <f t="shared" si="48"/>
        <v>-</v>
      </c>
      <c r="AD46" s="61" t="str">
        <f t="shared" si="48"/>
        <v>-</v>
      </c>
      <c r="AE46" s="61" t="str">
        <f t="shared" si="48"/>
        <v>-</v>
      </c>
      <c r="AF46" s="61" t="str">
        <f t="shared" si="48"/>
        <v>-</v>
      </c>
      <c r="AG46" s="64" t="str">
        <f t="shared" si="48"/>
        <v>-</v>
      </c>
    </row>
    <row r="47" spans="3:33" ht="15" hidden="1" customHeight="1" outlineLevel="1">
      <c r="C47" s="34" t="s">
        <v>36</v>
      </c>
      <c r="D47" s="60" t="str">
        <f t="shared" ref="D47:AG47" si="49">IF($D$2=FALSE,"-",+D157)</f>
        <v>-</v>
      </c>
      <c r="E47" s="61" t="str">
        <f t="shared" si="49"/>
        <v>-</v>
      </c>
      <c r="F47" s="61" t="str">
        <f t="shared" si="49"/>
        <v>-</v>
      </c>
      <c r="G47" s="62" t="str">
        <f t="shared" si="49"/>
        <v>-</v>
      </c>
      <c r="H47" s="61" t="str">
        <f t="shared" si="49"/>
        <v>-</v>
      </c>
      <c r="I47" s="63" t="str">
        <f t="shared" si="49"/>
        <v>-</v>
      </c>
      <c r="J47" s="61" t="str">
        <f t="shared" si="49"/>
        <v>-</v>
      </c>
      <c r="K47" s="61" t="str">
        <f t="shared" si="49"/>
        <v>-</v>
      </c>
      <c r="L47" s="61" t="str">
        <f t="shared" si="49"/>
        <v>-</v>
      </c>
      <c r="M47" s="64" t="str">
        <f t="shared" si="49"/>
        <v>-</v>
      </c>
      <c r="N47" s="60" t="str">
        <f t="shared" si="49"/>
        <v>-</v>
      </c>
      <c r="O47" s="61" t="str">
        <f t="shared" si="49"/>
        <v>-</v>
      </c>
      <c r="P47" s="61" t="str">
        <f t="shared" si="49"/>
        <v>-</v>
      </c>
      <c r="Q47" s="61" t="str">
        <f t="shared" si="49"/>
        <v>-</v>
      </c>
      <c r="R47" s="61" t="str">
        <f t="shared" si="49"/>
        <v>-</v>
      </c>
      <c r="S47" s="61" t="str">
        <f t="shared" si="49"/>
        <v>-</v>
      </c>
      <c r="T47" s="61" t="str">
        <f t="shared" si="49"/>
        <v>-</v>
      </c>
      <c r="U47" s="61" t="str">
        <f t="shared" si="49"/>
        <v>-</v>
      </c>
      <c r="V47" s="61" t="str">
        <f t="shared" si="49"/>
        <v>-</v>
      </c>
      <c r="W47" s="61" t="str">
        <f t="shared" si="49"/>
        <v>-</v>
      </c>
      <c r="X47" s="61" t="str">
        <f t="shared" si="49"/>
        <v>-</v>
      </c>
      <c r="Y47" s="61" t="str">
        <f t="shared" si="49"/>
        <v>-</v>
      </c>
      <c r="Z47" s="61" t="str">
        <f t="shared" si="49"/>
        <v>-</v>
      </c>
      <c r="AA47" s="61" t="str">
        <f t="shared" si="49"/>
        <v>-</v>
      </c>
      <c r="AB47" s="61" t="str">
        <f t="shared" si="49"/>
        <v>-</v>
      </c>
      <c r="AC47" s="61" t="str">
        <f t="shared" si="49"/>
        <v>-</v>
      </c>
      <c r="AD47" s="61" t="str">
        <f t="shared" si="49"/>
        <v>-</v>
      </c>
      <c r="AE47" s="61" t="str">
        <f t="shared" si="49"/>
        <v>-</v>
      </c>
      <c r="AF47" s="61" t="str">
        <f t="shared" si="49"/>
        <v>-</v>
      </c>
      <c r="AG47" s="64" t="str">
        <f t="shared" si="49"/>
        <v>-</v>
      </c>
    </row>
    <row r="48" spans="3:33" ht="15" hidden="1" customHeight="1" outlineLevel="1">
      <c r="C48" s="53" t="s">
        <v>37</v>
      </c>
      <c r="D48" s="65" t="str">
        <f t="shared" ref="D48:M48" si="50">IF($D$2=FALSE,"-",+D150)</f>
        <v>-</v>
      </c>
      <c r="E48" s="66" t="str">
        <f t="shared" si="50"/>
        <v>-</v>
      </c>
      <c r="F48" s="66" t="str">
        <f t="shared" si="50"/>
        <v>-</v>
      </c>
      <c r="G48" s="67" t="str">
        <f t="shared" si="50"/>
        <v>-</v>
      </c>
      <c r="H48" s="66" t="str">
        <f t="shared" si="50"/>
        <v>-</v>
      </c>
      <c r="I48" s="68" t="str">
        <f t="shared" si="50"/>
        <v>-</v>
      </c>
      <c r="J48" s="66" t="str">
        <f t="shared" si="50"/>
        <v>-</v>
      </c>
      <c r="K48" s="66" t="str">
        <f t="shared" si="50"/>
        <v>-</v>
      </c>
      <c r="L48" s="66" t="str">
        <f t="shared" si="50"/>
        <v>-</v>
      </c>
      <c r="M48" s="69" t="str">
        <f t="shared" si="50"/>
        <v>-</v>
      </c>
      <c r="N48" s="65" t="str">
        <f t="shared" ref="N48:AG48" si="51">IF($D$2=FALSE,"-",+Q150)</f>
        <v>-</v>
      </c>
      <c r="O48" s="66" t="str">
        <f t="shared" si="51"/>
        <v>-</v>
      </c>
      <c r="P48" s="66" t="str">
        <f t="shared" si="51"/>
        <v>-</v>
      </c>
      <c r="Q48" s="66" t="str">
        <f t="shared" si="51"/>
        <v>-</v>
      </c>
      <c r="R48" s="66" t="str">
        <f t="shared" si="51"/>
        <v>-</v>
      </c>
      <c r="S48" s="66" t="str">
        <f t="shared" si="51"/>
        <v>-</v>
      </c>
      <c r="T48" s="66" t="str">
        <f t="shared" si="51"/>
        <v>-</v>
      </c>
      <c r="U48" s="66" t="str">
        <f t="shared" si="51"/>
        <v>-</v>
      </c>
      <c r="V48" s="66" t="str">
        <f t="shared" si="51"/>
        <v>-</v>
      </c>
      <c r="W48" s="66" t="str">
        <f t="shared" si="51"/>
        <v>-</v>
      </c>
      <c r="X48" s="66" t="str">
        <f t="shared" si="51"/>
        <v>-</v>
      </c>
      <c r="Y48" s="66" t="str">
        <f t="shared" si="51"/>
        <v>-</v>
      </c>
      <c r="Z48" s="66" t="str">
        <f t="shared" si="51"/>
        <v>-</v>
      </c>
      <c r="AA48" s="66" t="str">
        <f t="shared" si="51"/>
        <v>-</v>
      </c>
      <c r="AB48" s="66" t="str">
        <f t="shared" si="51"/>
        <v>-</v>
      </c>
      <c r="AC48" s="66" t="str">
        <f t="shared" si="51"/>
        <v>-</v>
      </c>
      <c r="AD48" s="66" t="str">
        <f t="shared" si="51"/>
        <v>-</v>
      </c>
      <c r="AE48" s="66" t="str">
        <f t="shared" si="51"/>
        <v>-</v>
      </c>
      <c r="AF48" s="66" t="str">
        <f t="shared" si="51"/>
        <v>-</v>
      </c>
      <c r="AG48" s="69" t="str">
        <f t="shared" si="51"/>
        <v>-</v>
      </c>
    </row>
    <row r="49" spans="3:33" ht="15" hidden="1" customHeight="1" outlineLevel="1">
      <c r="C49" s="34" t="s">
        <v>38</v>
      </c>
      <c r="D49" s="35" t="str">
        <f t="shared" ref="D49:AG49" si="52">IF($D$2=FALSE,"-",IF(D43=0,0,+D44/D43*100))</f>
        <v>-</v>
      </c>
      <c r="E49" s="31" t="str">
        <f t="shared" si="52"/>
        <v>-</v>
      </c>
      <c r="F49" s="31" t="str">
        <f t="shared" si="52"/>
        <v>-</v>
      </c>
      <c r="G49" s="36" t="str">
        <f t="shared" si="52"/>
        <v>-</v>
      </c>
      <c r="H49" s="31" t="str">
        <f t="shared" si="52"/>
        <v>-</v>
      </c>
      <c r="I49" s="37" t="str">
        <f t="shared" si="52"/>
        <v>-</v>
      </c>
      <c r="J49" s="31" t="str">
        <f t="shared" si="52"/>
        <v>-</v>
      </c>
      <c r="K49" s="31" t="str">
        <f t="shared" si="52"/>
        <v>-</v>
      </c>
      <c r="L49" s="31" t="str">
        <f t="shared" si="52"/>
        <v>-</v>
      </c>
      <c r="M49" s="38" t="str">
        <f t="shared" si="52"/>
        <v>-</v>
      </c>
      <c r="N49" s="35" t="str">
        <f t="shared" si="52"/>
        <v>-</v>
      </c>
      <c r="O49" s="31" t="str">
        <f t="shared" si="52"/>
        <v>-</v>
      </c>
      <c r="P49" s="31" t="str">
        <f t="shared" si="52"/>
        <v>-</v>
      </c>
      <c r="Q49" s="31" t="str">
        <f t="shared" si="52"/>
        <v>-</v>
      </c>
      <c r="R49" s="31" t="str">
        <f t="shared" si="52"/>
        <v>-</v>
      </c>
      <c r="S49" s="31" t="str">
        <f t="shared" si="52"/>
        <v>-</v>
      </c>
      <c r="T49" s="31" t="str">
        <f t="shared" si="52"/>
        <v>-</v>
      </c>
      <c r="U49" s="31" t="str">
        <f t="shared" si="52"/>
        <v>-</v>
      </c>
      <c r="V49" s="31" t="str">
        <f t="shared" si="52"/>
        <v>-</v>
      </c>
      <c r="W49" s="31" t="str">
        <f t="shared" si="52"/>
        <v>-</v>
      </c>
      <c r="X49" s="31" t="str">
        <f t="shared" si="52"/>
        <v>-</v>
      </c>
      <c r="Y49" s="31" t="str">
        <f t="shared" si="52"/>
        <v>-</v>
      </c>
      <c r="Z49" s="31" t="str">
        <f t="shared" si="52"/>
        <v>-</v>
      </c>
      <c r="AA49" s="31" t="str">
        <f t="shared" si="52"/>
        <v>-</v>
      </c>
      <c r="AB49" s="31" t="str">
        <f t="shared" si="52"/>
        <v>-</v>
      </c>
      <c r="AC49" s="31" t="str">
        <f t="shared" si="52"/>
        <v>-</v>
      </c>
      <c r="AD49" s="31" t="str">
        <f t="shared" si="52"/>
        <v>-</v>
      </c>
      <c r="AE49" s="31" t="str">
        <f t="shared" si="52"/>
        <v>-</v>
      </c>
      <c r="AF49" s="31" t="str">
        <f t="shared" si="52"/>
        <v>-</v>
      </c>
      <c r="AG49" s="38" t="str">
        <f t="shared" si="52"/>
        <v>-</v>
      </c>
    </row>
    <row r="50" spans="3:33" ht="15" hidden="1" customHeight="1" outlineLevel="1">
      <c r="C50" s="34" t="s">
        <v>39</v>
      </c>
      <c r="D50" s="35" t="str">
        <f t="shared" ref="D50:AG50" si="53">IF($D$2=FALSE,"-",IF(D44=0,0,+D45/D44*100))</f>
        <v>-</v>
      </c>
      <c r="E50" s="31" t="str">
        <f t="shared" si="53"/>
        <v>-</v>
      </c>
      <c r="F50" s="31" t="str">
        <f t="shared" si="53"/>
        <v>-</v>
      </c>
      <c r="G50" s="36" t="str">
        <f t="shared" si="53"/>
        <v>-</v>
      </c>
      <c r="H50" s="31" t="str">
        <f t="shared" si="53"/>
        <v>-</v>
      </c>
      <c r="I50" s="37" t="str">
        <f t="shared" si="53"/>
        <v>-</v>
      </c>
      <c r="J50" s="31" t="str">
        <f t="shared" si="53"/>
        <v>-</v>
      </c>
      <c r="K50" s="31" t="str">
        <f t="shared" si="53"/>
        <v>-</v>
      </c>
      <c r="L50" s="31" t="str">
        <f t="shared" si="53"/>
        <v>-</v>
      </c>
      <c r="M50" s="38" t="str">
        <f t="shared" si="53"/>
        <v>-</v>
      </c>
      <c r="N50" s="35" t="str">
        <f t="shared" si="53"/>
        <v>-</v>
      </c>
      <c r="O50" s="31" t="str">
        <f t="shared" si="53"/>
        <v>-</v>
      </c>
      <c r="P50" s="31" t="str">
        <f t="shared" si="53"/>
        <v>-</v>
      </c>
      <c r="Q50" s="31" t="str">
        <f t="shared" si="53"/>
        <v>-</v>
      </c>
      <c r="R50" s="31" t="str">
        <f t="shared" si="53"/>
        <v>-</v>
      </c>
      <c r="S50" s="31" t="str">
        <f t="shared" si="53"/>
        <v>-</v>
      </c>
      <c r="T50" s="31" t="str">
        <f t="shared" si="53"/>
        <v>-</v>
      </c>
      <c r="U50" s="31" t="str">
        <f t="shared" si="53"/>
        <v>-</v>
      </c>
      <c r="V50" s="31" t="str">
        <f t="shared" si="53"/>
        <v>-</v>
      </c>
      <c r="W50" s="31" t="str">
        <f t="shared" si="53"/>
        <v>-</v>
      </c>
      <c r="X50" s="31" t="str">
        <f t="shared" si="53"/>
        <v>-</v>
      </c>
      <c r="Y50" s="31" t="str">
        <f t="shared" si="53"/>
        <v>-</v>
      </c>
      <c r="Z50" s="31" t="str">
        <f t="shared" si="53"/>
        <v>-</v>
      </c>
      <c r="AA50" s="31" t="str">
        <f t="shared" si="53"/>
        <v>-</v>
      </c>
      <c r="AB50" s="31" t="str">
        <f t="shared" si="53"/>
        <v>-</v>
      </c>
      <c r="AC50" s="31" t="str">
        <f t="shared" si="53"/>
        <v>-</v>
      </c>
      <c r="AD50" s="31" t="str">
        <f t="shared" si="53"/>
        <v>-</v>
      </c>
      <c r="AE50" s="31" t="str">
        <f t="shared" si="53"/>
        <v>-</v>
      </c>
      <c r="AF50" s="31" t="str">
        <f t="shared" si="53"/>
        <v>-</v>
      </c>
      <c r="AG50" s="38" t="str">
        <f t="shared" si="53"/>
        <v>-</v>
      </c>
    </row>
    <row r="51" spans="3:33" s="12" customFormat="1" ht="15" hidden="1" customHeight="1" outlineLevel="1">
      <c r="C51" s="70" t="s">
        <v>40</v>
      </c>
      <c r="D51" s="71" t="str">
        <f t="shared" ref="D51:AG51" si="54">IF($D$2=FALSE,"-",IF(D43=0,0,+D45/D43*100))</f>
        <v>-</v>
      </c>
      <c r="E51" s="72" t="str">
        <f t="shared" si="54"/>
        <v>-</v>
      </c>
      <c r="F51" s="72" t="str">
        <f t="shared" si="54"/>
        <v>-</v>
      </c>
      <c r="G51" s="73" t="str">
        <f t="shared" si="54"/>
        <v>-</v>
      </c>
      <c r="H51" s="72" t="str">
        <f t="shared" si="54"/>
        <v>-</v>
      </c>
      <c r="I51" s="74" t="str">
        <f t="shared" si="54"/>
        <v>-</v>
      </c>
      <c r="J51" s="72" t="str">
        <f t="shared" si="54"/>
        <v>-</v>
      </c>
      <c r="K51" s="72" t="str">
        <f t="shared" si="54"/>
        <v>-</v>
      </c>
      <c r="L51" s="72" t="str">
        <f t="shared" si="54"/>
        <v>-</v>
      </c>
      <c r="M51" s="75" t="str">
        <f t="shared" si="54"/>
        <v>-</v>
      </c>
      <c r="N51" s="71" t="str">
        <f t="shared" si="54"/>
        <v>-</v>
      </c>
      <c r="O51" s="72" t="str">
        <f t="shared" si="54"/>
        <v>-</v>
      </c>
      <c r="P51" s="72" t="str">
        <f t="shared" si="54"/>
        <v>-</v>
      </c>
      <c r="Q51" s="72" t="str">
        <f t="shared" si="54"/>
        <v>-</v>
      </c>
      <c r="R51" s="72" t="str">
        <f t="shared" si="54"/>
        <v>-</v>
      </c>
      <c r="S51" s="72" t="str">
        <f t="shared" si="54"/>
        <v>-</v>
      </c>
      <c r="T51" s="72" t="str">
        <f t="shared" si="54"/>
        <v>-</v>
      </c>
      <c r="U51" s="72" t="str">
        <f t="shared" si="54"/>
        <v>-</v>
      </c>
      <c r="V51" s="72" t="str">
        <f t="shared" si="54"/>
        <v>-</v>
      </c>
      <c r="W51" s="72" t="str">
        <f t="shared" si="54"/>
        <v>-</v>
      </c>
      <c r="X51" s="72" t="str">
        <f t="shared" si="54"/>
        <v>-</v>
      </c>
      <c r="Y51" s="72" t="str">
        <f t="shared" si="54"/>
        <v>-</v>
      </c>
      <c r="Z51" s="72" t="str">
        <f t="shared" si="54"/>
        <v>-</v>
      </c>
      <c r="AA51" s="72" t="str">
        <f t="shared" si="54"/>
        <v>-</v>
      </c>
      <c r="AB51" s="72" t="str">
        <f t="shared" si="54"/>
        <v>-</v>
      </c>
      <c r="AC51" s="72" t="str">
        <f t="shared" si="54"/>
        <v>-</v>
      </c>
      <c r="AD51" s="72" t="str">
        <f t="shared" si="54"/>
        <v>-</v>
      </c>
      <c r="AE51" s="72" t="str">
        <f t="shared" si="54"/>
        <v>-</v>
      </c>
      <c r="AF51" s="72" t="str">
        <f t="shared" si="54"/>
        <v>-</v>
      </c>
      <c r="AG51" s="75" t="str">
        <f t="shared" si="54"/>
        <v>-</v>
      </c>
    </row>
    <row r="52" spans="3:33" ht="15" hidden="1" customHeight="1" outlineLevel="1">
      <c r="C52" s="34" t="s">
        <v>41</v>
      </c>
      <c r="D52" s="35" t="str">
        <f t="shared" ref="D52:AG52" si="55">IF($D$2=FALSE,"-",IF(D46=0,0,+D43/D46*100))</f>
        <v>-</v>
      </c>
      <c r="E52" s="31" t="str">
        <f t="shared" si="55"/>
        <v>-</v>
      </c>
      <c r="F52" s="31" t="str">
        <f t="shared" si="55"/>
        <v>-</v>
      </c>
      <c r="G52" s="36" t="str">
        <f t="shared" si="55"/>
        <v>-</v>
      </c>
      <c r="H52" s="31" t="str">
        <f t="shared" si="55"/>
        <v>-</v>
      </c>
      <c r="I52" s="37" t="str">
        <f t="shared" si="55"/>
        <v>-</v>
      </c>
      <c r="J52" s="31" t="str">
        <f t="shared" si="55"/>
        <v>-</v>
      </c>
      <c r="K52" s="31" t="str">
        <f t="shared" si="55"/>
        <v>-</v>
      </c>
      <c r="L52" s="31" t="str">
        <f t="shared" si="55"/>
        <v>-</v>
      </c>
      <c r="M52" s="38" t="str">
        <f t="shared" si="55"/>
        <v>-</v>
      </c>
      <c r="N52" s="35" t="str">
        <f t="shared" si="55"/>
        <v>-</v>
      </c>
      <c r="O52" s="31" t="str">
        <f t="shared" si="55"/>
        <v>-</v>
      </c>
      <c r="P52" s="31" t="str">
        <f t="shared" si="55"/>
        <v>-</v>
      </c>
      <c r="Q52" s="31" t="str">
        <f t="shared" si="55"/>
        <v>-</v>
      </c>
      <c r="R52" s="31" t="str">
        <f t="shared" si="55"/>
        <v>-</v>
      </c>
      <c r="S52" s="31" t="str">
        <f t="shared" si="55"/>
        <v>-</v>
      </c>
      <c r="T52" s="31" t="str">
        <f t="shared" si="55"/>
        <v>-</v>
      </c>
      <c r="U52" s="31" t="str">
        <f t="shared" si="55"/>
        <v>-</v>
      </c>
      <c r="V52" s="31" t="str">
        <f t="shared" si="55"/>
        <v>-</v>
      </c>
      <c r="W52" s="31" t="str">
        <f t="shared" si="55"/>
        <v>-</v>
      </c>
      <c r="X52" s="31" t="str">
        <f t="shared" si="55"/>
        <v>-</v>
      </c>
      <c r="Y52" s="31" t="str">
        <f t="shared" si="55"/>
        <v>-</v>
      </c>
      <c r="Z52" s="31" t="str">
        <f t="shared" si="55"/>
        <v>-</v>
      </c>
      <c r="AA52" s="31" t="str">
        <f t="shared" si="55"/>
        <v>-</v>
      </c>
      <c r="AB52" s="31" t="str">
        <f t="shared" si="55"/>
        <v>-</v>
      </c>
      <c r="AC52" s="31" t="str">
        <f t="shared" si="55"/>
        <v>-</v>
      </c>
      <c r="AD52" s="31" t="str">
        <f t="shared" si="55"/>
        <v>-</v>
      </c>
      <c r="AE52" s="31" t="str">
        <f t="shared" si="55"/>
        <v>-</v>
      </c>
      <c r="AF52" s="31" t="str">
        <f t="shared" si="55"/>
        <v>-</v>
      </c>
      <c r="AG52" s="38" t="str">
        <f t="shared" si="55"/>
        <v>-</v>
      </c>
    </row>
    <row r="53" spans="3:33" s="12" customFormat="1" ht="15" hidden="1" customHeight="1" outlineLevel="1">
      <c r="C53" s="70" t="s">
        <v>42</v>
      </c>
      <c r="D53" s="71" t="str">
        <f t="shared" ref="D53:AG53" si="56">IF($D$2=FALSE,"-",IF(D46=0,0,+D45/D46*100))</f>
        <v>-</v>
      </c>
      <c r="E53" s="72" t="str">
        <f t="shared" si="56"/>
        <v>-</v>
      </c>
      <c r="F53" s="72" t="str">
        <f t="shared" si="56"/>
        <v>-</v>
      </c>
      <c r="G53" s="73" t="str">
        <f t="shared" si="56"/>
        <v>-</v>
      </c>
      <c r="H53" s="72" t="str">
        <f t="shared" si="56"/>
        <v>-</v>
      </c>
      <c r="I53" s="74" t="str">
        <f t="shared" si="56"/>
        <v>-</v>
      </c>
      <c r="J53" s="72" t="str">
        <f t="shared" si="56"/>
        <v>-</v>
      </c>
      <c r="K53" s="72" t="str">
        <f t="shared" si="56"/>
        <v>-</v>
      </c>
      <c r="L53" s="72" t="str">
        <f t="shared" si="56"/>
        <v>-</v>
      </c>
      <c r="M53" s="75" t="str">
        <f t="shared" si="56"/>
        <v>-</v>
      </c>
      <c r="N53" s="71" t="str">
        <f t="shared" si="56"/>
        <v>-</v>
      </c>
      <c r="O53" s="72" t="str">
        <f t="shared" si="56"/>
        <v>-</v>
      </c>
      <c r="P53" s="72" t="str">
        <f t="shared" si="56"/>
        <v>-</v>
      </c>
      <c r="Q53" s="72" t="str">
        <f t="shared" si="56"/>
        <v>-</v>
      </c>
      <c r="R53" s="72" t="str">
        <f t="shared" si="56"/>
        <v>-</v>
      </c>
      <c r="S53" s="72" t="str">
        <f t="shared" si="56"/>
        <v>-</v>
      </c>
      <c r="T53" s="72" t="str">
        <f t="shared" si="56"/>
        <v>-</v>
      </c>
      <c r="U53" s="72" t="str">
        <f t="shared" si="56"/>
        <v>-</v>
      </c>
      <c r="V53" s="72" t="str">
        <f t="shared" si="56"/>
        <v>-</v>
      </c>
      <c r="W53" s="72" t="str">
        <f t="shared" si="56"/>
        <v>-</v>
      </c>
      <c r="X53" s="72" t="str">
        <f t="shared" si="56"/>
        <v>-</v>
      </c>
      <c r="Y53" s="72" t="str">
        <f t="shared" si="56"/>
        <v>-</v>
      </c>
      <c r="Z53" s="72" t="str">
        <f t="shared" si="56"/>
        <v>-</v>
      </c>
      <c r="AA53" s="72" t="str">
        <f t="shared" si="56"/>
        <v>-</v>
      </c>
      <c r="AB53" s="72" t="str">
        <f t="shared" si="56"/>
        <v>-</v>
      </c>
      <c r="AC53" s="72" t="str">
        <f t="shared" si="56"/>
        <v>-</v>
      </c>
      <c r="AD53" s="72" t="str">
        <f t="shared" si="56"/>
        <v>-</v>
      </c>
      <c r="AE53" s="72" t="str">
        <f t="shared" si="56"/>
        <v>-</v>
      </c>
      <c r="AF53" s="72" t="str">
        <f t="shared" si="56"/>
        <v>-</v>
      </c>
      <c r="AG53" s="75" t="str">
        <f t="shared" si="56"/>
        <v>-</v>
      </c>
    </row>
    <row r="54" spans="3:33" ht="15" hidden="1" customHeight="1" outlineLevel="1">
      <c r="C54" s="34" t="s">
        <v>43</v>
      </c>
      <c r="D54" s="35" t="str">
        <f t="shared" ref="D54:AG54" si="57">IF($D$2=FALSE,"-",IF(D47=0,0,+D46/D47*100))</f>
        <v>-</v>
      </c>
      <c r="E54" s="31" t="str">
        <f t="shared" si="57"/>
        <v>-</v>
      </c>
      <c r="F54" s="31" t="str">
        <f t="shared" si="57"/>
        <v>-</v>
      </c>
      <c r="G54" s="36" t="str">
        <f t="shared" si="57"/>
        <v>-</v>
      </c>
      <c r="H54" s="31" t="str">
        <f t="shared" si="57"/>
        <v>-</v>
      </c>
      <c r="I54" s="37" t="str">
        <f t="shared" si="57"/>
        <v>-</v>
      </c>
      <c r="J54" s="31" t="str">
        <f t="shared" si="57"/>
        <v>-</v>
      </c>
      <c r="K54" s="31" t="str">
        <f t="shared" si="57"/>
        <v>-</v>
      </c>
      <c r="L54" s="31" t="str">
        <f t="shared" si="57"/>
        <v>-</v>
      </c>
      <c r="M54" s="38" t="str">
        <f t="shared" si="57"/>
        <v>-</v>
      </c>
      <c r="N54" s="35" t="str">
        <f t="shared" si="57"/>
        <v>-</v>
      </c>
      <c r="O54" s="31" t="str">
        <f t="shared" si="57"/>
        <v>-</v>
      </c>
      <c r="P54" s="31" t="str">
        <f t="shared" si="57"/>
        <v>-</v>
      </c>
      <c r="Q54" s="31" t="str">
        <f t="shared" si="57"/>
        <v>-</v>
      </c>
      <c r="R54" s="31" t="str">
        <f t="shared" si="57"/>
        <v>-</v>
      </c>
      <c r="S54" s="31" t="str">
        <f t="shared" si="57"/>
        <v>-</v>
      </c>
      <c r="T54" s="31" t="str">
        <f t="shared" si="57"/>
        <v>-</v>
      </c>
      <c r="U54" s="31" t="str">
        <f t="shared" si="57"/>
        <v>-</v>
      </c>
      <c r="V54" s="31" t="str">
        <f t="shared" si="57"/>
        <v>-</v>
      </c>
      <c r="W54" s="31" t="str">
        <f t="shared" si="57"/>
        <v>-</v>
      </c>
      <c r="X54" s="31" t="str">
        <f t="shared" si="57"/>
        <v>-</v>
      </c>
      <c r="Y54" s="31" t="str">
        <f t="shared" si="57"/>
        <v>-</v>
      </c>
      <c r="Z54" s="31" t="str">
        <f t="shared" si="57"/>
        <v>-</v>
      </c>
      <c r="AA54" s="31" t="str">
        <f t="shared" si="57"/>
        <v>-</v>
      </c>
      <c r="AB54" s="31" t="str">
        <f t="shared" si="57"/>
        <v>-</v>
      </c>
      <c r="AC54" s="31" t="str">
        <f t="shared" si="57"/>
        <v>-</v>
      </c>
      <c r="AD54" s="31" t="str">
        <f t="shared" si="57"/>
        <v>-</v>
      </c>
      <c r="AE54" s="31" t="str">
        <f t="shared" si="57"/>
        <v>-</v>
      </c>
      <c r="AF54" s="31" t="str">
        <f t="shared" si="57"/>
        <v>-</v>
      </c>
      <c r="AG54" s="38" t="str">
        <f t="shared" si="57"/>
        <v>-</v>
      </c>
    </row>
    <row r="55" spans="3:33" s="12" customFormat="1" ht="15" hidden="1" customHeight="1" outlineLevel="1">
      <c r="C55" s="70" t="s">
        <v>44</v>
      </c>
      <c r="D55" s="71" t="str">
        <f t="shared" ref="D55:AG55" si="58">IF($D$2=FALSE,"-",IF(D47=0,0,+D45/D47*100))</f>
        <v>-</v>
      </c>
      <c r="E55" s="72" t="str">
        <f t="shared" si="58"/>
        <v>-</v>
      </c>
      <c r="F55" s="72" t="str">
        <f t="shared" si="58"/>
        <v>-</v>
      </c>
      <c r="G55" s="73" t="str">
        <f t="shared" si="58"/>
        <v>-</v>
      </c>
      <c r="H55" s="72" t="str">
        <f t="shared" si="58"/>
        <v>-</v>
      </c>
      <c r="I55" s="74" t="str">
        <f t="shared" si="58"/>
        <v>-</v>
      </c>
      <c r="J55" s="72" t="str">
        <f t="shared" si="58"/>
        <v>-</v>
      </c>
      <c r="K55" s="72" t="str">
        <f t="shared" si="58"/>
        <v>-</v>
      </c>
      <c r="L55" s="72" t="str">
        <f t="shared" si="58"/>
        <v>-</v>
      </c>
      <c r="M55" s="75" t="str">
        <f t="shared" si="58"/>
        <v>-</v>
      </c>
      <c r="N55" s="71" t="str">
        <f t="shared" si="58"/>
        <v>-</v>
      </c>
      <c r="O55" s="72" t="str">
        <f t="shared" si="58"/>
        <v>-</v>
      </c>
      <c r="P55" s="72" t="str">
        <f t="shared" si="58"/>
        <v>-</v>
      </c>
      <c r="Q55" s="72" t="str">
        <f t="shared" si="58"/>
        <v>-</v>
      </c>
      <c r="R55" s="72" t="str">
        <f t="shared" si="58"/>
        <v>-</v>
      </c>
      <c r="S55" s="72" t="str">
        <f t="shared" si="58"/>
        <v>-</v>
      </c>
      <c r="T55" s="72" t="str">
        <f t="shared" si="58"/>
        <v>-</v>
      </c>
      <c r="U55" s="72" t="str">
        <f t="shared" si="58"/>
        <v>-</v>
      </c>
      <c r="V55" s="72" t="str">
        <f t="shared" si="58"/>
        <v>-</v>
      </c>
      <c r="W55" s="72" t="str">
        <f t="shared" si="58"/>
        <v>-</v>
      </c>
      <c r="X55" s="72" t="str">
        <f t="shared" si="58"/>
        <v>-</v>
      </c>
      <c r="Y55" s="72" t="str">
        <f t="shared" si="58"/>
        <v>-</v>
      </c>
      <c r="Z55" s="72" t="str">
        <f t="shared" si="58"/>
        <v>-</v>
      </c>
      <c r="AA55" s="72" t="str">
        <f t="shared" si="58"/>
        <v>-</v>
      </c>
      <c r="AB55" s="72" t="str">
        <f t="shared" si="58"/>
        <v>-</v>
      </c>
      <c r="AC55" s="72" t="str">
        <f t="shared" si="58"/>
        <v>-</v>
      </c>
      <c r="AD55" s="72" t="str">
        <f t="shared" si="58"/>
        <v>-</v>
      </c>
      <c r="AE55" s="72" t="str">
        <f t="shared" si="58"/>
        <v>-</v>
      </c>
      <c r="AF55" s="72" t="str">
        <f t="shared" si="58"/>
        <v>-</v>
      </c>
      <c r="AG55" s="75" t="str">
        <f t="shared" si="58"/>
        <v>-</v>
      </c>
    </row>
    <row r="56" spans="3:33" s="12" customFormat="1" ht="15" hidden="1" customHeight="1" outlineLevel="1">
      <c r="C56" s="76" t="s">
        <v>45</v>
      </c>
      <c r="D56" s="77" t="str">
        <f t="shared" ref="D56:AG56" si="59">IF($D$2=FALSE,"-",IF(D47+D48=0,0,+D45/(D47+D48)*100))</f>
        <v>-</v>
      </c>
      <c r="E56" s="78" t="str">
        <f t="shared" si="59"/>
        <v>-</v>
      </c>
      <c r="F56" s="78" t="str">
        <f t="shared" si="59"/>
        <v>-</v>
      </c>
      <c r="G56" s="79" t="str">
        <f t="shared" si="59"/>
        <v>-</v>
      </c>
      <c r="H56" s="78" t="str">
        <f t="shared" si="59"/>
        <v>-</v>
      </c>
      <c r="I56" s="80" t="str">
        <f t="shared" si="59"/>
        <v>-</v>
      </c>
      <c r="J56" s="78" t="str">
        <f t="shared" si="59"/>
        <v>-</v>
      </c>
      <c r="K56" s="78" t="str">
        <f t="shared" si="59"/>
        <v>-</v>
      </c>
      <c r="L56" s="78" t="str">
        <f t="shared" si="59"/>
        <v>-</v>
      </c>
      <c r="M56" s="81" t="str">
        <f t="shared" si="59"/>
        <v>-</v>
      </c>
      <c r="N56" s="77" t="str">
        <f t="shared" si="59"/>
        <v>-</v>
      </c>
      <c r="O56" s="78" t="str">
        <f t="shared" si="59"/>
        <v>-</v>
      </c>
      <c r="P56" s="78" t="str">
        <f t="shared" si="59"/>
        <v>-</v>
      </c>
      <c r="Q56" s="78" t="str">
        <f t="shared" si="59"/>
        <v>-</v>
      </c>
      <c r="R56" s="78" t="str">
        <f t="shared" si="59"/>
        <v>-</v>
      </c>
      <c r="S56" s="78" t="str">
        <f t="shared" si="59"/>
        <v>-</v>
      </c>
      <c r="T56" s="78" t="str">
        <f t="shared" si="59"/>
        <v>-</v>
      </c>
      <c r="U56" s="78" t="str">
        <f t="shared" si="59"/>
        <v>-</v>
      </c>
      <c r="V56" s="78" t="str">
        <f t="shared" si="59"/>
        <v>-</v>
      </c>
      <c r="W56" s="78" t="str">
        <f t="shared" si="59"/>
        <v>-</v>
      </c>
      <c r="X56" s="78" t="str">
        <f t="shared" si="59"/>
        <v>-</v>
      </c>
      <c r="Y56" s="78" t="str">
        <f t="shared" si="59"/>
        <v>-</v>
      </c>
      <c r="Z56" s="78" t="str">
        <f t="shared" si="59"/>
        <v>-</v>
      </c>
      <c r="AA56" s="78" t="str">
        <f t="shared" si="59"/>
        <v>-</v>
      </c>
      <c r="AB56" s="78" t="str">
        <f t="shared" si="59"/>
        <v>-</v>
      </c>
      <c r="AC56" s="78" t="str">
        <f t="shared" si="59"/>
        <v>-</v>
      </c>
      <c r="AD56" s="78" t="str">
        <f t="shared" si="59"/>
        <v>-</v>
      </c>
      <c r="AE56" s="78" t="str">
        <f t="shared" si="59"/>
        <v>-</v>
      </c>
      <c r="AF56" s="78" t="str">
        <f t="shared" si="59"/>
        <v>-</v>
      </c>
      <c r="AG56" s="81" t="str">
        <f t="shared" si="59"/>
        <v>-</v>
      </c>
    </row>
    <row r="57" spans="3:33" s="12" customFormat="1" ht="15" customHeight="1" collapsed="1">
      <c r="C57" s="23" t="s">
        <v>46</v>
      </c>
      <c r="D57" s="24"/>
      <c r="E57" s="25"/>
      <c r="F57" s="25"/>
      <c r="G57" s="25"/>
      <c r="H57" s="25"/>
      <c r="I57" s="25"/>
      <c r="J57" s="25"/>
      <c r="K57" s="25"/>
      <c r="L57" s="25"/>
      <c r="M57" s="26"/>
      <c r="N57" s="24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6"/>
    </row>
    <row r="58" spans="3:33" ht="15" hidden="1" customHeight="1" outlineLevel="1">
      <c r="C58" s="34" t="s">
        <v>47</v>
      </c>
      <c r="D58" s="60" t="str">
        <f t="shared" ref="D58:M58" si="60">IF($D$2=FALSE,"-",+D74)</f>
        <v>-</v>
      </c>
      <c r="E58" s="61" t="str">
        <f t="shared" si="60"/>
        <v>-</v>
      </c>
      <c r="F58" s="61" t="str">
        <f t="shared" si="60"/>
        <v>-</v>
      </c>
      <c r="G58" s="62" t="str">
        <f t="shared" si="60"/>
        <v>-</v>
      </c>
      <c r="H58" s="61" t="str">
        <f t="shared" si="60"/>
        <v>-</v>
      </c>
      <c r="I58" s="63" t="str">
        <f t="shared" si="60"/>
        <v>-</v>
      </c>
      <c r="J58" s="61" t="str">
        <f t="shared" si="60"/>
        <v>-</v>
      </c>
      <c r="K58" s="61" t="str">
        <f t="shared" si="60"/>
        <v>-</v>
      </c>
      <c r="L58" s="61" t="str">
        <f t="shared" si="60"/>
        <v>-</v>
      </c>
      <c r="M58" s="64" t="str">
        <f t="shared" si="60"/>
        <v>-</v>
      </c>
      <c r="N58" s="60" t="str">
        <f t="shared" ref="N58:AG58" si="61">IF($D$2=FALSE,"-",IF(Q74=0,0,+N74+O74+P74+Q74))</f>
        <v>-</v>
      </c>
      <c r="O58" s="61" t="str">
        <f t="shared" si="61"/>
        <v>-</v>
      </c>
      <c r="P58" s="61" t="str">
        <f t="shared" si="61"/>
        <v>-</v>
      </c>
      <c r="Q58" s="61" t="str">
        <f t="shared" si="61"/>
        <v>-</v>
      </c>
      <c r="R58" s="61" t="str">
        <f t="shared" si="61"/>
        <v>-</v>
      </c>
      <c r="S58" s="61" t="str">
        <f t="shared" si="61"/>
        <v>-</v>
      </c>
      <c r="T58" s="61" t="str">
        <f t="shared" si="61"/>
        <v>-</v>
      </c>
      <c r="U58" s="61" t="str">
        <f t="shared" si="61"/>
        <v>-</v>
      </c>
      <c r="V58" s="61" t="str">
        <f t="shared" si="61"/>
        <v>-</v>
      </c>
      <c r="W58" s="61" t="str">
        <f t="shared" si="61"/>
        <v>-</v>
      </c>
      <c r="X58" s="61" t="str">
        <f t="shared" si="61"/>
        <v>-</v>
      </c>
      <c r="Y58" s="61" t="str">
        <f t="shared" si="61"/>
        <v>-</v>
      </c>
      <c r="Z58" s="61" t="str">
        <f t="shared" si="61"/>
        <v>-</v>
      </c>
      <c r="AA58" s="61" t="str">
        <f t="shared" si="61"/>
        <v>-</v>
      </c>
      <c r="AB58" s="61" t="str">
        <f t="shared" si="61"/>
        <v>-</v>
      </c>
      <c r="AC58" s="61" t="str">
        <f t="shared" si="61"/>
        <v>-</v>
      </c>
      <c r="AD58" s="61" t="str">
        <f t="shared" si="61"/>
        <v>-</v>
      </c>
      <c r="AE58" s="61" t="str">
        <f t="shared" si="61"/>
        <v>-</v>
      </c>
      <c r="AF58" s="61" t="str">
        <f t="shared" si="61"/>
        <v>-</v>
      </c>
      <c r="AG58" s="64" t="str">
        <f t="shared" si="61"/>
        <v>-</v>
      </c>
    </row>
    <row r="59" spans="3:33" s="82" customFormat="1" ht="15" hidden="1" customHeight="1" outlineLevel="1">
      <c r="C59" s="83">
        <v>0.35</v>
      </c>
      <c r="D59" s="84" t="str">
        <f t="shared" ref="D59:AG59" si="62">IF($D$2=FALSE,"-",-ROUND($C$59*D58,2))</f>
        <v>-</v>
      </c>
      <c r="E59" s="85" t="str">
        <f t="shared" si="62"/>
        <v>-</v>
      </c>
      <c r="F59" s="85" t="str">
        <f t="shared" si="62"/>
        <v>-</v>
      </c>
      <c r="G59" s="86" t="str">
        <f t="shared" si="62"/>
        <v>-</v>
      </c>
      <c r="H59" s="85" t="str">
        <f t="shared" si="62"/>
        <v>-</v>
      </c>
      <c r="I59" s="87" t="str">
        <f t="shared" si="62"/>
        <v>-</v>
      </c>
      <c r="J59" s="85" t="str">
        <f t="shared" si="62"/>
        <v>-</v>
      </c>
      <c r="K59" s="85" t="str">
        <f t="shared" si="62"/>
        <v>-</v>
      </c>
      <c r="L59" s="85" t="str">
        <f t="shared" si="62"/>
        <v>-</v>
      </c>
      <c r="M59" s="88" t="str">
        <f t="shared" si="62"/>
        <v>-</v>
      </c>
      <c r="N59" s="84" t="str">
        <f t="shared" si="62"/>
        <v>-</v>
      </c>
      <c r="O59" s="85" t="str">
        <f t="shared" si="62"/>
        <v>-</v>
      </c>
      <c r="P59" s="85" t="str">
        <f t="shared" si="62"/>
        <v>-</v>
      </c>
      <c r="Q59" s="85" t="str">
        <f t="shared" si="62"/>
        <v>-</v>
      </c>
      <c r="R59" s="85" t="str">
        <f t="shared" si="62"/>
        <v>-</v>
      </c>
      <c r="S59" s="85" t="str">
        <f t="shared" si="62"/>
        <v>-</v>
      </c>
      <c r="T59" s="85" t="str">
        <f t="shared" si="62"/>
        <v>-</v>
      </c>
      <c r="U59" s="85" t="str">
        <f t="shared" si="62"/>
        <v>-</v>
      </c>
      <c r="V59" s="85" t="str">
        <f t="shared" si="62"/>
        <v>-</v>
      </c>
      <c r="W59" s="85" t="str">
        <f t="shared" si="62"/>
        <v>-</v>
      </c>
      <c r="X59" s="85" t="str">
        <f t="shared" si="62"/>
        <v>-</v>
      </c>
      <c r="Y59" s="85" t="str">
        <f t="shared" si="62"/>
        <v>-</v>
      </c>
      <c r="Z59" s="85" t="str">
        <f t="shared" si="62"/>
        <v>-</v>
      </c>
      <c r="AA59" s="85" t="str">
        <f t="shared" si="62"/>
        <v>-</v>
      </c>
      <c r="AB59" s="85" t="str">
        <f t="shared" si="62"/>
        <v>-</v>
      </c>
      <c r="AC59" s="85" t="str">
        <f t="shared" si="62"/>
        <v>-</v>
      </c>
      <c r="AD59" s="85" t="str">
        <f t="shared" si="62"/>
        <v>-</v>
      </c>
      <c r="AE59" s="85" t="str">
        <f t="shared" si="62"/>
        <v>-</v>
      </c>
      <c r="AF59" s="85" t="str">
        <f t="shared" si="62"/>
        <v>-</v>
      </c>
      <c r="AG59" s="88" t="str">
        <f t="shared" si="62"/>
        <v>-</v>
      </c>
    </row>
    <row r="60" spans="3:33" ht="15" hidden="1" customHeight="1" outlineLevel="1">
      <c r="C60" s="34" t="s">
        <v>48</v>
      </c>
      <c r="D60" s="60" t="str">
        <f t="shared" ref="D60:AG60" si="63">IF($D$2=FALSE,"-",SUM(D58:D59))</f>
        <v>-</v>
      </c>
      <c r="E60" s="61" t="str">
        <f t="shared" si="63"/>
        <v>-</v>
      </c>
      <c r="F60" s="61" t="str">
        <f t="shared" si="63"/>
        <v>-</v>
      </c>
      <c r="G60" s="62" t="str">
        <f t="shared" si="63"/>
        <v>-</v>
      </c>
      <c r="H60" s="61" t="str">
        <f t="shared" si="63"/>
        <v>-</v>
      </c>
      <c r="I60" s="63" t="str">
        <f t="shared" si="63"/>
        <v>-</v>
      </c>
      <c r="J60" s="61" t="str">
        <f t="shared" si="63"/>
        <v>-</v>
      </c>
      <c r="K60" s="61" t="str">
        <f t="shared" si="63"/>
        <v>-</v>
      </c>
      <c r="L60" s="61" t="str">
        <f t="shared" si="63"/>
        <v>-</v>
      </c>
      <c r="M60" s="64" t="str">
        <f t="shared" si="63"/>
        <v>-</v>
      </c>
      <c r="N60" s="60" t="str">
        <f t="shared" si="63"/>
        <v>-</v>
      </c>
      <c r="O60" s="61" t="str">
        <f t="shared" si="63"/>
        <v>-</v>
      </c>
      <c r="P60" s="61" t="str">
        <f t="shared" si="63"/>
        <v>-</v>
      </c>
      <c r="Q60" s="61" t="str">
        <f t="shared" si="63"/>
        <v>-</v>
      </c>
      <c r="R60" s="61" t="str">
        <f t="shared" si="63"/>
        <v>-</v>
      </c>
      <c r="S60" s="61" t="str">
        <f t="shared" si="63"/>
        <v>-</v>
      </c>
      <c r="T60" s="61" t="str">
        <f t="shared" si="63"/>
        <v>-</v>
      </c>
      <c r="U60" s="61" t="str">
        <f t="shared" si="63"/>
        <v>-</v>
      </c>
      <c r="V60" s="61" t="str">
        <f t="shared" si="63"/>
        <v>-</v>
      </c>
      <c r="W60" s="61" t="str">
        <f t="shared" si="63"/>
        <v>-</v>
      </c>
      <c r="X60" s="61" t="str">
        <f t="shared" si="63"/>
        <v>-</v>
      </c>
      <c r="Y60" s="61" t="str">
        <f t="shared" si="63"/>
        <v>-</v>
      </c>
      <c r="Z60" s="61" t="str">
        <f t="shared" si="63"/>
        <v>-</v>
      </c>
      <c r="AA60" s="61" t="str">
        <f t="shared" si="63"/>
        <v>-</v>
      </c>
      <c r="AB60" s="61" t="str">
        <f t="shared" si="63"/>
        <v>-</v>
      </c>
      <c r="AC60" s="61" t="str">
        <f t="shared" si="63"/>
        <v>-</v>
      </c>
      <c r="AD60" s="61" t="str">
        <f t="shared" si="63"/>
        <v>-</v>
      </c>
      <c r="AE60" s="61" t="str">
        <f t="shared" si="63"/>
        <v>-</v>
      </c>
      <c r="AF60" s="61" t="str">
        <f t="shared" si="63"/>
        <v>-</v>
      </c>
      <c r="AG60" s="64" t="str">
        <f t="shared" si="63"/>
        <v>-</v>
      </c>
    </row>
    <row r="61" spans="3:33" ht="15" hidden="1" customHeight="1" outlineLevel="1">
      <c r="C61" s="53" t="s">
        <v>49</v>
      </c>
      <c r="D61" s="65" t="str">
        <f t="shared" ref="D61:AG61" si="64">IF($D$2=FALSE,"-",+D145)</f>
        <v>-</v>
      </c>
      <c r="E61" s="66" t="str">
        <f t="shared" si="64"/>
        <v>-</v>
      </c>
      <c r="F61" s="66" t="str">
        <f t="shared" si="64"/>
        <v>-</v>
      </c>
      <c r="G61" s="67" t="str">
        <f t="shared" si="64"/>
        <v>-</v>
      </c>
      <c r="H61" s="66" t="str">
        <f t="shared" si="64"/>
        <v>-</v>
      </c>
      <c r="I61" s="68" t="str">
        <f t="shared" si="64"/>
        <v>-</v>
      </c>
      <c r="J61" s="66" t="str">
        <f t="shared" si="64"/>
        <v>-</v>
      </c>
      <c r="K61" s="66" t="str">
        <f t="shared" si="64"/>
        <v>-</v>
      </c>
      <c r="L61" s="66" t="str">
        <f t="shared" si="64"/>
        <v>-</v>
      </c>
      <c r="M61" s="69" t="str">
        <f t="shared" si="64"/>
        <v>-</v>
      </c>
      <c r="N61" s="65" t="str">
        <f t="shared" si="64"/>
        <v>-</v>
      </c>
      <c r="O61" s="66" t="str">
        <f t="shared" si="64"/>
        <v>-</v>
      </c>
      <c r="P61" s="66" t="str">
        <f t="shared" si="64"/>
        <v>-</v>
      </c>
      <c r="Q61" s="66" t="str">
        <f t="shared" si="64"/>
        <v>-</v>
      </c>
      <c r="R61" s="66" t="str">
        <f t="shared" si="64"/>
        <v>-</v>
      </c>
      <c r="S61" s="66" t="str">
        <f t="shared" si="64"/>
        <v>-</v>
      </c>
      <c r="T61" s="66" t="str">
        <f t="shared" si="64"/>
        <v>-</v>
      </c>
      <c r="U61" s="66" t="str">
        <f t="shared" si="64"/>
        <v>-</v>
      </c>
      <c r="V61" s="66" t="str">
        <f t="shared" si="64"/>
        <v>-</v>
      </c>
      <c r="W61" s="66" t="str">
        <f t="shared" si="64"/>
        <v>-</v>
      </c>
      <c r="X61" s="66" t="str">
        <f t="shared" si="64"/>
        <v>-</v>
      </c>
      <c r="Y61" s="66" t="str">
        <f t="shared" si="64"/>
        <v>-</v>
      </c>
      <c r="Z61" s="66" t="str">
        <f t="shared" si="64"/>
        <v>-</v>
      </c>
      <c r="AA61" s="66" t="str">
        <f t="shared" si="64"/>
        <v>-</v>
      </c>
      <c r="AB61" s="66" t="str">
        <f t="shared" si="64"/>
        <v>-</v>
      </c>
      <c r="AC61" s="66" t="str">
        <f t="shared" si="64"/>
        <v>-</v>
      </c>
      <c r="AD61" s="66" t="str">
        <f t="shared" si="64"/>
        <v>-</v>
      </c>
      <c r="AE61" s="66" t="str">
        <f t="shared" si="64"/>
        <v>-</v>
      </c>
      <c r="AF61" s="66" t="str">
        <f t="shared" si="64"/>
        <v>-</v>
      </c>
      <c r="AG61" s="69" t="str">
        <f t="shared" si="64"/>
        <v>-</v>
      </c>
    </row>
    <row r="62" spans="3:33" ht="15" hidden="1" customHeight="1" outlineLevel="1">
      <c r="C62" s="34" t="s">
        <v>50</v>
      </c>
      <c r="D62" s="60" t="str">
        <f t="shared" ref="D62:AG62" si="65">IF($D$2=FALSE,"-",+D142)</f>
        <v>-</v>
      </c>
      <c r="E62" s="61" t="str">
        <f t="shared" si="65"/>
        <v>-</v>
      </c>
      <c r="F62" s="61" t="str">
        <f t="shared" si="65"/>
        <v>-</v>
      </c>
      <c r="G62" s="62" t="str">
        <f t="shared" si="65"/>
        <v>-</v>
      </c>
      <c r="H62" s="61" t="str">
        <f t="shared" si="65"/>
        <v>-</v>
      </c>
      <c r="I62" s="63" t="str">
        <f t="shared" si="65"/>
        <v>-</v>
      </c>
      <c r="J62" s="61" t="str">
        <f t="shared" si="65"/>
        <v>-</v>
      </c>
      <c r="K62" s="61" t="str">
        <f t="shared" si="65"/>
        <v>-</v>
      </c>
      <c r="L62" s="61" t="str">
        <f t="shared" si="65"/>
        <v>-</v>
      </c>
      <c r="M62" s="64" t="str">
        <f t="shared" si="65"/>
        <v>-</v>
      </c>
      <c r="N62" s="60" t="str">
        <f t="shared" si="65"/>
        <v>-</v>
      </c>
      <c r="O62" s="61" t="str">
        <f t="shared" si="65"/>
        <v>-</v>
      </c>
      <c r="P62" s="61" t="str">
        <f t="shared" si="65"/>
        <v>-</v>
      </c>
      <c r="Q62" s="61" t="str">
        <f t="shared" si="65"/>
        <v>-</v>
      </c>
      <c r="R62" s="61" t="str">
        <f t="shared" si="65"/>
        <v>-</v>
      </c>
      <c r="S62" s="61" t="str">
        <f t="shared" si="65"/>
        <v>-</v>
      </c>
      <c r="T62" s="61" t="str">
        <f t="shared" si="65"/>
        <v>-</v>
      </c>
      <c r="U62" s="61" t="str">
        <f t="shared" si="65"/>
        <v>-</v>
      </c>
      <c r="V62" s="61" t="str">
        <f t="shared" si="65"/>
        <v>-</v>
      </c>
      <c r="W62" s="61" t="str">
        <f t="shared" si="65"/>
        <v>-</v>
      </c>
      <c r="X62" s="61" t="str">
        <f t="shared" si="65"/>
        <v>-</v>
      </c>
      <c r="Y62" s="61" t="str">
        <f t="shared" si="65"/>
        <v>-</v>
      </c>
      <c r="Z62" s="61" t="str">
        <f t="shared" si="65"/>
        <v>-</v>
      </c>
      <c r="AA62" s="61" t="str">
        <f t="shared" si="65"/>
        <v>-</v>
      </c>
      <c r="AB62" s="61" t="str">
        <f t="shared" si="65"/>
        <v>-</v>
      </c>
      <c r="AC62" s="61" t="str">
        <f t="shared" si="65"/>
        <v>-</v>
      </c>
      <c r="AD62" s="61" t="str">
        <f t="shared" si="65"/>
        <v>-</v>
      </c>
      <c r="AE62" s="61" t="str">
        <f t="shared" si="65"/>
        <v>-</v>
      </c>
      <c r="AF62" s="61" t="str">
        <f t="shared" si="65"/>
        <v>-</v>
      </c>
      <c r="AG62" s="64" t="str">
        <f t="shared" si="65"/>
        <v>-</v>
      </c>
    </row>
    <row r="63" spans="3:33" ht="15" hidden="1" customHeight="1" outlineLevel="1">
      <c r="C63" s="34" t="s">
        <v>51</v>
      </c>
      <c r="D63" s="60" t="str">
        <f t="shared" ref="D63:AG63" si="66">IF($D$2=FALSE,"-",+D61-D62)</f>
        <v>-</v>
      </c>
      <c r="E63" s="61" t="str">
        <f t="shared" si="66"/>
        <v>-</v>
      </c>
      <c r="F63" s="61" t="str">
        <f t="shared" si="66"/>
        <v>-</v>
      </c>
      <c r="G63" s="62" t="str">
        <f t="shared" si="66"/>
        <v>-</v>
      </c>
      <c r="H63" s="61" t="str">
        <f t="shared" si="66"/>
        <v>-</v>
      </c>
      <c r="I63" s="63" t="str">
        <f t="shared" si="66"/>
        <v>-</v>
      </c>
      <c r="J63" s="61" t="str">
        <f t="shared" si="66"/>
        <v>-</v>
      </c>
      <c r="K63" s="61" t="str">
        <f t="shared" si="66"/>
        <v>-</v>
      </c>
      <c r="L63" s="61" t="str">
        <f t="shared" si="66"/>
        <v>-</v>
      </c>
      <c r="M63" s="64" t="str">
        <f t="shared" si="66"/>
        <v>-</v>
      </c>
      <c r="N63" s="60" t="str">
        <f t="shared" si="66"/>
        <v>-</v>
      </c>
      <c r="O63" s="61" t="str">
        <f t="shared" si="66"/>
        <v>-</v>
      </c>
      <c r="P63" s="61" t="str">
        <f t="shared" si="66"/>
        <v>-</v>
      </c>
      <c r="Q63" s="61" t="str">
        <f t="shared" si="66"/>
        <v>-</v>
      </c>
      <c r="R63" s="61" t="str">
        <f t="shared" si="66"/>
        <v>-</v>
      </c>
      <c r="S63" s="61" t="str">
        <f t="shared" si="66"/>
        <v>-</v>
      </c>
      <c r="T63" s="61" t="str">
        <f t="shared" si="66"/>
        <v>-</v>
      </c>
      <c r="U63" s="61" t="str">
        <f t="shared" si="66"/>
        <v>-</v>
      </c>
      <c r="V63" s="61" t="str">
        <f t="shared" si="66"/>
        <v>-</v>
      </c>
      <c r="W63" s="61" t="str">
        <f t="shared" si="66"/>
        <v>-</v>
      </c>
      <c r="X63" s="61" t="str">
        <f t="shared" si="66"/>
        <v>-</v>
      </c>
      <c r="Y63" s="61" t="str">
        <f t="shared" si="66"/>
        <v>-</v>
      </c>
      <c r="Z63" s="61" t="str">
        <f t="shared" si="66"/>
        <v>-</v>
      </c>
      <c r="AA63" s="61" t="str">
        <f t="shared" si="66"/>
        <v>-</v>
      </c>
      <c r="AB63" s="61" t="str">
        <f t="shared" si="66"/>
        <v>-</v>
      </c>
      <c r="AC63" s="61" t="str">
        <f t="shared" si="66"/>
        <v>-</v>
      </c>
      <c r="AD63" s="61" t="str">
        <f t="shared" si="66"/>
        <v>-</v>
      </c>
      <c r="AE63" s="61" t="str">
        <f t="shared" si="66"/>
        <v>-</v>
      </c>
      <c r="AF63" s="61" t="str">
        <f t="shared" si="66"/>
        <v>-</v>
      </c>
      <c r="AG63" s="64" t="str">
        <f t="shared" si="66"/>
        <v>-</v>
      </c>
    </row>
    <row r="64" spans="3:33" ht="15" hidden="1" customHeight="1" outlineLevel="1">
      <c r="C64" s="34" t="s">
        <v>52</v>
      </c>
      <c r="D64" s="60" t="str">
        <f t="shared" ref="D64:M64" si="67">IF($D$2=FALSE,"-",+D153-D150-D147)</f>
        <v>-</v>
      </c>
      <c r="E64" s="61" t="str">
        <f t="shared" si="67"/>
        <v>-</v>
      </c>
      <c r="F64" s="61" t="str">
        <f t="shared" si="67"/>
        <v>-</v>
      </c>
      <c r="G64" s="62" t="str">
        <f t="shared" si="67"/>
        <v>-</v>
      </c>
      <c r="H64" s="61" t="str">
        <f t="shared" si="67"/>
        <v>-</v>
      </c>
      <c r="I64" s="63" t="str">
        <f t="shared" si="67"/>
        <v>-</v>
      </c>
      <c r="J64" s="61" t="str">
        <f t="shared" si="67"/>
        <v>-</v>
      </c>
      <c r="K64" s="61" t="str">
        <f t="shared" si="67"/>
        <v>-</v>
      </c>
      <c r="L64" s="61" t="str">
        <f t="shared" si="67"/>
        <v>-</v>
      </c>
      <c r="M64" s="64" t="str">
        <f t="shared" si="67"/>
        <v>-</v>
      </c>
      <c r="N64" s="60" t="str">
        <f t="shared" ref="N64:AG64" si="68">IF($D$2=FALSE,"-",(+N153-N150-N147))</f>
        <v>-</v>
      </c>
      <c r="O64" s="61" t="str">
        <f t="shared" si="68"/>
        <v>-</v>
      </c>
      <c r="P64" s="61" t="str">
        <f t="shared" si="68"/>
        <v>-</v>
      </c>
      <c r="Q64" s="61" t="str">
        <f t="shared" si="68"/>
        <v>-</v>
      </c>
      <c r="R64" s="61" t="str">
        <f t="shared" si="68"/>
        <v>-</v>
      </c>
      <c r="S64" s="61" t="str">
        <f t="shared" si="68"/>
        <v>-</v>
      </c>
      <c r="T64" s="61" t="str">
        <f t="shared" si="68"/>
        <v>-</v>
      </c>
      <c r="U64" s="61" t="str">
        <f t="shared" si="68"/>
        <v>-</v>
      </c>
      <c r="V64" s="61" t="str">
        <f t="shared" si="68"/>
        <v>-</v>
      </c>
      <c r="W64" s="61" t="str">
        <f t="shared" si="68"/>
        <v>-</v>
      </c>
      <c r="X64" s="61" t="str">
        <f t="shared" si="68"/>
        <v>-</v>
      </c>
      <c r="Y64" s="61" t="str">
        <f t="shared" si="68"/>
        <v>-</v>
      </c>
      <c r="Z64" s="61" t="str">
        <f t="shared" si="68"/>
        <v>-</v>
      </c>
      <c r="AA64" s="61" t="str">
        <f t="shared" si="68"/>
        <v>-</v>
      </c>
      <c r="AB64" s="61" t="str">
        <f t="shared" si="68"/>
        <v>-</v>
      </c>
      <c r="AC64" s="61" t="str">
        <f t="shared" si="68"/>
        <v>-</v>
      </c>
      <c r="AD64" s="61" t="str">
        <f t="shared" si="68"/>
        <v>-</v>
      </c>
      <c r="AE64" s="61" t="str">
        <f t="shared" si="68"/>
        <v>-</v>
      </c>
      <c r="AF64" s="61" t="str">
        <f t="shared" si="68"/>
        <v>-</v>
      </c>
      <c r="AG64" s="64" t="str">
        <f t="shared" si="68"/>
        <v>-</v>
      </c>
    </row>
    <row r="65" spans="3:33" ht="15" hidden="1" customHeight="1" outlineLevel="1">
      <c r="C65" s="53" t="s">
        <v>53</v>
      </c>
      <c r="D65" s="65" t="str">
        <f t="shared" ref="D65:AG65" si="69">IF($D$2=FALSE,"-",+D63-D64)</f>
        <v>-</v>
      </c>
      <c r="E65" s="66" t="str">
        <f t="shared" si="69"/>
        <v>-</v>
      </c>
      <c r="F65" s="66" t="str">
        <f t="shared" si="69"/>
        <v>-</v>
      </c>
      <c r="G65" s="67" t="str">
        <f t="shared" si="69"/>
        <v>-</v>
      </c>
      <c r="H65" s="66" t="str">
        <f t="shared" si="69"/>
        <v>-</v>
      </c>
      <c r="I65" s="68" t="str">
        <f t="shared" si="69"/>
        <v>-</v>
      </c>
      <c r="J65" s="66" t="str">
        <f t="shared" si="69"/>
        <v>-</v>
      </c>
      <c r="K65" s="66" t="str">
        <f t="shared" si="69"/>
        <v>-</v>
      </c>
      <c r="L65" s="66" t="str">
        <f t="shared" si="69"/>
        <v>-</v>
      </c>
      <c r="M65" s="69" t="str">
        <f t="shared" si="69"/>
        <v>-</v>
      </c>
      <c r="N65" s="65" t="str">
        <f t="shared" si="69"/>
        <v>-</v>
      </c>
      <c r="O65" s="66" t="str">
        <f t="shared" si="69"/>
        <v>-</v>
      </c>
      <c r="P65" s="66" t="str">
        <f t="shared" si="69"/>
        <v>-</v>
      </c>
      <c r="Q65" s="66" t="str">
        <f t="shared" si="69"/>
        <v>-</v>
      </c>
      <c r="R65" s="66" t="str">
        <f t="shared" si="69"/>
        <v>-</v>
      </c>
      <c r="S65" s="66" t="str">
        <f t="shared" si="69"/>
        <v>-</v>
      </c>
      <c r="T65" s="66" t="str">
        <f t="shared" si="69"/>
        <v>-</v>
      </c>
      <c r="U65" s="66" t="str">
        <f t="shared" si="69"/>
        <v>-</v>
      </c>
      <c r="V65" s="66" t="str">
        <f t="shared" si="69"/>
        <v>-</v>
      </c>
      <c r="W65" s="66" t="str">
        <f t="shared" si="69"/>
        <v>-</v>
      </c>
      <c r="X65" s="66" t="str">
        <f t="shared" si="69"/>
        <v>-</v>
      </c>
      <c r="Y65" s="66" t="str">
        <f t="shared" si="69"/>
        <v>-</v>
      </c>
      <c r="Z65" s="66" t="str">
        <f t="shared" si="69"/>
        <v>-</v>
      </c>
      <c r="AA65" s="66" t="str">
        <f t="shared" si="69"/>
        <v>-</v>
      </c>
      <c r="AB65" s="66" t="str">
        <f t="shared" si="69"/>
        <v>-</v>
      </c>
      <c r="AC65" s="66" t="str">
        <f t="shared" si="69"/>
        <v>-</v>
      </c>
      <c r="AD65" s="66" t="str">
        <f t="shared" si="69"/>
        <v>-</v>
      </c>
      <c r="AE65" s="66" t="str">
        <f t="shared" si="69"/>
        <v>-</v>
      </c>
      <c r="AF65" s="66" t="str">
        <f t="shared" si="69"/>
        <v>-</v>
      </c>
      <c r="AG65" s="69" t="str">
        <f t="shared" si="69"/>
        <v>-</v>
      </c>
    </row>
    <row r="66" spans="3:33" s="89" customFormat="1" ht="15" hidden="1" customHeight="1" outlineLevel="1">
      <c r="C66" s="90" t="s">
        <v>54</v>
      </c>
      <c r="D66" s="91" t="str">
        <f t="shared" ref="D66:AG66" si="70">IF($D$2=FALSE,"-",IF(D65=0,0,+D60/D65*100))</f>
        <v>-</v>
      </c>
      <c r="E66" s="92" t="str">
        <f t="shared" si="70"/>
        <v>-</v>
      </c>
      <c r="F66" s="92" t="str">
        <f t="shared" si="70"/>
        <v>-</v>
      </c>
      <c r="G66" s="93" t="str">
        <f t="shared" si="70"/>
        <v>-</v>
      </c>
      <c r="H66" s="92" t="str">
        <f t="shared" si="70"/>
        <v>-</v>
      </c>
      <c r="I66" s="94" t="str">
        <f t="shared" si="70"/>
        <v>-</v>
      </c>
      <c r="J66" s="92" t="str">
        <f t="shared" si="70"/>
        <v>-</v>
      </c>
      <c r="K66" s="92" t="str">
        <f t="shared" si="70"/>
        <v>-</v>
      </c>
      <c r="L66" s="92" t="str">
        <f t="shared" si="70"/>
        <v>-</v>
      </c>
      <c r="M66" s="95" t="str">
        <f t="shared" si="70"/>
        <v>-</v>
      </c>
      <c r="N66" s="91" t="str">
        <f t="shared" si="70"/>
        <v>-</v>
      </c>
      <c r="O66" s="92" t="str">
        <f t="shared" si="70"/>
        <v>-</v>
      </c>
      <c r="P66" s="92" t="str">
        <f t="shared" si="70"/>
        <v>-</v>
      </c>
      <c r="Q66" s="92" t="str">
        <f t="shared" si="70"/>
        <v>-</v>
      </c>
      <c r="R66" s="92" t="str">
        <f t="shared" si="70"/>
        <v>-</v>
      </c>
      <c r="S66" s="92" t="str">
        <f t="shared" si="70"/>
        <v>-</v>
      </c>
      <c r="T66" s="92" t="str">
        <f t="shared" si="70"/>
        <v>-</v>
      </c>
      <c r="U66" s="92" t="str">
        <f t="shared" si="70"/>
        <v>-</v>
      </c>
      <c r="V66" s="92" t="str">
        <f t="shared" si="70"/>
        <v>-</v>
      </c>
      <c r="W66" s="92" t="str">
        <f t="shared" si="70"/>
        <v>-</v>
      </c>
      <c r="X66" s="92" t="str">
        <f t="shared" si="70"/>
        <v>-</v>
      </c>
      <c r="Y66" s="92" t="str">
        <f t="shared" si="70"/>
        <v>-</v>
      </c>
      <c r="Z66" s="92" t="str">
        <f t="shared" si="70"/>
        <v>-</v>
      </c>
      <c r="AA66" s="92" t="str">
        <f t="shared" si="70"/>
        <v>-</v>
      </c>
      <c r="AB66" s="92" t="str">
        <f t="shared" si="70"/>
        <v>-</v>
      </c>
      <c r="AC66" s="92" t="str">
        <f t="shared" si="70"/>
        <v>-</v>
      </c>
      <c r="AD66" s="92" t="str">
        <f t="shared" si="70"/>
        <v>-</v>
      </c>
      <c r="AE66" s="92" t="str">
        <f t="shared" si="70"/>
        <v>-</v>
      </c>
      <c r="AF66" s="92" t="str">
        <f t="shared" si="70"/>
        <v>-</v>
      </c>
      <c r="AG66" s="95" t="str">
        <f t="shared" si="70"/>
        <v>-</v>
      </c>
    </row>
    <row r="67" spans="3:33" ht="15" customHeight="1" collapsed="1">
      <c r="C67" s="23" t="s">
        <v>55</v>
      </c>
      <c r="D67" s="24"/>
      <c r="E67" s="25"/>
      <c r="F67" s="25"/>
      <c r="G67" s="25"/>
      <c r="H67" s="25"/>
      <c r="I67" s="25"/>
      <c r="J67" s="25"/>
      <c r="K67" s="25"/>
      <c r="L67" s="25"/>
      <c r="M67" s="26"/>
      <c r="N67" s="24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6"/>
    </row>
    <row r="68" spans="3:33" ht="15" hidden="1" customHeight="1" outlineLevel="1">
      <c r="C68" s="34" t="s">
        <v>56</v>
      </c>
      <c r="D68" s="84" t="str">
        <f t="shared" ref="D68:AG68" si="71">IF($D$2=FALSE,"-",+D160)</f>
        <v>-</v>
      </c>
      <c r="E68" s="85" t="str">
        <f t="shared" si="71"/>
        <v>-</v>
      </c>
      <c r="F68" s="85" t="str">
        <f t="shared" si="71"/>
        <v>-</v>
      </c>
      <c r="G68" s="86" t="str">
        <f t="shared" si="71"/>
        <v>-</v>
      </c>
      <c r="H68" s="85" t="str">
        <f t="shared" si="71"/>
        <v>-</v>
      </c>
      <c r="I68" s="87" t="str">
        <f t="shared" si="71"/>
        <v>-</v>
      </c>
      <c r="J68" s="85" t="str">
        <f t="shared" si="71"/>
        <v>-</v>
      </c>
      <c r="K68" s="85" t="str">
        <f t="shared" si="71"/>
        <v>-</v>
      </c>
      <c r="L68" s="85" t="str">
        <f t="shared" si="71"/>
        <v>-</v>
      </c>
      <c r="M68" s="88" t="str">
        <f t="shared" si="71"/>
        <v>-</v>
      </c>
      <c r="N68" s="84" t="str">
        <f t="shared" si="71"/>
        <v>-</v>
      </c>
      <c r="O68" s="85" t="str">
        <f t="shared" si="71"/>
        <v>-</v>
      </c>
      <c r="P68" s="85" t="str">
        <f t="shared" si="71"/>
        <v>-</v>
      </c>
      <c r="Q68" s="85" t="str">
        <f t="shared" si="71"/>
        <v>-</v>
      </c>
      <c r="R68" s="85" t="str">
        <f t="shared" si="71"/>
        <v>-</v>
      </c>
      <c r="S68" s="85" t="str">
        <f t="shared" si="71"/>
        <v>-</v>
      </c>
      <c r="T68" s="85" t="str">
        <f t="shared" si="71"/>
        <v>-</v>
      </c>
      <c r="U68" s="85" t="str">
        <f t="shared" si="71"/>
        <v>-</v>
      </c>
      <c r="V68" s="85" t="str">
        <f t="shared" si="71"/>
        <v>-</v>
      </c>
      <c r="W68" s="85" t="str">
        <f t="shared" si="71"/>
        <v>-</v>
      </c>
      <c r="X68" s="85" t="str">
        <f t="shared" si="71"/>
        <v>-</v>
      </c>
      <c r="Y68" s="85" t="str">
        <f t="shared" si="71"/>
        <v>-</v>
      </c>
      <c r="Z68" s="85" t="str">
        <f t="shared" si="71"/>
        <v>-</v>
      </c>
      <c r="AA68" s="85" t="str">
        <f t="shared" si="71"/>
        <v>-</v>
      </c>
      <c r="AB68" s="85" t="str">
        <f t="shared" si="71"/>
        <v>-</v>
      </c>
      <c r="AC68" s="85" t="str">
        <f t="shared" si="71"/>
        <v>-</v>
      </c>
      <c r="AD68" s="85" t="str">
        <f t="shared" si="71"/>
        <v>-</v>
      </c>
      <c r="AE68" s="85" t="str">
        <f t="shared" si="71"/>
        <v>-</v>
      </c>
      <c r="AF68" s="85" t="str">
        <f t="shared" si="71"/>
        <v>-</v>
      </c>
      <c r="AG68" s="88" t="str">
        <f t="shared" si="71"/>
        <v>-</v>
      </c>
    </row>
    <row r="69" spans="3:33" s="46" customFormat="1" ht="15" hidden="1" customHeight="1" outlineLevel="1">
      <c r="C69" s="47" t="s">
        <v>13</v>
      </c>
      <c r="D69" s="48" t="str">
        <f t="shared" ref="D69:L69" si="72">IF($D$2=FALSE,"-",IF(OR(E68=0,E68="",D68=0,D68=""),0,((D68/E68)^(1/1))-1))</f>
        <v>-</v>
      </c>
      <c r="E69" s="49" t="str">
        <f t="shared" si="72"/>
        <v>-</v>
      </c>
      <c r="F69" s="49" t="str">
        <f t="shared" si="72"/>
        <v>-</v>
      </c>
      <c r="G69" s="50" t="str">
        <f t="shared" si="72"/>
        <v>-</v>
      </c>
      <c r="H69" s="49" t="str">
        <f t="shared" si="72"/>
        <v>-</v>
      </c>
      <c r="I69" s="51" t="str">
        <f t="shared" si="72"/>
        <v>-</v>
      </c>
      <c r="J69" s="49" t="str">
        <f t="shared" si="72"/>
        <v>-</v>
      </c>
      <c r="K69" s="49" t="str">
        <f t="shared" si="72"/>
        <v>-</v>
      </c>
      <c r="L69" s="49" t="str">
        <f t="shared" si="72"/>
        <v>-</v>
      </c>
      <c r="M69" s="52"/>
      <c r="N69" s="48" t="str">
        <f t="shared" ref="N69:AG69" si="73">IF($D$2=FALSE,"-",IF(OR(O68=0,O68="",N68=0,N68=""),0,((N68/O68)^(1/1))-1))</f>
        <v>-</v>
      </c>
      <c r="O69" s="49" t="str">
        <f t="shared" si="73"/>
        <v>-</v>
      </c>
      <c r="P69" s="49" t="str">
        <f t="shared" si="73"/>
        <v>-</v>
      </c>
      <c r="Q69" s="49" t="str">
        <f t="shared" si="73"/>
        <v>-</v>
      </c>
      <c r="R69" s="49" t="str">
        <f t="shared" si="73"/>
        <v>-</v>
      </c>
      <c r="S69" s="49" t="str">
        <f t="shared" si="73"/>
        <v>-</v>
      </c>
      <c r="T69" s="49" t="str">
        <f t="shared" si="73"/>
        <v>-</v>
      </c>
      <c r="U69" s="49" t="str">
        <f t="shared" si="73"/>
        <v>-</v>
      </c>
      <c r="V69" s="49" t="str">
        <f t="shared" si="73"/>
        <v>-</v>
      </c>
      <c r="W69" s="49" t="str">
        <f t="shared" si="73"/>
        <v>-</v>
      </c>
      <c r="X69" s="49" t="str">
        <f t="shared" si="73"/>
        <v>-</v>
      </c>
      <c r="Y69" s="49" t="str">
        <f t="shared" si="73"/>
        <v>-</v>
      </c>
      <c r="Z69" s="49" t="str">
        <f t="shared" si="73"/>
        <v>-</v>
      </c>
      <c r="AA69" s="49" t="str">
        <f t="shared" si="73"/>
        <v>-</v>
      </c>
      <c r="AB69" s="49" t="str">
        <f t="shared" si="73"/>
        <v>-</v>
      </c>
      <c r="AC69" s="49" t="str">
        <f t="shared" si="73"/>
        <v>-</v>
      </c>
      <c r="AD69" s="49" t="str">
        <f t="shared" si="73"/>
        <v>-</v>
      </c>
      <c r="AE69" s="49" t="str">
        <f t="shared" si="73"/>
        <v>-</v>
      </c>
      <c r="AF69" s="49" t="str">
        <f t="shared" si="73"/>
        <v>-</v>
      </c>
      <c r="AG69" s="52" t="str">
        <f t="shared" si="73"/>
        <v>-</v>
      </c>
    </row>
    <row r="70" spans="3:33" ht="15" hidden="1" customHeight="1" outlineLevel="1">
      <c r="C70" s="34" t="s">
        <v>57</v>
      </c>
      <c r="D70" s="84" t="str">
        <f t="shared" ref="D70:AG70" si="74">IF($D$2=FALSE,"-",+D161)</f>
        <v>-</v>
      </c>
      <c r="E70" s="85" t="str">
        <f t="shared" si="74"/>
        <v>-</v>
      </c>
      <c r="F70" s="85" t="str">
        <f t="shared" si="74"/>
        <v>-</v>
      </c>
      <c r="G70" s="86" t="str">
        <f t="shared" si="74"/>
        <v>-</v>
      </c>
      <c r="H70" s="85" t="str">
        <f t="shared" si="74"/>
        <v>-</v>
      </c>
      <c r="I70" s="87" t="str">
        <f t="shared" si="74"/>
        <v>-</v>
      </c>
      <c r="J70" s="85" t="str">
        <f t="shared" si="74"/>
        <v>-</v>
      </c>
      <c r="K70" s="85" t="str">
        <f t="shared" si="74"/>
        <v>-</v>
      </c>
      <c r="L70" s="85" t="str">
        <f t="shared" si="74"/>
        <v>-</v>
      </c>
      <c r="M70" s="88" t="str">
        <f t="shared" si="74"/>
        <v>-</v>
      </c>
      <c r="N70" s="84" t="str">
        <f t="shared" si="74"/>
        <v>-</v>
      </c>
      <c r="O70" s="85" t="str">
        <f t="shared" si="74"/>
        <v>-</v>
      </c>
      <c r="P70" s="85" t="str">
        <f t="shared" si="74"/>
        <v>-</v>
      </c>
      <c r="Q70" s="85" t="str">
        <f t="shared" si="74"/>
        <v>-</v>
      </c>
      <c r="R70" s="85" t="str">
        <f t="shared" si="74"/>
        <v>-</v>
      </c>
      <c r="S70" s="85" t="str">
        <f t="shared" si="74"/>
        <v>-</v>
      </c>
      <c r="T70" s="85" t="str">
        <f t="shared" si="74"/>
        <v>-</v>
      </c>
      <c r="U70" s="85" t="str">
        <f t="shared" si="74"/>
        <v>-</v>
      </c>
      <c r="V70" s="85" t="str">
        <f t="shared" si="74"/>
        <v>-</v>
      </c>
      <c r="W70" s="85" t="str">
        <f t="shared" si="74"/>
        <v>-</v>
      </c>
      <c r="X70" s="85" t="str">
        <f t="shared" si="74"/>
        <v>-</v>
      </c>
      <c r="Y70" s="85" t="str">
        <f t="shared" si="74"/>
        <v>-</v>
      </c>
      <c r="Z70" s="85" t="str">
        <f t="shared" si="74"/>
        <v>-</v>
      </c>
      <c r="AA70" s="85" t="str">
        <f t="shared" si="74"/>
        <v>-</v>
      </c>
      <c r="AB70" s="85" t="str">
        <f t="shared" si="74"/>
        <v>-</v>
      </c>
      <c r="AC70" s="85" t="str">
        <f t="shared" si="74"/>
        <v>-</v>
      </c>
      <c r="AD70" s="85" t="str">
        <f t="shared" si="74"/>
        <v>-</v>
      </c>
      <c r="AE70" s="85" t="str">
        <f t="shared" si="74"/>
        <v>-</v>
      </c>
      <c r="AF70" s="85" t="str">
        <f t="shared" si="74"/>
        <v>-</v>
      </c>
      <c r="AG70" s="88" t="str">
        <f t="shared" si="74"/>
        <v>-</v>
      </c>
    </row>
    <row r="71" spans="3:33" s="46" customFormat="1" ht="15" hidden="1" customHeight="1" outlineLevel="1">
      <c r="C71" s="47" t="s">
        <v>13</v>
      </c>
      <c r="D71" s="48" t="str">
        <f t="shared" ref="D71:L71" si="75">IF($D$2=FALSE,"-",IF(OR(E70=0,E70="",D70=0,D70=""),0,((D70/E70)^(1/1))-1))</f>
        <v>-</v>
      </c>
      <c r="E71" s="49" t="str">
        <f t="shared" si="75"/>
        <v>-</v>
      </c>
      <c r="F71" s="49" t="str">
        <f t="shared" si="75"/>
        <v>-</v>
      </c>
      <c r="G71" s="50" t="str">
        <f t="shared" si="75"/>
        <v>-</v>
      </c>
      <c r="H71" s="49" t="str">
        <f t="shared" si="75"/>
        <v>-</v>
      </c>
      <c r="I71" s="51" t="str">
        <f t="shared" si="75"/>
        <v>-</v>
      </c>
      <c r="J71" s="49" t="str">
        <f t="shared" si="75"/>
        <v>-</v>
      </c>
      <c r="K71" s="49" t="str">
        <f t="shared" si="75"/>
        <v>-</v>
      </c>
      <c r="L71" s="49" t="str">
        <f t="shared" si="75"/>
        <v>-</v>
      </c>
      <c r="M71" s="52"/>
      <c r="N71" s="48" t="str">
        <f t="shared" ref="N71:AG71" si="76">IF($D$2=FALSE,"-",IF(OR(O70=0,O70="",N70=0,N70=""),0,((N70/O70)^(1/1))-1))</f>
        <v>-</v>
      </c>
      <c r="O71" s="49" t="str">
        <f t="shared" si="76"/>
        <v>-</v>
      </c>
      <c r="P71" s="49" t="str">
        <f t="shared" si="76"/>
        <v>-</v>
      </c>
      <c r="Q71" s="49" t="str">
        <f t="shared" si="76"/>
        <v>-</v>
      </c>
      <c r="R71" s="49" t="str">
        <f t="shared" si="76"/>
        <v>-</v>
      </c>
      <c r="S71" s="49" t="str">
        <f t="shared" si="76"/>
        <v>-</v>
      </c>
      <c r="T71" s="49" t="str">
        <f t="shared" si="76"/>
        <v>-</v>
      </c>
      <c r="U71" s="49" t="str">
        <f t="shared" si="76"/>
        <v>-</v>
      </c>
      <c r="V71" s="49" t="str">
        <f t="shared" si="76"/>
        <v>-</v>
      </c>
      <c r="W71" s="49" t="str">
        <f t="shared" si="76"/>
        <v>-</v>
      </c>
      <c r="X71" s="49" t="str">
        <f t="shared" si="76"/>
        <v>-</v>
      </c>
      <c r="Y71" s="49" t="str">
        <f t="shared" si="76"/>
        <v>-</v>
      </c>
      <c r="Z71" s="49" t="str">
        <f t="shared" si="76"/>
        <v>-</v>
      </c>
      <c r="AA71" s="49" t="str">
        <f t="shared" si="76"/>
        <v>-</v>
      </c>
      <c r="AB71" s="49" t="str">
        <f t="shared" si="76"/>
        <v>-</v>
      </c>
      <c r="AC71" s="49" t="str">
        <f t="shared" si="76"/>
        <v>-</v>
      </c>
      <c r="AD71" s="49" t="str">
        <f t="shared" si="76"/>
        <v>-</v>
      </c>
      <c r="AE71" s="49" t="str">
        <f t="shared" si="76"/>
        <v>-</v>
      </c>
      <c r="AF71" s="49" t="str">
        <f t="shared" si="76"/>
        <v>-</v>
      </c>
      <c r="AG71" s="52" t="str">
        <f t="shared" si="76"/>
        <v>-</v>
      </c>
    </row>
    <row r="72" spans="3:33" ht="15" hidden="1" customHeight="1" outlineLevel="1">
      <c r="C72" s="34" t="s">
        <v>58</v>
      </c>
      <c r="D72" s="84" t="str">
        <f t="shared" ref="D72:AG72" si="77">IF($D$2=FALSE,"-",+D162)</f>
        <v>-</v>
      </c>
      <c r="E72" s="85" t="str">
        <f t="shared" si="77"/>
        <v>-</v>
      </c>
      <c r="F72" s="85" t="str">
        <f t="shared" si="77"/>
        <v>-</v>
      </c>
      <c r="G72" s="86" t="str">
        <f t="shared" si="77"/>
        <v>-</v>
      </c>
      <c r="H72" s="85" t="str">
        <f t="shared" si="77"/>
        <v>-</v>
      </c>
      <c r="I72" s="87" t="str">
        <f t="shared" si="77"/>
        <v>-</v>
      </c>
      <c r="J72" s="85" t="str">
        <f t="shared" si="77"/>
        <v>-</v>
      </c>
      <c r="K72" s="85" t="str">
        <f t="shared" si="77"/>
        <v>-</v>
      </c>
      <c r="L72" s="85" t="str">
        <f t="shared" si="77"/>
        <v>-</v>
      </c>
      <c r="M72" s="88" t="str">
        <f t="shared" si="77"/>
        <v>-</v>
      </c>
      <c r="N72" s="84" t="str">
        <f t="shared" si="77"/>
        <v>-</v>
      </c>
      <c r="O72" s="85" t="str">
        <f t="shared" si="77"/>
        <v>-</v>
      </c>
      <c r="P72" s="85" t="str">
        <f t="shared" si="77"/>
        <v>-</v>
      </c>
      <c r="Q72" s="85" t="str">
        <f t="shared" si="77"/>
        <v>-</v>
      </c>
      <c r="R72" s="85" t="str">
        <f t="shared" si="77"/>
        <v>-</v>
      </c>
      <c r="S72" s="85" t="str">
        <f t="shared" si="77"/>
        <v>-</v>
      </c>
      <c r="T72" s="85" t="str">
        <f t="shared" si="77"/>
        <v>-</v>
      </c>
      <c r="U72" s="85" t="str">
        <f t="shared" si="77"/>
        <v>-</v>
      </c>
      <c r="V72" s="85" t="str">
        <f t="shared" si="77"/>
        <v>-</v>
      </c>
      <c r="W72" s="85" t="str">
        <f t="shared" si="77"/>
        <v>-</v>
      </c>
      <c r="X72" s="85" t="str">
        <f t="shared" si="77"/>
        <v>-</v>
      </c>
      <c r="Y72" s="85" t="str">
        <f t="shared" si="77"/>
        <v>-</v>
      </c>
      <c r="Z72" s="85" t="str">
        <f t="shared" si="77"/>
        <v>-</v>
      </c>
      <c r="AA72" s="85" t="str">
        <f t="shared" si="77"/>
        <v>-</v>
      </c>
      <c r="AB72" s="85" t="str">
        <f t="shared" si="77"/>
        <v>-</v>
      </c>
      <c r="AC72" s="85" t="str">
        <f t="shared" si="77"/>
        <v>-</v>
      </c>
      <c r="AD72" s="85" t="str">
        <f t="shared" si="77"/>
        <v>-</v>
      </c>
      <c r="AE72" s="85" t="str">
        <f t="shared" si="77"/>
        <v>-</v>
      </c>
      <c r="AF72" s="85" t="str">
        <f t="shared" si="77"/>
        <v>-</v>
      </c>
      <c r="AG72" s="88" t="str">
        <f t="shared" si="77"/>
        <v>-</v>
      </c>
    </row>
    <row r="73" spans="3:33" s="46" customFormat="1" ht="15" hidden="1" customHeight="1" outlineLevel="1">
      <c r="C73" s="47" t="s">
        <v>13</v>
      </c>
      <c r="D73" s="48" t="str">
        <f t="shared" ref="D73:L73" si="78">IF($D$2=FALSE,"-",IF(OR(E72=0,E72="",D72=0,D72=""),0,((D72/E72)^(1/1))-1))</f>
        <v>-</v>
      </c>
      <c r="E73" s="49" t="str">
        <f t="shared" si="78"/>
        <v>-</v>
      </c>
      <c r="F73" s="49" t="str">
        <f t="shared" si="78"/>
        <v>-</v>
      </c>
      <c r="G73" s="50" t="str">
        <f t="shared" si="78"/>
        <v>-</v>
      </c>
      <c r="H73" s="49" t="str">
        <f t="shared" si="78"/>
        <v>-</v>
      </c>
      <c r="I73" s="51" t="str">
        <f t="shared" si="78"/>
        <v>-</v>
      </c>
      <c r="J73" s="49" t="str">
        <f t="shared" si="78"/>
        <v>-</v>
      </c>
      <c r="K73" s="49" t="str">
        <f t="shared" si="78"/>
        <v>-</v>
      </c>
      <c r="L73" s="49" t="str">
        <f t="shared" si="78"/>
        <v>-</v>
      </c>
      <c r="M73" s="52"/>
      <c r="N73" s="48" t="str">
        <f t="shared" ref="N73:AG73" si="79">IF($D$2=FALSE,"-",IF(OR(O72=0,O72="",N72=0,N72=""),0,((N72/O72)^(1/1))-1))</f>
        <v>-</v>
      </c>
      <c r="O73" s="49" t="str">
        <f t="shared" si="79"/>
        <v>-</v>
      </c>
      <c r="P73" s="49" t="str">
        <f t="shared" si="79"/>
        <v>-</v>
      </c>
      <c r="Q73" s="49" t="str">
        <f t="shared" si="79"/>
        <v>-</v>
      </c>
      <c r="R73" s="49" t="str">
        <f t="shared" si="79"/>
        <v>-</v>
      </c>
      <c r="S73" s="49" t="str">
        <f t="shared" si="79"/>
        <v>-</v>
      </c>
      <c r="T73" s="49" t="str">
        <f t="shared" si="79"/>
        <v>-</v>
      </c>
      <c r="U73" s="49" t="str">
        <f t="shared" si="79"/>
        <v>-</v>
      </c>
      <c r="V73" s="49" t="str">
        <f t="shared" si="79"/>
        <v>-</v>
      </c>
      <c r="W73" s="49" t="str">
        <f t="shared" si="79"/>
        <v>-</v>
      </c>
      <c r="X73" s="49" t="str">
        <f t="shared" si="79"/>
        <v>-</v>
      </c>
      <c r="Y73" s="49" t="str">
        <f t="shared" si="79"/>
        <v>-</v>
      </c>
      <c r="Z73" s="49" t="str">
        <f t="shared" si="79"/>
        <v>-</v>
      </c>
      <c r="AA73" s="49" t="str">
        <f t="shared" si="79"/>
        <v>-</v>
      </c>
      <c r="AB73" s="49" t="str">
        <f t="shared" si="79"/>
        <v>-</v>
      </c>
      <c r="AC73" s="49" t="str">
        <f t="shared" si="79"/>
        <v>-</v>
      </c>
      <c r="AD73" s="49" t="str">
        <f t="shared" si="79"/>
        <v>-</v>
      </c>
      <c r="AE73" s="49" t="str">
        <f t="shared" si="79"/>
        <v>-</v>
      </c>
      <c r="AF73" s="49" t="str">
        <f t="shared" si="79"/>
        <v>-</v>
      </c>
      <c r="AG73" s="52" t="str">
        <f t="shared" si="79"/>
        <v>-</v>
      </c>
    </row>
    <row r="74" spans="3:33" ht="15" hidden="1" customHeight="1" outlineLevel="1">
      <c r="C74" s="34" t="s">
        <v>59</v>
      </c>
      <c r="D74" s="84" t="str">
        <f t="shared" ref="D74:AG74" si="80">IF($D$2=FALSE,"-",+D168)</f>
        <v>-</v>
      </c>
      <c r="E74" s="85" t="str">
        <f t="shared" si="80"/>
        <v>-</v>
      </c>
      <c r="F74" s="85" t="str">
        <f t="shared" si="80"/>
        <v>-</v>
      </c>
      <c r="G74" s="86" t="str">
        <f t="shared" si="80"/>
        <v>-</v>
      </c>
      <c r="H74" s="85" t="str">
        <f t="shared" si="80"/>
        <v>-</v>
      </c>
      <c r="I74" s="87" t="str">
        <f t="shared" si="80"/>
        <v>-</v>
      </c>
      <c r="J74" s="85" t="str">
        <f t="shared" si="80"/>
        <v>-</v>
      </c>
      <c r="K74" s="85" t="str">
        <f t="shared" si="80"/>
        <v>-</v>
      </c>
      <c r="L74" s="85" t="str">
        <f t="shared" si="80"/>
        <v>-</v>
      </c>
      <c r="M74" s="88" t="str">
        <f t="shared" si="80"/>
        <v>-</v>
      </c>
      <c r="N74" s="84" t="str">
        <f t="shared" si="80"/>
        <v>-</v>
      </c>
      <c r="O74" s="85" t="str">
        <f t="shared" si="80"/>
        <v>-</v>
      </c>
      <c r="P74" s="85" t="str">
        <f t="shared" si="80"/>
        <v>-</v>
      </c>
      <c r="Q74" s="85" t="str">
        <f t="shared" si="80"/>
        <v>-</v>
      </c>
      <c r="R74" s="85" t="str">
        <f t="shared" si="80"/>
        <v>-</v>
      </c>
      <c r="S74" s="85" t="str">
        <f t="shared" si="80"/>
        <v>-</v>
      </c>
      <c r="T74" s="85" t="str">
        <f t="shared" si="80"/>
        <v>-</v>
      </c>
      <c r="U74" s="85" t="str">
        <f t="shared" si="80"/>
        <v>-</v>
      </c>
      <c r="V74" s="85" t="str">
        <f t="shared" si="80"/>
        <v>-</v>
      </c>
      <c r="W74" s="85" t="str">
        <f t="shared" si="80"/>
        <v>-</v>
      </c>
      <c r="X74" s="85" t="str">
        <f t="shared" si="80"/>
        <v>-</v>
      </c>
      <c r="Y74" s="85" t="str">
        <f t="shared" si="80"/>
        <v>-</v>
      </c>
      <c r="Z74" s="85" t="str">
        <f t="shared" si="80"/>
        <v>-</v>
      </c>
      <c r="AA74" s="85" t="str">
        <f t="shared" si="80"/>
        <v>-</v>
      </c>
      <c r="AB74" s="85" t="str">
        <f t="shared" si="80"/>
        <v>-</v>
      </c>
      <c r="AC74" s="85" t="str">
        <f t="shared" si="80"/>
        <v>-</v>
      </c>
      <c r="AD74" s="85" t="str">
        <f t="shared" si="80"/>
        <v>-</v>
      </c>
      <c r="AE74" s="85" t="str">
        <f t="shared" si="80"/>
        <v>-</v>
      </c>
      <c r="AF74" s="85" t="str">
        <f t="shared" si="80"/>
        <v>-</v>
      </c>
      <c r="AG74" s="88" t="str">
        <f t="shared" si="80"/>
        <v>-</v>
      </c>
    </row>
    <row r="75" spans="3:33" s="46" customFormat="1" ht="15" hidden="1" customHeight="1" outlineLevel="1">
      <c r="C75" s="47" t="s">
        <v>13</v>
      </c>
      <c r="D75" s="48" t="str">
        <f t="shared" ref="D75:L75" si="81">IF($D$2=FALSE,"-",IF(OR(E74=0,E74="",D74=0,D74=""),0,((D74/E74)^(1/1))-1))</f>
        <v>-</v>
      </c>
      <c r="E75" s="49" t="str">
        <f t="shared" si="81"/>
        <v>-</v>
      </c>
      <c r="F75" s="49" t="str">
        <f t="shared" si="81"/>
        <v>-</v>
      </c>
      <c r="G75" s="50" t="str">
        <f t="shared" si="81"/>
        <v>-</v>
      </c>
      <c r="H75" s="49" t="str">
        <f t="shared" si="81"/>
        <v>-</v>
      </c>
      <c r="I75" s="51" t="str">
        <f t="shared" si="81"/>
        <v>-</v>
      </c>
      <c r="J75" s="49" t="str">
        <f t="shared" si="81"/>
        <v>-</v>
      </c>
      <c r="K75" s="49" t="str">
        <f t="shared" si="81"/>
        <v>-</v>
      </c>
      <c r="L75" s="49" t="str">
        <f t="shared" si="81"/>
        <v>-</v>
      </c>
      <c r="M75" s="52"/>
      <c r="N75" s="48" t="str">
        <f t="shared" ref="N75:AG75" si="82">IF($D$2=FALSE,"-",IF(OR(O74=0,O74="",N74=0,N74=""),0,((N74/O74)^(1/1))-1))</f>
        <v>-</v>
      </c>
      <c r="O75" s="49" t="str">
        <f t="shared" si="82"/>
        <v>-</v>
      </c>
      <c r="P75" s="49" t="str">
        <f t="shared" si="82"/>
        <v>-</v>
      </c>
      <c r="Q75" s="49" t="str">
        <f t="shared" si="82"/>
        <v>-</v>
      </c>
      <c r="R75" s="49" t="str">
        <f t="shared" si="82"/>
        <v>-</v>
      </c>
      <c r="S75" s="49" t="str">
        <f t="shared" si="82"/>
        <v>-</v>
      </c>
      <c r="T75" s="49" t="str">
        <f t="shared" si="82"/>
        <v>-</v>
      </c>
      <c r="U75" s="49" t="str">
        <f t="shared" si="82"/>
        <v>-</v>
      </c>
      <c r="V75" s="49" t="str">
        <f t="shared" si="82"/>
        <v>-</v>
      </c>
      <c r="W75" s="49" t="str">
        <f t="shared" si="82"/>
        <v>-</v>
      </c>
      <c r="X75" s="49" t="str">
        <f t="shared" si="82"/>
        <v>-</v>
      </c>
      <c r="Y75" s="49" t="str">
        <f t="shared" si="82"/>
        <v>-</v>
      </c>
      <c r="Z75" s="49" t="str">
        <f t="shared" si="82"/>
        <v>-</v>
      </c>
      <c r="AA75" s="49" t="str">
        <f t="shared" si="82"/>
        <v>-</v>
      </c>
      <c r="AB75" s="49" t="str">
        <f t="shared" si="82"/>
        <v>-</v>
      </c>
      <c r="AC75" s="49" t="str">
        <f t="shared" si="82"/>
        <v>-</v>
      </c>
      <c r="AD75" s="49" t="str">
        <f t="shared" si="82"/>
        <v>-</v>
      </c>
      <c r="AE75" s="49" t="str">
        <f t="shared" si="82"/>
        <v>-</v>
      </c>
      <c r="AF75" s="49" t="str">
        <f t="shared" si="82"/>
        <v>-</v>
      </c>
      <c r="AG75" s="52" t="str">
        <f t="shared" si="82"/>
        <v>-</v>
      </c>
    </row>
    <row r="76" spans="3:33" ht="15" hidden="1" customHeight="1" outlineLevel="1">
      <c r="C76" s="34" t="s">
        <v>60</v>
      </c>
      <c r="D76" s="84" t="str">
        <f t="shared" ref="D76:AG76" si="83">IF($D$2=FALSE,"-",+D293)</f>
        <v>-</v>
      </c>
      <c r="E76" s="85" t="str">
        <f t="shared" si="83"/>
        <v>-</v>
      </c>
      <c r="F76" s="85" t="str">
        <f t="shared" si="83"/>
        <v>-</v>
      </c>
      <c r="G76" s="86" t="str">
        <f t="shared" si="83"/>
        <v>-</v>
      </c>
      <c r="H76" s="85" t="str">
        <f t="shared" si="83"/>
        <v>-</v>
      </c>
      <c r="I76" s="87" t="str">
        <f t="shared" si="83"/>
        <v>-</v>
      </c>
      <c r="J76" s="85" t="str">
        <f t="shared" si="83"/>
        <v>-</v>
      </c>
      <c r="K76" s="85" t="str">
        <f t="shared" si="83"/>
        <v>-</v>
      </c>
      <c r="L76" s="85" t="str">
        <f t="shared" si="83"/>
        <v>-</v>
      </c>
      <c r="M76" s="88" t="str">
        <f t="shared" si="83"/>
        <v>-</v>
      </c>
      <c r="N76" s="84" t="str">
        <f t="shared" si="83"/>
        <v>-</v>
      </c>
      <c r="O76" s="85" t="str">
        <f t="shared" si="83"/>
        <v>-</v>
      </c>
      <c r="P76" s="85" t="str">
        <f t="shared" si="83"/>
        <v>-</v>
      </c>
      <c r="Q76" s="85" t="str">
        <f t="shared" si="83"/>
        <v>-</v>
      </c>
      <c r="R76" s="85" t="str">
        <f t="shared" si="83"/>
        <v>-</v>
      </c>
      <c r="S76" s="85" t="str">
        <f t="shared" si="83"/>
        <v>-</v>
      </c>
      <c r="T76" s="85" t="str">
        <f t="shared" si="83"/>
        <v>-</v>
      </c>
      <c r="U76" s="85" t="str">
        <f t="shared" si="83"/>
        <v>-</v>
      </c>
      <c r="V76" s="85" t="str">
        <f t="shared" si="83"/>
        <v>-</v>
      </c>
      <c r="W76" s="85" t="str">
        <f t="shared" si="83"/>
        <v>-</v>
      </c>
      <c r="X76" s="85" t="str">
        <f t="shared" si="83"/>
        <v>-</v>
      </c>
      <c r="Y76" s="85" t="str">
        <f t="shared" si="83"/>
        <v>-</v>
      </c>
      <c r="Z76" s="85" t="str">
        <f t="shared" si="83"/>
        <v>-</v>
      </c>
      <c r="AA76" s="85" t="str">
        <f t="shared" si="83"/>
        <v>-</v>
      </c>
      <c r="AB76" s="85" t="str">
        <f t="shared" si="83"/>
        <v>-</v>
      </c>
      <c r="AC76" s="85" t="str">
        <f t="shared" si="83"/>
        <v>-</v>
      </c>
      <c r="AD76" s="85" t="str">
        <f t="shared" si="83"/>
        <v>-</v>
      </c>
      <c r="AE76" s="85" t="str">
        <f t="shared" si="83"/>
        <v>-</v>
      </c>
      <c r="AF76" s="85" t="str">
        <f t="shared" si="83"/>
        <v>-</v>
      </c>
      <c r="AG76" s="88" t="str">
        <f t="shared" si="83"/>
        <v>-</v>
      </c>
    </row>
    <row r="77" spans="3:33" s="46" customFormat="1" ht="15" hidden="1" customHeight="1" outlineLevel="1">
      <c r="C77" s="47" t="s">
        <v>13</v>
      </c>
      <c r="D77" s="48" t="str">
        <f t="shared" ref="D77:L77" si="84">IF($D$2=FALSE,"-",IF(OR(E76=0,E76="",D76=0,D76=""),0,((D76/E76)^(1/1))-1))</f>
        <v>-</v>
      </c>
      <c r="E77" s="49" t="str">
        <f t="shared" si="84"/>
        <v>-</v>
      </c>
      <c r="F77" s="49" t="str">
        <f t="shared" si="84"/>
        <v>-</v>
      </c>
      <c r="G77" s="50" t="str">
        <f t="shared" si="84"/>
        <v>-</v>
      </c>
      <c r="H77" s="49" t="str">
        <f t="shared" si="84"/>
        <v>-</v>
      </c>
      <c r="I77" s="51" t="str">
        <f t="shared" si="84"/>
        <v>-</v>
      </c>
      <c r="J77" s="49" t="str">
        <f t="shared" si="84"/>
        <v>-</v>
      </c>
      <c r="K77" s="49" t="str">
        <f t="shared" si="84"/>
        <v>-</v>
      </c>
      <c r="L77" s="49" t="str">
        <f t="shared" si="84"/>
        <v>-</v>
      </c>
      <c r="M77" s="52"/>
      <c r="N77" s="48" t="str">
        <f t="shared" ref="N77:AG77" si="85">IF($D$2=FALSE,"-",IF(OR(O76=0,O76="",N76=0,N76=""),0,((N76/O76)^(1/1))-1))</f>
        <v>-</v>
      </c>
      <c r="O77" s="49" t="str">
        <f t="shared" si="85"/>
        <v>-</v>
      </c>
      <c r="P77" s="49" t="str">
        <f t="shared" si="85"/>
        <v>-</v>
      </c>
      <c r="Q77" s="49" t="str">
        <f t="shared" si="85"/>
        <v>-</v>
      </c>
      <c r="R77" s="49" t="str">
        <f t="shared" si="85"/>
        <v>-</v>
      </c>
      <c r="S77" s="49" t="str">
        <f t="shared" si="85"/>
        <v>-</v>
      </c>
      <c r="T77" s="49" t="str">
        <f t="shared" si="85"/>
        <v>-</v>
      </c>
      <c r="U77" s="49" t="str">
        <f t="shared" si="85"/>
        <v>-</v>
      </c>
      <c r="V77" s="49" t="str">
        <f t="shared" si="85"/>
        <v>-</v>
      </c>
      <c r="W77" s="49" t="str">
        <f t="shared" si="85"/>
        <v>-</v>
      </c>
      <c r="X77" s="49" t="str">
        <f t="shared" si="85"/>
        <v>-</v>
      </c>
      <c r="Y77" s="49" t="str">
        <f t="shared" si="85"/>
        <v>-</v>
      </c>
      <c r="Z77" s="49" t="str">
        <f t="shared" si="85"/>
        <v>-</v>
      </c>
      <c r="AA77" s="49" t="str">
        <f t="shared" si="85"/>
        <v>-</v>
      </c>
      <c r="AB77" s="49" t="str">
        <f t="shared" si="85"/>
        <v>-</v>
      </c>
      <c r="AC77" s="49" t="str">
        <f t="shared" si="85"/>
        <v>-</v>
      </c>
      <c r="AD77" s="49" t="str">
        <f t="shared" si="85"/>
        <v>-</v>
      </c>
      <c r="AE77" s="49" t="str">
        <f t="shared" si="85"/>
        <v>-</v>
      </c>
      <c r="AF77" s="49" t="str">
        <f t="shared" si="85"/>
        <v>-</v>
      </c>
      <c r="AG77" s="52" t="str">
        <f t="shared" si="85"/>
        <v>-</v>
      </c>
    </row>
    <row r="78" spans="3:33" ht="15" hidden="1" customHeight="1" outlineLevel="1">
      <c r="C78" s="34" t="s">
        <v>61</v>
      </c>
      <c r="D78" s="84" t="str">
        <f t="shared" ref="D78:AG78" si="86">IF($D$2=FALSE,"-",+D134)</f>
        <v>-</v>
      </c>
      <c r="E78" s="85" t="str">
        <f t="shared" si="86"/>
        <v>-</v>
      </c>
      <c r="F78" s="85" t="str">
        <f t="shared" si="86"/>
        <v>-</v>
      </c>
      <c r="G78" s="86" t="str">
        <f t="shared" si="86"/>
        <v>-</v>
      </c>
      <c r="H78" s="85" t="str">
        <f t="shared" si="86"/>
        <v>-</v>
      </c>
      <c r="I78" s="87" t="str">
        <f t="shared" si="86"/>
        <v>-</v>
      </c>
      <c r="J78" s="85" t="str">
        <f t="shared" si="86"/>
        <v>-</v>
      </c>
      <c r="K78" s="85" t="str">
        <f t="shared" si="86"/>
        <v>-</v>
      </c>
      <c r="L78" s="85" t="str">
        <f t="shared" si="86"/>
        <v>-</v>
      </c>
      <c r="M78" s="88" t="str">
        <f t="shared" si="86"/>
        <v>-</v>
      </c>
      <c r="N78" s="84" t="str">
        <f t="shared" si="86"/>
        <v>-</v>
      </c>
      <c r="O78" s="85" t="str">
        <f t="shared" si="86"/>
        <v>-</v>
      </c>
      <c r="P78" s="85" t="str">
        <f t="shared" si="86"/>
        <v>-</v>
      </c>
      <c r="Q78" s="85" t="str">
        <f t="shared" si="86"/>
        <v>-</v>
      </c>
      <c r="R78" s="85" t="str">
        <f t="shared" si="86"/>
        <v>-</v>
      </c>
      <c r="S78" s="85" t="str">
        <f t="shared" si="86"/>
        <v>-</v>
      </c>
      <c r="T78" s="85" t="str">
        <f t="shared" si="86"/>
        <v>-</v>
      </c>
      <c r="U78" s="85" t="str">
        <f t="shared" si="86"/>
        <v>-</v>
      </c>
      <c r="V78" s="85" t="str">
        <f t="shared" si="86"/>
        <v>-</v>
      </c>
      <c r="W78" s="85" t="str">
        <f t="shared" si="86"/>
        <v>-</v>
      </c>
      <c r="X78" s="85" t="str">
        <f t="shared" si="86"/>
        <v>-</v>
      </c>
      <c r="Y78" s="85" t="str">
        <f t="shared" si="86"/>
        <v>-</v>
      </c>
      <c r="Z78" s="85" t="str">
        <f t="shared" si="86"/>
        <v>-</v>
      </c>
      <c r="AA78" s="85" t="str">
        <f t="shared" si="86"/>
        <v>-</v>
      </c>
      <c r="AB78" s="85" t="str">
        <f t="shared" si="86"/>
        <v>-</v>
      </c>
      <c r="AC78" s="85" t="str">
        <f t="shared" si="86"/>
        <v>-</v>
      </c>
      <c r="AD78" s="85" t="str">
        <f t="shared" si="86"/>
        <v>-</v>
      </c>
      <c r="AE78" s="85" t="str">
        <f t="shared" si="86"/>
        <v>-</v>
      </c>
      <c r="AF78" s="85" t="str">
        <f t="shared" si="86"/>
        <v>-</v>
      </c>
      <c r="AG78" s="88" t="str">
        <f t="shared" si="86"/>
        <v>-</v>
      </c>
    </row>
    <row r="79" spans="3:33" s="46" customFormat="1" ht="15" hidden="1" customHeight="1" outlineLevel="1">
      <c r="C79" s="47" t="s">
        <v>13</v>
      </c>
      <c r="D79" s="48" t="str">
        <f t="shared" ref="D79:L79" si="87">IF($D$2=FALSE,"-",IF(OR(E78=0,E78="",D78=0,D78=""),0,((D78/E78)^(1/1))-1))</f>
        <v>-</v>
      </c>
      <c r="E79" s="49" t="str">
        <f t="shared" si="87"/>
        <v>-</v>
      </c>
      <c r="F79" s="49" t="str">
        <f t="shared" si="87"/>
        <v>-</v>
      </c>
      <c r="G79" s="50" t="str">
        <f t="shared" si="87"/>
        <v>-</v>
      </c>
      <c r="H79" s="49" t="str">
        <f t="shared" si="87"/>
        <v>-</v>
      </c>
      <c r="I79" s="51" t="str">
        <f t="shared" si="87"/>
        <v>-</v>
      </c>
      <c r="J79" s="49" t="str">
        <f t="shared" si="87"/>
        <v>-</v>
      </c>
      <c r="K79" s="49" t="str">
        <f t="shared" si="87"/>
        <v>-</v>
      </c>
      <c r="L79" s="49" t="str">
        <f t="shared" si="87"/>
        <v>-</v>
      </c>
      <c r="M79" s="52"/>
      <c r="N79" s="48" t="str">
        <f t="shared" ref="N79:AG79" si="88">IF($D$2=FALSE,"-",IF(OR(O78=0,O78="",N78=0,N78=""),0,((N78/O78)^(1/1))-1))</f>
        <v>-</v>
      </c>
      <c r="O79" s="49" t="str">
        <f t="shared" si="88"/>
        <v>-</v>
      </c>
      <c r="P79" s="49" t="str">
        <f t="shared" si="88"/>
        <v>-</v>
      </c>
      <c r="Q79" s="49" t="str">
        <f t="shared" si="88"/>
        <v>-</v>
      </c>
      <c r="R79" s="49" t="str">
        <f t="shared" si="88"/>
        <v>-</v>
      </c>
      <c r="S79" s="49" t="str">
        <f t="shared" si="88"/>
        <v>-</v>
      </c>
      <c r="T79" s="49" t="str">
        <f t="shared" si="88"/>
        <v>-</v>
      </c>
      <c r="U79" s="49" t="str">
        <f t="shared" si="88"/>
        <v>-</v>
      </c>
      <c r="V79" s="49" t="str">
        <f t="shared" si="88"/>
        <v>-</v>
      </c>
      <c r="W79" s="49" t="str">
        <f t="shared" si="88"/>
        <v>-</v>
      </c>
      <c r="X79" s="49" t="str">
        <f t="shared" si="88"/>
        <v>-</v>
      </c>
      <c r="Y79" s="49" t="str">
        <f t="shared" si="88"/>
        <v>-</v>
      </c>
      <c r="Z79" s="49" t="str">
        <f t="shared" si="88"/>
        <v>-</v>
      </c>
      <c r="AA79" s="49" t="str">
        <f t="shared" si="88"/>
        <v>-</v>
      </c>
      <c r="AB79" s="49" t="str">
        <f t="shared" si="88"/>
        <v>-</v>
      </c>
      <c r="AC79" s="49" t="str">
        <f t="shared" si="88"/>
        <v>-</v>
      </c>
      <c r="AD79" s="49" t="str">
        <f t="shared" si="88"/>
        <v>-</v>
      </c>
      <c r="AE79" s="49" t="str">
        <f t="shared" si="88"/>
        <v>-</v>
      </c>
      <c r="AF79" s="49" t="str">
        <f t="shared" si="88"/>
        <v>-</v>
      </c>
      <c r="AG79" s="52" t="str">
        <f t="shared" si="88"/>
        <v>-</v>
      </c>
    </row>
    <row r="80" spans="3:33" ht="15" hidden="1" customHeight="1" outlineLevel="1">
      <c r="C80" s="34" t="s">
        <v>62</v>
      </c>
      <c r="D80" s="84" t="str">
        <f t="shared" ref="D80:AG80" si="89">IF($D$2=FALSE,"-",+D135)</f>
        <v>-</v>
      </c>
      <c r="E80" s="85" t="str">
        <f t="shared" si="89"/>
        <v>-</v>
      </c>
      <c r="F80" s="85" t="str">
        <f t="shared" si="89"/>
        <v>-</v>
      </c>
      <c r="G80" s="86" t="str">
        <f t="shared" si="89"/>
        <v>-</v>
      </c>
      <c r="H80" s="85" t="str">
        <f t="shared" si="89"/>
        <v>-</v>
      </c>
      <c r="I80" s="87" t="str">
        <f t="shared" si="89"/>
        <v>-</v>
      </c>
      <c r="J80" s="85" t="str">
        <f t="shared" si="89"/>
        <v>-</v>
      </c>
      <c r="K80" s="85" t="str">
        <f t="shared" si="89"/>
        <v>-</v>
      </c>
      <c r="L80" s="85" t="str">
        <f t="shared" si="89"/>
        <v>-</v>
      </c>
      <c r="M80" s="88" t="str">
        <f t="shared" si="89"/>
        <v>-</v>
      </c>
      <c r="N80" s="84" t="str">
        <f t="shared" si="89"/>
        <v>-</v>
      </c>
      <c r="O80" s="85" t="str">
        <f t="shared" si="89"/>
        <v>-</v>
      </c>
      <c r="P80" s="85" t="str">
        <f t="shared" si="89"/>
        <v>-</v>
      </c>
      <c r="Q80" s="85" t="str">
        <f t="shared" si="89"/>
        <v>-</v>
      </c>
      <c r="R80" s="85" t="str">
        <f t="shared" si="89"/>
        <v>-</v>
      </c>
      <c r="S80" s="85" t="str">
        <f t="shared" si="89"/>
        <v>-</v>
      </c>
      <c r="T80" s="85" t="str">
        <f t="shared" si="89"/>
        <v>-</v>
      </c>
      <c r="U80" s="85" t="str">
        <f t="shared" si="89"/>
        <v>-</v>
      </c>
      <c r="V80" s="85" t="str">
        <f t="shared" si="89"/>
        <v>-</v>
      </c>
      <c r="W80" s="85" t="str">
        <f t="shared" si="89"/>
        <v>-</v>
      </c>
      <c r="X80" s="85" t="str">
        <f t="shared" si="89"/>
        <v>-</v>
      </c>
      <c r="Y80" s="85" t="str">
        <f t="shared" si="89"/>
        <v>-</v>
      </c>
      <c r="Z80" s="85" t="str">
        <f t="shared" si="89"/>
        <v>-</v>
      </c>
      <c r="AA80" s="85" t="str">
        <f t="shared" si="89"/>
        <v>-</v>
      </c>
      <c r="AB80" s="85" t="str">
        <f t="shared" si="89"/>
        <v>-</v>
      </c>
      <c r="AC80" s="85" t="str">
        <f t="shared" si="89"/>
        <v>-</v>
      </c>
      <c r="AD80" s="85" t="str">
        <f t="shared" si="89"/>
        <v>-</v>
      </c>
      <c r="AE80" s="85" t="str">
        <f t="shared" si="89"/>
        <v>-</v>
      </c>
      <c r="AF80" s="85" t="str">
        <f t="shared" si="89"/>
        <v>-</v>
      </c>
      <c r="AG80" s="88" t="str">
        <f t="shared" si="89"/>
        <v>-</v>
      </c>
    </row>
    <row r="81" spans="3:33" s="46" customFormat="1" ht="15" hidden="1" customHeight="1" outlineLevel="1">
      <c r="C81" s="47" t="s">
        <v>13</v>
      </c>
      <c r="D81" s="48" t="str">
        <f t="shared" ref="D81:L81" si="90">IF($D$2=FALSE,"-",IF(OR(E80=0,E80="",D80=0,D80=""),0,((D80/E80)^(1/1))-1))</f>
        <v>-</v>
      </c>
      <c r="E81" s="49" t="str">
        <f t="shared" si="90"/>
        <v>-</v>
      </c>
      <c r="F81" s="49" t="str">
        <f t="shared" si="90"/>
        <v>-</v>
      </c>
      <c r="G81" s="50" t="str">
        <f t="shared" si="90"/>
        <v>-</v>
      </c>
      <c r="H81" s="49" t="str">
        <f t="shared" si="90"/>
        <v>-</v>
      </c>
      <c r="I81" s="51" t="str">
        <f t="shared" si="90"/>
        <v>-</v>
      </c>
      <c r="J81" s="49" t="str">
        <f t="shared" si="90"/>
        <v>-</v>
      </c>
      <c r="K81" s="49" t="str">
        <f t="shared" si="90"/>
        <v>-</v>
      </c>
      <c r="L81" s="49" t="str">
        <f t="shared" si="90"/>
        <v>-</v>
      </c>
      <c r="M81" s="52"/>
      <c r="N81" s="48" t="str">
        <f t="shared" ref="N81:AG81" si="91">IF($D$2=FALSE,"-",IF(OR(O80=0,O80="",N80=0,N80=""),0,((N80/O80)^(1/1))-1))</f>
        <v>-</v>
      </c>
      <c r="O81" s="49" t="str">
        <f t="shared" si="91"/>
        <v>-</v>
      </c>
      <c r="P81" s="49" t="str">
        <f t="shared" si="91"/>
        <v>-</v>
      </c>
      <c r="Q81" s="49" t="str">
        <f t="shared" si="91"/>
        <v>-</v>
      </c>
      <c r="R81" s="49" t="str">
        <f t="shared" si="91"/>
        <v>-</v>
      </c>
      <c r="S81" s="49" t="str">
        <f t="shared" si="91"/>
        <v>-</v>
      </c>
      <c r="T81" s="49" t="str">
        <f t="shared" si="91"/>
        <v>-</v>
      </c>
      <c r="U81" s="49" t="str">
        <f t="shared" si="91"/>
        <v>-</v>
      </c>
      <c r="V81" s="49" t="str">
        <f t="shared" si="91"/>
        <v>-</v>
      </c>
      <c r="W81" s="49" t="str">
        <f t="shared" si="91"/>
        <v>-</v>
      </c>
      <c r="X81" s="49" t="str">
        <f t="shared" si="91"/>
        <v>-</v>
      </c>
      <c r="Y81" s="49" t="str">
        <f t="shared" si="91"/>
        <v>-</v>
      </c>
      <c r="Z81" s="49" t="str">
        <f t="shared" si="91"/>
        <v>-</v>
      </c>
      <c r="AA81" s="49" t="str">
        <f t="shared" si="91"/>
        <v>-</v>
      </c>
      <c r="AB81" s="49" t="str">
        <f t="shared" si="91"/>
        <v>-</v>
      </c>
      <c r="AC81" s="49" t="str">
        <f t="shared" si="91"/>
        <v>-</v>
      </c>
      <c r="AD81" s="49" t="str">
        <f t="shared" si="91"/>
        <v>-</v>
      </c>
      <c r="AE81" s="49" t="str">
        <f t="shared" si="91"/>
        <v>-</v>
      </c>
      <c r="AF81" s="49" t="str">
        <f t="shared" si="91"/>
        <v>-</v>
      </c>
      <c r="AG81" s="52" t="str">
        <f t="shared" si="91"/>
        <v>-</v>
      </c>
    </row>
    <row r="82" spans="3:33" ht="15" hidden="1" customHeight="1" outlineLevel="1">
      <c r="C82" s="34" t="s">
        <v>63</v>
      </c>
      <c r="D82" s="84" t="str">
        <f t="shared" ref="D82:AG82" si="92">IF($D$2=FALSE,"-",+D133)</f>
        <v>-</v>
      </c>
      <c r="E82" s="85" t="str">
        <f t="shared" si="92"/>
        <v>-</v>
      </c>
      <c r="F82" s="85" t="str">
        <f t="shared" si="92"/>
        <v>-</v>
      </c>
      <c r="G82" s="86" t="str">
        <f t="shared" si="92"/>
        <v>-</v>
      </c>
      <c r="H82" s="85" t="str">
        <f t="shared" si="92"/>
        <v>-</v>
      </c>
      <c r="I82" s="87" t="str">
        <f t="shared" si="92"/>
        <v>-</v>
      </c>
      <c r="J82" s="85" t="str">
        <f t="shared" si="92"/>
        <v>-</v>
      </c>
      <c r="K82" s="85" t="str">
        <f t="shared" si="92"/>
        <v>-</v>
      </c>
      <c r="L82" s="85" t="str">
        <f t="shared" si="92"/>
        <v>-</v>
      </c>
      <c r="M82" s="88" t="str">
        <f t="shared" si="92"/>
        <v>-</v>
      </c>
      <c r="N82" s="84" t="str">
        <f t="shared" si="92"/>
        <v>-</v>
      </c>
      <c r="O82" s="85" t="str">
        <f t="shared" si="92"/>
        <v>-</v>
      </c>
      <c r="P82" s="85" t="str">
        <f t="shared" si="92"/>
        <v>-</v>
      </c>
      <c r="Q82" s="85" t="str">
        <f t="shared" si="92"/>
        <v>-</v>
      </c>
      <c r="R82" s="85" t="str">
        <f t="shared" si="92"/>
        <v>-</v>
      </c>
      <c r="S82" s="85" t="str">
        <f t="shared" si="92"/>
        <v>-</v>
      </c>
      <c r="T82" s="85" t="str">
        <f t="shared" si="92"/>
        <v>-</v>
      </c>
      <c r="U82" s="85" t="str">
        <f t="shared" si="92"/>
        <v>-</v>
      </c>
      <c r="V82" s="85" t="str">
        <f t="shared" si="92"/>
        <v>-</v>
      </c>
      <c r="W82" s="85" t="str">
        <f t="shared" si="92"/>
        <v>-</v>
      </c>
      <c r="X82" s="85" t="str">
        <f t="shared" si="92"/>
        <v>-</v>
      </c>
      <c r="Y82" s="85" t="str">
        <f t="shared" si="92"/>
        <v>-</v>
      </c>
      <c r="Z82" s="85" t="str">
        <f t="shared" si="92"/>
        <v>-</v>
      </c>
      <c r="AA82" s="85" t="str">
        <f t="shared" si="92"/>
        <v>-</v>
      </c>
      <c r="AB82" s="85" t="str">
        <f t="shared" si="92"/>
        <v>-</v>
      </c>
      <c r="AC82" s="85" t="str">
        <f t="shared" si="92"/>
        <v>-</v>
      </c>
      <c r="AD82" s="85" t="str">
        <f t="shared" si="92"/>
        <v>-</v>
      </c>
      <c r="AE82" s="85" t="str">
        <f t="shared" si="92"/>
        <v>-</v>
      </c>
      <c r="AF82" s="85" t="str">
        <f t="shared" si="92"/>
        <v>-</v>
      </c>
      <c r="AG82" s="88" t="str">
        <f t="shared" si="92"/>
        <v>-</v>
      </c>
    </row>
    <row r="83" spans="3:33" s="46" customFormat="1" ht="15" hidden="1" customHeight="1" outlineLevel="1">
      <c r="C83" s="47" t="s">
        <v>13</v>
      </c>
      <c r="D83" s="48" t="str">
        <f t="shared" ref="D83:L83" si="93">IF($D$2=FALSE,"-",IF(OR(E82=0,E82="",D82=0,D82=""),0,((D82/E82)^(1/1))-1))</f>
        <v>-</v>
      </c>
      <c r="E83" s="49" t="str">
        <f t="shared" si="93"/>
        <v>-</v>
      </c>
      <c r="F83" s="49" t="str">
        <f t="shared" si="93"/>
        <v>-</v>
      </c>
      <c r="G83" s="50" t="str">
        <f t="shared" si="93"/>
        <v>-</v>
      </c>
      <c r="H83" s="49" t="str">
        <f t="shared" si="93"/>
        <v>-</v>
      </c>
      <c r="I83" s="51" t="str">
        <f t="shared" si="93"/>
        <v>-</v>
      </c>
      <c r="J83" s="49" t="str">
        <f t="shared" si="93"/>
        <v>-</v>
      </c>
      <c r="K83" s="49" t="str">
        <f t="shared" si="93"/>
        <v>-</v>
      </c>
      <c r="L83" s="49" t="str">
        <f t="shared" si="93"/>
        <v>-</v>
      </c>
      <c r="M83" s="52"/>
      <c r="N83" s="48" t="str">
        <f t="shared" ref="N83:AG83" si="94">IF($D$2=FALSE,"-",IF(OR(O82=0,O82="",N82=0,N82=""),0,((N82/O82)^(1/1))-1))</f>
        <v>-</v>
      </c>
      <c r="O83" s="49" t="str">
        <f t="shared" si="94"/>
        <v>-</v>
      </c>
      <c r="P83" s="49" t="str">
        <f t="shared" si="94"/>
        <v>-</v>
      </c>
      <c r="Q83" s="49" t="str">
        <f t="shared" si="94"/>
        <v>-</v>
      </c>
      <c r="R83" s="49" t="str">
        <f t="shared" si="94"/>
        <v>-</v>
      </c>
      <c r="S83" s="49" t="str">
        <f t="shared" si="94"/>
        <v>-</v>
      </c>
      <c r="T83" s="49" t="str">
        <f t="shared" si="94"/>
        <v>-</v>
      </c>
      <c r="U83" s="49" t="str">
        <f t="shared" si="94"/>
        <v>-</v>
      </c>
      <c r="V83" s="49" t="str">
        <f t="shared" si="94"/>
        <v>-</v>
      </c>
      <c r="W83" s="49" t="str">
        <f t="shared" si="94"/>
        <v>-</v>
      </c>
      <c r="X83" s="49" t="str">
        <f t="shared" si="94"/>
        <v>-</v>
      </c>
      <c r="Y83" s="49" t="str">
        <f t="shared" si="94"/>
        <v>-</v>
      </c>
      <c r="Z83" s="49" t="str">
        <f t="shared" si="94"/>
        <v>-</v>
      </c>
      <c r="AA83" s="49" t="str">
        <f t="shared" si="94"/>
        <v>-</v>
      </c>
      <c r="AB83" s="49" t="str">
        <f t="shared" si="94"/>
        <v>-</v>
      </c>
      <c r="AC83" s="49" t="str">
        <f t="shared" si="94"/>
        <v>-</v>
      </c>
      <c r="AD83" s="49" t="str">
        <f t="shared" si="94"/>
        <v>-</v>
      </c>
      <c r="AE83" s="49" t="str">
        <f t="shared" si="94"/>
        <v>-</v>
      </c>
      <c r="AF83" s="49" t="str">
        <f t="shared" si="94"/>
        <v>-</v>
      </c>
      <c r="AG83" s="52" t="str">
        <f t="shared" si="94"/>
        <v>-</v>
      </c>
    </row>
    <row r="84" spans="3:33" ht="15" hidden="1" customHeight="1" outlineLevel="1">
      <c r="C84" s="34" t="s">
        <v>64</v>
      </c>
      <c r="D84" s="84" t="str">
        <f t="shared" ref="D84:AG84" si="95">IF($D$2=FALSE,"-",+D149)</f>
        <v>-</v>
      </c>
      <c r="E84" s="85" t="str">
        <f t="shared" si="95"/>
        <v>-</v>
      </c>
      <c r="F84" s="85" t="str">
        <f t="shared" si="95"/>
        <v>-</v>
      </c>
      <c r="G84" s="86" t="str">
        <f t="shared" si="95"/>
        <v>-</v>
      </c>
      <c r="H84" s="85" t="str">
        <f t="shared" si="95"/>
        <v>-</v>
      </c>
      <c r="I84" s="87" t="str">
        <f t="shared" si="95"/>
        <v>-</v>
      </c>
      <c r="J84" s="85" t="str">
        <f t="shared" si="95"/>
        <v>-</v>
      </c>
      <c r="K84" s="85" t="str">
        <f t="shared" si="95"/>
        <v>-</v>
      </c>
      <c r="L84" s="85" t="str">
        <f t="shared" si="95"/>
        <v>-</v>
      </c>
      <c r="M84" s="88" t="str">
        <f t="shared" si="95"/>
        <v>-</v>
      </c>
      <c r="N84" s="84" t="str">
        <f t="shared" si="95"/>
        <v>-</v>
      </c>
      <c r="O84" s="85" t="str">
        <f t="shared" si="95"/>
        <v>-</v>
      </c>
      <c r="P84" s="85" t="str">
        <f t="shared" si="95"/>
        <v>-</v>
      </c>
      <c r="Q84" s="85" t="str">
        <f t="shared" si="95"/>
        <v>-</v>
      </c>
      <c r="R84" s="85" t="str">
        <f t="shared" si="95"/>
        <v>-</v>
      </c>
      <c r="S84" s="85" t="str">
        <f t="shared" si="95"/>
        <v>-</v>
      </c>
      <c r="T84" s="85" t="str">
        <f t="shared" si="95"/>
        <v>-</v>
      </c>
      <c r="U84" s="85" t="str">
        <f t="shared" si="95"/>
        <v>-</v>
      </c>
      <c r="V84" s="85" t="str">
        <f t="shared" si="95"/>
        <v>-</v>
      </c>
      <c r="W84" s="85" t="str">
        <f t="shared" si="95"/>
        <v>-</v>
      </c>
      <c r="X84" s="85" t="str">
        <f t="shared" si="95"/>
        <v>-</v>
      </c>
      <c r="Y84" s="85" t="str">
        <f t="shared" si="95"/>
        <v>-</v>
      </c>
      <c r="Z84" s="85" t="str">
        <f t="shared" si="95"/>
        <v>-</v>
      </c>
      <c r="AA84" s="85" t="str">
        <f t="shared" si="95"/>
        <v>-</v>
      </c>
      <c r="AB84" s="85" t="str">
        <f t="shared" si="95"/>
        <v>-</v>
      </c>
      <c r="AC84" s="85" t="str">
        <f t="shared" si="95"/>
        <v>-</v>
      </c>
      <c r="AD84" s="85" t="str">
        <f t="shared" si="95"/>
        <v>-</v>
      </c>
      <c r="AE84" s="85" t="str">
        <f t="shared" si="95"/>
        <v>-</v>
      </c>
      <c r="AF84" s="85" t="str">
        <f t="shared" si="95"/>
        <v>-</v>
      </c>
      <c r="AG84" s="88" t="str">
        <f t="shared" si="95"/>
        <v>-</v>
      </c>
    </row>
    <row r="85" spans="3:33" s="46" customFormat="1" ht="15" hidden="1" customHeight="1" outlineLevel="1">
      <c r="C85" s="47" t="s">
        <v>13</v>
      </c>
      <c r="D85" s="48" t="str">
        <f t="shared" ref="D85:L85" si="96">IF($D$2=FALSE,"-",IF(OR(E84=0,E84="",D84=0,D84=""),0,((D84/E84)^(1/1))-1))</f>
        <v>-</v>
      </c>
      <c r="E85" s="49" t="str">
        <f t="shared" si="96"/>
        <v>-</v>
      </c>
      <c r="F85" s="49" t="str">
        <f t="shared" si="96"/>
        <v>-</v>
      </c>
      <c r="G85" s="50" t="str">
        <f t="shared" si="96"/>
        <v>-</v>
      </c>
      <c r="H85" s="49" t="str">
        <f t="shared" si="96"/>
        <v>-</v>
      </c>
      <c r="I85" s="51" t="str">
        <f t="shared" si="96"/>
        <v>-</v>
      </c>
      <c r="J85" s="49" t="str">
        <f t="shared" si="96"/>
        <v>-</v>
      </c>
      <c r="K85" s="49" t="str">
        <f t="shared" si="96"/>
        <v>-</v>
      </c>
      <c r="L85" s="49" t="str">
        <f t="shared" si="96"/>
        <v>-</v>
      </c>
      <c r="M85" s="52"/>
      <c r="N85" s="48" t="str">
        <f t="shared" ref="N85:AG85" si="97">IF($D$2=FALSE,"-",IF(OR(O84=0,O84="",N84=0,N84=""),0,((N84/O84)^(1/1))-1))</f>
        <v>-</v>
      </c>
      <c r="O85" s="49" t="str">
        <f t="shared" si="97"/>
        <v>-</v>
      </c>
      <c r="P85" s="49" t="str">
        <f t="shared" si="97"/>
        <v>-</v>
      </c>
      <c r="Q85" s="49" t="str">
        <f t="shared" si="97"/>
        <v>-</v>
      </c>
      <c r="R85" s="49" t="str">
        <f t="shared" si="97"/>
        <v>-</v>
      </c>
      <c r="S85" s="49" t="str">
        <f t="shared" si="97"/>
        <v>-</v>
      </c>
      <c r="T85" s="49" t="str">
        <f t="shared" si="97"/>
        <v>-</v>
      </c>
      <c r="U85" s="49" t="str">
        <f t="shared" si="97"/>
        <v>-</v>
      </c>
      <c r="V85" s="49" t="str">
        <f t="shared" si="97"/>
        <v>-</v>
      </c>
      <c r="W85" s="49" t="str">
        <f t="shared" si="97"/>
        <v>-</v>
      </c>
      <c r="X85" s="49" t="str">
        <f t="shared" si="97"/>
        <v>-</v>
      </c>
      <c r="Y85" s="49" t="str">
        <f t="shared" si="97"/>
        <v>-</v>
      </c>
      <c r="Z85" s="49" t="str">
        <f t="shared" si="97"/>
        <v>-</v>
      </c>
      <c r="AA85" s="49" t="str">
        <f t="shared" si="97"/>
        <v>-</v>
      </c>
      <c r="AB85" s="49" t="str">
        <f t="shared" si="97"/>
        <v>-</v>
      </c>
      <c r="AC85" s="49" t="str">
        <f t="shared" si="97"/>
        <v>-</v>
      </c>
      <c r="AD85" s="49" t="str">
        <f t="shared" si="97"/>
        <v>-</v>
      </c>
      <c r="AE85" s="49" t="str">
        <f t="shared" si="97"/>
        <v>-</v>
      </c>
      <c r="AF85" s="49" t="str">
        <f t="shared" si="97"/>
        <v>-</v>
      </c>
      <c r="AG85" s="52" t="str">
        <f t="shared" si="97"/>
        <v>-</v>
      </c>
    </row>
    <row r="86" spans="3:33" ht="15" hidden="1" customHeight="1" outlineLevel="1">
      <c r="C86" s="34" t="s">
        <v>65</v>
      </c>
      <c r="D86" s="84" t="str">
        <f t="shared" ref="D86:AG86" si="98">IF($D$2=FALSE,"-",+D145)</f>
        <v>-</v>
      </c>
      <c r="E86" s="85" t="str">
        <f t="shared" si="98"/>
        <v>-</v>
      </c>
      <c r="F86" s="85" t="str">
        <f t="shared" si="98"/>
        <v>-</v>
      </c>
      <c r="G86" s="86" t="str">
        <f t="shared" si="98"/>
        <v>-</v>
      </c>
      <c r="H86" s="85" t="str">
        <f t="shared" si="98"/>
        <v>-</v>
      </c>
      <c r="I86" s="87" t="str">
        <f t="shared" si="98"/>
        <v>-</v>
      </c>
      <c r="J86" s="85" t="str">
        <f t="shared" si="98"/>
        <v>-</v>
      </c>
      <c r="K86" s="85" t="str">
        <f t="shared" si="98"/>
        <v>-</v>
      </c>
      <c r="L86" s="85" t="str">
        <f t="shared" si="98"/>
        <v>-</v>
      </c>
      <c r="M86" s="88" t="str">
        <f t="shared" si="98"/>
        <v>-</v>
      </c>
      <c r="N86" s="84" t="str">
        <f t="shared" si="98"/>
        <v>-</v>
      </c>
      <c r="O86" s="85" t="str">
        <f t="shared" si="98"/>
        <v>-</v>
      </c>
      <c r="P86" s="85" t="str">
        <f t="shared" si="98"/>
        <v>-</v>
      </c>
      <c r="Q86" s="85" t="str">
        <f t="shared" si="98"/>
        <v>-</v>
      </c>
      <c r="R86" s="85" t="str">
        <f t="shared" si="98"/>
        <v>-</v>
      </c>
      <c r="S86" s="85" t="str">
        <f t="shared" si="98"/>
        <v>-</v>
      </c>
      <c r="T86" s="85" t="str">
        <f t="shared" si="98"/>
        <v>-</v>
      </c>
      <c r="U86" s="85" t="str">
        <f t="shared" si="98"/>
        <v>-</v>
      </c>
      <c r="V86" s="85" t="str">
        <f t="shared" si="98"/>
        <v>-</v>
      </c>
      <c r="W86" s="85" t="str">
        <f t="shared" si="98"/>
        <v>-</v>
      </c>
      <c r="X86" s="85" t="str">
        <f t="shared" si="98"/>
        <v>-</v>
      </c>
      <c r="Y86" s="85" t="str">
        <f t="shared" si="98"/>
        <v>-</v>
      </c>
      <c r="Z86" s="85" t="str">
        <f t="shared" si="98"/>
        <v>-</v>
      </c>
      <c r="AA86" s="85" t="str">
        <f t="shared" si="98"/>
        <v>-</v>
      </c>
      <c r="AB86" s="85" t="str">
        <f t="shared" si="98"/>
        <v>-</v>
      </c>
      <c r="AC86" s="85" t="str">
        <f t="shared" si="98"/>
        <v>-</v>
      </c>
      <c r="AD86" s="85" t="str">
        <f t="shared" si="98"/>
        <v>-</v>
      </c>
      <c r="AE86" s="85" t="str">
        <f t="shared" si="98"/>
        <v>-</v>
      </c>
      <c r="AF86" s="85" t="str">
        <f t="shared" si="98"/>
        <v>-</v>
      </c>
      <c r="AG86" s="88" t="str">
        <f t="shared" si="98"/>
        <v>-</v>
      </c>
    </row>
    <row r="87" spans="3:33" s="46" customFormat="1" ht="15" hidden="1" customHeight="1" outlineLevel="1">
      <c r="C87" s="47" t="s">
        <v>13</v>
      </c>
      <c r="D87" s="48" t="str">
        <f t="shared" ref="D87:L87" si="99">IF($D$2=FALSE,"-",IF(OR(E86=0,E86="",D86=0,D86=""),0,((D86/E86)^(1/1))-1))</f>
        <v>-</v>
      </c>
      <c r="E87" s="49" t="str">
        <f t="shared" si="99"/>
        <v>-</v>
      </c>
      <c r="F87" s="49" t="str">
        <f t="shared" si="99"/>
        <v>-</v>
      </c>
      <c r="G87" s="50" t="str">
        <f t="shared" si="99"/>
        <v>-</v>
      </c>
      <c r="H87" s="49" t="str">
        <f t="shared" si="99"/>
        <v>-</v>
      </c>
      <c r="I87" s="51" t="str">
        <f t="shared" si="99"/>
        <v>-</v>
      </c>
      <c r="J87" s="49" t="str">
        <f t="shared" si="99"/>
        <v>-</v>
      </c>
      <c r="K87" s="49" t="str">
        <f t="shared" si="99"/>
        <v>-</v>
      </c>
      <c r="L87" s="49" t="str">
        <f t="shared" si="99"/>
        <v>-</v>
      </c>
      <c r="M87" s="52"/>
      <c r="N87" s="48" t="str">
        <f t="shared" ref="N87:AG87" si="100">IF($D$2=FALSE,"-",IF(OR(O86=0,O86="",N86=0,N86=""),0,((N86/O86)^(1/1))-1))</f>
        <v>-</v>
      </c>
      <c r="O87" s="49" t="str">
        <f t="shared" si="100"/>
        <v>-</v>
      </c>
      <c r="P87" s="49" t="str">
        <f t="shared" si="100"/>
        <v>-</v>
      </c>
      <c r="Q87" s="49" t="str">
        <f t="shared" si="100"/>
        <v>-</v>
      </c>
      <c r="R87" s="49" t="str">
        <f t="shared" si="100"/>
        <v>-</v>
      </c>
      <c r="S87" s="49" t="str">
        <f t="shared" si="100"/>
        <v>-</v>
      </c>
      <c r="T87" s="49" t="str">
        <f t="shared" si="100"/>
        <v>-</v>
      </c>
      <c r="U87" s="49" t="str">
        <f t="shared" si="100"/>
        <v>-</v>
      </c>
      <c r="V87" s="49" t="str">
        <f t="shared" si="100"/>
        <v>-</v>
      </c>
      <c r="W87" s="49" t="str">
        <f t="shared" si="100"/>
        <v>-</v>
      </c>
      <c r="X87" s="49" t="str">
        <f t="shared" si="100"/>
        <v>-</v>
      </c>
      <c r="Y87" s="49" t="str">
        <f t="shared" si="100"/>
        <v>-</v>
      </c>
      <c r="Z87" s="49" t="str">
        <f t="shared" si="100"/>
        <v>-</v>
      </c>
      <c r="AA87" s="49" t="str">
        <f t="shared" si="100"/>
        <v>-</v>
      </c>
      <c r="AB87" s="49" t="str">
        <f t="shared" si="100"/>
        <v>-</v>
      </c>
      <c r="AC87" s="49" t="str">
        <f t="shared" si="100"/>
        <v>-</v>
      </c>
      <c r="AD87" s="49" t="str">
        <f t="shared" si="100"/>
        <v>-</v>
      </c>
      <c r="AE87" s="49" t="str">
        <f t="shared" si="100"/>
        <v>-</v>
      </c>
      <c r="AF87" s="49" t="str">
        <f t="shared" si="100"/>
        <v>-</v>
      </c>
      <c r="AG87" s="52" t="str">
        <f t="shared" si="100"/>
        <v>-</v>
      </c>
    </row>
    <row r="88" spans="3:33" ht="15" hidden="1" customHeight="1" outlineLevel="1">
      <c r="C88" s="76" t="s">
        <v>66</v>
      </c>
      <c r="D88" s="96" t="str">
        <f t="shared" ref="D88:AG88" si="101">IF($D$2=FALSE,"-",IF(D70=0,0,ROUND((D78+D80)/-D70*365,1)))</f>
        <v>-</v>
      </c>
      <c r="E88" s="97" t="str">
        <f t="shared" si="101"/>
        <v>-</v>
      </c>
      <c r="F88" s="97" t="str">
        <f t="shared" si="101"/>
        <v>-</v>
      </c>
      <c r="G88" s="98" t="str">
        <f t="shared" si="101"/>
        <v>-</v>
      </c>
      <c r="H88" s="97" t="str">
        <f t="shared" si="101"/>
        <v>-</v>
      </c>
      <c r="I88" s="99" t="str">
        <f t="shared" si="101"/>
        <v>-</v>
      </c>
      <c r="J88" s="97" t="str">
        <f t="shared" si="101"/>
        <v>-</v>
      </c>
      <c r="K88" s="97" t="str">
        <f t="shared" si="101"/>
        <v>-</v>
      </c>
      <c r="L88" s="97" t="str">
        <f t="shared" si="101"/>
        <v>-</v>
      </c>
      <c r="M88" s="100" t="str">
        <f t="shared" si="101"/>
        <v>-</v>
      </c>
      <c r="N88" s="96" t="str">
        <f t="shared" si="101"/>
        <v>-</v>
      </c>
      <c r="O88" s="97" t="str">
        <f t="shared" si="101"/>
        <v>-</v>
      </c>
      <c r="P88" s="97" t="str">
        <f t="shared" si="101"/>
        <v>-</v>
      </c>
      <c r="Q88" s="97" t="str">
        <f t="shared" si="101"/>
        <v>-</v>
      </c>
      <c r="R88" s="97" t="str">
        <f t="shared" si="101"/>
        <v>-</v>
      </c>
      <c r="S88" s="97" t="str">
        <f t="shared" si="101"/>
        <v>-</v>
      </c>
      <c r="T88" s="97" t="str">
        <f t="shared" si="101"/>
        <v>-</v>
      </c>
      <c r="U88" s="97" t="str">
        <f t="shared" si="101"/>
        <v>-</v>
      </c>
      <c r="V88" s="97" t="str">
        <f t="shared" si="101"/>
        <v>-</v>
      </c>
      <c r="W88" s="97" t="str">
        <f t="shared" si="101"/>
        <v>-</v>
      </c>
      <c r="X88" s="97" t="str">
        <f t="shared" si="101"/>
        <v>-</v>
      </c>
      <c r="Y88" s="97" t="str">
        <f t="shared" si="101"/>
        <v>-</v>
      </c>
      <c r="Z88" s="97" t="str">
        <f t="shared" si="101"/>
        <v>-</v>
      </c>
      <c r="AA88" s="97" t="str">
        <f t="shared" si="101"/>
        <v>-</v>
      </c>
      <c r="AB88" s="97" t="str">
        <f t="shared" si="101"/>
        <v>-</v>
      </c>
      <c r="AC88" s="97" t="str">
        <f t="shared" si="101"/>
        <v>-</v>
      </c>
      <c r="AD88" s="97" t="str">
        <f t="shared" si="101"/>
        <v>-</v>
      </c>
      <c r="AE88" s="97" t="str">
        <f t="shared" si="101"/>
        <v>-</v>
      </c>
      <c r="AF88" s="97" t="str">
        <f t="shared" si="101"/>
        <v>-</v>
      </c>
      <c r="AG88" s="100" t="str">
        <f t="shared" si="101"/>
        <v>-</v>
      </c>
    </row>
    <row r="89" spans="3:33" ht="15" hidden="1" customHeight="1" outlineLevel="1">
      <c r="C89" s="76" t="s">
        <v>67</v>
      </c>
      <c r="D89" s="96" t="str">
        <f t="shared" ref="D89:AG89" si="102">IF($D$2=FALSE,"-",IF(D68=0,0,ROUND(D82/D68*365,1)))</f>
        <v>-</v>
      </c>
      <c r="E89" s="97" t="str">
        <f t="shared" si="102"/>
        <v>-</v>
      </c>
      <c r="F89" s="97" t="str">
        <f t="shared" si="102"/>
        <v>-</v>
      </c>
      <c r="G89" s="98" t="str">
        <f t="shared" si="102"/>
        <v>-</v>
      </c>
      <c r="H89" s="97" t="str">
        <f t="shared" si="102"/>
        <v>-</v>
      </c>
      <c r="I89" s="99" t="str">
        <f t="shared" si="102"/>
        <v>-</v>
      </c>
      <c r="J89" s="97" t="str">
        <f t="shared" si="102"/>
        <v>-</v>
      </c>
      <c r="K89" s="97" t="str">
        <f t="shared" si="102"/>
        <v>-</v>
      </c>
      <c r="L89" s="97" t="str">
        <f t="shared" si="102"/>
        <v>-</v>
      </c>
      <c r="M89" s="100" t="str">
        <f t="shared" si="102"/>
        <v>-</v>
      </c>
      <c r="N89" s="96" t="str">
        <f t="shared" si="102"/>
        <v>-</v>
      </c>
      <c r="O89" s="97" t="str">
        <f t="shared" si="102"/>
        <v>-</v>
      </c>
      <c r="P89" s="97" t="str">
        <f t="shared" si="102"/>
        <v>-</v>
      </c>
      <c r="Q89" s="97" t="str">
        <f t="shared" si="102"/>
        <v>-</v>
      </c>
      <c r="R89" s="97" t="str">
        <f t="shared" si="102"/>
        <v>-</v>
      </c>
      <c r="S89" s="97" t="str">
        <f t="shared" si="102"/>
        <v>-</v>
      </c>
      <c r="T89" s="97" t="str">
        <f t="shared" si="102"/>
        <v>-</v>
      </c>
      <c r="U89" s="97" t="str">
        <f t="shared" si="102"/>
        <v>-</v>
      </c>
      <c r="V89" s="97" t="str">
        <f t="shared" si="102"/>
        <v>-</v>
      </c>
      <c r="W89" s="97" t="str">
        <f t="shared" si="102"/>
        <v>-</v>
      </c>
      <c r="X89" s="97" t="str">
        <f t="shared" si="102"/>
        <v>-</v>
      </c>
      <c r="Y89" s="97" t="str">
        <f t="shared" si="102"/>
        <v>-</v>
      </c>
      <c r="Z89" s="97" t="str">
        <f t="shared" si="102"/>
        <v>-</v>
      </c>
      <c r="AA89" s="97" t="str">
        <f t="shared" si="102"/>
        <v>-</v>
      </c>
      <c r="AB89" s="97" t="str">
        <f t="shared" si="102"/>
        <v>-</v>
      </c>
      <c r="AC89" s="97" t="str">
        <f t="shared" si="102"/>
        <v>-</v>
      </c>
      <c r="AD89" s="97" t="str">
        <f t="shared" si="102"/>
        <v>-</v>
      </c>
      <c r="AE89" s="97" t="str">
        <f t="shared" si="102"/>
        <v>-</v>
      </c>
      <c r="AF89" s="97" t="str">
        <f t="shared" si="102"/>
        <v>-</v>
      </c>
      <c r="AG89" s="100" t="str">
        <f t="shared" si="102"/>
        <v>-</v>
      </c>
    </row>
    <row r="90" spans="3:33" ht="15" hidden="1" customHeight="1" outlineLevel="1">
      <c r="C90" s="76" t="s">
        <v>68</v>
      </c>
      <c r="D90" s="96" t="str">
        <f t="shared" ref="D90:AG90" si="103">IF($D$2=FALSE,"-",IF(D70=0,0,ROUND(+D84/D70*365,1)))</f>
        <v>-</v>
      </c>
      <c r="E90" s="97" t="str">
        <f t="shared" si="103"/>
        <v>-</v>
      </c>
      <c r="F90" s="97" t="str">
        <f t="shared" si="103"/>
        <v>-</v>
      </c>
      <c r="G90" s="98" t="str">
        <f t="shared" si="103"/>
        <v>-</v>
      </c>
      <c r="H90" s="97" t="str">
        <f t="shared" si="103"/>
        <v>-</v>
      </c>
      <c r="I90" s="99" t="str">
        <f t="shared" si="103"/>
        <v>-</v>
      </c>
      <c r="J90" s="97" t="str">
        <f t="shared" si="103"/>
        <v>-</v>
      </c>
      <c r="K90" s="97" t="str">
        <f t="shared" si="103"/>
        <v>-</v>
      </c>
      <c r="L90" s="97" t="str">
        <f t="shared" si="103"/>
        <v>-</v>
      </c>
      <c r="M90" s="100" t="str">
        <f t="shared" si="103"/>
        <v>-</v>
      </c>
      <c r="N90" s="96" t="str">
        <f t="shared" si="103"/>
        <v>-</v>
      </c>
      <c r="O90" s="97" t="str">
        <f t="shared" si="103"/>
        <v>-</v>
      </c>
      <c r="P90" s="97" t="str">
        <f t="shared" si="103"/>
        <v>-</v>
      </c>
      <c r="Q90" s="97" t="str">
        <f t="shared" si="103"/>
        <v>-</v>
      </c>
      <c r="R90" s="97" t="str">
        <f t="shared" si="103"/>
        <v>-</v>
      </c>
      <c r="S90" s="97" t="str">
        <f t="shared" si="103"/>
        <v>-</v>
      </c>
      <c r="T90" s="97" t="str">
        <f t="shared" si="103"/>
        <v>-</v>
      </c>
      <c r="U90" s="97" t="str">
        <f t="shared" si="103"/>
        <v>-</v>
      </c>
      <c r="V90" s="97" t="str">
        <f t="shared" si="103"/>
        <v>-</v>
      </c>
      <c r="W90" s="97" t="str">
        <f t="shared" si="103"/>
        <v>-</v>
      </c>
      <c r="X90" s="97" t="str">
        <f t="shared" si="103"/>
        <v>-</v>
      </c>
      <c r="Y90" s="97" t="str">
        <f t="shared" si="103"/>
        <v>-</v>
      </c>
      <c r="Z90" s="97" t="str">
        <f t="shared" si="103"/>
        <v>-</v>
      </c>
      <c r="AA90" s="97" t="str">
        <f t="shared" si="103"/>
        <v>-</v>
      </c>
      <c r="AB90" s="97" t="str">
        <f t="shared" si="103"/>
        <v>-</v>
      </c>
      <c r="AC90" s="97" t="str">
        <f t="shared" si="103"/>
        <v>-</v>
      </c>
      <c r="AD90" s="97" t="str">
        <f t="shared" si="103"/>
        <v>-</v>
      </c>
      <c r="AE90" s="97" t="str">
        <f t="shared" si="103"/>
        <v>-</v>
      </c>
      <c r="AF90" s="97" t="str">
        <f t="shared" si="103"/>
        <v>-</v>
      </c>
      <c r="AG90" s="100" t="str">
        <f t="shared" si="103"/>
        <v>-</v>
      </c>
    </row>
    <row r="91" spans="3:33" ht="15" hidden="1" customHeight="1" outlineLevel="1">
      <c r="C91" s="76" t="s">
        <v>69</v>
      </c>
      <c r="D91" s="96" t="str">
        <f t="shared" ref="D91:AG91" si="104">IF($D$2=FALSE,"-",SUM(D88:D90))</f>
        <v>-</v>
      </c>
      <c r="E91" s="97" t="str">
        <f t="shared" si="104"/>
        <v>-</v>
      </c>
      <c r="F91" s="97" t="str">
        <f t="shared" si="104"/>
        <v>-</v>
      </c>
      <c r="G91" s="98" t="str">
        <f t="shared" si="104"/>
        <v>-</v>
      </c>
      <c r="H91" s="97" t="str">
        <f t="shared" si="104"/>
        <v>-</v>
      </c>
      <c r="I91" s="99" t="str">
        <f t="shared" si="104"/>
        <v>-</v>
      </c>
      <c r="J91" s="97" t="str">
        <f t="shared" si="104"/>
        <v>-</v>
      </c>
      <c r="K91" s="97" t="str">
        <f t="shared" si="104"/>
        <v>-</v>
      </c>
      <c r="L91" s="97" t="str">
        <f t="shared" si="104"/>
        <v>-</v>
      </c>
      <c r="M91" s="100" t="str">
        <f t="shared" si="104"/>
        <v>-</v>
      </c>
      <c r="N91" s="96" t="str">
        <f t="shared" si="104"/>
        <v>-</v>
      </c>
      <c r="O91" s="97" t="str">
        <f t="shared" si="104"/>
        <v>-</v>
      </c>
      <c r="P91" s="97" t="str">
        <f t="shared" si="104"/>
        <v>-</v>
      </c>
      <c r="Q91" s="97" t="str">
        <f t="shared" si="104"/>
        <v>-</v>
      </c>
      <c r="R91" s="97" t="str">
        <f t="shared" si="104"/>
        <v>-</v>
      </c>
      <c r="S91" s="97" t="str">
        <f t="shared" si="104"/>
        <v>-</v>
      </c>
      <c r="T91" s="97" t="str">
        <f t="shared" si="104"/>
        <v>-</v>
      </c>
      <c r="U91" s="97" t="str">
        <f t="shared" si="104"/>
        <v>-</v>
      </c>
      <c r="V91" s="97" t="str">
        <f t="shared" si="104"/>
        <v>-</v>
      </c>
      <c r="W91" s="97" t="str">
        <f t="shared" si="104"/>
        <v>-</v>
      </c>
      <c r="X91" s="97" t="str">
        <f t="shared" si="104"/>
        <v>-</v>
      </c>
      <c r="Y91" s="97" t="str">
        <f t="shared" si="104"/>
        <v>-</v>
      </c>
      <c r="Z91" s="97" t="str">
        <f t="shared" si="104"/>
        <v>-</v>
      </c>
      <c r="AA91" s="97" t="str">
        <f t="shared" si="104"/>
        <v>-</v>
      </c>
      <c r="AB91" s="97" t="str">
        <f t="shared" si="104"/>
        <v>-</v>
      </c>
      <c r="AC91" s="97" t="str">
        <f t="shared" si="104"/>
        <v>-</v>
      </c>
      <c r="AD91" s="97" t="str">
        <f t="shared" si="104"/>
        <v>-</v>
      </c>
      <c r="AE91" s="97" t="str">
        <f t="shared" si="104"/>
        <v>-</v>
      </c>
      <c r="AF91" s="97" t="str">
        <f t="shared" si="104"/>
        <v>-</v>
      </c>
      <c r="AG91" s="100" t="str">
        <f t="shared" si="104"/>
        <v>-</v>
      </c>
    </row>
    <row r="92" spans="3:33" s="82" customFormat="1" ht="15" hidden="1" customHeight="1" outlineLevel="1">
      <c r="C92" s="101" t="s">
        <v>70</v>
      </c>
      <c r="D92" s="102" t="str">
        <f t="shared" ref="D92:L92" si="105">IF($D$2=FALSE,"-",IF(OR(D78=0,D80=0,E78=0,E80=0),0,-D70/((D78+D80+E78+E80)/2)))</f>
        <v>-</v>
      </c>
      <c r="E92" s="103" t="str">
        <f t="shared" si="105"/>
        <v>-</v>
      </c>
      <c r="F92" s="103" t="str">
        <f t="shared" si="105"/>
        <v>-</v>
      </c>
      <c r="G92" s="104" t="str">
        <f t="shared" si="105"/>
        <v>-</v>
      </c>
      <c r="H92" s="103" t="str">
        <f t="shared" si="105"/>
        <v>-</v>
      </c>
      <c r="I92" s="105" t="str">
        <f t="shared" si="105"/>
        <v>-</v>
      </c>
      <c r="J92" s="103" t="str">
        <f t="shared" si="105"/>
        <v>-</v>
      </c>
      <c r="K92" s="103" t="str">
        <f t="shared" si="105"/>
        <v>-</v>
      </c>
      <c r="L92" s="103" t="str">
        <f t="shared" si="105"/>
        <v>-</v>
      </c>
      <c r="M92" s="106"/>
      <c r="N92" s="102" t="str">
        <f t="shared" ref="N92:AG92" si="106">IF($D$2=FALSE,"-",IF(OR(N78=0,N80=0,O78=0,O80=0),0,-N70/((N78+N80+O78+O80)/2)))</f>
        <v>-</v>
      </c>
      <c r="O92" s="103" t="str">
        <f t="shared" si="106"/>
        <v>-</v>
      </c>
      <c r="P92" s="103" t="str">
        <f t="shared" si="106"/>
        <v>-</v>
      </c>
      <c r="Q92" s="103" t="str">
        <f t="shared" si="106"/>
        <v>-</v>
      </c>
      <c r="R92" s="103" t="str">
        <f t="shared" si="106"/>
        <v>-</v>
      </c>
      <c r="S92" s="103" t="str">
        <f t="shared" si="106"/>
        <v>-</v>
      </c>
      <c r="T92" s="103" t="str">
        <f t="shared" si="106"/>
        <v>-</v>
      </c>
      <c r="U92" s="103" t="str">
        <f t="shared" si="106"/>
        <v>-</v>
      </c>
      <c r="V92" s="103" t="str">
        <f t="shared" si="106"/>
        <v>-</v>
      </c>
      <c r="W92" s="103" t="str">
        <f t="shared" si="106"/>
        <v>-</v>
      </c>
      <c r="X92" s="103" t="str">
        <f t="shared" si="106"/>
        <v>-</v>
      </c>
      <c r="Y92" s="103" t="str">
        <f t="shared" si="106"/>
        <v>-</v>
      </c>
      <c r="Z92" s="103" t="str">
        <f t="shared" si="106"/>
        <v>-</v>
      </c>
      <c r="AA92" s="103" t="str">
        <f t="shared" si="106"/>
        <v>-</v>
      </c>
      <c r="AB92" s="103" t="str">
        <f t="shared" si="106"/>
        <v>-</v>
      </c>
      <c r="AC92" s="103" t="str">
        <f t="shared" si="106"/>
        <v>-</v>
      </c>
      <c r="AD92" s="103" t="str">
        <f t="shared" si="106"/>
        <v>-</v>
      </c>
      <c r="AE92" s="103" t="str">
        <f t="shared" si="106"/>
        <v>-</v>
      </c>
      <c r="AF92" s="103" t="str">
        <f t="shared" si="106"/>
        <v>-</v>
      </c>
      <c r="AG92" s="106" t="str">
        <f t="shared" si="106"/>
        <v>-</v>
      </c>
    </row>
    <row r="93" spans="3:33" s="82" customFormat="1" ht="15" hidden="1" customHeight="1" outlineLevel="1">
      <c r="C93" s="101" t="s">
        <v>71</v>
      </c>
      <c r="D93" s="102" t="str">
        <f t="shared" ref="D93:L93" si="107">IF($D$2=FALSE,"-",IF(OR(D82=0,E82=0),0,+D68/((D82+E82)/2)))</f>
        <v>-</v>
      </c>
      <c r="E93" s="103" t="str">
        <f t="shared" si="107"/>
        <v>-</v>
      </c>
      <c r="F93" s="103" t="str">
        <f t="shared" si="107"/>
        <v>-</v>
      </c>
      <c r="G93" s="104" t="str">
        <f t="shared" si="107"/>
        <v>-</v>
      </c>
      <c r="H93" s="103" t="str">
        <f t="shared" si="107"/>
        <v>-</v>
      </c>
      <c r="I93" s="105" t="str">
        <f t="shared" si="107"/>
        <v>-</v>
      </c>
      <c r="J93" s="103" t="str">
        <f t="shared" si="107"/>
        <v>-</v>
      </c>
      <c r="K93" s="103" t="str">
        <f t="shared" si="107"/>
        <v>-</v>
      </c>
      <c r="L93" s="103" t="str">
        <f t="shared" si="107"/>
        <v>-</v>
      </c>
      <c r="M93" s="106"/>
      <c r="N93" s="102" t="str">
        <f t="shared" ref="N93:AG93" si="108">IF($D$2=FALSE,"-",IF(OR(N82=0,O82=0),0,+N68/((N82+O82)/2)))</f>
        <v>-</v>
      </c>
      <c r="O93" s="103" t="str">
        <f t="shared" si="108"/>
        <v>-</v>
      </c>
      <c r="P93" s="103" t="str">
        <f t="shared" si="108"/>
        <v>-</v>
      </c>
      <c r="Q93" s="103" t="str">
        <f t="shared" si="108"/>
        <v>-</v>
      </c>
      <c r="R93" s="103" t="str">
        <f t="shared" si="108"/>
        <v>-</v>
      </c>
      <c r="S93" s="103" t="str">
        <f t="shared" si="108"/>
        <v>-</v>
      </c>
      <c r="T93" s="103" t="str">
        <f t="shared" si="108"/>
        <v>-</v>
      </c>
      <c r="U93" s="103" t="str">
        <f t="shared" si="108"/>
        <v>-</v>
      </c>
      <c r="V93" s="103" t="str">
        <f t="shared" si="108"/>
        <v>-</v>
      </c>
      <c r="W93" s="103" t="str">
        <f t="shared" si="108"/>
        <v>-</v>
      </c>
      <c r="X93" s="103" t="str">
        <f t="shared" si="108"/>
        <v>-</v>
      </c>
      <c r="Y93" s="103" t="str">
        <f t="shared" si="108"/>
        <v>-</v>
      </c>
      <c r="Z93" s="103" t="str">
        <f t="shared" si="108"/>
        <v>-</v>
      </c>
      <c r="AA93" s="103" t="str">
        <f t="shared" si="108"/>
        <v>-</v>
      </c>
      <c r="AB93" s="103" t="str">
        <f t="shared" si="108"/>
        <v>-</v>
      </c>
      <c r="AC93" s="103" t="str">
        <f t="shared" si="108"/>
        <v>-</v>
      </c>
      <c r="AD93" s="103" t="str">
        <f t="shared" si="108"/>
        <v>-</v>
      </c>
      <c r="AE93" s="103" t="str">
        <f t="shared" si="108"/>
        <v>-</v>
      </c>
      <c r="AF93" s="103" t="str">
        <f t="shared" si="108"/>
        <v>-</v>
      </c>
      <c r="AG93" s="106" t="str">
        <f t="shared" si="108"/>
        <v>-</v>
      </c>
    </row>
    <row r="94" spans="3:33" s="82" customFormat="1" ht="15" hidden="1" customHeight="1" outlineLevel="1">
      <c r="C94" s="101" t="s">
        <v>72</v>
      </c>
      <c r="D94" s="102" t="str">
        <f t="shared" ref="D94:L94" si="109">IF($D$2=FALSE,"-",IF(OR(D86=0,E86=0),0,+D68/((D86+E86)/2)))</f>
        <v>-</v>
      </c>
      <c r="E94" s="103" t="str">
        <f t="shared" si="109"/>
        <v>-</v>
      </c>
      <c r="F94" s="103" t="str">
        <f t="shared" si="109"/>
        <v>-</v>
      </c>
      <c r="G94" s="104" t="str">
        <f t="shared" si="109"/>
        <v>-</v>
      </c>
      <c r="H94" s="103" t="str">
        <f t="shared" si="109"/>
        <v>-</v>
      </c>
      <c r="I94" s="105" t="str">
        <f t="shared" si="109"/>
        <v>-</v>
      </c>
      <c r="J94" s="103" t="str">
        <f t="shared" si="109"/>
        <v>-</v>
      </c>
      <c r="K94" s="103" t="str">
        <f t="shared" si="109"/>
        <v>-</v>
      </c>
      <c r="L94" s="103" t="str">
        <f t="shared" si="109"/>
        <v>-</v>
      </c>
      <c r="M94" s="106"/>
      <c r="N94" s="102" t="str">
        <f t="shared" ref="N94:AG94" si="110">IF($D$2=FALSE,"-",IF(OR(N86=0,O86=0),0,+N68/((N86+O86)/2)))</f>
        <v>-</v>
      </c>
      <c r="O94" s="103" t="str">
        <f t="shared" si="110"/>
        <v>-</v>
      </c>
      <c r="P94" s="103" t="str">
        <f t="shared" si="110"/>
        <v>-</v>
      </c>
      <c r="Q94" s="103" t="str">
        <f t="shared" si="110"/>
        <v>-</v>
      </c>
      <c r="R94" s="103" t="str">
        <f t="shared" si="110"/>
        <v>-</v>
      </c>
      <c r="S94" s="103" t="str">
        <f t="shared" si="110"/>
        <v>-</v>
      </c>
      <c r="T94" s="103" t="str">
        <f t="shared" si="110"/>
        <v>-</v>
      </c>
      <c r="U94" s="103" t="str">
        <f t="shared" si="110"/>
        <v>-</v>
      </c>
      <c r="V94" s="103" t="str">
        <f t="shared" si="110"/>
        <v>-</v>
      </c>
      <c r="W94" s="103" t="str">
        <f t="shared" si="110"/>
        <v>-</v>
      </c>
      <c r="X94" s="103" t="str">
        <f t="shared" si="110"/>
        <v>-</v>
      </c>
      <c r="Y94" s="103" t="str">
        <f t="shared" si="110"/>
        <v>-</v>
      </c>
      <c r="Z94" s="103" t="str">
        <f t="shared" si="110"/>
        <v>-</v>
      </c>
      <c r="AA94" s="103" t="str">
        <f t="shared" si="110"/>
        <v>-</v>
      </c>
      <c r="AB94" s="103" t="str">
        <f t="shared" si="110"/>
        <v>-</v>
      </c>
      <c r="AC94" s="103" t="str">
        <f t="shared" si="110"/>
        <v>-</v>
      </c>
      <c r="AD94" s="103" t="str">
        <f t="shared" si="110"/>
        <v>-</v>
      </c>
      <c r="AE94" s="103" t="str">
        <f t="shared" si="110"/>
        <v>-</v>
      </c>
      <c r="AF94" s="103" t="str">
        <f t="shared" si="110"/>
        <v>-</v>
      </c>
      <c r="AG94" s="106" t="str">
        <f t="shared" si="110"/>
        <v>-</v>
      </c>
    </row>
    <row r="95" spans="3:33" s="12" customFormat="1" ht="15" customHeight="1" collapsed="1">
      <c r="C95" s="23" t="s">
        <v>73</v>
      </c>
      <c r="D95" s="24"/>
      <c r="E95" s="25"/>
      <c r="F95" s="25"/>
      <c r="G95" s="25"/>
      <c r="H95" s="25"/>
      <c r="I95" s="25"/>
      <c r="J95" s="25"/>
      <c r="K95" s="25"/>
      <c r="L95" s="25"/>
      <c r="M95" s="26"/>
      <c r="N95" s="24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6"/>
    </row>
    <row r="96" spans="3:33" s="89" customFormat="1" ht="15" hidden="1" customHeight="1" outlineLevel="1">
      <c r="C96" s="90" t="s">
        <v>74</v>
      </c>
      <c r="D96" s="91" t="str">
        <f t="shared" ref="D96:AG96" si="111">IF($D$2=FALSE,"-",IF(D149=0,0,+D138/D149))</f>
        <v>-</v>
      </c>
      <c r="E96" s="92" t="str">
        <f t="shared" si="111"/>
        <v>-</v>
      </c>
      <c r="F96" s="92" t="str">
        <f t="shared" si="111"/>
        <v>-</v>
      </c>
      <c r="G96" s="93" t="str">
        <f t="shared" si="111"/>
        <v>-</v>
      </c>
      <c r="H96" s="92" t="str">
        <f t="shared" si="111"/>
        <v>-</v>
      </c>
      <c r="I96" s="94" t="str">
        <f t="shared" si="111"/>
        <v>-</v>
      </c>
      <c r="J96" s="92" t="str">
        <f t="shared" si="111"/>
        <v>-</v>
      </c>
      <c r="K96" s="92" t="str">
        <f t="shared" si="111"/>
        <v>-</v>
      </c>
      <c r="L96" s="92" t="str">
        <f t="shared" si="111"/>
        <v>-</v>
      </c>
      <c r="M96" s="95" t="str">
        <f t="shared" si="111"/>
        <v>-</v>
      </c>
      <c r="N96" s="91" t="str">
        <f t="shared" si="111"/>
        <v>-</v>
      </c>
      <c r="O96" s="92" t="str">
        <f t="shared" si="111"/>
        <v>-</v>
      </c>
      <c r="P96" s="92" t="str">
        <f t="shared" si="111"/>
        <v>-</v>
      </c>
      <c r="Q96" s="92" t="str">
        <f t="shared" si="111"/>
        <v>-</v>
      </c>
      <c r="R96" s="92" t="str">
        <f t="shared" si="111"/>
        <v>-</v>
      </c>
      <c r="S96" s="92" t="str">
        <f t="shared" si="111"/>
        <v>-</v>
      </c>
      <c r="T96" s="92" t="str">
        <f t="shared" si="111"/>
        <v>-</v>
      </c>
      <c r="U96" s="92" t="str">
        <f t="shared" si="111"/>
        <v>-</v>
      </c>
      <c r="V96" s="92" t="str">
        <f t="shared" si="111"/>
        <v>-</v>
      </c>
      <c r="W96" s="92" t="str">
        <f t="shared" si="111"/>
        <v>-</v>
      </c>
      <c r="X96" s="92" t="str">
        <f t="shared" si="111"/>
        <v>-</v>
      </c>
      <c r="Y96" s="92" t="str">
        <f t="shared" si="111"/>
        <v>-</v>
      </c>
      <c r="Z96" s="92" t="str">
        <f t="shared" si="111"/>
        <v>-</v>
      </c>
      <c r="AA96" s="92" t="str">
        <f t="shared" si="111"/>
        <v>-</v>
      </c>
      <c r="AB96" s="92" t="str">
        <f t="shared" si="111"/>
        <v>-</v>
      </c>
      <c r="AC96" s="92" t="str">
        <f t="shared" si="111"/>
        <v>-</v>
      </c>
      <c r="AD96" s="92" t="str">
        <f t="shared" si="111"/>
        <v>-</v>
      </c>
      <c r="AE96" s="92" t="str">
        <f t="shared" si="111"/>
        <v>-</v>
      </c>
      <c r="AF96" s="92" t="str">
        <f t="shared" si="111"/>
        <v>-</v>
      </c>
      <c r="AG96" s="95" t="str">
        <f t="shared" si="111"/>
        <v>-</v>
      </c>
    </row>
    <row r="97" spans="3:33" s="89" customFormat="1" ht="15" hidden="1" customHeight="1" outlineLevel="1">
      <c r="C97" s="90" t="s">
        <v>75</v>
      </c>
      <c r="D97" s="91" t="str">
        <f t="shared" ref="D97:AG97" si="112">IF($D$2=FALSE,"-",IF(OR(D136=0,D137=0),0,+(D138-(D137+D136))/D149))</f>
        <v>-</v>
      </c>
      <c r="E97" s="92" t="str">
        <f t="shared" si="112"/>
        <v>-</v>
      </c>
      <c r="F97" s="92" t="str">
        <f t="shared" si="112"/>
        <v>-</v>
      </c>
      <c r="G97" s="93" t="str">
        <f t="shared" si="112"/>
        <v>-</v>
      </c>
      <c r="H97" s="92" t="str">
        <f t="shared" si="112"/>
        <v>-</v>
      </c>
      <c r="I97" s="94" t="str">
        <f t="shared" si="112"/>
        <v>-</v>
      </c>
      <c r="J97" s="92" t="str">
        <f t="shared" si="112"/>
        <v>-</v>
      </c>
      <c r="K97" s="92" t="str">
        <f t="shared" si="112"/>
        <v>-</v>
      </c>
      <c r="L97" s="92" t="str">
        <f t="shared" si="112"/>
        <v>-</v>
      </c>
      <c r="M97" s="95" t="str">
        <f t="shared" si="112"/>
        <v>-</v>
      </c>
      <c r="N97" s="91" t="str">
        <f t="shared" si="112"/>
        <v>-</v>
      </c>
      <c r="O97" s="92" t="str">
        <f t="shared" si="112"/>
        <v>-</v>
      </c>
      <c r="P97" s="92" t="str">
        <f t="shared" si="112"/>
        <v>-</v>
      </c>
      <c r="Q97" s="92" t="str">
        <f t="shared" si="112"/>
        <v>-</v>
      </c>
      <c r="R97" s="92" t="str">
        <f t="shared" si="112"/>
        <v>-</v>
      </c>
      <c r="S97" s="92" t="str">
        <f t="shared" si="112"/>
        <v>-</v>
      </c>
      <c r="T97" s="92" t="str">
        <f t="shared" si="112"/>
        <v>-</v>
      </c>
      <c r="U97" s="92" t="str">
        <f t="shared" si="112"/>
        <v>-</v>
      </c>
      <c r="V97" s="92" t="str">
        <f t="shared" si="112"/>
        <v>-</v>
      </c>
      <c r="W97" s="92" t="str">
        <f t="shared" si="112"/>
        <v>-</v>
      </c>
      <c r="X97" s="92" t="str">
        <f t="shared" si="112"/>
        <v>-</v>
      </c>
      <c r="Y97" s="92" t="str">
        <f t="shared" si="112"/>
        <v>-</v>
      </c>
      <c r="Z97" s="92" t="str">
        <f t="shared" si="112"/>
        <v>-</v>
      </c>
      <c r="AA97" s="92" t="str">
        <f t="shared" si="112"/>
        <v>-</v>
      </c>
      <c r="AB97" s="92" t="str">
        <f t="shared" si="112"/>
        <v>-</v>
      </c>
      <c r="AC97" s="92" t="str">
        <f t="shared" si="112"/>
        <v>-</v>
      </c>
      <c r="AD97" s="92" t="str">
        <f t="shared" si="112"/>
        <v>-</v>
      </c>
      <c r="AE97" s="92" t="str">
        <f t="shared" si="112"/>
        <v>-</v>
      </c>
      <c r="AF97" s="92" t="str">
        <f t="shared" si="112"/>
        <v>-</v>
      </c>
      <c r="AG97" s="95" t="str">
        <f t="shared" si="112"/>
        <v>-</v>
      </c>
    </row>
    <row r="98" spans="3:33" s="107" customFormat="1" ht="15" hidden="1" customHeight="1" outlineLevel="1">
      <c r="C98" s="90" t="s">
        <v>76</v>
      </c>
      <c r="D98" s="91" t="str">
        <f t="shared" ref="D98:AG98" si="113">IF($D$2=FALSE,"-",IF(D157=0,0,+D121/D157))</f>
        <v>-</v>
      </c>
      <c r="E98" s="92" t="str">
        <f t="shared" si="113"/>
        <v>-</v>
      </c>
      <c r="F98" s="92" t="str">
        <f t="shared" si="113"/>
        <v>-</v>
      </c>
      <c r="G98" s="93" t="str">
        <f t="shared" si="113"/>
        <v>-</v>
      </c>
      <c r="H98" s="92" t="str">
        <f t="shared" si="113"/>
        <v>-</v>
      </c>
      <c r="I98" s="94" t="str">
        <f t="shared" si="113"/>
        <v>-</v>
      </c>
      <c r="J98" s="92" t="str">
        <f t="shared" si="113"/>
        <v>-</v>
      </c>
      <c r="K98" s="92" t="str">
        <f t="shared" si="113"/>
        <v>-</v>
      </c>
      <c r="L98" s="92" t="str">
        <f t="shared" si="113"/>
        <v>-</v>
      </c>
      <c r="M98" s="95" t="str">
        <f t="shared" si="113"/>
        <v>-</v>
      </c>
      <c r="N98" s="91" t="str">
        <f t="shared" si="113"/>
        <v>-</v>
      </c>
      <c r="O98" s="92" t="str">
        <f t="shared" si="113"/>
        <v>-</v>
      </c>
      <c r="P98" s="92" t="str">
        <f t="shared" si="113"/>
        <v>-</v>
      </c>
      <c r="Q98" s="92" t="str">
        <f t="shared" si="113"/>
        <v>-</v>
      </c>
      <c r="R98" s="92" t="str">
        <f t="shared" si="113"/>
        <v>-</v>
      </c>
      <c r="S98" s="92" t="str">
        <f t="shared" si="113"/>
        <v>-</v>
      </c>
      <c r="T98" s="92" t="str">
        <f t="shared" si="113"/>
        <v>-</v>
      </c>
      <c r="U98" s="92" t="str">
        <f t="shared" si="113"/>
        <v>-</v>
      </c>
      <c r="V98" s="92" t="str">
        <f t="shared" si="113"/>
        <v>-</v>
      </c>
      <c r="W98" s="92" t="str">
        <f t="shared" si="113"/>
        <v>-</v>
      </c>
      <c r="X98" s="92" t="str">
        <f t="shared" si="113"/>
        <v>-</v>
      </c>
      <c r="Y98" s="92" t="str">
        <f t="shared" si="113"/>
        <v>-</v>
      </c>
      <c r="Z98" s="92" t="str">
        <f t="shared" si="113"/>
        <v>-</v>
      </c>
      <c r="AA98" s="92" t="str">
        <f t="shared" si="113"/>
        <v>-</v>
      </c>
      <c r="AB98" s="92" t="str">
        <f t="shared" si="113"/>
        <v>-</v>
      </c>
      <c r="AC98" s="92" t="str">
        <f t="shared" si="113"/>
        <v>-</v>
      </c>
      <c r="AD98" s="92" t="str">
        <f t="shared" si="113"/>
        <v>-</v>
      </c>
      <c r="AE98" s="92" t="str">
        <f t="shared" si="113"/>
        <v>-</v>
      </c>
      <c r="AF98" s="92" t="str">
        <f t="shared" si="113"/>
        <v>-</v>
      </c>
      <c r="AG98" s="95" t="str">
        <f t="shared" si="113"/>
        <v>-</v>
      </c>
    </row>
    <row r="99" spans="3:33" s="107" customFormat="1" ht="15" hidden="1" customHeight="1" outlineLevel="1">
      <c r="C99" s="90" t="s">
        <v>77</v>
      </c>
      <c r="D99" s="91" t="str">
        <f t="shared" ref="D99:AG99" si="114">IF($D$2=FALSE,"-",IF(D157=0,0,+D150/D157))</f>
        <v>-</v>
      </c>
      <c r="E99" s="92" t="str">
        <f t="shared" si="114"/>
        <v>-</v>
      </c>
      <c r="F99" s="92" t="str">
        <f t="shared" si="114"/>
        <v>-</v>
      </c>
      <c r="G99" s="93" t="str">
        <f t="shared" si="114"/>
        <v>-</v>
      </c>
      <c r="H99" s="92" t="str">
        <f t="shared" si="114"/>
        <v>-</v>
      </c>
      <c r="I99" s="94" t="str">
        <f t="shared" si="114"/>
        <v>-</v>
      </c>
      <c r="J99" s="92" t="str">
        <f t="shared" si="114"/>
        <v>-</v>
      </c>
      <c r="K99" s="92" t="str">
        <f t="shared" si="114"/>
        <v>-</v>
      </c>
      <c r="L99" s="92" t="str">
        <f t="shared" si="114"/>
        <v>-</v>
      </c>
      <c r="M99" s="95" t="str">
        <f t="shared" si="114"/>
        <v>-</v>
      </c>
      <c r="N99" s="91" t="str">
        <f t="shared" si="114"/>
        <v>-</v>
      </c>
      <c r="O99" s="92" t="str">
        <f t="shared" si="114"/>
        <v>-</v>
      </c>
      <c r="P99" s="92" t="str">
        <f t="shared" si="114"/>
        <v>-</v>
      </c>
      <c r="Q99" s="92" t="str">
        <f t="shared" si="114"/>
        <v>-</v>
      </c>
      <c r="R99" s="92" t="str">
        <f t="shared" si="114"/>
        <v>-</v>
      </c>
      <c r="S99" s="92" t="str">
        <f t="shared" si="114"/>
        <v>-</v>
      </c>
      <c r="T99" s="92" t="str">
        <f t="shared" si="114"/>
        <v>-</v>
      </c>
      <c r="U99" s="92" t="str">
        <f t="shared" si="114"/>
        <v>-</v>
      </c>
      <c r="V99" s="92" t="str">
        <f t="shared" si="114"/>
        <v>-</v>
      </c>
      <c r="W99" s="92" t="str">
        <f t="shared" si="114"/>
        <v>-</v>
      </c>
      <c r="X99" s="92" t="str">
        <f t="shared" si="114"/>
        <v>-</v>
      </c>
      <c r="Y99" s="92" t="str">
        <f t="shared" si="114"/>
        <v>-</v>
      </c>
      <c r="Z99" s="92" t="str">
        <f t="shared" si="114"/>
        <v>-</v>
      </c>
      <c r="AA99" s="92" t="str">
        <f t="shared" si="114"/>
        <v>-</v>
      </c>
      <c r="AB99" s="92" t="str">
        <f t="shared" si="114"/>
        <v>-</v>
      </c>
      <c r="AC99" s="92" t="str">
        <f t="shared" si="114"/>
        <v>-</v>
      </c>
      <c r="AD99" s="92" t="str">
        <f t="shared" si="114"/>
        <v>-</v>
      </c>
      <c r="AE99" s="92" t="str">
        <f t="shared" si="114"/>
        <v>-</v>
      </c>
      <c r="AF99" s="92" t="str">
        <f t="shared" si="114"/>
        <v>-</v>
      </c>
      <c r="AG99" s="95" t="str">
        <f t="shared" si="114"/>
        <v>-</v>
      </c>
    </row>
    <row r="100" spans="3:33" s="108" customFormat="1" ht="15" hidden="1" customHeight="1" outlineLevel="1">
      <c r="C100" s="109" t="s">
        <v>78</v>
      </c>
      <c r="D100" s="110" t="str">
        <f t="shared" ref="D100:AG100" si="115">IF($D$2=FALSE,"-",IF(D101=0,0,+D101+D102-D103))</f>
        <v>-</v>
      </c>
      <c r="E100" s="111" t="str">
        <f t="shared" si="115"/>
        <v>-</v>
      </c>
      <c r="F100" s="111" t="str">
        <f t="shared" si="115"/>
        <v>-</v>
      </c>
      <c r="G100" s="112" t="str">
        <f t="shared" si="115"/>
        <v>-</v>
      </c>
      <c r="H100" s="111" t="str">
        <f t="shared" si="115"/>
        <v>-</v>
      </c>
      <c r="I100" s="113" t="str">
        <f t="shared" si="115"/>
        <v>-</v>
      </c>
      <c r="J100" s="111" t="str">
        <f t="shared" si="115"/>
        <v>-</v>
      </c>
      <c r="K100" s="111" t="str">
        <f t="shared" si="115"/>
        <v>-</v>
      </c>
      <c r="L100" s="111" t="str">
        <f t="shared" si="115"/>
        <v>-</v>
      </c>
      <c r="M100" s="114" t="str">
        <f t="shared" si="115"/>
        <v>-</v>
      </c>
      <c r="N100" s="110" t="str">
        <f t="shared" si="115"/>
        <v>-</v>
      </c>
      <c r="O100" s="111" t="str">
        <f t="shared" si="115"/>
        <v>-</v>
      </c>
      <c r="P100" s="111" t="str">
        <f t="shared" si="115"/>
        <v>-</v>
      </c>
      <c r="Q100" s="111" t="str">
        <f t="shared" si="115"/>
        <v>-</v>
      </c>
      <c r="R100" s="111" t="str">
        <f t="shared" si="115"/>
        <v>-</v>
      </c>
      <c r="S100" s="111" t="str">
        <f t="shared" si="115"/>
        <v>-</v>
      </c>
      <c r="T100" s="111" t="str">
        <f t="shared" si="115"/>
        <v>-</v>
      </c>
      <c r="U100" s="111" t="str">
        <f t="shared" si="115"/>
        <v>-</v>
      </c>
      <c r="V100" s="111" t="str">
        <f t="shared" si="115"/>
        <v>-</v>
      </c>
      <c r="W100" s="111" t="str">
        <f t="shared" si="115"/>
        <v>-</v>
      </c>
      <c r="X100" s="111" t="str">
        <f t="shared" si="115"/>
        <v>-</v>
      </c>
      <c r="Y100" s="111" t="str">
        <f t="shared" si="115"/>
        <v>-</v>
      </c>
      <c r="Z100" s="111" t="str">
        <f t="shared" si="115"/>
        <v>-</v>
      </c>
      <c r="AA100" s="111" t="str">
        <f t="shared" si="115"/>
        <v>-</v>
      </c>
      <c r="AB100" s="111" t="str">
        <f t="shared" si="115"/>
        <v>-</v>
      </c>
      <c r="AC100" s="111" t="str">
        <f t="shared" si="115"/>
        <v>-</v>
      </c>
      <c r="AD100" s="111" t="str">
        <f t="shared" si="115"/>
        <v>-</v>
      </c>
      <c r="AE100" s="111" t="str">
        <f t="shared" si="115"/>
        <v>-</v>
      </c>
      <c r="AF100" s="111" t="str">
        <f t="shared" si="115"/>
        <v>-</v>
      </c>
      <c r="AG100" s="114" t="str">
        <f t="shared" si="115"/>
        <v>-</v>
      </c>
    </row>
    <row r="101" spans="3:33" s="82" customFormat="1" ht="15" hidden="1" customHeight="1" outlineLevel="1">
      <c r="C101" s="115" t="s">
        <v>79</v>
      </c>
      <c r="D101" s="84" t="str">
        <f t="shared" ref="D101:AG101" si="116">IF($D$2=FALSE,"-",+D14)</f>
        <v>-</v>
      </c>
      <c r="E101" s="85" t="str">
        <f t="shared" si="116"/>
        <v>-</v>
      </c>
      <c r="F101" s="85" t="str">
        <f t="shared" si="116"/>
        <v>-</v>
      </c>
      <c r="G101" s="86" t="str">
        <f t="shared" si="116"/>
        <v>-</v>
      </c>
      <c r="H101" s="85" t="str">
        <f t="shared" si="116"/>
        <v>-</v>
      </c>
      <c r="I101" s="87" t="str">
        <f t="shared" si="116"/>
        <v>-</v>
      </c>
      <c r="J101" s="85" t="str">
        <f t="shared" si="116"/>
        <v>-</v>
      </c>
      <c r="K101" s="85" t="str">
        <f t="shared" si="116"/>
        <v>-</v>
      </c>
      <c r="L101" s="85" t="str">
        <f t="shared" si="116"/>
        <v>-</v>
      </c>
      <c r="M101" s="88" t="str">
        <f t="shared" si="116"/>
        <v>-</v>
      </c>
      <c r="N101" s="84" t="str">
        <f t="shared" si="116"/>
        <v>-</v>
      </c>
      <c r="O101" s="85" t="str">
        <f t="shared" si="116"/>
        <v>-</v>
      </c>
      <c r="P101" s="85" t="str">
        <f t="shared" si="116"/>
        <v>-</v>
      </c>
      <c r="Q101" s="85" t="str">
        <f t="shared" si="116"/>
        <v>-</v>
      </c>
      <c r="R101" s="85" t="str">
        <f t="shared" si="116"/>
        <v>-</v>
      </c>
      <c r="S101" s="85" t="str">
        <f t="shared" si="116"/>
        <v>-</v>
      </c>
      <c r="T101" s="85" t="str">
        <f t="shared" si="116"/>
        <v>-</v>
      </c>
      <c r="U101" s="85" t="str">
        <f t="shared" si="116"/>
        <v>-</v>
      </c>
      <c r="V101" s="85" t="str">
        <f t="shared" si="116"/>
        <v>-</v>
      </c>
      <c r="W101" s="85" t="str">
        <f t="shared" si="116"/>
        <v>-</v>
      </c>
      <c r="X101" s="85" t="str">
        <f t="shared" si="116"/>
        <v>-</v>
      </c>
      <c r="Y101" s="85" t="str">
        <f t="shared" si="116"/>
        <v>-</v>
      </c>
      <c r="Z101" s="85" t="str">
        <f t="shared" si="116"/>
        <v>-</v>
      </c>
      <c r="AA101" s="85" t="str">
        <f t="shared" si="116"/>
        <v>-</v>
      </c>
      <c r="AB101" s="85" t="str">
        <f t="shared" si="116"/>
        <v>-</v>
      </c>
      <c r="AC101" s="85" t="str">
        <f t="shared" si="116"/>
        <v>-</v>
      </c>
      <c r="AD101" s="85" t="str">
        <f t="shared" si="116"/>
        <v>-</v>
      </c>
      <c r="AE101" s="85" t="str">
        <f t="shared" si="116"/>
        <v>-</v>
      </c>
      <c r="AF101" s="85" t="str">
        <f t="shared" si="116"/>
        <v>-</v>
      </c>
      <c r="AG101" s="88" t="str">
        <f t="shared" si="116"/>
        <v>-</v>
      </c>
    </row>
    <row r="102" spans="3:33" s="82" customFormat="1" ht="15" hidden="1" customHeight="1" outlineLevel="1">
      <c r="C102" s="115" t="s">
        <v>80</v>
      </c>
      <c r="D102" s="84" t="str">
        <f t="shared" ref="D102:AG102" si="117">IF($D$2=FALSE,"-",+D150)</f>
        <v>-</v>
      </c>
      <c r="E102" s="85" t="str">
        <f t="shared" si="117"/>
        <v>-</v>
      </c>
      <c r="F102" s="85" t="str">
        <f t="shared" si="117"/>
        <v>-</v>
      </c>
      <c r="G102" s="86" t="str">
        <f t="shared" si="117"/>
        <v>-</v>
      </c>
      <c r="H102" s="85" t="str">
        <f t="shared" si="117"/>
        <v>-</v>
      </c>
      <c r="I102" s="87" t="str">
        <f t="shared" si="117"/>
        <v>-</v>
      </c>
      <c r="J102" s="85" t="str">
        <f t="shared" si="117"/>
        <v>-</v>
      </c>
      <c r="K102" s="85" t="str">
        <f t="shared" si="117"/>
        <v>-</v>
      </c>
      <c r="L102" s="85" t="str">
        <f t="shared" si="117"/>
        <v>-</v>
      </c>
      <c r="M102" s="88" t="str">
        <f t="shared" si="117"/>
        <v>-</v>
      </c>
      <c r="N102" s="84" t="str">
        <f t="shared" si="117"/>
        <v>-</v>
      </c>
      <c r="O102" s="85" t="str">
        <f t="shared" si="117"/>
        <v>-</v>
      </c>
      <c r="P102" s="85" t="str">
        <f t="shared" si="117"/>
        <v>-</v>
      </c>
      <c r="Q102" s="85" t="str">
        <f t="shared" si="117"/>
        <v>-</v>
      </c>
      <c r="R102" s="85" t="str">
        <f t="shared" si="117"/>
        <v>-</v>
      </c>
      <c r="S102" s="85" t="str">
        <f t="shared" si="117"/>
        <v>-</v>
      </c>
      <c r="T102" s="85" t="str">
        <f t="shared" si="117"/>
        <v>-</v>
      </c>
      <c r="U102" s="85" t="str">
        <f t="shared" si="117"/>
        <v>-</v>
      </c>
      <c r="V102" s="85" t="str">
        <f t="shared" si="117"/>
        <v>-</v>
      </c>
      <c r="W102" s="85" t="str">
        <f t="shared" si="117"/>
        <v>-</v>
      </c>
      <c r="X102" s="85" t="str">
        <f t="shared" si="117"/>
        <v>-</v>
      </c>
      <c r="Y102" s="85" t="str">
        <f t="shared" si="117"/>
        <v>-</v>
      </c>
      <c r="Z102" s="85" t="str">
        <f t="shared" si="117"/>
        <v>-</v>
      </c>
      <c r="AA102" s="85" t="str">
        <f t="shared" si="117"/>
        <v>-</v>
      </c>
      <c r="AB102" s="85" t="str">
        <f t="shared" si="117"/>
        <v>-</v>
      </c>
      <c r="AC102" s="85" t="str">
        <f t="shared" si="117"/>
        <v>-</v>
      </c>
      <c r="AD102" s="85" t="str">
        <f t="shared" si="117"/>
        <v>-</v>
      </c>
      <c r="AE102" s="85" t="str">
        <f t="shared" si="117"/>
        <v>-</v>
      </c>
      <c r="AF102" s="85" t="str">
        <f t="shared" si="117"/>
        <v>-</v>
      </c>
      <c r="AG102" s="88" t="str">
        <f t="shared" si="117"/>
        <v>-</v>
      </c>
    </row>
    <row r="103" spans="3:33" s="82" customFormat="1" ht="15" hidden="1" customHeight="1" outlineLevel="1">
      <c r="C103" s="115" t="s">
        <v>81</v>
      </c>
      <c r="D103" s="84" t="str">
        <f t="shared" ref="D103:AG103" si="118">IF($D$2=FALSE,"-",+D131+D132)</f>
        <v>-</v>
      </c>
      <c r="E103" s="85" t="str">
        <f t="shared" si="118"/>
        <v>-</v>
      </c>
      <c r="F103" s="85" t="str">
        <f t="shared" si="118"/>
        <v>-</v>
      </c>
      <c r="G103" s="86" t="str">
        <f t="shared" si="118"/>
        <v>-</v>
      </c>
      <c r="H103" s="85" t="str">
        <f t="shared" si="118"/>
        <v>-</v>
      </c>
      <c r="I103" s="87" t="str">
        <f t="shared" si="118"/>
        <v>-</v>
      </c>
      <c r="J103" s="85" t="str">
        <f t="shared" si="118"/>
        <v>-</v>
      </c>
      <c r="K103" s="85" t="str">
        <f t="shared" si="118"/>
        <v>-</v>
      </c>
      <c r="L103" s="85" t="str">
        <f t="shared" si="118"/>
        <v>-</v>
      </c>
      <c r="M103" s="88" t="str">
        <f t="shared" si="118"/>
        <v>-</v>
      </c>
      <c r="N103" s="84" t="str">
        <f t="shared" si="118"/>
        <v>-</v>
      </c>
      <c r="O103" s="85" t="str">
        <f t="shared" si="118"/>
        <v>-</v>
      </c>
      <c r="P103" s="85" t="str">
        <f t="shared" si="118"/>
        <v>-</v>
      </c>
      <c r="Q103" s="85" t="str">
        <f t="shared" si="118"/>
        <v>-</v>
      </c>
      <c r="R103" s="85" t="str">
        <f t="shared" si="118"/>
        <v>-</v>
      </c>
      <c r="S103" s="85" t="str">
        <f t="shared" si="118"/>
        <v>-</v>
      </c>
      <c r="T103" s="85" t="str">
        <f t="shared" si="118"/>
        <v>-</v>
      </c>
      <c r="U103" s="85" t="str">
        <f t="shared" si="118"/>
        <v>-</v>
      </c>
      <c r="V103" s="85" t="str">
        <f t="shared" si="118"/>
        <v>-</v>
      </c>
      <c r="W103" s="85" t="str">
        <f t="shared" si="118"/>
        <v>-</v>
      </c>
      <c r="X103" s="85" t="str">
        <f t="shared" si="118"/>
        <v>-</v>
      </c>
      <c r="Y103" s="85" t="str">
        <f t="shared" si="118"/>
        <v>-</v>
      </c>
      <c r="Z103" s="85" t="str">
        <f t="shared" si="118"/>
        <v>-</v>
      </c>
      <c r="AA103" s="85" t="str">
        <f t="shared" si="118"/>
        <v>-</v>
      </c>
      <c r="AB103" s="85" t="str">
        <f t="shared" si="118"/>
        <v>-</v>
      </c>
      <c r="AC103" s="85" t="str">
        <f t="shared" si="118"/>
        <v>-</v>
      </c>
      <c r="AD103" s="85" t="str">
        <f t="shared" si="118"/>
        <v>-</v>
      </c>
      <c r="AE103" s="85" t="str">
        <f t="shared" si="118"/>
        <v>-</v>
      </c>
      <c r="AF103" s="85" t="str">
        <f t="shared" si="118"/>
        <v>-</v>
      </c>
      <c r="AG103" s="88" t="str">
        <f t="shared" si="118"/>
        <v>-</v>
      </c>
    </row>
    <row r="104" spans="3:33" s="108" customFormat="1" ht="15" hidden="1" customHeight="1" outlineLevel="1">
      <c r="C104" s="109" t="s">
        <v>82</v>
      </c>
      <c r="D104" s="110" t="str">
        <f t="shared" ref="D104:AG104" si="119">IF($D$2=FALSE,"-",SUM(D108:D110))</f>
        <v>-</v>
      </c>
      <c r="E104" s="111" t="str">
        <f t="shared" si="119"/>
        <v>-</v>
      </c>
      <c r="F104" s="111" t="str">
        <f t="shared" si="119"/>
        <v>-</v>
      </c>
      <c r="G104" s="112" t="str">
        <f t="shared" si="119"/>
        <v>-</v>
      </c>
      <c r="H104" s="111" t="str">
        <f t="shared" si="119"/>
        <v>-</v>
      </c>
      <c r="I104" s="113" t="str">
        <f t="shared" si="119"/>
        <v>-</v>
      </c>
      <c r="J104" s="111" t="str">
        <f t="shared" si="119"/>
        <v>-</v>
      </c>
      <c r="K104" s="111" t="str">
        <f t="shared" si="119"/>
        <v>-</v>
      </c>
      <c r="L104" s="111" t="str">
        <f t="shared" si="119"/>
        <v>-</v>
      </c>
      <c r="M104" s="114" t="str">
        <f t="shared" si="119"/>
        <v>-</v>
      </c>
      <c r="N104" s="110" t="str">
        <f t="shared" si="119"/>
        <v>-</v>
      </c>
      <c r="O104" s="111" t="str">
        <f t="shared" si="119"/>
        <v>-</v>
      </c>
      <c r="P104" s="111" t="str">
        <f t="shared" si="119"/>
        <v>-</v>
      </c>
      <c r="Q104" s="111" t="str">
        <f t="shared" si="119"/>
        <v>-</v>
      </c>
      <c r="R104" s="111" t="str">
        <f t="shared" si="119"/>
        <v>-</v>
      </c>
      <c r="S104" s="111" t="str">
        <f t="shared" si="119"/>
        <v>-</v>
      </c>
      <c r="T104" s="111" t="str">
        <f t="shared" si="119"/>
        <v>-</v>
      </c>
      <c r="U104" s="111" t="str">
        <f t="shared" si="119"/>
        <v>-</v>
      </c>
      <c r="V104" s="111" t="str">
        <f t="shared" si="119"/>
        <v>-</v>
      </c>
      <c r="W104" s="111" t="str">
        <f t="shared" si="119"/>
        <v>-</v>
      </c>
      <c r="X104" s="111" t="str">
        <f t="shared" si="119"/>
        <v>-</v>
      </c>
      <c r="Y104" s="111" t="str">
        <f t="shared" si="119"/>
        <v>-</v>
      </c>
      <c r="Z104" s="111" t="str">
        <f t="shared" si="119"/>
        <v>-</v>
      </c>
      <c r="AA104" s="111" t="str">
        <f t="shared" si="119"/>
        <v>-</v>
      </c>
      <c r="AB104" s="111" t="str">
        <f t="shared" si="119"/>
        <v>-</v>
      </c>
      <c r="AC104" s="111" t="str">
        <f t="shared" si="119"/>
        <v>-</v>
      </c>
      <c r="AD104" s="111" t="str">
        <f t="shared" si="119"/>
        <v>-</v>
      </c>
      <c r="AE104" s="111" t="str">
        <f t="shared" si="119"/>
        <v>-</v>
      </c>
      <c r="AF104" s="111" t="str">
        <f t="shared" si="119"/>
        <v>-</v>
      </c>
      <c r="AG104" s="114" t="str">
        <f t="shared" si="119"/>
        <v>-</v>
      </c>
    </row>
    <row r="105" spans="3:33" s="82" customFormat="1" ht="15" hidden="1" customHeight="1" outlineLevel="1">
      <c r="C105" s="115" t="s">
        <v>83</v>
      </c>
      <c r="D105" s="84"/>
      <c r="E105" s="85"/>
      <c r="F105" s="85"/>
      <c r="G105" s="86"/>
      <c r="H105" s="85"/>
      <c r="I105" s="87"/>
      <c r="J105" s="85"/>
      <c r="K105" s="85"/>
      <c r="L105" s="85"/>
      <c r="M105" s="88"/>
      <c r="N105" s="84" t="str">
        <f t="shared" ref="N105:AG105" si="120">IF($D$2=FALSE,"-",IF(N188&lt;O188,1,0))</f>
        <v>-</v>
      </c>
      <c r="O105" s="85" t="str">
        <f t="shared" si="120"/>
        <v>-</v>
      </c>
      <c r="P105" s="85" t="str">
        <f t="shared" si="120"/>
        <v>-</v>
      </c>
      <c r="Q105" s="85" t="str">
        <f t="shared" si="120"/>
        <v>-</v>
      </c>
      <c r="R105" s="85" t="str">
        <f t="shared" si="120"/>
        <v>-</v>
      </c>
      <c r="S105" s="85" t="str">
        <f t="shared" si="120"/>
        <v>-</v>
      </c>
      <c r="T105" s="85" t="str">
        <f t="shared" si="120"/>
        <v>-</v>
      </c>
      <c r="U105" s="85" t="str">
        <f t="shared" si="120"/>
        <v>-</v>
      </c>
      <c r="V105" s="85" t="str">
        <f t="shared" si="120"/>
        <v>-</v>
      </c>
      <c r="W105" s="85" t="str">
        <f t="shared" si="120"/>
        <v>-</v>
      </c>
      <c r="X105" s="85" t="str">
        <f t="shared" si="120"/>
        <v>-</v>
      </c>
      <c r="Y105" s="85" t="str">
        <f t="shared" si="120"/>
        <v>-</v>
      </c>
      <c r="Z105" s="85" t="str">
        <f t="shared" si="120"/>
        <v>-</v>
      </c>
      <c r="AA105" s="85" t="str">
        <f t="shared" si="120"/>
        <v>-</v>
      </c>
      <c r="AB105" s="85" t="str">
        <f t="shared" si="120"/>
        <v>-</v>
      </c>
      <c r="AC105" s="85" t="str">
        <f t="shared" si="120"/>
        <v>-</v>
      </c>
      <c r="AD105" s="85" t="str">
        <f t="shared" si="120"/>
        <v>-</v>
      </c>
      <c r="AE105" s="85" t="str">
        <f t="shared" si="120"/>
        <v>-</v>
      </c>
      <c r="AF105" s="85" t="str">
        <f t="shared" si="120"/>
        <v>-</v>
      </c>
      <c r="AG105" s="88" t="str">
        <f t="shared" si="120"/>
        <v>-</v>
      </c>
    </row>
    <row r="106" spans="3:33" s="82" customFormat="1" ht="15" hidden="1" customHeight="1" outlineLevel="1">
      <c r="C106" s="115" t="s">
        <v>84</v>
      </c>
      <c r="D106" s="84"/>
      <c r="E106" s="85"/>
      <c r="F106" s="85"/>
      <c r="G106" s="86"/>
      <c r="H106" s="85"/>
      <c r="I106" s="87"/>
      <c r="J106" s="85"/>
      <c r="K106" s="85"/>
      <c r="L106" s="85"/>
      <c r="M106" s="88"/>
      <c r="N106" s="84" t="str">
        <f t="shared" ref="N106:AG106" si="121">IF($D$2=FALSE,"-",IF(N105=0,N186,N186-O186))</f>
        <v>-</v>
      </c>
      <c r="O106" s="85" t="str">
        <f t="shared" si="121"/>
        <v>-</v>
      </c>
      <c r="P106" s="85" t="str">
        <f t="shared" si="121"/>
        <v>-</v>
      </c>
      <c r="Q106" s="85" t="str">
        <f t="shared" si="121"/>
        <v>-</v>
      </c>
      <c r="R106" s="85" t="str">
        <f t="shared" si="121"/>
        <v>-</v>
      </c>
      <c r="S106" s="85" t="str">
        <f t="shared" si="121"/>
        <v>-</v>
      </c>
      <c r="T106" s="85" t="str">
        <f t="shared" si="121"/>
        <v>-</v>
      </c>
      <c r="U106" s="85" t="str">
        <f t="shared" si="121"/>
        <v>-</v>
      </c>
      <c r="V106" s="85" t="str">
        <f t="shared" si="121"/>
        <v>-</v>
      </c>
      <c r="W106" s="85" t="str">
        <f t="shared" si="121"/>
        <v>-</v>
      </c>
      <c r="X106" s="85" t="str">
        <f t="shared" si="121"/>
        <v>-</v>
      </c>
      <c r="Y106" s="85" t="str">
        <f t="shared" si="121"/>
        <v>-</v>
      </c>
      <c r="Z106" s="85" t="str">
        <f t="shared" si="121"/>
        <v>-</v>
      </c>
      <c r="AA106" s="85" t="str">
        <f t="shared" si="121"/>
        <v>-</v>
      </c>
      <c r="AB106" s="85" t="str">
        <f t="shared" si="121"/>
        <v>-</v>
      </c>
      <c r="AC106" s="85" t="str">
        <f t="shared" si="121"/>
        <v>-</v>
      </c>
      <c r="AD106" s="85" t="str">
        <f t="shared" si="121"/>
        <v>-</v>
      </c>
      <c r="AE106" s="85" t="str">
        <f t="shared" si="121"/>
        <v>-</v>
      </c>
      <c r="AF106" s="85" t="str">
        <f t="shared" si="121"/>
        <v>-</v>
      </c>
      <c r="AG106" s="88" t="str">
        <f t="shared" si="121"/>
        <v>-</v>
      </c>
    </row>
    <row r="107" spans="3:33" s="82" customFormat="1" ht="15" hidden="1" customHeight="1" outlineLevel="1">
      <c r="C107" s="115" t="s">
        <v>85</v>
      </c>
      <c r="D107" s="84"/>
      <c r="E107" s="85"/>
      <c r="F107" s="85"/>
      <c r="G107" s="86"/>
      <c r="H107" s="85"/>
      <c r="I107" s="87"/>
      <c r="J107" s="85"/>
      <c r="K107" s="85"/>
      <c r="L107" s="85"/>
      <c r="M107" s="88"/>
      <c r="N107" s="84" t="str">
        <f t="shared" ref="N107:AG107" si="122">IF($D$2=FALSE,"-",IF(N105=0,N188,N188-O188))</f>
        <v>-</v>
      </c>
      <c r="O107" s="85" t="str">
        <f t="shared" si="122"/>
        <v>-</v>
      </c>
      <c r="P107" s="85" t="str">
        <f t="shared" si="122"/>
        <v>-</v>
      </c>
      <c r="Q107" s="85" t="str">
        <f t="shared" si="122"/>
        <v>-</v>
      </c>
      <c r="R107" s="85" t="str">
        <f t="shared" si="122"/>
        <v>-</v>
      </c>
      <c r="S107" s="85" t="str">
        <f t="shared" si="122"/>
        <v>-</v>
      </c>
      <c r="T107" s="85" t="str">
        <f t="shared" si="122"/>
        <v>-</v>
      </c>
      <c r="U107" s="85" t="str">
        <f t="shared" si="122"/>
        <v>-</v>
      </c>
      <c r="V107" s="85" t="str">
        <f t="shared" si="122"/>
        <v>-</v>
      </c>
      <c r="W107" s="85" t="str">
        <f t="shared" si="122"/>
        <v>-</v>
      </c>
      <c r="X107" s="85" t="str">
        <f t="shared" si="122"/>
        <v>-</v>
      </c>
      <c r="Y107" s="85" t="str">
        <f t="shared" si="122"/>
        <v>-</v>
      </c>
      <c r="Z107" s="85" t="str">
        <f t="shared" si="122"/>
        <v>-</v>
      </c>
      <c r="AA107" s="85" t="str">
        <f t="shared" si="122"/>
        <v>-</v>
      </c>
      <c r="AB107" s="116" t="str">
        <f t="shared" si="122"/>
        <v>-</v>
      </c>
      <c r="AC107" s="85" t="str">
        <f t="shared" si="122"/>
        <v>-</v>
      </c>
      <c r="AD107" s="85" t="str">
        <f t="shared" si="122"/>
        <v>-</v>
      </c>
      <c r="AE107" s="85" t="str">
        <f t="shared" si="122"/>
        <v>-</v>
      </c>
      <c r="AF107" s="85" t="str">
        <f t="shared" si="122"/>
        <v>-</v>
      </c>
      <c r="AG107" s="88" t="str">
        <f t="shared" si="122"/>
        <v>-</v>
      </c>
    </row>
    <row r="108" spans="3:33" s="82" customFormat="1" ht="15" hidden="1" customHeight="1" outlineLevel="1">
      <c r="C108" s="115" t="s">
        <v>86</v>
      </c>
      <c r="D108" s="84" t="str">
        <f t="shared" ref="D108:M108" si="123">IF($D$2=FALSE,"-",+D186)</f>
        <v>-</v>
      </c>
      <c r="E108" s="85" t="str">
        <f t="shared" si="123"/>
        <v>-</v>
      </c>
      <c r="F108" s="117" t="str">
        <f t="shared" si="123"/>
        <v>-</v>
      </c>
      <c r="G108" s="86" t="str">
        <f t="shared" si="123"/>
        <v>-</v>
      </c>
      <c r="H108" s="85" t="str">
        <f t="shared" si="123"/>
        <v>-</v>
      </c>
      <c r="I108" s="87" t="str">
        <f t="shared" si="123"/>
        <v>-</v>
      </c>
      <c r="J108" s="85" t="str">
        <f t="shared" si="123"/>
        <v>-</v>
      </c>
      <c r="K108" s="85" t="str">
        <f t="shared" si="123"/>
        <v>-</v>
      </c>
      <c r="L108" s="85" t="str">
        <f t="shared" si="123"/>
        <v>-</v>
      </c>
      <c r="M108" s="88" t="str">
        <f t="shared" si="123"/>
        <v>-</v>
      </c>
      <c r="N108" s="84" t="str">
        <f t="shared" ref="N108:AD108" si="124">IF($D$2=FALSE,"-",SUM(N106:Q106))</f>
        <v>-</v>
      </c>
      <c r="O108" s="85" t="str">
        <f t="shared" si="124"/>
        <v>-</v>
      </c>
      <c r="P108" s="85" t="str">
        <f t="shared" si="124"/>
        <v>-</v>
      </c>
      <c r="Q108" s="85" t="str">
        <f t="shared" si="124"/>
        <v>-</v>
      </c>
      <c r="R108" s="85" t="str">
        <f t="shared" si="124"/>
        <v>-</v>
      </c>
      <c r="S108" s="85" t="str">
        <f t="shared" si="124"/>
        <v>-</v>
      </c>
      <c r="T108" s="85" t="str">
        <f t="shared" si="124"/>
        <v>-</v>
      </c>
      <c r="U108" s="85" t="str">
        <f t="shared" si="124"/>
        <v>-</v>
      </c>
      <c r="V108" s="85" t="str">
        <f t="shared" si="124"/>
        <v>-</v>
      </c>
      <c r="W108" s="85" t="str">
        <f t="shared" si="124"/>
        <v>-</v>
      </c>
      <c r="X108" s="85" t="str">
        <f t="shared" si="124"/>
        <v>-</v>
      </c>
      <c r="Y108" s="85" t="str">
        <f t="shared" si="124"/>
        <v>-</v>
      </c>
      <c r="Z108" s="85" t="str">
        <f t="shared" si="124"/>
        <v>-</v>
      </c>
      <c r="AA108" s="85" t="str">
        <f t="shared" si="124"/>
        <v>-</v>
      </c>
      <c r="AB108" s="85" t="str">
        <f t="shared" si="124"/>
        <v>-</v>
      </c>
      <c r="AC108" s="85" t="str">
        <f t="shared" si="124"/>
        <v>-</v>
      </c>
      <c r="AD108" s="85" t="str">
        <f t="shared" si="124"/>
        <v>-</v>
      </c>
      <c r="AE108" s="85"/>
      <c r="AF108" s="85"/>
      <c r="AG108" s="88"/>
    </row>
    <row r="109" spans="3:33" s="82" customFormat="1" ht="15" hidden="1" customHeight="1" outlineLevel="1">
      <c r="C109" s="115" t="s">
        <v>87</v>
      </c>
      <c r="D109" s="84"/>
      <c r="E109" s="85"/>
      <c r="F109" s="85"/>
      <c r="G109" s="86"/>
      <c r="H109" s="85"/>
      <c r="I109" s="87"/>
      <c r="J109" s="85"/>
      <c r="K109" s="85"/>
      <c r="L109" s="85"/>
      <c r="M109" s="88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8"/>
    </row>
    <row r="110" spans="3:33" s="82" customFormat="1" ht="15" hidden="1" customHeight="1" outlineLevel="1">
      <c r="C110" s="115" t="s">
        <v>88</v>
      </c>
      <c r="D110" s="84" t="str">
        <f t="shared" ref="D110:M110" si="125">IF($D$2=FALSE,"-",+D188)</f>
        <v>-</v>
      </c>
      <c r="E110" s="85" t="str">
        <f t="shared" si="125"/>
        <v>-</v>
      </c>
      <c r="F110" s="85" t="str">
        <f t="shared" si="125"/>
        <v>-</v>
      </c>
      <c r="G110" s="86" t="str">
        <f t="shared" si="125"/>
        <v>-</v>
      </c>
      <c r="H110" s="85" t="str">
        <f t="shared" si="125"/>
        <v>-</v>
      </c>
      <c r="I110" s="87" t="str">
        <f t="shared" si="125"/>
        <v>-</v>
      </c>
      <c r="J110" s="85" t="str">
        <f t="shared" si="125"/>
        <v>-</v>
      </c>
      <c r="K110" s="85" t="str">
        <f t="shared" si="125"/>
        <v>-</v>
      </c>
      <c r="L110" s="85" t="str">
        <f t="shared" si="125"/>
        <v>-</v>
      </c>
      <c r="M110" s="88" t="str">
        <f t="shared" si="125"/>
        <v>-</v>
      </c>
      <c r="N110" s="84" t="str">
        <f t="shared" ref="N110:AD110" si="126">IF($D$2=FALSE,"-",SUM(N107:Q107))</f>
        <v>-</v>
      </c>
      <c r="O110" s="85" t="str">
        <f t="shared" si="126"/>
        <v>-</v>
      </c>
      <c r="P110" s="85" t="str">
        <f t="shared" si="126"/>
        <v>-</v>
      </c>
      <c r="Q110" s="85" t="str">
        <f t="shared" si="126"/>
        <v>-</v>
      </c>
      <c r="R110" s="85" t="str">
        <f t="shared" si="126"/>
        <v>-</v>
      </c>
      <c r="S110" s="85" t="str">
        <f t="shared" si="126"/>
        <v>-</v>
      </c>
      <c r="T110" s="85" t="str">
        <f t="shared" si="126"/>
        <v>-</v>
      </c>
      <c r="U110" s="85" t="str">
        <f t="shared" si="126"/>
        <v>-</v>
      </c>
      <c r="V110" s="85" t="str">
        <f t="shared" si="126"/>
        <v>-</v>
      </c>
      <c r="W110" s="85" t="str">
        <f t="shared" si="126"/>
        <v>-</v>
      </c>
      <c r="X110" s="85" t="str">
        <f t="shared" si="126"/>
        <v>-</v>
      </c>
      <c r="Y110" s="85" t="str">
        <f t="shared" si="126"/>
        <v>-</v>
      </c>
      <c r="Z110" s="85" t="str">
        <f t="shared" si="126"/>
        <v>-</v>
      </c>
      <c r="AA110" s="85" t="str">
        <f t="shared" si="126"/>
        <v>-</v>
      </c>
      <c r="AB110" s="85" t="str">
        <f t="shared" si="126"/>
        <v>-</v>
      </c>
      <c r="AC110" s="85" t="str">
        <f t="shared" si="126"/>
        <v>-</v>
      </c>
      <c r="AD110" s="85" t="str">
        <f t="shared" si="126"/>
        <v>-</v>
      </c>
      <c r="AE110" s="85"/>
      <c r="AF110" s="85"/>
      <c r="AG110" s="88"/>
    </row>
    <row r="111" spans="3:33" s="118" customFormat="1" ht="15" hidden="1" customHeight="1" outlineLevel="1">
      <c r="C111" s="119" t="s">
        <v>89</v>
      </c>
      <c r="D111" s="120" t="str">
        <f t="shared" ref="D111:AG111" si="127">IF($D$2=FALSE,"-",IF(D114-D115=0,0,(D112-D113)/(D114-D115)))</f>
        <v>-</v>
      </c>
      <c r="E111" s="121" t="str">
        <f t="shared" si="127"/>
        <v>-</v>
      </c>
      <c r="F111" s="121" t="str">
        <f t="shared" si="127"/>
        <v>-</v>
      </c>
      <c r="G111" s="122" t="str">
        <f t="shared" si="127"/>
        <v>-</v>
      </c>
      <c r="H111" s="121" t="str">
        <f t="shared" si="127"/>
        <v>-</v>
      </c>
      <c r="I111" s="123" t="str">
        <f t="shared" si="127"/>
        <v>-</v>
      </c>
      <c r="J111" s="121" t="str">
        <f t="shared" si="127"/>
        <v>-</v>
      </c>
      <c r="K111" s="121" t="str">
        <f t="shared" si="127"/>
        <v>-</v>
      </c>
      <c r="L111" s="121" t="str">
        <f t="shared" si="127"/>
        <v>-</v>
      </c>
      <c r="M111" s="124" t="str">
        <f t="shared" si="127"/>
        <v>-</v>
      </c>
      <c r="N111" s="120" t="str">
        <f t="shared" si="127"/>
        <v>-</v>
      </c>
      <c r="O111" s="121" t="str">
        <f t="shared" si="127"/>
        <v>-</v>
      </c>
      <c r="P111" s="121" t="str">
        <f t="shared" si="127"/>
        <v>-</v>
      </c>
      <c r="Q111" s="121" t="str">
        <f t="shared" si="127"/>
        <v>-</v>
      </c>
      <c r="R111" s="121" t="str">
        <f t="shared" si="127"/>
        <v>-</v>
      </c>
      <c r="S111" s="121" t="str">
        <f t="shared" si="127"/>
        <v>-</v>
      </c>
      <c r="T111" s="121" t="str">
        <f t="shared" si="127"/>
        <v>-</v>
      </c>
      <c r="U111" s="121" t="str">
        <f t="shared" si="127"/>
        <v>-</v>
      </c>
      <c r="V111" s="121" t="str">
        <f t="shared" si="127"/>
        <v>-</v>
      </c>
      <c r="W111" s="121" t="str">
        <f t="shared" si="127"/>
        <v>-</v>
      </c>
      <c r="X111" s="121" t="str">
        <f t="shared" si="127"/>
        <v>-</v>
      </c>
      <c r="Y111" s="121" t="str">
        <f t="shared" si="127"/>
        <v>-</v>
      </c>
      <c r="Z111" s="121" t="str">
        <f t="shared" si="127"/>
        <v>-</v>
      </c>
      <c r="AA111" s="121" t="str">
        <f t="shared" si="127"/>
        <v>-</v>
      </c>
      <c r="AB111" s="121" t="str">
        <f t="shared" si="127"/>
        <v>-</v>
      </c>
      <c r="AC111" s="121" t="str">
        <f t="shared" si="127"/>
        <v>-</v>
      </c>
      <c r="AD111" s="121" t="str">
        <f t="shared" si="127"/>
        <v>-</v>
      </c>
      <c r="AE111" s="121" t="str">
        <f t="shared" si="127"/>
        <v>-</v>
      </c>
      <c r="AF111" s="121" t="str">
        <f t="shared" si="127"/>
        <v>-</v>
      </c>
      <c r="AG111" s="124" t="str">
        <f t="shared" si="127"/>
        <v>-</v>
      </c>
    </row>
    <row r="112" spans="3:33" s="82" customFormat="1" ht="15" hidden="1" customHeight="1" outlineLevel="1">
      <c r="C112" s="115" t="s">
        <v>90</v>
      </c>
      <c r="D112" s="84" t="str">
        <f t="shared" ref="D112:AG112" si="128">IF($D$2=FALSE,"-",+D138)</f>
        <v>-</v>
      </c>
      <c r="E112" s="85" t="str">
        <f t="shared" si="128"/>
        <v>-</v>
      </c>
      <c r="F112" s="85" t="str">
        <f t="shared" si="128"/>
        <v>-</v>
      </c>
      <c r="G112" s="86" t="str">
        <f t="shared" si="128"/>
        <v>-</v>
      </c>
      <c r="H112" s="85" t="str">
        <f t="shared" si="128"/>
        <v>-</v>
      </c>
      <c r="I112" s="87" t="str">
        <f t="shared" si="128"/>
        <v>-</v>
      </c>
      <c r="J112" s="85" t="str">
        <f t="shared" si="128"/>
        <v>-</v>
      </c>
      <c r="K112" s="85" t="str">
        <f t="shared" si="128"/>
        <v>-</v>
      </c>
      <c r="L112" s="85" t="str">
        <f t="shared" si="128"/>
        <v>-</v>
      </c>
      <c r="M112" s="88" t="str">
        <f t="shared" si="128"/>
        <v>-</v>
      </c>
      <c r="N112" s="84" t="str">
        <f t="shared" si="128"/>
        <v>-</v>
      </c>
      <c r="O112" s="85" t="str">
        <f t="shared" si="128"/>
        <v>-</v>
      </c>
      <c r="P112" s="85" t="str">
        <f t="shared" si="128"/>
        <v>-</v>
      </c>
      <c r="Q112" s="85" t="str">
        <f t="shared" si="128"/>
        <v>-</v>
      </c>
      <c r="R112" s="85" t="str">
        <f t="shared" si="128"/>
        <v>-</v>
      </c>
      <c r="S112" s="85" t="str">
        <f t="shared" si="128"/>
        <v>-</v>
      </c>
      <c r="T112" s="85" t="str">
        <f t="shared" si="128"/>
        <v>-</v>
      </c>
      <c r="U112" s="85" t="str">
        <f t="shared" si="128"/>
        <v>-</v>
      </c>
      <c r="V112" s="85" t="str">
        <f t="shared" si="128"/>
        <v>-</v>
      </c>
      <c r="W112" s="85" t="str">
        <f t="shared" si="128"/>
        <v>-</v>
      </c>
      <c r="X112" s="85" t="str">
        <f t="shared" si="128"/>
        <v>-</v>
      </c>
      <c r="Y112" s="85" t="str">
        <f t="shared" si="128"/>
        <v>-</v>
      </c>
      <c r="Z112" s="85" t="str">
        <f t="shared" si="128"/>
        <v>-</v>
      </c>
      <c r="AA112" s="85" t="str">
        <f t="shared" si="128"/>
        <v>-</v>
      </c>
      <c r="AB112" s="85" t="str">
        <f t="shared" si="128"/>
        <v>-</v>
      </c>
      <c r="AC112" s="85" t="str">
        <f t="shared" si="128"/>
        <v>-</v>
      </c>
      <c r="AD112" s="85" t="str">
        <f t="shared" si="128"/>
        <v>-</v>
      </c>
      <c r="AE112" s="85" t="str">
        <f t="shared" si="128"/>
        <v>-</v>
      </c>
      <c r="AF112" s="85" t="str">
        <f t="shared" si="128"/>
        <v>-</v>
      </c>
      <c r="AG112" s="88" t="str">
        <f t="shared" si="128"/>
        <v>-</v>
      </c>
    </row>
    <row r="113" spans="3:33" s="82" customFormat="1" ht="15" hidden="1" customHeight="1" outlineLevel="1">
      <c r="C113" s="115" t="s">
        <v>91</v>
      </c>
      <c r="D113" s="84" t="str">
        <f t="shared" ref="D113:AG113" si="129">IF($D$2=FALSE,"-",+D131+D132)</f>
        <v>-</v>
      </c>
      <c r="E113" s="85" t="str">
        <f t="shared" si="129"/>
        <v>-</v>
      </c>
      <c r="F113" s="85" t="str">
        <f t="shared" si="129"/>
        <v>-</v>
      </c>
      <c r="G113" s="86" t="str">
        <f t="shared" si="129"/>
        <v>-</v>
      </c>
      <c r="H113" s="85" t="str">
        <f t="shared" si="129"/>
        <v>-</v>
      </c>
      <c r="I113" s="87" t="str">
        <f t="shared" si="129"/>
        <v>-</v>
      </c>
      <c r="J113" s="85" t="str">
        <f t="shared" si="129"/>
        <v>-</v>
      </c>
      <c r="K113" s="85" t="str">
        <f t="shared" si="129"/>
        <v>-</v>
      </c>
      <c r="L113" s="85" t="str">
        <f t="shared" si="129"/>
        <v>-</v>
      </c>
      <c r="M113" s="88" t="str">
        <f t="shared" si="129"/>
        <v>-</v>
      </c>
      <c r="N113" s="84" t="str">
        <f t="shared" si="129"/>
        <v>-</v>
      </c>
      <c r="O113" s="85" t="str">
        <f t="shared" si="129"/>
        <v>-</v>
      </c>
      <c r="P113" s="85" t="str">
        <f t="shared" si="129"/>
        <v>-</v>
      </c>
      <c r="Q113" s="85" t="str">
        <f t="shared" si="129"/>
        <v>-</v>
      </c>
      <c r="R113" s="85" t="str">
        <f t="shared" si="129"/>
        <v>-</v>
      </c>
      <c r="S113" s="85" t="str">
        <f t="shared" si="129"/>
        <v>-</v>
      </c>
      <c r="T113" s="85" t="str">
        <f t="shared" si="129"/>
        <v>-</v>
      </c>
      <c r="U113" s="85" t="str">
        <f t="shared" si="129"/>
        <v>-</v>
      </c>
      <c r="V113" s="85" t="str">
        <f t="shared" si="129"/>
        <v>-</v>
      </c>
      <c r="W113" s="85" t="str">
        <f t="shared" si="129"/>
        <v>-</v>
      </c>
      <c r="X113" s="85" t="str">
        <f t="shared" si="129"/>
        <v>-</v>
      </c>
      <c r="Y113" s="85" t="str">
        <f t="shared" si="129"/>
        <v>-</v>
      </c>
      <c r="Z113" s="85" t="str">
        <f t="shared" si="129"/>
        <v>-</v>
      </c>
      <c r="AA113" s="85" t="str">
        <f t="shared" si="129"/>
        <v>-</v>
      </c>
      <c r="AB113" s="85" t="str">
        <f t="shared" si="129"/>
        <v>-</v>
      </c>
      <c r="AC113" s="85" t="str">
        <f t="shared" si="129"/>
        <v>-</v>
      </c>
      <c r="AD113" s="85" t="str">
        <f t="shared" si="129"/>
        <v>-</v>
      </c>
      <c r="AE113" s="85" t="str">
        <f t="shared" si="129"/>
        <v>-</v>
      </c>
      <c r="AF113" s="85" t="str">
        <f t="shared" si="129"/>
        <v>-</v>
      </c>
      <c r="AG113" s="88" t="str">
        <f t="shared" si="129"/>
        <v>-</v>
      </c>
    </row>
    <row r="114" spans="3:33" s="82" customFormat="1" ht="15" hidden="1" customHeight="1" outlineLevel="1">
      <c r="C114" s="115" t="s">
        <v>92</v>
      </c>
      <c r="D114" s="84" t="str">
        <f t="shared" ref="D114:AG114" si="130">IF($D$2=FALSE,"-",+D149)</f>
        <v>-</v>
      </c>
      <c r="E114" s="85" t="str">
        <f t="shared" si="130"/>
        <v>-</v>
      </c>
      <c r="F114" s="85" t="str">
        <f t="shared" si="130"/>
        <v>-</v>
      </c>
      <c r="G114" s="86" t="str">
        <f t="shared" si="130"/>
        <v>-</v>
      </c>
      <c r="H114" s="85" t="str">
        <f t="shared" si="130"/>
        <v>-</v>
      </c>
      <c r="I114" s="87" t="str">
        <f t="shared" si="130"/>
        <v>-</v>
      </c>
      <c r="J114" s="85" t="str">
        <f t="shared" si="130"/>
        <v>-</v>
      </c>
      <c r="K114" s="85" t="str">
        <f t="shared" si="130"/>
        <v>-</v>
      </c>
      <c r="L114" s="85" t="str">
        <f t="shared" si="130"/>
        <v>-</v>
      </c>
      <c r="M114" s="88" t="str">
        <f t="shared" si="130"/>
        <v>-</v>
      </c>
      <c r="N114" s="84" t="str">
        <f t="shared" si="130"/>
        <v>-</v>
      </c>
      <c r="O114" s="85" t="str">
        <f t="shared" si="130"/>
        <v>-</v>
      </c>
      <c r="P114" s="85" t="str">
        <f t="shared" si="130"/>
        <v>-</v>
      </c>
      <c r="Q114" s="85" t="str">
        <f t="shared" si="130"/>
        <v>-</v>
      </c>
      <c r="R114" s="85" t="str">
        <f t="shared" si="130"/>
        <v>-</v>
      </c>
      <c r="S114" s="85" t="str">
        <f t="shared" si="130"/>
        <v>-</v>
      </c>
      <c r="T114" s="85" t="str">
        <f t="shared" si="130"/>
        <v>-</v>
      </c>
      <c r="U114" s="85" t="str">
        <f t="shared" si="130"/>
        <v>-</v>
      </c>
      <c r="V114" s="85" t="str">
        <f t="shared" si="130"/>
        <v>-</v>
      </c>
      <c r="W114" s="85" t="str">
        <f t="shared" si="130"/>
        <v>-</v>
      </c>
      <c r="X114" s="85" t="str">
        <f t="shared" si="130"/>
        <v>-</v>
      </c>
      <c r="Y114" s="85" t="str">
        <f t="shared" si="130"/>
        <v>-</v>
      </c>
      <c r="Z114" s="85" t="str">
        <f t="shared" si="130"/>
        <v>-</v>
      </c>
      <c r="AA114" s="85" t="str">
        <f t="shared" si="130"/>
        <v>-</v>
      </c>
      <c r="AB114" s="85" t="str">
        <f t="shared" si="130"/>
        <v>-</v>
      </c>
      <c r="AC114" s="85" t="str">
        <f t="shared" si="130"/>
        <v>-</v>
      </c>
      <c r="AD114" s="85" t="str">
        <f t="shared" si="130"/>
        <v>-</v>
      </c>
      <c r="AE114" s="85" t="str">
        <f t="shared" si="130"/>
        <v>-</v>
      </c>
      <c r="AF114" s="85" t="str">
        <f t="shared" si="130"/>
        <v>-</v>
      </c>
      <c r="AG114" s="88" t="str">
        <f t="shared" si="130"/>
        <v>-</v>
      </c>
    </row>
    <row r="115" spans="3:33" s="82" customFormat="1" ht="15" hidden="1" customHeight="1" outlineLevel="1">
      <c r="C115" s="115" t="s">
        <v>93</v>
      </c>
      <c r="D115" s="84" t="str">
        <f t="shared" ref="D115:AG115" si="131">IF($D$2=FALSE,"-",+D147)</f>
        <v>-</v>
      </c>
      <c r="E115" s="85" t="str">
        <f t="shared" si="131"/>
        <v>-</v>
      </c>
      <c r="F115" s="85" t="str">
        <f t="shared" si="131"/>
        <v>-</v>
      </c>
      <c r="G115" s="86" t="str">
        <f t="shared" si="131"/>
        <v>-</v>
      </c>
      <c r="H115" s="85" t="str">
        <f t="shared" si="131"/>
        <v>-</v>
      </c>
      <c r="I115" s="87" t="str">
        <f t="shared" si="131"/>
        <v>-</v>
      </c>
      <c r="J115" s="85" t="str">
        <f t="shared" si="131"/>
        <v>-</v>
      </c>
      <c r="K115" s="85" t="str">
        <f t="shared" si="131"/>
        <v>-</v>
      </c>
      <c r="L115" s="85" t="str">
        <f t="shared" si="131"/>
        <v>-</v>
      </c>
      <c r="M115" s="88" t="str">
        <f t="shared" si="131"/>
        <v>-</v>
      </c>
      <c r="N115" s="84" t="str">
        <f t="shared" si="131"/>
        <v>-</v>
      </c>
      <c r="O115" s="85" t="str">
        <f t="shared" si="131"/>
        <v>-</v>
      </c>
      <c r="P115" s="85" t="str">
        <f t="shared" si="131"/>
        <v>-</v>
      </c>
      <c r="Q115" s="85" t="str">
        <f t="shared" si="131"/>
        <v>-</v>
      </c>
      <c r="R115" s="85" t="str">
        <f t="shared" si="131"/>
        <v>-</v>
      </c>
      <c r="S115" s="85" t="str">
        <f t="shared" si="131"/>
        <v>-</v>
      </c>
      <c r="T115" s="85" t="str">
        <f t="shared" si="131"/>
        <v>-</v>
      </c>
      <c r="U115" s="85" t="str">
        <f t="shared" si="131"/>
        <v>-</v>
      </c>
      <c r="V115" s="85" t="str">
        <f t="shared" si="131"/>
        <v>-</v>
      </c>
      <c r="W115" s="85" t="str">
        <f t="shared" si="131"/>
        <v>-</v>
      </c>
      <c r="X115" s="85" t="str">
        <f t="shared" si="131"/>
        <v>-</v>
      </c>
      <c r="Y115" s="85" t="str">
        <f t="shared" si="131"/>
        <v>-</v>
      </c>
      <c r="Z115" s="85" t="str">
        <f t="shared" si="131"/>
        <v>-</v>
      </c>
      <c r="AA115" s="85" t="str">
        <f t="shared" si="131"/>
        <v>-</v>
      </c>
      <c r="AB115" s="85" t="str">
        <f t="shared" si="131"/>
        <v>-</v>
      </c>
      <c r="AC115" s="85" t="str">
        <f t="shared" si="131"/>
        <v>-</v>
      </c>
      <c r="AD115" s="85" t="str">
        <f t="shared" si="131"/>
        <v>-</v>
      </c>
      <c r="AE115" s="85" t="str">
        <f t="shared" si="131"/>
        <v>-</v>
      </c>
      <c r="AF115" s="85" t="str">
        <f t="shared" si="131"/>
        <v>-</v>
      </c>
      <c r="AG115" s="88" t="str">
        <f t="shared" si="131"/>
        <v>-</v>
      </c>
    </row>
    <row r="116" spans="3:33" s="118" customFormat="1" ht="15" hidden="1" customHeight="1" outlineLevel="1">
      <c r="C116" s="119" t="s">
        <v>94</v>
      </c>
      <c r="D116" s="120" t="str">
        <f t="shared" ref="D116:AD116" si="132">IF($D$2=FALSE,"-",IF(D118=0,0,+D117/D118))</f>
        <v>-</v>
      </c>
      <c r="E116" s="121" t="str">
        <f t="shared" si="132"/>
        <v>-</v>
      </c>
      <c r="F116" s="121" t="str">
        <f t="shared" si="132"/>
        <v>-</v>
      </c>
      <c r="G116" s="122" t="str">
        <f t="shared" si="132"/>
        <v>-</v>
      </c>
      <c r="H116" s="121" t="str">
        <f t="shared" si="132"/>
        <v>-</v>
      </c>
      <c r="I116" s="123" t="str">
        <f t="shared" si="132"/>
        <v>-</v>
      </c>
      <c r="J116" s="121" t="str">
        <f t="shared" si="132"/>
        <v>-</v>
      </c>
      <c r="K116" s="121" t="str">
        <f t="shared" si="132"/>
        <v>-</v>
      </c>
      <c r="L116" s="121" t="str">
        <f t="shared" si="132"/>
        <v>-</v>
      </c>
      <c r="M116" s="124" t="str">
        <f t="shared" si="132"/>
        <v>-</v>
      </c>
      <c r="N116" s="120" t="str">
        <f t="shared" si="132"/>
        <v>-</v>
      </c>
      <c r="O116" s="121" t="str">
        <f t="shared" si="132"/>
        <v>-</v>
      </c>
      <c r="P116" s="121" t="str">
        <f t="shared" si="132"/>
        <v>-</v>
      </c>
      <c r="Q116" s="121" t="str">
        <f t="shared" si="132"/>
        <v>-</v>
      </c>
      <c r="R116" s="121" t="str">
        <f t="shared" si="132"/>
        <v>-</v>
      </c>
      <c r="S116" s="121" t="str">
        <f t="shared" si="132"/>
        <v>-</v>
      </c>
      <c r="T116" s="121" t="str">
        <f t="shared" si="132"/>
        <v>-</v>
      </c>
      <c r="U116" s="121" t="str">
        <f t="shared" si="132"/>
        <v>-</v>
      </c>
      <c r="V116" s="121" t="str">
        <f t="shared" si="132"/>
        <v>-</v>
      </c>
      <c r="W116" s="121" t="str">
        <f t="shared" si="132"/>
        <v>-</v>
      </c>
      <c r="X116" s="121" t="str">
        <f t="shared" si="132"/>
        <v>-</v>
      </c>
      <c r="Y116" s="121" t="str">
        <f t="shared" si="132"/>
        <v>-</v>
      </c>
      <c r="Z116" s="121" t="str">
        <f t="shared" si="132"/>
        <v>-</v>
      </c>
      <c r="AA116" s="121" t="str">
        <f t="shared" si="132"/>
        <v>-</v>
      </c>
      <c r="AB116" s="121" t="str">
        <f t="shared" si="132"/>
        <v>-</v>
      </c>
      <c r="AC116" s="121" t="str">
        <f t="shared" si="132"/>
        <v>-</v>
      </c>
      <c r="AD116" s="121" t="str">
        <f t="shared" si="132"/>
        <v>-</v>
      </c>
      <c r="AE116" s="121"/>
      <c r="AF116" s="121"/>
      <c r="AG116" s="124"/>
    </row>
    <row r="117" spans="3:33" s="82" customFormat="1" ht="15" hidden="1" customHeight="1" outlineLevel="1">
      <c r="C117" s="115" t="s">
        <v>82</v>
      </c>
      <c r="D117" s="84" t="str">
        <f t="shared" ref="D117:M117" si="133">IF($D$2=FALSE,"-",+D104)</f>
        <v>-</v>
      </c>
      <c r="E117" s="85" t="str">
        <f t="shared" si="133"/>
        <v>-</v>
      </c>
      <c r="F117" s="85" t="str">
        <f t="shared" si="133"/>
        <v>-</v>
      </c>
      <c r="G117" s="86" t="str">
        <f t="shared" si="133"/>
        <v>-</v>
      </c>
      <c r="H117" s="85" t="str">
        <f t="shared" si="133"/>
        <v>-</v>
      </c>
      <c r="I117" s="87" t="str">
        <f t="shared" si="133"/>
        <v>-</v>
      </c>
      <c r="J117" s="85" t="str">
        <f t="shared" si="133"/>
        <v>-</v>
      </c>
      <c r="K117" s="85" t="str">
        <f t="shared" si="133"/>
        <v>-</v>
      </c>
      <c r="L117" s="85" t="str">
        <f t="shared" si="133"/>
        <v>-</v>
      </c>
      <c r="M117" s="88" t="str">
        <f t="shared" si="133"/>
        <v>-</v>
      </c>
      <c r="N117" s="84" t="str">
        <f>IF($D$2=FALSE,"-",IF(Q104=0,0,N104+O104+P104+Q104))</f>
        <v>-</v>
      </c>
      <c r="O117" s="85" t="str">
        <f t="shared" ref="O117:AD117" si="134">IF($D$2=FALSE,"-",+O104)</f>
        <v>-</v>
      </c>
      <c r="P117" s="85" t="str">
        <f t="shared" si="134"/>
        <v>-</v>
      </c>
      <c r="Q117" s="85" t="str">
        <f t="shared" si="134"/>
        <v>-</v>
      </c>
      <c r="R117" s="85" t="str">
        <f t="shared" si="134"/>
        <v>-</v>
      </c>
      <c r="S117" s="85" t="str">
        <f t="shared" si="134"/>
        <v>-</v>
      </c>
      <c r="T117" s="85" t="str">
        <f t="shared" si="134"/>
        <v>-</v>
      </c>
      <c r="U117" s="85" t="str">
        <f t="shared" si="134"/>
        <v>-</v>
      </c>
      <c r="V117" s="85" t="str">
        <f t="shared" si="134"/>
        <v>-</v>
      </c>
      <c r="W117" s="85" t="str">
        <f t="shared" si="134"/>
        <v>-</v>
      </c>
      <c r="X117" s="85" t="str">
        <f t="shared" si="134"/>
        <v>-</v>
      </c>
      <c r="Y117" s="85" t="str">
        <f t="shared" si="134"/>
        <v>-</v>
      </c>
      <c r="Z117" s="85" t="str">
        <f t="shared" si="134"/>
        <v>-</v>
      </c>
      <c r="AA117" s="85" t="str">
        <f t="shared" si="134"/>
        <v>-</v>
      </c>
      <c r="AB117" s="85" t="str">
        <f t="shared" si="134"/>
        <v>-</v>
      </c>
      <c r="AC117" s="85" t="str">
        <f t="shared" si="134"/>
        <v>-</v>
      </c>
      <c r="AD117" s="85" t="str">
        <f t="shared" si="134"/>
        <v>-</v>
      </c>
      <c r="AE117" s="85"/>
      <c r="AF117" s="85"/>
      <c r="AG117" s="88"/>
    </row>
    <row r="118" spans="3:33" s="82" customFormat="1" ht="15" hidden="1" customHeight="1" outlineLevel="1">
      <c r="C118" s="115" t="s">
        <v>95</v>
      </c>
      <c r="D118" s="84" t="str">
        <f t="shared" ref="D118:M118" si="135">IF($D$2=FALSE,"-",+D160)</f>
        <v>-</v>
      </c>
      <c r="E118" s="85" t="str">
        <f t="shared" si="135"/>
        <v>-</v>
      </c>
      <c r="F118" s="85" t="str">
        <f t="shared" si="135"/>
        <v>-</v>
      </c>
      <c r="G118" s="86" t="str">
        <f t="shared" si="135"/>
        <v>-</v>
      </c>
      <c r="H118" s="85" t="str">
        <f t="shared" si="135"/>
        <v>-</v>
      </c>
      <c r="I118" s="87" t="str">
        <f t="shared" si="135"/>
        <v>-</v>
      </c>
      <c r="J118" s="85" t="str">
        <f t="shared" si="135"/>
        <v>-</v>
      </c>
      <c r="K118" s="85" t="str">
        <f t="shared" si="135"/>
        <v>-</v>
      </c>
      <c r="L118" s="85" t="str">
        <f t="shared" si="135"/>
        <v>-</v>
      </c>
      <c r="M118" s="88" t="str">
        <f t="shared" si="135"/>
        <v>-</v>
      </c>
      <c r="N118" s="84" t="str">
        <f t="shared" ref="N118:AD118" si="136">IF($D$2=FALSE,"-",IF(Q160=0,0,N160+O160+P160+Q160))</f>
        <v>-</v>
      </c>
      <c r="O118" s="85" t="str">
        <f t="shared" si="136"/>
        <v>-</v>
      </c>
      <c r="P118" s="85" t="str">
        <f t="shared" si="136"/>
        <v>-</v>
      </c>
      <c r="Q118" s="85" t="str">
        <f t="shared" si="136"/>
        <v>-</v>
      </c>
      <c r="R118" s="85" t="str">
        <f t="shared" si="136"/>
        <v>-</v>
      </c>
      <c r="S118" s="85" t="str">
        <f t="shared" si="136"/>
        <v>-</v>
      </c>
      <c r="T118" s="85" t="str">
        <f t="shared" si="136"/>
        <v>-</v>
      </c>
      <c r="U118" s="85" t="str">
        <f t="shared" si="136"/>
        <v>-</v>
      </c>
      <c r="V118" s="85" t="str">
        <f t="shared" si="136"/>
        <v>-</v>
      </c>
      <c r="W118" s="85" t="str">
        <f t="shared" si="136"/>
        <v>-</v>
      </c>
      <c r="X118" s="85" t="str">
        <f t="shared" si="136"/>
        <v>-</v>
      </c>
      <c r="Y118" s="85" t="str">
        <f t="shared" si="136"/>
        <v>-</v>
      </c>
      <c r="Z118" s="85" t="str">
        <f t="shared" si="136"/>
        <v>-</v>
      </c>
      <c r="AA118" s="85" t="str">
        <f t="shared" si="136"/>
        <v>-</v>
      </c>
      <c r="AB118" s="85" t="str">
        <f t="shared" si="136"/>
        <v>-</v>
      </c>
      <c r="AC118" s="85" t="str">
        <f t="shared" si="136"/>
        <v>-</v>
      </c>
      <c r="AD118" s="85" t="str">
        <f t="shared" si="136"/>
        <v>-</v>
      </c>
      <c r="AE118" s="85"/>
      <c r="AF118" s="85"/>
      <c r="AG118" s="88"/>
    </row>
    <row r="119" spans="3:33" s="89" customFormat="1" ht="15" hidden="1" customHeight="1" outlineLevel="1">
      <c r="C119" s="90" t="s">
        <v>96</v>
      </c>
      <c r="D119" s="91" t="str">
        <f t="shared" ref="D119:AG119" si="137">IF($D$2=FALSE,"-",IF(D121=0,0,+D120/D121))</f>
        <v>-</v>
      </c>
      <c r="E119" s="92" t="str">
        <f t="shared" si="137"/>
        <v>-</v>
      </c>
      <c r="F119" s="92" t="str">
        <f t="shared" si="137"/>
        <v>-</v>
      </c>
      <c r="G119" s="93" t="str">
        <f t="shared" si="137"/>
        <v>-</v>
      </c>
      <c r="H119" s="92" t="str">
        <f t="shared" si="137"/>
        <v>-</v>
      </c>
      <c r="I119" s="94" t="str">
        <f t="shared" si="137"/>
        <v>-</v>
      </c>
      <c r="J119" s="92" t="str">
        <f t="shared" si="137"/>
        <v>-</v>
      </c>
      <c r="K119" s="92" t="str">
        <f t="shared" si="137"/>
        <v>-</v>
      </c>
      <c r="L119" s="92" t="str">
        <f t="shared" si="137"/>
        <v>-</v>
      </c>
      <c r="M119" s="95" t="str">
        <f t="shared" si="137"/>
        <v>-</v>
      </c>
      <c r="N119" s="91" t="str">
        <f t="shared" si="137"/>
        <v>-</v>
      </c>
      <c r="O119" s="92" t="str">
        <f t="shared" si="137"/>
        <v>-</v>
      </c>
      <c r="P119" s="92" t="str">
        <f t="shared" si="137"/>
        <v>-</v>
      </c>
      <c r="Q119" s="92" t="str">
        <f t="shared" si="137"/>
        <v>-</v>
      </c>
      <c r="R119" s="92" t="str">
        <f t="shared" si="137"/>
        <v>-</v>
      </c>
      <c r="S119" s="92" t="str">
        <f t="shared" si="137"/>
        <v>-</v>
      </c>
      <c r="T119" s="92" t="str">
        <f t="shared" si="137"/>
        <v>-</v>
      </c>
      <c r="U119" s="92" t="str">
        <f t="shared" si="137"/>
        <v>-</v>
      </c>
      <c r="V119" s="92" t="str">
        <f t="shared" si="137"/>
        <v>-</v>
      </c>
      <c r="W119" s="92" t="str">
        <f t="shared" si="137"/>
        <v>-</v>
      </c>
      <c r="X119" s="92" t="str">
        <f t="shared" si="137"/>
        <v>-</v>
      </c>
      <c r="Y119" s="92" t="str">
        <f t="shared" si="137"/>
        <v>-</v>
      </c>
      <c r="Z119" s="92" t="str">
        <f t="shared" si="137"/>
        <v>-</v>
      </c>
      <c r="AA119" s="92" t="str">
        <f t="shared" si="137"/>
        <v>-</v>
      </c>
      <c r="AB119" s="92" t="str">
        <f t="shared" si="137"/>
        <v>-</v>
      </c>
      <c r="AC119" s="92" t="str">
        <f t="shared" si="137"/>
        <v>-</v>
      </c>
      <c r="AD119" s="92" t="str">
        <f t="shared" si="137"/>
        <v>-</v>
      </c>
      <c r="AE119" s="92" t="str">
        <f t="shared" si="137"/>
        <v>-</v>
      </c>
      <c r="AF119" s="92" t="str">
        <f t="shared" si="137"/>
        <v>-</v>
      </c>
      <c r="AG119" s="95" t="str">
        <f t="shared" si="137"/>
        <v>-</v>
      </c>
    </row>
    <row r="120" spans="3:33" s="82" customFormat="1" ht="15" hidden="1" customHeight="1" outlineLevel="1">
      <c r="C120" s="115" t="s">
        <v>97</v>
      </c>
      <c r="D120" s="84" t="str">
        <f t="shared" ref="D120:AG120" si="138">IF($D$2=FALSE,"-",+D131)</f>
        <v>-</v>
      </c>
      <c r="E120" s="85" t="str">
        <f t="shared" si="138"/>
        <v>-</v>
      </c>
      <c r="F120" s="85" t="str">
        <f t="shared" si="138"/>
        <v>-</v>
      </c>
      <c r="G120" s="86" t="str">
        <f t="shared" si="138"/>
        <v>-</v>
      </c>
      <c r="H120" s="85" t="str">
        <f t="shared" si="138"/>
        <v>-</v>
      </c>
      <c r="I120" s="87" t="str">
        <f t="shared" si="138"/>
        <v>-</v>
      </c>
      <c r="J120" s="85" t="str">
        <f t="shared" si="138"/>
        <v>-</v>
      </c>
      <c r="K120" s="85" t="str">
        <f t="shared" si="138"/>
        <v>-</v>
      </c>
      <c r="L120" s="85" t="str">
        <f t="shared" si="138"/>
        <v>-</v>
      </c>
      <c r="M120" s="88" t="str">
        <f t="shared" si="138"/>
        <v>-</v>
      </c>
      <c r="N120" s="84" t="str">
        <f t="shared" si="138"/>
        <v>-</v>
      </c>
      <c r="O120" s="85" t="str">
        <f t="shared" si="138"/>
        <v>-</v>
      </c>
      <c r="P120" s="85" t="str">
        <f t="shared" si="138"/>
        <v>-</v>
      </c>
      <c r="Q120" s="85" t="str">
        <f t="shared" si="138"/>
        <v>-</v>
      </c>
      <c r="R120" s="85" t="str">
        <f t="shared" si="138"/>
        <v>-</v>
      </c>
      <c r="S120" s="85" t="str">
        <f t="shared" si="138"/>
        <v>-</v>
      </c>
      <c r="T120" s="85" t="str">
        <f t="shared" si="138"/>
        <v>-</v>
      </c>
      <c r="U120" s="85" t="str">
        <f t="shared" si="138"/>
        <v>-</v>
      </c>
      <c r="V120" s="85" t="str">
        <f t="shared" si="138"/>
        <v>-</v>
      </c>
      <c r="W120" s="85" t="str">
        <f t="shared" si="138"/>
        <v>-</v>
      </c>
      <c r="X120" s="85" t="str">
        <f t="shared" si="138"/>
        <v>-</v>
      </c>
      <c r="Y120" s="85" t="str">
        <f t="shared" si="138"/>
        <v>-</v>
      </c>
      <c r="Z120" s="85" t="str">
        <f t="shared" si="138"/>
        <v>-</v>
      </c>
      <c r="AA120" s="85" t="str">
        <f t="shared" si="138"/>
        <v>-</v>
      </c>
      <c r="AB120" s="85" t="str">
        <f t="shared" si="138"/>
        <v>-</v>
      </c>
      <c r="AC120" s="85" t="str">
        <f t="shared" si="138"/>
        <v>-</v>
      </c>
      <c r="AD120" s="85" t="str">
        <f t="shared" si="138"/>
        <v>-</v>
      </c>
      <c r="AE120" s="85" t="str">
        <f t="shared" si="138"/>
        <v>-</v>
      </c>
      <c r="AF120" s="85" t="str">
        <f t="shared" si="138"/>
        <v>-</v>
      </c>
      <c r="AG120" s="88" t="str">
        <f t="shared" si="138"/>
        <v>-</v>
      </c>
    </row>
    <row r="121" spans="3:33" s="82" customFormat="1" ht="15" hidden="1" customHeight="1" outlineLevel="1">
      <c r="C121" s="115" t="s">
        <v>98</v>
      </c>
      <c r="D121" s="84" t="str">
        <f t="shared" ref="D121:AG121" si="139">IF($D$2=FALSE,"-",+D147+D150)</f>
        <v>-</v>
      </c>
      <c r="E121" s="85" t="str">
        <f t="shared" si="139"/>
        <v>-</v>
      </c>
      <c r="F121" s="85" t="str">
        <f t="shared" si="139"/>
        <v>-</v>
      </c>
      <c r="G121" s="86" t="str">
        <f t="shared" si="139"/>
        <v>-</v>
      </c>
      <c r="H121" s="85" t="str">
        <f t="shared" si="139"/>
        <v>-</v>
      </c>
      <c r="I121" s="87" t="str">
        <f t="shared" si="139"/>
        <v>-</v>
      </c>
      <c r="J121" s="85" t="str">
        <f t="shared" si="139"/>
        <v>-</v>
      </c>
      <c r="K121" s="85" t="str">
        <f t="shared" si="139"/>
        <v>-</v>
      </c>
      <c r="L121" s="85" t="str">
        <f t="shared" si="139"/>
        <v>-</v>
      </c>
      <c r="M121" s="88" t="str">
        <f t="shared" si="139"/>
        <v>-</v>
      </c>
      <c r="N121" s="84" t="str">
        <f t="shared" si="139"/>
        <v>-</v>
      </c>
      <c r="O121" s="85" t="str">
        <f t="shared" si="139"/>
        <v>-</v>
      </c>
      <c r="P121" s="85" t="str">
        <f t="shared" si="139"/>
        <v>-</v>
      </c>
      <c r="Q121" s="85" t="str">
        <f t="shared" si="139"/>
        <v>-</v>
      </c>
      <c r="R121" s="85" t="str">
        <f t="shared" si="139"/>
        <v>-</v>
      </c>
      <c r="S121" s="85" t="str">
        <f t="shared" si="139"/>
        <v>-</v>
      </c>
      <c r="T121" s="85" t="str">
        <f t="shared" si="139"/>
        <v>-</v>
      </c>
      <c r="U121" s="85" t="str">
        <f t="shared" si="139"/>
        <v>-</v>
      </c>
      <c r="V121" s="85" t="str">
        <f t="shared" si="139"/>
        <v>-</v>
      </c>
      <c r="W121" s="85" t="str">
        <f t="shared" si="139"/>
        <v>-</v>
      </c>
      <c r="X121" s="85" t="str">
        <f t="shared" si="139"/>
        <v>-</v>
      </c>
      <c r="Y121" s="85" t="str">
        <f t="shared" si="139"/>
        <v>-</v>
      </c>
      <c r="Z121" s="85" t="str">
        <f t="shared" si="139"/>
        <v>-</v>
      </c>
      <c r="AA121" s="85" t="str">
        <f t="shared" si="139"/>
        <v>-</v>
      </c>
      <c r="AB121" s="85" t="str">
        <f t="shared" si="139"/>
        <v>-</v>
      </c>
      <c r="AC121" s="85" t="str">
        <f t="shared" si="139"/>
        <v>-</v>
      </c>
      <c r="AD121" s="85" t="str">
        <f t="shared" si="139"/>
        <v>-</v>
      </c>
      <c r="AE121" s="85" t="str">
        <f t="shared" si="139"/>
        <v>-</v>
      </c>
      <c r="AF121" s="85" t="str">
        <f t="shared" si="139"/>
        <v>-</v>
      </c>
      <c r="AG121" s="88" t="str">
        <f t="shared" si="139"/>
        <v>-</v>
      </c>
    </row>
    <row r="122" spans="3:33" s="12" customFormat="1" ht="15" customHeight="1" collapsed="1">
      <c r="C122" s="23" t="s">
        <v>99</v>
      </c>
      <c r="D122" s="24"/>
      <c r="E122" s="25"/>
      <c r="F122" s="25"/>
      <c r="G122" s="25"/>
      <c r="H122" s="25"/>
      <c r="I122" s="25"/>
      <c r="J122" s="25"/>
      <c r="K122" s="25"/>
      <c r="L122" s="25"/>
      <c r="M122" s="26"/>
      <c r="N122" s="24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6"/>
    </row>
    <row r="123" spans="3:33" ht="15" hidden="1" customHeight="1" outlineLevel="1">
      <c r="C123" s="76" t="s">
        <v>100</v>
      </c>
      <c r="D123" s="77" t="str">
        <f t="shared" ref="D123:AG123" si="140">IF($D$2=FALSE,"-",+D495)</f>
        <v>-</v>
      </c>
      <c r="E123" s="78" t="str">
        <f t="shared" si="140"/>
        <v>-</v>
      </c>
      <c r="F123" s="78" t="str">
        <f t="shared" si="140"/>
        <v>-</v>
      </c>
      <c r="G123" s="79" t="str">
        <f t="shared" si="140"/>
        <v>-</v>
      </c>
      <c r="H123" s="78" t="str">
        <f t="shared" si="140"/>
        <v>-</v>
      </c>
      <c r="I123" s="80" t="str">
        <f t="shared" si="140"/>
        <v>-</v>
      </c>
      <c r="J123" s="78" t="str">
        <f t="shared" si="140"/>
        <v>-</v>
      </c>
      <c r="K123" s="78" t="str">
        <f t="shared" si="140"/>
        <v>-</v>
      </c>
      <c r="L123" s="78" t="str">
        <f t="shared" si="140"/>
        <v>-</v>
      </c>
      <c r="M123" s="81" t="str">
        <f t="shared" si="140"/>
        <v>-</v>
      </c>
      <c r="N123" s="77" t="str">
        <f t="shared" si="140"/>
        <v>-</v>
      </c>
      <c r="O123" s="78" t="str">
        <f t="shared" si="140"/>
        <v>-</v>
      </c>
      <c r="P123" s="78" t="str">
        <f t="shared" si="140"/>
        <v>-</v>
      </c>
      <c r="Q123" s="78" t="str">
        <f t="shared" si="140"/>
        <v>-</v>
      </c>
      <c r="R123" s="78" t="str">
        <f t="shared" si="140"/>
        <v>-</v>
      </c>
      <c r="S123" s="78" t="str">
        <f t="shared" si="140"/>
        <v>-</v>
      </c>
      <c r="T123" s="78" t="str">
        <f t="shared" si="140"/>
        <v>-</v>
      </c>
      <c r="U123" s="78" t="str">
        <f t="shared" si="140"/>
        <v>-</v>
      </c>
      <c r="V123" s="78" t="str">
        <f t="shared" si="140"/>
        <v>-</v>
      </c>
      <c r="W123" s="78" t="str">
        <f t="shared" si="140"/>
        <v>-</v>
      </c>
      <c r="X123" s="78" t="str">
        <f t="shared" si="140"/>
        <v>-</v>
      </c>
      <c r="Y123" s="78" t="str">
        <f t="shared" si="140"/>
        <v>-</v>
      </c>
      <c r="Z123" s="78" t="str">
        <f t="shared" si="140"/>
        <v>-</v>
      </c>
      <c r="AA123" s="78" t="str">
        <f t="shared" si="140"/>
        <v>-</v>
      </c>
      <c r="AB123" s="78" t="str">
        <f t="shared" si="140"/>
        <v>-</v>
      </c>
      <c r="AC123" s="78" t="str">
        <f t="shared" si="140"/>
        <v>-</v>
      </c>
      <c r="AD123" s="78" t="str">
        <f t="shared" si="140"/>
        <v>-</v>
      </c>
      <c r="AE123" s="78" t="str">
        <f t="shared" si="140"/>
        <v>-</v>
      </c>
      <c r="AF123" s="78" t="str">
        <f t="shared" si="140"/>
        <v>-</v>
      </c>
      <c r="AG123" s="81" t="str">
        <f t="shared" si="140"/>
        <v>-</v>
      </c>
    </row>
    <row r="124" spans="3:33" ht="15" hidden="1" customHeight="1" outlineLevel="1">
      <c r="C124" s="70" t="s">
        <v>101</v>
      </c>
      <c r="D124" s="71" t="str">
        <f t="shared" ref="D124:AG124" si="141">IF($D$2=FALSE,"-",+D496)</f>
        <v>-</v>
      </c>
      <c r="E124" s="72" t="str">
        <f t="shared" si="141"/>
        <v>-</v>
      </c>
      <c r="F124" s="72" t="str">
        <f t="shared" si="141"/>
        <v>-</v>
      </c>
      <c r="G124" s="73" t="str">
        <f t="shared" si="141"/>
        <v>-</v>
      </c>
      <c r="H124" s="72" t="str">
        <f t="shared" si="141"/>
        <v>-</v>
      </c>
      <c r="I124" s="74" t="str">
        <f t="shared" si="141"/>
        <v>-</v>
      </c>
      <c r="J124" s="72" t="str">
        <f t="shared" si="141"/>
        <v>-</v>
      </c>
      <c r="K124" s="72" t="str">
        <f t="shared" si="141"/>
        <v>-</v>
      </c>
      <c r="L124" s="72" t="str">
        <f t="shared" si="141"/>
        <v>-</v>
      </c>
      <c r="M124" s="75" t="str">
        <f t="shared" si="141"/>
        <v>-</v>
      </c>
      <c r="N124" s="71" t="str">
        <f t="shared" si="141"/>
        <v>-</v>
      </c>
      <c r="O124" s="72" t="str">
        <f t="shared" si="141"/>
        <v>-</v>
      </c>
      <c r="P124" s="72" t="str">
        <f t="shared" si="141"/>
        <v>-</v>
      </c>
      <c r="Q124" s="72" t="str">
        <f t="shared" si="141"/>
        <v>-</v>
      </c>
      <c r="R124" s="72" t="str">
        <f t="shared" si="141"/>
        <v>-</v>
      </c>
      <c r="S124" s="72" t="str">
        <f t="shared" si="141"/>
        <v>-</v>
      </c>
      <c r="T124" s="72" t="str">
        <f t="shared" si="141"/>
        <v>-</v>
      </c>
      <c r="U124" s="72" t="str">
        <f t="shared" si="141"/>
        <v>-</v>
      </c>
      <c r="V124" s="72" t="str">
        <f t="shared" si="141"/>
        <v>-</v>
      </c>
      <c r="W124" s="72" t="str">
        <f t="shared" si="141"/>
        <v>-</v>
      </c>
      <c r="X124" s="72" t="str">
        <f t="shared" si="141"/>
        <v>-</v>
      </c>
      <c r="Y124" s="72" t="str">
        <f t="shared" si="141"/>
        <v>-</v>
      </c>
      <c r="Z124" s="72" t="str">
        <f t="shared" si="141"/>
        <v>-</v>
      </c>
      <c r="AA124" s="72" t="str">
        <f t="shared" si="141"/>
        <v>-</v>
      </c>
      <c r="AB124" s="72" t="str">
        <f t="shared" si="141"/>
        <v>-</v>
      </c>
      <c r="AC124" s="72" t="str">
        <f t="shared" si="141"/>
        <v>-</v>
      </c>
      <c r="AD124" s="72" t="str">
        <f t="shared" si="141"/>
        <v>-</v>
      </c>
      <c r="AE124" s="72" t="str">
        <f t="shared" si="141"/>
        <v>-</v>
      </c>
      <c r="AF124" s="72" t="str">
        <f t="shared" si="141"/>
        <v>-</v>
      </c>
      <c r="AG124" s="75" t="str">
        <f t="shared" si="141"/>
        <v>-</v>
      </c>
    </row>
    <row r="125" spans="3:33" ht="15" hidden="1" customHeight="1" outlineLevel="1">
      <c r="C125" s="76" t="s">
        <v>102</v>
      </c>
      <c r="D125" s="77" t="str">
        <f t="shared" ref="D125:AG125" si="142">IF($D$2=FALSE,"-",+D497)</f>
        <v>-</v>
      </c>
      <c r="E125" s="78" t="str">
        <f t="shared" si="142"/>
        <v>-</v>
      </c>
      <c r="F125" s="78" t="str">
        <f t="shared" si="142"/>
        <v>-</v>
      </c>
      <c r="G125" s="79" t="str">
        <f t="shared" si="142"/>
        <v>-</v>
      </c>
      <c r="H125" s="78" t="str">
        <f t="shared" si="142"/>
        <v>-</v>
      </c>
      <c r="I125" s="80" t="str">
        <f t="shared" si="142"/>
        <v>-</v>
      </c>
      <c r="J125" s="78" t="str">
        <f t="shared" si="142"/>
        <v>-</v>
      </c>
      <c r="K125" s="78" t="str">
        <f t="shared" si="142"/>
        <v>-</v>
      </c>
      <c r="L125" s="78" t="str">
        <f t="shared" si="142"/>
        <v>-</v>
      </c>
      <c r="M125" s="81" t="str">
        <f t="shared" si="142"/>
        <v>-</v>
      </c>
      <c r="N125" s="77" t="str">
        <f t="shared" si="142"/>
        <v>-</v>
      </c>
      <c r="O125" s="78" t="str">
        <f t="shared" si="142"/>
        <v>-</v>
      </c>
      <c r="P125" s="78" t="str">
        <f t="shared" si="142"/>
        <v>-</v>
      </c>
      <c r="Q125" s="78" t="str">
        <f t="shared" si="142"/>
        <v>-</v>
      </c>
      <c r="R125" s="78" t="str">
        <f t="shared" si="142"/>
        <v>-</v>
      </c>
      <c r="S125" s="78" t="str">
        <f t="shared" si="142"/>
        <v>-</v>
      </c>
      <c r="T125" s="78" t="str">
        <f t="shared" si="142"/>
        <v>-</v>
      </c>
      <c r="U125" s="78" t="str">
        <f t="shared" si="142"/>
        <v>-</v>
      </c>
      <c r="V125" s="78" t="str">
        <f t="shared" si="142"/>
        <v>-</v>
      </c>
      <c r="W125" s="78" t="str">
        <f t="shared" si="142"/>
        <v>-</v>
      </c>
      <c r="X125" s="78" t="str">
        <f t="shared" si="142"/>
        <v>-</v>
      </c>
      <c r="Y125" s="78" t="str">
        <f t="shared" si="142"/>
        <v>-</v>
      </c>
      <c r="Z125" s="78" t="str">
        <f t="shared" si="142"/>
        <v>-</v>
      </c>
      <c r="AA125" s="78" t="str">
        <f t="shared" si="142"/>
        <v>-</v>
      </c>
      <c r="AB125" s="78" t="str">
        <f t="shared" si="142"/>
        <v>-</v>
      </c>
      <c r="AC125" s="78" t="str">
        <f t="shared" si="142"/>
        <v>-</v>
      </c>
      <c r="AD125" s="78" t="str">
        <f t="shared" si="142"/>
        <v>-</v>
      </c>
      <c r="AE125" s="78" t="str">
        <f t="shared" si="142"/>
        <v>-</v>
      </c>
      <c r="AF125" s="78" t="str">
        <f t="shared" si="142"/>
        <v>-</v>
      </c>
      <c r="AG125" s="81" t="str">
        <f t="shared" si="142"/>
        <v>-</v>
      </c>
    </row>
    <row r="126" spans="3:33" s="12" customFormat="1" ht="15" customHeight="1" collapsed="1">
      <c r="C126" s="23" t="s">
        <v>103</v>
      </c>
      <c r="D126" s="24"/>
      <c r="E126" s="25"/>
      <c r="F126" s="25"/>
      <c r="G126" s="25"/>
      <c r="H126" s="25"/>
      <c r="I126" s="25"/>
      <c r="J126" s="25"/>
      <c r="K126" s="25"/>
      <c r="L126" s="25"/>
      <c r="M126" s="26"/>
      <c r="N126" s="24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6"/>
    </row>
    <row r="127" spans="3:33" ht="15" hidden="1" customHeight="1" outlineLevel="1">
      <c r="C127" s="76" t="s">
        <v>104</v>
      </c>
      <c r="D127" s="77" t="str">
        <f t="shared" ref="D127:AG127" si="143">IF($D$2=FALSE,"-",IF(D160=0,0,+D162/D160*100))</f>
        <v>-</v>
      </c>
      <c r="E127" s="78" t="str">
        <f t="shared" si="143"/>
        <v>-</v>
      </c>
      <c r="F127" s="78" t="str">
        <f t="shared" si="143"/>
        <v>-</v>
      </c>
      <c r="G127" s="79" t="str">
        <f t="shared" si="143"/>
        <v>-</v>
      </c>
      <c r="H127" s="78" t="str">
        <f t="shared" si="143"/>
        <v>-</v>
      </c>
      <c r="I127" s="80" t="str">
        <f t="shared" si="143"/>
        <v>-</v>
      </c>
      <c r="J127" s="78" t="str">
        <f t="shared" si="143"/>
        <v>-</v>
      </c>
      <c r="K127" s="78" t="str">
        <f t="shared" si="143"/>
        <v>-</v>
      </c>
      <c r="L127" s="78" t="str">
        <f t="shared" si="143"/>
        <v>-</v>
      </c>
      <c r="M127" s="81" t="str">
        <f t="shared" si="143"/>
        <v>-</v>
      </c>
      <c r="N127" s="77" t="str">
        <f t="shared" si="143"/>
        <v>-</v>
      </c>
      <c r="O127" s="78" t="str">
        <f t="shared" si="143"/>
        <v>-</v>
      </c>
      <c r="P127" s="78" t="str">
        <f t="shared" si="143"/>
        <v>-</v>
      </c>
      <c r="Q127" s="78" t="str">
        <f t="shared" si="143"/>
        <v>-</v>
      </c>
      <c r="R127" s="78" t="str">
        <f t="shared" si="143"/>
        <v>-</v>
      </c>
      <c r="S127" s="78" t="str">
        <f t="shared" si="143"/>
        <v>-</v>
      </c>
      <c r="T127" s="78" t="str">
        <f t="shared" si="143"/>
        <v>-</v>
      </c>
      <c r="U127" s="78" t="str">
        <f t="shared" si="143"/>
        <v>-</v>
      </c>
      <c r="V127" s="78" t="str">
        <f t="shared" si="143"/>
        <v>-</v>
      </c>
      <c r="W127" s="78" t="str">
        <f t="shared" si="143"/>
        <v>-</v>
      </c>
      <c r="X127" s="78" t="str">
        <f t="shared" si="143"/>
        <v>-</v>
      </c>
      <c r="Y127" s="78" t="str">
        <f t="shared" si="143"/>
        <v>-</v>
      </c>
      <c r="Z127" s="78" t="str">
        <f t="shared" si="143"/>
        <v>-</v>
      </c>
      <c r="AA127" s="78" t="str">
        <f t="shared" si="143"/>
        <v>-</v>
      </c>
      <c r="AB127" s="78" t="str">
        <f t="shared" si="143"/>
        <v>-</v>
      </c>
      <c r="AC127" s="78" t="str">
        <f t="shared" si="143"/>
        <v>-</v>
      </c>
      <c r="AD127" s="78" t="str">
        <f t="shared" si="143"/>
        <v>-</v>
      </c>
      <c r="AE127" s="78" t="str">
        <f t="shared" si="143"/>
        <v>-</v>
      </c>
      <c r="AF127" s="78" t="str">
        <f t="shared" si="143"/>
        <v>-</v>
      </c>
      <c r="AG127" s="81" t="str">
        <f t="shared" si="143"/>
        <v>-</v>
      </c>
    </row>
    <row r="128" spans="3:33" ht="15" hidden="1" customHeight="1" outlineLevel="1">
      <c r="C128" s="70" t="s">
        <v>105</v>
      </c>
      <c r="D128" s="71" t="str">
        <f t="shared" ref="D128:AG128" si="144">IF($D$2=FALSE,"-",IF(D160=0,0,+D168/D160*100))</f>
        <v>-</v>
      </c>
      <c r="E128" s="72" t="str">
        <f t="shared" si="144"/>
        <v>-</v>
      </c>
      <c r="F128" s="72" t="str">
        <f t="shared" si="144"/>
        <v>-</v>
      </c>
      <c r="G128" s="73" t="str">
        <f t="shared" si="144"/>
        <v>-</v>
      </c>
      <c r="H128" s="72" t="str">
        <f t="shared" si="144"/>
        <v>-</v>
      </c>
      <c r="I128" s="74" t="str">
        <f t="shared" si="144"/>
        <v>-</v>
      </c>
      <c r="J128" s="72" t="str">
        <f t="shared" si="144"/>
        <v>-</v>
      </c>
      <c r="K128" s="72" t="str">
        <f t="shared" si="144"/>
        <v>-</v>
      </c>
      <c r="L128" s="72" t="str">
        <f t="shared" si="144"/>
        <v>-</v>
      </c>
      <c r="M128" s="75" t="str">
        <f t="shared" si="144"/>
        <v>-</v>
      </c>
      <c r="N128" s="71" t="str">
        <f t="shared" si="144"/>
        <v>-</v>
      </c>
      <c r="O128" s="72" t="str">
        <f t="shared" si="144"/>
        <v>-</v>
      </c>
      <c r="P128" s="72" t="str">
        <f t="shared" si="144"/>
        <v>-</v>
      </c>
      <c r="Q128" s="72" t="str">
        <f t="shared" si="144"/>
        <v>-</v>
      </c>
      <c r="R128" s="72" t="str">
        <f t="shared" si="144"/>
        <v>-</v>
      </c>
      <c r="S128" s="72" t="str">
        <f t="shared" si="144"/>
        <v>-</v>
      </c>
      <c r="T128" s="72" t="str">
        <f t="shared" si="144"/>
        <v>-</v>
      </c>
      <c r="U128" s="72" t="str">
        <f t="shared" si="144"/>
        <v>-</v>
      </c>
      <c r="V128" s="72" t="str">
        <f t="shared" si="144"/>
        <v>-</v>
      </c>
      <c r="W128" s="72" t="str">
        <f t="shared" si="144"/>
        <v>-</v>
      </c>
      <c r="X128" s="72" t="str">
        <f t="shared" si="144"/>
        <v>-</v>
      </c>
      <c r="Y128" s="72" t="str">
        <f t="shared" si="144"/>
        <v>-</v>
      </c>
      <c r="Z128" s="72" t="str">
        <f t="shared" si="144"/>
        <v>-</v>
      </c>
      <c r="AA128" s="72" t="str">
        <f t="shared" si="144"/>
        <v>-</v>
      </c>
      <c r="AB128" s="72" t="str">
        <f t="shared" si="144"/>
        <v>-</v>
      </c>
      <c r="AC128" s="72" t="str">
        <f t="shared" si="144"/>
        <v>-</v>
      </c>
      <c r="AD128" s="72" t="str">
        <f t="shared" si="144"/>
        <v>-</v>
      </c>
      <c r="AE128" s="72" t="str">
        <f t="shared" si="144"/>
        <v>-</v>
      </c>
      <c r="AF128" s="72" t="str">
        <f t="shared" si="144"/>
        <v>-</v>
      </c>
      <c r="AG128" s="75" t="str">
        <f t="shared" si="144"/>
        <v>-</v>
      </c>
    </row>
    <row r="129" spans="3:33" ht="15" hidden="1" customHeight="1" outlineLevel="1">
      <c r="C129" s="76" t="s">
        <v>106</v>
      </c>
      <c r="D129" s="77" t="str">
        <f t="shared" ref="D129:AG129" si="145">IF($D$2=FALSE,"-",IF(D160=0,0,+D174/D160*100))</f>
        <v>-</v>
      </c>
      <c r="E129" s="78" t="str">
        <f t="shared" si="145"/>
        <v>-</v>
      </c>
      <c r="F129" s="78" t="str">
        <f t="shared" si="145"/>
        <v>-</v>
      </c>
      <c r="G129" s="79" t="str">
        <f t="shared" si="145"/>
        <v>-</v>
      </c>
      <c r="H129" s="78" t="str">
        <f t="shared" si="145"/>
        <v>-</v>
      </c>
      <c r="I129" s="80" t="str">
        <f t="shared" si="145"/>
        <v>-</v>
      </c>
      <c r="J129" s="78" t="str">
        <f t="shared" si="145"/>
        <v>-</v>
      </c>
      <c r="K129" s="78" t="str">
        <f t="shared" si="145"/>
        <v>-</v>
      </c>
      <c r="L129" s="78" t="str">
        <f t="shared" si="145"/>
        <v>-</v>
      </c>
      <c r="M129" s="81" t="str">
        <f t="shared" si="145"/>
        <v>-</v>
      </c>
      <c r="N129" s="77" t="str">
        <f t="shared" si="145"/>
        <v>-</v>
      </c>
      <c r="O129" s="78" t="str">
        <f t="shared" si="145"/>
        <v>-</v>
      </c>
      <c r="P129" s="78" t="str">
        <f t="shared" si="145"/>
        <v>-</v>
      </c>
      <c r="Q129" s="78" t="str">
        <f t="shared" si="145"/>
        <v>-</v>
      </c>
      <c r="R129" s="78" t="str">
        <f t="shared" si="145"/>
        <v>-</v>
      </c>
      <c r="S129" s="78" t="str">
        <f t="shared" si="145"/>
        <v>-</v>
      </c>
      <c r="T129" s="78" t="str">
        <f t="shared" si="145"/>
        <v>-</v>
      </c>
      <c r="U129" s="78" t="str">
        <f t="shared" si="145"/>
        <v>-</v>
      </c>
      <c r="V129" s="78" t="str">
        <f t="shared" si="145"/>
        <v>-</v>
      </c>
      <c r="W129" s="78" t="str">
        <f t="shared" si="145"/>
        <v>-</v>
      </c>
      <c r="X129" s="78" t="str">
        <f t="shared" si="145"/>
        <v>-</v>
      </c>
      <c r="Y129" s="78" t="str">
        <f t="shared" si="145"/>
        <v>-</v>
      </c>
      <c r="Z129" s="78" t="str">
        <f t="shared" si="145"/>
        <v>-</v>
      </c>
      <c r="AA129" s="78" t="str">
        <f t="shared" si="145"/>
        <v>-</v>
      </c>
      <c r="AB129" s="78" t="str">
        <f t="shared" si="145"/>
        <v>-</v>
      </c>
      <c r="AC129" s="78" t="str">
        <f t="shared" si="145"/>
        <v>-</v>
      </c>
      <c r="AD129" s="78" t="str">
        <f t="shared" si="145"/>
        <v>-</v>
      </c>
      <c r="AE129" s="78" t="str">
        <f t="shared" si="145"/>
        <v>-</v>
      </c>
      <c r="AF129" s="78" t="str">
        <f t="shared" si="145"/>
        <v>-</v>
      </c>
      <c r="AG129" s="81" t="str">
        <f t="shared" si="145"/>
        <v>-</v>
      </c>
    </row>
    <row r="130" spans="3:33" s="12" customFormat="1" ht="15" customHeight="1" collapsed="1">
      <c r="C130" s="23" t="s">
        <v>107</v>
      </c>
      <c r="D130" s="24"/>
      <c r="E130" s="25"/>
      <c r="F130" s="25"/>
      <c r="G130" s="25"/>
      <c r="H130" s="25"/>
      <c r="I130" s="25"/>
      <c r="J130" s="25"/>
      <c r="K130" s="25"/>
      <c r="L130" s="25"/>
      <c r="M130" s="26"/>
      <c r="N130" s="24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6"/>
    </row>
    <row r="131" spans="3:33" ht="15" hidden="1" customHeight="1" outlineLevel="1">
      <c r="C131" s="34" t="s">
        <v>97</v>
      </c>
      <c r="D131" s="60" t="str">
        <f t="shared" ref="D131:AG131" si="146">IF($D$2=FALSE,"-",+D348+D349)</f>
        <v>-</v>
      </c>
      <c r="E131" s="61" t="str">
        <f t="shared" si="146"/>
        <v>-</v>
      </c>
      <c r="F131" s="61" t="str">
        <f t="shared" si="146"/>
        <v>-</v>
      </c>
      <c r="G131" s="62" t="str">
        <f t="shared" si="146"/>
        <v>-</v>
      </c>
      <c r="H131" s="61" t="str">
        <f t="shared" si="146"/>
        <v>-</v>
      </c>
      <c r="I131" s="63" t="str">
        <f t="shared" si="146"/>
        <v>-</v>
      </c>
      <c r="J131" s="61" t="str">
        <f t="shared" si="146"/>
        <v>-</v>
      </c>
      <c r="K131" s="61" t="str">
        <f t="shared" si="146"/>
        <v>-</v>
      </c>
      <c r="L131" s="61" t="str">
        <f t="shared" si="146"/>
        <v>-</v>
      </c>
      <c r="M131" s="64" t="str">
        <f t="shared" si="146"/>
        <v>-</v>
      </c>
      <c r="N131" s="60" t="str">
        <f t="shared" si="146"/>
        <v>-</v>
      </c>
      <c r="O131" s="61" t="str">
        <f t="shared" si="146"/>
        <v>-</v>
      </c>
      <c r="P131" s="61" t="str">
        <f t="shared" si="146"/>
        <v>-</v>
      </c>
      <c r="Q131" s="61" t="str">
        <f t="shared" si="146"/>
        <v>-</v>
      </c>
      <c r="R131" s="61" t="str">
        <f t="shared" si="146"/>
        <v>-</v>
      </c>
      <c r="S131" s="61" t="str">
        <f t="shared" si="146"/>
        <v>-</v>
      </c>
      <c r="T131" s="61" t="str">
        <f t="shared" si="146"/>
        <v>-</v>
      </c>
      <c r="U131" s="61" t="str">
        <f t="shared" si="146"/>
        <v>-</v>
      </c>
      <c r="V131" s="61" t="str">
        <f t="shared" si="146"/>
        <v>-</v>
      </c>
      <c r="W131" s="61" t="str">
        <f t="shared" si="146"/>
        <v>-</v>
      </c>
      <c r="X131" s="61" t="str">
        <f t="shared" si="146"/>
        <v>-</v>
      </c>
      <c r="Y131" s="61" t="str">
        <f t="shared" si="146"/>
        <v>-</v>
      </c>
      <c r="Z131" s="61" t="str">
        <f t="shared" si="146"/>
        <v>-</v>
      </c>
      <c r="AA131" s="61" t="str">
        <f t="shared" si="146"/>
        <v>-</v>
      </c>
      <c r="AB131" s="61" t="str">
        <f t="shared" si="146"/>
        <v>-</v>
      </c>
      <c r="AC131" s="61" t="str">
        <f t="shared" si="146"/>
        <v>-</v>
      </c>
      <c r="AD131" s="61" t="str">
        <f t="shared" si="146"/>
        <v>-</v>
      </c>
      <c r="AE131" s="61" t="str">
        <f t="shared" si="146"/>
        <v>-</v>
      </c>
      <c r="AF131" s="61" t="str">
        <f t="shared" si="146"/>
        <v>-</v>
      </c>
      <c r="AG131" s="64" t="str">
        <f t="shared" si="146"/>
        <v>-</v>
      </c>
    </row>
    <row r="132" spans="3:33" ht="15" hidden="1" customHeight="1" outlineLevel="1">
      <c r="C132" s="34" t="s">
        <v>108</v>
      </c>
      <c r="D132" s="60" t="str">
        <f t="shared" ref="D132:AG132" si="147">IF($D$2=FALSE,"-",+D350)</f>
        <v>-</v>
      </c>
      <c r="E132" s="61" t="str">
        <f t="shared" si="147"/>
        <v>-</v>
      </c>
      <c r="F132" s="61" t="str">
        <f t="shared" si="147"/>
        <v>-</v>
      </c>
      <c r="G132" s="62" t="str">
        <f t="shared" si="147"/>
        <v>-</v>
      </c>
      <c r="H132" s="61" t="str">
        <f t="shared" si="147"/>
        <v>-</v>
      </c>
      <c r="I132" s="63" t="str">
        <f t="shared" si="147"/>
        <v>-</v>
      </c>
      <c r="J132" s="61" t="str">
        <f t="shared" si="147"/>
        <v>-</v>
      </c>
      <c r="K132" s="61" t="str">
        <f t="shared" si="147"/>
        <v>-</v>
      </c>
      <c r="L132" s="61" t="str">
        <f t="shared" si="147"/>
        <v>-</v>
      </c>
      <c r="M132" s="64" t="str">
        <f t="shared" si="147"/>
        <v>-</v>
      </c>
      <c r="N132" s="60" t="str">
        <f t="shared" si="147"/>
        <v>-</v>
      </c>
      <c r="O132" s="61" t="str">
        <f t="shared" si="147"/>
        <v>-</v>
      </c>
      <c r="P132" s="61" t="str">
        <f t="shared" si="147"/>
        <v>-</v>
      </c>
      <c r="Q132" s="61" t="str">
        <f t="shared" si="147"/>
        <v>-</v>
      </c>
      <c r="R132" s="61" t="str">
        <f t="shared" si="147"/>
        <v>-</v>
      </c>
      <c r="S132" s="61" t="str">
        <f t="shared" si="147"/>
        <v>-</v>
      </c>
      <c r="T132" s="61" t="str">
        <f t="shared" si="147"/>
        <v>-</v>
      </c>
      <c r="U132" s="61" t="str">
        <f t="shared" si="147"/>
        <v>-</v>
      </c>
      <c r="V132" s="61" t="str">
        <f t="shared" si="147"/>
        <v>-</v>
      </c>
      <c r="W132" s="61" t="str">
        <f t="shared" si="147"/>
        <v>-</v>
      </c>
      <c r="X132" s="61" t="str">
        <f t="shared" si="147"/>
        <v>-</v>
      </c>
      <c r="Y132" s="61" t="str">
        <f t="shared" si="147"/>
        <v>-</v>
      </c>
      <c r="Z132" s="61" t="str">
        <f t="shared" si="147"/>
        <v>-</v>
      </c>
      <c r="AA132" s="61" t="str">
        <f t="shared" si="147"/>
        <v>-</v>
      </c>
      <c r="AB132" s="61" t="str">
        <f t="shared" si="147"/>
        <v>-</v>
      </c>
      <c r="AC132" s="61" t="str">
        <f t="shared" si="147"/>
        <v>-</v>
      </c>
      <c r="AD132" s="61" t="str">
        <f t="shared" si="147"/>
        <v>-</v>
      </c>
      <c r="AE132" s="61" t="str">
        <f t="shared" si="147"/>
        <v>-</v>
      </c>
      <c r="AF132" s="61" t="str">
        <f t="shared" si="147"/>
        <v>-</v>
      </c>
      <c r="AG132" s="64" t="str">
        <f t="shared" si="147"/>
        <v>-</v>
      </c>
    </row>
    <row r="133" spans="3:33" ht="15" hidden="1" customHeight="1" outlineLevel="1">
      <c r="C133" s="34" t="s">
        <v>109</v>
      </c>
      <c r="D133" s="60" t="str">
        <f t="shared" ref="D133:AG133" si="148">IF($D$2=FALSE,"-",+D354)</f>
        <v>-</v>
      </c>
      <c r="E133" s="61" t="str">
        <f t="shared" si="148"/>
        <v>-</v>
      </c>
      <c r="F133" s="61" t="str">
        <f t="shared" si="148"/>
        <v>-</v>
      </c>
      <c r="G133" s="62" t="str">
        <f t="shared" si="148"/>
        <v>-</v>
      </c>
      <c r="H133" s="61" t="str">
        <f t="shared" si="148"/>
        <v>-</v>
      </c>
      <c r="I133" s="63" t="str">
        <f t="shared" si="148"/>
        <v>-</v>
      </c>
      <c r="J133" s="61" t="str">
        <f t="shared" si="148"/>
        <v>-</v>
      </c>
      <c r="K133" s="61" t="str">
        <f t="shared" si="148"/>
        <v>-</v>
      </c>
      <c r="L133" s="61" t="str">
        <f t="shared" si="148"/>
        <v>-</v>
      </c>
      <c r="M133" s="64" t="str">
        <f t="shared" si="148"/>
        <v>-</v>
      </c>
      <c r="N133" s="60" t="str">
        <f t="shared" si="148"/>
        <v>-</v>
      </c>
      <c r="O133" s="61" t="str">
        <f t="shared" si="148"/>
        <v>-</v>
      </c>
      <c r="P133" s="61" t="str">
        <f t="shared" si="148"/>
        <v>-</v>
      </c>
      <c r="Q133" s="61" t="str">
        <f t="shared" si="148"/>
        <v>-</v>
      </c>
      <c r="R133" s="61" t="str">
        <f t="shared" si="148"/>
        <v>-</v>
      </c>
      <c r="S133" s="61" t="str">
        <f t="shared" si="148"/>
        <v>-</v>
      </c>
      <c r="T133" s="61" t="str">
        <f t="shared" si="148"/>
        <v>-</v>
      </c>
      <c r="U133" s="61" t="str">
        <f t="shared" si="148"/>
        <v>-</v>
      </c>
      <c r="V133" s="61" t="str">
        <f t="shared" si="148"/>
        <v>-</v>
      </c>
      <c r="W133" s="61" t="str">
        <f t="shared" si="148"/>
        <v>-</v>
      </c>
      <c r="X133" s="61" t="str">
        <f t="shared" si="148"/>
        <v>-</v>
      </c>
      <c r="Y133" s="61" t="str">
        <f t="shared" si="148"/>
        <v>-</v>
      </c>
      <c r="Z133" s="61" t="str">
        <f t="shared" si="148"/>
        <v>-</v>
      </c>
      <c r="AA133" s="61" t="str">
        <f t="shared" si="148"/>
        <v>-</v>
      </c>
      <c r="AB133" s="61" t="str">
        <f t="shared" si="148"/>
        <v>-</v>
      </c>
      <c r="AC133" s="61" t="str">
        <f t="shared" si="148"/>
        <v>-</v>
      </c>
      <c r="AD133" s="61" t="str">
        <f t="shared" si="148"/>
        <v>-</v>
      </c>
      <c r="AE133" s="61" t="str">
        <f t="shared" si="148"/>
        <v>-</v>
      </c>
      <c r="AF133" s="61" t="str">
        <f t="shared" si="148"/>
        <v>-</v>
      </c>
      <c r="AG133" s="64" t="str">
        <f t="shared" si="148"/>
        <v>-</v>
      </c>
    </row>
    <row r="134" spans="3:33" ht="15" hidden="1" customHeight="1" outlineLevel="1">
      <c r="C134" s="34" t="s">
        <v>110</v>
      </c>
      <c r="D134" s="60" t="str">
        <f t="shared" ref="D134:AG134" si="149">IF($D$2=FALSE,"-",+D355+D356+D357)</f>
        <v>-</v>
      </c>
      <c r="E134" s="61" t="str">
        <f t="shared" si="149"/>
        <v>-</v>
      </c>
      <c r="F134" s="61" t="str">
        <f t="shared" si="149"/>
        <v>-</v>
      </c>
      <c r="G134" s="62" t="str">
        <f t="shared" si="149"/>
        <v>-</v>
      </c>
      <c r="H134" s="61" t="str">
        <f t="shared" si="149"/>
        <v>-</v>
      </c>
      <c r="I134" s="63" t="str">
        <f t="shared" si="149"/>
        <v>-</v>
      </c>
      <c r="J134" s="61" t="str">
        <f t="shared" si="149"/>
        <v>-</v>
      </c>
      <c r="K134" s="61" t="str">
        <f t="shared" si="149"/>
        <v>-</v>
      </c>
      <c r="L134" s="61" t="str">
        <f t="shared" si="149"/>
        <v>-</v>
      </c>
      <c r="M134" s="64" t="str">
        <f t="shared" si="149"/>
        <v>-</v>
      </c>
      <c r="N134" s="60" t="str">
        <f t="shared" si="149"/>
        <v>-</v>
      </c>
      <c r="O134" s="61" t="str">
        <f t="shared" si="149"/>
        <v>-</v>
      </c>
      <c r="P134" s="61" t="str">
        <f t="shared" si="149"/>
        <v>-</v>
      </c>
      <c r="Q134" s="61" t="str">
        <f t="shared" si="149"/>
        <v>-</v>
      </c>
      <c r="R134" s="61" t="str">
        <f t="shared" si="149"/>
        <v>-</v>
      </c>
      <c r="S134" s="61" t="str">
        <f t="shared" si="149"/>
        <v>-</v>
      </c>
      <c r="T134" s="61" t="str">
        <f t="shared" si="149"/>
        <v>-</v>
      </c>
      <c r="U134" s="61" t="str">
        <f t="shared" si="149"/>
        <v>-</v>
      </c>
      <c r="V134" s="61" t="str">
        <f t="shared" si="149"/>
        <v>-</v>
      </c>
      <c r="W134" s="61" t="str">
        <f t="shared" si="149"/>
        <v>-</v>
      </c>
      <c r="X134" s="61" t="str">
        <f t="shared" si="149"/>
        <v>-</v>
      </c>
      <c r="Y134" s="61" t="str">
        <f t="shared" si="149"/>
        <v>-</v>
      </c>
      <c r="Z134" s="61" t="str">
        <f t="shared" si="149"/>
        <v>-</v>
      </c>
      <c r="AA134" s="61" t="str">
        <f t="shared" si="149"/>
        <v>-</v>
      </c>
      <c r="AB134" s="61" t="str">
        <f t="shared" si="149"/>
        <v>-</v>
      </c>
      <c r="AC134" s="61" t="str">
        <f t="shared" si="149"/>
        <v>-</v>
      </c>
      <c r="AD134" s="61" t="str">
        <f t="shared" si="149"/>
        <v>-</v>
      </c>
      <c r="AE134" s="61" t="str">
        <f t="shared" si="149"/>
        <v>-</v>
      </c>
      <c r="AF134" s="61" t="str">
        <f t="shared" si="149"/>
        <v>-</v>
      </c>
      <c r="AG134" s="64" t="str">
        <f t="shared" si="149"/>
        <v>-</v>
      </c>
    </row>
    <row r="135" spans="3:33" ht="15" hidden="1" customHeight="1" outlineLevel="1">
      <c r="C135" s="34" t="s">
        <v>111</v>
      </c>
      <c r="D135" s="60" t="str">
        <f t="shared" ref="D135:AG135" si="150">IF($D$2=FALSE,"-",+D358+D359+D360)</f>
        <v>-</v>
      </c>
      <c r="E135" s="61" t="str">
        <f t="shared" si="150"/>
        <v>-</v>
      </c>
      <c r="F135" s="61" t="str">
        <f t="shared" si="150"/>
        <v>-</v>
      </c>
      <c r="G135" s="62" t="str">
        <f t="shared" si="150"/>
        <v>-</v>
      </c>
      <c r="H135" s="61" t="str">
        <f t="shared" si="150"/>
        <v>-</v>
      </c>
      <c r="I135" s="63" t="str">
        <f t="shared" si="150"/>
        <v>-</v>
      </c>
      <c r="J135" s="61" t="str">
        <f t="shared" si="150"/>
        <v>-</v>
      </c>
      <c r="K135" s="61" t="str">
        <f t="shared" si="150"/>
        <v>-</v>
      </c>
      <c r="L135" s="61" t="str">
        <f t="shared" si="150"/>
        <v>-</v>
      </c>
      <c r="M135" s="64" t="str">
        <f t="shared" si="150"/>
        <v>-</v>
      </c>
      <c r="N135" s="60" t="str">
        <f t="shared" si="150"/>
        <v>-</v>
      </c>
      <c r="O135" s="61" t="str">
        <f t="shared" si="150"/>
        <v>-</v>
      </c>
      <c r="P135" s="61" t="str">
        <f t="shared" si="150"/>
        <v>-</v>
      </c>
      <c r="Q135" s="61" t="str">
        <f t="shared" si="150"/>
        <v>-</v>
      </c>
      <c r="R135" s="61" t="str">
        <f t="shared" si="150"/>
        <v>-</v>
      </c>
      <c r="S135" s="61" t="str">
        <f t="shared" si="150"/>
        <v>-</v>
      </c>
      <c r="T135" s="61" t="str">
        <f t="shared" si="150"/>
        <v>-</v>
      </c>
      <c r="U135" s="61" t="str">
        <f t="shared" si="150"/>
        <v>-</v>
      </c>
      <c r="V135" s="61" t="str">
        <f t="shared" si="150"/>
        <v>-</v>
      </c>
      <c r="W135" s="61" t="str">
        <f t="shared" si="150"/>
        <v>-</v>
      </c>
      <c r="X135" s="61" t="str">
        <f t="shared" si="150"/>
        <v>-</v>
      </c>
      <c r="Y135" s="61" t="str">
        <f t="shared" si="150"/>
        <v>-</v>
      </c>
      <c r="Z135" s="61" t="str">
        <f t="shared" si="150"/>
        <v>-</v>
      </c>
      <c r="AA135" s="61" t="str">
        <f t="shared" si="150"/>
        <v>-</v>
      </c>
      <c r="AB135" s="61" t="str">
        <f t="shared" si="150"/>
        <v>-</v>
      </c>
      <c r="AC135" s="61" t="str">
        <f t="shared" si="150"/>
        <v>-</v>
      </c>
      <c r="AD135" s="61" t="str">
        <f t="shared" si="150"/>
        <v>-</v>
      </c>
      <c r="AE135" s="61" t="str">
        <f t="shared" si="150"/>
        <v>-</v>
      </c>
      <c r="AF135" s="61" t="str">
        <f t="shared" si="150"/>
        <v>-</v>
      </c>
      <c r="AG135" s="64" t="str">
        <f t="shared" si="150"/>
        <v>-</v>
      </c>
    </row>
    <row r="136" spans="3:33" ht="15" hidden="1" customHeight="1" outlineLevel="1">
      <c r="C136" s="34" t="s">
        <v>112</v>
      </c>
      <c r="D136" s="60" t="str">
        <f t="shared" ref="D136:AG136" si="151">IF($D$2=FALSE,"-",+D134+D135)</f>
        <v>-</v>
      </c>
      <c r="E136" s="61" t="str">
        <f t="shared" si="151"/>
        <v>-</v>
      </c>
      <c r="F136" s="61" t="str">
        <f t="shared" si="151"/>
        <v>-</v>
      </c>
      <c r="G136" s="62" t="str">
        <f t="shared" si="151"/>
        <v>-</v>
      </c>
      <c r="H136" s="61" t="str">
        <f t="shared" si="151"/>
        <v>-</v>
      </c>
      <c r="I136" s="63" t="str">
        <f t="shared" si="151"/>
        <v>-</v>
      </c>
      <c r="J136" s="61" t="str">
        <f t="shared" si="151"/>
        <v>-</v>
      </c>
      <c r="K136" s="61" t="str">
        <f t="shared" si="151"/>
        <v>-</v>
      </c>
      <c r="L136" s="61" t="str">
        <f t="shared" si="151"/>
        <v>-</v>
      </c>
      <c r="M136" s="64" t="str">
        <f t="shared" si="151"/>
        <v>-</v>
      </c>
      <c r="N136" s="60" t="str">
        <f t="shared" si="151"/>
        <v>-</v>
      </c>
      <c r="O136" s="61" t="str">
        <f t="shared" si="151"/>
        <v>-</v>
      </c>
      <c r="P136" s="61" t="str">
        <f t="shared" si="151"/>
        <v>-</v>
      </c>
      <c r="Q136" s="61" t="str">
        <f t="shared" si="151"/>
        <v>-</v>
      </c>
      <c r="R136" s="61" t="str">
        <f t="shared" si="151"/>
        <v>-</v>
      </c>
      <c r="S136" s="61" t="str">
        <f t="shared" si="151"/>
        <v>-</v>
      </c>
      <c r="T136" s="61" t="str">
        <f t="shared" si="151"/>
        <v>-</v>
      </c>
      <c r="U136" s="61" t="str">
        <f t="shared" si="151"/>
        <v>-</v>
      </c>
      <c r="V136" s="61" t="str">
        <f t="shared" si="151"/>
        <v>-</v>
      </c>
      <c r="W136" s="61" t="str">
        <f t="shared" si="151"/>
        <v>-</v>
      </c>
      <c r="X136" s="61" t="str">
        <f t="shared" si="151"/>
        <v>-</v>
      </c>
      <c r="Y136" s="61" t="str">
        <f t="shared" si="151"/>
        <v>-</v>
      </c>
      <c r="Z136" s="61" t="str">
        <f t="shared" si="151"/>
        <v>-</v>
      </c>
      <c r="AA136" s="61" t="str">
        <f t="shared" si="151"/>
        <v>-</v>
      </c>
      <c r="AB136" s="61" t="str">
        <f t="shared" si="151"/>
        <v>-</v>
      </c>
      <c r="AC136" s="61" t="str">
        <f t="shared" si="151"/>
        <v>-</v>
      </c>
      <c r="AD136" s="61" t="str">
        <f t="shared" si="151"/>
        <v>-</v>
      </c>
      <c r="AE136" s="61" t="str">
        <f t="shared" si="151"/>
        <v>-</v>
      </c>
      <c r="AF136" s="61" t="str">
        <f t="shared" si="151"/>
        <v>-</v>
      </c>
      <c r="AG136" s="64" t="str">
        <f t="shared" si="151"/>
        <v>-</v>
      </c>
    </row>
    <row r="137" spans="3:33" ht="15" hidden="1" customHeight="1" outlineLevel="1">
      <c r="C137" s="34" t="s">
        <v>113</v>
      </c>
      <c r="D137" s="60" t="str">
        <f t="shared" ref="D137:AG137" si="152">IF($D$2=FALSE,"-",+D362+D363+D364)</f>
        <v>-</v>
      </c>
      <c r="E137" s="61" t="str">
        <f t="shared" si="152"/>
        <v>-</v>
      </c>
      <c r="F137" s="61" t="str">
        <f t="shared" si="152"/>
        <v>-</v>
      </c>
      <c r="G137" s="62" t="str">
        <f t="shared" si="152"/>
        <v>-</v>
      </c>
      <c r="H137" s="61" t="str">
        <f t="shared" si="152"/>
        <v>-</v>
      </c>
      <c r="I137" s="63" t="str">
        <f t="shared" si="152"/>
        <v>-</v>
      </c>
      <c r="J137" s="61" t="str">
        <f t="shared" si="152"/>
        <v>-</v>
      </c>
      <c r="K137" s="61" t="str">
        <f t="shared" si="152"/>
        <v>-</v>
      </c>
      <c r="L137" s="61" t="str">
        <f t="shared" si="152"/>
        <v>-</v>
      </c>
      <c r="M137" s="64" t="str">
        <f t="shared" si="152"/>
        <v>-</v>
      </c>
      <c r="N137" s="60" t="str">
        <f t="shared" si="152"/>
        <v>-</v>
      </c>
      <c r="O137" s="61" t="str">
        <f t="shared" si="152"/>
        <v>-</v>
      </c>
      <c r="P137" s="61" t="str">
        <f t="shared" si="152"/>
        <v>-</v>
      </c>
      <c r="Q137" s="61" t="str">
        <f t="shared" si="152"/>
        <v>-</v>
      </c>
      <c r="R137" s="61" t="str">
        <f t="shared" si="152"/>
        <v>-</v>
      </c>
      <c r="S137" s="61" t="str">
        <f t="shared" si="152"/>
        <v>-</v>
      </c>
      <c r="T137" s="61" t="str">
        <f t="shared" si="152"/>
        <v>-</v>
      </c>
      <c r="U137" s="61" t="str">
        <f t="shared" si="152"/>
        <v>-</v>
      </c>
      <c r="V137" s="61" t="str">
        <f t="shared" si="152"/>
        <v>-</v>
      </c>
      <c r="W137" s="61" t="str">
        <f t="shared" si="152"/>
        <v>-</v>
      </c>
      <c r="X137" s="61" t="str">
        <f t="shared" si="152"/>
        <v>-</v>
      </c>
      <c r="Y137" s="61" t="str">
        <f t="shared" si="152"/>
        <v>-</v>
      </c>
      <c r="Z137" s="61" t="str">
        <f t="shared" si="152"/>
        <v>-</v>
      </c>
      <c r="AA137" s="61" t="str">
        <f t="shared" si="152"/>
        <v>-</v>
      </c>
      <c r="AB137" s="61" t="str">
        <f t="shared" si="152"/>
        <v>-</v>
      </c>
      <c r="AC137" s="61" t="str">
        <f t="shared" si="152"/>
        <v>-</v>
      </c>
      <c r="AD137" s="61" t="str">
        <f t="shared" si="152"/>
        <v>-</v>
      </c>
      <c r="AE137" s="61" t="str">
        <f t="shared" si="152"/>
        <v>-</v>
      </c>
      <c r="AF137" s="61" t="str">
        <f t="shared" si="152"/>
        <v>-</v>
      </c>
      <c r="AG137" s="64" t="str">
        <f t="shared" si="152"/>
        <v>-</v>
      </c>
    </row>
    <row r="138" spans="3:33" s="12" customFormat="1" ht="15" hidden="1" customHeight="1" outlineLevel="1">
      <c r="C138" s="70" t="s">
        <v>90</v>
      </c>
      <c r="D138" s="125" t="str">
        <f t="shared" ref="D138:AG138" si="153">IF($D$2=FALSE,"-",SUM(D131:D133)+SUM(D136:D137))</f>
        <v>-</v>
      </c>
      <c r="E138" s="126" t="str">
        <f t="shared" si="153"/>
        <v>-</v>
      </c>
      <c r="F138" s="126" t="str">
        <f t="shared" si="153"/>
        <v>-</v>
      </c>
      <c r="G138" s="127" t="str">
        <f t="shared" si="153"/>
        <v>-</v>
      </c>
      <c r="H138" s="126" t="str">
        <f t="shared" si="153"/>
        <v>-</v>
      </c>
      <c r="I138" s="128" t="str">
        <f t="shared" si="153"/>
        <v>-</v>
      </c>
      <c r="J138" s="126" t="str">
        <f t="shared" si="153"/>
        <v>-</v>
      </c>
      <c r="K138" s="126" t="str">
        <f t="shared" si="153"/>
        <v>-</v>
      </c>
      <c r="L138" s="126" t="str">
        <f t="shared" si="153"/>
        <v>-</v>
      </c>
      <c r="M138" s="129" t="str">
        <f t="shared" si="153"/>
        <v>-</v>
      </c>
      <c r="N138" s="125" t="str">
        <f t="shared" si="153"/>
        <v>-</v>
      </c>
      <c r="O138" s="126" t="str">
        <f t="shared" si="153"/>
        <v>-</v>
      </c>
      <c r="P138" s="126" t="str">
        <f t="shared" si="153"/>
        <v>-</v>
      </c>
      <c r="Q138" s="126" t="str">
        <f t="shared" si="153"/>
        <v>-</v>
      </c>
      <c r="R138" s="126" t="str">
        <f t="shared" si="153"/>
        <v>-</v>
      </c>
      <c r="S138" s="126" t="str">
        <f t="shared" si="153"/>
        <v>-</v>
      </c>
      <c r="T138" s="126" t="str">
        <f t="shared" si="153"/>
        <v>-</v>
      </c>
      <c r="U138" s="126" t="str">
        <f t="shared" si="153"/>
        <v>-</v>
      </c>
      <c r="V138" s="126" t="str">
        <f t="shared" si="153"/>
        <v>-</v>
      </c>
      <c r="W138" s="126" t="str">
        <f t="shared" si="153"/>
        <v>-</v>
      </c>
      <c r="X138" s="126" t="str">
        <f t="shared" si="153"/>
        <v>-</v>
      </c>
      <c r="Y138" s="126" t="str">
        <f t="shared" si="153"/>
        <v>-</v>
      </c>
      <c r="Z138" s="126" t="str">
        <f t="shared" si="153"/>
        <v>-</v>
      </c>
      <c r="AA138" s="126" t="str">
        <f t="shared" si="153"/>
        <v>-</v>
      </c>
      <c r="AB138" s="126" t="str">
        <f t="shared" si="153"/>
        <v>-</v>
      </c>
      <c r="AC138" s="126" t="str">
        <f t="shared" si="153"/>
        <v>-</v>
      </c>
      <c r="AD138" s="126" t="str">
        <f t="shared" si="153"/>
        <v>-</v>
      </c>
      <c r="AE138" s="126" t="str">
        <f t="shared" si="153"/>
        <v>-</v>
      </c>
      <c r="AF138" s="126" t="str">
        <f t="shared" si="153"/>
        <v>-</v>
      </c>
      <c r="AG138" s="129" t="str">
        <f t="shared" si="153"/>
        <v>-</v>
      </c>
    </row>
    <row r="139" spans="3:33" ht="15" hidden="1" customHeight="1" outlineLevel="1">
      <c r="C139" s="34" t="s">
        <v>114</v>
      </c>
      <c r="D139" s="60" t="str">
        <f t="shared" ref="D139:AG139" si="154">IF($D$2=FALSE,"-",+D372)</f>
        <v>-</v>
      </c>
      <c r="E139" s="61" t="str">
        <f t="shared" si="154"/>
        <v>-</v>
      </c>
      <c r="F139" s="61" t="str">
        <f t="shared" si="154"/>
        <v>-</v>
      </c>
      <c r="G139" s="62" t="str">
        <f t="shared" si="154"/>
        <v>-</v>
      </c>
      <c r="H139" s="61" t="str">
        <f t="shared" si="154"/>
        <v>-</v>
      </c>
      <c r="I139" s="63" t="str">
        <f t="shared" si="154"/>
        <v>-</v>
      </c>
      <c r="J139" s="61" t="str">
        <f t="shared" si="154"/>
        <v>-</v>
      </c>
      <c r="K139" s="61" t="str">
        <f t="shared" si="154"/>
        <v>-</v>
      </c>
      <c r="L139" s="61" t="str">
        <f t="shared" si="154"/>
        <v>-</v>
      </c>
      <c r="M139" s="64" t="str">
        <f t="shared" si="154"/>
        <v>-</v>
      </c>
      <c r="N139" s="60" t="str">
        <f t="shared" si="154"/>
        <v>-</v>
      </c>
      <c r="O139" s="61" t="str">
        <f t="shared" si="154"/>
        <v>-</v>
      </c>
      <c r="P139" s="61" t="str">
        <f t="shared" si="154"/>
        <v>-</v>
      </c>
      <c r="Q139" s="61" t="str">
        <f t="shared" si="154"/>
        <v>-</v>
      </c>
      <c r="R139" s="61" t="str">
        <f t="shared" si="154"/>
        <v>-</v>
      </c>
      <c r="S139" s="61" t="str">
        <f t="shared" si="154"/>
        <v>-</v>
      </c>
      <c r="T139" s="61" t="str">
        <f t="shared" si="154"/>
        <v>-</v>
      </c>
      <c r="U139" s="61" t="str">
        <f t="shared" si="154"/>
        <v>-</v>
      </c>
      <c r="V139" s="61" t="str">
        <f t="shared" si="154"/>
        <v>-</v>
      </c>
      <c r="W139" s="61" t="str">
        <f t="shared" si="154"/>
        <v>-</v>
      </c>
      <c r="X139" s="61" t="str">
        <f t="shared" si="154"/>
        <v>-</v>
      </c>
      <c r="Y139" s="61" t="str">
        <f t="shared" si="154"/>
        <v>-</v>
      </c>
      <c r="Z139" s="61" t="str">
        <f t="shared" si="154"/>
        <v>-</v>
      </c>
      <c r="AA139" s="61" t="str">
        <f t="shared" si="154"/>
        <v>-</v>
      </c>
      <c r="AB139" s="61" t="str">
        <f t="shared" si="154"/>
        <v>-</v>
      </c>
      <c r="AC139" s="61" t="str">
        <f t="shared" si="154"/>
        <v>-</v>
      </c>
      <c r="AD139" s="61" t="str">
        <f t="shared" si="154"/>
        <v>-</v>
      </c>
      <c r="AE139" s="61" t="str">
        <f t="shared" si="154"/>
        <v>-</v>
      </c>
      <c r="AF139" s="61" t="str">
        <f t="shared" si="154"/>
        <v>-</v>
      </c>
      <c r="AG139" s="64" t="str">
        <f t="shared" si="154"/>
        <v>-</v>
      </c>
    </row>
    <row r="140" spans="3:33" ht="15" hidden="1" customHeight="1" outlineLevel="1">
      <c r="C140" s="34" t="s">
        <v>115</v>
      </c>
      <c r="D140" s="60" t="str">
        <f t="shared" ref="D140:AG140" si="155">IF($D$2=FALSE,"-",-D373)</f>
        <v>-</v>
      </c>
      <c r="E140" s="61" t="str">
        <f t="shared" si="155"/>
        <v>-</v>
      </c>
      <c r="F140" s="61" t="str">
        <f t="shared" si="155"/>
        <v>-</v>
      </c>
      <c r="G140" s="62" t="str">
        <f t="shared" si="155"/>
        <v>-</v>
      </c>
      <c r="H140" s="61" t="str">
        <f t="shared" si="155"/>
        <v>-</v>
      </c>
      <c r="I140" s="63" t="str">
        <f t="shared" si="155"/>
        <v>-</v>
      </c>
      <c r="J140" s="61" t="str">
        <f t="shared" si="155"/>
        <v>-</v>
      </c>
      <c r="K140" s="61" t="str">
        <f t="shared" si="155"/>
        <v>-</v>
      </c>
      <c r="L140" s="61" t="str">
        <f t="shared" si="155"/>
        <v>-</v>
      </c>
      <c r="M140" s="64" t="str">
        <f t="shared" si="155"/>
        <v>-</v>
      </c>
      <c r="N140" s="60" t="str">
        <f t="shared" si="155"/>
        <v>-</v>
      </c>
      <c r="O140" s="61" t="str">
        <f t="shared" si="155"/>
        <v>-</v>
      </c>
      <c r="P140" s="61" t="str">
        <f t="shared" si="155"/>
        <v>-</v>
      </c>
      <c r="Q140" s="61" t="str">
        <f t="shared" si="155"/>
        <v>-</v>
      </c>
      <c r="R140" s="61" t="str">
        <f t="shared" si="155"/>
        <v>-</v>
      </c>
      <c r="S140" s="61" t="str">
        <f t="shared" si="155"/>
        <v>-</v>
      </c>
      <c r="T140" s="61" t="str">
        <f t="shared" si="155"/>
        <v>-</v>
      </c>
      <c r="U140" s="61" t="str">
        <f t="shared" si="155"/>
        <v>-</v>
      </c>
      <c r="V140" s="61" t="str">
        <f t="shared" si="155"/>
        <v>-</v>
      </c>
      <c r="W140" s="61" t="str">
        <f t="shared" si="155"/>
        <v>-</v>
      </c>
      <c r="X140" s="61" t="str">
        <f t="shared" si="155"/>
        <v>-</v>
      </c>
      <c r="Y140" s="61" t="str">
        <f t="shared" si="155"/>
        <v>-</v>
      </c>
      <c r="Z140" s="61" t="str">
        <f t="shared" si="155"/>
        <v>-</v>
      </c>
      <c r="AA140" s="61" t="str">
        <f t="shared" si="155"/>
        <v>-</v>
      </c>
      <c r="AB140" s="61" t="str">
        <f t="shared" si="155"/>
        <v>-</v>
      </c>
      <c r="AC140" s="61" t="str">
        <f t="shared" si="155"/>
        <v>-</v>
      </c>
      <c r="AD140" s="61" t="str">
        <f t="shared" si="155"/>
        <v>-</v>
      </c>
      <c r="AE140" s="61" t="str">
        <f t="shared" si="155"/>
        <v>-</v>
      </c>
      <c r="AF140" s="61" t="str">
        <f t="shared" si="155"/>
        <v>-</v>
      </c>
      <c r="AG140" s="64" t="str">
        <f t="shared" si="155"/>
        <v>-</v>
      </c>
    </row>
    <row r="141" spans="3:33" ht="15" hidden="1" customHeight="1" outlineLevel="1">
      <c r="C141" s="34" t="s">
        <v>116</v>
      </c>
      <c r="D141" s="60" t="str">
        <f t="shared" ref="D141:AG141" si="156">IF($D$2=FALSE,"-",+D139+D140)</f>
        <v>-</v>
      </c>
      <c r="E141" s="61" t="str">
        <f t="shared" si="156"/>
        <v>-</v>
      </c>
      <c r="F141" s="61" t="str">
        <f t="shared" si="156"/>
        <v>-</v>
      </c>
      <c r="G141" s="62" t="str">
        <f t="shared" si="156"/>
        <v>-</v>
      </c>
      <c r="H141" s="61" t="str">
        <f t="shared" si="156"/>
        <v>-</v>
      </c>
      <c r="I141" s="63" t="str">
        <f t="shared" si="156"/>
        <v>-</v>
      </c>
      <c r="J141" s="61" t="str">
        <f t="shared" si="156"/>
        <v>-</v>
      </c>
      <c r="K141" s="61" t="str">
        <f t="shared" si="156"/>
        <v>-</v>
      </c>
      <c r="L141" s="61" t="str">
        <f t="shared" si="156"/>
        <v>-</v>
      </c>
      <c r="M141" s="64" t="str">
        <f t="shared" si="156"/>
        <v>-</v>
      </c>
      <c r="N141" s="60" t="str">
        <f t="shared" si="156"/>
        <v>-</v>
      </c>
      <c r="O141" s="61" t="str">
        <f t="shared" si="156"/>
        <v>-</v>
      </c>
      <c r="P141" s="61" t="str">
        <f t="shared" si="156"/>
        <v>-</v>
      </c>
      <c r="Q141" s="61" t="str">
        <f t="shared" si="156"/>
        <v>-</v>
      </c>
      <c r="R141" s="61" t="str">
        <f t="shared" si="156"/>
        <v>-</v>
      </c>
      <c r="S141" s="61" t="str">
        <f t="shared" si="156"/>
        <v>-</v>
      </c>
      <c r="T141" s="61" t="str">
        <f t="shared" si="156"/>
        <v>-</v>
      </c>
      <c r="U141" s="61" t="str">
        <f t="shared" si="156"/>
        <v>-</v>
      </c>
      <c r="V141" s="61" t="str">
        <f t="shared" si="156"/>
        <v>-</v>
      </c>
      <c r="W141" s="61" t="str">
        <f t="shared" si="156"/>
        <v>-</v>
      </c>
      <c r="X141" s="61" t="str">
        <f t="shared" si="156"/>
        <v>-</v>
      </c>
      <c r="Y141" s="61" t="str">
        <f t="shared" si="156"/>
        <v>-</v>
      </c>
      <c r="Z141" s="61" t="str">
        <f t="shared" si="156"/>
        <v>-</v>
      </c>
      <c r="AA141" s="61" t="str">
        <f t="shared" si="156"/>
        <v>-</v>
      </c>
      <c r="AB141" s="61" t="str">
        <f t="shared" si="156"/>
        <v>-</v>
      </c>
      <c r="AC141" s="61" t="str">
        <f t="shared" si="156"/>
        <v>-</v>
      </c>
      <c r="AD141" s="61" t="str">
        <f t="shared" si="156"/>
        <v>-</v>
      </c>
      <c r="AE141" s="61" t="str">
        <f t="shared" si="156"/>
        <v>-</v>
      </c>
      <c r="AF141" s="61" t="str">
        <f t="shared" si="156"/>
        <v>-</v>
      </c>
      <c r="AG141" s="64" t="str">
        <f t="shared" si="156"/>
        <v>-</v>
      </c>
    </row>
    <row r="142" spans="3:33" ht="15" hidden="1" customHeight="1" outlineLevel="1">
      <c r="C142" s="34" t="s">
        <v>117</v>
      </c>
      <c r="D142" s="60" t="str">
        <f t="shared" ref="D142:AG142" si="157">IF($D$2=FALSE,"-",+D375)</f>
        <v>-</v>
      </c>
      <c r="E142" s="61" t="str">
        <f t="shared" si="157"/>
        <v>-</v>
      </c>
      <c r="F142" s="61" t="str">
        <f t="shared" si="157"/>
        <v>-</v>
      </c>
      <c r="G142" s="62" t="str">
        <f t="shared" si="157"/>
        <v>-</v>
      </c>
      <c r="H142" s="61" t="str">
        <f t="shared" si="157"/>
        <v>-</v>
      </c>
      <c r="I142" s="63" t="str">
        <f t="shared" si="157"/>
        <v>-</v>
      </c>
      <c r="J142" s="61" t="str">
        <f t="shared" si="157"/>
        <v>-</v>
      </c>
      <c r="K142" s="61" t="str">
        <f t="shared" si="157"/>
        <v>-</v>
      </c>
      <c r="L142" s="61" t="str">
        <f t="shared" si="157"/>
        <v>-</v>
      </c>
      <c r="M142" s="64" t="str">
        <f t="shared" si="157"/>
        <v>-</v>
      </c>
      <c r="N142" s="60" t="str">
        <f t="shared" si="157"/>
        <v>-</v>
      </c>
      <c r="O142" s="61" t="str">
        <f t="shared" si="157"/>
        <v>-</v>
      </c>
      <c r="P142" s="61" t="str">
        <f t="shared" si="157"/>
        <v>-</v>
      </c>
      <c r="Q142" s="61" t="str">
        <f t="shared" si="157"/>
        <v>-</v>
      </c>
      <c r="R142" s="61" t="str">
        <f t="shared" si="157"/>
        <v>-</v>
      </c>
      <c r="S142" s="61" t="str">
        <f t="shared" si="157"/>
        <v>-</v>
      </c>
      <c r="T142" s="61" t="str">
        <f t="shared" si="157"/>
        <v>-</v>
      </c>
      <c r="U142" s="61" t="str">
        <f t="shared" si="157"/>
        <v>-</v>
      </c>
      <c r="V142" s="61" t="str">
        <f t="shared" si="157"/>
        <v>-</v>
      </c>
      <c r="W142" s="61" t="str">
        <f t="shared" si="157"/>
        <v>-</v>
      </c>
      <c r="X142" s="61" t="str">
        <f t="shared" si="157"/>
        <v>-</v>
      </c>
      <c r="Y142" s="61" t="str">
        <f t="shared" si="157"/>
        <v>-</v>
      </c>
      <c r="Z142" s="61" t="str">
        <f t="shared" si="157"/>
        <v>-</v>
      </c>
      <c r="AA142" s="61" t="str">
        <f t="shared" si="157"/>
        <v>-</v>
      </c>
      <c r="AB142" s="61" t="str">
        <f t="shared" si="157"/>
        <v>-</v>
      </c>
      <c r="AC142" s="61" t="str">
        <f t="shared" si="157"/>
        <v>-</v>
      </c>
      <c r="AD142" s="61" t="str">
        <f t="shared" si="157"/>
        <v>-</v>
      </c>
      <c r="AE142" s="61" t="str">
        <f t="shared" si="157"/>
        <v>-</v>
      </c>
      <c r="AF142" s="61" t="str">
        <f t="shared" si="157"/>
        <v>-</v>
      </c>
      <c r="AG142" s="64" t="str">
        <f t="shared" si="157"/>
        <v>-</v>
      </c>
    </row>
    <row r="143" spans="3:33" ht="15" hidden="1" customHeight="1" outlineLevel="1">
      <c r="C143" s="34" t="s">
        <v>118</v>
      </c>
      <c r="D143" s="60" t="str">
        <f t="shared" ref="D143:AG143" si="158">IF($D$2=FALSE,"-",+D376+D377+D378)</f>
        <v>-</v>
      </c>
      <c r="E143" s="61" t="str">
        <f t="shared" si="158"/>
        <v>-</v>
      </c>
      <c r="F143" s="61" t="str">
        <f t="shared" si="158"/>
        <v>-</v>
      </c>
      <c r="G143" s="62" t="str">
        <f t="shared" si="158"/>
        <v>-</v>
      </c>
      <c r="H143" s="61" t="str">
        <f t="shared" si="158"/>
        <v>-</v>
      </c>
      <c r="I143" s="63" t="str">
        <f t="shared" si="158"/>
        <v>-</v>
      </c>
      <c r="J143" s="61" t="str">
        <f t="shared" si="158"/>
        <v>-</v>
      </c>
      <c r="K143" s="61" t="str">
        <f t="shared" si="158"/>
        <v>-</v>
      </c>
      <c r="L143" s="61" t="str">
        <f t="shared" si="158"/>
        <v>-</v>
      </c>
      <c r="M143" s="64" t="str">
        <f t="shared" si="158"/>
        <v>-</v>
      </c>
      <c r="N143" s="60" t="str">
        <f t="shared" si="158"/>
        <v>-</v>
      </c>
      <c r="O143" s="61" t="str">
        <f t="shared" si="158"/>
        <v>-</v>
      </c>
      <c r="P143" s="61" t="str">
        <f t="shared" si="158"/>
        <v>-</v>
      </c>
      <c r="Q143" s="61" t="str">
        <f t="shared" si="158"/>
        <v>-</v>
      </c>
      <c r="R143" s="61" t="str">
        <f t="shared" si="158"/>
        <v>-</v>
      </c>
      <c r="S143" s="61" t="str">
        <f t="shared" si="158"/>
        <v>-</v>
      </c>
      <c r="T143" s="61" t="str">
        <f t="shared" si="158"/>
        <v>-</v>
      </c>
      <c r="U143" s="61" t="str">
        <f t="shared" si="158"/>
        <v>-</v>
      </c>
      <c r="V143" s="61" t="str">
        <f t="shared" si="158"/>
        <v>-</v>
      </c>
      <c r="W143" s="61" t="str">
        <f t="shared" si="158"/>
        <v>-</v>
      </c>
      <c r="X143" s="61" t="str">
        <f t="shared" si="158"/>
        <v>-</v>
      </c>
      <c r="Y143" s="61" t="str">
        <f t="shared" si="158"/>
        <v>-</v>
      </c>
      <c r="Z143" s="61" t="str">
        <f t="shared" si="158"/>
        <v>-</v>
      </c>
      <c r="AA143" s="61" t="str">
        <f t="shared" si="158"/>
        <v>-</v>
      </c>
      <c r="AB143" s="61" t="str">
        <f t="shared" si="158"/>
        <v>-</v>
      </c>
      <c r="AC143" s="61" t="str">
        <f t="shared" si="158"/>
        <v>-</v>
      </c>
      <c r="AD143" s="61" t="str">
        <f t="shared" si="158"/>
        <v>-</v>
      </c>
      <c r="AE143" s="61" t="str">
        <f t="shared" si="158"/>
        <v>-</v>
      </c>
      <c r="AF143" s="61" t="str">
        <f t="shared" si="158"/>
        <v>-</v>
      </c>
      <c r="AG143" s="64" t="str">
        <f t="shared" si="158"/>
        <v>-</v>
      </c>
    </row>
    <row r="144" spans="3:33" s="12" customFormat="1" ht="15" hidden="1" customHeight="1" outlineLevel="1">
      <c r="C144" s="70" t="s">
        <v>119</v>
      </c>
      <c r="D144" s="125" t="str">
        <f t="shared" ref="D144:AG144" si="159">IF($D$2=FALSE,"-",SUM(D141:D143))</f>
        <v>-</v>
      </c>
      <c r="E144" s="126" t="str">
        <f t="shared" si="159"/>
        <v>-</v>
      </c>
      <c r="F144" s="126" t="str">
        <f t="shared" si="159"/>
        <v>-</v>
      </c>
      <c r="G144" s="127" t="str">
        <f t="shared" si="159"/>
        <v>-</v>
      </c>
      <c r="H144" s="126" t="str">
        <f t="shared" si="159"/>
        <v>-</v>
      </c>
      <c r="I144" s="128" t="str">
        <f t="shared" si="159"/>
        <v>-</v>
      </c>
      <c r="J144" s="126" t="str">
        <f t="shared" si="159"/>
        <v>-</v>
      </c>
      <c r="K144" s="126" t="str">
        <f t="shared" si="159"/>
        <v>-</v>
      </c>
      <c r="L144" s="126" t="str">
        <f t="shared" si="159"/>
        <v>-</v>
      </c>
      <c r="M144" s="129" t="str">
        <f t="shared" si="159"/>
        <v>-</v>
      </c>
      <c r="N144" s="125" t="str">
        <f t="shared" si="159"/>
        <v>-</v>
      </c>
      <c r="O144" s="126" t="str">
        <f t="shared" si="159"/>
        <v>-</v>
      </c>
      <c r="P144" s="126" t="str">
        <f t="shared" si="159"/>
        <v>-</v>
      </c>
      <c r="Q144" s="126" t="str">
        <f t="shared" si="159"/>
        <v>-</v>
      </c>
      <c r="R144" s="126" t="str">
        <f t="shared" si="159"/>
        <v>-</v>
      </c>
      <c r="S144" s="126" t="str">
        <f t="shared" si="159"/>
        <v>-</v>
      </c>
      <c r="T144" s="126" t="str">
        <f t="shared" si="159"/>
        <v>-</v>
      </c>
      <c r="U144" s="126" t="str">
        <f t="shared" si="159"/>
        <v>-</v>
      </c>
      <c r="V144" s="126" t="str">
        <f t="shared" si="159"/>
        <v>-</v>
      </c>
      <c r="W144" s="126" t="str">
        <f t="shared" si="159"/>
        <v>-</v>
      </c>
      <c r="X144" s="126" t="str">
        <f t="shared" si="159"/>
        <v>-</v>
      </c>
      <c r="Y144" s="126" t="str">
        <f t="shared" si="159"/>
        <v>-</v>
      </c>
      <c r="Z144" s="126" t="str">
        <f t="shared" si="159"/>
        <v>-</v>
      </c>
      <c r="AA144" s="126" t="str">
        <f t="shared" si="159"/>
        <v>-</v>
      </c>
      <c r="AB144" s="126" t="str">
        <f t="shared" si="159"/>
        <v>-</v>
      </c>
      <c r="AC144" s="126" t="str">
        <f t="shared" si="159"/>
        <v>-</v>
      </c>
      <c r="AD144" s="126" t="str">
        <f t="shared" si="159"/>
        <v>-</v>
      </c>
      <c r="AE144" s="126" t="str">
        <f t="shared" si="159"/>
        <v>-</v>
      </c>
      <c r="AF144" s="126" t="str">
        <f t="shared" si="159"/>
        <v>-</v>
      </c>
      <c r="AG144" s="129" t="str">
        <f t="shared" si="159"/>
        <v>-</v>
      </c>
    </row>
    <row r="145" spans="3:33" s="12" customFormat="1" ht="15" hidden="1" customHeight="1" outlineLevel="1">
      <c r="C145" s="70" t="s">
        <v>120</v>
      </c>
      <c r="D145" s="125" t="str">
        <f t="shared" ref="D145:AG145" si="160">IF($D$2=FALSE,"-",+D138+D144)</f>
        <v>-</v>
      </c>
      <c r="E145" s="126" t="str">
        <f t="shared" si="160"/>
        <v>-</v>
      </c>
      <c r="F145" s="126" t="str">
        <f t="shared" si="160"/>
        <v>-</v>
      </c>
      <c r="G145" s="127" t="str">
        <f t="shared" si="160"/>
        <v>-</v>
      </c>
      <c r="H145" s="126" t="str">
        <f t="shared" si="160"/>
        <v>-</v>
      </c>
      <c r="I145" s="128" t="str">
        <f t="shared" si="160"/>
        <v>-</v>
      </c>
      <c r="J145" s="126" t="str">
        <f t="shared" si="160"/>
        <v>-</v>
      </c>
      <c r="K145" s="126" t="str">
        <f t="shared" si="160"/>
        <v>-</v>
      </c>
      <c r="L145" s="126" t="str">
        <f t="shared" si="160"/>
        <v>-</v>
      </c>
      <c r="M145" s="129" t="str">
        <f t="shared" si="160"/>
        <v>-</v>
      </c>
      <c r="N145" s="125" t="str">
        <f t="shared" si="160"/>
        <v>-</v>
      </c>
      <c r="O145" s="126" t="str">
        <f t="shared" si="160"/>
        <v>-</v>
      </c>
      <c r="P145" s="126" t="str">
        <f t="shared" si="160"/>
        <v>-</v>
      </c>
      <c r="Q145" s="126" t="str">
        <f t="shared" si="160"/>
        <v>-</v>
      </c>
      <c r="R145" s="126" t="str">
        <f t="shared" si="160"/>
        <v>-</v>
      </c>
      <c r="S145" s="126" t="str">
        <f t="shared" si="160"/>
        <v>-</v>
      </c>
      <c r="T145" s="126" t="str">
        <f t="shared" si="160"/>
        <v>-</v>
      </c>
      <c r="U145" s="126" t="str">
        <f t="shared" si="160"/>
        <v>-</v>
      </c>
      <c r="V145" s="126" t="str">
        <f t="shared" si="160"/>
        <v>-</v>
      </c>
      <c r="W145" s="126" t="str">
        <f t="shared" si="160"/>
        <v>-</v>
      </c>
      <c r="X145" s="126" t="str">
        <f t="shared" si="160"/>
        <v>-</v>
      </c>
      <c r="Y145" s="126" t="str">
        <f t="shared" si="160"/>
        <v>-</v>
      </c>
      <c r="Z145" s="126" t="str">
        <f t="shared" si="160"/>
        <v>-</v>
      </c>
      <c r="AA145" s="126" t="str">
        <f t="shared" si="160"/>
        <v>-</v>
      </c>
      <c r="AB145" s="126" t="str">
        <f t="shared" si="160"/>
        <v>-</v>
      </c>
      <c r="AC145" s="126" t="str">
        <f t="shared" si="160"/>
        <v>-</v>
      </c>
      <c r="AD145" s="126" t="str">
        <f t="shared" si="160"/>
        <v>-</v>
      </c>
      <c r="AE145" s="126" t="str">
        <f t="shared" si="160"/>
        <v>-</v>
      </c>
      <c r="AF145" s="126" t="str">
        <f t="shared" si="160"/>
        <v>-</v>
      </c>
      <c r="AG145" s="129" t="str">
        <f t="shared" si="160"/>
        <v>-</v>
      </c>
    </row>
    <row r="146" spans="3:33" ht="15" hidden="1" customHeight="1" outlineLevel="1">
      <c r="C146" s="34" t="s">
        <v>121</v>
      </c>
      <c r="D146" s="60" t="str">
        <f t="shared" ref="D146:AG146" si="161">IF($D$2=FALSE,"-",+D382+D383+D386)</f>
        <v>-</v>
      </c>
      <c r="E146" s="61" t="str">
        <f t="shared" si="161"/>
        <v>-</v>
      </c>
      <c r="F146" s="61" t="str">
        <f t="shared" si="161"/>
        <v>-</v>
      </c>
      <c r="G146" s="62" t="str">
        <f t="shared" si="161"/>
        <v>-</v>
      </c>
      <c r="H146" s="61" t="str">
        <f t="shared" si="161"/>
        <v>-</v>
      </c>
      <c r="I146" s="63" t="str">
        <f t="shared" si="161"/>
        <v>-</v>
      </c>
      <c r="J146" s="61" t="str">
        <f t="shared" si="161"/>
        <v>-</v>
      </c>
      <c r="K146" s="61" t="str">
        <f t="shared" si="161"/>
        <v>-</v>
      </c>
      <c r="L146" s="61" t="str">
        <f t="shared" si="161"/>
        <v>-</v>
      </c>
      <c r="M146" s="64" t="str">
        <f t="shared" si="161"/>
        <v>-</v>
      </c>
      <c r="N146" s="60" t="str">
        <f t="shared" si="161"/>
        <v>-</v>
      </c>
      <c r="O146" s="61" t="str">
        <f t="shared" si="161"/>
        <v>-</v>
      </c>
      <c r="P146" s="61" t="str">
        <f t="shared" si="161"/>
        <v>-</v>
      </c>
      <c r="Q146" s="61" t="str">
        <f t="shared" si="161"/>
        <v>-</v>
      </c>
      <c r="R146" s="61" t="str">
        <f t="shared" si="161"/>
        <v>-</v>
      </c>
      <c r="S146" s="61" t="str">
        <f t="shared" si="161"/>
        <v>-</v>
      </c>
      <c r="T146" s="61" t="str">
        <f t="shared" si="161"/>
        <v>-</v>
      </c>
      <c r="U146" s="61" t="str">
        <f t="shared" si="161"/>
        <v>-</v>
      </c>
      <c r="V146" s="61" t="str">
        <f t="shared" si="161"/>
        <v>-</v>
      </c>
      <c r="W146" s="61" t="str">
        <f t="shared" si="161"/>
        <v>-</v>
      </c>
      <c r="X146" s="61" t="str">
        <f t="shared" si="161"/>
        <v>-</v>
      </c>
      <c r="Y146" s="61" t="str">
        <f t="shared" si="161"/>
        <v>-</v>
      </c>
      <c r="Z146" s="61" t="str">
        <f t="shared" si="161"/>
        <v>-</v>
      </c>
      <c r="AA146" s="61" t="str">
        <f t="shared" si="161"/>
        <v>-</v>
      </c>
      <c r="AB146" s="61" t="str">
        <f t="shared" si="161"/>
        <v>-</v>
      </c>
      <c r="AC146" s="61" t="str">
        <f t="shared" si="161"/>
        <v>-</v>
      </c>
      <c r="AD146" s="61" t="str">
        <f t="shared" si="161"/>
        <v>-</v>
      </c>
      <c r="AE146" s="61" t="str">
        <f t="shared" si="161"/>
        <v>-</v>
      </c>
      <c r="AF146" s="61" t="str">
        <f t="shared" si="161"/>
        <v>-</v>
      </c>
      <c r="AG146" s="64" t="str">
        <f t="shared" si="161"/>
        <v>-</v>
      </c>
    </row>
    <row r="147" spans="3:33" ht="15" hidden="1" customHeight="1" outlineLevel="1">
      <c r="C147" s="34" t="s">
        <v>93</v>
      </c>
      <c r="D147" s="60" t="str">
        <f t="shared" ref="D147:AG147" si="162">IF($D$2=FALSE,"-",+D384)</f>
        <v>-</v>
      </c>
      <c r="E147" s="61" t="str">
        <f t="shared" si="162"/>
        <v>-</v>
      </c>
      <c r="F147" s="61" t="str">
        <f t="shared" si="162"/>
        <v>-</v>
      </c>
      <c r="G147" s="62" t="str">
        <f t="shared" si="162"/>
        <v>-</v>
      </c>
      <c r="H147" s="61" t="str">
        <f t="shared" si="162"/>
        <v>-</v>
      </c>
      <c r="I147" s="63" t="str">
        <f t="shared" si="162"/>
        <v>-</v>
      </c>
      <c r="J147" s="61" t="str">
        <f t="shared" si="162"/>
        <v>-</v>
      </c>
      <c r="K147" s="61" t="str">
        <f t="shared" si="162"/>
        <v>-</v>
      </c>
      <c r="L147" s="61" t="str">
        <f t="shared" si="162"/>
        <v>-</v>
      </c>
      <c r="M147" s="64" t="str">
        <f t="shared" si="162"/>
        <v>-</v>
      </c>
      <c r="N147" s="60" t="str">
        <f t="shared" si="162"/>
        <v>-</v>
      </c>
      <c r="O147" s="61" t="str">
        <f t="shared" si="162"/>
        <v>-</v>
      </c>
      <c r="P147" s="61" t="str">
        <f t="shared" si="162"/>
        <v>-</v>
      </c>
      <c r="Q147" s="61" t="str">
        <f t="shared" si="162"/>
        <v>-</v>
      </c>
      <c r="R147" s="61" t="str">
        <f t="shared" si="162"/>
        <v>-</v>
      </c>
      <c r="S147" s="61" t="str">
        <f t="shared" si="162"/>
        <v>-</v>
      </c>
      <c r="T147" s="61" t="str">
        <f t="shared" si="162"/>
        <v>-</v>
      </c>
      <c r="U147" s="61" t="str">
        <f t="shared" si="162"/>
        <v>-</v>
      </c>
      <c r="V147" s="61" t="str">
        <f t="shared" si="162"/>
        <v>-</v>
      </c>
      <c r="W147" s="61" t="str">
        <f t="shared" si="162"/>
        <v>-</v>
      </c>
      <c r="X147" s="61" t="str">
        <f t="shared" si="162"/>
        <v>-</v>
      </c>
      <c r="Y147" s="61" t="str">
        <f t="shared" si="162"/>
        <v>-</v>
      </c>
      <c r="Z147" s="61" t="str">
        <f t="shared" si="162"/>
        <v>-</v>
      </c>
      <c r="AA147" s="61" t="str">
        <f t="shared" si="162"/>
        <v>-</v>
      </c>
      <c r="AB147" s="61" t="str">
        <f t="shared" si="162"/>
        <v>-</v>
      </c>
      <c r="AC147" s="61" t="str">
        <f t="shared" si="162"/>
        <v>-</v>
      </c>
      <c r="AD147" s="61" t="str">
        <f t="shared" si="162"/>
        <v>-</v>
      </c>
      <c r="AE147" s="61" t="str">
        <f t="shared" si="162"/>
        <v>-</v>
      </c>
      <c r="AF147" s="61" t="str">
        <f t="shared" si="162"/>
        <v>-</v>
      </c>
      <c r="AG147" s="64" t="str">
        <f t="shared" si="162"/>
        <v>-</v>
      </c>
    </row>
    <row r="148" spans="3:33" ht="15" hidden="1" customHeight="1" outlineLevel="1">
      <c r="C148" s="34" t="s">
        <v>122</v>
      </c>
      <c r="D148" s="60" t="str">
        <f t="shared" ref="D148:AG148" si="163">IF($D$2=FALSE,"-",D387+D388+D389+D385)</f>
        <v>-</v>
      </c>
      <c r="E148" s="61" t="str">
        <f t="shared" si="163"/>
        <v>-</v>
      </c>
      <c r="F148" s="61" t="str">
        <f t="shared" si="163"/>
        <v>-</v>
      </c>
      <c r="G148" s="62" t="str">
        <f t="shared" si="163"/>
        <v>-</v>
      </c>
      <c r="H148" s="61" t="str">
        <f t="shared" si="163"/>
        <v>-</v>
      </c>
      <c r="I148" s="63" t="str">
        <f t="shared" si="163"/>
        <v>-</v>
      </c>
      <c r="J148" s="61" t="str">
        <f t="shared" si="163"/>
        <v>-</v>
      </c>
      <c r="K148" s="61" t="str">
        <f t="shared" si="163"/>
        <v>-</v>
      </c>
      <c r="L148" s="61" t="str">
        <f t="shared" si="163"/>
        <v>-</v>
      </c>
      <c r="M148" s="64" t="str">
        <f t="shared" si="163"/>
        <v>-</v>
      </c>
      <c r="N148" s="60" t="str">
        <f t="shared" si="163"/>
        <v>-</v>
      </c>
      <c r="O148" s="61" t="str">
        <f t="shared" si="163"/>
        <v>-</v>
      </c>
      <c r="P148" s="61" t="str">
        <f t="shared" si="163"/>
        <v>-</v>
      </c>
      <c r="Q148" s="61" t="str">
        <f t="shared" si="163"/>
        <v>-</v>
      </c>
      <c r="R148" s="61" t="str">
        <f t="shared" si="163"/>
        <v>-</v>
      </c>
      <c r="S148" s="61" t="str">
        <f t="shared" si="163"/>
        <v>-</v>
      </c>
      <c r="T148" s="61" t="str">
        <f t="shared" si="163"/>
        <v>-</v>
      </c>
      <c r="U148" s="61" t="str">
        <f t="shared" si="163"/>
        <v>-</v>
      </c>
      <c r="V148" s="61" t="str">
        <f t="shared" si="163"/>
        <v>-</v>
      </c>
      <c r="W148" s="61" t="str">
        <f t="shared" si="163"/>
        <v>-</v>
      </c>
      <c r="X148" s="61" t="str">
        <f t="shared" si="163"/>
        <v>-</v>
      </c>
      <c r="Y148" s="61" t="str">
        <f t="shared" si="163"/>
        <v>-</v>
      </c>
      <c r="Z148" s="61" t="str">
        <f t="shared" si="163"/>
        <v>-</v>
      </c>
      <c r="AA148" s="61" t="str">
        <f t="shared" si="163"/>
        <v>-</v>
      </c>
      <c r="AB148" s="61" t="str">
        <f t="shared" si="163"/>
        <v>-</v>
      </c>
      <c r="AC148" s="61" t="str">
        <f t="shared" si="163"/>
        <v>-</v>
      </c>
      <c r="AD148" s="61" t="str">
        <f t="shared" si="163"/>
        <v>-</v>
      </c>
      <c r="AE148" s="61" t="str">
        <f t="shared" si="163"/>
        <v>-</v>
      </c>
      <c r="AF148" s="61" t="str">
        <f t="shared" si="163"/>
        <v>-</v>
      </c>
      <c r="AG148" s="64" t="str">
        <f t="shared" si="163"/>
        <v>-</v>
      </c>
    </row>
    <row r="149" spans="3:33" s="12" customFormat="1" ht="15" hidden="1" customHeight="1" outlineLevel="1">
      <c r="C149" s="70" t="s">
        <v>92</v>
      </c>
      <c r="D149" s="125" t="str">
        <f t="shared" ref="D149:AG149" si="164">IF($D$2=FALSE,"-",SUM(D146:D148))</f>
        <v>-</v>
      </c>
      <c r="E149" s="126" t="str">
        <f t="shared" si="164"/>
        <v>-</v>
      </c>
      <c r="F149" s="126" t="str">
        <f t="shared" si="164"/>
        <v>-</v>
      </c>
      <c r="G149" s="127" t="str">
        <f t="shared" si="164"/>
        <v>-</v>
      </c>
      <c r="H149" s="126" t="str">
        <f t="shared" si="164"/>
        <v>-</v>
      </c>
      <c r="I149" s="128" t="str">
        <f t="shared" si="164"/>
        <v>-</v>
      </c>
      <c r="J149" s="126" t="str">
        <f t="shared" si="164"/>
        <v>-</v>
      </c>
      <c r="K149" s="126" t="str">
        <f t="shared" si="164"/>
        <v>-</v>
      </c>
      <c r="L149" s="126" t="str">
        <f t="shared" si="164"/>
        <v>-</v>
      </c>
      <c r="M149" s="129" t="str">
        <f t="shared" si="164"/>
        <v>-</v>
      </c>
      <c r="N149" s="125" t="str">
        <f t="shared" si="164"/>
        <v>-</v>
      </c>
      <c r="O149" s="126" t="str">
        <f t="shared" si="164"/>
        <v>-</v>
      </c>
      <c r="P149" s="126" t="str">
        <f t="shared" si="164"/>
        <v>-</v>
      </c>
      <c r="Q149" s="126" t="str">
        <f t="shared" si="164"/>
        <v>-</v>
      </c>
      <c r="R149" s="126" t="str">
        <f t="shared" si="164"/>
        <v>-</v>
      </c>
      <c r="S149" s="126" t="str">
        <f t="shared" si="164"/>
        <v>-</v>
      </c>
      <c r="T149" s="126" t="str">
        <f t="shared" si="164"/>
        <v>-</v>
      </c>
      <c r="U149" s="126" t="str">
        <f t="shared" si="164"/>
        <v>-</v>
      </c>
      <c r="V149" s="126" t="str">
        <f t="shared" si="164"/>
        <v>-</v>
      </c>
      <c r="W149" s="126" t="str">
        <f t="shared" si="164"/>
        <v>-</v>
      </c>
      <c r="X149" s="126" t="str">
        <f t="shared" si="164"/>
        <v>-</v>
      </c>
      <c r="Y149" s="126" t="str">
        <f t="shared" si="164"/>
        <v>-</v>
      </c>
      <c r="Z149" s="126" t="str">
        <f t="shared" si="164"/>
        <v>-</v>
      </c>
      <c r="AA149" s="126" t="str">
        <f t="shared" si="164"/>
        <v>-</v>
      </c>
      <c r="AB149" s="126" t="str">
        <f t="shared" si="164"/>
        <v>-</v>
      </c>
      <c r="AC149" s="126" t="str">
        <f t="shared" si="164"/>
        <v>-</v>
      </c>
      <c r="AD149" s="126" t="str">
        <f t="shared" si="164"/>
        <v>-</v>
      </c>
      <c r="AE149" s="126" t="str">
        <f t="shared" si="164"/>
        <v>-</v>
      </c>
      <c r="AF149" s="126" t="str">
        <f t="shared" si="164"/>
        <v>-</v>
      </c>
      <c r="AG149" s="129" t="str">
        <f t="shared" si="164"/>
        <v>-</v>
      </c>
    </row>
    <row r="150" spans="3:33" ht="15" hidden="1" customHeight="1" outlineLevel="1">
      <c r="C150" s="34" t="s">
        <v>80</v>
      </c>
      <c r="D150" s="60" t="str">
        <f t="shared" ref="D150:AG150" si="165">IF($D$2=FALSE,"-",+D391)</f>
        <v>-</v>
      </c>
      <c r="E150" s="61" t="str">
        <f t="shared" si="165"/>
        <v>-</v>
      </c>
      <c r="F150" s="61" t="str">
        <f t="shared" si="165"/>
        <v>-</v>
      </c>
      <c r="G150" s="62" t="str">
        <f t="shared" si="165"/>
        <v>-</v>
      </c>
      <c r="H150" s="61" t="str">
        <f t="shared" si="165"/>
        <v>-</v>
      </c>
      <c r="I150" s="63" t="str">
        <f t="shared" si="165"/>
        <v>-</v>
      </c>
      <c r="J150" s="61" t="str">
        <f t="shared" si="165"/>
        <v>-</v>
      </c>
      <c r="K150" s="61" t="str">
        <f t="shared" si="165"/>
        <v>-</v>
      </c>
      <c r="L150" s="61" t="str">
        <f t="shared" si="165"/>
        <v>-</v>
      </c>
      <c r="M150" s="64" t="str">
        <f t="shared" si="165"/>
        <v>-</v>
      </c>
      <c r="N150" s="60" t="str">
        <f t="shared" si="165"/>
        <v>-</v>
      </c>
      <c r="O150" s="61" t="str">
        <f t="shared" si="165"/>
        <v>-</v>
      </c>
      <c r="P150" s="61" t="str">
        <f t="shared" si="165"/>
        <v>-</v>
      </c>
      <c r="Q150" s="61" t="str">
        <f t="shared" si="165"/>
        <v>-</v>
      </c>
      <c r="R150" s="61" t="str">
        <f t="shared" si="165"/>
        <v>-</v>
      </c>
      <c r="S150" s="61" t="str">
        <f t="shared" si="165"/>
        <v>-</v>
      </c>
      <c r="T150" s="61" t="str">
        <f t="shared" si="165"/>
        <v>-</v>
      </c>
      <c r="U150" s="61" t="str">
        <f t="shared" si="165"/>
        <v>-</v>
      </c>
      <c r="V150" s="61" t="str">
        <f t="shared" si="165"/>
        <v>-</v>
      </c>
      <c r="W150" s="61" t="str">
        <f t="shared" si="165"/>
        <v>-</v>
      </c>
      <c r="X150" s="61" t="str">
        <f t="shared" si="165"/>
        <v>-</v>
      </c>
      <c r="Y150" s="61" t="str">
        <f t="shared" si="165"/>
        <v>-</v>
      </c>
      <c r="Z150" s="61" t="str">
        <f t="shared" si="165"/>
        <v>-</v>
      </c>
      <c r="AA150" s="61" t="str">
        <f t="shared" si="165"/>
        <v>-</v>
      </c>
      <c r="AB150" s="61" t="str">
        <f t="shared" si="165"/>
        <v>-</v>
      </c>
      <c r="AC150" s="61" t="str">
        <f t="shared" si="165"/>
        <v>-</v>
      </c>
      <c r="AD150" s="61" t="str">
        <f t="shared" si="165"/>
        <v>-</v>
      </c>
      <c r="AE150" s="61" t="str">
        <f t="shared" si="165"/>
        <v>-</v>
      </c>
      <c r="AF150" s="61" t="str">
        <f t="shared" si="165"/>
        <v>-</v>
      </c>
      <c r="AG150" s="64" t="str">
        <f t="shared" si="165"/>
        <v>-</v>
      </c>
    </row>
    <row r="151" spans="3:33" ht="15" hidden="1" customHeight="1" outlineLevel="1">
      <c r="C151" s="34" t="s">
        <v>123</v>
      </c>
      <c r="D151" s="60" t="str">
        <f t="shared" ref="D151:AG151" si="166">IF($D$2=FALSE,"-",SUM(D392:D397))</f>
        <v>-</v>
      </c>
      <c r="E151" s="61" t="str">
        <f t="shared" si="166"/>
        <v>-</v>
      </c>
      <c r="F151" s="61" t="str">
        <f t="shared" si="166"/>
        <v>-</v>
      </c>
      <c r="G151" s="62" t="str">
        <f t="shared" si="166"/>
        <v>-</v>
      </c>
      <c r="H151" s="61" t="str">
        <f t="shared" si="166"/>
        <v>-</v>
      </c>
      <c r="I151" s="63" t="str">
        <f t="shared" si="166"/>
        <v>-</v>
      </c>
      <c r="J151" s="61" t="str">
        <f t="shared" si="166"/>
        <v>-</v>
      </c>
      <c r="K151" s="61" t="str">
        <f t="shared" si="166"/>
        <v>-</v>
      </c>
      <c r="L151" s="61" t="str">
        <f t="shared" si="166"/>
        <v>-</v>
      </c>
      <c r="M151" s="64" t="str">
        <f t="shared" si="166"/>
        <v>-</v>
      </c>
      <c r="N151" s="60" t="str">
        <f t="shared" si="166"/>
        <v>-</v>
      </c>
      <c r="O151" s="61" t="str">
        <f t="shared" si="166"/>
        <v>-</v>
      </c>
      <c r="P151" s="61" t="str">
        <f t="shared" si="166"/>
        <v>-</v>
      </c>
      <c r="Q151" s="61" t="str">
        <f t="shared" si="166"/>
        <v>-</v>
      </c>
      <c r="R151" s="61" t="str">
        <f t="shared" si="166"/>
        <v>-</v>
      </c>
      <c r="S151" s="61" t="str">
        <f t="shared" si="166"/>
        <v>-</v>
      </c>
      <c r="T151" s="61" t="str">
        <f t="shared" si="166"/>
        <v>-</v>
      </c>
      <c r="U151" s="61" t="str">
        <f t="shared" si="166"/>
        <v>-</v>
      </c>
      <c r="V151" s="61" t="str">
        <f t="shared" si="166"/>
        <v>-</v>
      </c>
      <c r="W151" s="61" t="str">
        <f t="shared" si="166"/>
        <v>-</v>
      </c>
      <c r="X151" s="61" t="str">
        <f t="shared" si="166"/>
        <v>-</v>
      </c>
      <c r="Y151" s="61" t="str">
        <f t="shared" si="166"/>
        <v>-</v>
      </c>
      <c r="Z151" s="61" t="str">
        <f t="shared" si="166"/>
        <v>-</v>
      </c>
      <c r="AA151" s="61" t="str">
        <f t="shared" si="166"/>
        <v>-</v>
      </c>
      <c r="AB151" s="61" t="str">
        <f t="shared" si="166"/>
        <v>-</v>
      </c>
      <c r="AC151" s="61" t="str">
        <f t="shared" si="166"/>
        <v>-</v>
      </c>
      <c r="AD151" s="61" t="str">
        <f t="shared" si="166"/>
        <v>-</v>
      </c>
      <c r="AE151" s="61" t="str">
        <f t="shared" si="166"/>
        <v>-</v>
      </c>
      <c r="AF151" s="61" t="str">
        <f t="shared" si="166"/>
        <v>-</v>
      </c>
      <c r="AG151" s="64" t="str">
        <f t="shared" si="166"/>
        <v>-</v>
      </c>
    </row>
    <row r="152" spans="3:33" s="12" customFormat="1" ht="15" hidden="1" customHeight="1" outlineLevel="1">
      <c r="C152" s="70" t="s">
        <v>124</v>
      </c>
      <c r="D152" s="125" t="str">
        <f t="shared" ref="D152:AG152" si="167">IF($D$2=FALSE,"-",SUM(D150:D151))</f>
        <v>-</v>
      </c>
      <c r="E152" s="126" t="str">
        <f t="shared" si="167"/>
        <v>-</v>
      </c>
      <c r="F152" s="126" t="str">
        <f t="shared" si="167"/>
        <v>-</v>
      </c>
      <c r="G152" s="127" t="str">
        <f t="shared" si="167"/>
        <v>-</v>
      </c>
      <c r="H152" s="126" t="str">
        <f t="shared" si="167"/>
        <v>-</v>
      </c>
      <c r="I152" s="128" t="str">
        <f t="shared" si="167"/>
        <v>-</v>
      </c>
      <c r="J152" s="126" t="str">
        <f t="shared" si="167"/>
        <v>-</v>
      </c>
      <c r="K152" s="126" t="str">
        <f t="shared" si="167"/>
        <v>-</v>
      </c>
      <c r="L152" s="126" t="str">
        <f t="shared" si="167"/>
        <v>-</v>
      </c>
      <c r="M152" s="129" t="str">
        <f t="shared" si="167"/>
        <v>-</v>
      </c>
      <c r="N152" s="125" t="str">
        <f t="shared" si="167"/>
        <v>-</v>
      </c>
      <c r="O152" s="126" t="str">
        <f t="shared" si="167"/>
        <v>-</v>
      </c>
      <c r="P152" s="126" t="str">
        <f t="shared" si="167"/>
        <v>-</v>
      </c>
      <c r="Q152" s="126" t="str">
        <f t="shared" si="167"/>
        <v>-</v>
      </c>
      <c r="R152" s="126" t="str">
        <f t="shared" si="167"/>
        <v>-</v>
      </c>
      <c r="S152" s="126" t="str">
        <f t="shared" si="167"/>
        <v>-</v>
      </c>
      <c r="T152" s="126" t="str">
        <f t="shared" si="167"/>
        <v>-</v>
      </c>
      <c r="U152" s="126" t="str">
        <f t="shared" si="167"/>
        <v>-</v>
      </c>
      <c r="V152" s="126" t="str">
        <f t="shared" si="167"/>
        <v>-</v>
      </c>
      <c r="W152" s="126" t="str">
        <f t="shared" si="167"/>
        <v>-</v>
      </c>
      <c r="X152" s="126" t="str">
        <f t="shared" si="167"/>
        <v>-</v>
      </c>
      <c r="Y152" s="126" t="str">
        <f t="shared" si="167"/>
        <v>-</v>
      </c>
      <c r="Z152" s="126" t="str">
        <f t="shared" si="167"/>
        <v>-</v>
      </c>
      <c r="AA152" s="126" t="str">
        <f t="shared" si="167"/>
        <v>-</v>
      </c>
      <c r="AB152" s="126" t="str">
        <f t="shared" si="167"/>
        <v>-</v>
      </c>
      <c r="AC152" s="126" t="str">
        <f t="shared" si="167"/>
        <v>-</v>
      </c>
      <c r="AD152" s="126" t="str">
        <f t="shared" si="167"/>
        <v>-</v>
      </c>
      <c r="AE152" s="126" t="str">
        <f t="shared" si="167"/>
        <v>-</v>
      </c>
      <c r="AF152" s="126" t="str">
        <f t="shared" si="167"/>
        <v>-</v>
      </c>
      <c r="AG152" s="129" t="str">
        <f t="shared" si="167"/>
        <v>-</v>
      </c>
    </row>
    <row r="153" spans="3:33" s="12" customFormat="1" ht="15" hidden="1" customHeight="1" outlineLevel="1">
      <c r="C153" s="70" t="s">
        <v>125</v>
      </c>
      <c r="D153" s="125" t="str">
        <f t="shared" ref="D153:AG153" si="168">IF($D$2=FALSE,"-",SUM(D146:D152)/2)</f>
        <v>-</v>
      </c>
      <c r="E153" s="126" t="str">
        <f t="shared" si="168"/>
        <v>-</v>
      </c>
      <c r="F153" s="126" t="str">
        <f t="shared" si="168"/>
        <v>-</v>
      </c>
      <c r="G153" s="127" t="str">
        <f t="shared" si="168"/>
        <v>-</v>
      </c>
      <c r="H153" s="126" t="str">
        <f t="shared" si="168"/>
        <v>-</v>
      </c>
      <c r="I153" s="128" t="str">
        <f t="shared" si="168"/>
        <v>-</v>
      </c>
      <c r="J153" s="126" t="str">
        <f t="shared" si="168"/>
        <v>-</v>
      </c>
      <c r="K153" s="126" t="str">
        <f t="shared" si="168"/>
        <v>-</v>
      </c>
      <c r="L153" s="126" t="str">
        <f t="shared" si="168"/>
        <v>-</v>
      </c>
      <c r="M153" s="129" t="str">
        <f t="shared" si="168"/>
        <v>-</v>
      </c>
      <c r="N153" s="125" t="str">
        <f t="shared" si="168"/>
        <v>-</v>
      </c>
      <c r="O153" s="126" t="str">
        <f t="shared" si="168"/>
        <v>-</v>
      </c>
      <c r="P153" s="126" t="str">
        <f t="shared" si="168"/>
        <v>-</v>
      </c>
      <c r="Q153" s="126" t="str">
        <f t="shared" si="168"/>
        <v>-</v>
      </c>
      <c r="R153" s="126" t="str">
        <f t="shared" si="168"/>
        <v>-</v>
      </c>
      <c r="S153" s="126" t="str">
        <f t="shared" si="168"/>
        <v>-</v>
      </c>
      <c r="T153" s="126" t="str">
        <f t="shared" si="168"/>
        <v>-</v>
      </c>
      <c r="U153" s="126" t="str">
        <f t="shared" si="168"/>
        <v>-</v>
      </c>
      <c r="V153" s="126" t="str">
        <f t="shared" si="168"/>
        <v>-</v>
      </c>
      <c r="W153" s="126" t="str">
        <f t="shared" si="168"/>
        <v>-</v>
      </c>
      <c r="X153" s="126" t="str">
        <f t="shared" si="168"/>
        <v>-</v>
      </c>
      <c r="Y153" s="126" t="str">
        <f t="shared" si="168"/>
        <v>-</v>
      </c>
      <c r="Z153" s="126" t="str">
        <f t="shared" si="168"/>
        <v>-</v>
      </c>
      <c r="AA153" s="126" t="str">
        <f t="shared" si="168"/>
        <v>-</v>
      </c>
      <c r="AB153" s="126" t="str">
        <f t="shared" si="168"/>
        <v>-</v>
      </c>
      <c r="AC153" s="126" t="str">
        <f t="shared" si="168"/>
        <v>-</v>
      </c>
      <c r="AD153" s="126" t="str">
        <f t="shared" si="168"/>
        <v>-</v>
      </c>
      <c r="AE153" s="126" t="str">
        <f t="shared" si="168"/>
        <v>-</v>
      </c>
      <c r="AF153" s="126" t="str">
        <f t="shared" si="168"/>
        <v>-</v>
      </c>
      <c r="AG153" s="129" t="str">
        <f t="shared" si="168"/>
        <v>-</v>
      </c>
    </row>
    <row r="154" spans="3:33" ht="15" hidden="1" customHeight="1" outlineLevel="1">
      <c r="C154" s="34" t="s">
        <v>126</v>
      </c>
      <c r="D154" s="60" t="str">
        <f t="shared" ref="D154:AG154" si="169">IF($D$2=FALSE,"-",+D400)</f>
        <v>-</v>
      </c>
      <c r="E154" s="61" t="str">
        <f t="shared" si="169"/>
        <v>-</v>
      </c>
      <c r="F154" s="61" t="str">
        <f t="shared" si="169"/>
        <v>-</v>
      </c>
      <c r="G154" s="62" t="str">
        <f t="shared" si="169"/>
        <v>-</v>
      </c>
      <c r="H154" s="61" t="str">
        <f t="shared" si="169"/>
        <v>-</v>
      </c>
      <c r="I154" s="63" t="str">
        <f t="shared" si="169"/>
        <v>-</v>
      </c>
      <c r="J154" s="61" t="str">
        <f t="shared" si="169"/>
        <v>-</v>
      </c>
      <c r="K154" s="61" t="str">
        <f t="shared" si="169"/>
        <v>-</v>
      </c>
      <c r="L154" s="61" t="str">
        <f t="shared" si="169"/>
        <v>-</v>
      </c>
      <c r="M154" s="64" t="str">
        <f t="shared" si="169"/>
        <v>-</v>
      </c>
      <c r="N154" s="60" t="str">
        <f t="shared" si="169"/>
        <v>-</v>
      </c>
      <c r="O154" s="61" t="str">
        <f t="shared" si="169"/>
        <v>-</v>
      </c>
      <c r="P154" s="61" t="str">
        <f t="shared" si="169"/>
        <v>-</v>
      </c>
      <c r="Q154" s="61" t="str">
        <f t="shared" si="169"/>
        <v>-</v>
      </c>
      <c r="R154" s="61" t="str">
        <f t="shared" si="169"/>
        <v>-</v>
      </c>
      <c r="S154" s="61" t="str">
        <f t="shared" si="169"/>
        <v>-</v>
      </c>
      <c r="T154" s="61" t="str">
        <f t="shared" si="169"/>
        <v>-</v>
      </c>
      <c r="U154" s="61" t="str">
        <f t="shared" si="169"/>
        <v>-</v>
      </c>
      <c r="V154" s="61" t="str">
        <f t="shared" si="169"/>
        <v>-</v>
      </c>
      <c r="W154" s="61" t="str">
        <f t="shared" si="169"/>
        <v>-</v>
      </c>
      <c r="X154" s="61" t="str">
        <f t="shared" si="169"/>
        <v>-</v>
      </c>
      <c r="Y154" s="61" t="str">
        <f t="shared" si="169"/>
        <v>-</v>
      </c>
      <c r="Z154" s="61" t="str">
        <f t="shared" si="169"/>
        <v>-</v>
      </c>
      <c r="AA154" s="61" t="str">
        <f t="shared" si="169"/>
        <v>-</v>
      </c>
      <c r="AB154" s="61" t="str">
        <f t="shared" si="169"/>
        <v>-</v>
      </c>
      <c r="AC154" s="61" t="str">
        <f t="shared" si="169"/>
        <v>-</v>
      </c>
      <c r="AD154" s="61" t="str">
        <f t="shared" si="169"/>
        <v>-</v>
      </c>
      <c r="AE154" s="61" t="str">
        <f t="shared" si="169"/>
        <v>-</v>
      </c>
      <c r="AF154" s="61" t="str">
        <f t="shared" si="169"/>
        <v>-</v>
      </c>
      <c r="AG154" s="64" t="str">
        <f t="shared" si="169"/>
        <v>-</v>
      </c>
    </row>
    <row r="155" spans="3:33" ht="15" hidden="1" customHeight="1" outlineLevel="1">
      <c r="C155" s="34" t="s">
        <v>127</v>
      </c>
      <c r="D155" s="60" t="str">
        <f t="shared" ref="D155:AG155" si="170">IF($D$2=FALSE,"-",+D405)</f>
        <v>-</v>
      </c>
      <c r="E155" s="61" t="str">
        <f t="shared" si="170"/>
        <v>-</v>
      </c>
      <c r="F155" s="61" t="str">
        <f t="shared" si="170"/>
        <v>-</v>
      </c>
      <c r="G155" s="62" t="str">
        <f t="shared" si="170"/>
        <v>-</v>
      </c>
      <c r="H155" s="61" t="str">
        <f t="shared" si="170"/>
        <v>-</v>
      </c>
      <c r="I155" s="63" t="str">
        <f t="shared" si="170"/>
        <v>-</v>
      </c>
      <c r="J155" s="61" t="str">
        <f t="shared" si="170"/>
        <v>-</v>
      </c>
      <c r="K155" s="61" t="str">
        <f t="shared" si="170"/>
        <v>-</v>
      </c>
      <c r="L155" s="61" t="str">
        <f t="shared" si="170"/>
        <v>-</v>
      </c>
      <c r="M155" s="64" t="str">
        <f t="shared" si="170"/>
        <v>-</v>
      </c>
      <c r="N155" s="60" t="str">
        <f t="shared" si="170"/>
        <v>-</v>
      </c>
      <c r="O155" s="61" t="str">
        <f t="shared" si="170"/>
        <v>-</v>
      </c>
      <c r="P155" s="61" t="str">
        <f t="shared" si="170"/>
        <v>-</v>
      </c>
      <c r="Q155" s="61" t="str">
        <f t="shared" si="170"/>
        <v>-</v>
      </c>
      <c r="R155" s="61" t="str">
        <f t="shared" si="170"/>
        <v>-</v>
      </c>
      <c r="S155" s="61" t="str">
        <f t="shared" si="170"/>
        <v>-</v>
      </c>
      <c r="T155" s="61" t="str">
        <f t="shared" si="170"/>
        <v>-</v>
      </c>
      <c r="U155" s="61" t="str">
        <f t="shared" si="170"/>
        <v>-</v>
      </c>
      <c r="V155" s="61" t="str">
        <f t="shared" si="170"/>
        <v>-</v>
      </c>
      <c r="W155" s="61" t="str">
        <f t="shared" si="170"/>
        <v>-</v>
      </c>
      <c r="X155" s="61" t="str">
        <f t="shared" si="170"/>
        <v>-</v>
      </c>
      <c r="Y155" s="61" t="str">
        <f t="shared" si="170"/>
        <v>-</v>
      </c>
      <c r="Z155" s="61" t="str">
        <f t="shared" si="170"/>
        <v>-</v>
      </c>
      <c r="AA155" s="61" t="str">
        <f t="shared" si="170"/>
        <v>-</v>
      </c>
      <c r="AB155" s="61" t="str">
        <f t="shared" si="170"/>
        <v>-</v>
      </c>
      <c r="AC155" s="61" t="str">
        <f t="shared" si="170"/>
        <v>-</v>
      </c>
      <c r="AD155" s="61" t="str">
        <f t="shared" si="170"/>
        <v>-</v>
      </c>
      <c r="AE155" s="61" t="str">
        <f t="shared" si="170"/>
        <v>-</v>
      </c>
      <c r="AF155" s="61" t="str">
        <f t="shared" si="170"/>
        <v>-</v>
      </c>
      <c r="AG155" s="64" t="str">
        <f t="shared" si="170"/>
        <v>-</v>
      </c>
    </row>
    <row r="156" spans="3:33" ht="15" hidden="1" customHeight="1" outlineLevel="1">
      <c r="C156" s="34" t="s">
        <v>128</v>
      </c>
      <c r="D156" s="60" t="str">
        <f t="shared" ref="D156:AG156" si="171">IF($D$2=FALSE,"-",+D409-D155-D154)</f>
        <v>-</v>
      </c>
      <c r="E156" s="61" t="str">
        <f t="shared" si="171"/>
        <v>-</v>
      </c>
      <c r="F156" s="61" t="str">
        <f t="shared" si="171"/>
        <v>-</v>
      </c>
      <c r="G156" s="62" t="str">
        <f t="shared" si="171"/>
        <v>-</v>
      </c>
      <c r="H156" s="61" t="str">
        <f t="shared" si="171"/>
        <v>-</v>
      </c>
      <c r="I156" s="63" t="str">
        <f t="shared" si="171"/>
        <v>-</v>
      </c>
      <c r="J156" s="61" t="str">
        <f t="shared" si="171"/>
        <v>-</v>
      </c>
      <c r="K156" s="61" t="str">
        <f t="shared" si="171"/>
        <v>-</v>
      </c>
      <c r="L156" s="61" t="str">
        <f t="shared" si="171"/>
        <v>-</v>
      </c>
      <c r="M156" s="64" t="str">
        <f t="shared" si="171"/>
        <v>-</v>
      </c>
      <c r="N156" s="60" t="str">
        <f t="shared" si="171"/>
        <v>-</v>
      </c>
      <c r="O156" s="61" t="str">
        <f t="shared" si="171"/>
        <v>-</v>
      </c>
      <c r="P156" s="61" t="str">
        <f t="shared" si="171"/>
        <v>-</v>
      </c>
      <c r="Q156" s="61" t="str">
        <f t="shared" si="171"/>
        <v>-</v>
      </c>
      <c r="R156" s="61" t="str">
        <f t="shared" si="171"/>
        <v>-</v>
      </c>
      <c r="S156" s="61" t="str">
        <f t="shared" si="171"/>
        <v>-</v>
      </c>
      <c r="T156" s="61" t="str">
        <f t="shared" si="171"/>
        <v>-</v>
      </c>
      <c r="U156" s="61" t="str">
        <f t="shared" si="171"/>
        <v>-</v>
      </c>
      <c r="V156" s="61" t="str">
        <f t="shared" si="171"/>
        <v>-</v>
      </c>
      <c r="W156" s="61" t="str">
        <f t="shared" si="171"/>
        <v>-</v>
      </c>
      <c r="X156" s="61" t="str">
        <f t="shared" si="171"/>
        <v>-</v>
      </c>
      <c r="Y156" s="61" t="str">
        <f t="shared" si="171"/>
        <v>-</v>
      </c>
      <c r="Z156" s="61" t="str">
        <f t="shared" si="171"/>
        <v>-</v>
      </c>
      <c r="AA156" s="61" t="str">
        <f t="shared" si="171"/>
        <v>-</v>
      </c>
      <c r="AB156" s="61" t="str">
        <f t="shared" si="171"/>
        <v>-</v>
      </c>
      <c r="AC156" s="61" t="str">
        <f t="shared" si="171"/>
        <v>-</v>
      </c>
      <c r="AD156" s="61" t="str">
        <f t="shared" si="171"/>
        <v>-</v>
      </c>
      <c r="AE156" s="61" t="str">
        <f t="shared" si="171"/>
        <v>-</v>
      </c>
      <c r="AF156" s="61" t="str">
        <f t="shared" si="171"/>
        <v>-</v>
      </c>
      <c r="AG156" s="64" t="str">
        <f t="shared" si="171"/>
        <v>-</v>
      </c>
    </row>
    <row r="157" spans="3:33" s="12" customFormat="1" ht="15" hidden="1" customHeight="1" outlineLevel="1">
      <c r="C157" s="70" t="s">
        <v>129</v>
      </c>
      <c r="D157" s="125" t="str">
        <f t="shared" ref="D157:AG157" si="172">IF($D$2=FALSE,"-",SUM(D154:D156))</f>
        <v>-</v>
      </c>
      <c r="E157" s="126" t="str">
        <f t="shared" si="172"/>
        <v>-</v>
      </c>
      <c r="F157" s="126" t="str">
        <f t="shared" si="172"/>
        <v>-</v>
      </c>
      <c r="G157" s="127" t="str">
        <f t="shared" si="172"/>
        <v>-</v>
      </c>
      <c r="H157" s="126" t="str">
        <f t="shared" si="172"/>
        <v>-</v>
      </c>
      <c r="I157" s="128" t="str">
        <f t="shared" si="172"/>
        <v>-</v>
      </c>
      <c r="J157" s="126" t="str">
        <f t="shared" si="172"/>
        <v>-</v>
      </c>
      <c r="K157" s="126" t="str">
        <f t="shared" si="172"/>
        <v>-</v>
      </c>
      <c r="L157" s="126" t="str">
        <f t="shared" si="172"/>
        <v>-</v>
      </c>
      <c r="M157" s="129" t="str">
        <f t="shared" si="172"/>
        <v>-</v>
      </c>
      <c r="N157" s="125" t="str">
        <f t="shared" si="172"/>
        <v>-</v>
      </c>
      <c r="O157" s="126" t="str">
        <f t="shared" si="172"/>
        <v>-</v>
      </c>
      <c r="P157" s="126" t="str">
        <f t="shared" si="172"/>
        <v>-</v>
      </c>
      <c r="Q157" s="126" t="str">
        <f t="shared" si="172"/>
        <v>-</v>
      </c>
      <c r="R157" s="126" t="str">
        <f t="shared" si="172"/>
        <v>-</v>
      </c>
      <c r="S157" s="126" t="str">
        <f t="shared" si="172"/>
        <v>-</v>
      </c>
      <c r="T157" s="126" t="str">
        <f t="shared" si="172"/>
        <v>-</v>
      </c>
      <c r="U157" s="126" t="str">
        <f t="shared" si="172"/>
        <v>-</v>
      </c>
      <c r="V157" s="126" t="str">
        <f t="shared" si="172"/>
        <v>-</v>
      </c>
      <c r="W157" s="126" t="str">
        <f t="shared" si="172"/>
        <v>-</v>
      </c>
      <c r="X157" s="126" t="str">
        <f t="shared" si="172"/>
        <v>-</v>
      </c>
      <c r="Y157" s="126" t="str">
        <f t="shared" si="172"/>
        <v>-</v>
      </c>
      <c r="Z157" s="126" t="str">
        <f t="shared" si="172"/>
        <v>-</v>
      </c>
      <c r="AA157" s="126" t="str">
        <f t="shared" si="172"/>
        <v>-</v>
      </c>
      <c r="AB157" s="126" t="str">
        <f t="shared" si="172"/>
        <v>-</v>
      </c>
      <c r="AC157" s="126" t="str">
        <f t="shared" si="172"/>
        <v>-</v>
      </c>
      <c r="AD157" s="126" t="str">
        <f t="shared" si="172"/>
        <v>-</v>
      </c>
      <c r="AE157" s="126" t="str">
        <f t="shared" si="172"/>
        <v>-</v>
      </c>
      <c r="AF157" s="126" t="str">
        <f t="shared" si="172"/>
        <v>-</v>
      </c>
      <c r="AG157" s="129" t="str">
        <f t="shared" si="172"/>
        <v>-</v>
      </c>
    </row>
    <row r="158" spans="3:33" s="12" customFormat="1" ht="15" hidden="1" customHeight="1" outlineLevel="1">
      <c r="C158" s="70" t="s">
        <v>130</v>
      </c>
      <c r="D158" s="125" t="str">
        <f t="shared" ref="D158:AG158" si="173">IF($D$2=FALSE,"-",+D157+D153)</f>
        <v>-</v>
      </c>
      <c r="E158" s="126" t="str">
        <f t="shared" si="173"/>
        <v>-</v>
      </c>
      <c r="F158" s="126" t="str">
        <f t="shared" si="173"/>
        <v>-</v>
      </c>
      <c r="G158" s="127" t="str">
        <f t="shared" si="173"/>
        <v>-</v>
      </c>
      <c r="H158" s="126" t="str">
        <f t="shared" si="173"/>
        <v>-</v>
      </c>
      <c r="I158" s="128" t="str">
        <f t="shared" si="173"/>
        <v>-</v>
      </c>
      <c r="J158" s="126" t="str">
        <f t="shared" si="173"/>
        <v>-</v>
      </c>
      <c r="K158" s="126" t="str">
        <f t="shared" si="173"/>
        <v>-</v>
      </c>
      <c r="L158" s="126" t="str">
        <f t="shared" si="173"/>
        <v>-</v>
      </c>
      <c r="M158" s="129" t="str">
        <f t="shared" si="173"/>
        <v>-</v>
      </c>
      <c r="N158" s="125" t="str">
        <f t="shared" si="173"/>
        <v>-</v>
      </c>
      <c r="O158" s="126" t="str">
        <f t="shared" si="173"/>
        <v>-</v>
      </c>
      <c r="P158" s="126" t="str">
        <f t="shared" si="173"/>
        <v>-</v>
      </c>
      <c r="Q158" s="126" t="str">
        <f t="shared" si="173"/>
        <v>-</v>
      </c>
      <c r="R158" s="126" t="str">
        <f t="shared" si="173"/>
        <v>-</v>
      </c>
      <c r="S158" s="126" t="str">
        <f t="shared" si="173"/>
        <v>-</v>
      </c>
      <c r="T158" s="126" t="str">
        <f t="shared" si="173"/>
        <v>-</v>
      </c>
      <c r="U158" s="126" t="str">
        <f t="shared" si="173"/>
        <v>-</v>
      </c>
      <c r="V158" s="126" t="str">
        <f t="shared" si="173"/>
        <v>-</v>
      </c>
      <c r="W158" s="126" t="str">
        <f t="shared" si="173"/>
        <v>-</v>
      </c>
      <c r="X158" s="126" t="str">
        <f t="shared" si="173"/>
        <v>-</v>
      </c>
      <c r="Y158" s="126" t="str">
        <f t="shared" si="173"/>
        <v>-</v>
      </c>
      <c r="Z158" s="126" t="str">
        <f t="shared" si="173"/>
        <v>-</v>
      </c>
      <c r="AA158" s="126" t="str">
        <f t="shared" si="173"/>
        <v>-</v>
      </c>
      <c r="AB158" s="126" t="str">
        <f t="shared" si="173"/>
        <v>-</v>
      </c>
      <c r="AC158" s="126" t="str">
        <f t="shared" si="173"/>
        <v>-</v>
      </c>
      <c r="AD158" s="126" t="str">
        <f t="shared" si="173"/>
        <v>-</v>
      </c>
      <c r="AE158" s="126" t="str">
        <f t="shared" si="173"/>
        <v>-</v>
      </c>
      <c r="AF158" s="126" t="str">
        <f t="shared" si="173"/>
        <v>-</v>
      </c>
      <c r="AG158" s="129" t="str">
        <f t="shared" si="173"/>
        <v>-</v>
      </c>
    </row>
    <row r="159" spans="3:33" s="12" customFormat="1" ht="15" customHeight="1" collapsed="1">
      <c r="C159" s="23" t="s">
        <v>131</v>
      </c>
      <c r="D159" s="24"/>
      <c r="E159" s="25"/>
      <c r="F159" s="25"/>
      <c r="G159" s="25"/>
      <c r="H159" s="25"/>
      <c r="I159" s="25"/>
      <c r="J159" s="25"/>
      <c r="K159" s="25"/>
      <c r="L159" s="25"/>
      <c r="M159" s="26"/>
      <c r="N159" s="24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6"/>
    </row>
    <row r="160" spans="3:33" ht="15" hidden="1" customHeight="1" outlineLevel="1">
      <c r="C160" s="34" t="s">
        <v>132</v>
      </c>
      <c r="D160" s="84" t="str">
        <f t="shared" ref="D160:AG160" si="174">IF($D$2=FALSE,"-",+D283+D284)</f>
        <v>-</v>
      </c>
      <c r="E160" s="85" t="str">
        <f t="shared" si="174"/>
        <v>-</v>
      </c>
      <c r="F160" s="85" t="str">
        <f t="shared" si="174"/>
        <v>-</v>
      </c>
      <c r="G160" s="86" t="str">
        <f t="shared" si="174"/>
        <v>-</v>
      </c>
      <c r="H160" s="85" t="str">
        <f t="shared" si="174"/>
        <v>-</v>
      </c>
      <c r="I160" s="87" t="str">
        <f t="shared" si="174"/>
        <v>-</v>
      </c>
      <c r="J160" s="85" t="str">
        <f t="shared" si="174"/>
        <v>-</v>
      </c>
      <c r="K160" s="85" t="str">
        <f t="shared" si="174"/>
        <v>-</v>
      </c>
      <c r="L160" s="85" t="str">
        <f t="shared" si="174"/>
        <v>-</v>
      </c>
      <c r="M160" s="88" t="str">
        <f t="shared" si="174"/>
        <v>-</v>
      </c>
      <c r="N160" s="84" t="str">
        <f t="shared" si="174"/>
        <v>-</v>
      </c>
      <c r="O160" s="85" t="str">
        <f t="shared" si="174"/>
        <v>-</v>
      </c>
      <c r="P160" s="85" t="str">
        <f t="shared" si="174"/>
        <v>-</v>
      </c>
      <c r="Q160" s="85" t="str">
        <f t="shared" si="174"/>
        <v>-</v>
      </c>
      <c r="R160" s="85" t="str">
        <f t="shared" si="174"/>
        <v>-</v>
      </c>
      <c r="S160" s="85" t="str">
        <f t="shared" si="174"/>
        <v>-</v>
      </c>
      <c r="T160" s="85" t="str">
        <f t="shared" si="174"/>
        <v>-</v>
      </c>
      <c r="U160" s="85" t="str">
        <f t="shared" si="174"/>
        <v>-</v>
      </c>
      <c r="V160" s="85" t="str">
        <f t="shared" si="174"/>
        <v>-</v>
      </c>
      <c r="W160" s="85" t="str">
        <f t="shared" si="174"/>
        <v>-</v>
      </c>
      <c r="X160" s="85" t="str">
        <f t="shared" si="174"/>
        <v>-</v>
      </c>
      <c r="Y160" s="85" t="str">
        <f t="shared" si="174"/>
        <v>-</v>
      </c>
      <c r="Z160" s="85" t="str">
        <f t="shared" si="174"/>
        <v>-</v>
      </c>
      <c r="AA160" s="85" t="str">
        <f t="shared" si="174"/>
        <v>-</v>
      </c>
      <c r="AB160" s="85" t="str">
        <f t="shared" si="174"/>
        <v>-</v>
      </c>
      <c r="AC160" s="85" t="str">
        <f t="shared" si="174"/>
        <v>-</v>
      </c>
      <c r="AD160" s="85" t="str">
        <f t="shared" si="174"/>
        <v>-</v>
      </c>
      <c r="AE160" s="85" t="str">
        <f t="shared" si="174"/>
        <v>-</v>
      </c>
      <c r="AF160" s="85" t="str">
        <f t="shared" si="174"/>
        <v>-</v>
      </c>
      <c r="AG160" s="88" t="str">
        <f t="shared" si="174"/>
        <v>-</v>
      </c>
    </row>
    <row r="161" spans="3:46" ht="15" hidden="1" customHeight="1" outlineLevel="1">
      <c r="C161" s="34" t="s">
        <v>133</v>
      </c>
      <c r="D161" s="84" t="str">
        <f t="shared" ref="D161:AG161" si="175">IF($D$2=FALSE,"-",-D285)</f>
        <v>-</v>
      </c>
      <c r="E161" s="85" t="str">
        <f t="shared" si="175"/>
        <v>-</v>
      </c>
      <c r="F161" s="85" t="str">
        <f t="shared" si="175"/>
        <v>-</v>
      </c>
      <c r="G161" s="86" t="str">
        <f t="shared" si="175"/>
        <v>-</v>
      </c>
      <c r="H161" s="85" t="str">
        <f t="shared" si="175"/>
        <v>-</v>
      </c>
      <c r="I161" s="87" t="str">
        <f t="shared" si="175"/>
        <v>-</v>
      </c>
      <c r="J161" s="85" t="str">
        <f t="shared" si="175"/>
        <v>-</v>
      </c>
      <c r="K161" s="85" t="str">
        <f t="shared" si="175"/>
        <v>-</v>
      </c>
      <c r="L161" s="85" t="str">
        <f t="shared" si="175"/>
        <v>-</v>
      </c>
      <c r="M161" s="88" t="str">
        <f t="shared" si="175"/>
        <v>-</v>
      </c>
      <c r="N161" s="84" t="str">
        <f t="shared" si="175"/>
        <v>-</v>
      </c>
      <c r="O161" s="85" t="str">
        <f t="shared" si="175"/>
        <v>-</v>
      </c>
      <c r="P161" s="85" t="str">
        <f t="shared" si="175"/>
        <v>-</v>
      </c>
      <c r="Q161" s="85" t="str">
        <f t="shared" si="175"/>
        <v>-</v>
      </c>
      <c r="R161" s="85" t="str">
        <f t="shared" si="175"/>
        <v>-</v>
      </c>
      <c r="S161" s="85" t="str">
        <f t="shared" si="175"/>
        <v>-</v>
      </c>
      <c r="T161" s="85" t="str">
        <f t="shared" si="175"/>
        <v>-</v>
      </c>
      <c r="U161" s="85" t="str">
        <f t="shared" si="175"/>
        <v>-</v>
      </c>
      <c r="V161" s="85" t="str">
        <f t="shared" si="175"/>
        <v>-</v>
      </c>
      <c r="W161" s="85" t="str">
        <f t="shared" si="175"/>
        <v>-</v>
      </c>
      <c r="X161" s="85" t="str">
        <f t="shared" si="175"/>
        <v>-</v>
      </c>
      <c r="Y161" s="85" t="str">
        <f t="shared" si="175"/>
        <v>-</v>
      </c>
      <c r="Z161" s="85" t="str">
        <f t="shared" si="175"/>
        <v>-</v>
      </c>
      <c r="AA161" s="85" t="str">
        <f t="shared" si="175"/>
        <v>-</v>
      </c>
      <c r="AB161" s="85" t="str">
        <f t="shared" si="175"/>
        <v>-</v>
      </c>
      <c r="AC161" s="85" t="str">
        <f t="shared" si="175"/>
        <v>-</v>
      </c>
      <c r="AD161" s="85" t="str">
        <f t="shared" si="175"/>
        <v>-</v>
      </c>
      <c r="AE161" s="85" t="str">
        <f t="shared" si="175"/>
        <v>-</v>
      </c>
      <c r="AF161" s="85" t="str">
        <f t="shared" si="175"/>
        <v>-</v>
      </c>
      <c r="AG161" s="88" t="str">
        <f t="shared" si="175"/>
        <v>-</v>
      </c>
    </row>
    <row r="162" spans="3:46" s="12" customFormat="1" ht="15" hidden="1" customHeight="1" outlineLevel="1">
      <c r="C162" s="70" t="s">
        <v>134</v>
      </c>
      <c r="D162" s="110" t="str">
        <f t="shared" ref="D162:AG162" si="176">IF($D$2=FALSE,"-",SUM(D160:D161))</f>
        <v>-</v>
      </c>
      <c r="E162" s="111" t="str">
        <f t="shared" si="176"/>
        <v>-</v>
      </c>
      <c r="F162" s="111" t="str">
        <f t="shared" si="176"/>
        <v>-</v>
      </c>
      <c r="G162" s="112" t="str">
        <f t="shared" si="176"/>
        <v>-</v>
      </c>
      <c r="H162" s="111" t="str">
        <f t="shared" si="176"/>
        <v>-</v>
      </c>
      <c r="I162" s="113" t="str">
        <f t="shared" si="176"/>
        <v>-</v>
      </c>
      <c r="J162" s="111" t="str">
        <f t="shared" si="176"/>
        <v>-</v>
      </c>
      <c r="K162" s="111" t="str">
        <f t="shared" si="176"/>
        <v>-</v>
      </c>
      <c r="L162" s="111" t="str">
        <f t="shared" si="176"/>
        <v>-</v>
      </c>
      <c r="M162" s="114" t="str">
        <f t="shared" si="176"/>
        <v>-</v>
      </c>
      <c r="N162" s="110" t="str">
        <f t="shared" si="176"/>
        <v>-</v>
      </c>
      <c r="O162" s="111" t="str">
        <f t="shared" si="176"/>
        <v>-</v>
      </c>
      <c r="P162" s="111" t="str">
        <f t="shared" si="176"/>
        <v>-</v>
      </c>
      <c r="Q162" s="111" t="str">
        <f t="shared" si="176"/>
        <v>-</v>
      </c>
      <c r="R162" s="111" t="str">
        <f t="shared" si="176"/>
        <v>-</v>
      </c>
      <c r="S162" s="111" t="str">
        <f t="shared" si="176"/>
        <v>-</v>
      </c>
      <c r="T162" s="111" t="str">
        <f t="shared" si="176"/>
        <v>-</v>
      </c>
      <c r="U162" s="111" t="str">
        <f t="shared" si="176"/>
        <v>-</v>
      </c>
      <c r="V162" s="111" t="str">
        <f t="shared" si="176"/>
        <v>-</v>
      </c>
      <c r="W162" s="111" t="str">
        <f t="shared" si="176"/>
        <v>-</v>
      </c>
      <c r="X162" s="111" t="str">
        <f t="shared" si="176"/>
        <v>-</v>
      </c>
      <c r="Y162" s="111" t="str">
        <f t="shared" si="176"/>
        <v>-</v>
      </c>
      <c r="Z162" s="111" t="str">
        <f t="shared" si="176"/>
        <v>-</v>
      </c>
      <c r="AA162" s="111" t="str">
        <f t="shared" si="176"/>
        <v>-</v>
      </c>
      <c r="AB162" s="111" t="str">
        <f t="shared" si="176"/>
        <v>-</v>
      </c>
      <c r="AC162" s="111" t="str">
        <f t="shared" si="176"/>
        <v>-</v>
      </c>
      <c r="AD162" s="111" t="str">
        <f t="shared" si="176"/>
        <v>-</v>
      </c>
      <c r="AE162" s="111" t="str">
        <f t="shared" si="176"/>
        <v>-</v>
      </c>
      <c r="AF162" s="111" t="str">
        <f t="shared" si="176"/>
        <v>-</v>
      </c>
      <c r="AG162" s="114" t="str">
        <f t="shared" si="176"/>
        <v>-</v>
      </c>
    </row>
    <row r="163" spans="3:46" ht="15" hidden="1" customHeight="1" outlineLevel="1">
      <c r="C163" s="34" t="s">
        <v>135</v>
      </c>
      <c r="D163" s="84" t="str">
        <f t="shared" ref="D163:AG163" si="177">IF($D$2=FALSE,"-",-D290-D291)</f>
        <v>-</v>
      </c>
      <c r="E163" s="85" t="str">
        <f t="shared" si="177"/>
        <v>-</v>
      </c>
      <c r="F163" s="85" t="str">
        <f t="shared" si="177"/>
        <v>-</v>
      </c>
      <c r="G163" s="86" t="str">
        <f t="shared" si="177"/>
        <v>-</v>
      </c>
      <c r="H163" s="85" t="str">
        <f t="shared" si="177"/>
        <v>-</v>
      </c>
      <c r="I163" s="87" t="str">
        <f t="shared" si="177"/>
        <v>-</v>
      </c>
      <c r="J163" s="85" t="str">
        <f t="shared" si="177"/>
        <v>-</v>
      </c>
      <c r="K163" s="85" t="str">
        <f t="shared" si="177"/>
        <v>-</v>
      </c>
      <c r="L163" s="85" t="str">
        <f t="shared" si="177"/>
        <v>-</v>
      </c>
      <c r="M163" s="88" t="str">
        <f t="shared" si="177"/>
        <v>-</v>
      </c>
      <c r="N163" s="84" t="str">
        <f t="shared" si="177"/>
        <v>-</v>
      </c>
      <c r="O163" s="85" t="str">
        <f t="shared" si="177"/>
        <v>-</v>
      </c>
      <c r="P163" s="85" t="str">
        <f t="shared" si="177"/>
        <v>-</v>
      </c>
      <c r="Q163" s="85" t="str">
        <f t="shared" si="177"/>
        <v>-</v>
      </c>
      <c r="R163" s="85" t="str">
        <f t="shared" si="177"/>
        <v>-</v>
      </c>
      <c r="S163" s="85" t="str">
        <f t="shared" si="177"/>
        <v>-</v>
      </c>
      <c r="T163" s="85" t="str">
        <f t="shared" si="177"/>
        <v>-</v>
      </c>
      <c r="U163" s="85" t="str">
        <f t="shared" si="177"/>
        <v>-</v>
      </c>
      <c r="V163" s="85" t="str">
        <f t="shared" si="177"/>
        <v>-</v>
      </c>
      <c r="W163" s="85" t="str">
        <f t="shared" si="177"/>
        <v>-</v>
      </c>
      <c r="X163" s="85" t="str">
        <f t="shared" si="177"/>
        <v>-</v>
      </c>
      <c r="Y163" s="85" t="str">
        <f t="shared" si="177"/>
        <v>-</v>
      </c>
      <c r="Z163" s="85" t="str">
        <f t="shared" si="177"/>
        <v>-</v>
      </c>
      <c r="AA163" s="85" t="str">
        <f t="shared" si="177"/>
        <v>-</v>
      </c>
      <c r="AB163" s="85" t="str">
        <f t="shared" si="177"/>
        <v>-</v>
      </c>
      <c r="AC163" s="85" t="str">
        <f t="shared" si="177"/>
        <v>-</v>
      </c>
      <c r="AD163" s="85" t="str">
        <f t="shared" si="177"/>
        <v>-</v>
      </c>
      <c r="AE163" s="85" t="str">
        <f t="shared" si="177"/>
        <v>-</v>
      </c>
      <c r="AF163" s="85" t="str">
        <f t="shared" si="177"/>
        <v>-</v>
      </c>
      <c r="AG163" s="88" t="str">
        <f t="shared" si="177"/>
        <v>-</v>
      </c>
    </row>
    <row r="164" spans="3:46" ht="15" hidden="1" customHeight="1" outlineLevel="1">
      <c r="C164" s="34" t="s">
        <v>136</v>
      </c>
      <c r="D164" s="84" t="str">
        <f t="shared" ref="D164:AG164" si="178">IF($D$2=FALSE,"-",-D289)</f>
        <v>-</v>
      </c>
      <c r="E164" s="85" t="str">
        <f t="shared" si="178"/>
        <v>-</v>
      </c>
      <c r="F164" s="85" t="str">
        <f t="shared" si="178"/>
        <v>-</v>
      </c>
      <c r="G164" s="86" t="str">
        <f t="shared" si="178"/>
        <v>-</v>
      </c>
      <c r="H164" s="85" t="str">
        <f t="shared" si="178"/>
        <v>-</v>
      </c>
      <c r="I164" s="87" t="str">
        <f t="shared" si="178"/>
        <v>-</v>
      </c>
      <c r="J164" s="85" t="str">
        <f t="shared" si="178"/>
        <v>-</v>
      </c>
      <c r="K164" s="85" t="str">
        <f t="shared" si="178"/>
        <v>-</v>
      </c>
      <c r="L164" s="85" t="str">
        <f t="shared" si="178"/>
        <v>-</v>
      </c>
      <c r="M164" s="88" t="str">
        <f t="shared" si="178"/>
        <v>-</v>
      </c>
      <c r="N164" s="84" t="str">
        <f t="shared" si="178"/>
        <v>-</v>
      </c>
      <c r="O164" s="85" t="str">
        <f t="shared" si="178"/>
        <v>-</v>
      </c>
      <c r="P164" s="85" t="str">
        <f t="shared" si="178"/>
        <v>-</v>
      </c>
      <c r="Q164" s="85" t="str">
        <f t="shared" si="178"/>
        <v>-</v>
      </c>
      <c r="R164" s="85" t="str">
        <f t="shared" si="178"/>
        <v>-</v>
      </c>
      <c r="S164" s="85" t="str">
        <f t="shared" si="178"/>
        <v>-</v>
      </c>
      <c r="T164" s="85" t="str">
        <f t="shared" si="178"/>
        <v>-</v>
      </c>
      <c r="U164" s="85" t="str">
        <f t="shared" si="178"/>
        <v>-</v>
      </c>
      <c r="V164" s="85" t="str">
        <f t="shared" si="178"/>
        <v>-</v>
      </c>
      <c r="W164" s="85" t="str">
        <f t="shared" si="178"/>
        <v>-</v>
      </c>
      <c r="X164" s="85" t="str">
        <f t="shared" si="178"/>
        <v>-</v>
      </c>
      <c r="Y164" s="85" t="str">
        <f t="shared" si="178"/>
        <v>-</v>
      </c>
      <c r="Z164" s="85" t="str">
        <f t="shared" si="178"/>
        <v>-</v>
      </c>
      <c r="AA164" s="85" t="str">
        <f t="shared" si="178"/>
        <v>-</v>
      </c>
      <c r="AB164" s="85" t="str">
        <f t="shared" si="178"/>
        <v>-</v>
      </c>
      <c r="AC164" s="85" t="str">
        <f t="shared" si="178"/>
        <v>-</v>
      </c>
      <c r="AD164" s="85" t="str">
        <f t="shared" si="178"/>
        <v>-</v>
      </c>
      <c r="AE164" s="85" t="str">
        <f t="shared" si="178"/>
        <v>-</v>
      </c>
      <c r="AF164" s="85" t="str">
        <f t="shared" si="178"/>
        <v>-</v>
      </c>
      <c r="AG164" s="88" t="str">
        <f t="shared" si="178"/>
        <v>-</v>
      </c>
    </row>
    <row r="165" spans="3:46" s="12" customFormat="1" ht="15" hidden="1" customHeight="1" outlineLevel="1">
      <c r="C165" s="70" t="s">
        <v>60</v>
      </c>
      <c r="D165" s="110" t="str">
        <f t="shared" ref="D165:AG165" si="179">IF($D$2=FALSE,"-",+D293)</f>
        <v>-</v>
      </c>
      <c r="E165" s="111" t="str">
        <f t="shared" si="179"/>
        <v>-</v>
      </c>
      <c r="F165" s="111" t="str">
        <f t="shared" si="179"/>
        <v>-</v>
      </c>
      <c r="G165" s="112" t="str">
        <f t="shared" si="179"/>
        <v>-</v>
      </c>
      <c r="H165" s="111" t="str">
        <f t="shared" si="179"/>
        <v>-</v>
      </c>
      <c r="I165" s="113" t="str">
        <f t="shared" si="179"/>
        <v>-</v>
      </c>
      <c r="J165" s="111" t="str">
        <f t="shared" si="179"/>
        <v>-</v>
      </c>
      <c r="K165" s="111" t="str">
        <f t="shared" si="179"/>
        <v>-</v>
      </c>
      <c r="L165" s="111" t="str">
        <f t="shared" si="179"/>
        <v>-</v>
      </c>
      <c r="M165" s="114" t="str">
        <f t="shared" si="179"/>
        <v>-</v>
      </c>
      <c r="N165" s="110" t="str">
        <f t="shared" si="179"/>
        <v>-</v>
      </c>
      <c r="O165" s="111" t="str">
        <f t="shared" si="179"/>
        <v>-</v>
      </c>
      <c r="P165" s="111" t="str">
        <f t="shared" si="179"/>
        <v>-</v>
      </c>
      <c r="Q165" s="111" t="str">
        <f t="shared" si="179"/>
        <v>-</v>
      </c>
      <c r="R165" s="111" t="str">
        <f t="shared" si="179"/>
        <v>-</v>
      </c>
      <c r="S165" s="111" t="str">
        <f t="shared" si="179"/>
        <v>-</v>
      </c>
      <c r="T165" s="111" t="str">
        <f t="shared" si="179"/>
        <v>-</v>
      </c>
      <c r="U165" s="111" t="str">
        <f t="shared" si="179"/>
        <v>-</v>
      </c>
      <c r="V165" s="111" t="str">
        <f t="shared" si="179"/>
        <v>-</v>
      </c>
      <c r="W165" s="111" t="str">
        <f t="shared" si="179"/>
        <v>-</v>
      </c>
      <c r="X165" s="111" t="str">
        <f t="shared" si="179"/>
        <v>-</v>
      </c>
      <c r="Y165" s="111" t="str">
        <f t="shared" si="179"/>
        <v>-</v>
      </c>
      <c r="Z165" s="111" t="str">
        <f t="shared" si="179"/>
        <v>-</v>
      </c>
      <c r="AA165" s="111" t="str">
        <f t="shared" si="179"/>
        <v>-</v>
      </c>
      <c r="AB165" s="111" t="str">
        <f t="shared" si="179"/>
        <v>-</v>
      </c>
      <c r="AC165" s="111" t="str">
        <f t="shared" si="179"/>
        <v>-</v>
      </c>
      <c r="AD165" s="111" t="str">
        <f t="shared" si="179"/>
        <v>-</v>
      </c>
      <c r="AE165" s="111" t="str">
        <f t="shared" si="179"/>
        <v>-</v>
      </c>
      <c r="AF165" s="111" t="str">
        <f t="shared" si="179"/>
        <v>-</v>
      </c>
      <c r="AG165" s="114" t="str">
        <f t="shared" si="179"/>
        <v>-</v>
      </c>
    </row>
    <row r="166" spans="3:46" ht="15" hidden="1" customHeight="1" outlineLevel="1">
      <c r="C166" s="34" t="s">
        <v>137</v>
      </c>
      <c r="D166" s="84" t="str">
        <f t="shared" ref="D166:AG166" si="180">IF($D$2=FALSE,"-",-D286+D285)</f>
        <v>-</v>
      </c>
      <c r="E166" s="85" t="str">
        <f t="shared" si="180"/>
        <v>-</v>
      </c>
      <c r="F166" s="85" t="str">
        <f t="shared" si="180"/>
        <v>-</v>
      </c>
      <c r="G166" s="86" t="str">
        <f t="shared" si="180"/>
        <v>-</v>
      </c>
      <c r="H166" s="85" t="str">
        <f t="shared" si="180"/>
        <v>-</v>
      </c>
      <c r="I166" s="87" t="str">
        <f t="shared" si="180"/>
        <v>-</v>
      </c>
      <c r="J166" s="85" t="str">
        <f t="shared" si="180"/>
        <v>-</v>
      </c>
      <c r="K166" s="85" t="str">
        <f t="shared" si="180"/>
        <v>-</v>
      </c>
      <c r="L166" s="85" t="str">
        <f t="shared" si="180"/>
        <v>-</v>
      </c>
      <c r="M166" s="88" t="str">
        <f t="shared" si="180"/>
        <v>-</v>
      </c>
      <c r="N166" s="84" t="str">
        <f t="shared" si="180"/>
        <v>-</v>
      </c>
      <c r="O166" s="85" t="str">
        <f t="shared" si="180"/>
        <v>-</v>
      </c>
      <c r="P166" s="85" t="str">
        <f t="shared" si="180"/>
        <v>-</v>
      </c>
      <c r="Q166" s="85" t="str">
        <f t="shared" si="180"/>
        <v>-</v>
      </c>
      <c r="R166" s="85" t="str">
        <f t="shared" si="180"/>
        <v>-</v>
      </c>
      <c r="S166" s="85" t="str">
        <f t="shared" si="180"/>
        <v>-</v>
      </c>
      <c r="T166" s="85" t="str">
        <f t="shared" si="180"/>
        <v>-</v>
      </c>
      <c r="U166" s="85" t="str">
        <f t="shared" si="180"/>
        <v>-</v>
      </c>
      <c r="V166" s="85" t="str">
        <f t="shared" si="180"/>
        <v>-</v>
      </c>
      <c r="W166" s="85" t="str">
        <f t="shared" si="180"/>
        <v>-</v>
      </c>
      <c r="X166" s="85" t="str">
        <f t="shared" si="180"/>
        <v>-</v>
      </c>
      <c r="Y166" s="85" t="str">
        <f t="shared" si="180"/>
        <v>-</v>
      </c>
      <c r="Z166" s="85" t="str">
        <f t="shared" si="180"/>
        <v>-</v>
      </c>
      <c r="AA166" s="85" t="str">
        <f t="shared" si="180"/>
        <v>-</v>
      </c>
      <c r="AB166" s="85" t="str">
        <f t="shared" si="180"/>
        <v>-</v>
      </c>
      <c r="AC166" s="85" t="str">
        <f t="shared" si="180"/>
        <v>-</v>
      </c>
      <c r="AD166" s="85" t="str">
        <f t="shared" si="180"/>
        <v>-</v>
      </c>
      <c r="AE166" s="85" t="str">
        <f t="shared" si="180"/>
        <v>-</v>
      </c>
      <c r="AF166" s="85" t="str">
        <f t="shared" si="180"/>
        <v>-</v>
      </c>
      <c r="AG166" s="88" t="str">
        <f t="shared" si="180"/>
        <v>-</v>
      </c>
    </row>
    <row r="167" spans="3:46" ht="15" hidden="1" customHeight="1" outlineLevel="1">
      <c r="C167" s="34" t="s">
        <v>138</v>
      </c>
      <c r="D167" s="84" t="str">
        <f t="shared" ref="D167:AG167" si="181">IF($D$2=FALSE,"-",-SUM(D162:D164)-D166+D168)</f>
        <v>-</v>
      </c>
      <c r="E167" s="85" t="str">
        <f t="shared" si="181"/>
        <v>-</v>
      </c>
      <c r="F167" s="85" t="str">
        <f t="shared" si="181"/>
        <v>-</v>
      </c>
      <c r="G167" s="86" t="str">
        <f t="shared" si="181"/>
        <v>-</v>
      </c>
      <c r="H167" s="85" t="str">
        <f t="shared" si="181"/>
        <v>-</v>
      </c>
      <c r="I167" s="87" t="str">
        <f t="shared" si="181"/>
        <v>-</v>
      </c>
      <c r="J167" s="85" t="str">
        <f t="shared" si="181"/>
        <v>-</v>
      </c>
      <c r="K167" s="85" t="str">
        <f t="shared" si="181"/>
        <v>-</v>
      </c>
      <c r="L167" s="85" t="str">
        <f t="shared" si="181"/>
        <v>-</v>
      </c>
      <c r="M167" s="88" t="str">
        <f t="shared" si="181"/>
        <v>-</v>
      </c>
      <c r="N167" s="84" t="str">
        <f t="shared" si="181"/>
        <v>-</v>
      </c>
      <c r="O167" s="85" t="str">
        <f t="shared" si="181"/>
        <v>-</v>
      </c>
      <c r="P167" s="85" t="str">
        <f t="shared" si="181"/>
        <v>-</v>
      </c>
      <c r="Q167" s="85" t="str">
        <f t="shared" si="181"/>
        <v>-</v>
      </c>
      <c r="R167" s="85" t="str">
        <f t="shared" si="181"/>
        <v>-</v>
      </c>
      <c r="S167" s="85" t="str">
        <f t="shared" si="181"/>
        <v>-</v>
      </c>
      <c r="T167" s="85" t="str">
        <f t="shared" si="181"/>
        <v>-</v>
      </c>
      <c r="U167" s="85" t="str">
        <f t="shared" si="181"/>
        <v>-</v>
      </c>
      <c r="V167" s="85" t="str">
        <f t="shared" si="181"/>
        <v>-</v>
      </c>
      <c r="W167" s="85" t="str">
        <f t="shared" si="181"/>
        <v>-</v>
      </c>
      <c r="X167" s="85" t="str">
        <f t="shared" si="181"/>
        <v>-</v>
      </c>
      <c r="Y167" s="85" t="str">
        <f t="shared" si="181"/>
        <v>-</v>
      </c>
      <c r="Z167" s="85" t="str">
        <f t="shared" si="181"/>
        <v>-</v>
      </c>
      <c r="AA167" s="85" t="str">
        <f t="shared" si="181"/>
        <v>-</v>
      </c>
      <c r="AB167" s="85" t="str">
        <f t="shared" si="181"/>
        <v>-</v>
      </c>
      <c r="AC167" s="85" t="str">
        <f t="shared" si="181"/>
        <v>-</v>
      </c>
      <c r="AD167" s="85" t="str">
        <f t="shared" si="181"/>
        <v>-</v>
      </c>
      <c r="AE167" s="85" t="str">
        <f t="shared" si="181"/>
        <v>-</v>
      </c>
      <c r="AF167" s="85" t="str">
        <f t="shared" si="181"/>
        <v>-</v>
      </c>
      <c r="AG167" s="88" t="str">
        <f t="shared" si="181"/>
        <v>-</v>
      </c>
    </row>
    <row r="168" spans="3:46" s="12" customFormat="1" ht="15" hidden="1" customHeight="1" outlineLevel="1">
      <c r="C168" s="70" t="s">
        <v>59</v>
      </c>
      <c r="D168" s="110" t="str">
        <f t="shared" ref="D168:AG168" si="182">IF($D$2=FALSE,"-",+D298)</f>
        <v>-</v>
      </c>
      <c r="E168" s="111" t="str">
        <f t="shared" si="182"/>
        <v>-</v>
      </c>
      <c r="F168" s="111" t="str">
        <f t="shared" si="182"/>
        <v>-</v>
      </c>
      <c r="G168" s="112" t="str">
        <f t="shared" si="182"/>
        <v>-</v>
      </c>
      <c r="H168" s="111" t="str">
        <f t="shared" si="182"/>
        <v>-</v>
      </c>
      <c r="I168" s="113" t="str">
        <f t="shared" si="182"/>
        <v>-</v>
      </c>
      <c r="J168" s="111" t="str">
        <f t="shared" si="182"/>
        <v>-</v>
      </c>
      <c r="K168" s="111" t="str">
        <f t="shared" si="182"/>
        <v>-</v>
      </c>
      <c r="L168" s="111" t="str">
        <f t="shared" si="182"/>
        <v>-</v>
      </c>
      <c r="M168" s="114" t="str">
        <f t="shared" si="182"/>
        <v>-</v>
      </c>
      <c r="N168" s="110" t="str">
        <f t="shared" si="182"/>
        <v>-</v>
      </c>
      <c r="O168" s="111" t="str">
        <f t="shared" si="182"/>
        <v>-</v>
      </c>
      <c r="P168" s="111" t="str">
        <f t="shared" si="182"/>
        <v>-</v>
      </c>
      <c r="Q168" s="111" t="str">
        <f t="shared" si="182"/>
        <v>-</v>
      </c>
      <c r="R168" s="111" t="str">
        <f t="shared" si="182"/>
        <v>-</v>
      </c>
      <c r="S168" s="111" t="str">
        <f t="shared" si="182"/>
        <v>-</v>
      </c>
      <c r="T168" s="111" t="str">
        <f t="shared" si="182"/>
        <v>-</v>
      </c>
      <c r="U168" s="111" t="str">
        <f t="shared" si="182"/>
        <v>-</v>
      </c>
      <c r="V168" s="111" t="str">
        <f t="shared" si="182"/>
        <v>-</v>
      </c>
      <c r="W168" s="111" t="str">
        <f t="shared" si="182"/>
        <v>-</v>
      </c>
      <c r="X168" s="111" t="str">
        <f t="shared" si="182"/>
        <v>-</v>
      </c>
      <c r="Y168" s="111" t="str">
        <f t="shared" si="182"/>
        <v>-</v>
      </c>
      <c r="Z168" s="111" t="str">
        <f t="shared" si="182"/>
        <v>-</v>
      </c>
      <c r="AA168" s="111" t="str">
        <f t="shared" si="182"/>
        <v>-</v>
      </c>
      <c r="AB168" s="111" t="str">
        <f t="shared" si="182"/>
        <v>-</v>
      </c>
      <c r="AC168" s="111" t="str">
        <f t="shared" si="182"/>
        <v>-</v>
      </c>
      <c r="AD168" s="111" t="str">
        <f t="shared" si="182"/>
        <v>-</v>
      </c>
      <c r="AE168" s="111" t="str">
        <f t="shared" si="182"/>
        <v>-</v>
      </c>
      <c r="AF168" s="111" t="str">
        <f t="shared" si="182"/>
        <v>-</v>
      </c>
      <c r="AG168" s="114" t="str">
        <f t="shared" si="182"/>
        <v>-</v>
      </c>
    </row>
    <row r="169" spans="3:46" ht="15" hidden="1" customHeight="1" outlineLevel="1">
      <c r="C169" s="34" t="s">
        <v>139</v>
      </c>
      <c r="D169" s="84"/>
      <c r="E169" s="85"/>
      <c r="F169" s="85"/>
      <c r="G169" s="86"/>
      <c r="H169" s="85"/>
      <c r="I169" s="87"/>
      <c r="J169" s="85"/>
      <c r="K169" s="85"/>
      <c r="L169" s="85"/>
      <c r="M169" s="88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103"/>
      <c r="Y169" s="103"/>
      <c r="Z169" s="103"/>
      <c r="AA169" s="103"/>
      <c r="AB169" s="103"/>
      <c r="AC169" s="103"/>
      <c r="AD169" s="103"/>
      <c r="AE169" s="103"/>
      <c r="AF169" s="103"/>
      <c r="AG169" s="106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</row>
    <row r="170" spans="3:46" s="12" customFormat="1" ht="15" hidden="1" customHeight="1" outlineLevel="1">
      <c r="C170" s="70" t="s">
        <v>140</v>
      </c>
      <c r="D170" s="110" t="str">
        <f t="shared" ref="D170:AG170" si="183">IF($D$2=FALSE,"-",+D306)</f>
        <v>-</v>
      </c>
      <c r="E170" s="111" t="str">
        <f t="shared" si="183"/>
        <v>-</v>
      </c>
      <c r="F170" s="111" t="str">
        <f t="shared" si="183"/>
        <v>-</v>
      </c>
      <c r="G170" s="112" t="str">
        <f t="shared" si="183"/>
        <v>-</v>
      </c>
      <c r="H170" s="111" t="str">
        <f t="shared" si="183"/>
        <v>-</v>
      </c>
      <c r="I170" s="113" t="str">
        <f t="shared" si="183"/>
        <v>-</v>
      </c>
      <c r="J170" s="111" t="str">
        <f t="shared" si="183"/>
        <v>-</v>
      </c>
      <c r="K170" s="111" t="str">
        <f t="shared" si="183"/>
        <v>-</v>
      </c>
      <c r="L170" s="111" t="str">
        <f t="shared" si="183"/>
        <v>-</v>
      </c>
      <c r="M170" s="114" t="str">
        <f t="shared" si="183"/>
        <v>-</v>
      </c>
      <c r="N170" s="110" t="str">
        <f t="shared" si="183"/>
        <v>-</v>
      </c>
      <c r="O170" s="111" t="str">
        <f t="shared" si="183"/>
        <v>-</v>
      </c>
      <c r="P170" s="111" t="str">
        <f t="shared" si="183"/>
        <v>-</v>
      </c>
      <c r="Q170" s="111" t="str">
        <f t="shared" si="183"/>
        <v>-</v>
      </c>
      <c r="R170" s="111" t="str">
        <f t="shared" si="183"/>
        <v>-</v>
      </c>
      <c r="S170" s="111" t="str">
        <f t="shared" si="183"/>
        <v>-</v>
      </c>
      <c r="T170" s="111" t="str">
        <f t="shared" si="183"/>
        <v>-</v>
      </c>
      <c r="U170" s="111" t="str">
        <f t="shared" si="183"/>
        <v>-</v>
      </c>
      <c r="V170" s="111" t="str">
        <f t="shared" si="183"/>
        <v>-</v>
      </c>
      <c r="W170" s="111" t="str">
        <f t="shared" si="183"/>
        <v>-</v>
      </c>
      <c r="X170" s="111" t="str">
        <f t="shared" si="183"/>
        <v>-</v>
      </c>
      <c r="Y170" s="111" t="str">
        <f t="shared" si="183"/>
        <v>-</v>
      </c>
      <c r="Z170" s="111" t="str">
        <f t="shared" si="183"/>
        <v>-</v>
      </c>
      <c r="AA170" s="111" t="str">
        <f t="shared" si="183"/>
        <v>-</v>
      </c>
      <c r="AB170" s="111" t="str">
        <f t="shared" si="183"/>
        <v>-</v>
      </c>
      <c r="AC170" s="111" t="str">
        <f t="shared" si="183"/>
        <v>-</v>
      </c>
      <c r="AD170" s="111" t="str">
        <f t="shared" si="183"/>
        <v>-</v>
      </c>
      <c r="AE170" s="111" t="str">
        <f t="shared" si="183"/>
        <v>-</v>
      </c>
      <c r="AF170" s="111" t="str">
        <f t="shared" si="183"/>
        <v>-</v>
      </c>
      <c r="AG170" s="114" t="str">
        <f t="shared" si="183"/>
        <v>-</v>
      </c>
    </row>
    <row r="171" spans="3:46" ht="15" hidden="1" customHeight="1" outlineLevel="1">
      <c r="C171" s="34" t="s">
        <v>139</v>
      </c>
      <c r="D171" s="84" t="str">
        <f t="shared" ref="D171:AG171" si="184">IF($D$2=FALSE,"-",+D172-D170)</f>
        <v>-</v>
      </c>
      <c r="E171" s="85" t="str">
        <f t="shared" si="184"/>
        <v>-</v>
      </c>
      <c r="F171" s="85" t="str">
        <f t="shared" si="184"/>
        <v>-</v>
      </c>
      <c r="G171" s="86" t="str">
        <f t="shared" si="184"/>
        <v>-</v>
      </c>
      <c r="H171" s="85" t="str">
        <f t="shared" si="184"/>
        <v>-</v>
      </c>
      <c r="I171" s="87" t="str">
        <f t="shared" si="184"/>
        <v>-</v>
      </c>
      <c r="J171" s="85" t="str">
        <f t="shared" si="184"/>
        <v>-</v>
      </c>
      <c r="K171" s="85" t="str">
        <f t="shared" si="184"/>
        <v>-</v>
      </c>
      <c r="L171" s="85" t="str">
        <f t="shared" si="184"/>
        <v>-</v>
      </c>
      <c r="M171" s="88" t="str">
        <f t="shared" si="184"/>
        <v>-</v>
      </c>
      <c r="N171" s="84" t="str">
        <f t="shared" si="184"/>
        <v>-</v>
      </c>
      <c r="O171" s="85" t="str">
        <f t="shared" si="184"/>
        <v>-</v>
      </c>
      <c r="P171" s="85" t="str">
        <f t="shared" si="184"/>
        <v>-</v>
      </c>
      <c r="Q171" s="85" t="str">
        <f t="shared" si="184"/>
        <v>-</v>
      </c>
      <c r="R171" s="85" t="str">
        <f t="shared" si="184"/>
        <v>-</v>
      </c>
      <c r="S171" s="85" t="str">
        <f t="shared" si="184"/>
        <v>-</v>
      </c>
      <c r="T171" s="85" t="str">
        <f t="shared" si="184"/>
        <v>-</v>
      </c>
      <c r="U171" s="85" t="str">
        <f t="shared" si="184"/>
        <v>-</v>
      </c>
      <c r="V171" s="85" t="str">
        <f t="shared" si="184"/>
        <v>-</v>
      </c>
      <c r="W171" s="85" t="str">
        <f t="shared" si="184"/>
        <v>-</v>
      </c>
      <c r="X171" s="85" t="str">
        <f t="shared" si="184"/>
        <v>-</v>
      </c>
      <c r="Y171" s="85" t="str">
        <f t="shared" si="184"/>
        <v>-</v>
      </c>
      <c r="Z171" s="85" t="str">
        <f t="shared" si="184"/>
        <v>-</v>
      </c>
      <c r="AA171" s="85" t="str">
        <f t="shared" si="184"/>
        <v>-</v>
      </c>
      <c r="AB171" s="85" t="str">
        <f t="shared" si="184"/>
        <v>-</v>
      </c>
      <c r="AC171" s="85" t="str">
        <f t="shared" si="184"/>
        <v>-</v>
      </c>
      <c r="AD171" s="85" t="str">
        <f t="shared" si="184"/>
        <v>-</v>
      </c>
      <c r="AE171" s="85" t="str">
        <f t="shared" si="184"/>
        <v>-</v>
      </c>
      <c r="AF171" s="85" t="str">
        <f t="shared" si="184"/>
        <v>-</v>
      </c>
      <c r="AG171" s="88" t="str">
        <f t="shared" si="184"/>
        <v>-</v>
      </c>
    </row>
    <row r="172" spans="3:46" ht="15" hidden="1" customHeight="1" outlineLevel="1">
      <c r="C172" s="70" t="s">
        <v>141</v>
      </c>
      <c r="D172" s="110" t="str">
        <f t="shared" ref="D172:AG172" si="185">IF($D$2=FALSE,"-",+D308)</f>
        <v>-</v>
      </c>
      <c r="E172" s="111" t="str">
        <f t="shared" si="185"/>
        <v>-</v>
      </c>
      <c r="F172" s="111" t="str">
        <f t="shared" si="185"/>
        <v>-</v>
      </c>
      <c r="G172" s="112" t="str">
        <f t="shared" si="185"/>
        <v>-</v>
      </c>
      <c r="H172" s="111" t="str">
        <f t="shared" si="185"/>
        <v>-</v>
      </c>
      <c r="I172" s="113" t="str">
        <f t="shared" si="185"/>
        <v>-</v>
      </c>
      <c r="J172" s="111" t="str">
        <f t="shared" si="185"/>
        <v>-</v>
      </c>
      <c r="K172" s="111" t="str">
        <f t="shared" si="185"/>
        <v>-</v>
      </c>
      <c r="L172" s="111" t="str">
        <f t="shared" si="185"/>
        <v>-</v>
      </c>
      <c r="M172" s="114" t="str">
        <f t="shared" si="185"/>
        <v>-</v>
      </c>
      <c r="N172" s="110" t="str">
        <f t="shared" si="185"/>
        <v>-</v>
      </c>
      <c r="O172" s="111" t="str">
        <f t="shared" si="185"/>
        <v>-</v>
      </c>
      <c r="P172" s="111" t="str">
        <f t="shared" si="185"/>
        <v>-</v>
      </c>
      <c r="Q172" s="111" t="str">
        <f t="shared" si="185"/>
        <v>-</v>
      </c>
      <c r="R172" s="111" t="str">
        <f t="shared" si="185"/>
        <v>-</v>
      </c>
      <c r="S172" s="111" t="str">
        <f t="shared" si="185"/>
        <v>-</v>
      </c>
      <c r="T172" s="111" t="str">
        <f t="shared" si="185"/>
        <v>-</v>
      </c>
      <c r="U172" s="111" t="str">
        <f t="shared" si="185"/>
        <v>-</v>
      </c>
      <c r="V172" s="111" t="str">
        <f t="shared" si="185"/>
        <v>-</v>
      </c>
      <c r="W172" s="111" t="str">
        <f t="shared" si="185"/>
        <v>-</v>
      </c>
      <c r="X172" s="111" t="str">
        <f t="shared" si="185"/>
        <v>-</v>
      </c>
      <c r="Y172" s="111" t="str">
        <f t="shared" si="185"/>
        <v>-</v>
      </c>
      <c r="Z172" s="111" t="str">
        <f t="shared" si="185"/>
        <v>-</v>
      </c>
      <c r="AA172" s="111" t="str">
        <f t="shared" si="185"/>
        <v>-</v>
      </c>
      <c r="AB172" s="111" t="str">
        <f t="shared" si="185"/>
        <v>-</v>
      </c>
      <c r="AC172" s="111" t="str">
        <f t="shared" si="185"/>
        <v>-</v>
      </c>
      <c r="AD172" s="111" t="str">
        <f t="shared" si="185"/>
        <v>-</v>
      </c>
      <c r="AE172" s="111" t="str">
        <f t="shared" si="185"/>
        <v>-</v>
      </c>
      <c r="AF172" s="111" t="str">
        <f t="shared" si="185"/>
        <v>-</v>
      </c>
      <c r="AG172" s="114" t="str">
        <f t="shared" si="185"/>
        <v>-</v>
      </c>
    </row>
    <row r="173" spans="3:46" ht="15" hidden="1" customHeight="1" outlineLevel="1">
      <c r="C173" s="34" t="s">
        <v>142</v>
      </c>
      <c r="D173" s="84" t="str">
        <f t="shared" ref="D173:AG173" si="186">IF($D$2=FALSE,"-",-D309)</f>
        <v>-</v>
      </c>
      <c r="E173" s="85" t="str">
        <f t="shared" si="186"/>
        <v>-</v>
      </c>
      <c r="F173" s="85" t="str">
        <f t="shared" si="186"/>
        <v>-</v>
      </c>
      <c r="G173" s="86" t="str">
        <f t="shared" si="186"/>
        <v>-</v>
      </c>
      <c r="H173" s="85" t="str">
        <f t="shared" si="186"/>
        <v>-</v>
      </c>
      <c r="I173" s="87" t="str">
        <f t="shared" si="186"/>
        <v>-</v>
      </c>
      <c r="J173" s="85" t="str">
        <f t="shared" si="186"/>
        <v>-</v>
      </c>
      <c r="K173" s="85" t="str">
        <f t="shared" si="186"/>
        <v>-</v>
      </c>
      <c r="L173" s="85" t="str">
        <f t="shared" si="186"/>
        <v>-</v>
      </c>
      <c r="M173" s="88" t="str">
        <f t="shared" si="186"/>
        <v>-</v>
      </c>
      <c r="N173" s="84" t="str">
        <f t="shared" si="186"/>
        <v>-</v>
      </c>
      <c r="O173" s="85" t="str">
        <f t="shared" si="186"/>
        <v>-</v>
      </c>
      <c r="P173" s="85" t="str">
        <f t="shared" si="186"/>
        <v>-</v>
      </c>
      <c r="Q173" s="85" t="str">
        <f t="shared" si="186"/>
        <v>-</v>
      </c>
      <c r="R173" s="85" t="str">
        <f t="shared" si="186"/>
        <v>-</v>
      </c>
      <c r="S173" s="85" t="str">
        <f t="shared" si="186"/>
        <v>-</v>
      </c>
      <c r="T173" s="85" t="str">
        <f t="shared" si="186"/>
        <v>-</v>
      </c>
      <c r="U173" s="85" t="str">
        <f t="shared" si="186"/>
        <v>-</v>
      </c>
      <c r="V173" s="85" t="str">
        <f t="shared" si="186"/>
        <v>-</v>
      </c>
      <c r="W173" s="85" t="str">
        <f t="shared" si="186"/>
        <v>-</v>
      </c>
      <c r="X173" s="85" t="str">
        <f t="shared" si="186"/>
        <v>-</v>
      </c>
      <c r="Y173" s="85" t="str">
        <f t="shared" si="186"/>
        <v>-</v>
      </c>
      <c r="Z173" s="85" t="str">
        <f t="shared" si="186"/>
        <v>-</v>
      </c>
      <c r="AA173" s="85" t="str">
        <f t="shared" si="186"/>
        <v>-</v>
      </c>
      <c r="AB173" s="85" t="str">
        <f t="shared" si="186"/>
        <v>-</v>
      </c>
      <c r="AC173" s="85" t="str">
        <f t="shared" si="186"/>
        <v>-</v>
      </c>
      <c r="AD173" s="85" t="str">
        <f t="shared" si="186"/>
        <v>-</v>
      </c>
      <c r="AE173" s="85" t="str">
        <f t="shared" si="186"/>
        <v>-</v>
      </c>
      <c r="AF173" s="85" t="str">
        <f t="shared" si="186"/>
        <v>-</v>
      </c>
      <c r="AG173" s="88" t="str">
        <f t="shared" si="186"/>
        <v>-</v>
      </c>
    </row>
    <row r="174" spans="3:46" ht="15" hidden="1" customHeight="1" outlineLevel="1">
      <c r="C174" s="70" t="s">
        <v>143</v>
      </c>
      <c r="D174" s="110" t="str">
        <f t="shared" ref="D174:AG174" si="187">IF($D$2=FALSE,"-",SUM(D172:D173))</f>
        <v>-</v>
      </c>
      <c r="E174" s="111" t="str">
        <f t="shared" si="187"/>
        <v>-</v>
      </c>
      <c r="F174" s="111" t="str">
        <f t="shared" si="187"/>
        <v>-</v>
      </c>
      <c r="G174" s="112" t="str">
        <f t="shared" si="187"/>
        <v>-</v>
      </c>
      <c r="H174" s="111" t="str">
        <f t="shared" si="187"/>
        <v>-</v>
      </c>
      <c r="I174" s="113" t="str">
        <f t="shared" si="187"/>
        <v>-</v>
      </c>
      <c r="J174" s="111" t="str">
        <f t="shared" si="187"/>
        <v>-</v>
      </c>
      <c r="K174" s="111" t="str">
        <f t="shared" si="187"/>
        <v>-</v>
      </c>
      <c r="L174" s="111" t="str">
        <f t="shared" si="187"/>
        <v>-</v>
      </c>
      <c r="M174" s="114" t="str">
        <f t="shared" si="187"/>
        <v>-</v>
      </c>
      <c r="N174" s="110" t="str">
        <f t="shared" si="187"/>
        <v>-</v>
      </c>
      <c r="O174" s="111" t="str">
        <f t="shared" si="187"/>
        <v>-</v>
      </c>
      <c r="P174" s="111" t="str">
        <f t="shared" si="187"/>
        <v>-</v>
      </c>
      <c r="Q174" s="111" t="str">
        <f t="shared" si="187"/>
        <v>-</v>
      </c>
      <c r="R174" s="111" t="str">
        <f t="shared" si="187"/>
        <v>-</v>
      </c>
      <c r="S174" s="111" t="str">
        <f t="shared" si="187"/>
        <v>-</v>
      </c>
      <c r="T174" s="111" t="str">
        <f t="shared" si="187"/>
        <v>-</v>
      </c>
      <c r="U174" s="111" t="str">
        <f t="shared" si="187"/>
        <v>-</v>
      </c>
      <c r="V174" s="111" t="str">
        <f t="shared" si="187"/>
        <v>-</v>
      </c>
      <c r="W174" s="111" t="str">
        <f t="shared" si="187"/>
        <v>-</v>
      </c>
      <c r="X174" s="111" t="str">
        <f t="shared" si="187"/>
        <v>-</v>
      </c>
      <c r="Y174" s="111" t="str">
        <f t="shared" si="187"/>
        <v>-</v>
      </c>
      <c r="Z174" s="111" t="str">
        <f t="shared" si="187"/>
        <v>-</v>
      </c>
      <c r="AA174" s="111" t="str">
        <f t="shared" si="187"/>
        <v>-</v>
      </c>
      <c r="AB174" s="111" t="str">
        <f t="shared" si="187"/>
        <v>-</v>
      </c>
      <c r="AC174" s="111" t="str">
        <f t="shared" si="187"/>
        <v>-</v>
      </c>
      <c r="AD174" s="111" t="str">
        <f t="shared" si="187"/>
        <v>-</v>
      </c>
      <c r="AE174" s="111" t="str">
        <f t="shared" si="187"/>
        <v>-</v>
      </c>
      <c r="AF174" s="111" t="str">
        <f t="shared" si="187"/>
        <v>-</v>
      </c>
      <c r="AG174" s="114" t="str">
        <f t="shared" si="187"/>
        <v>-</v>
      </c>
    </row>
    <row r="175" spans="3:46" s="12" customFormat="1" ht="15" hidden="1" customHeight="1" outlineLevel="1">
      <c r="C175" s="70" t="s">
        <v>144</v>
      </c>
      <c r="D175" s="110" t="str">
        <f t="shared" ref="D175:AG175" si="188">IF($D$2=FALSE,"-",+D313)</f>
        <v>-</v>
      </c>
      <c r="E175" s="111" t="str">
        <f t="shared" si="188"/>
        <v>-</v>
      </c>
      <c r="F175" s="111" t="str">
        <f t="shared" si="188"/>
        <v>-</v>
      </c>
      <c r="G175" s="112" t="str">
        <f t="shared" si="188"/>
        <v>-</v>
      </c>
      <c r="H175" s="111" t="str">
        <f t="shared" si="188"/>
        <v>-</v>
      </c>
      <c r="I175" s="113" t="str">
        <f t="shared" si="188"/>
        <v>-</v>
      </c>
      <c r="J175" s="111" t="str">
        <f t="shared" si="188"/>
        <v>-</v>
      </c>
      <c r="K175" s="111" t="str">
        <f t="shared" si="188"/>
        <v>-</v>
      </c>
      <c r="L175" s="111" t="str">
        <f t="shared" si="188"/>
        <v>-</v>
      </c>
      <c r="M175" s="114" t="str">
        <f t="shared" si="188"/>
        <v>-</v>
      </c>
      <c r="N175" s="110" t="str">
        <f t="shared" si="188"/>
        <v>-</v>
      </c>
      <c r="O175" s="111" t="str">
        <f t="shared" si="188"/>
        <v>-</v>
      </c>
      <c r="P175" s="111" t="str">
        <f t="shared" si="188"/>
        <v>-</v>
      </c>
      <c r="Q175" s="111" t="str">
        <f t="shared" si="188"/>
        <v>-</v>
      </c>
      <c r="R175" s="111" t="str">
        <f t="shared" si="188"/>
        <v>-</v>
      </c>
      <c r="S175" s="111" t="str">
        <f t="shared" si="188"/>
        <v>-</v>
      </c>
      <c r="T175" s="111" t="str">
        <f t="shared" si="188"/>
        <v>-</v>
      </c>
      <c r="U175" s="111" t="str">
        <f t="shared" si="188"/>
        <v>-</v>
      </c>
      <c r="V175" s="111" t="str">
        <f t="shared" si="188"/>
        <v>-</v>
      </c>
      <c r="W175" s="111" t="str">
        <f t="shared" si="188"/>
        <v>-</v>
      </c>
      <c r="X175" s="111" t="str">
        <f t="shared" si="188"/>
        <v>-</v>
      </c>
      <c r="Y175" s="111" t="str">
        <f t="shared" si="188"/>
        <v>-</v>
      </c>
      <c r="Z175" s="111" t="str">
        <f t="shared" si="188"/>
        <v>-</v>
      </c>
      <c r="AA175" s="111" t="str">
        <f t="shared" si="188"/>
        <v>-</v>
      </c>
      <c r="AB175" s="111" t="str">
        <f t="shared" si="188"/>
        <v>-</v>
      </c>
      <c r="AC175" s="111" t="str">
        <f t="shared" si="188"/>
        <v>-</v>
      </c>
      <c r="AD175" s="111" t="str">
        <f t="shared" si="188"/>
        <v>-</v>
      </c>
      <c r="AE175" s="111" t="str">
        <f t="shared" si="188"/>
        <v>-</v>
      </c>
      <c r="AF175" s="111" t="str">
        <f t="shared" si="188"/>
        <v>-</v>
      </c>
      <c r="AG175" s="114" t="str">
        <f t="shared" si="188"/>
        <v>-</v>
      </c>
    </row>
    <row r="176" spans="3:46" s="12" customFormat="1" ht="15" hidden="1" customHeight="1" outlineLevel="1">
      <c r="C176" s="70" t="s">
        <v>145</v>
      </c>
      <c r="D176" s="110" t="str">
        <f t="shared" ref="D176:AG176" si="189">IF($D$2=FALSE,"-",+D314)</f>
        <v>-</v>
      </c>
      <c r="E176" s="111" t="str">
        <f t="shared" si="189"/>
        <v>-</v>
      </c>
      <c r="F176" s="111" t="str">
        <f t="shared" si="189"/>
        <v>-</v>
      </c>
      <c r="G176" s="112" t="str">
        <f t="shared" si="189"/>
        <v>-</v>
      </c>
      <c r="H176" s="111" t="str">
        <f t="shared" si="189"/>
        <v>-</v>
      </c>
      <c r="I176" s="113" t="str">
        <f t="shared" si="189"/>
        <v>-</v>
      </c>
      <c r="J176" s="111" t="str">
        <f t="shared" si="189"/>
        <v>-</v>
      </c>
      <c r="K176" s="111" t="str">
        <f t="shared" si="189"/>
        <v>-</v>
      </c>
      <c r="L176" s="111" t="str">
        <f t="shared" si="189"/>
        <v>-</v>
      </c>
      <c r="M176" s="114" t="str">
        <f t="shared" si="189"/>
        <v>-</v>
      </c>
      <c r="N176" s="110" t="str">
        <f t="shared" si="189"/>
        <v>-</v>
      </c>
      <c r="O176" s="111" t="str">
        <f t="shared" si="189"/>
        <v>-</v>
      </c>
      <c r="P176" s="111" t="str">
        <f t="shared" si="189"/>
        <v>-</v>
      </c>
      <c r="Q176" s="111" t="str">
        <f t="shared" si="189"/>
        <v>-</v>
      </c>
      <c r="R176" s="111" t="str">
        <f t="shared" si="189"/>
        <v>-</v>
      </c>
      <c r="S176" s="111" t="str">
        <f t="shared" si="189"/>
        <v>-</v>
      </c>
      <c r="T176" s="111" t="str">
        <f t="shared" si="189"/>
        <v>-</v>
      </c>
      <c r="U176" s="111" t="str">
        <f t="shared" si="189"/>
        <v>-</v>
      </c>
      <c r="V176" s="111" t="str">
        <f t="shared" si="189"/>
        <v>-</v>
      </c>
      <c r="W176" s="111" t="str">
        <f t="shared" si="189"/>
        <v>-</v>
      </c>
      <c r="X176" s="111" t="str">
        <f t="shared" si="189"/>
        <v>-</v>
      </c>
      <c r="Y176" s="111" t="str">
        <f t="shared" si="189"/>
        <v>-</v>
      </c>
      <c r="Z176" s="111" t="str">
        <f t="shared" si="189"/>
        <v>-</v>
      </c>
      <c r="AA176" s="111" t="str">
        <f t="shared" si="189"/>
        <v>-</v>
      </c>
      <c r="AB176" s="111" t="str">
        <f t="shared" si="189"/>
        <v>-</v>
      </c>
      <c r="AC176" s="111" t="str">
        <f t="shared" si="189"/>
        <v>-</v>
      </c>
      <c r="AD176" s="111" t="str">
        <f t="shared" si="189"/>
        <v>-</v>
      </c>
      <c r="AE176" s="111" t="str">
        <f t="shared" si="189"/>
        <v>-</v>
      </c>
      <c r="AF176" s="111" t="str">
        <f t="shared" si="189"/>
        <v>-</v>
      </c>
      <c r="AG176" s="114" t="str">
        <f t="shared" si="189"/>
        <v>-</v>
      </c>
    </row>
    <row r="177" spans="3:33" s="107" customFormat="1" ht="15" hidden="1" customHeight="1" outlineLevel="1">
      <c r="C177" s="130" t="s">
        <v>146</v>
      </c>
      <c r="D177" s="131" t="str">
        <f t="shared" ref="D177:AG177" si="190">IF($D$2=FALSE,"-",+D418)</f>
        <v>-</v>
      </c>
      <c r="E177" s="132" t="str">
        <f t="shared" si="190"/>
        <v>-</v>
      </c>
      <c r="F177" s="132" t="str">
        <f t="shared" si="190"/>
        <v>-</v>
      </c>
      <c r="G177" s="133" t="str">
        <f t="shared" si="190"/>
        <v>-</v>
      </c>
      <c r="H177" s="132" t="str">
        <f t="shared" si="190"/>
        <v>-</v>
      </c>
      <c r="I177" s="134" t="str">
        <f t="shared" si="190"/>
        <v>-</v>
      </c>
      <c r="J177" s="132" t="str">
        <f t="shared" si="190"/>
        <v>-</v>
      </c>
      <c r="K177" s="132" t="str">
        <f t="shared" si="190"/>
        <v>-</v>
      </c>
      <c r="L177" s="132" t="str">
        <f t="shared" si="190"/>
        <v>-</v>
      </c>
      <c r="M177" s="135" t="str">
        <f t="shared" si="190"/>
        <v>-</v>
      </c>
      <c r="N177" s="131" t="str">
        <f t="shared" si="190"/>
        <v>-</v>
      </c>
      <c r="O177" s="132" t="str">
        <f t="shared" si="190"/>
        <v>-</v>
      </c>
      <c r="P177" s="132" t="str">
        <f t="shared" si="190"/>
        <v>-</v>
      </c>
      <c r="Q177" s="132" t="str">
        <f t="shared" si="190"/>
        <v>-</v>
      </c>
      <c r="R177" s="132" t="str">
        <f t="shared" si="190"/>
        <v>-</v>
      </c>
      <c r="S177" s="132" t="str">
        <f t="shared" si="190"/>
        <v>-</v>
      </c>
      <c r="T177" s="132" t="str">
        <f t="shared" si="190"/>
        <v>-</v>
      </c>
      <c r="U177" s="132" t="str">
        <f t="shared" si="190"/>
        <v>-</v>
      </c>
      <c r="V177" s="132" t="str">
        <f t="shared" si="190"/>
        <v>-</v>
      </c>
      <c r="W177" s="132" t="str">
        <f t="shared" si="190"/>
        <v>-</v>
      </c>
      <c r="X177" s="132" t="str">
        <f t="shared" si="190"/>
        <v>-</v>
      </c>
      <c r="Y177" s="132" t="str">
        <f t="shared" si="190"/>
        <v>-</v>
      </c>
      <c r="Z177" s="132" t="str">
        <f t="shared" si="190"/>
        <v>-</v>
      </c>
      <c r="AA177" s="132" t="str">
        <f t="shared" si="190"/>
        <v>-</v>
      </c>
      <c r="AB177" s="132" t="str">
        <f t="shared" si="190"/>
        <v>-</v>
      </c>
      <c r="AC177" s="132" t="str">
        <f t="shared" si="190"/>
        <v>-</v>
      </c>
      <c r="AD177" s="132" t="str">
        <f t="shared" si="190"/>
        <v>-</v>
      </c>
      <c r="AE177" s="132" t="str">
        <f t="shared" si="190"/>
        <v>-</v>
      </c>
      <c r="AF177" s="132" t="str">
        <f t="shared" si="190"/>
        <v>-</v>
      </c>
      <c r="AG177" s="135" t="str">
        <f t="shared" si="190"/>
        <v>-</v>
      </c>
    </row>
    <row r="178" spans="3:33" s="107" customFormat="1" ht="15" hidden="1" customHeight="1" outlineLevel="1">
      <c r="C178" s="130" t="s">
        <v>147</v>
      </c>
      <c r="D178" s="131" t="str">
        <f t="shared" ref="D178:AG178" si="191">IF($D$2=FALSE,"-",+D421)</f>
        <v>-</v>
      </c>
      <c r="E178" s="132" t="str">
        <f t="shared" si="191"/>
        <v>-</v>
      </c>
      <c r="F178" s="132" t="str">
        <f t="shared" si="191"/>
        <v>-</v>
      </c>
      <c r="G178" s="133" t="str">
        <f t="shared" si="191"/>
        <v>-</v>
      </c>
      <c r="H178" s="132" t="str">
        <f t="shared" si="191"/>
        <v>-</v>
      </c>
      <c r="I178" s="134" t="str">
        <f t="shared" si="191"/>
        <v>-</v>
      </c>
      <c r="J178" s="132" t="str">
        <f t="shared" si="191"/>
        <v>-</v>
      </c>
      <c r="K178" s="132" t="str">
        <f t="shared" si="191"/>
        <v>-</v>
      </c>
      <c r="L178" s="132" t="str">
        <f t="shared" si="191"/>
        <v>-</v>
      </c>
      <c r="M178" s="135" t="str">
        <f t="shared" si="191"/>
        <v>-</v>
      </c>
      <c r="N178" s="131" t="str">
        <f t="shared" si="191"/>
        <v>-</v>
      </c>
      <c r="O178" s="132" t="str">
        <f t="shared" si="191"/>
        <v>-</v>
      </c>
      <c r="P178" s="132" t="str">
        <f t="shared" si="191"/>
        <v>-</v>
      </c>
      <c r="Q178" s="132" t="str">
        <f t="shared" si="191"/>
        <v>-</v>
      </c>
      <c r="R178" s="132" t="str">
        <f t="shared" si="191"/>
        <v>-</v>
      </c>
      <c r="S178" s="132" t="str">
        <f t="shared" si="191"/>
        <v>-</v>
      </c>
      <c r="T178" s="132" t="str">
        <f t="shared" si="191"/>
        <v>-</v>
      </c>
      <c r="U178" s="132" t="str">
        <f t="shared" si="191"/>
        <v>-</v>
      </c>
      <c r="V178" s="132" t="str">
        <f t="shared" si="191"/>
        <v>-</v>
      </c>
      <c r="W178" s="132" t="str">
        <f t="shared" si="191"/>
        <v>-</v>
      </c>
      <c r="X178" s="132" t="str">
        <f t="shared" si="191"/>
        <v>-</v>
      </c>
      <c r="Y178" s="132" t="str">
        <f t="shared" si="191"/>
        <v>-</v>
      </c>
      <c r="Z178" s="132" t="str">
        <f t="shared" si="191"/>
        <v>-</v>
      </c>
      <c r="AA178" s="132" t="str">
        <f t="shared" si="191"/>
        <v>-</v>
      </c>
      <c r="AB178" s="132" t="str">
        <f t="shared" si="191"/>
        <v>-</v>
      </c>
      <c r="AC178" s="132" t="str">
        <f t="shared" si="191"/>
        <v>-</v>
      </c>
      <c r="AD178" s="132" t="str">
        <f t="shared" si="191"/>
        <v>-</v>
      </c>
      <c r="AE178" s="132" t="str">
        <f t="shared" si="191"/>
        <v>-</v>
      </c>
      <c r="AF178" s="132" t="str">
        <f t="shared" si="191"/>
        <v>-</v>
      </c>
      <c r="AG178" s="135" t="str">
        <f t="shared" si="191"/>
        <v>-</v>
      </c>
    </row>
    <row r="179" spans="3:33" s="89" customFormat="1" ht="15" hidden="1" customHeight="1" outlineLevel="1">
      <c r="C179" s="90" t="s">
        <v>148</v>
      </c>
      <c r="D179" s="91" t="str">
        <f t="shared" ref="D179:AG179" si="192">IF($D$2=FALSE,"-",+D174/D177)</f>
        <v>-</v>
      </c>
      <c r="E179" s="92" t="str">
        <f t="shared" si="192"/>
        <v>-</v>
      </c>
      <c r="F179" s="92" t="str">
        <f t="shared" si="192"/>
        <v>-</v>
      </c>
      <c r="G179" s="93" t="str">
        <f t="shared" si="192"/>
        <v>-</v>
      </c>
      <c r="H179" s="92" t="str">
        <f t="shared" si="192"/>
        <v>-</v>
      </c>
      <c r="I179" s="94" t="str">
        <f t="shared" si="192"/>
        <v>-</v>
      </c>
      <c r="J179" s="92" t="str">
        <f t="shared" si="192"/>
        <v>-</v>
      </c>
      <c r="K179" s="92" t="str">
        <f t="shared" si="192"/>
        <v>-</v>
      </c>
      <c r="L179" s="92" t="str">
        <f t="shared" si="192"/>
        <v>-</v>
      </c>
      <c r="M179" s="95" t="str">
        <f t="shared" si="192"/>
        <v>-</v>
      </c>
      <c r="N179" s="91" t="str">
        <f t="shared" si="192"/>
        <v>-</v>
      </c>
      <c r="O179" s="92" t="str">
        <f t="shared" si="192"/>
        <v>-</v>
      </c>
      <c r="P179" s="92" t="str">
        <f t="shared" si="192"/>
        <v>-</v>
      </c>
      <c r="Q179" s="92" t="str">
        <f t="shared" si="192"/>
        <v>-</v>
      </c>
      <c r="R179" s="92" t="str">
        <f t="shared" si="192"/>
        <v>-</v>
      </c>
      <c r="S179" s="92" t="str">
        <f t="shared" si="192"/>
        <v>-</v>
      </c>
      <c r="T179" s="92" t="str">
        <f t="shared" si="192"/>
        <v>-</v>
      </c>
      <c r="U179" s="92" t="str">
        <f t="shared" si="192"/>
        <v>-</v>
      </c>
      <c r="V179" s="92" t="str">
        <f t="shared" si="192"/>
        <v>-</v>
      </c>
      <c r="W179" s="92" t="str">
        <f t="shared" si="192"/>
        <v>-</v>
      </c>
      <c r="X179" s="92" t="str">
        <f t="shared" si="192"/>
        <v>-</v>
      </c>
      <c r="Y179" s="92" t="str">
        <f t="shared" si="192"/>
        <v>-</v>
      </c>
      <c r="Z179" s="92" t="str">
        <f t="shared" si="192"/>
        <v>-</v>
      </c>
      <c r="AA179" s="92" t="str">
        <f t="shared" si="192"/>
        <v>-</v>
      </c>
      <c r="AB179" s="92" t="str">
        <f t="shared" si="192"/>
        <v>-</v>
      </c>
      <c r="AC179" s="92" t="str">
        <f t="shared" si="192"/>
        <v>-</v>
      </c>
      <c r="AD179" s="92" t="str">
        <f t="shared" si="192"/>
        <v>-</v>
      </c>
      <c r="AE179" s="92" t="str">
        <f t="shared" si="192"/>
        <v>-</v>
      </c>
      <c r="AF179" s="92" t="str">
        <f t="shared" si="192"/>
        <v>-</v>
      </c>
      <c r="AG179" s="95" t="str">
        <f t="shared" si="192"/>
        <v>-</v>
      </c>
    </row>
    <row r="180" spans="3:33" s="89" customFormat="1" ht="15" hidden="1" customHeight="1" outlineLevel="1">
      <c r="C180" s="90" t="s">
        <v>149</v>
      </c>
      <c r="D180" s="91" t="str">
        <f t="shared" ref="D180:M180" si="193">IF($D$2=FALSE,"-",IF(D178=0,D175/D177,+D175/D178))</f>
        <v>-</v>
      </c>
      <c r="E180" s="92" t="str">
        <f t="shared" si="193"/>
        <v>-</v>
      </c>
      <c r="F180" s="92" t="str">
        <f t="shared" si="193"/>
        <v>-</v>
      </c>
      <c r="G180" s="93" t="str">
        <f t="shared" si="193"/>
        <v>-</v>
      </c>
      <c r="H180" s="92" t="str">
        <f t="shared" si="193"/>
        <v>-</v>
      </c>
      <c r="I180" s="94" t="str">
        <f t="shared" si="193"/>
        <v>-</v>
      </c>
      <c r="J180" s="92" t="str">
        <f t="shared" si="193"/>
        <v>-</v>
      </c>
      <c r="K180" s="92" t="str">
        <f t="shared" si="193"/>
        <v>-</v>
      </c>
      <c r="L180" s="92" t="str">
        <f t="shared" si="193"/>
        <v>-</v>
      </c>
      <c r="M180" s="95" t="str">
        <f t="shared" si="193"/>
        <v>-</v>
      </c>
      <c r="N180" s="91" t="str">
        <f t="shared" ref="N180:AG180" si="194">IF($D$2=FALSE,"-",+N175/N178)</f>
        <v>-</v>
      </c>
      <c r="O180" s="92" t="str">
        <f t="shared" si="194"/>
        <v>-</v>
      </c>
      <c r="P180" s="92" t="str">
        <f t="shared" si="194"/>
        <v>-</v>
      </c>
      <c r="Q180" s="92" t="str">
        <f t="shared" si="194"/>
        <v>-</v>
      </c>
      <c r="R180" s="92" t="str">
        <f t="shared" si="194"/>
        <v>-</v>
      </c>
      <c r="S180" s="92" t="str">
        <f t="shared" si="194"/>
        <v>-</v>
      </c>
      <c r="T180" s="92" t="str">
        <f t="shared" si="194"/>
        <v>-</v>
      </c>
      <c r="U180" s="92" t="str">
        <f t="shared" si="194"/>
        <v>-</v>
      </c>
      <c r="V180" s="92" t="str">
        <f t="shared" si="194"/>
        <v>-</v>
      </c>
      <c r="W180" s="92" t="str">
        <f t="shared" si="194"/>
        <v>-</v>
      </c>
      <c r="X180" s="92" t="str">
        <f t="shared" si="194"/>
        <v>-</v>
      </c>
      <c r="Y180" s="92" t="str">
        <f t="shared" si="194"/>
        <v>-</v>
      </c>
      <c r="Z180" s="92" t="str">
        <f t="shared" si="194"/>
        <v>-</v>
      </c>
      <c r="AA180" s="92" t="str">
        <f t="shared" si="194"/>
        <v>-</v>
      </c>
      <c r="AB180" s="92" t="str">
        <f t="shared" si="194"/>
        <v>-</v>
      </c>
      <c r="AC180" s="92" t="str">
        <f t="shared" si="194"/>
        <v>-</v>
      </c>
      <c r="AD180" s="92" t="str">
        <f t="shared" si="194"/>
        <v>-</v>
      </c>
      <c r="AE180" s="92" t="str">
        <f t="shared" si="194"/>
        <v>-</v>
      </c>
      <c r="AF180" s="92" t="str">
        <f t="shared" si="194"/>
        <v>-</v>
      </c>
      <c r="AG180" s="95" t="str">
        <f t="shared" si="194"/>
        <v>-</v>
      </c>
    </row>
    <row r="181" spans="3:33" s="12" customFormat="1" ht="15" customHeight="1" collapsed="1" thickBot="1">
      <c r="C181" s="136" t="s">
        <v>150</v>
      </c>
      <c r="D181" s="137"/>
      <c r="E181" s="138"/>
      <c r="F181" s="138"/>
      <c r="G181" s="138"/>
      <c r="H181" s="138"/>
      <c r="I181" s="138"/>
      <c r="J181" s="138"/>
      <c r="K181" s="138"/>
      <c r="L181" s="138"/>
      <c r="M181" s="139"/>
      <c r="N181" s="137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9"/>
    </row>
    <row r="182" spans="3:33" ht="15" hidden="1" customHeight="1" outlineLevel="1">
      <c r="C182" s="27" t="s">
        <v>151</v>
      </c>
      <c r="D182" s="140" t="str">
        <f t="shared" ref="D182:AG182" si="195">IF($D$2=FALSE,"-",+D424)</f>
        <v>-</v>
      </c>
      <c r="E182" s="141" t="str">
        <f t="shared" si="195"/>
        <v>-</v>
      </c>
      <c r="F182" s="141" t="str">
        <f t="shared" si="195"/>
        <v>-</v>
      </c>
      <c r="G182" s="142" t="str">
        <f t="shared" si="195"/>
        <v>-</v>
      </c>
      <c r="H182" s="141" t="str">
        <f t="shared" si="195"/>
        <v>-</v>
      </c>
      <c r="I182" s="143" t="str">
        <f t="shared" si="195"/>
        <v>-</v>
      </c>
      <c r="J182" s="141" t="str">
        <f t="shared" si="195"/>
        <v>-</v>
      </c>
      <c r="K182" s="141" t="str">
        <f t="shared" si="195"/>
        <v>-</v>
      </c>
      <c r="L182" s="141" t="str">
        <f t="shared" si="195"/>
        <v>-</v>
      </c>
      <c r="M182" s="144" t="str">
        <f t="shared" si="195"/>
        <v>-</v>
      </c>
      <c r="N182" s="140" t="str">
        <f t="shared" si="195"/>
        <v>-</v>
      </c>
      <c r="O182" s="141" t="str">
        <f t="shared" si="195"/>
        <v>-</v>
      </c>
      <c r="P182" s="141" t="str">
        <f t="shared" si="195"/>
        <v>-</v>
      </c>
      <c r="Q182" s="141" t="str">
        <f t="shared" si="195"/>
        <v>-</v>
      </c>
      <c r="R182" s="141" t="str">
        <f t="shared" si="195"/>
        <v>-</v>
      </c>
      <c r="S182" s="141" t="str">
        <f t="shared" si="195"/>
        <v>-</v>
      </c>
      <c r="T182" s="141" t="str">
        <f t="shared" si="195"/>
        <v>-</v>
      </c>
      <c r="U182" s="141" t="str">
        <f t="shared" si="195"/>
        <v>-</v>
      </c>
      <c r="V182" s="141" t="str">
        <f t="shared" si="195"/>
        <v>-</v>
      </c>
      <c r="W182" s="141" t="str">
        <f t="shared" si="195"/>
        <v>-</v>
      </c>
      <c r="X182" s="141" t="str">
        <f t="shared" si="195"/>
        <v>-</v>
      </c>
      <c r="Y182" s="141" t="str">
        <f t="shared" si="195"/>
        <v>-</v>
      </c>
      <c r="Z182" s="141" t="str">
        <f t="shared" si="195"/>
        <v>-</v>
      </c>
      <c r="AA182" s="141" t="str">
        <f t="shared" si="195"/>
        <v>-</v>
      </c>
      <c r="AB182" s="141" t="str">
        <f t="shared" si="195"/>
        <v>-</v>
      </c>
      <c r="AC182" s="141" t="str">
        <f t="shared" si="195"/>
        <v>-</v>
      </c>
      <c r="AD182" s="141" t="str">
        <f t="shared" si="195"/>
        <v>-</v>
      </c>
      <c r="AE182" s="141" t="str">
        <f t="shared" si="195"/>
        <v>-</v>
      </c>
      <c r="AF182" s="141" t="str">
        <f t="shared" si="195"/>
        <v>-</v>
      </c>
      <c r="AG182" s="144" t="str">
        <f t="shared" si="195"/>
        <v>-</v>
      </c>
    </row>
    <row r="183" spans="3:33" ht="15" hidden="1" customHeight="1" outlineLevel="1">
      <c r="C183" s="34" t="s">
        <v>152</v>
      </c>
      <c r="D183" s="84" t="str">
        <f t="shared" ref="D183:AG183" si="196">IF($D$2=FALSE,"-",+D425+D426+D427)</f>
        <v>-</v>
      </c>
      <c r="E183" s="85" t="str">
        <f t="shared" si="196"/>
        <v>-</v>
      </c>
      <c r="F183" s="85" t="str">
        <f t="shared" si="196"/>
        <v>-</v>
      </c>
      <c r="G183" s="86" t="str">
        <f t="shared" si="196"/>
        <v>-</v>
      </c>
      <c r="H183" s="85" t="str">
        <f t="shared" si="196"/>
        <v>-</v>
      </c>
      <c r="I183" s="87" t="str">
        <f t="shared" si="196"/>
        <v>-</v>
      </c>
      <c r="J183" s="85" t="str">
        <f t="shared" si="196"/>
        <v>-</v>
      </c>
      <c r="K183" s="85" t="str">
        <f t="shared" si="196"/>
        <v>-</v>
      </c>
      <c r="L183" s="85" t="str">
        <f t="shared" si="196"/>
        <v>-</v>
      </c>
      <c r="M183" s="88" t="str">
        <f t="shared" si="196"/>
        <v>-</v>
      </c>
      <c r="N183" s="84" t="str">
        <f t="shared" si="196"/>
        <v>-</v>
      </c>
      <c r="O183" s="85" t="str">
        <f t="shared" si="196"/>
        <v>-</v>
      </c>
      <c r="P183" s="85" t="str">
        <f t="shared" si="196"/>
        <v>-</v>
      </c>
      <c r="Q183" s="85" t="str">
        <f t="shared" si="196"/>
        <v>-</v>
      </c>
      <c r="R183" s="85" t="str">
        <f t="shared" si="196"/>
        <v>-</v>
      </c>
      <c r="S183" s="85" t="str">
        <f t="shared" si="196"/>
        <v>-</v>
      </c>
      <c r="T183" s="85" t="str">
        <f t="shared" si="196"/>
        <v>-</v>
      </c>
      <c r="U183" s="85" t="str">
        <f t="shared" si="196"/>
        <v>-</v>
      </c>
      <c r="V183" s="85" t="str">
        <f t="shared" si="196"/>
        <v>-</v>
      </c>
      <c r="W183" s="85" t="str">
        <f t="shared" si="196"/>
        <v>-</v>
      </c>
      <c r="X183" s="85" t="str">
        <f t="shared" si="196"/>
        <v>-</v>
      </c>
      <c r="Y183" s="85" t="str">
        <f t="shared" si="196"/>
        <v>-</v>
      </c>
      <c r="Z183" s="85" t="str">
        <f t="shared" si="196"/>
        <v>-</v>
      </c>
      <c r="AA183" s="85" t="str">
        <f t="shared" si="196"/>
        <v>-</v>
      </c>
      <c r="AB183" s="85" t="str">
        <f t="shared" si="196"/>
        <v>-</v>
      </c>
      <c r="AC183" s="85" t="str">
        <f t="shared" si="196"/>
        <v>-</v>
      </c>
      <c r="AD183" s="85" t="str">
        <f t="shared" si="196"/>
        <v>-</v>
      </c>
      <c r="AE183" s="85" t="str">
        <f t="shared" si="196"/>
        <v>-</v>
      </c>
      <c r="AF183" s="85" t="str">
        <f t="shared" si="196"/>
        <v>-</v>
      </c>
      <c r="AG183" s="88" t="str">
        <f t="shared" si="196"/>
        <v>-</v>
      </c>
    </row>
    <row r="184" spans="3:33" ht="15" hidden="1" customHeight="1" outlineLevel="1">
      <c r="C184" s="34" t="s">
        <v>153</v>
      </c>
      <c r="D184" s="84" t="str">
        <f t="shared" ref="D184:AG184" si="197">IF($D$2=FALSE,"-",+D186-D182-D183-D185)</f>
        <v>-</v>
      </c>
      <c r="E184" s="85" t="str">
        <f t="shared" si="197"/>
        <v>-</v>
      </c>
      <c r="F184" s="85" t="str">
        <f t="shared" si="197"/>
        <v>-</v>
      </c>
      <c r="G184" s="86" t="str">
        <f t="shared" si="197"/>
        <v>-</v>
      </c>
      <c r="H184" s="85" t="str">
        <f t="shared" si="197"/>
        <v>-</v>
      </c>
      <c r="I184" s="87" t="str">
        <f t="shared" si="197"/>
        <v>-</v>
      </c>
      <c r="J184" s="85" t="str">
        <f t="shared" si="197"/>
        <v>-</v>
      </c>
      <c r="K184" s="85" t="str">
        <f t="shared" si="197"/>
        <v>-</v>
      </c>
      <c r="L184" s="85" t="str">
        <f t="shared" si="197"/>
        <v>-</v>
      </c>
      <c r="M184" s="88" t="str">
        <f t="shared" si="197"/>
        <v>-</v>
      </c>
      <c r="N184" s="84" t="str">
        <f t="shared" si="197"/>
        <v>-</v>
      </c>
      <c r="O184" s="85" t="str">
        <f t="shared" si="197"/>
        <v>-</v>
      </c>
      <c r="P184" s="85" t="str">
        <f t="shared" si="197"/>
        <v>-</v>
      </c>
      <c r="Q184" s="85" t="str">
        <f t="shared" si="197"/>
        <v>-</v>
      </c>
      <c r="R184" s="85" t="str">
        <f t="shared" si="197"/>
        <v>-</v>
      </c>
      <c r="S184" s="85" t="str">
        <f t="shared" si="197"/>
        <v>-</v>
      </c>
      <c r="T184" s="85" t="str">
        <f t="shared" si="197"/>
        <v>-</v>
      </c>
      <c r="U184" s="85" t="str">
        <f t="shared" si="197"/>
        <v>-</v>
      </c>
      <c r="V184" s="85" t="str">
        <f t="shared" si="197"/>
        <v>-</v>
      </c>
      <c r="W184" s="85" t="str">
        <f t="shared" si="197"/>
        <v>-</v>
      </c>
      <c r="X184" s="85" t="str">
        <f t="shared" si="197"/>
        <v>-</v>
      </c>
      <c r="Y184" s="85" t="str">
        <f t="shared" si="197"/>
        <v>-</v>
      </c>
      <c r="Z184" s="85" t="str">
        <f t="shared" si="197"/>
        <v>-</v>
      </c>
      <c r="AA184" s="85" t="str">
        <f t="shared" si="197"/>
        <v>-</v>
      </c>
      <c r="AB184" s="85" t="str">
        <f t="shared" si="197"/>
        <v>-</v>
      </c>
      <c r="AC184" s="85" t="str">
        <f t="shared" si="197"/>
        <v>-</v>
      </c>
      <c r="AD184" s="85" t="str">
        <f t="shared" si="197"/>
        <v>-</v>
      </c>
      <c r="AE184" s="85" t="str">
        <f t="shared" si="197"/>
        <v>-</v>
      </c>
      <c r="AF184" s="85" t="str">
        <f t="shared" si="197"/>
        <v>-</v>
      </c>
      <c r="AG184" s="88" t="str">
        <f t="shared" si="197"/>
        <v>-</v>
      </c>
    </row>
    <row r="185" spans="3:33" ht="15" hidden="1" customHeight="1" outlineLevel="1">
      <c r="C185" s="34" t="s">
        <v>154</v>
      </c>
      <c r="D185" s="84" t="str">
        <f t="shared" ref="D185:AG185" si="198">IF($D$2=FALSE,"-",+D440)</f>
        <v>-</v>
      </c>
      <c r="E185" s="85" t="str">
        <f t="shared" si="198"/>
        <v>-</v>
      </c>
      <c r="F185" s="85" t="str">
        <f t="shared" si="198"/>
        <v>-</v>
      </c>
      <c r="G185" s="86" t="str">
        <f t="shared" si="198"/>
        <v>-</v>
      </c>
      <c r="H185" s="85" t="str">
        <f t="shared" si="198"/>
        <v>-</v>
      </c>
      <c r="I185" s="87" t="str">
        <f t="shared" si="198"/>
        <v>-</v>
      </c>
      <c r="J185" s="85" t="str">
        <f t="shared" si="198"/>
        <v>-</v>
      </c>
      <c r="K185" s="85" t="str">
        <f t="shared" si="198"/>
        <v>-</v>
      </c>
      <c r="L185" s="85" t="str">
        <f t="shared" si="198"/>
        <v>-</v>
      </c>
      <c r="M185" s="88" t="str">
        <f t="shared" si="198"/>
        <v>-</v>
      </c>
      <c r="N185" s="84" t="str">
        <f t="shared" si="198"/>
        <v>-</v>
      </c>
      <c r="O185" s="85" t="str">
        <f t="shared" si="198"/>
        <v>-</v>
      </c>
      <c r="P185" s="85" t="str">
        <f t="shared" si="198"/>
        <v>-</v>
      </c>
      <c r="Q185" s="85" t="str">
        <f t="shared" si="198"/>
        <v>-</v>
      </c>
      <c r="R185" s="85" t="str">
        <f t="shared" si="198"/>
        <v>-</v>
      </c>
      <c r="S185" s="85" t="str">
        <f t="shared" si="198"/>
        <v>-</v>
      </c>
      <c r="T185" s="85" t="str">
        <f t="shared" si="198"/>
        <v>-</v>
      </c>
      <c r="U185" s="85" t="str">
        <f t="shared" si="198"/>
        <v>-</v>
      </c>
      <c r="V185" s="85" t="str">
        <f t="shared" si="198"/>
        <v>-</v>
      </c>
      <c r="W185" s="85" t="str">
        <f t="shared" si="198"/>
        <v>-</v>
      </c>
      <c r="X185" s="85" t="str">
        <f t="shared" si="198"/>
        <v>-</v>
      </c>
      <c r="Y185" s="85" t="str">
        <f t="shared" si="198"/>
        <v>-</v>
      </c>
      <c r="Z185" s="85" t="str">
        <f t="shared" si="198"/>
        <v>-</v>
      </c>
      <c r="AA185" s="85" t="str">
        <f t="shared" si="198"/>
        <v>-</v>
      </c>
      <c r="AB185" s="85" t="str">
        <f t="shared" si="198"/>
        <v>-</v>
      </c>
      <c r="AC185" s="85" t="str">
        <f t="shared" si="198"/>
        <v>-</v>
      </c>
      <c r="AD185" s="85" t="str">
        <f t="shared" si="198"/>
        <v>-</v>
      </c>
      <c r="AE185" s="85" t="str">
        <f t="shared" si="198"/>
        <v>-</v>
      </c>
      <c r="AF185" s="85" t="str">
        <f t="shared" si="198"/>
        <v>-</v>
      </c>
      <c r="AG185" s="88" t="str">
        <f t="shared" si="198"/>
        <v>-</v>
      </c>
    </row>
    <row r="186" spans="3:33" s="12" customFormat="1" ht="15" hidden="1" customHeight="1" outlineLevel="1">
      <c r="C186" s="145" t="s">
        <v>155</v>
      </c>
      <c r="D186" s="110" t="str">
        <f t="shared" ref="D186:AG186" si="199">IF($D$2=FALSE,"-",+D441)</f>
        <v>-</v>
      </c>
      <c r="E186" s="111" t="str">
        <f t="shared" si="199"/>
        <v>-</v>
      </c>
      <c r="F186" s="111" t="str">
        <f t="shared" si="199"/>
        <v>-</v>
      </c>
      <c r="G186" s="112" t="str">
        <f t="shared" si="199"/>
        <v>-</v>
      </c>
      <c r="H186" s="111" t="str">
        <f t="shared" si="199"/>
        <v>-</v>
      </c>
      <c r="I186" s="113" t="str">
        <f t="shared" si="199"/>
        <v>-</v>
      </c>
      <c r="J186" s="111" t="str">
        <f t="shared" si="199"/>
        <v>-</v>
      </c>
      <c r="K186" s="111" t="str">
        <f t="shared" si="199"/>
        <v>-</v>
      </c>
      <c r="L186" s="111" t="str">
        <f t="shared" si="199"/>
        <v>-</v>
      </c>
      <c r="M186" s="114" t="str">
        <f t="shared" si="199"/>
        <v>-</v>
      </c>
      <c r="N186" s="110" t="str">
        <f t="shared" si="199"/>
        <v>-</v>
      </c>
      <c r="O186" s="111" t="str">
        <f t="shared" si="199"/>
        <v>-</v>
      </c>
      <c r="P186" s="111" t="str">
        <f t="shared" si="199"/>
        <v>-</v>
      </c>
      <c r="Q186" s="111" t="str">
        <f t="shared" si="199"/>
        <v>-</v>
      </c>
      <c r="R186" s="111" t="str">
        <f t="shared" si="199"/>
        <v>-</v>
      </c>
      <c r="S186" s="111" t="str">
        <f t="shared" si="199"/>
        <v>-</v>
      </c>
      <c r="T186" s="111" t="str">
        <f t="shared" si="199"/>
        <v>-</v>
      </c>
      <c r="U186" s="111" t="str">
        <f t="shared" si="199"/>
        <v>-</v>
      </c>
      <c r="V186" s="111" t="str">
        <f t="shared" si="199"/>
        <v>-</v>
      </c>
      <c r="W186" s="111" t="str">
        <f t="shared" si="199"/>
        <v>-</v>
      </c>
      <c r="X186" s="111" t="str">
        <f t="shared" si="199"/>
        <v>-</v>
      </c>
      <c r="Y186" s="111" t="str">
        <f t="shared" si="199"/>
        <v>-</v>
      </c>
      <c r="Z186" s="111" t="str">
        <f t="shared" si="199"/>
        <v>-</v>
      </c>
      <c r="AA186" s="111" t="str">
        <f t="shared" si="199"/>
        <v>-</v>
      </c>
      <c r="AB186" s="111" t="str">
        <f t="shared" si="199"/>
        <v>-</v>
      </c>
      <c r="AC186" s="111" t="str">
        <f t="shared" si="199"/>
        <v>-</v>
      </c>
      <c r="AD186" s="111" t="str">
        <f t="shared" si="199"/>
        <v>-</v>
      </c>
      <c r="AE186" s="111" t="str">
        <f t="shared" si="199"/>
        <v>-</v>
      </c>
      <c r="AF186" s="111" t="str">
        <f t="shared" si="199"/>
        <v>-</v>
      </c>
      <c r="AG186" s="114" t="str">
        <f t="shared" si="199"/>
        <v>-</v>
      </c>
    </row>
    <row r="187" spans="3:33" ht="15" hidden="1" customHeight="1" outlineLevel="1">
      <c r="C187" s="34" t="s">
        <v>156</v>
      </c>
      <c r="D187" s="84" t="str">
        <f t="shared" ref="D187:AG187" si="200">IF($D$2=FALSE,"-",+D442)</f>
        <v>-</v>
      </c>
      <c r="E187" s="85" t="str">
        <f t="shared" si="200"/>
        <v>-</v>
      </c>
      <c r="F187" s="85" t="str">
        <f t="shared" si="200"/>
        <v>-</v>
      </c>
      <c r="G187" s="86" t="str">
        <f t="shared" si="200"/>
        <v>-</v>
      </c>
      <c r="H187" s="85" t="str">
        <f t="shared" si="200"/>
        <v>-</v>
      </c>
      <c r="I187" s="87" t="str">
        <f t="shared" si="200"/>
        <v>-</v>
      </c>
      <c r="J187" s="85" t="str">
        <f t="shared" si="200"/>
        <v>-</v>
      </c>
      <c r="K187" s="85" t="str">
        <f t="shared" si="200"/>
        <v>-</v>
      </c>
      <c r="L187" s="85" t="str">
        <f t="shared" si="200"/>
        <v>-</v>
      </c>
      <c r="M187" s="88" t="str">
        <f t="shared" si="200"/>
        <v>-</v>
      </c>
      <c r="N187" s="84" t="str">
        <f t="shared" si="200"/>
        <v>-</v>
      </c>
      <c r="O187" s="85" t="str">
        <f t="shared" si="200"/>
        <v>-</v>
      </c>
      <c r="P187" s="85" t="str">
        <f t="shared" si="200"/>
        <v>-</v>
      </c>
      <c r="Q187" s="85" t="str">
        <f t="shared" si="200"/>
        <v>-</v>
      </c>
      <c r="R187" s="85" t="str">
        <f t="shared" si="200"/>
        <v>-</v>
      </c>
      <c r="S187" s="85" t="str">
        <f t="shared" si="200"/>
        <v>-</v>
      </c>
      <c r="T187" s="85" t="str">
        <f t="shared" si="200"/>
        <v>-</v>
      </c>
      <c r="U187" s="85" t="str">
        <f t="shared" si="200"/>
        <v>-</v>
      </c>
      <c r="V187" s="85" t="str">
        <f t="shared" si="200"/>
        <v>-</v>
      </c>
      <c r="W187" s="85" t="str">
        <f t="shared" si="200"/>
        <v>-</v>
      </c>
      <c r="X187" s="85" t="str">
        <f t="shared" si="200"/>
        <v>-</v>
      </c>
      <c r="Y187" s="85" t="str">
        <f t="shared" si="200"/>
        <v>-</v>
      </c>
      <c r="Z187" s="85" t="str">
        <f t="shared" si="200"/>
        <v>-</v>
      </c>
      <c r="AA187" s="85" t="str">
        <f t="shared" si="200"/>
        <v>-</v>
      </c>
      <c r="AB187" s="85" t="str">
        <f t="shared" si="200"/>
        <v>-</v>
      </c>
      <c r="AC187" s="85" t="str">
        <f t="shared" si="200"/>
        <v>-</v>
      </c>
      <c r="AD187" s="85" t="str">
        <f t="shared" si="200"/>
        <v>-</v>
      </c>
      <c r="AE187" s="85" t="str">
        <f t="shared" si="200"/>
        <v>-</v>
      </c>
      <c r="AF187" s="85" t="str">
        <f t="shared" si="200"/>
        <v>-</v>
      </c>
      <c r="AG187" s="88" t="str">
        <f t="shared" si="200"/>
        <v>-</v>
      </c>
    </row>
    <row r="188" spans="3:33" ht="15" hidden="1" customHeight="1" outlineLevel="1">
      <c r="C188" s="34" t="s">
        <v>157</v>
      </c>
      <c r="D188" s="84" t="str">
        <f t="shared" ref="D188:AG188" si="201">IF($D$2=FALSE,"-",+D445)</f>
        <v>-</v>
      </c>
      <c r="E188" s="85" t="str">
        <f t="shared" si="201"/>
        <v>-</v>
      </c>
      <c r="F188" s="85" t="str">
        <f t="shared" si="201"/>
        <v>-</v>
      </c>
      <c r="G188" s="86" t="str">
        <f t="shared" si="201"/>
        <v>-</v>
      </c>
      <c r="H188" s="85" t="str">
        <f t="shared" si="201"/>
        <v>-</v>
      </c>
      <c r="I188" s="87" t="str">
        <f t="shared" si="201"/>
        <v>-</v>
      </c>
      <c r="J188" s="85" t="str">
        <f t="shared" si="201"/>
        <v>-</v>
      </c>
      <c r="K188" s="85" t="str">
        <f t="shared" si="201"/>
        <v>-</v>
      </c>
      <c r="L188" s="85" t="str">
        <f t="shared" si="201"/>
        <v>-</v>
      </c>
      <c r="M188" s="88" t="str">
        <f t="shared" si="201"/>
        <v>-</v>
      </c>
      <c r="N188" s="84" t="str">
        <f t="shared" si="201"/>
        <v>-</v>
      </c>
      <c r="O188" s="85" t="str">
        <f t="shared" si="201"/>
        <v>-</v>
      </c>
      <c r="P188" s="85" t="str">
        <f t="shared" si="201"/>
        <v>-</v>
      </c>
      <c r="Q188" s="85" t="str">
        <f t="shared" si="201"/>
        <v>-</v>
      </c>
      <c r="R188" s="85" t="str">
        <f t="shared" si="201"/>
        <v>-</v>
      </c>
      <c r="S188" s="85" t="str">
        <f t="shared" si="201"/>
        <v>-</v>
      </c>
      <c r="T188" s="85" t="str">
        <f t="shared" si="201"/>
        <v>-</v>
      </c>
      <c r="U188" s="85" t="str">
        <f t="shared" si="201"/>
        <v>-</v>
      </c>
      <c r="V188" s="85" t="str">
        <f t="shared" si="201"/>
        <v>-</v>
      </c>
      <c r="W188" s="85" t="str">
        <f t="shared" si="201"/>
        <v>-</v>
      </c>
      <c r="X188" s="85" t="str">
        <f t="shared" si="201"/>
        <v>-</v>
      </c>
      <c r="Y188" s="85" t="str">
        <f t="shared" si="201"/>
        <v>-</v>
      </c>
      <c r="Z188" s="85" t="str">
        <f t="shared" si="201"/>
        <v>-</v>
      </c>
      <c r="AA188" s="85" t="str">
        <f t="shared" si="201"/>
        <v>-</v>
      </c>
      <c r="AB188" s="85" t="str">
        <f t="shared" si="201"/>
        <v>-</v>
      </c>
      <c r="AC188" s="85" t="str">
        <f t="shared" si="201"/>
        <v>-</v>
      </c>
      <c r="AD188" s="85" t="str">
        <f t="shared" si="201"/>
        <v>-</v>
      </c>
      <c r="AE188" s="85" t="str">
        <f t="shared" si="201"/>
        <v>-</v>
      </c>
      <c r="AF188" s="85" t="str">
        <f t="shared" si="201"/>
        <v>-</v>
      </c>
      <c r="AG188" s="88" t="str">
        <f t="shared" si="201"/>
        <v>-</v>
      </c>
    </row>
    <row r="189" spans="3:33" ht="15" hidden="1" customHeight="1" outlineLevel="1">
      <c r="C189" s="34" t="s">
        <v>158</v>
      </c>
      <c r="D189" s="84" t="str">
        <f t="shared" ref="D189:AG189" si="202">IF($D$2=FALSE,"-",+D446)</f>
        <v>-</v>
      </c>
      <c r="E189" s="85" t="str">
        <f t="shared" si="202"/>
        <v>-</v>
      </c>
      <c r="F189" s="85" t="str">
        <f t="shared" si="202"/>
        <v>-</v>
      </c>
      <c r="G189" s="86" t="str">
        <f t="shared" si="202"/>
        <v>-</v>
      </c>
      <c r="H189" s="85" t="str">
        <f t="shared" si="202"/>
        <v>-</v>
      </c>
      <c r="I189" s="87" t="str">
        <f t="shared" si="202"/>
        <v>-</v>
      </c>
      <c r="J189" s="85" t="str">
        <f t="shared" si="202"/>
        <v>-</v>
      </c>
      <c r="K189" s="85" t="str">
        <f t="shared" si="202"/>
        <v>-</v>
      </c>
      <c r="L189" s="85" t="str">
        <f t="shared" si="202"/>
        <v>-</v>
      </c>
      <c r="M189" s="88" t="str">
        <f t="shared" si="202"/>
        <v>-</v>
      </c>
      <c r="N189" s="84" t="str">
        <f t="shared" si="202"/>
        <v>-</v>
      </c>
      <c r="O189" s="85" t="str">
        <f t="shared" si="202"/>
        <v>-</v>
      </c>
      <c r="P189" s="85" t="str">
        <f t="shared" si="202"/>
        <v>-</v>
      </c>
      <c r="Q189" s="85" t="str">
        <f t="shared" si="202"/>
        <v>-</v>
      </c>
      <c r="R189" s="85" t="str">
        <f t="shared" si="202"/>
        <v>-</v>
      </c>
      <c r="S189" s="85" t="str">
        <f t="shared" si="202"/>
        <v>-</v>
      </c>
      <c r="T189" s="85" t="str">
        <f t="shared" si="202"/>
        <v>-</v>
      </c>
      <c r="U189" s="85" t="str">
        <f t="shared" si="202"/>
        <v>-</v>
      </c>
      <c r="V189" s="85" t="str">
        <f t="shared" si="202"/>
        <v>-</v>
      </c>
      <c r="W189" s="85" t="str">
        <f t="shared" si="202"/>
        <v>-</v>
      </c>
      <c r="X189" s="85" t="str">
        <f t="shared" si="202"/>
        <v>-</v>
      </c>
      <c r="Y189" s="85" t="str">
        <f t="shared" si="202"/>
        <v>-</v>
      </c>
      <c r="Z189" s="85" t="str">
        <f t="shared" si="202"/>
        <v>-</v>
      </c>
      <c r="AA189" s="85" t="str">
        <f t="shared" si="202"/>
        <v>-</v>
      </c>
      <c r="AB189" s="85" t="str">
        <f t="shared" si="202"/>
        <v>-</v>
      </c>
      <c r="AC189" s="85" t="str">
        <f t="shared" si="202"/>
        <v>-</v>
      </c>
      <c r="AD189" s="85" t="str">
        <f t="shared" si="202"/>
        <v>-</v>
      </c>
      <c r="AE189" s="85" t="str">
        <f t="shared" si="202"/>
        <v>-</v>
      </c>
      <c r="AF189" s="85" t="str">
        <f t="shared" si="202"/>
        <v>-</v>
      </c>
      <c r="AG189" s="88" t="str">
        <f t="shared" si="202"/>
        <v>-</v>
      </c>
    </row>
    <row r="190" spans="3:33" ht="15" hidden="1" customHeight="1" outlineLevel="1">
      <c r="C190" s="34" t="s">
        <v>159</v>
      </c>
      <c r="D190" s="84" t="str">
        <f t="shared" ref="D190:AG190" si="203">IF($D$2=FALSE,"-",+D443+D444+D447+D448)</f>
        <v>-</v>
      </c>
      <c r="E190" s="85" t="str">
        <f t="shared" si="203"/>
        <v>-</v>
      </c>
      <c r="F190" s="85" t="str">
        <f t="shared" si="203"/>
        <v>-</v>
      </c>
      <c r="G190" s="86" t="str">
        <f t="shared" si="203"/>
        <v>-</v>
      </c>
      <c r="H190" s="85" t="str">
        <f t="shared" si="203"/>
        <v>-</v>
      </c>
      <c r="I190" s="87" t="str">
        <f t="shared" si="203"/>
        <v>-</v>
      </c>
      <c r="J190" s="85" t="str">
        <f t="shared" si="203"/>
        <v>-</v>
      </c>
      <c r="K190" s="85" t="str">
        <f t="shared" si="203"/>
        <v>-</v>
      </c>
      <c r="L190" s="85" t="str">
        <f t="shared" si="203"/>
        <v>-</v>
      </c>
      <c r="M190" s="88" t="str">
        <f t="shared" si="203"/>
        <v>-</v>
      </c>
      <c r="N190" s="84" t="str">
        <f t="shared" si="203"/>
        <v>-</v>
      </c>
      <c r="O190" s="85" t="str">
        <f t="shared" si="203"/>
        <v>-</v>
      </c>
      <c r="P190" s="85" t="str">
        <f t="shared" si="203"/>
        <v>-</v>
      </c>
      <c r="Q190" s="85" t="str">
        <f t="shared" si="203"/>
        <v>-</v>
      </c>
      <c r="R190" s="85" t="str">
        <f t="shared" si="203"/>
        <v>-</v>
      </c>
      <c r="S190" s="85" t="str">
        <f t="shared" si="203"/>
        <v>-</v>
      </c>
      <c r="T190" s="85" t="str">
        <f t="shared" si="203"/>
        <v>-</v>
      </c>
      <c r="U190" s="85" t="str">
        <f t="shared" si="203"/>
        <v>-</v>
      </c>
      <c r="V190" s="85" t="str">
        <f t="shared" si="203"/>
        <v>-</v>
      </c>
      <c r="W190" s="85" t="str">
        <f t="shared" si="203"/>
        <v>-</v>
      </c>
      <c r="X190" s="85" t="str">
        <f t="shared" si="203"/>
        <v>-</v>
      </c>
      <c r="Y190" s="85" t="str">
        <f t="shared" si="203"/>
        <v>-</v>
      </c>
      <c r="Z190" s="85" t="str">
        <f t="shared" si="203"/>
        <v>-</v>
      </c>
      <c r="AA190" s="85" t="str">
        <f t="shared" si="203"/>
        <v>-</v>
      </c>
      <c r="AB190" s="85" t="str">
        <f t="shared" si="203"/>
        <v>-</v>
      </c>
      <c r="AC190" s="85" t="str">
        <f t="shared" si="203"/>
        <v>-</v>
      </c>
      <c r="AD190" s="85" t="str">
        <f t="shared" si="203"/>
        <v>-</v>
      </c>
      <c r="AE190" s="85" t="str">
        <f t="shared" si="203"/>
        <v>-</v>
      </c>
      <c r="AF190" s="85" t="str">
        <f t="shared" si="203"/>
        <v>-</v>
      </c>
      <c r="AG190" s="88" t="str">
        <f t="shared" si="203"/>
        <v>-</v>
      </c>
    </row>
    <row r="191" spans="3:33" ht="15" hidden="1" customHeight="1" outlineLevel="1">
      <c r="C191" s="34" t="s">
        <v>160</v>
      </c>
      <c r="D191" s="84" t="str">
        <f t="shared" ref="D191:AG191" si="204">IF($D$2=FALSE,"-",+D449)</f>
        <v>-</v>
      </c>
      <c r="E191" s="85" t="str">
        <f t="shared" si="204"/>
        <v>-</v>
      </c>
      <c r="F191" s="85" t="str">
        <f t="shared" si="204"/>
        <v>-</v>
      </c>
      <c r="G191" s="86" t="str">
        <f t="shared" si="204"/>
        <v>-</v>
      </c>
      <c r="H191" s="85" t="str">
        <f t="shared" si="204"/>
        <v>-</v>
      </c>
      <c r="I191" s="87" t="str">
        <f t="shared" si="204"/>
        <v>-</v>
      </c>
      <c r="J191" s="85" t="str">
        <f t="shared" si="204"/>
        <v>-</v>
      </c>
      <c r="K191" s="85" t="str">
        <f t="shared" si="204"/>
        <v>-</v>
      </c>
      <c r="L191" s="85" t="str">
        <f t="shared" si="204"/>
        <v>-</v>
      </c>
      <c r="M191" s="88" t="str">
        <f t="shared" si="204"/>
        <v>-</v>
      </c>
      <c r="N191" s="84" t="str">
        <f t="shared" si="204"/>
        <v>-</v>
      </c>
      <c r="O191" s="85" t="str">
        <f t="shared" si="204"/>
        <v>-</v>
      </c>
      <c r="P191" s="85" t="str">
        <f t="shared" si="204"/>
        <v>-</v>
      </c>
      <c r="Q191" s="85" t="str">
        <f t="shared" si="204"/>
        <v>-</v>
      </c>
      <c r="R191" s="85" t="str">
        <f t="shared" si="204"/>
        <v>-</v>
      </c>
      <c r="S191" s="85" t="str">
        <f t="shared" si="204"/>
        <v>-</v>
      </c>
      <c r="T191" s="85" t="str">
        <f t="shared" si="204"/>
        <v>-</v>
      </c>
      <c r="U191" s="85" t="str">
        <f t="shared" si="204"/>
        <v>-</v>
      </c>
      <c r="V191" s="85" t="str">
        <f t="shared" si="204"/>
        <v>-</v>
      </c>
      <c r="W191" s="85" t="str">
        <f t="shared" si="204"/>
        <v>-</v>
      </c>
      <c r="X191" s="85" t="str">
        <f t="shared" si="204"/>
        <v>-</v>
      </c>
      <c r="Y191" s="85" t="str">
        <f t="shared" si="204"/>
        <v>-</v>
      </c>
      <c r="Z191" s="85" t="str">
        <f t="shared" si="204"/>
        <v>-</v>
      </c>
      <c r="AA191" s="85" t="str">
        <f t="shared" si="204"/>
        <v>-</v>
      </c>
      <c r="AB191" s="85" t="str">
        <f t="shared" si="204"/>
        <v>-</v>
      </c>
      <c r="AC191" s="85" t="str">
        <f t="shared" si="204"/>
        <v>-</v>
      </c>
      <c r="AD191" s="85" t="str">
        <f t="shared" si="204"/>
        <v>-</v>
      </c>
      <c r="AE191" s="85" t="str">
        <f t="shared" si="204"/>
        <v>-</v>
      </c>
      <c r="AF191" s="85" t="str">
        <f t="shared" si="204"/>
        <v>-</v>
      </c>
      <c r="AG191" s="88" t="str">
        <f t="shared" si="204"/>
        <v>-</v>
      </c>
    </row>
    <row r="192" spans="3:33" ht="15" hidden="1" customHeight="1" outlineLevel="1">
      <c r="C192" s="34" t="s">
        <v>154</v>
      </c>
      <c r="D192" s="84" t="str">
        <f t="shared" ref="D192:AG192" si="205">IF($D$2=FALSE,"-",+D450)</f>
        <v>-</v>
      </c>
      <c r="E192" s="85" t="str">
        <f t="shared" si="205"/>
        <v>-</v>
      </c>
      <c r="F192" s="85" t="str">
        <f t="shared" si="205"/>
        <v>-</v>
      </c>
      <c r="G192" s="86" t="str">
        <f t="shared" si="205"/>
        <v>-</v>
      </c>
      <c r="H192" s="85" t="str">
        <f t="shared" si="205"/>
        <v>-</v>
      </c>
      <c r="I192" s="87" t="str">
        <f t="shared" si="205"/>
        <v>-</v>
      </c>
      <c r="J192" s="85" t="str">
        <f t="shared" si="205"/>
        <v>-</v>
      </c>
      <c r="K192" s="85" t="str">
        <f t="shared" si="205"/>
        <v>-</v>
      </c>
      <c r="L192" s="85" t="str">
        <f t="shared" si="205"/>
        <v>-</v>
      </c>
      <c r="M192" s="88" t="str">
        <f t="shared" si="205"/>
        <v>-</v>
      </c>
      <c r="N192" s="84" t="str">
        <f t="shared" si="205"/>
        <v>-</v>
      </c>
      <c r="O192" s="85" t="str">
        <f t="shared" si="205"/>
        <v>-</v>
      </c>
      <c r="P192" s="85" t="str">
        <f t="shared" si="205"/>
        <v>-</v>
      </c>
      <c r="Q192" s="85" t="str">
        <f t="shared" si="205"/>
        <v>-</v>
      </c>
      <c r="R192" s="85" t="str">
        <f t="shared" si="205"/>
        <v>-</v>
      </c>
      <c r="S192" s="85" t="str">
        <f t="shared" si="205"/>
        <v>-</v>
      </c>
      <c r="T192" s="85" t="str">
        <f t="shared" si="205"/>
        <v>-</v>
      </c>
      <c r="U192" s="85" t="str">
        <f t="shared" si="205"/>
        <v>-</v>
      </c>
      <c r="V192" s="85" t="str">
        <f t="shared" si="205"/>
        <v>-</v>
      </c>
      <c r="W192" s="85" t="str">
        <f t="shared" si="205"/>
        <v>-</v>
      </c>
      <c r="X192" s="85" t="str">
        <f t="shared" si="205"/>
        <v>-</v>
      </c>
      <c r="Y192" s="85" t="str">
        <f t="shared" si="205"/>
        <v>-</v>
      </c>
      <c r="Z192" s="85" t="str">
        <f t="shared" si="205"/>
        <v>-</v>
      </c>
      <c r="AA192" s="85" t="str">
        <f t="shared" si="205"/>
        <v>-</v>
      </c>
      <c r="AB192" s="85" t="str">
        <f t="shared" si="205"/>
        <v>-</v>
      </c>
      <c r="AC192" s="85" t="str">
        <f t="shared" si="205"/>
        <v>-</v>
      </c>
      <c r="AD192" s="85" t="str">
        <f t="shared" si="205"/>
        <v>-</v>
      </c>
      <c r="AE192" s="85" t="str">
        <f t="shared" si="205"/>
        <v>-</v>
      </c>
      <c r="AF192" s="85" t="str">
        <f t="shared" si="205"/>
        <v>-</v>
      </c>
      <c r="AG192" s="88" t="str">
        <f t="shared" si="205"/>
        <v>-</v>
      </c>
    </row>
    <row r="193" spans="3:33" s="12" customFormat="1" ht="15" hidden="1" customHeight="1" outlineLevel="1">
      <c r="C193" s="145" t="s">
        <v>161</v>
      </c>
      <c r="D193" s="110" t="str">
        <f t="shared" ref="D193:AG193" si="206">IF($D$2=FALSE,"-",SUM(D187:D192))</f>
        <v>-</v>
      </c>
      <c r="E193" s="111" t="str">
        <f t="shared" si="206"/>
        <v>-</v>
      </c>
      <c r="F193" s="111" t="str">
        <f t="shared" si="206"/>
        <v>-</v>
      </c>
      <c r="G193" s="112" t="str">
        <f t="shared" si="206"/>
        <v>-</v>
      </c>
      <c r="H193" s="111" t="str">
        <f t="shared" si="206"/>
        <v>-</v>
      </c>
      <c r="I193" s="113" t="str">
        <f t="shared" si="206"/>
        <v>-</v>
      </c>
      <c r="J193" s="111" t="str">
        <f t="shared" si="206"/>
        <v>-</v>
      </c>
      <c r="K193" s="111" t="str">
        <f t="shared" si="206"/>
        <v>-</v>
      </c>
      <c r="L193" s="111" t="str">
        <f t="shared" si="206"/>
        <v>-</v>
      </c>
      <c r="M193" s="114" t="str">
        <f t="shared" si="206"/>
        <v>-</v>
      </c>
      <c r="N193" s="110" t="str">
        <f t="shared" si="206"/>
        <v>-</v>
      </c>
      <c r="O193" s="111" t="str">
        <f t="shared" si="206"/>
        <v>-</v>
      </c>
      <c r="P193" s="111" t="str">
        <f t="shared" si="206"/>
        <v>-</v>
      </c>
      <c r="Q193" s="111" t="str">
        <f t="shared" si="206"/>
        <v>-</v>
      </c>
      <c r="R193" s="111" t="str">
        <f t="shared" si="206"/>
        <v>-</v>
      </c>
      <c r="S193" s="111" t="str">
        <f t="shared" si="206"/>
        <v>-</v>
      </c>
      <c r="T193" s="111" t="str">
        <f t="shared" si="206"/>
        <v>-</v>
      </c>
      <c r="U193" s="111" t="str">
        <f t="shared" si="206"/>
        <v>-</v>
      </c>
      <c r="V193" s="111" t="str">
        <f t="shared" si="206"/>
        <v>-</v>
      </c>
      <c r="W193" s="111" t="str">
        <f t="shared" si="206"/>
        <v>-</v>
      </c>
      <c r="X193" s="111" t="str">
        <f t="shared" si="206"/>
        <v>-</v>
      </c>
      <c r="Y193" s="111" t="str">
        <f t="shared" si="206"/>
        <v>-</v>
      </c>
      <c r="Z193" s="111" t="str">
        <f t="shared" si="206"/>
        <v>-</v>
      </c>
      <c r="AA193" s="111" t="str">
        <f t="shared" si="206"/>
        <v>-</v>
      </c>
      <c r="AB193" s="111" t="str">
        <f t="shared" si="206"/>
        <v>-</v>
      </c>
      <c r="AC193" s="111" t="str">
        <f t="shared" si="206"/>
        <v>-</v>
      </c>
      <c r="AD193" s="111" t="str">
        <f t="shared" si="206"/>
        <v>-</v>
      </c>
      <c r="AE193" s="111" t="str">
        <f t="shared" si="206"/>
        <v>-</v>
      </c>
      <c r="AF193" s="111" t="str">
        <f t="shared" si="206"/>
        <v>-</v>
      </c>
      <c r="AG193" s="114" t="str">
        <f t="shared" si="206"/>
        <v>-</v>
      </c>
    </row>
    <row r="194" spans="3:33" ht="15" hidden="1" customHeight="1" outlineLevel="1">
      <c r="C194" s="34" t="s">
        <v>162</v>
      </c>
      <c r="D194" s="84" t="str">
        <f t="shared" ref="D194:AG194" si="207">IF($D$2=FALSE,"-",+D452)</f>
        <v>-</v>
      </c>
      <c r="E194" s="85" t="str">
        <f t="shared" si="207"/>
        <v>-</v>
      </c>
      <c r="F194" s="85" t="str">
        <f t="shared" si="207"/>
        <v>-</v>
      </c>
      <c r="G194" s="86" t="str">
        <f t="shared" si="207"/>
        <v>-</v>
      </c>
      <c r="H194" s="85" t="str">
        <f t="shared" si="207"/>
        <v>-</v>
      </c>
      <c r="I194" s="87" t="str">
        <f t="shared" si="207"/>
        <v>-</v>
      </c>
      <c r="J194" s="85" t="str">
        <f t="shared" si="207"/>
        <v>-</v>
      </c>
      <c r="K194" s="85" t="str">
        <f t="shared" si="207"/>
        <v>-</v>
      </c>
      <c r="L194" s="85" t="str">
        <f t="shared" si="207"/>
        <v>-</v>
      </c>
      <c r="M194" s="88" t="str">
        <f t="shared" si="207"/>
        <v>-</v>
      </c>
      <c r="N194" s="84" t="str">
        <f t="shared" si="207"/>
        <v>-</v>
      </c>
      <c r="O194" s="85" t="str">
        <f t="shared" si="207"/>
        <v>-</v>
      </c>
      <c r="P194" s="85" t="str">
        <f t="shared" si="207"/>
        <v>-</v>
      </c>
      <c r="Q194" s="85" t="str">
        <f t="shared" si="207"/>
        <v>-</v>
      </c>
      <c r="R194" s="85" t="str">
        <f t="shared" si="207"/>
        <v>-</v>
      </c>
      <c r="S194" s="85" t="str">
        <f t="shared" si="207"/>
        <v>-</v>
      </c>
      <c r="T194" s="85" t="str">
        <f t="shared" si="207"/>
        <v>-</v>
      </c>
      <c r="U194" s="85" t="str">
        <f t="shared" si="207"/>
        <v>-</v>
      </c>
      <c r="V194" s="85" t="str">
        <f t="shared" si="207"/>
        <v>-</v>
      </c>
      <c r="W194" s="85" t="str">
        <f t="shared" si="207"/>
        <v>-</v>
      </c>
      <c r="X194" s="85" t="str">
        <f t="shared" si="207"/>
        <v>-</v>
      </c>
      <c r="Y194" s="85" t="str">
        <f t="shared" si="207"/>
        <v>-</v>
      </c>
      <c r="Z194" s="85" t="str">
        <f t="shared" si="207"/>
        <v>-</v>
      </c>
      <c r="AA194" s="85" t="str">
        <f t="shared" si="207"/>
        <v>-</v>
      </c>
      <c r="AB194" s="85" t="str">
        <f t="shared" si="207"/>
        <v>-</v>
      </c>
      <c r="AC194" s="85" t="str">
        <f t="shared" si="207"/>
        <v>-</v>
      </c>
      <c r="AD194" s="85" t="str">
        <f t="shared" si="207"/>
        <v>-</v>
      </c>
      <c r="AE194" s="85" t="str">
        <f t="shared" si="207"/>
        <v>-</v>
      </c>
      <c r="AF194" s="85" t="str">
        <f t="shared" si="207"/>
        <v>-</v>
      </c>
      <c r="AG194" s="88" t="str">
        <f t="shared" si="207"/>
        <v>-</v>
      </c>
    </row>
    <row r="195" spans="3:33" ht="15" hidden="1" customHeight="1" outlineLevel="1">
      <c r="C195" s="34" t="s">
        <v>163</v>
      </c>
      <c r="D195" s="84" t="str">
        <f t="shared" ref="D195:AG195" si="208">IF($D$2=FALSE,"-",+D454)</f>
        <v>-</v>
      </c>
      <c r="E195" s="85" t="str">
        <f t="shared" si="208"/>
        <v>-</v>
      </c>
      <c r="F195" s="85" t="str">
        <f t="shared" si="208"/>
        <v>-</v>
      </c>
      <c r="G195" s="86" t="str">
        <f t="shared" si="208"/>
        <v>-</v>
      </c>
      <c r="H195" s="85" t="str">
        <f t="shared" si="208"/>
        <v>-</v>
      </c>
      <c r="I195" s="87" t="str">
        <f t="shared" si="208"/>
        <v>-</v>
      </c>
      <c r="J195" s="85" t="str">
        <f t="shared" si="208"/>
        <v>-</v>
      </c>
      <c r="K195" s="85" t="str">
        <f t="shared" si="208"/>
        <v>-</v>
      </c>
      <c r="L195" s="85" t="str">
        <f t="shared" si="208"/>
        <v>-</v>
      </c>
      <c r="M195" s="88" t="str">
        <f t="shared" si="208"/>
        <v>-</v>
      </c>
      <c r="N195" s="84" t="str">
        <f t="shared" si="208"/>
        <v>-</v>
      </c>
      <c r="O195" s="85" t="str">
        <f t="shared" si="208"/>
        <v>-</v>
      </c>
      <c r="P195" s="85" t="str">
        <f t="shared" si="208"/>
        <v>-</v>
      </c>
      <c r="Q195" s="85" t="str">
        <f t="shared" si="208"/>
        <v>-</v>
      </c>
      <c r="R195" s="85" t="str">
        <f t="shared" si="208"/>
        <v>-</v>
      </c>
      <c r="S195" s="85" t="str">
        <f t="shared" si="208"/>
        <v>-</v>
      </c>
      <c r="T195" s="85" t="str">
        <f t="shared" si="208"/>
        <v>-</v>
      </c>
      <c r="U195" s="85" t="str">
        <f t="shared" si="208"/>
        <v>-</v>
      </c>
      <c r="V195" s="85" t="str">
        <f t="shared" si="208"/>
        <v>-</v>
      </c>
      <c r="W195" s="85" t="str">
        <f t="shared" si="208"/>
        <v>-</v>
      </c>
      <c r="X195" s="85" t="str">
        <f t="shared" si="208"/>
        <v>-</v>
      </c>
      <c r="Y195" s="85" t="str">
        <f t="shared" si="208"/>
        <v>-</v>
      </c>
      <c r="Z195" s="85" t="str">
        <f t="shared" si="208"/>
        <v>-</v>
      </c>
      <c r="AA195" s="85" t="str">
        <f t="shared" si="208"/>
        <v>-</v>
      </c>
      <c r="AB195" s="85" t="str">
        <f t="shared" si="208"/>
        <v>-</v>
      </c>
      <c r="AC195" s="85" t="str">
        <f t="shared" si="208"/>
        <v>-</v>
      </c>
      <c r="AD195" s="85" t="str">
        <f t="shared" si="208"/>
        <v>-</v>
      </c>
      <c r="AE195" s="85" t="str">
        <f t="shared" si="208"/>
        <v>-</v>
      </c>
      <c r="AF195" s="85" t="str">
        <f t="shared" si="208"/>
        <v>-</v>
      </c>
      <c r="AG195" s="88" t="str">
        <f t="shared" si="208"/>
        <v>-</v>
      </c>
    </row>
    <row r="196" spans="3:33" ht="15" hidden="1" customHeight="1" outlineLevel="1">
      <c r="C196" s="34" t="s">
        <v>164</v>
      </c>
      <c r="D196" s="84" t="str">
        <f t="shared" ref="D196:AG196" si="209">IF($D$2=FALSE,"-",+D453)</f>
        <v>-</v>
      </c>
      <c r="E196" s="85" t="str">
        <f t="shared" si="209"/>
        <v>-</v>
      </c>
      <c r="F196" s="85" t="str">
        <f t="shared" si="209"/>
        <v>-</v>
      </c>
      <c r="G196" s="86" t="str">
        <f t="shared" si="209"/>
        <v>-</v>
      </c>
      <c r="H196" s="85" t="str">
        <f t="shared" si="209"/>
        <v>-</v>
      </c>
      <c r="I196" s="87" t="str">
        <f t="shared" si="209"/>
        <v>-</v>
      </c>
      <c r="J196" s="85" t="str">
        <f t="shared" si="209"/>
        <v>-</v>
      </c>
      <c r="K196" s="85" t="str">
        <f t="shared" si="209"/>
        <v>-</v>
      </c>
      <c r="L196" s="85" t="str">
        <f t="shared" si="209"/>
        <v>-</v>
      </c>
      <c r="M196" s="88" t="str">
        <f t="shared" si="209"/>
        <v>-</v>
      </c>
      <c r="N196" s="84" t="str">
        <f t="shared" si="209"/>
        <v>-</v>
      </c>
      <c r="O196" s="85" t="str">
        <f t="shared" si="209"/>
        <v>-</v>
      </c>
      <c r="P196" s="85" t="str">
        <f t="shared" si="209"/>
        <v>-</v>
      </c>
      <c r="Q196" s="85" t="str">
        <f t="shared" si="209"/>
        <v>-</v>
      </c>
      <c r="R196" s="85" t="str">
        <f t="shared" si="209"/>
        <v>-</v>
      </c>
      <c r="S196" s="85" t="str">
        <f t="shared" si="209"/>
        <v>-</v>
      </c>
      <c r="T196" s="85" t="str">
        <f t="shared" si="209"/>
        <v>-</v>
      </c>
      <c r="U196" s="85" t="str">
        <f t="shared" si="209"/>
        <v>-</v>
      </c>
      <c r="V196" s="85" t="str">
        <f t="shared" si="209"/>
        <v>-</v>
      </c>
      <c r="W196" s="85" t="str">
        <f t="shared" si="209"/>
        <v>-</v>
      </c>
      <c r="X196" s="85" t="str">
        <f t="shared" si="209"/>
        <v>-</v>
      </c>
      <c r="Y196" s="85" t="str">
        <f t="shared" si="209"/>
        <v>-</v>
      </c>
      <c r="Z196" s="85" t="str">
        <f t="shared" si="209"/>
        <v>-</v>
      </c>
      <c r="AA196" s="85" t="str">
        <f t="shared" si="209"/>
        <v>-</v>
      </c>
      <c r="AB196" s="85" t="str">
        <f t="shared" si="209"/>
        <v>-</v>
      </c>
      <c r="AC196" s="85" t="str">
        <f t="shared" si="209"/>
        <v>-</v>
      </c>
      <c r="AD196" s="85" t="str">
        <f t="shared" si="209"/>
        <v>-</v>
      </c>
      <c r="AE196" s="85" t="str">
        <f t="shared" si="209"/>
        <v>-</v>
      </c>
      <c r="AF196" s="85" t="str">
        <f t="shared" si="209"/>
        <v>-</v>
      </c>
      <c r="AG196" s="88" t="str">
        <f t="shared" si="209"/>
        <v>-</v>
      </c>
    </row>
    <row r="197" spans="3:33" ht="15" hidden="1" customHeight="1" outlineLevel="1">
      <c r="C197" s="34" t="s">
        <v>165</v>
      </c>
      <c r="D197" s="84" t="str">
        <f t="shared" ref="D197:AG197" si="210">IF($D$2=FALSE,"-",+D455)</f>
        <v>-</v>
      </c>
      <c r="E197" s="85" t="str">
        <f t="shared" si="210"/>
        <v>-</v>
      </c>
      <c r="F197" s="85" t="str">
        <f t="shared" si="210"/>
        <v>-</v>
      </c>
      <c r="G197" s="86" t="str">
        <f t="shared" si="210"/>
        <v>-</v>
      </c>
      <c r="H197" s="85" t="str">
        <f t="shared" si="210"/>
        <v>-</v>
      </c>
      <c r="I197" s="87" t="str">
        <f t="shared" si="210"/>
        <v>-</v>
      </c>
      <c r="J197" s="85" t="str">
        <f t="shared" si="210"/>
        <v>-</v>
      </c>
      <c r="K197" s="85" t="str">
        <f t="shared" si="210"/>
        <v>-</v>
      </c>
      <c r="L197" s="85" t="str">
        <f t="shared" si="210"/>
        <v>-</v>
      </c>
      <c r="M197" s="88" t="str">
        <f t="shared" si="210"/>
        <v>-</v>
      </c>
      <c r="N197" s="84" t="str">
        <f t="shared" si="210"/>
        <v>-</v>
      </c>
      <c r="O197" s="85" t="str">
        <f t="shared" si="210"/>
        <v>-</v>
      </c>
      <c r="P197" s="85" t="str">
        <f t="shared" si="210"/>
        <v>-</v>
      </c>
      <c r="Q197" s="85" t="str">
        <f t="shared" si="210"/>
        <v>-</v>
      </c>
      <c r="R197" s="85" t="str">
        <f t="shared" si="210"/>
        <v>-</v>
      </c>
      <c r="S197" s="85" t="str">
        <f t="shared" si="210"/>
        <v>-</v>
      </c>
      <c r="T197" s="85" t="str">
        <f t="shared" si="210"/>
        <v>-</v>
      </c>
      <c r="U197" s="85" t="str">
        <f t="shared" si="210"/>
        <v>-</v>
      </c>
      <c r="V197" s="85" t="str">
        <f t="shared" si="210"/>
        <v>-</v>
      </c>
      <c r="W197" s="85" t="str">
        <f t="shared" si="210"/>
        <v>-</v>
      </c>
      <c r="X197" s="85" t="str">
        <f t="shared" si="210"/>
        <v>-</v>
      </c>
      <c r="Y197" s="85" t="str">
        <f t="shared" si="210"/>
        <v>-</v>
      </c>
      <c r="Z197" s="85" t="str">
        <f t="shared" si="210"/>
        <v>-</v>
      </c>
      <c r="AA197" s="85" t="str">
        <f t="shared" si="210"/>
        <v>-</v>
      </c>
      <c r="AB197" s="85" t="str">
        <f t="shared" si="210"/>
        <v>-</v>
      </c>
      <c r="AC197" s="85" t="str">
        <f t="shared" si="210"/>
        <v>-</v>
      </c>
      <c r="AD197" s="85" t="str">
        <f t="shared" si="210"/>
        <v>-</v>
      </c>
      <c r="AE197" s="85" t="str">
        <f t="shared" si="210"/>
        <v>-</v>
      </c>
      <c r="AF197" s="85" t="str">
        <f t="shared" si="210"/>
        <v>-</v>
      </c>
      <c r="AG197" s="88" t="str">
        <f t="shared" si="210"/>
        <v>-</v>
      </c>
    </row>
    <row r="198" spans="3:33" ht="15" hidden="1" customHeight="1" outlineLevel="1">
      <c r="C198" s="34" t="s">
        <v>166</v>
      </c>
      <c r="D198" s="84" t="str">
        <f t="shared" ref="D198:AG198" si="211">IF($D$2=FALSE,"-",+D456)</f>
        <v>-</v>
      </c>
      <c r="E198" s="85" t="str">
        <f t="shared" si="211"/>
        <v>-</v>
      </c>
      <c r="F198" s="85" t="str">
        <f t="shared" si="211"/>
        <v>-</v>
      </c>
      <c r="G198" s="86" t="str">
        <f t="shared" si="211"/>
        <v>-</v>
      </c>
      <c r="H198" s="85" t="str">
        <f t="shared" si="211"/>
        <v>-</v>
      </c>
      <c r="I198" s="87" t="str">
        <f t="shared" si="211"/>
        <v>-</v>
      </c>
      <c r="J198" s="85" t="str">
        <f t="shared" si="211"/>
        <v>-</v>
      </c>
      <c r="K198" s="85" t="str">
        <f t="shared" si="211"/>
        <v>-</v>
      </c>
      <c r="L198" s="85" t="str">
        <f t="shared" si="211"/>
        <v>-</v>
      </c>
      <c r="M198" s="88" t="str">
        <f t="shared" si="211"/>
        <v>-</v>
      </c>
      <c r="N198" s="84" t="str">
        <f t="shared" si="211"/>
        <v>-</v>
      </c>
      <c r="O198" s="85" t="str">
        <f t="shared" si="211"/>
        <v>-</v>
      </c>
      <c r="P198" s="85" t="str">
        <f t="shared" si="211"/>
        <v>-</v>
      </c>
      <c r="Q198" s="85" t="str">
        <f t="shared" si="211"/>
        <v>-</v>
      </c>
      <c r="R198" s="85" t="str">
        <f t="shared" si="211"/>
        <v>-</v>
      </c>
      <c r="S198" s="85" t="str">
        <f t="shared" si="211"/>
        <v>-</v>
      </c>
      <c r="T198" s="85" t="str">
        <f t="shared" si="211"/>
        <v>-</v>
      </c>
      <c r="U198" s="85" t="str">
        <f t="shared" si="211"/>
        <v>-</v>
      </c>
      <c r="V198" s="85" t="str">
        <f t="shared" si="211"/>
        <v>-</v>
      </c>
      <c r="W198" s="85" t="str">
        <f t="shared" si="211"/>
        <v>-</v>
      </c>
      <c r="X198" s="85" t="str">
        <f t="shared" si="211"/>
        <v>-</v>
      </c>
      <c r="Y198" s="85" t="str">
        <f t="shared" si="211"/>
        <v>-</v>
      </c>
      <c r="Z198" s="85" t="str">
        <f t="shared" si="211"/>
        <v>-</v>
      </c>
      <c r="AA198" s="85" t="str">
        <f t="shared" si="211"/>
        <v>-</v>
      </c>
      <c r="AB198" s="85" t="str">
        <f t="shared" si="211"/>
        <v>-</v>
      </c>
      <c r="AC198" s="85" t="str">
        <f t="shared" si="211"/>
        <v>-</v>
      </c>
      <c r="AD198" s="85" t="str">
        <f t="shared" si="211"/>
        <v>-</v>
      </c>
      <c r="AE198" s="85" t="str">
        <f t="shared" si="211"/>
        <v>-</v>
      </c>
      <c r="AF198" s="85" t="str">
        <f t="shared" si="211"/>
        <v>-</v>
      </c>
      <c r="AG198" s="88" t="str">
        <f t="shared" si="211"/>
        <v>-</v>
      </c>
    </row>
    <row r="199" spans="3:33" ht="15" hidden="1" customHeight="1" outlineLevel="1">
      <c r="C199" s="34" t="s">
        <v>167</v>
      </c>
      <c r="D199" s="84" t="str">
        <f t="shared" ref="D199:AG199" si="212">IF($D$2=FALSE,"-",+D457)</f>
        <v>-</v>
      </c>
      <c r="E199" s="85" t="str">
        <f t="shared" si="212"/>
        <v>-</v>
      </c>
      <c r="F199" s="85" t="str">
        <f t="shared" si="212"/>
        <v>-</v>
      </c>
      <c r="G199" s="86" t="str">
        <f t="shared" si="212"/>
        <v>-</v>
      </c>
      <c r="H199" s="85" t="str">
        <f t="shared" si="212"/>
        <v>-</v>
      </c>
      <c r="I199" s="87" t="str">
        <f t="shared" si="212"/>
        <v>-</v>
      </c>
      <c r="J199" s="85" t="str">
        <f t="shared" si="212"/>
        <v>-</v>
      </c>
      <c r="K199" s="85" t="str">
        <f t="shared" si="212"/>
        <v>-</v>
      </c>
      <c r="L199" s="85" t="str">
        <f t="shared" si="212"/>
        <v>-</v>
      </c>
      <c r="M199" s="88" t="str">
        <f t="shared" si="212"/>
        <v>-</v>
      </c>
      <c r="N199" s="84" t="str">
        <f t="shared" si="212"/>
        <v>-</v>
      </c>
      <c r="O199" s="85" t="str">
        <f t="shared" si="212"/>
        <v>-</v>
      </c>
      <c r="P199" s="85" t="str">
        <f t="shared" si="212"/>
        <v>-</v>
      </c>
      <c r="Q199" s="85" t="str">
        <f t="shared" si="212"/>
        <v>-</v>
      </c>
      <c r="R199" s="85" t="str">
        <f t="shared" si="212"/>
        <v>-</v>
      </c>
      <c r="S199" s="85" t="str">
        <f t="shared" si="212"/>
        <v>-</v>
      </c>
      <c r="T199" s="85" t="str">
        <f t="shared" si="212"/>
        <v>-</v>
      </c>
      <c r="U199" s="85" t="str">
        <f t="shared" si="212"/>
        <v>-</v>
      </c>
      <c r="V199" s="85" t="str">
        <f t="shared" si="212"/>
        <v>-</v>
      </c>
      <c r="W199" s="85" t="str">
        <f t="shared" si="212"/>
        <v>-</v>
      </c>
      <c r="X199" s="85" t="str">
        <f t="shared" si="212"/>
        <v>-</v>
      </c>
      <c r="Y199" s="85" t="str">
        <f t="shared" si="212"/>
        <v>-</v>
      </c>
      <c r="Z199" s="85" t="str">
        <f t="shared" si="212"/>
        <v>-</v>
      </c>
      <c r="AA199" s="85" t="str">
        <f t="shared" si="212"/>
        <v>-</v>
      </c>
      <c r="AB199" s="85" t="str">
        <f t="shared" si="212"/>
        <v>-</v>
      </c>
      <c r="AC199" s="85" t="str">
        <f t="shared" si="212"/>
        <v>-</v>
      </c>
      <c r="AD199" s="85" t="str">
        <f t="shared" si="212"/>
        <v>-</v>
      </c>
      <c r="AE199" s="85" t="str">
        <f t="shared" si="212"/>
        <v>-</v>
      </c>
      <c r="AF199" s="85" t="str">
        <f t="shared" si="212"/>
        <v>-</v>
      </c>
      <c r="AG199" s="88" t="str">
        <f t="shared" si="212"/>
        <v>-</v>
      </c>
    </row>
    <row r="200" spans="3:33" ht="15" hidden="1" customHeight="1" outlineLevel="1">
      <c r="C200" s="34" t="s">
        <v>154</v>
      </c>
      <c r="D200" s="84" t="str">
        <f t="shared" ref="D200:AG200" si="213">IF($D$2=FALSE,"-",+D458)</f>
        <v>-</v>
      </c>
      <c r="E200" s="85" t="str">
        <f t="shared" si="213"/>
        <v>-</v>
      </c>
      <c r="F200" s="85" t="str">
        <f t="shared" si="213"/>
        <v>-</v>
      </c>
      <c r="G200" s="86" t="str">
        <f t="shared" si="213"/>
        <v>-</v>
      </c>
      <c r="H200" s="85" t="str">
        <f t="shared" si="213"/>
        <v>-</v>
      </c>
      <c r="I200" s="87" t="str">
        <f t="shared" si="213"/>
        <v>-</v>
      </c>
      <c r="J200" s="85" t="str">
        <f t="shared" si="213"/>
        <v>-</v>
      </c>
      <c r="K200" s="85" t="str">
        <f t="shared" si="213"/>
        <v>-</v>
      </c>
      <c r="L200" s="85" t="str">
        <f t="shared" si="213"/>
        <v>-</v>
      </c>
      <c r="M200" s="88" t="str">
        <f t="shared" si="213"/>
        <v>-</v>
      </c>
      <c r="N200" s="84" t="str">
        <f t="shared" si="213"/>
        <v>-</v>
      </c>
      <c r="O200" s="85" t="str">
        <f t="shared" si="213"/>
        <v>-</v>
      </c>
      <c r="P200" s="85" t="str">
        <f t="shared" si="213"/>
        <v>-</v>
      </c>
      <c r="Q200" s="85" t="str">
        <f t="shared" si="213"/>
        <v>-</v>
      </c>
      <c r="R200" s="85" t="str">
        <f t="shared" si="213"/>
        <v>-</v>
      </c>
      <c r="S200" s="85" t="str">
        <f t="shared" si="213"/>
        <v>-</v>
      </c>
      <c r="T200" s="85" t="str">
        <f t="shared" si="213"/>
        <v>-</v>
      </c>
      <c r="U200" s="85" t="str">
        <f t="shared" si="213"/>
        <v>-</v>
      </c>
      <c r="V200" s="85" t="str">
        <f t="shared" si="213"/>
        <v>-</v>
      </c>
      <c r="W200" s="85" t="str">
        <f t="shared" si="213"/>
        <v>-</v>
      </c>
      <c r="X200" s="85" t="str">
        <f t="shared" si="213"/>
        <v>-</v>
      </c>
      <c r="Y200" s="85" t="str">
        <f t="shared" si="213"/>
        <v>-</v>
      </c>
      <c r="Z200" s="85" t="str">
        <f t="shared" si="213"/>
        <v>-</v>
      </c>
      <c r="AA200" s="85" t="str">
        <f t="shared" si="213"/>
        <v>-</v>
      </c>
      <c r="AB200" s="85" t="str">
        <f t="shared" si="213"/>
        <v>-</v>
      </c>
      <c r="AC200" s="85" t="str">
        <f t="shared" si="213"/>
        <v>-</v>
      </c>
      <c r="AD200" s="85" t="str">
        <f t="shared" si="213"/>
        <v>-</v>
      </c>
      <c r="AE200" s="85" t="str">
        <f t="shared" si="213"/>
        <v>-</v>
      </c>
      <c r="AF200" s="85" t="str">
        <f t="shared" si="213"/>
        <v>-</v>
      </c>
      <c r="AG200" s="88" t="str">
        <f t="shared" si="213"/>
        <v>-</v>
      </c>
    </row>
    <row r="201" spans="3:33" s="12" customFormat="1" ht="15" hidden="1" customHeight="1" outlineLevel="1">
      <c r="C201" s="145" t="s">
        <v>168</v>
      </c>
      <c r="D201" s="110" t="str">
        <f t="shared" ref="D201:AG201" si="214">IF($D$2=FALSE,"-",SUM(D194:D200))</f>
        <v>-</v>
      </c>
      <c r="E201" s="111" t="str">
        <f t="shared" si="214"/>
        <v>-</v>
      </c>
      <c r="F201" s="111" t="str">
        <f t="shared" si="214"/>
        <v>-</v>
      </c>
      <c r="G201" s="112" t="str">
        <f t="shared" si="214"/>
        <v>-</v>
      </c>
      <c r="H201" s="111" t="str">
        <f t="shared" si="214"/>
        <v>-</v>
      </c>
      <c r="I201" s="113" t="str">
        <f t="shared" si="214"/>
        <v>-</v>
      </c>
      <c r="J201" s="111" t="str">
        <f t="shared" si="214"/>
        <v>-</v>
      </c>
      <c r="K201" s="111" t="str">
        <f t="shared" si="214"/>
        <v>-</v>
      </c>
      <c r="L201" s="111" t="str">
        <f t="shared" si="214"/>
        <v>-</v>
      </c>
      <c r="M201" s="114" t="str">
        <f t="shared" si="214"/>
        <v>-</v>
      </c>
      <c r="N201" s="110" t="str">
        <f t="shared" si="214"/>
        <v>-</v>
      </c>
      <c r="O201" s="111" t="str">
        <f t="shared" si="214"/>
        <v>-</v>
      </c>
      <c r="P201" s="111" t="str">
        <f t="shared" si="214"/>
        <v>-</v>
      </c>
      <c r="Q201" s="111" t="str">
        <f t="shared" si="214"/>
        <v>-</v>
      </c>
      <c r="R201" s="111" t="str">
        <f t="shared" si="214"/>
        <v>-</v>
      </c>
      <c r="S201" s="111" t="str">
        <f t="shared" si="214"/>
        <v>-</v>
      </c>
      <c r="T201" s="111" t="str">
        <f t="shared" si="214"/>
        <v>-</v>
      </c>
      <c r="U201" s="111" t="str">
        <f t="shared" si="214"/>
        <v>-</v>
      </c>
      <c r="V201" s="111" t="str">
        <f t="shared" si="214"/>
        <v>-</v>
      </c>
      <c r="W201" s="111" t="str">
        <f t="shared" si="214"/>
        <v>-</v>
      </c>
      <c r="X201" s="111" t="str">
        <f t="shared" si="214"/>
        <v>-</v>
      </c>
      <c r="Y201" s="111" t="str">
        <f t="shared" si="214"/>
        <v>-</v>
      </c>
      <c r="Z201" s="111" t="str">
        <f t="shared" si="214"/>
        <v>-</v>
      </c>
      <c r="AA201" s="111" t="str">
        <f t="shared" si="214"/>
        <v>-</v>
      </c>
      <c r="AB201" s="111" t="str">
        <f t="shared" si="214"/>
        <v>-</v>
      </c>
      <c r="AC201" s="111" t="str">
        <f t="shared" si="214"/>
        <v>-</v>
      </c>
      <c r="AD201" s="111" t="str">
        <f t="shared" si="214"/>
        <v>-</v>
      </c>
      <c r="AE201" s="111" t="str">
        <f t="shared" si="214"/>
        <v>-</v>
      </c>
      <c r="AF201" s="111" t="str">
        <f t="shared" si="214"/>
        <v>-</v>
      </c>
      <c r="AG201" s="114" t="str">
        <f t="shared" si="214"/>
        <v>-</v>
      </c>
    </row>
    <row r="202" spans="3:33" ht="15" hidden="1" customHeight="1" outlineLevel="1">
      <c r="C202" s="34" t="s">
        <v>169</v>
      </c>
      <c r="D202" s="84" t="str">
        <f>IF($D$2=FALSE,"-",+D460)</f>
        <v>-</v>
      </c>
      <c r="E202" s="85"/>
      <c r="F202" s="85"/>
      <c r="G202" s="86"/>
      <c r="H202" s="85"/>
      <c r="I202" s="87"/>
      <c r="J202" s="85"/>
      <c r="K202" s="85"/>
      <c r="L202" s="85"/>
      <c r="M202" s="88"/>
      <c r="N202" s="84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8"/>
    </row>
    <row r="203" spans="3:33" ht="15" hidden="1" customHeight="1" outlineLevel="1">
      <c r="C203" s="145" t="s">
        <v>170</v>
      </c>
      <c r="D203" s="110" t="str">
        <f t="shared" ref="D203:AG203" si="215">IF($D$2=FALSE,"-",+D186+D193+D201)</f>
        <v>-</v>
      </c>
      <c r="E203" s="111" t="str">
        <f t="shared" si="215"/>
        <v>-</v>
      </c>
      <c r="F203" s="111" t="str">
        <f t="shared" si="215"/>
        <v>-</v>
      </c>
      <c r="G203" s="112" t="str">
        <f t="shared" si="215"/>
        <v>-</v>
      </c>
      <c r="H203" s="111" t="str">
        <f t="shared" si="215"/>
        <v>-</v>
      </c>
      <c r="I203" s="113" t="str">
        <f t="shared" si="215"/>
        <v>-</v>
      </c>
      <c r="J203" s="111" t="str">
        <f t="shared" si="215"/>
        <v>-</v>
      </c>
      <c r="K203" s="111" t="str">
        <f t="shared" si="215"/>
        <v>-</v>
      </c>
      <c r="L203" s="111" t="str">
        <f t="shared" si="215"/>
        <v>-</v>
      </c>
      <c r="M203" s="114" t="str">
        <f t="shared" si="215"/>
        <v>-</v>
      </c>
      <c r="N203" s="110" t="str">
        <f t="shared" si="215"/>
        <v>-</v>
      </c>
      <c r="O203" s="111" t="str">
        <f t="shared" si="215"/>
        <v>-</v>
      </c>
      <c r="P203" s="111" t="str">
        <f t="shared" si="215"/>
        <v>-</v>
      </c>
      <c r="Q203" s="111" t="str">
        <f t="shared" si="215"/>
        <v>-</v>
      </c>
      <c r="R203" s="111" t="str">
        <f t="shared" si="215"/>
        <v>-</v>
      </c>
      <c r="S203" s="111" t="str">
        <f t="shared" si="215"/>
        <v>-</v>
      </c>
      <c r="T203" s="111" t="str">
        <f t="shared" si="215"/>
        <v>-</v>
      </c>
      <c r="U203" s="111" t="str">
        <f t="shared" si="215"/>
        <v>-</v>
      </c>
      <c r="V203" s="111" t="str">
        <f t="shared" si="215"/>
        <v>-</v>
      </c>
      <c r="W203" s="111" t="str">
        <f t="shared" si="215"/>
        <v>-</v>
      </c>
      <c r="X203" s="111" t="str">
        <f t="shared" si="215"/>
        <v>-</v>
      </c>
      <c r="Y203" s="111" t="str">
        <f t="shared" si="215"/>
        <v>-</v>
      </c>
      <c r="Z203" s="111" t="str">
        <f t="shared" si="215"/>
        <v>-</v>
      </c>
      <c r="AA203" s="111" t="str">
        <f t="shared" si="215"/>
        <v>-</v>
      </c>
      <c r="AB203" s="111" t="str">
        <f t="shared" si="215"/>
        <v>-</v>
      </c>
      <c r="AC203" s="111" t="str">
        <f t="shared" si="215"/>
        <v>-</v>
      </c>
      <c r="AD203" s="111" t="str">
        <f t="shared" si="215"/>
        <v>-</v>
      </c>
      <c r="AE203" s="111" t="str">
        <f t="shared" si="215"/>
        <v>-</v>
      </c>
      <c r="AF203" s="111" t="str">
        <f t="shared" si="215"/>
        <v>-</v>
      </c>
      <c r="AG203" s="114" t="str">
        <f t="shared" si="215"/>
        <v>-</v>
      </c>
    </row>
    <row r="204" spans="3:33" s="12" customFormat="1" ht="15" hidden="1" customHeight="1" outlineLevel="1">
      <c r="C204" s="145" t="s">
        <v>171</v>
      </c>
      <c r="D204" s="110" t="str">
        <f t="shared" ref="D204:AG204" si="216">IF($D$2=FALSE,"-",+D160)</f>
        <v>-</v>
      </c>
      <c r="E204" s="111" t="str">
        <f t="shared" si="216"/>
        <v>-</v>
      </c>
      <c r="F204" s="111" t="str">
        <f t="shared" si="216"/>
        <v>-</v>
      </c>
      <c r="G204" s="112" t="str">
        <f t="shared" si="216"/>
        <v>-</v>
      </c>
      <c r="H204" s="111" t="str">
        <f t="shared" si="216"/>
        <v>-</v>
      </c>
      <c r="I204" s="113" t="str">
        <f t="shared" si="216"/>
        <v>-</v>
      </c>
      <c r="J204" s="111" t="str">
        <f t="shared" si="216"/>
        <v>-</v>
      </c>
      <c r="K204" s="111" t="str">
        <f t="shared" si="216"/>
        <v>-</v>
      </c>
      <c r="L204" s="111" t="str">
        <f t="shared" si="216"/>
        <v>-</v>
      </c>
      <c r="M204" s="114" t="str">
        <f t="shared" si="216"/>
        <v>-</v>
      </c>
      <c r="N204" s="110" t="str">
        <f t="shared" si="216"/>
        <v>-</v>
      </c>
      <c r="O204" s="111" t="str">
        <f t="shared" si="216"/>
        <v>-</v>
      </c>
      <c r="P204" s="111" t="str">
        <f t="shared" si="216"/>
        <v>-</v>
      </c>
      <c r="Q204" s="111" t="str">
        <f t="shared" si="216"/>
        <v>-</v>
      </c>
      <c r="R204" s="111" t="str">
        <f t="shared" si="216"/>
        <v>-</v>
      </c>
      <c r="S204" s="111" t="str">
        <f t="shared" si="216"/>
        <v>-</v>
      </c>
      <c r="T204" s="111" t="str">
        <f t="shared" si="216"/>
        <v>-</v>
      </c>
      <c r="U204" s="111" t="str">
        <f t="shared" si="216"/>
        <v>-</v>
      </c>
      <c r="V204" s="111" t="str">
        <f t="shared" si="216"/>
        <v>-</v>
      </c>
      <c r="W204" s="111" t="str">
        <f t="shared" si="216"/>
        <v>-</v>
      </c>
      <c r="X204" s="111" t="str">
        <f t="shared" si="216"/>
        <v>-</v>
      </c>
      <c r="Y204" s="111" t="str">
        <f t="shared" si="216"/>
        <v>-</v>
      </c>
      <c r="Z204" s="111" t="str">
        <f t="shared" si="216"/>
        <v>-</v>
      </c>
      <c r="AA204" s="111" t="str">
        <f t="shared" si="216"/>
        <v>-</v>
      </c>
      <c r="AB204" s="111" t="str">
        <f t="shared" si="216"/>
        <v>-</v>
      </c>
      <c r="AC204" s="111" t="str">
        <f t="shared" si="216"/>
        <v>-</v>
      </c>
      <c r="AD204" s="111" t="str">
        <f t="shared" si="216"/>
        <v>-</v>
      </c>
      <c r="AE204" s="111" t="str">
        <f t="shared" si="216"/>
        <v>-</v>
      </c>
      <c r="AF204" s="111" t="str">
        <f t="shared" si="216"/>
        <v>-</v>
      </c>
      <c r="AG204" s="114" t="str">
        <f t="shared" si="216"/>
        <v>-</v>
      </c>
    </row>
    <row r="205" spans="3:33" s="12" customFormat="1" ht="15" hidden="1" customHeight="1" outlineLevel="1">
      <c r="C205" s="146" t="s">
        <v>172</v>
      </c>
      <c r="D205" s="84" t="str">
        <f t="shared" ref="D205:AG205" si="217">IF($D$2=FALSE,"-",+D464)</f>
        <v>-</v>
      </c>
      <c r="E205" s="85" t="str">
        <f t="shared" si="217"/>
        <v>-</v>
      </c>
      <c r="F205" s="85" t="str">
        <f t="shared" si="217"/>
        <v>-</v>
      </c>
      <c r="G205" s="86" t="str">
        <f t="shared" si="217"/>
        <v>-</v>
      </c>
      <c r="H205" s="85" t="str">
        <f t="shared" si="217"/>
        <v>-</v>
      </c>
      <c r="I205" s="87" t="str">
        <f t="shared" si="217"/>
        <v>-</v>
      </c>
      <c r="J205" s="85" t="str">
        <f t="shared" si="217"/>
        <v>-</v>
      </c>
      <c r="K205" s="85" t="str">
        <f t="shared" si="217"/>
        <v>-</v>
      </c>
      <c r="L205" s="85" t="str">
        <f t="shared" si="217"/>
        <v>-</v>
      </c>
      <c r="M205" s="88" t="str">
        <f t="shared" si="217"/>
        <v>-</v>
      </c>
      <c r="N205" s="84" t="str">
        <f t="shared" si="217"/>
        <v>-</v>
      </c>
      <c r="O205" s="85" t="str">
        <f t="shared" si="217"/>
        <v>-</v>
      </c>
      <c r="P205" s="85" t="str">
        <f t="shared" si="217"/>
        <v>-</v>
      </c>
      <c r="Q205" s="85" t="str">
        <f t="shared" si="217"/>
        <v>-</v>
      </c>
      <c r="R205" s="85" t="str">
        <f t="shared" si="217"/>
        <v>-</v>
      </c>
      <c r="S205" s="85" t="str">
        <f t="shared" si="217"/>
        <v>-</v>
      </c>
      <c r="T205" s="85" t="str">
        <f t="shared" si="217"/>
        <v>-</v>
      </c>
      <c r="U205" s="85" t="str">
        <f t="shared" si="217"/>
        <v>-</v>
      </c>
      <c r="V205" s="85" t="str">
        <f t="shared" si="217"/>
        <v>-</v>
      </c>
      <c r="W205" s="85" t="str">
        <f t="shared" si="217"/>
        <v>-</v>
      </c>
      <c r="X205" s="85" t="str">
        <f t="shared" si="217"/>
        <v>-</v>
      </c>
      <c r="Y205" s="85" t="str">
        <f t="shared" si="217"/>
        <v>-</v>
      </c>
      <c r="Z205" s="85" t="str">
        <f t="shared" si="217"/>
        <v>-</v>
      </c>
      <c r="AA205" s="85" t="str">
        <f t="shared" si="217"/>
        <v>-</v>
      </c>
      <c r="AB205" s="85" t="str">
        <f t="shared" si="217"/>
        <v>-</v>
      </c>
      <c r="AC205" s="85" t="str">
        <f t="shared" si="217"/>
        <v>-</v>
      </c>
      <c r="AD205" s="85" t="str">
        <f t="shared" si="217"/>
        <v>-</v>
      </c>
      <c r="AE205" s="85" t="str">
        <f t="shared" si="217"/>
        <v>-</v>
      </c>
      <c r="AF205" s="85" t="str">
        <f t="shared" si="217"/>
        <v>-</v>
      </c>
      <c r="AG205" s="88" t="str">
        <f t="shared" si="217"/>
        <v>-</v>
      </c>
    </row>
    <row r="206" spans="3:33" ht="15" hidden="1" customHeight="1" outlineLevel="1" thickBot="1">
      <c r="C206" s="147" t="s">
        <v>173</v>
      </c>
      <c r="D206" s="148" t="str">
        <f t="shared" ref="D206:AG206" si="218">IF($D$2=FALSE,"-",+D204-D205)</f>
        <v>-</v>
      </c>
      <c r="E206" s="149" t="str">
        <f t="shared" si="218"/>
        <v>-</v>
      </c>
      <c r="F206" s="149" t="str">
        <f t="shared" si="218"/>
        <v>-</v>
      </c>
      <c r="G206" s="150" t="str">
        <f t="shared" si="218"/>
        <v>-</v>
      </c>
      <c r="H206" s="149" t="str">
        <f t="shared" si="218"/>
        <v>-</v>
      </c>
      <c r="I206" s="151" t="str">
        <f t="shared" si="218"/>
        <v>-</v>
      </c>
      <c r="J206" s="149" t="str">
        <f t="shared" si="218"/>
        <v>-</v>
      </c>
      <c r="K206" s="149" t="str">
        <f t="shared" si="218"/>
        <v>-</v>
      </c>
      <c r="L206" s="149" t="str">
        <f t="shared" si="218"/>
        <v>-</v>
      </c>
      <c r="M206" s="152" t="str">
        <f t="shared" si="218"/>
        <v>-</v>
      </c>
      <c r="N206" s="148" t="str">
        <f t="shared" si="218"/>
        <v>-</v>
      </c>
      <c r="O206" s="149" t="str">
        <f t="shared" si="218"/>
        <v>-</v>
      </c>
      <c r="P206" s="149" t="str">
        <f t="shared" si="218"/>
        <v>-</v>
      </c>
      <c r="Q206" s="149" t="str">
        <f t="shared" si="218"/>
        <v>-</v>
      </c>
      <c r="R206" s="149" t="str">
        <f t="shared" si="218"/>
        <v>-</v>
      </c>
      <c r="S206" s="149" t="str">
        <f t="shared" si="218"/>
        <v>-</v>
      </c>
      <c r="T206" s="149" t="str">
        <f t="shared" si="218"/>
        <v>-</v>
      </c>
      <c r="U206" s="149" t="str">
        <f t="shared" si="218"/>
        <v>-</v>
      </c>
      <c r="V206" s="149" t="str">
        <f t="shared" si="218"/>
        <v>-</v>
      </c>
      <c r="W206" s="149" t="str">
        <f t="shared" si="218"/>
        <v>-</v>
      </c>
      <c r="X206" s="149" t="str">
        <f t="shared" si="218"/>
        <v>-</v>
      </c>
      <c r="Y206" s="149" t="str">
        <f t="shared" si="218"/>
        <v>-</v>
      </c>
      <c r="Z206" s="149" t="str">
        <f t="shared" si="218"/>
        <v>-</v>
      </c>
      <c r="AA206" s="149" t="str">
        <f t="shared" si="218"/>
        <v>-</v>
      </c>
      <c r="AB206" s="149" t="str">
        <f t="shared" si="218"/>
        <v>-</v>
      </c>
      <c r="AC206" s="149" t="str">
        <f t="shared" si="218"/>
        <v>-</v>
      </c>
      <c r="AD206" s="149" t="str">
        <f t="shared" si="218"/>
        <v>-</v>
      </c>
      <c r="AE206" s="149" t="str">
        <f t="shared" si="218"/>
        <v>-</v>
      </c>
      <c r="AF206" s="149" t="str">
        <f t="shared" si="218"/>
        <v>-</v>
      </c>
      <c r="AG206" s="152" t="str">
        <f t="shared" si="218"/>
        <v>-</v>
      </c>
    </row>
    <row r="207" spans="3:33" ht="15" customHeight="1" collapsed="1" thickBot="1"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</row>
    <row r="208" spans="3:33" ht="15" customHeight="1" thickBot="1">
      <c r="C208" s="155" t="s">
        <v>484</v>
      </c>
      <c r="D208" s="228" t="str">
        <f t="shared" ref="D208:AG208" si="219">IF($D$2=FALSE,"-",D9)</f>
        <v>-</v>
      </c>
      <c r="E208" s="229" t="str">
        <f t="shared" si="219"/>
        <v>-</v>
      </c>
      <c r="F208" s="229" t="str">
        <f t="shared" si="219"/>
        <v>-</v>
      </c>
      <c r="G208" s="229" t="str">
        <f t="shared" si="219"/>
        <v>-</v>
      </c>
      <c r="H208" s="229" t="str">
        <f t="shared" si="219"/>
        <v>-</v>
      </c>
      <c r="I208" s="229" t="str">
        <f t="shared" si="219"/>
        <v>-</v>
      </c>
      <c r="J208" s="229" t="str">
        <f t="shared" si="219"/>
        <v>-</v>
      </c>
      <c r="K208" s="229" t="str">
        <f t="shared" si="219"/>
        <v>-</v>
      </c>
      <c r="L208" s="229" t="str">
        <f t="shared" si="219"/>
        <v>-</v>
      </c>
      <c r="M208" s="230" t="str">
        <f t="shared" si="219"/>
        <v>-</v>
      </c>
      <c r="N208" s="309" t="str">
        <f t="shared" si="219"/>
        <v>-</v>
      </c>
      <c r="O208" s="310" t="str">
        <f t="shared" si="219"/>
        <v>-</v>
      </c>
      <c r="P208" s="310" t="str">
        <f t="shared" si="219"/>
        <v>-</v>
      </c>
      <c r="Q208" s="310" t="str">
        <f t="shared" si="219"/>
        <v>-</v>
      </c>
      <c r="R208" s="310" t="str">
        <f t="shared" si="219"/>
        <v>-</v>
      </c>
      <c r="S208" s="310" t="str">
        <f t="shared" si="219"/>
        <v>-</v>
      </c>
      <c r="T208" s="310" t="str">
        <f t="shared" si="219"/>
        <v>-</v>
      </c>
      <c r="U208" s="310" t="str">
        <f t="shared" si="219"/>
        <v>-</v>
      </c>
      <c r="V208" s="310" t="str">
        <f t="shared" si="219"/>
        <v>-</v>
      </c>
      <c r="W208" s="310" t="str">
        <f t="shared" si="219"/>
        <v>-</v>
      </c>
      <c r="X208" s="310" t="str">
        <f t="shared" si="219"/>
        <v>-</v>
      </c>
      <c r="Y208" s="310" t="str">
        <f t="shared" si="219"/>
        <v>-</v>
      </c>
      <c r="Z208" s="310" t="str">
        <f t="shared" si="219"/>
        <v>-</v>
      </c>
      <c r="AA208" s="310" t="str">
        <f t="shared" si="219"/>
        <v>-</v>
      </c>
      <c r="AB208" s="310" t="str">
        <f t="shared" si="219"/>
        <v>-</v>
      </c>
      <c r="AC208" s="310" t="str">
        <f t="shared" si="219"/>
        <v>-</v>
      </c>
      <c r="AD208" s="310" t="str">
        <f t="shared" si="219"/>
        <v>-</v>
      </c>
      <c r="AE208" s="310" t="str">
        <f t="shared" si="219"/>
        <v>-</v>
      </c>
      <c r="AF208" s="310" t="str">
        <f t="shared" si="219"/>
        <v>-</v>
      </c>
      <c r="AG208" s="311" t="str">
        <f t="shared" si="219"/>
        <v>-</v>
      </c>
    </row>
    <row r="209" spans="3:40" ht="15" hidden="1" customHeight="1" outlineLevel="1">
      <c r="C209" s="231" t="s">
        <v>485</v>
      </c>
      <c r="D209" s="233" t="str">
        <f t="shared" ref="D209:AG209" si="220">IF($D$2=FALSE,"-",+D76/D100)</f>
        <v>-</v>
      </c>
      <c r="E209" s="235" t="str">
        <f t="shared" si="220"/>
        <v>-</v>
      </c>
      <c r="F209" s="236" t="str">
        <f t="shared" si="220"/>
        <v>-</v>
      </c>
      <c r="G209" s="236" t="str">
        <f t="shared" si="220"/>
        <v>-</v>
      </c>
      <c r="H209" s="236" t="str">
        <f t="shared" si="220"/>
        <v>-</v>
      </c>
      <c r="I209" s="236" t="str">
        <f t="shared" si="220"/>
        <v>-</v>
      </c>
      <c r="J209" s="236" t="str">
        <f t="shared" si="220"/>
        <v>-</v>
      </c>
      <c r="K209" s="236" t="str">
        <f t="shared" si="220"/>
        <v>-</v>
      </c>
      <c r="L209" s="236" t="str">
        <f t="shared" si="220"/>
        <v>-</v>
      </c>
      <c r="M209" s="235" t="str">
        <f t="shared" si="220"/>
        <v>-</v>
      </c>
      <c r="N209" s="233" t="str">
        <f t="shared" si="220"/>
        <v>-</v>
      </c>
      <c r="O209" s="236" t="str">
        <f t="shared" si="220"/>
        <v>-</v>
      </c>
      <c r="P209" s="236" t="str">
        <f t="shared" si="220"/>
        <v>-</v>
      </c>
      <c r="Q209" s="236" t="str">
        <f t="shared" si="220"/>
        <v>-</v>
      </c>
      <c r="R209" s="236" t="str">
        <f t="shared" si="220"/>
        <v>-</v>
      </c>
      <c r="S209" s="236" t="str">
        <f t="shared" si="220"/>
        <v>-</v>
      </c>
      <c r="T209" s="236" t="str">
        <f t="shared" si="220"/>
        <v>-</v>
      </c>
      <c r="U209" s="236" t="str">
        <f t="shared" si="220"/>
        <v>-</v>
      </c>
      <c r="V209" s="236" t="str">
        <f t="shared" si="220"/>
        <v>-</v>
      </c>
      <c r="W209" s="236" t="str">
        <f t="shared" si="220"/>
        <v>-</v>
      </c>
      <c r="X209" s="236" t="str">
        <f t="shared" si="220"/>
        <v>-</v>
      </c>
      <c r="Y209" s="236" t="str">
        <f t="shared" si="220"/>
        <v>-</v>
      </c>
      <c r="Z209" s="236" t="str">
        <f t="shared" si="220"/>
        <v>-</v>
      </c>
      <c r="AA209" s="236" t="str">
        <f t="shared" si="220"/>
        <v>-</v>
      </c>
      <c r="AB209" s="236" t="str">
        <f t="shared" si="220"/>
        <v>-</v>
      </c>
      <c r="AC209" s="236" t="str">
        <f t="shared" si="220"/>
        <v>-</v>
      </c>
      <c r="AD209" s="236" t="str">
        <f t="shared" si="220"/>
        <v>-</v>
      </c>
      <c r="AE209" s="236" t="str">
        <f t="shared" si="220"/>
        <v>-</v>
      </c>
      <c r="AF209" s="236" t="str">
        <f t="shared" si="220"/>
        <v>-</v>
      </c>
      <c r="AG209" s="237" t="str">
        <f t="shared" si="220"/>
        <v>-</v>
      </c>
    </row>
    <row r="210" spans="3:40" ht="15" hidden="1" customHeight="1" outlineLevel="1" thickBot="1">
      <c r="C210" s="232" t="s">
        <v>486</v>
      </c>
      <c r="D210" s="234" t="str">
        <f t="shared" ref="D210:AG210" si="221">IF($D$2=FALSE,"-",D76/(D131+D132+D141))</f>
        <v>-</v>
      </c>
      <c r="E210" s="238" t="str">
        <f t="shared" si="221"/>
        <v>-</v>
      </c>
      <c r="F210" s="239" t="str">
        <f t="shared" si="221"/>
        <v>-</v>
      </c>
      <c r="G210" s="239" t="str">
        <f t="shared" si="221"/>
        <v>-</v>
      </c>
      <c r="H210" s="239" t="str">
        <f t="shared" si="221"/>
        <v>-</v>
      </c>
      <c r="I210" s="239" t="str">
        <f t="shared" si="221"/>
        <v>-</v>
      </c>
      <c r="J210" s="239" t="str">
        <f t="shared" si="221"/>
        <v>-</v>
      </c>
      <c r="K210" s="239" t="str">
        <f t="shared" si="221"/>
        <v>-</v>
      </c>
      <c r="L210" s="239" t="str">
        <f t="shared" si="221"/>
        <v>-</v>
      </c>
      <c r="M210" s="238" t="str">
        <f t="shared" si="221"/>
        <v>-</v>
      </c>
      <c r="N210" s="234" t="str">
        <f t="shared" si="221"/>
        <v>-</v>
      </c>
      <c r="O210" s="239" t="str">
        <f t="shared" si="221"/>
        <v>-</v>
      </c>
      <c r="P210" s="239" t="str">
        <f t="shared" si="221"/>
        <v>-</v>
      </c>
      <c r="Q210" s="239" t="str">
        <f t="shared" si="221"/>
        <v>-</v>
      </c>
      <c r="R210" s="239" t="str">
        <f t="shared" si="221"/>
        <v>-</v>
      </c>
      <c r="S210" s="239" t="str">
        <f t="shared" si="221"/>
        <v>-</v>
      </c>
      <c r="T210" s="239" t="str">
        <f t="shared" si="221"/>
        <v>-</v>
      </c>
      <c r="U210" s="239" t="str">
        <f t="shared" si="221"/>
        <v>-</v>
      </c>
      <c r="V210" s="239" t="str">
        <f t="shared" si="221"/>
        <v>-</v>
      </c>
      <c r="W210" s="239" t="str">
        <f t="shared" si="221"/>
        <v>-</v>
      </c>
      <c r="X210" s="239" t="str">
        <f t="shared" si="221"/>
        <v>-</v>
      </c>
      <c r="Y210" s="239" t="str">
        <f t="shared" si="221"/>
        <v>-</v>
      </c>
      <c r="Z210" s="239" t="str">
        <f t="shared" si="221"/>
        <v>-</v>
      </c>
      <c r="AA210" s="239" t="str">
        <f t="shared" si="221"/>
        <v>-</v>
      </c>
      <c r="AB210" s="239" t="str">
        <f t="shared" si="221"/>
        <v>-</v>
      </c>
      <c r="AC210" s="239" t="str">
        <f t="shared" si="221"/>
        <v>-</v>
      </c>
      <c r="AD210" s="239" t="str">
        <f t="shared" si="221"/>
        <v>-</v>
      </c>
      <c r="AE210" s="239" t="str">
        <f t="shared" si="221"/>
        <v>-</v>
      </c>
      <c r="AF210" s="239" t="str">
        <f t="shared" si="221"/>
        <v>-</v>
      </c>
      <c r="AG210" s="240" t="str">
        <f t="shared" si="221"/>
        <v>-</v>
      </c>
    </row>
    <row r="211" spans="3:40" ht="15" customHeight="1" collapsed="1" thickBot="1">
      <c r="C211" s="241"/>
      <c r="D211" s="242"/>
      <c r="E211" s="242"/>
      <c r="F211" s="242"/>
      <c r="G211" s="242"/>
      <c r="H211" s="242"/>
      <c r="I211" s="242"/>
      <c r="J211" s="242"/>
      <c r="K211" s="242"/>
      <c r="L211" s="242"/>
      <c r="M211" s="243"/>
      <c r="N211" s="242"/>
      <c r="O211" s="242"/>
      <c r="P211" s="242"/>
      <c r="Q211" s="242"/>
      <c r="R211" s="242"/>
      <c r="S211" s="242"/>
      <c r="T211" s="242"/>
      <c r="U211" s="242"/>
      <c r="V211" s="242"/>
      <c r="W211" s="242"/>
      <c r="X211" s="242"/>
      <c r="Y211" s="242"/>
      <c r="Z211" s="242"/>
      <c r="AA211" s="242"/>
      <c r="AB211" s="242"/>
      <c r="AC211" s="242"/>
      <c r="AD211" s="242"/>
      <c r="AE211" s="243"/>
      <c r="AF211" s="243"/>
      <c r="AG211" s="243"/>
    </row>
    <row r="212" spans="3:40" ht="15" hidden="1" customHeight="1" outlineLevel="1">
      <c r="C212" s="591" t="s">
        <v>483</v>
      </c>
      <c r="D212" s="267" t="str">
        <f ca="1">OFFSET($C$9,D213,0)</f>
        <v>Market Capital. (millions)</v>
      </c>
      <c r="E212" s="248"/>
      <c r="F212" s="248"/>
      <c r="G212" s="248"/>
      <c r="H212" s="248"/>
      <c r="I212" s="248"/>
      <c r="J212" s="248"/>
      <c r="K212" s="248"/>
      <c r="L212" s="248"/>
      <c r="M212" s="248"/>
      <c r="N212" s="249"/>
      <c r="O212" s="224"/>
      <c r="P212" s="247" t="str">
        <f ca="1">OFFSET($C$9,P213,0)</f>
        <v>Enterprise Value</v>
      </c>
      <c r="Q212" s="248"/>
      <c r="R212" s="248"/>
      <c r="S212" s="248"/>
      <c r="T212" s="248"/>
      <c r="U212" s="248"/>
      <c r="V212" s="248"/>
      <c r="W212" s="248"/>
      <c r="X212" s="248"/>
      <c r="Y212" s="248"/>
      <c r="Z212" s="249"/>
      <c r="AA212" s="224"/>
      <c r="AB212" s="242"/>
      <c r="AC212" s="242"/>
      <c r="AD212" s="242"/>
      <c r="AE212" s="242"/>
      <c r="AF212" s="242"/>
      <c r="AG212" s="242"/>
      <c r="AH212" s="242"/>
      <c r="AI212" s="242"/>
      <c r="AJ212" s="242"/>
      <c r="AK212" s="242"/>
      <c r="AL212" s="242"/>
      <c r="AM212" s="242"/>
      <c r="AN212" s="242"/>
    </row>
    <row r="213" spans="3:40" ht="15" hidden="1" customHeight="1" outlineLevel="1">
      <c r="C213" s="592"/>
      <c r="D213" s="225">
        <v>5</v>
      </c>
      <c r="E213" s="225">
        <v>1</v>
      </c>
      <c r="F213" s="225">
        <f>E213+1</f>
        <v>2</v>
      </c>
      <c r="G213" s="225">
        <f t="shared" ref="G213:N213" si="222">F213+1</f>
        <v>3</v>
      </c>
      <c r="H213" s="225">
        <f t="shared" si="222"/>
        <v>4</v>
      </c>
      <c r="I213" s="225">
        <f t="shared" si="222"/>
        <v>5</v>
      </c>
      <c r="J213" s="225">
        <f t="shared" si="222"/>
        <v>6</v>
      </c>
      <c r="K213" s="225">
        <f t="shared" si="222"/>
        <v>7</v>
      </c>
      <c r="L213" s="225">
        <f t="shared" si="222"/>
        <v>8</v>
      </c>
      <c r="M213" s="225">
        <f t="shared" si="222"/>
        <v>9</v>
      </c>
      <c r="N213" s="251">
        <f t="shared" si="222"/>
        <v>10</v>
      </c>
      <c r="O213" s="224"/>
      <c r="P213" s="250">
        <v>91</v>
      </c>
      <c r="Q213" s="225">
        <v>1</v>
      </c>
      <c r="R213" s="225">
        <f>Q213+1</f>
        <v>2</v>
      </c>
      <c r="S213" s="225">
        <f t="shared" ref="S213:Z213" si="223">R213+1</f>
        <v>3</v>
      </c>
      <c r="T213" s="225">
        <f t="shared" si="223"/>
        <v>4</v>
      </c>
      <c r="U213" s="225">
        <f t="shared" si="223"/>
        <v>5</v>
      </c>
      <c r="V213" s="225">
        <f t="shared" si="223"/>
        <v>6</v>
      </c>
      <c r="W213" s="225">
        <f t="shared" si="223"/>
        <v>7</v>
      </c>
      <c r="X213" s="225">
        <f t="shared" si="223"/>
        <v>8</v>
      </c>
      <c r="Y213" s="225">
        <f t="shared" si="223"/>
        <v>9</v>
      </c>
      <c r="Z213" s="251">
        <f t="shared" si="223"/>
        <v>10</v>
      </c>
      <c r="AA213" s="224"/>
      <c r="AB213" s="242"/>
      <c r="AC213" s="242"/>
      <c r="AD213" s="242"/>
      <c r="AE213" s="242"/>
      <c r="AF213" s="242"/>
      <c r="AG213" s="242"/>
      <c r="AH213" s="242"/>
      <c r="AI213" s="242"/>
      <c r="AJ213" s="242"/>
      <c r="AK213" s="242"/>
      <c r="AL213" s="242"/>
      <c r="AM213" s="242"/>
      <c r="AN213" s="242"/>
    </row>
    <row r="214" spans="3:40" ht="15" hidden="1" customHeight="1" outlineLevel="1">
      <c r="C214" s="592"/>
      <c r="D214" s="225"/>
      <c r="E214" s="225"/>
      <c r="F214" s="225"/>
      <c r="G214" s="225"/>
      <c r="H214" s="225"/>
      <c r="I214" s="225"/>
      <c r="J214" s="225"/>
      <c r="K214" s="225"/>
      <c r="L214" s="225"/>
      <c r="M214" s="225"/>
      <c r="N214" s="251"/>
      <c r="O214" s="224"/>
      <c r="P214" s="250"/>
      <c r="Q214" s="225"/>
      <c r="R214" s="225"/>
      <c r="S214" s="225"/>
      <c r="T214" s="225"/>
      <c r="U214" s="225"/>
      <c r="V214" s="225"/>
      <c r="W214" s="225"/>
      <c r="X214" s="225"/>
      <c r="Y214" s="225"/>
      <c r="Z214" s="251"/>
      <c r="AA214" s="224"/>
      <c r="AB214" s="242"/>
      <c r="AC214" s="242"/>
      <c r="AD214" s="242"/>
      <c r="AE214" s="242"/>
      <c r="AF214" s="242"/>
      <c r="AG214" s="242"/>
      <c r="AH214" s="242"/>
      <c r="AI214" s="242"/>
      <c r="AJ214" s="242"/>
      <c r="AK214" s="242"/>
      <c r="AL214" s="242"/>
      <c r="AM214" s="242"/>
      <c r="AN214" s="242"/>
    </row>
    <row r="215" spans="3:40" ht="15" hidden="1" customHeight="1" outlineLevel="1">
      <c r="C215" s="592"/>
      <c r="D215" s="225"/>
      <c r="E215" s="225"/>
      <c r="F215" s="225"/>
      <c r="G215" s="225"/>
      <c r="H215" s="225"/>
      <c r="I215" s="225"/>
      <c r="J215" s="225"/>
      <c r="K215" s="225"/>
      <c r="L215" s="225"/>
      <c r="M215" s="225"/>
      <c r="N215" s="251"/>
      <c r="O215" s="224"/>
      <c r="P215" s="250"/>
      <c r="Q215" s="225"/>
      <c r="R215" s="225"/>
      <c r="S215" s="225"/>
      <c r="T215" s="225"/>
      <c r="U215" s="225"/>
      <c r="V215" s="225"/>
      <c r="W215" s="225"/>
      <c r="X215" s="225"/>
      <c r="Y215" s="225"/>
      <c r="Z215" s="251"/>
      <c r="AA215" s="224"/>
      <c r="AB215" s="242"/>
      <c r="AC215" s="242"/>
      <c r="AD215" s="242"/>
      <c r="AE215" s="242"/>
      <c r="AF215" s="242"/>
      <c r="AG215" s="242"/>
      <c r="AH215" s="242"/>
      <c r="AI215" s="242"/>
      <c r="AJ215" s="242"/>
      <c r="AK215" s="242"/>
      <c r="AL215" s="242"/>
      <c r="AM215" s="242"/>
      <c r="AN215" s="242"/>
    </row>
    <row r="216" spans="3:40" ht="15" hidden="1" customHeight="1" outlineLevel="1">
      <c r="C216" s="592"/>
      <c r="D216" s="225"/>
      <c r="E216" s="225"/>
      <c r="F216" s="225"/>
      <c r="G216" s="225"/>
      <c r="H216" s="225"/>
      <c r="I216" s="225"/>
      <c r="J216" s="225"/>
      <c r="K216" s="225"/>
      <c r="L216" s="225"/>
      <c r="M216" s="225"/>
      <c r="N216" s="251"/>
      <c r="O216" s="224"/>
      <c r="P216" s="250"/>
      <c r="Q216" s="225"/>
      <c r="R216" s="225"/>
      <c r="S216" s="225"/>
      <c r="T216" s="225"/>
      <c r="U216" s="225"/>
      <c r="V216" s="225"/>
      <c r="W216" s="225"/>
      <c r="X216" s="225"/>
      <c r="Y216" s="225"/>
      <c r="Z216" s="251"/>
      <c r="AA216" s="224"/>
      <c r="AB216" s="242"/>
      <c r="AC216" s="242"/>
      <c r="AD216" s="242"/>
      <c r="AE216" s="242"/>
      <c r="AF216" s="242"/>
      <c r="AG216" s="242"/>
      <c r="AH216" s="242"/>
      <c r="AI216" s="242"/>
      <c r="AJ216" s="242"/>
      <c r="AK216" s="242"/>
      <c r="AL216" s="242"/>
      <c r="AM216" s="242"/>
      <c r="AN216" s="242"/>
    </row>
    <row r="217" spans="3:40" ht="15" hidden="1" customHeight="1" outlineLevel="1">
      <c r="C217" s="592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51"/>
      <c r="O217" s="224"/>
      <c r="P217" s="250"/>
      <c r="Q217" s="225"/>
      <c r="R217" s="225"/>
      <c r="S217" s="225"/>
      <c r="T217" s="225"/>
      <c r="U217" s="225"/>
      <c r="V217" s="225"/>
      <c r="W217" s="225"/>
      <c r="X217" s="225"/>
      <c r="Y217" s="225"/>
      <c r="Z217" s="251"/>
      <c r="AA217" s="224"/>
      <c r="AB217" s="242"/>
      <c r="AC217" s="242"/>
      <c r="AD217" s="242"/>
      <c r="AE217" s="242"/>
      <c r="AF217" s="242"/>
      <c r="AG217" s="242"/>
      <c r="AH217" s="242"/>
      <c r="AI217" s="242"/>
      <c r="AJ217" s="242"/>
      <c r="AK217" s="242"/>
      <c r="AL217" s="242"/>
      <c r="AM217" s="242"/>
      <c r="AN217" s="242"/>
    </row>
    <row r="218" spans="3:40" ht="15" hidden="1" customHeight="1" outlineLevel="1">
      <c r="C218" s="592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51"/>
      <c r="O218" s="224"/>
      <c r="P218" s="250"/>
      <c r="Q218" s="225"/>
      <c r="R218" s="225"/>
      <c r="S218" s="225"/>
      <c r="T218" s="225"/>
      <c r="U218" s="225"/>
      <c r="V218" s="225"/>
      <c r="W218" s="225"/>
      <c r="X218" s="225"/>
      <c r="Y218" s="225"/>
      <c r="Z218" s="251"/>
      <c r="AA218" s="224"/>
      <c r="AB218" s="242"/>
      <c r="AC218" s="242"/>
      <c r="AD218" s="242"/>
      <c r="AE218" s="242"/>
      <c r="AF218" s="242"/>
      <c r="AG218" s="242"/>
      <c r="AH218" s="242"/>
      <c r="AI218" s="242"/>
      <c r="AJ218" s="242"/>
      <c r="AK218" s="242"/>
      <c r="AL218" s="242"/>
      <c r="AM218" s="242"/>
      <c r="AN218" s="242"/>
    </row>
    <row r="219" spans="3:40" ht="15" hidden="1" customHeight="1" outlineLevel="1">
      <c r="C219" s="592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51"/>
      <c r="O219" s="224"/>
      <c r="P219" s="250"/>
      <c r="Q219" s="225"/>
      <c r="R219" s="225"/>
      <c r="S219" s="225"/>
      <c r="T219" s="225"/>
      <c r="U219" s="225"/>
      <c r="V219" s="225"/>
      <c r="W219" s="225"/>
      <c r="X219" s="225"/>
      <c r="Y219" s="225"/>
      <c r="Z219" s="251"/>
      <c r="AA219" s="224"/>
      <c r="AB219" s="242"/>
      <c r="AC219" s="242"/>
      <c r="AD219" s="242"/>
      <c r="AE219" s="242"/>
      <c r="AF219" s="242"/>
      <c r="AG219" s="242"/>
      <c r="AH219" s="242"/>
      <c r="AI219" s="242"/>
      <c r="AJ219" s="242"/>
      <c r="AK219" s="242"/>
      <c r="AL219" s="242"/>
      <c r="AM219" s="242"/>
      <c r="AN219" s="242"/>
    </row>
    <row r="220" spans="3:40" ht="15" hidden="1" customHeight="1" outlineLevel="1">
      <c r="C220" s="592"/>
      <c r="D220" s="225"/>
      <c r="E220" s="225"/>
      <c r="F220" s="225"/>
      <c r="G220" s="225"/>
      <c r="H220" s="225"/>
      <c r="I220" s="225"/>
      <c r="J220" s="225"/>
      <c r="K220" s="225"/>
      <c r="L220" s="225"/>
      <c r="M220" s="225"/>
      <c r="N220" s="251"/>
      <c r="O220" s="224"/>
      <c r="P220" s="250"/>
      <c r="Q220" s="225"/>
      <c r="R220" s="225"/>
      <c r="S220" s="225"/>
      <c r="T220" s="225"/>
      <c r="U220" s="225"/>
      <c r="V220" s="225"/>
      <c r="W220" s="225"/>
      <c r="X220" s="225"/>
      <c r="Y220" s="225"/>
      <c r="Z220" s="251"/>
      <c r="AA220" s="224"/>
      <c r="AB220" s="242"/>
      <c r="AC220" s="242"/>
      <c r="AD220" s="242"/>
      <c r="AE220" s="242"/>
      <c r="AF220" s="242"/>
      <c r="AG220" s="242"/>
      <c r="AH220" s="242"/>
      <c r="AI220" s="242"/>
      <c r="AJ220" s="242"/>
      <c r="AK220" s="242"/>
      <c r="AL220" s="242"/>
      <c r="AM220" s="242"/>
      <c r="AN220" s="242"/>
    </row>
    <row r="221" spans="3:40" ht="15" hidden="1" customHeight="1" outlineLevel="1" thickBot="1">
      <c r="C221" s="592"/>
      <c r="D221" s="225"/>
      <c r="E221" s="225"/>
      <c r="F221" s="225"/>
      <c r="G221" s="225"/>
      <c r="H221" s="225"/>
      <c r="I221" s="225"/>
      <c r="J221" s="225"/>
      <c r="K221" s="225"/>
      <c r="L221" s="225"/>
      <c r="M221" s="225"/>
      <c r="N221" s="251"/>
      <c r="O221" s="224"/>
      <c r="P221" s="250"/>
      <c r="Q221" s="225"/>
      <c r="R221" s="225"/>
      <c r="S221" s="225"/>
      <c r="T221" s="225"/>
      <c r="U221" s="225"/>
      <c r="V221" s="225"/>
      <c r="W221" s="225"/>
      <c r="X221" s="225"/>
      <c r="Y221" s="225"/>
      <c r="Z221" s="251"/>
      <c r="AA221" s="224"/>
      <c r="AB221" s="242"/>
      <c r="AC221" s="242"/>
      <c r="AD221" s="242"/>
      <c r="AE221" s="242"/>
      <c r="AF221" s="242"/>
      <c r="AG221" s="242"/>
      <c r="AH221" s="242"/>
      <c r="AI221" s="242"/>
      <c r="AJ221" s="242"/>
      <c r="AK221" s="242"/>
      <c r="AL221" s="242"/>
      <c r="AM221" s="242"/>
      <c r="AN221" s="242"/>
    </row>
    <row r="222" spans="3:40" ht="15" hidden="1" customHeight="1" outlineLevel="1">
      <c r="C222" s="592"/>
      <c r="D222" s="268" t="str">
        <f>IF($D$2=FALSE,"-",$N$208)</f>
        <v>-</v>
      </c>
      <c r="E222" s="257" t="str">
        <f>IF($D$2=FALSE,"-",$D$208)</f>
        <v>-</v>
      </c>
      <c r="F222" s="245" t="str">
        <f>IF($D$2=FALSE,"-",$E$208)</f>
        <v>-</v>
      </c>
      <c r="G222" s="245" t="str">
        <f>IF($D$2=FALSE,"-",$F$208)</f>
        <v>-</v>
      </c>
      <c r="H222" s="245" t="str">
        <f>IF($D$2=FALSE,"-",$G$208)</f>
        <v>-</v>
      </c>
      <c r="I222" s="245" t="str">
        <f>IF($D$2=FALSE,"-",$H$208)</f>
        <v>-</v>
      </c>
      <c r="J222" s="245" t="str">
        <f>IF($D$2=FALSE,"-",$I$208)</f>
        <v>-</v>
      </c>
      <c r="K222" s="245" t="str">
        <f>IF($D$2=FALSE,"-",$J$208)</f>
        <v>-</v>
      </c>
      <c r="L222" s="245" t="str">
        <f>IF($D$2=FALSE,"-",$K$208)</f>
        <v>-</v>
      </c>
      <c r="M222" s="245" t="str">
        <f>IF($D$2=FALSE,"-",$L$208)</f>
        <v>-</v>
      </c>
      <c r="N222" s="252" t="str">
        <f>IF($D$2=FALSE,"-",$M$208)</f>
        <v>-</v>
      </c>
      <c r="O222" s="224"/>
      <c r="P222" s="260" t="str">
        <f>IF($D$2=FALSE,"-",$N$208)</f>
        <v>-</v>
      </c>
      <c r="Q222" s="257" t="str">
        <f>IF($D$2=FALSE,"-",$D$208)</f>
        <v>-</v>
      </c>
      <c r="R222" s="245" t="str">
        <f>IF($D$2=FALSE,"-",$E$208)</f>
        <v>-</v>
      </c>
      <c r="S222" s="245" t="str">
        <f>IF($D$2=FALSE,"-",$F$208)</f>
        <v>-</v>
      </c>
      <c r="T222" s="245" t="str">
        <f>IF($D$2=FALSE,"-",$G$208)</f>
        <v>-</v>
      </c>
      <c r="U222" s="245" t="str">
        <f>IF($D$2=FALSE,"-",$H$208)</f>
        <v>-</v>
      </c>
      <c r="V222" s="245" t="str">
        <f>IF($D$2=FALSE,"-",$I$208)</f>
        <v>-</v>
      </c>
      <c r="W222" s="245" t="str">
        <f>IF($D$2=FALSE,"-",$J$208)</f>
        <v>-</v>
      </c>
      <c r="X222" s="245" t="str">
        <f>IF($D$2=FALSE,"-",$K$208)</f>
        <v>-</v>
      </c>
      <c r="Y222" s="245" t="str">
        <f>IF($D$2=FALSE,"-",$L$208)</f>
        <v>-</v>
      </c>
      <c r="Z222" s="252" t="str">
        <f>IF($D$2=FALSE,"-",$M$208)</f>
        <v>-</v>
      </c>
      <c r="AA222" s="224"/>
      <c r="AB222" s="242"/>
      <c r="AC222" s="242"/>
      <c r="AD222" s="242"/>
      <c r="AE222" s="242"/>
      <c r="AF222" s="242"/>
      <c r="AG222" s="242"/>
      <c r="AH222" s="242"/>
      <c r="AI222" s="242"/>
      <c r="AJ222" s="242"/>
      <c r="AK222" s="242"/>
      <c r="AL222" s="242"/>
      <c r="AM222" s="242"/>
      <c r="AN222" s="242"/>
    </row>
    <row r="223" spans="3:40" ht="15" hidden="1" customHeight="1" outlineLevel="1">
      <c r="C223" s="592"/>
      <c r="D223" s="269" t="str">
        <f ca="1">IF($D$2=FALSE,"-",OFFSET($C$9,D213,N$213+1))</f>
        <v>-</v>
      </c>
      <c r="E223" s="258" t="str">
        <f ca="1">IF($D$2=FALSE,"-",OFFSET($C$9,D213,E213))</f>
        <v>-</v>
      </c>
      <c r="F223" s="244" t="str">
        <f ca="1">IF($D$2=FALSE,"-",OFFSET($C$9,D213,F213))</f>
        <v>-</v>
      </c>
      <c r="G223" s="244" t="str">
        <f ca="1">IF($D$2=FALSE,"-",OFFSET($C$9,D213,G213))</f>
        <v>-</v>
      </c>
      <c r="H223" s="244" t="str">
        <f ca="1">IF($D$2=FALSE,"-",OFFSET($C$9,D213,H213))</f>
        <v>-</v>
      </c>
      <c r="I223" s="244" t="str">
        <f ca="1">IF($D$2=FALSE,"-",OFFSET($C$9,D213,I213))</f>
        <v>-</v>
      </c>
      <c r="J223" s="244" t="str">
        <f ca="1">IF($D$2=FALSE,"-",OFFSET($C$9,D213,J213))</f>
        <v>-</v>
      </c>
      <c r="K223" s="244" t="str">
        <f ca="1">IF($D$2=FALSE,"-",OFFSET($C$9,D213,K213))</f>
        <v>-</v>
      </c>
      <c r="L223" s="244" t="str">
        <f ca="1">IF($D$2=FALSE,"-",OFFSET($C$9,D213,L213))</f>
        <v>-</v>
      </c>
      <c r="M223" s="244" t="str">
        <f ca="1">IF($D$2=FALSE,"-",OFFSET($C$9,D213,M213))</f>
        <v>-</v>
      </c>
      <c r="N223" s="253" t="str">
        <f ca="1">IF($D$2=FALSE,"-",OFFSET($C$9,D213,N213))</f>
        <v>-</v>
      </c>
      <c r="O223" s="224"/>
      <c r="P223" s="303" t="str">
        <f ca="1">IF($D$2=FALSE,"-",OFFSET($C$9,P213,Z$213+1))</f>
        <v>-</v>
      </c>
      <c r="Q223" s="258" t="str">
        <f ca="1">IF($D$2=FALSE,"-",OFFSET($C$9,P213,Q213))</f>
        <v>-</v>
      </c>
      <c r="R223" s="244" t="str">
        <f ca="1">IF($D$2=FALSE,"-",OFFSET($C$9,P213,R213))</f>
        <v>-</v>
      </c>
      <c r="S223" s="244" t="str">
        <f ca="1">IF($D$2=FALSE,"-",OFFSET($C$9,P213,S213))</f>
        <v>-</v>
      </c>
      <c r="T223" s="244" t="str">
        <f ca="1">IF($D$2=FALSE,"-",OFFSET($C$9,P213,T213))</f>
        <v>-</v>
      </c>
      <c r="U223" s="244" t="str">
        <f ca="1">IF($D$2=FALSE,"-",OFFSET($C$9,P213,U213))</f>
        <v>-</v>
      </c>
      <c r="V223" s="244" t="str">
        <f ca="1">IF($D$2=FALSE,"-",OFFSET($C$9,P213,V213))</f>
        <v>-</v>
      </c>
      <c r="W223" s="244" t="str">
        <f ca="1">IF($D$2=FALSE,"-",OFFSET($C$9,P213,W213))</f>
        <v>-</v>
      </c>
      <c r="X223" s="244" t="str">
        <f ca="1">IF($D$2=FALSE,"-",OFFSET($C$9,P213,X213))</f>
        <v>-</v>
      </c>
      <c r="Y223" s="244" t="str">
        <f ca="1">IF($D$2=FALSE,"-",OFFSET($C$9,P213,Y213))</f>
        <v>-</v>
      </c>
      <c r="Z223" s="253" t="str">
        <f ca="1">IF($D$2=FALSE,"-",OFFSET($C$9,P213,Z213))</f>
        <v>-</v>
      </c>
      <c r="AA223" s="224"/>
      <c r="AB223" s="242"/>
      <c r="AC223" s="242"/>
      <c r="AD223" s="242"/>
      <c r="AE223" s="242"/>
      <c r="AF223" s="242"/>
      <c r="AG223" s="242"/>
      <c r="AH223" s="242"/>
      <c r="AI223" s="242"/>
      <c r="AJ223" s="242"/>
      <c r="AK223" s="242"/>
      <c r="AL223" s="242"/>
      <c r="AM223" s="242"/>
      <c r="AN223" s="242"/>
    </row>
    <row r="224" spans="3:40" ht="15" hidden="1" customHeight="1" outlineLevel="1" thickBot="1">
      <c r="C224" s="592"/>
      <c r="D224" s="270" t="str">
        <f>IF($D$2=FALSE,"-",MATCH(D212,$AB$214:$AB$231,0))</f>
        <v>-</v>
      </c>
      <c r="E224" s="259" t="str">
        <f t="shared" ref="E224:M224" si="224">IF($D$2=FALSE,"-",(E223-F223)/ABS(F223))</f>
        <v>-</v>
      </c>
      <c r="F224" s="254" t="str">
        <f t="shared" si="224"/>
        <v>-</v>
      </c>
      <c r="G224" s="254" t="str">
        <f t="shared" si="224"/>
        <v>-</v>
      </c>
      <c r="H224" s="254" t="str">
        <f t="shared" si="224"/>
        <v>-</v>
      </c>
      <c r="I224" s="254" t="str">
        <f t="shared" si="224"/>
        <v>-</v>
      </c>
      <c r="J224" s="254" t="str">
        <f t="shared" si="224"/>
        <v>-</v>
      </c>
      <c r="K224" s="254" t="str">
        <f t="shared" si="224"/>
        <v>-</v>
      </c>
      <c r="L224" s="254" t="str">
        <f t="shared" si="224"/>
        <v>-</v>
      </c>
      <c r="M224" s="254" t="str">
        <f t="shared" si="224"/>
        <v>-</v>
      </c>
      <c r="N224" s="255" t="s">
        <v>478</v>
      </c>
      <c r="O224" s="224"/>
      <c r="P224" s="261" t="str">
        <f>IF($D$2=FALSE,"-",MATCH(P212,$AB$214:$AB$231,0))</f>
        <v>-</v>
      </c>
      <c r="Q224" s="259" t="str">
        <f t="shared" ref="Q224:Y224" si="225">IF($D$2=FALSE,"-",(Q223-R223)/ABS(R223))</f>
        <v>-</v>
      </c>
      <c r="R224" s="254" t="str">
        <f t="shared" si="225"/>
        <v>-</v>
      </c>
      <c r="S224" s="254" t="str">
        <f t="shared" si="225"/>
        <v>-</v>
      </c>
      <c r="T224" s="254" t="str">
        <f t="shared" si="225"/>
        <v>-</v>
      </c>
      <c r="U224" s="254" t="str">
        <f t="shared" si="225"/>
        <v>-</v>
      </c>
      <c r="V224" s="254" t="str">
        <f t="shared" si="225"/>
        <v>-</v>
      </c>
      <c r="W224" s="254" t="str">
        <f t="shared" si="225"/>
        <v>-</v>
      </c>
      <c r="X224" s="254" t="str">
        <f t="shared" si="225"/>
        <v>-</v>
      </c>
      <c r="Y224" s="254" t="str">
        <f t="shared" si="225"/>
        <v>-</v>
      </c>
      <c r="Z224" s="255" t="s">
        <v>478</v>
      </c>
      <c r="AA224" s="224"/>
      <c r="AB224" s="242"/>
      <c r="AC224" s="242"/>
      <c r="AD224" s="242"/>
      <c r="AE224" s="242"/>
      <c r="AF224" s="242"/>
      <c r="AG224" s="242"/>
      <c r="AH224" s="242"/>
      <c r="AI224" s="242"/>
      <c r="AJ224" s="242"/>
      <c r="AK224" s="242"/>
      <c r="AL224" s="242"/>
      <c r="AM224" s="242"/>
      <c r="AN224" s="242"/>
    </row>
    <row r="225" spans="3:40" ht="15" hidden="1" customHeight="1" outlineLevel="1" thickBot="1">
      <c r="C225" s="592"/>
      <c r="D225" s="226"/>
      <c r="E225" s="226"/>
      <c r="F225" s="226"/>
      <c r="G225" s="226"/>
      <c r="H225" s="226"/>
      <c r="I225" s="226"/>
      <c r="J225" s="226"/>
      <c r="K225" s="226"/>
      <c r="L225" s="226"/>
      <c r="M225" s="226"/>
      <c r="N225" s="226"/>
      <c r="O225" s="226"/>
      <c r="P225" s="226"/>
      <c r="Q225" s="226"/>
      <c r="R225" s="226"/>
      <c r="S225" s="226"/>
      <c r="T225" s="226"/>
      <c r="U225" s="226"/>
      <c r="V225" s="226"/>
      <c r="W225" s="226"/>
      <c r="X225" s="226"/>
      <c r="Y225" s="226"/>
      <c r="Z225" s="226"/>
      <c r="AA225" s="224"/>
      <c r="AB225" s="242"/>
      <c r="AC225" s="242"/>
      <c r="AD225" s="242"/>
      <c r="AE225" s="242"/>
      <c r="AF225" s="242"/>
      <c r="AG225" s="242"/>
      <c r="AH225" s="242"/>
      <c r="AI225" s="242"/>
      <c r="AJ225" s="242"/>
      <c r="AK225" s="242"/>
      <c r="AL225" s="242"/>
      <c r="AM225" s="242"/>
      <c r="AN225" s="242"/>
    </row>
    <row r="226" spans="3:40" ht="15" hidden="1" customHeight="1" outlineLevel="1">
      <c r="C226" s="592"/>
      <c r="D226" s="267" t="str">
        <f ca="1">OFFSET($C$9,D227,0)</f>
        <v>= ROE % (3/5)</v>
      </c>
      <c r="E226" s="248"/>
      <c r="F226" s="248"/>
      <c r="G226" s="248"/>
      <c r="H226" s="248"/>
      <c r="I226" s="248"/>
      <c r="J226" s="248"/>
      <c r="K226" s="248"/>
      <c r="L226" s="248"/>
      <c r="M226" s="248"/>
      <c r="N226" s="249"/>
      <c r="O226" s="224"/>
      <c r="P226" s="247" t="str">
        <f ca="1">OFFSET($C$9,P227,0)</f>
        <v>EPS (Diluted)</v>
      </c>
      <c r="Q226" s="248"/>
      <c r="R226" s="248"/>
      <c r="S226" s="248"/>
      <c r="T226" s="248"/>
      <c r="U226" s="248"/>
      <c r="V226" s="248"/>
      <c r="W226" s="248"/>
      <c r="X226" s="248"/>
      <c r="Y226" s="248"/>
      <c r="Z226" s="249"/>
      <c r="AA226" s="224"/>
      <c r="AB226" s="242"/>
      <c r="AC226" s="242"/>
      <c r="AD226" s="242"/>
      <c r="AE226" s="242"/>
      <c r="AF226" s="242"/>
      <c r="AG226" s="242"/>
      <c r="AH226" s="242"/>
      <c r="AI226" s="242"/>
      <c r="AJ226" s="242"/>
      <c r="AK226" s="242"/>
      <c r="AL226" s="242"/>
      <c r="AM226" s="242"/>
      <c r="AN226" s="242"/>
    </row>
    <row r="227" spans="3:40" ht="15" hidden="1" customHeight="1" outlineLevel="1">
      <c r="C227" s="592"/>
      <c r="D227" s="225">
        <v>46</v>
      </c>
      <c r="E227" s="225">
        <v>1</v>
      </c>
      <c r="F227" s="225">
        <f>E227+1</f>
        <v>2</v>
      </c>
      <c r="G227" s="225">
        <f t="shared" ref="G227:N227" si="226">F227+1</f>
        <v>3</v>
      </c>
      <c r="H227" s="225">
        <f t="shared" si="226"/>
        <v>4</v>
      </c>
      <c r="I227" s="225">
        <f t="shared" si="226"/>
        <v>5</v>
      </c>
      <c r="J227" s="225">
        <f t="shared" si="226"/>
        <v>6</v>
      </c>
      <c r="K227" s="225">
        <f t="shared" si="226"/>
        <v>7</v>
      </c>
      <c r="L227" s="225">
        <f t="shared" si="226"/>
        <v>8</v>
      </c>
      <c r="M227" s="225">
        <f t="shared" si="226"/>
        <v>9</v>
      </c>
      <c r="N227" s="251">
        <f t="shared" si="226"/>
        <v>10</v>
      </c>
      <c r="O227" s="224"/>
      <c r="P227" s="250">
        <v>171</v>
      </c>
      <c r="Q227" s="225">
        <v>1</v>
      </c>
      <c r="R227" s="225">
        <f>Q227+1</f>
        <v>2</v>
      </c>
      <c r="S227" s="225">
        <f t="shared" ref="S227:Z227" si="227">R227+1</f>
        <v>3</v>
      </c>
      <c r="T227" s="225">
        <f t="shared" si="227"/>
        <v>4</v>
      </c>
      <c r="U227" s="225">
        <f t="shared" si="227"/>
        <v>5</v>
      </c>
      <c r="V227" s="225">
        <f t="shared" si="227"/>
        <v>6</v>
      </c>
      <c r="W227" s="225">
        <f t="shared" si="227"/>
        <v>7</v>
      </c>
      <c r="X227" s="225">
        <f t="shared" si="227"/>
        <v>8</v>
      </c>
      <c r="Y227" s="225">
        <f t="shared" si="227"/>
        <v>9</v>
      </c>
      <c r="Z227" s="251">
        <f t="shared" si="227"/>
        <v>10</v>
      </c>
      <c r="AA227" s="224"/>
      <c r="AB227" s="242"/>
      <c r="AC227" s="242"/>
      <c r="AD227" s="242"/>
      <c r="AE227" s="242"/>
      <c r="AF227" s="242"/>
      <c r="AG227" s="242"/>
      <c r="AH227" s="242"/>
      <c r="AI227" s="242"/>
      <c r="AJ227" s="242"/>
      <c r="AK227" s="242"/>
      <c r="AL227" s="242"/>
      <c r="AM227" s="242"/>
      <c r="AN227" s="242"/>
    </row>
    <row r="228" spans="3:40" ht="15" hidden="1" customHeight="1" outlineLevel="1">
      <c r="C228" s="592"/>
      <c r="D228" s="225"/>
      <c r="E228" s="225"/>
      <c r="F228" s="225"/>
      <c r="G228" s="225"/>
      <c r="H228" s="225"/>
      <c r="I228" s="225"/>
      <c r="J228" s="225"/>
      <c r="K228" s="225"/>
      <c r="L228" s="225"/>
      <c r="M228" s="225"/>
      <c r="N228" s="251"/>
      <c r="O228" s="224"/>
      <c r="P228" s="250"/>
      <c r="Q228" s="225"/>
      <c r="R228" s="225"/>
      <c r="S228" s="225"/>
      <c r="T228" s="225"/>
      <c r="U228" s="225"/>
      <c r="V228" s="225"/>
      <c r="W228" s="225"/>
      <c r="X228" s="225"/>
      <c r="Y228" s="225"/>
      <c r="Z228" s="251"/>
      <c r="AA228" s="224"/>
      <c r="AB228" s="242"/>
      <c r="AC228" s="242"/>
      <c r="AD228" s="242"/>
      <c r="AE228" s="242"/>
      <c r="AF228" s="242"/>
      <c r="AG228" s="242"/>
      <c r="AH228" s="242"/>
      <c r="AI228" s="242"/>
      <c r="AJ228" s="242"/>
      <c r="AK228" s="242"/>
      <c r="AL228" s="242"/>
      <c r="AM228" s="242"/>
      <c r="AN228" s="242"/>
    </row>
    <row r="229" spans="3:40" ht="15" hidden="1" customHeight="1" outlineLevel="1">
      <c r="C229" s="592"/>
      <c r="D229" s="225"/>
      <c r="E229" s="225"/>
      <c r="F229" s="225"/>
      <c r="G229" s="225"/>
      <c r="H229" s="225"/>
      <c r="I229" s="225"/>
      <c r="J229" s="225"/>
      <c r="K229" s="225"/>
      <c r="L229" s="225"/>
      <c r="M229" s="225"/>
      <c r="N229" s="251"/>
      <c r="O229" s="224"/>
      <c r="P229" s="250"/>
      <c r="Q229" s="225"/>
      <c r="R229" s="225"/>
      <c r="S229" s="225"/>
      <c r="T229" s="225"/>
      <c r="U229" s="225"/>
      <c r="V229" s="225"/>
      <c r="W229" s="225"/>
      <c r="X229" s="225"/>
      <c r="Y229" s="225"/>
      <c r="Z229" s="251"/>
      <c r="AA229" s="224"/>
      <c r="AB229" s="242"/>
      <c r="AC229" s="242"/>
      <c r="AD229" s="242"/>
      <c r="AE229" s="242"/>
      <c r="AF229" s="242"/>
      <c r="AG229" s="242"/>
      <c r="AH229" s="242"/>
      <c r="AI229" s="242"/>
      <c r="AJ229" s="242"/>
      <c r="AK229" s="242"/>
      <c r="AL229" s="242"/>
      <c r="AM229" s="242"/>
      <c r="AN229" s="242"/>
    </row>
    <row r="230" spans="3:40" ht="15" hidden="1" customHeight="1" outlineLevel="1">
      <c r="C230" s="592"/>
      <c r="D230" s="225"/>
      <c r="E230" s="225"/>
      <c r="F230" s="225"/>
      <c r="G230" s="225"/>
      <c r="H230" s="225"/>
      <c r="I230" s="225"/>
      <c r="J230" s="225"/>
      <c r="K230" s="225"/>
      <c r="L230" s="225"/>
      <c r="M230" s="225"/>
      <c r="N230" s="251"/>
      <c r="O230" s="224"/>
      <c r="P230" s="250"/>
      <c r="Q230" s="225"/>
      <c r="R230" s="225"/>
      <c r="S230" s="225"/>
      <c r="T230" s="225"/>
      <c r="U230" s="225"/>
      <c r="V230" s="225"/>
      <c r="W230" s="225"/>
      <c r="X230" s="225"/>
      <c r="Y230" s="225"/>
      <c r="Z230" s="251"/>
      <c r="AA230" s="224"/>
      <c r="AB230" s="242"/>
      <c r="AC230" s="242"/>
      <c r="AD230" s="242"/>
      <c r="AE230" s="242"/>
      <c r="AF230" s="242"/>
      <c r="AG230" s="242"/>
      <c r="AH230" s="242"/>
      <c r="AI230" s="242"/>
      <c r="AJ230" s="242"/>
      <c r="AK230" s="242"/>
      <c r="AL230" s="242"/>
      <c r="AM230" s="242"/>
      <c r="AN230" s="242"/>
    </row>
    <row r="231" spans="3:40" ht="15" hidden="1" customHeight="1" outlineLevel="1">
      <c r="C231" s="592"/>
      <c r="D231" s="225"/>
      <c r="E231" s="225"/>
      <c r="F231" s="225"/>
      <c r="G231" s="225"/>
      <c r="H231" s="225"/>
      <c r="I231" s="225"/>
      <c r="J231" s="225"/>
      <c r="K231" s="225"/>
      <c r="L231" s="225"/>
      <c r="M231" s="225"/>
      <c r="N231" s="251"/>
      <c r="O231" s="224"/>
      <c r="P231" s="250"/>
      <c r="Q231" s="225"/>
      <c r="R231" s="225"/>
      <c r="S231" s="225"/>
      <c r="T231" s="225"/>
      <c r="U231" s="225"/>
      <c r="V231" s="225"/>
      <c r="W231" s="225"/>
      <c r="X231" s="225"/>
      <c r="Y231" s="225"/>
      <c r="Z231" s="251"/>
      <c r="AA231" s="224"/>
      <c r="AB231" s="242"/>
      <c r="AC231" s="242"/>
      <c r="AD231" s="242"/>
      <c r="AE231" s="242"/>
      <c r="AF231" s="242"/>
      <c r="AG231" s="242"/>
      <c r="AH231" s="242"/>
      <c r="AI231" s="242"/>
      <c r="AJ231" s="242"/>
      <c r="AK231" s="242"/>
      <c r="AL231" s="242"/>
      <c r="AM231" s="242"/>
      <c r="AN231" s="242"/>
    </row>
    <row r="232" spans="3:40" ht="15" hidden="1" customHeight="1" outlineLevel="1">
      <c r="C232" s="592"/>
      <c r="D232" s="225"/>
      <c r="E232" s="225"/>
      <c r="F232" s="225"/>
      <c r="G232" s="225"/>
      <c r="H232" s="225"/>
      <c r="I232" s="225"/>
      <c r="J232" s="225"/>
      <c r="K232" s="225"/>
      <c r="L232" s="225"/>
      <c r="M232" s="225"/>
      <c r="N232" s="251"/>
      <c r="O232" s="224"/>
      <c r="P232" s="250"/>
      <c r="Q232" s="225"/>
      <c r="R232" s="225"/>
      <c r="S232" s="225"/>
      <c r="T232" s="225"/>
      <c r="U232" s="225"/>
      <c r="V232" s="225"/>
      <c r="W232" s="225"/>
      <c r="X232" s="225"/>
      <c r="Y232" s="225"/>
      <c r="Z232" s="251"/>
      <c r="AA232" s="224"/>
      <c r="AB232" s="242"/>
      <c r="AC232" s="242"/>
      <c r="AD232" s="242"/>
      <c r="AE232" s="242"/>
      <c r="AF232" s="242"/>
      <c r="AG232" s="242"/>
      <c r="AH232" s="242"/>
      <c r="AI232" s="242"/>
      <c r="AJ232" s="242"/>
      <c r="AK232" s="242"/>
      <c r="AL232" s="242"/>
      <c r="AM232" s="242"/>
      <c r="AN232" s="242"/>
    </row>
    <row r="233" spans="3:40" ht="15" hidden="1" customHeight="1" outlineLevel="1">
      <c r="C233" s="592"/>
      <c r="D233" s="225"/>
      <c r="E233" s="225"/>
      <c r="F233" s="225"/>
      <c r="G233" s="225"/>
      <c r="H233" s="225"/>
      <c r="I233" s="225"/>
      <c r="J233" s="225"/>
      <c r="K233" s="225"/>
      <c r="L233" s="225"/>
      <c r="M233" s="225"/>
      <c r="N233" s="251"/>
      <c r="O233" s="224"/>
      <c r="P233" s="250"/>
      <c r="Q233" s="225"/>
      <c r="R233" s="225"/>
      <c r="S233" s="225"/>
      <c r="T233" s="225"/>
      <c r="U233" s="225"/>
      <c r="V233" s="225"/>
      <c r="W233" s="225"/>
      <c r="X233" s="225"/>
      <c r="Y233" s="225"/>
      <c r="Z233" s="251"/>
      <c r="AA233" s="224"/>
      <c r="AB233" s="242"/>
      <c r="AC233" s="242"/>
      <c r="AD233" s="242"/>
      <c r="AE233" s="242"/>
      <c r="AF233" s="242"/>
      <c r="AG233" s="242"/>
      <c r="AH233" s="242"/>
      <c r="AI233" s="242"/>
      <c r="AJ233" s="242"/>
      <c r="AK233" s="242"/>
      <c r="AL233" s="242"/>
      <c r="AM233" s="242"/>
      <c r="AN233" s="242"/>
    </row>
    <row r="234" spans="3:40" ht="15" hidden="1" customHeight="1" outlineLevel="1">
      <c r="C234" s="592"/>
      <c r="D234" s="225"/>
      <c r="E234" s="225"/>
      <c r="F234" s="225"/>
      <c r="G234" s="225"/>
      <c r="H234" s="225"/>
      <c r="I234" s="225"/>
      <c r="J234" s="225"/>
      <c r="K234" s="225"/>
      <c r="L234" s="225"/>
      <c r="M234" s="225"/>
      <c r="N234" s="251"/>
      <c r="O234" s="224"/>
      <c r="P234" s="250"/>
      <c r="Q234" s="225"/>
      <c r="R234" s="225"/>
      <c r="S234" s="225"/>
      <c r="T234" s="225"/>
      <c r="U234" s="225"/>
      <c r="V234" s="225"/>
      <c r="W234" s="225"/>
      <c r="X234" s="225"/>
      <c r="Y234" s="225"/>
      <c r="Z234" s="251"/>
      <c r="AA234" s="224"/>
      <c r="AB234" s="242"/>
      <c r="AC234" s="242"/>
      <c r="AD234" s="242"/>
      <c r="AE234" s="242"/>
      <c r="AF234" s="242"/>
      <c r="AG234" s="242"/>
      <c r="AH234" s="242"/>
      <c r="AI234" s="242"/>
      <c r="AJ234" s="242"/>
      <c r="AK234" s="242"/>
      <c r="AL234" s="242"/>
      <c r="AM234" s="242"/>
      <c r="AN234" s="242"/>
    </row>
    <row r="235" spans="3:40" ht="15" hidden="1" customHeight="1" outlineLevel="1" thickBot="1">
      <c r="C235" s="592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51"/>
      <c r="O235" s="224"/>
      <c r="P235" s="250"/>
      <c r="Q235" s="225"/>
      <c r="R235" s="225"/>
      <c r="S235" s="225"/>
      <c r="T235" s="225"/>
      <c r="U235" s="225"/>
      <c r="V235" s="225"/>
      <c r="W235" s="225"/>
      <c r="X235" s="225"/>
      <c r="Y235" s="225"/>
      <c r="Z235" s="251"/>
      <c r="AA235" s="224"/>
      <c r="AB235" s="242"/>
      <c r="AC235" s="242"/>
      <c r="AD235" s="242"/>
      <c r="AE235" s="242"/>
      <c r="AF235" s="242"/>
      <c r="AG235" s="242"/>
      <c r="AH235" s="242"/>
      <c r="AI235" s="242"/>
      <c r="AJ235" s="242"/>
      <c r="AK235" s="242"/>
      <c r="AL235" s="242"/>
      <c r="AM235" s="242"/>
      <c r="AN235" s="242"/>
    </row>
    <row r="236" spans="3:40" ht="15" hidden="1" customHeight="1" outlineLevel="1">
      <c r="C236" s="592"/>
      <c r="D236" s="268" t="str">
        <f>IF($D$2=FALSE,"-",$N$208)</f>
        <v>-</v>
      </c>
      <c r="E236" s="257" t="str">
        <f>IF($D$2=FALSE,"-",$D$208)</f>
        <v>-</v>
      </c>
      <c r="F236" s="245" t="str">
        <f>IF($D$2=FALSE,"-",$E$208)</f>
        <v>-</v>
      </c>
      <c r="G236" s="245" t="str">
        <f>IF($D$2=FALSE,"-",$F$208)</f>
        <v>-</v>
      </c>
      <c r="H236" s="245" t="str">
        <f>IF($D$2=FALSE,"-",$G$208)</f>
        <v>-</v>
      </c>
      <c r="I236" s="245" t="str">
        <f>IF($D$2=FALSE,"-",$H$208)</f>
        <v>-</v>
      </c>
      <c r="J236" s="245" t="str">
        <f>IF($D$2=FALSE,"-",$I$208)</f>
        <v>-</v>
      </c>
      <c r="K236" s="245" t="str">
        <f>IF($D$2=FALSE,"-",$J$208)</f>
        <v>-</v>
      </c>
      <c r="L236" s="245" t="str">
        <f>IF($D$2=FALSE,"-",$K$208)</f>
        <v>-</v>
      </c>
      <c r="M236" s="245" t="str">
        <f>IF($D$2=FALSE,"-",$L$208)</f>
        <v>-</v>
      </c>
      <c r="N236" s="252" t="str">
        <f>IF($D$2=FALSE,"-",$M$208)</f>
        <v>-</v>
      </c>
      <c r="O236" s="224"/>
      <c r="P236" s="260" t="str">
        <f>IF($D$2=FALSE,"-",$N$208)</f>
        <v>-</v>
      </c>
      <c r="Q236" s="257" t="str">
        <f>IF($D$2=FALSE,"-",$D$208)</f>
        <v>-</v>
      </c>
      <c r="R236" s="245" t="str">
        <f>IF($D$2=FALSE,"-",$E$208)</f>
        <v>-</v>
      </c>
      <c r="S236" s="245" t="str">
        <f>IF($D$2=FALSE,"-",$F$208)</f>
        <v>-</v>
      </c>
      <c r="T236" s="245" t="str">
        <f>IF($D$2=FALSE,"-",$G$208)</f>
        <v>-</v>
      </c>
      <c r="U236" s="245" t="str">
        <f>IF($D$2=FALSE,"-",$H$208)</f>
        <v>-</v>
      </c>
      <c r="V236" s="245" t="str">
        <f>IF($D$2=FALSE,"-",$I$208)</f>
        <v>-</v>
      </c>
      <c r="W236" s="245" t="str">
        <f>IF($D$2=FALSE,"-",$J$208)</f>
        <v>-</v>
      </c>
      <c r="X236" s="245" t="str">
        <f>IF($D$2=FALSE,"-",$K$208)</f>
        <v>-</v>
      </c>
      <c r="Y236" s="245" t="str">
        <f>IF($D$2=FALSE,"-",$L$208)</f>
        <v>-</v>
      </c>
      <c r="Z236" s="252" t="str">
        <f>IF($D$2=FALSE,"-",$M$208)</f>
        <v>-</v>
      </c>
      <c r="AA236" s="224"/>
      <c r="AB236" s="242"/>
      <c r="AC236" s="242"/>
      <c r="AD236" s="242"/>
      <c r="AE236" s="242"/>
      <c r="AF236" s="242"/>
      <c r="AG236" s="242"/>
      <c r="AH236" s="242"/>
      <c r="AI236" s="242"/>
      <c r="AJ236" s="242"/>
      <c r="AK236" s="242"/>
      <c r="AL236" s="242"/>
      <c r="AM236" s="242"/>
      <c r="AN236" s="242"/>
    </row>
    <row r="237" spans="3:40" ht="15" hidden="1" customHeight="1" outlineLevel="1">
      <c r="C237" s="592"/>
      <c r="D237" s="271" t="str">
        <f ca="1">IF($D$2=FALSE,"-",OFFSET($C$9,D227,N$213+1))</f>
        <v>-</v>
      </c>
      <c r="E237" s="262" t="str">
        <f ca="1">IF($D$2=FALSE,"-",OFFSET($C$9,D227,E227))</f>
        <v>-</v>
      </c>
      <c r="F237" s="246" t="str">
        <f ca="1">IF($D$2=FALSE,"-",OFFSET($C$9,D227,F227))</f>
        <v>-</v>
      </c>
      <c r="G237" s="246" t="str">
        <f ca="1">IF($D$2=FALSE,"-",OFFSET($C$9,D227,G227))</f>
        <v>-</v>
      </c>
      <c r="H237" s="246" t="str">
        <f ca="1">IF($D$2=FALSE,"-",OFFSET($C$9,D227,H227))</f>
        <v>-</v>
      </c>
      <c r="I237" s="246" t="str">
        <f ca="1">IF($D$2=FALSE,"-",OFFSET($C$9,D227,I227))</f>
        <v>-</v>
      </c>
      <c r="J237" s="246" t="str">
        <f ca="1">IF($D$2=FALSE,"-",OFFSET($C$9,D227,J227))</f>
        <v>-</v>
      </c>
      <c r="K237" s="246" t="str">
        <f ca="1">IF($D$2=FALSE,"-",OFFSET($C$9,D227,K227))</f>
        <v>-</v>
      </c>
      <c r="L237" s="246" t="str">
        <f ca="1">IF($D$2=FALSE,"-",OFFSET($C$9,D227,L227))</f>
        <v>-</v>
      </c>
      <c r="M237" s="246" t="str">
        <f ca="1">IF($D$2=FALSE,"-",OFFSET($C$9,D227,M227))</f>
        <v>-</v>
      </c>
      <c r="N237" s="256" t="str">
        <f ca="1">IF($D$2=FALSE,"-",OFFSET($C$9,D227,N227))</f>
        <v>-</v>
      </c>
      <c r="O237" s="224"/>
      <c r="P237" s="304" t="str">
        <f ca="1">IF($D$2=FALSE,"-",OFFSET($C$9,P227,Z$213+1))</f>
        <v>-</v>
      </c>
      <c r="Q237" s="305" t="str">
        <f ca="1">IF($D$2=FALSE,"-",OFFSET($C$9,P227,Q227))</f>
        <v>-</v>
      </c>
      <c r="R237" s="306" t="str">
        <f ca="1">IF($D$2=FALSE,"-",OFFSET($C$9,P227,R227))</f>
        <v>-</v>
      </c>
      <c r="S237" s="306" t="str">
        <f ca="1">IF($D$2=FALSE,"-",OFFSET($C$9,P227,S227))</f>
        <v>-</v>
      </c>
      <c r="T237" s="306" t="str">
        <f ca="1">IF($D$2=FALSE,"-",OFFSET($C$9,P227,T227))</f>
        <v>-</v>
      </c>
      <c r="U237" s="306" t="str">
        <f ca="1">IF($D$2=FALSE,"-",OFFSET($C$9,P227,U227))</f>
        <v>-</v>
      </c>
      <c r="V237" s="306" t="str">
        <f ca="1">IF($D$2=FALSE,"-",OFFSET($C$9,P227,V227))</f>
        <v>-</v>
      </c>
      <c r="W237" s="306" t="str">
        <f ca="1">IF($D$2=FALSE,"-",OFFSET($C$9,P227,W227))</f>
        <v>-</v>
      </c>
      <c r="X237" s="306" t="str">
        <f ca="1">IF($D$2=FALSE,"-",OFFSET($C$9,P227,X227))</f>
        <v>-</v>
      </c>
      <c r="Y237" s="306" t="str">
        <f ca="1">IF($D$2=FALSE,"-",OFFSET($C$9,P227,Y227))</f>
        <v>-</v>
      </c>
      <c r="Z237" s="307" t="str">
        <f ca="1">IF($D$2=FALSE,"-",OFFSET($C$9,P227,Z227))</f>
        <v>-</v>
      </c>
      <c r="AA237" s="224"/>
      <c r="AB237" s="242"/>
      <c r="AC237" s="242"/>
      <c r="AD237" s="242"/>
      <c r="AE237" s="242"/>
      <c r="AF237" s="242"/>
      <c r="AG237" s="242"/>
      <c r="AH237" s="242"/>
      <c r="AI237" s="242"/>
      <c r="AJ237" s="242"/>
      <c r="AK237" s="242"/>
      <c r="AL237" s="242"/>
      <c r="AM237" s="242"/>
      <c r="AN237" s="242"/>
    </row>
    <row r="238" spans="3:40" ht="15" hidden="1" customHeight="1" outlineLevel="1" thickBot="1">
      <c r="C238" s="592"/>
      <c r="D238" s="270" t="str">
        <f>IF($D$2=FALSE,"-",MATCH(D226,$AB$214:$AB$231,0))</f>
        <v>-</v>
      </c>
      <c r="E238" s="259" t="str">
        <f t="shared" ref="E238:M238" si="228">IF($D$2=FALSE,"-",(E237-F237)/ABS(F237))</f>
        <v>-</v>
      </c>
      <c r="F238" s="254" t="str">
        <f t="shared" si="228"/>
        <v>-</v>
      </c>
      <c r="G238" s="254" t="str">
        <f t="shared" si="228"/>
        <v>-</v>
      </c>
      <c r="H238" s="254" t="str">
        <f t="shared" si="228"/>
        <v>-</v>
      </c>
      <c r="I238" s="254" t="str">
        <f t="shared" si="228"/>
        <v>-</v>
      </c>
      <c r="J238" s="254" t="str">
        <f t="shared" si="228"/>
        <v>-</v>
      </c>
      <c r="K238" s="254" t="str">
        <f t="shared" si="228"/>
        <v>-</v>
      </c>
      <c r="L238" s="254" t="str">
        <f t="shared" si="228"/>
        <v>-</v>
      </c>
      <c r="M238" s="254" t="str">
        <f t="shared" si="228"/>
        <v>-</v>
      </c>
      <c r="N238" s="255" t="s">
        <v>478</v>
      </c>
      <c r="O238" s="224"/>
      <c r="P238" s="261" t="str">
        <f>IF($D$2=FALSE,"-",MATCH(P226,$AB$214:$AB$231,0))</f>
        <v>-</v>
      </c>
      <c r="Q238" s="259" t="str">
        <f t="shared" ref="Q238:Y238" si="229">IF($D$2=FALSE,"-",(Q237-R237)/ABS(R237))</f>
        <v>-</v>
      </c>
      <c r="R238" s="254" t="str">
        <f t="shared" si="229"/>
        <v>-</v>
      </c>
      <c r="S238" s="254" t="str">
        <f t="shared" si="229"/>
        <v>-</v>
      </c>
      <c r="T238" s="254" t="str">
        <f t="shared" si="229"/>
        <v>-</v>
      </c>
      <c r="U238" s="254" t="str">
        <f t="shared" si="229"/>
        <v>-</v>
      </c>
      <c r="V238" s="254" t="str">
        <f t="shared" si="229"/>
        <v>-</v>
      </c>
      <c r="W238" s="254" t="str">
        <f t="shared" si="229"/>
        <v>-</v>
      </c>
      <c r="X238" s="254" t="str">
        <f t="shared" si="229"/>
        <v>-</v>
      </c>
      <c r="Y238" s="254" t="str">
        <f t="shared" si="229"/>
        <v>-</v>
      </c>
      <c r="Z238" s="255" t="s">
        <v>478</v>
      </c>
      <c r="AA238" s="224"/>
      <c r="AB238" s="242"/>
      <c r="AC238" s="242"/>
      <c r="AD238" s="242"/>
      <c r="AE238" s="242"/>
      <c r="AF238" s="242"/>
      <c r="AG238" s="242"/>
      <c r="AH238" s="242"/>
      <c r="AI238" s="242"/>
      <c r="AJ238" s="242"/>
      <c r="AK238" s="242"/>
      <c r="AL238" s="242"/>
      <c r="AM238" s="242"/>
      <c r="AN238" s="242"/>
    </row>
    <row r="239" spans="3:40" ht="15" hidden="1" customHeight="1" outlineLevel="1" thickBot="1">
      <c r="C239" s="592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24"/>
      <c r="S239" s="224"/>
      <c r="T239" s="224"/>
      <c r="U239" s="224"/>
      <c r="V239" s="224"/>
      <c r="W239" s="224"/>
      <c r="X239" s="224"/>
      <c r="Y239" s="224"/>
      <c r="Z239" s="224"/>
      <c r="AA239" s="224"/>
      <c r="AB239" s="242"/>
      <c r="AC239" s="242"/>
      <c r="AD239" s="242"/>
      <c r="AE239" s="242"/>
      <c r="AF239" s="242"/>
      <c r="AG239" s="242"/>
      <c r="AH239" s="242"/>
      <c r="AI239" s="242"/>
      <c r="AJ239" s="242"/>
      <c r="AK239" s="242"/>
      <c r="AL239" s="242"/>
      <c r="AM239" s="242"/>
      <c r="AN239" s="242"/>
    </row>
    <row r="240" spans="3:40" ht="15" hidden="1" customHeight="1" outlineLevel="1">
      <c r="C240" s="592"/>
      <c r="D240" s="267" t="str">
        <f ca="1">OFFSET($C$9,D241,0)</f>
        <v>Profit margin</v>
      </c>
      <c r="E240" s="248"/>
      <c r="F240" s="248"/>
      <c r="G240" s="248"/>
      <c r="H240" s="248"/>
      <c r="I240" s="248"/>
      <c r="J240" s="248"/>
      <c r="K240" s="248"/>
      <c r="L240" s="248"/>
      <c r="M240" s="248"/>
      <c r="N240" s="249"/>
      <c r="O240" s="224"/>
      <c r="P240" s="247" t="str">
        <f ca="1">OFFSET($C$9,P241,0)</f>
        <v>Cash King Margin</v>
      </c>
      <c r="Q240" s="248"/>
      <c r="R240" s="248"/>
      <c r="S240" s="248"/>
      <c r="T240" s="248"/>
      <c r="U240" s="248"/>
      <c r="V240" s="248"/>
      <c r="W240" s="248"/>
      <c r="X240" s="248"/>
      <c r="Y240" s="248"/>
      <c r="Z240" s="249"/>
      <c r="AA240" s="224"/>
      <c r="AB240" s="242"/>
      <c r="AC240" s="242"/>
      <c r="AD240" s="242"/>
      <c r="AE240" s="242"/>
      <c r="AF240" s="242"/>
      <c r="AG240" s="242"/>
      <c r="AH240" s="242"/>
      <c r="AI240" s="242"/>
      <c r="AJ240" s="242"/>
      <c r="AK240" s="242"/>
      <c r="AL240" s="242"/>
      <c r="AM240" s="242"/>
      <c r="AN240" s="242"/>
    </row>
    <row r="241" spans="3:40" ht="15" hidden="1" customHeight="1" outlineLevel="1">
      <c r="C241" s="592"/>
      <c r="D241" s="225">
        <v>120</v>
      </c>
      <c r="E241" s="225">
        <v>1</v>
      </c>
      <c r="F241" s="225">
        <f>E241+1</f>
        <v>2</v>
      </c>
      <c r="G241" s="225">
        <f t="shared" ref="G241:N241" si="230">F241+1</f>
        <v>3</v>
      </c>
      <c r="H241" s="225">
        <f t="shared" si="230"/>
        <v>4</v>
      </c>
      <c r="I241" s="225">
        <f t="shared" si="230"/>
        <v>5</v>
      </c>
      <c r="J241" s="225">
        <f t="shared" si="230"/>
        <v>6</v>
      </c>
      <c r="K241" s="225">
        <f t="shared" si="230"/>
        <v>7</v>
      </c>
      <c r="L241" s="225">
        <f t="shared" si="230"/>
        <v>8</v>
      </c>
      <c r="M241" s="225">
        <f t="shared" si="230"/>
        <v>9</v>
      </c>
      <c r="N241" s="251">
        <f t="shared" si="230"/>
        <v>10</v>
      </c>
      <c r="O241" s="224"/>
      <c r="P241" s="250">
        <v>107</v>
      </c>
      <c r="Q241" s="225">
        <v>1</v>
      </c>
      <c r="R241" s="225">
        <f>Q241+1</f>
        <v>2</v>
      </c>
      <c r="S241" s="225">
        <f t="shared" ref="S241:Z241" si="231">R241+1</f>
        <v>3</v>
      </c>
      <c r="T241" s="225">
        <f t="shared" si="231"/>
        <v>4</v>
      </c>
      <c r="U241" s="225">
        <f t="shared" si="231"/>
        <v>5</v>
      </c>
      <c r="V241" s="225">
        <f t="shared" si="231"/>
        <v>6</v>
      </c>
      <c r="W241" s="225">
        <f t="shared" si="231"/>
        <v>7</v>
      </c>
      <c r="X241" s="225">
        <f t="shared" si="231"/>
        <v>8</v>
      </c>
      <c r="Y241" s="225">
        <f t="shared" si="231"/>
        <v>9</v>
      </c>
      <c r="Z241" s="251">
        <f t="shared" si="231"/>
        <v>10</v>
      </c>
      <c r="AA241" s="224"/>
      <c r="AB241" s="242"/>
      <c r="AC241" s="242"/>
      <c r="AD241" s="242"/>
      <c r="AE241" s="242"/>
      <c r="AF241" s="242"/>
      <c r="AG241" s="242"/>
      <c r="AH241" s="242"/>
      <c r="AI241" s="242"/>
      <c r="AJ241" s="242"/>
      <c r="AK241" s="242"/>
      <c r="AL241" s="242"/>
      <c r="AM241" s="242"/>
      <c r="AN241" s="242"/>
    </row>
    <row r="242" spans="3:40" ht="15" hidden="1" customHeight="1" outlineLevel="1">
      <c r="C242" s="592"/>
      <c r="D242" s="225"/>
      <c r="E242" s="225"/>
      <c r="F242" s="225"/>
      <c r="G242" s="225"/>
      <c r="H242" s="225"/>
      <c r="I242" s="225"/>
      <c r="J242" s="225"/>
      <c r="K242" s="225"/>
      <c r="L242" s="225"/>
      <c r="M242" s="225"/>
      <c r="N242" s="251"/>
      <c r="O242" s="224"/>
      <c r="P242" s="250"/>
      <c r="Q242" s="225"/>
      <c r="R242" s="225"/>
      <c r="S242" s="225"/>
      <c r="T242" s="225"/>
      <c r="U242" s="225"/>
      <c r="V242" s="225"/>
      <c r="W242" s="225"/>
      <c r="X242" s="225"/>
      <c r="Y242" s="225"/>
      <c r="Z242" s="251"/>
      <c r="AA242" s="224"/>
      <c r="AB242" s="242"/>
      <c r="AC242" s="242"/>
      <c r="AD242" s="242"/>
      <c r="AE242" s="242"/>
      <c r="AF242" s="242"/>
      <c r="AG242" s="242"/>
      <c r="AH242" s="242"/>
      <c r="AI242" s="242"/>
      <c r="AJ242" s="242"/>
      <c r="AK242" s="242"/>
      <c r="AL242" s="242"/>
      <c r="AM242" s="242"/>
      <c r="AN242" s="242"/>
    </row>
    <row r="243" spans="3:40" ht="15" hidden="1" customHeight="1" outlineLevel="1">
      <c r="C243" s="592"/>
      <c r="D243" s="225"/>
      <c r="E243" s="225"/>
      <c r="F243" s="225"/>
      <c r="G243" s="225"/>
      <c r="H243" s="225"/>
      <c r="I243" s="225"/>
      <c r="J243" s="225"/>
      <c r="K243" s="225"/>
      <c r="L243" s="225"/>
      <c r="M243" s="225"/>
      <c r="N243" s="251"/>
      <c r="O243" s="224"/>
      <c r="P243" s="250"/>
      <c r="Q243" s="225"/>
      <c r="R243" s="225"/>
      <c r="S243" s="225"/>
      <c r="T243" s="225"/>
      <c r="U243" s="225"/>
      <c r="V243" s="225"/>
      <c r="W243" s="225"/>
      <c r="X243" s="225"/>
      <c r="Y243" s="225"/>
      <c r="Z243" s="251"/>
      <c r="AA243" s="224"/>
      <c r="AB243" s="242"/>
      <c r="AC243" s="242"/>
      <c r="AD243" s="242"/>
      <c r="AE243" s="242"/>
      <c r="AF243" s="242"/>
      <c r="AG243" s="242"/>
      <c r="AH243" s="242"/>
      <c r="AI243" s="242"/>
      <c r="AJ243" s="242"/>
      <c r="AK243" s="242"/>
      <c r="AL243" s="242"/>
      <c r="AM243" s="242"/>
      <c r="AN243" s="242"/>
    </row>
    <row r="244" spans="3:40" ht="15" hidden="1" customHeight="1" outlineLevel="1">
      <c r="C244" s="592"/>
      <c r="D244" s="225"/>
      <c r="E244" s="225"/>
      <c r="F244" s="225"/>
      <c r="G244" s="225"/>
      <c r="H244" s="225"/>
      <c r="I244" s="225"/>
      <c r="J244" s="225"/>
      <c r="K244" s="225"/>
      <c r="L244" s="225"/>
      <c r="M244" s="225"/>
      <c r="N244" s="251"/>
      <c r="O244" s="224"/>
      <c r="P244" s="250"/>
      <c r="Q244" s="225"/>
      <c r="R244" s="225"/>
      <c r="S244" s="225"/>
      <c r="T244" s="225"/>
      <c r="U244" s="225"/>
      <c r="V244" s="225"/>
      <c r="W244" s="225"/>
      <c r="X244" s="225"/>
      <c r="Y244" s="225"/>
      <c r="Z244" s="251"/>
      <c r="AA244" s="224"/>
      <c r="AB244" s="242"/>
      <c r="AC244" s="242"/>
      <c r="AD244" s="242"/>
      <c r="AE244" s="242"/>
      <c r="AF244" s="242"/>
      <c r="AG244" s="242"/>
      <c r="AH244" s="242"/>
      <c r="AI244" s="242"/>
      <c r="AJ244" s="242"/>
      <c r="AK244" s="242"/>
      <c r="AL244" s="242"/>
      <c r="AM244" s="242"/>
      <c r="AN244" s="242"/>
    </row>
    <row r="245" spans="3:40" ht="15" hidden="1" customHeight="1" outlineLevel="1">
      <c r="C245" s="592"/>
      <c r="D245" s="225"/>
      <c r="E245" s="225"/>
      <c r="F245" s="225"/>
      <c r="G245" s="225"/>
      <c r="H245" s="225"/>
      <c r="I245" s="225"/>
      <c r="J245" s="225"/>
      <c r="K245" s="225"/>
      <c r="L245" s="225"/>
      <c r="M245" s="225"/>
      <c r="N245" s="251"/>
      <c r="O245" s="224"/>
      <c r="P245" s="250"/>
      <c r="Q245" s="225"/>
      <c r="R245" s="225"/>
      <c r="S245" s="225"/>
      <c r="T245" s="225"/>
      <c r="U245" s="225"/>
      <c r="V245" s="225"/>
      <c r="W245" s="225"/>
      <c r="X245" s="225"/>
      <c r="Y245" s="225"/>
      <c r="Z245" s="251"/>
      <c r="AA245" s="224"/>
      <c r="AB245" s="242"/>
      <c r="AC245" s="242"/>
      <c r="AD245" s="242"/>
      <c r="AE245" s="242"/>
      <c r="AF245" s="242"/>
      <c r="AG245" s="242"/>
      <c r="AH245" s="242"/>
      <c r="AI245" s="242"/>
      <c r="AJ245" s="242"/>
      <c r="AK245" s="242"/>
      <c r="AL245" s="242"/>
      <c r="AM245" s="242"/>
      <c r="AN245" s="242"/>
    </row>
    <row r="246" spans="3:40" ht="15" hidden="1" customHeight="1" outlineLevel="1">
      <c r="C246" s="592"/>
      <c r="D246" s="225"/>
      <c r="E246" s="225"/>
      <c r="F246" s="225"/>
      <c r="G246" s="225"/>
      <c r="H246" s="225"/>
      <c r="I246" s="225"/>
      <c r="J246" s="225"/>
      <c r="K246" s="225"/>
      <c r="L246" s="225"/>
      <c r="M246" s="225"/>
      <c r="N246" s="251"/>
      <c r="O246" s="224"/>
      <c r="P246" s="250"/>
      <c r="Q246" s="225"/>
      <c r="R246" s="225"/>
      <c r="S246" s="225"/>
      <c r="T246" s="225"/>
      <c r="U246" s="225"/>
      <c r="V246" s="225"/>
      <c r="W246" s="225"/>
      <c r="X246" s="225"/>
      <c r="Y246" s="225"/>
      <c r="Z246" s="251"/>
      <c r="AA246" s="224"/>
      <c r="AB246" s="242"/>
      <c r="AC246" s="242"/>
      <c r="AD246" s="242"/>
      <c r="AE246" s="242"/>
      <c r="AF246" s="242"/>
      <c r="AG246" s="242"/>
      <c r="AH246" s="242"/>
      <c r="AI246" s="242"/>
      <c r="AJ246" s="242"/>
      <c r="AK246" s="242"/>
      <c r="AL246" s="242"/>
      <c r="AM246" s="242"/>
      <c r="AN246" s="242"/>
    </row>
    <row r="247" spans="3:40" ht="15" hidden="1" customHeight="1" outlineLevel="1">
      <c r="C247" s="592"/>
      <c r="D247" s="225"/>
      <c r="E247" s="225"/>
      <c r="F247" s="225"/>
      <c r="G247" s="225"/>
      <c r="H247" s="225"/>
      <c r="I247" s="225"/>
      <c r="J247" s="225"/>
      <c r="K247" s="225"/>
      <c r="L247" s="225"/>
      <c r="M247" s="225"/>
      <c r="N247" s="251"/>
      <c r="O247" s="224"/>
      <c r="P247" s="250"/>
      <c r="Q247" s="225"/>
      <c r="R247" s="225"/>
      <c r="S247" s="225"/>
      <c r="T247" s="225"/>
      <c r="U247" s="225"/>
      <c r="V247" s="225"/>
      <c r="W247" s="225"/>
      <c r="X247" s="225"/>
      <c r="Y247" s="225"/>
      <c r="Z247" s="251"/>
      <c r="AA247" s="224"/>
      <c r="AB247" s="242"/>
      <c r="AC247" s="242"/>
      <c r="AD247" s="242"/>
      <c r="AE247" s="242"/>
      <c r="AF247" s="242"/>
      <c r="AG247" s="242"/>
      <c r="AH247" s="242"/>
      <c r="AI247" s="242"/>
      <c r="AJ247" s="242"/>
      <c r="AK247" s="242"/>
      <c r="AL247" s="242"/>
      <c r="AM247" s="242"/>
      <c r="AN247" s="242"/>
    </row>
    <row r="248" spans="3:40" ht="15" hidden="1" customHeight="1" outlineLevel="1">
      <c r="C248" s="592"/>
      <c r="D248" s="225"/>
      <c r="E248" s="225"/>
      <c r="F248" s="225"/>
      <c r="G248" s="225"/>
      <c r="H248" s="225"/>
      <c r="I248" s="225"/>
      <c r="J248" s="225"/>
      <c r="K248" s="225"/>
      <c r="L248" s="225"/>
      <c r="M248" s="225"/>
      <c r="N248" s="251"/>
      <c r="O248" s="224"/>
      <c r="P248" s="250"/>
      <c r="Q248" s="225"/>
      <c r="R248" s="225"/>
      <c r="S248" s="225"/>
      <c r="T248" s="225"/>
      <c r="U248" s="225"/>
      <c r="V248" s="225"/>
      <c r="W248" s="225"/>
      <c r="X248" s="225"/>
      <c r="Y248" s="225"/>
      <c r="Z248" s="251"/>
      <c r="AA248" s="224"/>
      <c r="AB248" s="242"/>
      <c r="AC248" s="242"/>
      <c r="AD248" s="242"/>
      <c r="AE248" s="242"/>
      <c r="AF248" s="242"/>
      <c r="AG248" s="242"/>
      <c r="AH248" s="242"/>
      <c r="AI248" s="242"/>
      <c r="AJ248" s="242"/>
      <c r="AK248" s="242"/>
      <c r="AL248" s="242"/>
      <c r="AM248" s="242"/>
      <c r="AN248" s="242"/>
    </row>
    <row r="249" spans="3:40" ht="15" hidden="1" customHeight="1" outlineLevel="1" thickBot="1">
      <c r="C249" s="592"/>
      <c r="D249" s="225"/>
      <c r="E249" s="225"/>
      <c r="F249" s="225"/>
      <c r="G249" s="225"/>
      <c r="H249" s="225"/>
      <c r="I249" s="225"/>
      <c r="J249" s="225"/>
      <c r="K249" s="225"/>
      <c r="L249" s="225"/>
      <c r="M249" s="225"/>
      <c r="N249" s="251"/>
      <c r="O249" s="224"/>
      <c r="P249" s="250"/>
      <c r="Q249" s="225"/>
      <c r="R249" s="225"/>
      <c r="S249" s="225"/>
      <c r="T249" s="225"/>
      <c r="U249" s="225"/>
      <c r="V249" s="225"/>
      <c r="W249" s="225"/>
      <c r="X249" s="225"/>
      <c r="Y249" s="225"/>
      <c r="Z249" s="251"/>
      <c r="AA249" s="224"/>
      <c r="AB249" s="242"/>
      <c r="AC249" s="242"/>
      <c r="AD249" s="242"/>
      <c r="AE249" s="242"/>
      <c r="AF249" s="242"/>
      <c r="AG249" s="242"/>
      <c r="AH249" s="242"/>
      <c r="AI249" s="242"/>
      <c r="AJ249" s="242"/>
      <c r="AK249" s="242"/>
      <c r="AL249" s="242"/>
      <c r="AM249" s="242"/>
      <c r="AN249" s="242"/>
    </row>
    <row r="250" spans="3:40" ht="15" hidden="1" customHeight="1" outlineLevel="1">
      <c r="C250" s="592"/>
      <c r="D250" s="268" t="str">
        <f>IF($D$2=FALSE,"-",$N$208)</f>
        <v>-</v>
      </c>
      <c r="E250" s="257" t="str">
        <f>IF($D$2=FALSE,"-",$D$208)</f>
        <v>-</v>
      </c>
      <c r="F250" s="245" t="str">
        <f>IF($D$2=FALSE,"-",$E$208)</f>
        <v>-</v>
      </c>
      <c r="G250" s="245" t="str">
        <f>IF($D$2=FALSE,"-",$F$208)</f>
        <v>-</v>
      </c>
      <c r="H250" s="245" t="str">
        <f>IF($D$2=FALSE,"-",$G$208)</f>
        <v>-</v>
      </c>
      <c r="I250" s="245" t="str">
        <f>IF($D$2=FALSE,"-",$H$208)</f>
        <v>-</v>
      </c>
      <c r="J250" s="245" t="str">
        <f>IF($D$2=FALSE,"-",$I$208)</f>
        <v>-</v>
      </c>
      <c r="K250" s="245" t="str">
        <f>IF($D$2=FALSE,"-",$J$208)</f>
        <v>-</v>
      </c>
      <c r="L250" s="245" t="str">
        <f>IF($D$2=FALSE,"-",$K$208)</f>
        <v>-</v>
      </c>
      <c r="M250" s="245" t="str">
        <f>IF($D$2=FALSE,"-",$L$208)</f>
        <v>-</v>
      </c>
      <c r="N250" s="252" t="str">
        <f>IF($D$2=FALSE,"-",$M$208)</f>
        <v>-</v>
      </c>
      <c r="O250" s="224"/>
      <c r="P250" s="260" t="str">
        <f>IF($D$2=FALSE,"-",$N$208)</f>
        <v>-</v>
      </c>
      <c r="Q250" s="257" t="str">
        <f>IF($D$2=FALSE,"-",$D$208)</f>
        <v>-</v>
      </c>
      <c r="R250" s="245" t="str">
        <f>IF($D$2=FALSE,"-",$E$208)</f>
        <v>-</v>
      </c>
      <c r="S250" s="245" t="str">
        <f>IF($D$2=FALSE,"-",$F$208)</f>
        <v>-</v>
      </c>
      <c r="T250" s="245" t="str">
        <f>IF($D$2=FALSE,"-",$G$208)</f>
        <v>-</v>
      </c>
      <c r="U250" s="245" t="str">
        <f>IF($D$2=FALSE,"-",$H$208)</f>
        <v>-</v>
      </c>
      <c r="V250" s="245" t="str">
        <f>IF($D$2=FALSE,"-",$I$208)</f>
        <v>-</v>
      </c>
      <c r="W250" s="245" t="str">
        <f>IF($D$2=FALSE,"-",$J$208)</f>
        <v>-</v>
      </c>
      <c r="X250" s="245" t="str">
        <f>IF($D$2=FALSE,"-",$K$208)</f>
        <v>-</v>
      </c>
      <c r="Y250" s="245" t="str">
        <f>IF($D$2=FALSE,"-",$L$208)</f>
        <v>-</v>
      </c>
      <c r="Z250" s="252" t="str">
        <f>IF($D$2=FALSE,"-",$M$208)</f>
        <v>-</v>
      </c>
      <c r="AA250" s="224"/>
      <c r="AB250" s="242"/>
      <c r="AC250" s="242"/>
      <c r="AD250" s="242"/>
      <c r="AE250" s="242"/>
      <c r="AF250" s="242"/>
      <c r="AG250" s="242"/>
      <c r="AH250" s="242"/>
      <c r="AI250" s="242"/>
      <c r="AJ250" s="242"/>
      <c r="AK250" s="242"/>
      <c r="AL250" s="242"/>
      <c r="AM250" s="242"/>
      <c r="AN250" s="242"/>
    </row>
    <row r="251" spans="3:40" ht="15" hidden="1" customHeight="1" outlineLevel="1">
      <c r="C251" s="592"/>
      <c r="D251" s="299" t="str">
        <f ca="1">IF($D$2=FALSE,"-",OFFSET($C$9,D241,N$213+1))</f>
        <v>-</v>
      </c>
      <c r="E251" s="300" t="str">
        <f ca="1">IF($D$2=FALSE,"-",OFFSET($C$9,D241,E241))</f>
        <v>-</v>
      </c>
      <c r="F251" s="301" t="str">
        <f ca="1">IF($D$2=FALSE,"-",OFFSET($C$9,D241,F241))</f>
        <v>-</v>
      </c>
      <c r="G251" s="301" t="str">
        <f ca="1">IF($D$2=FALSE,"-",OFFSET($C$9,D241,G241))</f>
        <v>-</v>
      </c>
      <c r="H251" s="301" t="str">
        <f ca="1">IF($D$2=FALSE,"-",OFFSET($C$9,D241,H241))</f>
        <v>-</v>
      </c>
      <c r="I251" s="301" t="str">
        <f ca="1">IF($D$2=FALSE,"-",OFFSET($C$9,D241,I241))</f>
        <v>-</v>
      </c>
      <c r="J251" s="301" t="str">
        <f ca="1">IF($D$2=FALSE,"-",OFFSET($C$9,D241,J241))</f>
        <v>-</v>
      </c>
      <c r="K251" s="301" t="str">
        <f ca="1">IF($D$2=FALSE,"-",OFFSET($C$9,D241,K241))</f>
        <v>-</v>
      </c>
      <c r="L251" s="301" t="str">
        <f ca="1">IF($D$2=FALSE,"-",OFFSET($C$9,D241,L241))</f>
        <v>-</v>
      </c>
      <c r="M251" s="301" t="str">
        <f ca="1">IF($D$2=FALSE,"-",OFFSET($C$9,D241,M241))</f>
        <v>-</v>
      </c>
      <c r="N251" s="302" t="str">
        <f ca="1">IF($D$2=FALSE,"-",OFFSET($C$9,D241,N241))</f>
        <v>-</v>
      </c>
      <c r="O251" s="224"/>
      <c r="P251" s="263" t="str">
        <f ca="1">IF($D$2=FALSE,"-",OFFSET($C$9,P241,Z$213+1))</f>
        <v>-</v>
      </c>
      <c r="Q251" s="264" t="str">
        <f ca="1">IF($D$2=FALSE,"-",OFFSET($C$9,P241,Q241))</f>
        <v>-</v>
      </c>
      <c r="R251" s="265" t="str">
        <f ca="1">IF($D$2=FALSE,"-",OFFSET($C$9,P241,R241))</f>
        <v>-</v>
      </c>
      <c r="S251" s="265" t="str">
        <f ca="1">IF($D$2=FALSE,"-",OFFSET($C$9,P241,S241))</f>
        <v>-</v>
      </c>
      <c r="T251" s="265" t="str">
        <f ca="1">IF($D$2=FALSE,"-",OFFSET($C$9,P241,T241))</f>
        <v>-</v>
      </c>
      <c r="U251" s="265" t="str">
        <f ca="1">IF($D$2=FALSE,"-",OFFSET($C$9,P241,U241))</f>
        <v>-</v>
      </c>
      <c r="V251" s="265" t="str">
        <f ca="1">IF($D$2=FALSE,"-",OFFSET($C$9,P241,V241))</f>
        <v>-</v>
      </c>
      <c r="W251" s="265" t="str">
        <f ca="1">IF($D$2=FALSE,"-",OFFSET($C$9,P241,W241))</f>
        <v>-</v>
      </c>
      <c r="X251" s="265" t="str">
        <f ca="1">IF($D$2=FALSE,"-",OFFSET($C$9,P241,X241))</f>
        <v>-</v>
      </c>
      <c r="Y251" s="265" t="str">
        <f ca="1">IF($D$2=FALSE,"-",OFFSET($C$9,P241,Y241))</f>
        <v>-</v>
      </c>
      <c r="Z251" s="266" t="str">
        <f ca="1">IF($D$2=FALSE,"-",OFFSET($C$9,P241,Z241))</f>
        <v>-</v>
      </c>
      <c r="AA251" s="224"/>
      <c r="AB251" s="242"/>
      <c r="AC251" s="242"/>
      <c r="AD251" s="242"/>
      <c r="AE251" s="242"/>
      <c r="AF251" s="242"/>
      <c r="AG251" s="242"/>
      <c r="AH251" s="242"/>
      <c r="AI251" s="242"/>
      <c r="AJ251" s="242"/>
      <c r="AK251" s="242"/>
      <c r="AL251" s="242"/>
      <c r="AM251" s="242"/>
      <c r="AN251" s="242"/>
    </row>
    <row r="252" spans="3:40" ht="15" hidden="1" customHeight="1" outlineLevel="1" thickBot="1">
      <c r="C252" s="592"/>
      <c r="D252" s="261" t="str">
        <f>IF($D$2=FALSE,"-",MATCH(D240,$AB$214:$AB$231,0))</f>
        <v>-</v>
      </c>
      <c r="E252" s="259" t="str">
        <f t="shared" ref="E252:M252" si="232">IF($D$2=FALSE,"-",(E251-F251)/ABS(F251))</f>
        <v>-</v>
      </c>
      <c r="F252" s="254" t="str">
        <f t="shared" si="232"/>
        <v>-</v>
      </c>
      <c r="G252" s="254" t="str">
        <f t="shared" si="232"/>
        <v>-</v>
      </c>
      <c r="H252" s="254" t="str">
        <f t="shared" si="232"/>
        <v>-</v>
      </c>
      <c r="I252" s="254" t="str">
        <f t="shared" si="232"/>
        <v>-</v>
      </c>
      <c r="J252" s="254" t="str">
        <f t="shared" si="232"/>
        <v>-</v>
      </c>
      <c r="K252" s="254" t="str">
        <f t="shared" si="232"/>
        <v>-</v>
      </c>
      <c r="L252" s="254" t="str">
        <f t="shared" si="232"/>
        <v>-</v>
      </c>
      <c r="M252" s="254" t="str">
        <f t="shared" si="232"/>
        <v>-</v>
      </c>
      <c r="N252" s="255" t="s">
        <v>478</v>
      </c>
      <c r="O252" s="224"/>
      <c r="P252" s="261" t="str">
        <f>IF($D$2=FALSE,"-",MATCH(P240,$AB$214:$AB$231,0))</f>
        <v>-</v>
      </c>
      <c r="Q252" s="259" t="str">
        <f t="shared" ref="Q252:Y252" si="233">IF($D$2=FALSE,"-",(Q251-R251)/ABS(R251))</f>
        <v>-</v>
      </c>
      <c r="R252" s="254" t="str">
        <f t="shared" si="233"/>
        <v>-</v>
      </c>
      <c r="S252" s="254" t="str">
        <f t="shared" si="233"/>
        <v>-</v>
      </c>
      <c r="T252" s="254" t="str">
        <f t="shared" si="233"/>
        <v>-</v>
      </c>
      <c r="U252" s="254" t="str">
        <f t="shared" si="233"/>
        <v>-</v>
      </c>
      <c r="V252" s="254" t="str">
        <f t="shared" si="233"/>
        <v>-</v>
      </c>
      <c r="W252" s="254" t="str">
        <f t="shared" si="233"/>
        <v>-</v>
      </c>
      <c r="X252" s="254" t="str">
        <f t="shared" si="233"/>
        <v>-</v>
      </c>
      <c r="Y252" s="254" t="str">
        <f t="shared" si="233"/>
        <v>-</v>
      </c>
      <c r="Z252" s="255" t="s">
        <v>478</v>
      </c>
      <c r="AA252" s="224"/>
      <c r="AB252" s="242"/>
      <c r="AC252" s="242"/>
      <c r="AD252" s="242"/>
      <c r="AE252" s="242"/>
      <c r="AF252" s="242"/>
      <c r="AG252" s="242"/>
      <c r="AH252" s="242"/>
      <c r="AI252" s="242"/>
      <c r="AJ252" s="242"/>
      <c r="AK252" s="242"/>
      <c r="AL252" s="242"/>
      <c r="AM252" s="242"/>
      <c r="AN252" s="242"/>
    </row>
    <row r="253" spans="3:40" ht="15" hidden="1" customHeight="1" outlineLevel="1" thickBot="1">
      <c r="C253" s="592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24"/>
      <c r="S253" s="224"/>
      <c r="T253" s="224"/>
      <c r="U253" s="224"/>
      <c r="V253" s="224"/>
      <c r="W253" s="224"/>
      <c r="X253" s="224"/>
      <c r="Y253" s="224"/>
      <c r="Z253" s="224"/>
      <c r="AA253" s="224"/>
      <c r="AB253" s="242"/>
      <c r="AC253" s="242"/>
      <c r="AD253" s="242"/>
      <c r="AE253" s="242"/>
      <c r="AF253" s="242"/>
      <c r="AG253" s="242"/>
      <c r="AH253" s="242"/>
      <c r="AI253" s="242"/>
      <c r="AJ253" s="242"/>
      <c r="AK253" s="242"/>
      <c r="AL253" s="242"/>
      <c r="AM253" s="242"/>
      <c r="AN253" s="242"/>
    </row>
    <row r="254" spans="3:40" ht="15" hidden="1" customHeight="1" outlineLevel="1">
      <c r="C254" s="592"/>
      <c r="D254" s="267" t="str">
        <f ca="1">OFFSET($C$9,D255,0)</f>
        <v>Earnings Yield</v>
      </c>
      <c r="E254" s="248"/>
      <c r="F254" s="248"/>
      <c r="G254" s="248"/>
      <c r="H254" s="248"/>
      <c r="I254" s="248"/>
      <c r="J254" s="248"/>
      <c r="K254" s="248"/>
      <c r="L254" s="248"/>
      <c r="M254" s="248"/>
      <c r="N254" s="249"/>
      <c r="O254" s="224"/>
      <c r="P254" s="247" t="str">
        <f ca="1">OFFSET($C$9,P255,0)</f>
        <v>Return on Capital</v>
      </c>
      <c r="Q254" s="248"/>
      <c r="R254" s="248"/>
      <c r="S254" s="248"/>
      <c r="T254" s="248"/>
      <c r="U254" s="248"/>
      <c r="V254" s="248"/>
      <c r="W254" s="248"/>
      <c r="X254" s="248"/>
      <c r="Y254" s="248"/>
      <c r="Z254" s="249"/>
      <c r="AA254" s="224"/>
      <c r="AB254" s="242"/>
      <c r="AC254" s="242"/>
      <c r="AD254" s="242"/>
      <c r="AE254" s="242"/>
      <c r="AF254" s="242"/>
      <c r="AG254" s="242"/>
      <c r="AH254" s="242"/>
      <c r="AI254" s="242"/>
      <c r="AJ254" s="242"/>
      <c r="AK254" s="242"/>
      <c r="AL254" s="242"/>
      <c r="AM254" s="242"/>
      <c r="AN254" s="242"/>
    </row>
    <row r="255" spans="3:40" ht="15" hidden="1" customHeight="1" outlineLevel="1">
      <c r="C255" s="592"/>
      <c r="D255" s="225">
        <v>200</v>
      </c>
      <c r="E255" s="225">
        <v>1</v>
      </c>
      <c r="F255" s="225">
        <f>E255+1</f>
        <v>2</v>
      </c>
      <c r="G255" s="225">
        <f t="shared" ref="G255:N255" si="234">F255+1</f>
        <v>3</v>
      </c>
      <c r="H255" s="225">
        <f t="shared" si="234"/>
        <v>4</v>
      </c>
      <c r="I255" s="225">
        <f t="shared" si="234"/>
        <v>5</v>
      </c>
      <c r="J255" s="225">
        <f t="shared" si="234"/>
        <v>6</v>
      </c>
      <c r="K255" s="225">
        <f t="shared" si="234"/>
        <v>7</v>
      </c>
      <c r="L255" s="225">
        <f t="shared" si="234"/>
        <v>8</v>
      </c>
      <c r="M255" s="225">
        <f t="shared" si="234"/>
        <v>9</v>
      </c>
      <c r="N255" s="251">
        <f t="shared" si="234"/>
        <v>10</v>
      </c>
      <c r="O255" s="224"/>
      <c r="P255" s="250">
        <v>201</v>
      </c>
      <c r="Q255" s="225">
        <v>1</v>
      </c>
      <c r="R255" s="225">
        <f>Q255+1</f>
        <v>2</v>
      </c>
      <c r="S255" s="225">
        <f t="shared" ref="S255:Z255" si="235">R255+1</f>
        <v>3</v>
      </c>
      <c r="T255" s="225">
        <f t="shared" si="235"/>
        <v>4</v>
      </c>
      <c r="U255" s="225">
        <f t="shared" si="235"/>
        <v>5</v>
      </c>
      <c r="V255" s="225">
        <f t="shared" si="235"/>
        <v>6</v>
      </c>
      <c r="W255" s="225">
        <f t="shared" si="235"/>
        <v>7</v>
      </c>
      <c r="X255" s="225">
        <f t="shared" si="235"/>
        <v>8</v>
      </c>
      <c r="Y255" s="225">
        <f t="shared" si="235"/>
        <v>9</v>
      </c>
      <c r="Z255" s="251">
        <f t="shared" si="235"/>
        <v>10</v>
      </c>
      <c r="AA255" s="224"/>
      <c r="AB255" s="242"/>
      <c r="AC255" s="242"/>
      <c r="AD255" s="242"/>
      <c r="AE255" s="242"/>
      <c r="AF255" s="242"/>
      <c r="AG255" s="242"/>
      <c r="AH255" s="242"/>
      <c r="AI255" s="242"/>
      <c r="AJ255" s="242"/>
      <c r="AK255" s="242"/>
      <c r="AL255" s="242"/>
      <c r="AM255" s="242"/>
      <c r="AN255" s="242"/>
    </row>
    <row r="256" spans="3:40" ht="15" hidden="1" customHeight="1" outlineLevel="1">
      <c r="C256" s="592"/>
      <c r="D256" s="225"/>
      <c r="E256" s="225"/>
      <c r="F256" s="225"/>
      <c r="G256" s="225"/>
      <c r="H256" s="225"/>
      <c r="I256" s="225"/>
      <c r="J256" s="225"/>
      <c r="K256" s="225"/>
      <c r="L256" s="225"/>
      <c r="M256" s="225"/>
      <c r="N256" s="251"/>
      <c r="O256" s="224"/>
      <c r="P256" s="250"/>
      <c r="Q256" s="225"/>
      <c r="R256" s="225"/>
      <c r="S256" s="225"/>
      <c r="T256" s="225"/>
      <c r="U256" s="225"/>
      <c r="V256" s="225"/>
      <c r="W256" s="225"/>
      <c r="X256" s="225"/>
      <c r="Y256" s="225"/>
      <c r="Z256" s="251"/>
      <c r="AA256" s="224"/>
      <c r="AB256" s="242"/>
      <c r="AC256" s="242"/>
      <c r="AD256" s="242"/>
      <c r="AE256" s="242"/>
      <c r="AF256" s="242"/>
      <c r="AG256" s="242"/>
      <c r="AH256" s="242"/>
      <c r="AI256" s="242"/>
      <c r="AJ256" s="242"/>
      <c r="AK256" s="242"/>
      <c r="AL256" s="242"/>
      <c r="AM256" s="242"/>
      <c r="AN256" s="242"/>
    </row>
    <row r="257" spans="3:40" ht="15" hidden="1" customHeight="1" outlineLevel="1">
      <c r="C257" s="592"/>
      <c r="D257" s="225"/>
      <c r="E257" s="225"/>
      <c r="F257" s="225"/>
      <c r="G257" s="225"/>
      <c r="H257" s="225"/>
      <c r="I257" s="225"/>
      <c r="J257" s="225"/>
      <c r="K257" s="225"/>
      <c r="L257" s="225"/>
      <c r="M257" s="225"/>
      <c r="N257" s="251"/>
      <c r="O257" s="224"/>
      <c r="P257" s="250"/>
      <c r="Q257" s="225"/>
      <c r="R257" s="225"/>
      <c r="S257" s="225"/>
      <c r="T257" s="225"/>
      <c r="U257" s="225"/>
      <c r="V257" s="225"/>
      <c r="W257" s="225"/>
      <c r="X257" s="225"/>
      <c r="Y257" s="225"/>
      <c r="Z257" s="251"/>
      <c r="AA257" s="224"/>
      <c r="AB257" s="242"/>
      <c r="AC257" s="242"/>
      <c r="AD257" s="242"/>
      <c r="AE257" s="242"/>
      <c r="AF257" s="242"/>
      <c r="AG257" s="242"/>
      <c r="AH257" s="242"/>
      <c r="AI257" s="242"/>
      <c r="AJ257" s="242"/>
      <c r="AK257" s="242"/>
      <c r="AL257" s="242"/>
      <c r="AM257" s="242"/>
      <c r="AN257" s="242"/>
    </row>
    <row r="258" spans="3:40" ht="15" hidden="1" customHeight="1" outlineLevel="1">
      <c r="C258" s="592"/>
      <c r="D258" s="225"/>
      <c r="E258" s="225"/>
      <c r="F258" s="225"/>
      <c r="G258" s="225"/>
      <c r="H258" s="225"/>
      <c r="I258" s="225"/>
      <c r="J258" s="225"/>
      <c r="K258" s="225"/>
      <c r="L258" s="225"/>
      <c r="M258" s="225"/>
      <c r="N258" s="251"/>
      <c r="O258" s="224"/>
      <c r="P258" s="250"/>
      <c r="Q258" s="225"/>
      <c r="R258" s="225"/>
      <c r="S258" s="225"/>
      <c r="T258" s="225"/>
      <c r="U258" s="225"/>
      <c r="V258" s="225"/>
      <c r="W258" s="225"/>
      <c r="X258" s="225"/>
      <c r="Y258" s="225"/>
      <c r="Z258" s="251"/>
      <c r="AA258" s="224"/>
      <c r="AB258" s="224"/>
      <c r="AC258" s="224"/>
      <c r="AD258" s="224"/>
      <c r="AE258" s="224"/>
      <c r="AF258" s="224"/>
      <c r="AG258" s="224"/>
      <c r="AH258" s="224"/>
      <c r="AI258" s="224"/>
      <c r="AJ258" s="224"/>
      <c r="AK258" s="224"/>
      <c r="AL258" s="224"/>
      <c r="AM258" s="224"/>
      <c r="AN258" s="224"/>
    </row>
    <row r="259" spans="3:40" ht="15" hidden="1" customHeight="1" outlineLevel="1">
      <c r="C259" s="592"/>
      <c r="D259" s="225"/>
      <c r="E259" s="225"/>
      <c r="F259" s="225"/>
      <c r="G259" s="225"/>
      <c r="H259" s="225"/>
      <c r="I259" s="225"/>
      <c r="J259" s="225"/>
      <c r="K259" s="225"/>
      <c r="L259" s="225"/>
      <c r="M259" s="225"/>
      <c r="N259" s="251"/>
      <c r="O259" s="224"/>
      <c r="P259" s="250"/>
      <c r="Q259" s="225"/>
      <c r="R259" s="225"/>
      <c r="S259" s="225"/>
      <c r="T259" s="225"/>
      <c r="U259" s="225"/>
      <c r="V259" s="225"/>
      <c r="W259" s="225"/>
      <c r="X259" s="225"/>
      <c r="Y259" s="225"/>
      <c r="Z259" s="251"/>
      <c r="AA259" s="224"/>
      <c r="AB259" s="224"/>
      <c r="AC259" s="224"/>
      <c r="AD259" s="224"/>
      <c r="AE259" s="224"/>
      <c r="AF259" s="224"/>
      <c r="AG259" s="224"/>
      <c r="AH259" s="224"/>
      <c r="AI259" s="224"/>
      <c r="AJ259" s="224"/>
      <c r="AK259" s="224"/>
      <c r="AL259" s="224"/>
      <c r="AM259" s="224"/>
      <c r="AN259" s="224"/>
    </row>
    <row r="260" spans="3:40" ht="15" hidden="1" customHeight="1" outlineLevel="1">
      <c r="C260" s="592"/>
      <c r="D260" s="225"/>
      <c r="E260" s="225"/>
      <c r="F260" s="225"/>
      <c r="G260" s="225"/>
      <c r="H260" s="225"/>
      <c r="I260" s="225"/>
      <c r="J260" s="225"/>
      <c r="K260" s="225"/>
      <c r="L260" s="225"/>
      <c r="M260" s="225"/>
      <c r="N260" s="251"/>
      <c r="O260" s="224"/>
      <c r="P260" s="250"/>
      <c r="Q260" s="225"/>
      <c r="R260" s="225"/>
      <c r="S260" s="225"/>
      <c r="T260" s="225"/>
      <c r="U260" s="225"/>
      <c r="V260" s="225"/>
      <c r="W260" s="225"/>
      <c r="X260" s="225"/>
      <c r="Y260" s="225"/>
      <c r="Z260" s="251"/>
      <c r="AA260" s="224"/>
      <c r="AB260" s="224"/>
      <c r="AC260" s="224"/>
      <c r="AD260" s="224"/>
      <c r="AE260" s="224"/>
      <c r="AF260" s="224"/>
      <c r="AG260" s="224"/>
      <c r="AH260" s="224"/>
      <c r="AI260" s="224"/>
      <c r="AJ260" s="224"/>
      <c r="AK260" s="224"/>
      <c r="AL260" s="224"/>
      <c r="AM260" s="224"/>
      <c r="AN260" s="224"/>
    </row>
    <row r="261" spans="3:40" ht="15" hidden="1" customHeight="1" outlineLevel="1">
      <c r="C261" s="592"/>
      <c r="D261" s="225"/>
      <c r="E261" s="225"/>
      <c r="F261" s="225"/>
      <c r="G261" s="225"/>
      <c r="H261" s="225"/>
      <c r="I261" s="225"/>
      <c r="J261" s="225"/>
      <c r="K261" s="225"/>
      <c r="L261" s="225"/>
      <c r="M261" s="225"/>
      <c r="N261" s="251"/>
      <c r="O261" s="224"/>
      <c r="P261" s="250"/>
      <c r="Q261" s="225"/>
      <c r="R261" s="225"/>
      <c r="S261" s="225"/>
      <c r="T261" s="225"/>
      <c r="U261" s="225"/>
      <c r="V261" s="225"/>
      <c r="W261" s="225"/>
      <c r="X261" s="225"/>
      <c r="Y261" s="225"/>
      <c r="Z261" s="251"/>
      <c r="AA261" s="224"/>
      <c r="AB261" s="224"/>
      <c r="AC261" s="224"/>
      <c r="AD261" s="224"/>
      <c r="AE261" s="224"/>
      <c r="AF261" s="224"/>
      <c r="AG261" s="224"/>
      <c r="AH261" s="224"/>
      <c r="AI261" s="224"/>
      <c r="AJ261" s="224"/>
      <c r="AK261" s="224"/>
      <c r="AL261" s="224"/>
      <c r="AM261" s="224"/>
      <c r="AN261" s="224"/>
    </row>
    <row r="262" spans="3:40" ht="15" hidden="1" customHeight="1" outlineLevel="1">
      <c r="C262" s="592"/>
      <c r="D262" s="225"/>
      <c r="E262" s="225"/>
      <c r="F262" s="225"/>
      <c r="G262" s="225"/>
      <c r="H262" s="225"/>
      <c r="I262" s="225"/>
      <c r="J262" s="225"/>
      <c r="K262" s="225"/>
      <c r="L262" s="225"/>
      <c r="M262" s="225"/>
      <c r="N262" s="251"/>
      <c r="O262" s="224"/>
      <c r="P262" s="250"/>
      <c r="Q262" s="225"/>
      <c r="R262" s="225"/>
      <c r="S262" s="225"/>
      <c r="T262" s="225"/>
      <c r="U262" s="225"/>
      <c r="V262" s="225"/>
      <c r="W262" s="225"/>
      <c r="X262" s="225"/>
      <c r="Y262" s="225"/>
      <c r="Z262" s="251"/>
      <c r="AA262" s="224"/>
      <c r="AB262" s="224"/>
      <c r="AC262" s="224"/>
      <c r="AD262" s="224"/>
      <c r="AE262" s="224"/>
      <c r="AF262" s="224"/>
      <c r="AG262" s="224"/>
      <c r="AH262" s="224"/>
      <c r="AI262" s="224"/>
      <c r="AJ262" s="224"/>
      <c r="AK262" s="224"/>
      <c r="AL262" s="224"/>
      <c r="AM262" s="224"/>
      <c r="AN262" s="224"/>
    </row>
    <row r="263" spans="3:40" ht="15" hidden="1" customHeight="1" outlineLevel="1" thickBot="1">
      <c r="C263" s="592"/>
      <c r="D263" s="225"/>
      <c r="E263" s="225"/>
      <c r="F263" s="225"/>
      <c r="G263" s="225"/>
      <c r="H263" s="225"/>
      <c r="I263" s="225"/>
      <c r="J263" s="225"/>
      <c r="K263" s="225"/>
      <c r="L263" s="225"/>
      <c r="M263" s="225"/>
      <c r="N263" s="251"/>
      <c r="O263" s="224"/>
      <c r="P263" s="250"/>
      <c r="Q263" s="225"/>
      <c r="R263" s="225"/>
      <c r="S263" s="225"/>
      <c r="T263" s="225"/>
      <c r="U263" s="225"/>
      <c r="V263" s="225"/>
      <c r="W263" s="225"/>
      <c r="X263" s="225"/>
      <c r="Y263" s="225"/>
      <c r="Z263" s="251"/>
      <c r="AA263" s="224"/>
      <c r="AB263" s="224"/>
      <c r="AC263" s="224"/>
      <c r="AD263" s="224"/>
      <c r="AE263" s="224"/>
      <c r="AF263" s="224"/>
      <c r="AG263" s="224"/>
      <c r="AH263" s="224"/>
      <c r="AI263" s="224"/>
      <c r="AJ263" s="224"/>
      <c r="AK263" s="224"/>
      <c r="AL263" s="224"/>
      <c r="AM263" s="224"/>
      <c r="AN263" s="224"/>
    </row>
    <row r="264" spans="3:40" ht="15" hidden="1" customHeight="1" outlineLevel="1">
      <c r="C264" s="592"/>
      <c r="D264" s="268" t="str">
        <f>IF($D$2=FALSE,"-",$N$208)</f>
        <v>-</v>
      </c>
      <c r="E264" s="257" t="str">
        <f>IF($D$2=FALSE,"-",$D$208)</f>
        <v>-</v>
      </c>
      <c r="F264" s="245" t="str">
        <f>IF($D$2=FALSE,"-",$E$208)</f>
        <v>-</v>
      </c>
      <c r="G264" s="245" t="str">
        <f>IF($D$2=FALSE,"-",$F$208)</f>
        <v>-</v>
      </c>
      <c r="H264" s="245" t="str">
        <f>IF($D$2=FALSE,"-",$G$208)</f>
        <v>-</v>
      </c>
      <c r="I264" s="245" t="str">
        <f>IF($D$2=FALSE,"-",$H$208)</f>
        <v>-</v>
      </c>
      <c r="J264" s="245" t="str">
        <f>IF($D$2=FALSE,"-",$I$208)</f>
        <v>-</v>
      </c>
      <c r="K264" s="245" t="str">
        <f>IF($D$2=FALSE,"-",$J$208)</f>
        <v>-</v>
      </c>
      <c r="L264" s="245" t="str">
        <f>IF($D$2=FALSE,"-",$K$208)</f>
        <v>-</v>
      </c>
      <c r="M264" s="245" t="str">
        <f>IF($D$2=FALSE,"-",$L$208)</f>
        <v>-</v>
      </c>
      <c r="N264" s="252" t="str">
        <f>IF($D$2=FALSE,"-",$M$208)</f>
        <v>-</v>
      </c>
      <c r="O264" s="224"/>
      <c r="P264" s="260" t="str">
        <f>IF($D$2=FALSE,"-",$N$208)</f>
        <v>-</v>
      </c>
      <c r="Q264" s="257" t="str">
        <f>IF($D$2=FALSE,"-",$D$208)</f>
        <v>-</v>
      </c>
      <c r="R264" s="245" t="str">
        <f>IF($D$2=FALSE,"-",$E$208)</f>
        <v>-</v>
      </c>
      <c r="S264" s="245" t="str">
        <f>IF($D$2=FALSE,"-",$F$208)</f>
        <v>-</v>
      </c>
      <c r="T264" s="245" t="str">
        <f>IF($D$2=FALSE,"-",$G$208)</f>
        <v>-</v>
      </c>
      <c r="U264" s="245" t="str">
        <f>IF($D$2=FALSE,"-",$H$208)</f>
        <v>-</v>
      </c>
      <c r="V264" s="245" t="str">
        <f>IF($D$2=FALSE,"-",$I$208)</f>
        <v>-</v>
      </c>
      <c r="W264" s="245" t="str">
        <f>IF($D$2=FALSE,"-",$J$208)</f>
        <v>-</v>
      </c>
      <c r="X264" s="245" t="str">
        <f>IF($D$2=FALSE,"-",$K$208)</f>
        <v>-</v>
      </c>
      <c r="Y264" s="245" t="str">
        <f>IF($D$2=FALSE,"-",$L$208)</f>
        <v>-</v>
      </c>
      <c r="Z264" s="252" t="str">
        <f>IF($D$2=FALSE,"-",$M$208)</f>
        <v>-</v>
      </c>
      <c r="AA264" s="224"/>
      <c r="AB264" s="224"/>
      <c r="AC264" s="224"/>
      <c r="AD264" s="224"/>
      <c r="AE264" s="224"/>
      <c r="AF264" s="224"/>
      <c r="AG264" s="224"/>
      <c r="AH264" s="224"/>
      <c r="AI264" s="224"/>
      <c r="AJ264" s="224"/>
      <c r="AK264" s="224"/>
      <c r="AL264" s="224"/>
      <c r="AM264" s="224"/>
      <c r="AN264" s="224"/>
    </row>
    <row r="265" spans="3:40" ht="15" hidden="1" customHeight="1" outlineLevel="1">
      <c r="C265" s="592"/>
      <c r="D265" s="308" t="str">
        <f ca="1">IF($D$2=FALSE,"-",OFFSET($C$9,D255,N$213+1))</f>
        <v>-</v>
      </c>
      <c r="E265" s="264" t="str">
        <f ca="1">IF($D$2=FALSE,"-",OFFSET($C$9,D255,E255))</f>
        <v>-</v>
      </c>
      <c r="F265" s="265" t="str">
        <f ca="1">IF($D$2=FALSE,"-",OFFSET($C$9,D255,F255))</f>
        <v>-</v>
      </c>
      <c r="G265" s="265" t="str">
        <f ca="1">IF($D$2=FALSE,"-",OFFSET($C$9,D255,G255))</f>
        <v>-</v>
      </c>
      <c r="H265" s="265" t="str">
        <f ca="1">IF($D$2=FALSE,"-",OFFSET($C$9,D255,H255))</f>
        <v>-</v>
      </c>
      <c r="I265" s="265" t="str">
        <f ca="1">IF($D$2=FALSE,"-",OFFSET($C$9,D255,I255))</f>
        <v>-</v>
      </c>
      <c r="J265" s="265" t="str">
        <f ca="1">IF($D$2=FALSE,"-",OFFSET($C$9,D255,J255))</f>
        <v>-</v>
      </c>
      <c r="K265" s="265" t="str">
        <f ca="1">IF($D$2=FALSE,"-",OFFSET($C$9,D255,K255))</f>
        <v>-</v>
      </c>
      <c r="L265" s="265" t="str">
        <f ca="1">IF($D$2=FALSE,"-",OFFSET($C$9,D255,L255))</f>
        <v>-</v>
      </c>
      <c r="M265" s="265" t="str">
        <f ca="1">IF($D$2=FALSE,"-",OFFSET($C$9,D255,M255))</f>
        <v>-</v>
      </c>
      <c r="N265" s="266" t="str">
        <f ca="1">IF($D$2=FALSE,"-",OFFSET($C$9,D255,N255))</f>
        <v>-</v>
      </c>
      <c r="O265" s="224"/>
      <c r="P265" s="263" t="str">
        <f ca="1">IF($D$2=FALSE,"-",OFFSET($C$9,P255,Z$213+1))</f>
        <v>-</v>
      </c>
      <c r="Q265" s="264" t="str">
        <f ca="1">IF($D$2=FALSE,"-",OFFSET($C$9,P255,Q255))</f>
        <v>-</v>
      </c>
      <c r="R265" s="265" t="str">
        <f ca="1">IF($D$2=FALSE,"-",OFFSET($C$9,P255,R255))</f>
        <v>-</v>
      </c>
      <c r="S265" s="265" t="str">
        <f ca="1">IF($D$2=FALSE,"-",OFFSET($C$9,P255,S255))</f>
        <v>-</v>
      </c>
      <c r="T265" s="265" t="str">
        <f ca="1">IF($D$2=FALSE,"-",OFFSET($C$9,P255,T255))</f>
        <v>-</v>
      </c>
      <c r="U265" s="265" t="str">
        <f ca="1">IF($D$2=FALSE,"-",OFFSET($C$9,P255,U255))</f>
        <v>-</v>
      </c>
      <c r="V265" s="265" t="str">
        <f ca="1">IF($D$2=FALSE,"-",OFFSET($C$9,P255,V255))</f>
        <v>-</v>
      </c>
      <c r="W265" s="265" t="str">
        <f ca="1">IF($D$2=FALSE,"-",OFFSET($C$9,P255,W255))</f>
        <v>-</v>
      </c>
      <c r="X265" s="265" t="str">
        <f ca="1">IF($D$2=FALSE,"-",OFFSET($C$9,P255,X255))</f>
        <v>-</v>
      </c>
      <c r="Y265" s="265" t="str">
        <f ca="1">IF($D$2=FALSE,"-",OFFSET($C$9,P255,Y255))</f>
        <v>-</v>
      </c>
      <c r="Z265" s="266" t="str">
        <f ca="1">IF($D$2=FALSE,"-",OFFSET($C$9,P255,Z255))</f>
        <v>-</v>
      </c>
      <c r="AA265" s="224"/>
      <c r="AB265" s="224"/>
      <c r="AC265" s="224"/>
      <c r="AD265" s="224"/>
      <c r="AE265" s="224"/>
      <c r="AF265" s="224"/>
      <c r="AG265" s="224"/>
      <c r="AH265" s="224"/>
      <c r="AI265" s="224"/>
      <c r="AJ265" s="224"/>
      <c r="AK265" s="224"/>
      <c r="AL265" s="224"/>
      <c r="AM265" s="224"/>
      <c r="AN265" s="224"/>
    </row>
    <row r="266" spans="3:40" ht="15" hidden="1" customHeight="1" outlineLevel="1" thickBot="1">
      <c r="C266" s="593"/>
      <c r="D266" s="270" t="str">
        <f>IF($D$2=FALSE,"-",MATCH(D254,$AB$214:$AB$231,0))</f>
        <v>-</v>
      </c>
      <c r="E266" s="259" t="str">
        <f t="shared" ref="E266:M266" si="236">IF($D$2=FALSE,"-",(E265-F265)/ABS(F265))</f>
        <v>-</v>
      </c>
      <c r="F266" s="254" t="str">
        <f t="shared" si="236"/>
        <v>-</v>
      </c>
      <c r="G266" s="254" t="str">
        <f t="shared" si="236"/>
        <v>-</v>
      </c>
      <c r="H266" s="254" t="str">
        <f t="shared" si="236"/>
        <v>-</v>
      </c>
      <c r="I266" s="254" t="str">
        <f t="shared" si="236"/>
        <v>-</v>
      </c>
      <c r="J266" s="254" t="str">
        <f t="shared" si="236"/>
        <v>-</v>
      </c>
      <c r="K266" s="254" t="str">
        <f t="shared" si="236"/>
        <v>-</v>
      </c>
      <c r="L266" s="254" t="str">
        <f t="shared" si="236"/>
        <v>-</v>
      </c>
      <c r="M266" s="254" t="str">
        <f t="shared" si="236"/>
        <v>-</v>
      </c>
      <c r="N266" s="255" t="s">
        <v>478</v>
      </c>
      <c r="O266" s="227"/>
      <c r="P266" s="261" t="str">
        <f>IF($D$2=FALSE,"-",MATCH(P254,$AB$214:$AB$231,0))</f>
        <v>-</v>
      </c>
      <c r="Q266" s="259" t="str">
        <f t="shared" ref="Q266:Y266" si="237">IF($D$2=FALSE,"-",(Q265-R265)/ABS(R265))</f>
        <v>-</v>
      </c>
      <c r="R266" s="254" t="str">
        <f t="shared" si="237"/>
        <v>-</v>
      </c>
      <c r="S266" s="254" t="str">
        <f t="shared" si="237"/>
        <v>-</v>
      </c>
      <c r="T266" s="254" t="str">
        <f t="shared" si="237"/>
        <v>-</v>
      </c>
      <c r="U266" s="254" t="str">
        <f t="shared" si="237"/>
        <v>-</v>
      </c>
      <c r="V266" s="254" t="str">
        <f t="shared" si="237"/>
        <v>-</v>
      </c>
      <c r="W266" s="254" t="str">
        <f t="shared" si="237"/>
        <v>-</v>
      </c>
      <c r="X266" s="254" t="str">
        <f t="shared" si="237"/>
        <v>-</v>
      </c>
      <c r="Y266" s="254" t="str">
        <f t="shared" si="237"/>
        <v>-</v>
      </c>
      <c r="Z266" s="255" t="s">
        <v>478</v>
      </c>
      <c r="AA266" s="224"/>
      <c r="AB266" s="224"/>
      <c r="AC266" s="224"/>
      <c r="AD266" s="224"/>
      <c r="AE266" s="224"/>
      <c r="AF266" s="224"/>
      <c r="AG266" s="224"/>
      <c r="AH266" s="224"/>
      <c r="AI266" s="224"/>
      <c r="AJ266" s="224"/>
      <c r="AK266" s="224"/>
      <c r="AL266" s="224"/>
      <c r="AM266" s="224"/>
      <c r="AN266" s="224"/>
    </row>
    <row r="267" spans="3:40" ht="15" hidden="1" customHeight="1" outlineLevel="1">
      <c r="C267" s="241"/>
      <c r="D267" s="242"/>
      <c r="E267" s="242"/>
      <c r="F267" s="242"/>
      <c r="G267" s="242"/>
      <c r="H267" s="242"/>
      <c r="I267" s="242"/>
      <c r="J267" s="242"/>
      <c r="K267" s="242"/>
      <c r="L267" s="242"/>
      <c r="M267" s="243"/>
      <c r="N267" s="242"/>
      <c r="O267" s="242"/>
      <c r="P267" s="242"/>
      <c r="Q267" s="242"/>
      <c r="R267" s="242"/>
      <c r="S267" s="242"/>
      <c r="T267" s="242"/>
      <c r="U267" s="242"/>
      <c r="V267" s="242"/>
      <c r="W267" s="242"/>
      <c r="X267" s="242"/>
      <c r="Y267" s="242"/>
      <c r="Z267" s="242"/>
      <c r="AA267" s="242"/>
      <c r="AB267" s="242"/>
      <c r="AC267" s="242"/>
      <c r="AD267" s="242"/>
      <c r="AE267" s="243"/>
      <c r="AF267" s="243"/>
      <c r="AG267" s="243"/>
    </row>
    <row r="268" spans="3:40" ht="15" hidden="1" customHeight="1" outlineLevel="1" thickBot="1">
      <c r="C268" s="241"/>
      <c r="D268" s="242"/>
      <c r="E268" s="242"/>
      <c r="F268" s="242"/>
      <c r="G268" s="242"/>
      <c r="H268" s="242"/>
      <c r="I268" s="242"/>
      <c r="J268" s="242"/>
      <c r="K268" s="242"/>
      <c r="L268" s="242"/>
      <c r="M268" s="243"/>
      <c r="N268" s="242"/>
      <c r="O268" s="242"/>
      <c r="P268" s="242"/>
      <c r="Q268" s="242"/>
      <c r="R268" s="242"/>
      <c r="S268" s="242"/>
      <c r="T268" s="242"/>
      <c r="U268" s="242"/>
      <c r="V268" s="242"/>
      <c r="W268" s="242"/>
      <c r="X268" s="242"/>
      <c r="Y268" s="242"/>
      <c r="Z268" s="242"/>
      <c r="AA268" s="242"/>
      <c r="AB268" s="242"/>
      <c r="AC268" s="242"/>
      <c r="AD268" s="242"/>
      <c r="AE268" s="243"/>
      <c r="AF268" s="243"/>
      <c r="AG268" s="243"/>
    </row>
    <row r="269" spans="3:40" s="154" customFormat="1" ht="15" customHeight="1" collapsed="1" thickBot="1">
      <c r="C269" s="155" t="s">
        <v>174</v>
      </c>
      <c r="D269" s="156"/>
      <c r="E269" s="157"/>
      <c r="F269" s="157"/>
      <c r="G269" s="157"/>
      <c r="H269" s="157"/>
      <c r="I269" s="157"/>
      <c r="J269" s="157"/>
      <c r="K269" s="157"/>
      <c r="L269" s="157"/>
      <c r="M269" s="158"/>
      <c r="N269" s="156"/>
      <c r="O269" s="157"/>
      <c r="P269" s="157"/>
      <c r="Q269" s="157"/>
      <c r="R269" s="157"/>
      <c r="S269" s="157"/>
      <c r="T269" s="157"/>
      <c r="U269" s="157"/>
      <c r="V269" s="157"/>
      <c r="W269" s="157"/>
      <c r="X269" s="157"/>
      <c r="Y269" s="157"/>
      <c r="Z269" s="157"/>
      <c r="AA269" s="157"/>
      <c r="AB269" s="157"/>
      <c r="AC269" s="157"/>
      <c r="AD269" s="157"/>
      <c r="AE269" s="157"/>
      <c r="AF269" s="157"/>
      <c r="AG269" s="158"/>
      <c r="AJ269" s="159"/>
    </row>
    <row r="270" spans="3:40" s="154" customFormat="1" ht="3.75" customHeight="1" thickBot="1"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spans="3:40" s="154" customFormat="1" ht="15" customHeight="1" outlineLevel="1" thickBot="1">
      <c r="C271" s="160"/>
      <c r="D271" s="161" t="s">
        <v>175</v>
      </c>
      <c r="E271" s="162" t="s">
        <v>175</v>
      </c>
      <c r="F271" s="162" t="s">
        <v>175</v>
      </c>
      <c r="G271" s="162" t="s">
        <v>175</v>
      </c>
      <c r="H271" s="162" t="s">
        <v>175</v>
      </c>
      <c r="I271" s="162" t="s">
        <v>175</v>
      </c>
      <c r="J271" s="162" t="s">
        <v>175</v>
      </c>
      <c r="K271" s="162" t="s">
        <v>175</v>
      </c>
      <c r="L271" s="162" t="s">
        <v>175</v>
      </c>
      <c r="M271" s="163" t="s">
        <v>175</v>
      </c>
      <c r="N271" s="164" t="s">
        <v>176</v>
      </c>
      <c r="O271" s="165" t="s">
        <v>176</v>
      </c>
      <c r="P271" s="165" t="s">
        <v>176</v>
      </c>
      <c r="Q271" s="165" t="s">
        <v>176</v>
      </c>
      <c r="R271" s="165" t="s">
        <v>176</v>
      </c>
      <c r="S271" s="165" t="s">
        <v>176</v>
      </c>
      <c r="T271" s="165" t="s">
        <v>176</v>
      </c>
      <c r="U271" s="165" t="s">
        <v>176</v>
      </c>
      <c r="V271" s="165" t="s">
        <v>176</v>
      </c>
      <c r="W271" s="165" t="s">
        <v>176</v>
      </c>
      <c r="X271" s="165" t="s">
        <v>176</v>
      </c>
      <c r="Y271" s="165" t="s">
        <v>176</v>
      </c>
      <c r="Z271" s="165" t="s">
        <v>176</v>
      </c>
      <c r="AA271" s="165" t="s">
        <v>176</v>
      </c>
      <c r="AB271" s="165" t="s">
        <v>176</v>
      </c>
      <c r="AC271" s="165" t="s">
        <v>176</v>
      </c>
      <c r="AD271" s="165" t="s">
        <v>176</v>
      </c>
      <c r="AE271" s="165" t="s">
        <v>176</v>
      </c>
      <c r="AF271" s="165" t="s">
        <v>176</v>
      </c>
      <c r="AG271" s="166" t="s">
        <v>176</v>
      </c>
    </row>
    <row r="272" spans="3:40" s="154" customFormat="1" ht="3" customHeight="1" outlineLevel="1" thickBot="1"/>
    <row r="273" spans="2:33" s="154" customFormat="1" ht="15" customHeight="1" outlineLevel="1">
      <c r="B273" s="167" t="s">
        <v>177</v>
      </c>
      <c r="C273" s="167" t="s">
        <v>476</v>
      </c>
      <c r="D273" s="168">
        <v>41275</v>
      </c>
      <c r="E273" s="169">
        <v>40909</v>
      </c>
      <c r="F273" s="169">
        <v>40544</v>
      </c>
      <c r="G273" s="169">
        <v>40179</v>
      </c>
      <c r="H273" s="169">
        <v>39814</v>
      </c>
      <c r="I273" s="169">
        <v>39448</v>
      </c>
      <c r="J273" s="169">
        <v>39083</v>
      </c>
      <c r="K273" s="169">
        <v>38718</v>
      </c>
      <c r="L273" s="169">
        <v>38353</v>
      </c>
      <c r="M273" s="170">
        <v>37987</v>
      </c>
      <c r="N273" s="171">
        <v>41275</v>
      </c>
      <c r="O273" s="169">
        <v>41183</v>
      </c>
      <c r="P273" s="169">
        <v>41091</v>
      </c>
      <c r="Q273" s="169">
        <v>41000</v>
      </c>
      <c r="R273" s="169">
        <v>40909</v>
      </c>
      <c r="S273" s="169">
        <v>40817</v>
      </c>
      <c r="T273" s="169">
        <v>40725</v>
      </c>
      <c r="U273" s="169">
        <v>40634</v>
      </c>
      <c r="V273" s="169">
        <v>40544</v>
      </c>
      <c r="W273" s="169">
        <v>40452</v>
      </c>
      <c r="X273" s="169">
        <v>40360</v>
      </c>
      <c r="Y273" s="169">
        <v>40269</v>
      </c>
      <c r="Z273" s="169">
        <v>40179</v>
      </c>
      <c r="AA273" s="169">
        <v>40087</v>
      </c>
      <c r="AB273" s="169">
        <v>39995</v>
      </c>
      <c r="AC273" s="169">
        <v>39904</v>
      </c>
      <c r="AD273" s="169">
        <v>39814</v>
      </c>
      <c r="AE273" s="169">
        <v>39722</v>
      </c>
      <c r="AF273" s="169">
        <v>39630</v>
      </c>
      <c r="AG273" s="172">
        <v>39539</v>
      </c>
    </row>
    <row r="274" spans="2:33" s="154" customFormat="1" ht="15" customHeight="1" outlineLevel="1">
      <c r="B274" s="173" t="s">
        <v>177</v>
      </c>
      <c r="C274" s="173" t="s">
        <v>204</v>
      </c>
      <c r="D274" s="174">
        <v>41327</v>
      </c>
      <c r="E274" s="175">
        <v>40961</v>
      </c>
      <c r="F274" s="175">
        <v>40590</v>
      </c>
      <c r="G274" s="175">
        <v>40231</v>
      </c>
      <c r="H274" s="175">
        <v>39874</v>
      </c>
      <c r="I274" s="175">
        <v>39507</v>
      </c>
      <c r="J274" s="175">
        <v>39143</v>
      </c>
      <c r="K274" s="175">
        <v>38797</v>
      </c>
      <c r="L274" s="175">
        <v>38400</v>
      </c>
      <c r="M274" s="176">
        <v>38030</v>
      </c>
      <c r="N274" s="177">
        <v>41327</v>
      </c>
      <c r="O274" s="175">
        <v>41229</v>
      </c>
      <c r="P274" s="175">
        <v>41143</v>
      </c>
      <c r="Q274" s="175">
        <v>41052</v>
      </c>
      <c r="R274" s="175">
        <v>40961</v>
      </c>
      <c r="S274" s="175">
        <v>40863</v>
      </c>
      <c r="T274" s="175">
        <v>40772</v>
      </c>
      <c r="U274" s="175">
        <v>40681</v>
      </c>
      <c r="V274" s="175">
        <v>40590</v>
      </c>
      <c r="W274" s="175">
        <v>40501</v>
      </c>
      <c r="X274" s="175">
        <v>40410</v>
      </c>
      <c r="Y274" s="175">
        <v>40322</v>
      </c>
      <c r="Z274" s="175">
        <v>40231</v>
      </c>
      <c r="AA274" s="175">
        <v>40140</v>
      </c>
      <c r="AB274" s="175">
        <v>40056</v>
      </c>
      <c r="AC274" s="175">
        <v>39965</v>
      </c>
      <c r="AD274" s="175">
        <v>39874</v>
      </c>
      <c r="AE274" s="175">
        <v>39773</v>
      </c>
      <c r="AF274" s="175">
        <v>39689</v>
      </c>
      <c r="AG274" s="178">
        <v>39598</v>
      </c>
    </row>
    <row r="275" spans="2:33" s="154" customFormat="1" ht="15" customHeight="1" outlineLevel="1">
      <c r="B275" s="173" t="s">
        <v>177</v>
      </c>
      <c r="C275" s="173" t="s">
        <v>205</v>
      </c>
      <c r="D275" s="179" t="s">
        <v>178</v>
      </c>
      <c r="E275" s="180" t="s">
        <v>178</v>
      </c>
      <c r="F275" s="180" t="s">
        <v>178</v>
      </c>
      <c r="G275" s="180" t="s">
        <v>178</v>
      </c>
      <c r="H275" s="180" t="s">
        <v>178</v>
      </c>
      <c r="I275" s="180" t="s">
        <v>178</v>
      </c>
      <c r="J275" s="180" t="s">
        <v>178</v>
      </c>
      <c r="K275" s="180" t="s">
        <v>178</v>
      </c>
      <c r="L275" s="180" t="s">
        <v>178</v>
      </c>
      <c r="M275" s="181" t="s">
        <v>178</v>
      </c>
      <c r="N275" s="182" t="s">
        <v>178</v>
      </c>
      <c r="O275" s="180" t="s">
        <v>179</v>
      </c>
      <c r="P275" s="180" t="s">
        <v>180</v>
      </c>
      <c r="Q275" s="180" t="s">
        <v>181</v>
      </c>
      <c r="R275" s="180" t="s">
        <v>178</v>
      </c>
      <c r="S275" s="180" t="s">
        <v>179</v>
      </c>
      <c r="T275" s="180" t="s">
        <v>180</v>
      </c>
      <c r="U275" s="180" t="s">
        <v>181</v>
      </c>
      <c r="V275" s="180" t="s">
        <v>178</v>
      </c>
      <c r="W275" s="180" t="s">
        <v>179</v>
      </c>
      <c r="X275" s="180" t="s">
        <v>180</v>
      </c>
      <c r="Y275" s="180" t="s">
        <v>181</v>
      </c>
      <c r="Z275" s="180" t="s">
        <v>178</v>
      </c>
      <c r="AA275" s="180" t="s">
        <v>179</v>
      </c>
      <c r="AB275" s="180" t="s">
        <v>180</v>
      </c>
      <c r="AC275" s="180" t="s">
        <v>181</v>
      </c>
      <c r="AD275" s="180" t="s">
        <v>178</v>
      </c>
      <c r="AE275" s="180" t="s">
        <v>179</v>
      </c>
      <c r="AF275" s="180" t="s">
        <v>180</v>
      </c>
      <c r="AG275" s="183" t="s">
        <v>181</v>
      </c>
    </row>
    <row r="276" spans="2:33" s="154" customFormat="1" ht="15" customHeight="1" outlineLevel="1">
      <c r="B276" s="173" t="s">
        <v>177</v>
      </c>
      <c r="C276" s="173" t="s">
        <v>206</v>
      </c>
      <c r="D276" s="179">
        <v>4</v>
      </c>
      <c r="E276" s="180">
        <v>4</v>
      </c>
      <c r="F276" s="180">
        <v>4</v>
      </c>
      <c r="G276" s="180">
        <v>4</v>
      </c>
      <c r="H276" s="180">
        <v>4</v>
      </c>
      <c r="I276" s="180">
        <v>4</v>
      </c>
      <c r="J276" s="180">
        <v>4</v>
      </c>
      <c r="K276" s="180">
        <v>4</v>
      </c>
      <c r="L276" s="180">
        <v>4</v>
      </c>
      <c r="M276" s="181">
        <v>4</v>
      </c>
      <c r="N276" s="182">
        <v>4</v>
      </c>
      <c r="O276" s="180">
        <v>3</v>
      </c>
      <c r="P276" s="180">
        <v>2</v>
      </c>
      <c r="Q276" s="180">
        <v>1</v>
      </c>
      <c r="R276" s="180">
        <v>4</v>
      </c>
      <c r="S276" s="180">
        <v>3</v>
      </c>
      <c r="T276" s="180">
        <v>2</v>
      </c>
      <c r="U276" s="180">
        <v>1</v>
      </c>
      <c r="V276" s="180">
        <v>4</v>
      </c>
      <c r="W276" s="180">
        <v>3</v>
      </c>
      <c r="X276" s="180">
        <v>2</v>
      </c>
      <c r="Y276" s="180">
        <v>1</v>
      </c>
      <c r="Z276" s="180">
        <v>4</v>
      </c>
      <c r="AA276" s="180">
        <v>3</v>
      </c>
      <c r="AB276" s="180">
        <v>2</v>
      </c>
      <c r="AC276" s="180">
        <v>1</v>
      </c>
      <c r="AD276" s="180">
        <v>4</v>
      </c>
      <c r="AE276" s="180">
        <v>3</v>
      </c>
      <c r="AF276" s="180">
        <v>2</v>
      </c>
      <c r="AG276" s="183">
        <v>1</v>
      </c>
    </row>
    <row r="277" spans="2:33" s="154" customFormat="1" ht="15" customHeight="1" outlineLevel="1">
      <c r="B277" s="173" t="s">
        <v>177</v>
      </c>
      <c r="C277" s="173" t="s">
        <v>207</v>
      </c>
      <c r="D277" s="179" t="s">
        <v>182</v>
      </c>
      <c r="E277" s="180" t="s">
        <v>182</v>
      </c>
      <c r="F277" s="180" t="s">
        <v>182</v>
      </c>
      <c r="G277" s="180" t="s">
        <v>182</v>
      </c>
      <c r="H277" s="180" t="s">
        <v>182</v>
      </c>
      <c r="I277" s="180" t="s">
        <v>182</v>
      </c>
      <c r="J277" s="180" t="s">
        <v>182</v>
      </c>
      <c r="K277" s="180" t="s">
        <v>182</v>
      </c>
      <c r="L277" s="180" t="s">
        <v>182</v>
      </c>
      <c r="M277" s="181" t="s">
        <v>182</v>
      </c>
      <c r="N277" s="182" t="s">
        <v>182</v>
      </c>
      <c r="O277" s="180" t="s">
        <v>182</v>
      </c>
      <c r="P277" s="180" t="s">
        <v>182</v>
      </c>
      <c r="Q277" s="180" t="s">
        <v>182</v>
      </c>
      <c r="R277" s="180" t="s">
        <v>182</v>
      </c>
      <c r="S277" s="180" t="s">
        <v>182</v>
      </c>
      <c r="T277" s="180" t="s">
        <v>182</v>
      </c>
      <c r="U277" s="180" t="s">
        <v>182</v>
      </c>
      <c r="V277" s="180" t="s">
        <v>182</v>
      </c>
      <c r="W277" s="180" t="s">
        <v>182</v>
      </c>
      <c r="X277" s="180" t="s">
        <v>182</v>
      </c>
      <c r="Y277" s="180" t="s">
        <v>182</v>
      </c>
      <c r="Z277" s="180" t="s">
        <v>182</v>
      </c>
      <c r="AA277" s="180" t="s">
        <v>182</v>
      </c>
      <c r="AB277" s="180" t="s">
        <v>182</v>
      </c>
      <c r="AC277" s="180" t="s">
        <v>182</v>
      </c>
      <c r="AD277" s="180" t="s">
        <v>182</v>
      </c>
      <c r="AE277" s="180" t="s">
        <v>182</v>
      </c>
      <c r="AF277" s="180" t="s">
        <v>182</v>
      </c>
      <c r="AG277" s="183" t="s">
        <v>182</v>
      </c>
    </row>
    <row r="278" spans="2:33" s="154" customFormat="1" ht="15" customHeight="1" outlineLevel="1">
      <c r="B278" s="173" t="s">
        <v>177</v>
      </c>
      <c r="C278" s="173" t="s">
        <v>208</v>
      </c>
      <c r="D278" s="179"/>
      <c r="E278" s="180"/>
      <c r="F278" s="180"/>
      <c r="G278" s="180"/>
      <c r="H278" s="180"/>
      <c r="I278" s="180"/>
      <c r="J278" s="180"/>
      <c r="K278" s="180"/>
      <c r="L278" s="180"/>
      <c r="M278" s="181"/>
      <c r="N278" s="182"/>
      <c r="O278" s="180"/>
      <c r="P278" s="180"/>
      <c r="Q278" s="180"/>
      <c r="R278" s="180"/>
      <c r="S278" s="180"/>
      <c r="T278" s="180"/>
      <c r="U278" s="180"/>
      <c r="V278" s="180"/>
      <c r="W278" s="180"/>
      <c r="X278" s="180"/>
      <c r="Y278" s="180"/>
      <c r="Z278" s="180"/>
      <c r="AA278" s="180"/>
      <c r="AB278" s="180"/>
      <c r="AC278" s="180"/>
      <c r="AD278" s="180"/>
      <c r="AE278" s="180"/>
      <c r="AF278" s="180"/>
      <c r="AG278" s="183"/>
    </row>
    <row r="279" spans="2:33" s="154" customFormat="1" ht="15" customHeight="1" outlineLevel="1">
      <c r="B279" s="173" t="s">
        <v>177</v>
      </c>
      <c r="C279" s="173" t="s">
        <v>209</v>
      </c>
      <c r="D279" s="179" t="s">
        <v>179</v>
      </c>
      <c r="E279" s="180" t="s">
        <v>179</v>
      </c>
      <c r="F279" s="180" t="s">
        <v>179</v>
      </c>
      <c r="G279" s="180" t="s">
        <v>179</v>
      </c>
      <c r="H279" s="180" t="s">
        <v>179</v>
      </c>
      <c r="I279" s="180" t="s">
        <v>179</v>
      </c>
      <c r="J279" s="180" t="s">
        <v>179</v>
      </c>
      <c r="K279" s="180" t="s">
        <v>179</v>
      </c>
      <c r="L279" s="180" t="s">
        <v>179</v>
      </c>
      <c r="M279" s="181" t="s">
        <v>179</v>
      </c>
      <c r="N279" s="182" t="s">
        <v>179</v>
      </c>
      <c r="O279" s="180" t="s">
        <v>179</v>
      </c>
      <c r="P279" s="180" t="s">
        <v>179</v>
      </c>
      <c r="Q279" s="180" t="s">
        <v>179</v>
      </c>
      <c r="R279" s="180" t="s">
        <v>179</v>
      </c>
      <c r="S279" s="180" t="s">
        <v>179</v>
      </c>
      <c r="T279" s="180" t="s">
        <v>179</v>
      </c>
      <c r="U279" s="180" t="s">
        <v>179</v>
      </c>
      <c r="V279" s="180" t="s">
        <v>179</v>
      </c>
      <c r="W279" s="180" t="s">
        <v>179</v>
      </c>
      <c r="X279" s="180" t="s">
        <v>179</v>
      </c>
      <c r="Y279" s="180" t="s">
        <v>179</v>
      </c>
      <c r="Z279" s="180" t="s">
        <v>179</v>
      </c>
      <c r="AA279" s="180" t="s">
        <v>179</v>
      </c>
      <c r="AB279" s="180" t="s">
        <v>179</v>
      </c>
      <c r="AC279" s="180" t="s">
        <v>179</v>
      </c>
      <c r="AD279" s="180" t="s">
        <v>179</v>
      </c>
      <c r="AE279" s="180" t="s">
        <v>179</v>
      </c>
      <c r="AF279" s="180" t="s">
        <v>179</v>
      </c>
      <c r="AG279" s="183" t="s">
        <v>179</v>
      </c>
    </row>
    <row r="280" spans="2:33" s="154" customFormat="1" ht="15" customHeight="1" outlineLevel="1">
      <c r="B280" s="173" t="s">
        <v>177</v>
      </c>
      <c r="C280" s="173" t="s">
        <v>210</v>
      </c>
      <c r="D280" s="179" t="s">
        <v>183</v>
      </c>
      <c r="E280" s="180" t="s">
        <v>183</v>
      </c>
      <c r="F280" s="180" t="s">
        <v>183</v>
      </c>
      <c r="G280" s="180" t="s">
        <v>183</v>
      </c>
      <c r="H280" s="180" t="s">
        <v>183</v>
      </c>
      <c r="I280" s="180" t="s">
        <v>183</v>
      </c>
      <c r="J280" s="180" t="s">
        <v>183</v>
      </c>
      <c r="K280" s="180" t="s">
        <v>183</v>
      </c>
      <c r="L280" s="180" t="s">
        <v>183</v>
      </c>
      <c r="M280" s="181" t="s">
        <v>183</v>
      </c>
      <c r="N280" s="182" t="s">
        <v>183</v>
      </c>
      <c r="O280" s="180" t="s">
        <v>183</v>
      </c>
      <c r="P280" s="180" t="s">
        <v>183</v>
      </c>
      <c r="Q280" s="180" t="s">
        <v>183</v>
      </c>
      <c r="R280" s="180" t="s">
        <v>183</v>
      </c>
      <c r="S280" s="180" t="s">
        <v>183</v>
      </c>
      <c r="T280" s="180" t="s">
        <v>183</v>
      </c>
      <c r="U280" s="180" t="s">
        <v>183</v>
      </c>
      <c r="V280" s="180" t="s">
        <v>183</v>
      </c>
      <c r="W280" s="180" t="s">
        <v>183</v>
      </c>
      <c r="X280" s="180" t="s">
        <v>183</v>
      </c>
      <c r="Y280" s="180" t="s">
        <v>183</v>
      </c>
      <c r="Z280" s="180" t="s">
        <v>183</v>
      </c>
      <c r="AA280" s="180" t="s">
        <v>183</v>
      </c>
      <c r="AB280" s="180" t="s">
        <v>183</v>
      </c>
      <c r="AC280" s="180" t="s">
        <v>183</v>
      </c>
      <c r="AD280" s="180" t="s">
        <v>183</v>
      </c>
      <c r="AE280" s="180" t="s">
        <v>183</v>
      </c>
      <c r="AF280" s="180" t="s">
        <v>183</v>
      </c>
      <c r="AG280" s="183" t="s">
        <v>183</v>
      </c>
    </row>
    <row r="281" spans="2:33" s="154" customFormat="1" ht="15" customHeight="1" outlineLevel="1" thickBot="1">
      <c r="B281" s="184" t="s">
        <v>177</v>
      </c>
      <c r="C281" s="184" t="s">
        <v>211</v>
      </c>
      <c r="D281" s="185">
        <v>12</v>
      </c>
      <c r="E281" s="186">
        <v>12</v>
      </c>
      <c r="F281" s="186">
        <v>12</v>
      </c>
      <c r="G281" s="186">
        <v>12</v>
      </c>
      <c r="H281" s="186">
        <v>12</v>
      </c>
      <c r="I281" s="186">
        <v>12</v>
      </c>
      <c r="J281" s="186">
        <v>12</v>
      </c>
      <c r="K281" s="186">
        <v>12</v>
      </c>
      <c r="L281" s="186">
        <v>12</v>
      </c>
      <c r="M281" s="187">
        <v>12</v>
      </c>
      <c r="N281" s="188">
        <v>3</v>
      </c>
      <c r="O281" s="186">
        <v>3</v>
      </c>
      <c r="P281" s="186">
        <v>3</v>
      </c>
      <c r="Q281" s="186">
        <v>3</v>
      </c>
      <c r="R281" s="186">
        <v>3</v>
      </c>
      <c r="S281" s="186">
        <v>3</v>
      </c>
      <c r="T281" s="186">
        <v>3</v>
      </c>
      <c r="U281" s="186">
        <v>3</v>
      </c>
      <c r="V281" s="186">
        <v>3</v>
      </c>
      <c r="W281" s="186">
        <v>3</v>
      </c>
      <c r="X281" s="186">
        <v>3</v>
      </c>
      <c r="Y281" s="186">
        <v>3</v>
      </c>
      <c r="Z281" s="186">
        <v>3</v>
      </c>
      <c r="AA281" s="186">
        <v>3</v>
      </c>
      <c r="AB281" s="186">
        <v>3</v>
      </c>
      <c r="AC281" s="186">
        <v>3</v>
      </c>
      <c r="AD281" s="186">
        <v>3</v>
      </c>
      <c r="AE281" s="186">
        <v>3</v>
      </c>
      <c r="AF281" s="186">
        <v>3</v>
      </c>
      <c r="AG281" s="189">
        <v>3</v>
      </c>
    </row>
    <row r="282" spans="2:33" s="154" customFormat="1" ht="15" customHeight="1" outlineLevel="1">
      <c r="B282" s="190" t="s">
        <v>184</v>
      </c>
      <c r="C282" s="190" t="s">
        <v>212</v>
      </c>
      <c r="D282" s="191">
        <v>56940</v>
      </c>
      <c r="E282" s="192">
        <v>62071</v>
      </c>
      <c r="F282" s="192">
        <v>61494</v>
      </c>
      <c r="G282" s="192">
        <v>52902</v>
      </c>
      <c r="H282" s="192">
        <v>61101</v>
      </c>
      <c r="I282" s="192">
        <v>61133</v>
      </c>
      <c r="J282" s="192">
        <v>57420</v>
      </c>
      <c r="K282" s="192">
        <v>55908</v>
      </c>
      <c r="L282" s="192">
        <v>49205</v>
      </c>
      <c r="M282" s="193">
        <v>41444</v>
      </c>
      <c r="N282" s="194">
        <v>14314</v>
      </c>
      <c r="O282" s="192">
        <v>13721</v>
      </c>
      <c r="P282" s="192">
        <v>14483</v>
      </c>
      <c r="Q282" s="192">
        <v>14422</v>
      </c>
      <c r="R282" s="192">
        <v>16031</v>
      </c>
      <c r="S282" s="192">
        <v>15365</v>
      </c>
      <c r="T282" s="192">
        <v>15658</v>
      </c>
      <c r="U282" s="192">
        <v>15017</v>
      </c>
      <c r="V282" s="192">
        <v>15692</v>
      </c>
      <c r="W282" s="192">
        <v>15394</v>
      </c>
      <c r="X282" s="192">
        <v>15534</v>
      </c>
      <c r="Y282" s="192">
        <v>14874</v>
      </c>
      <c r="Z282" s="192">
        <v>14900</v>
      </c>
      <c r="AA282" s="192">
        <v>12896</v>
      </c>
      <c r="AB282" s="192">
        <v>12764</v>
      </c>
      <c r="AC282" s="192">
        <v>12342</v>
      </c>
      <c r="AD282" s="192">
        <v>13428</v>
      </c>
      <c r="AE282" s="192">
        <v>15162</v>
      </c>
      <c r="AF282" s="192">
        <v>16434</v>
      </c>
      <c r="AG282" s="195">
        <v>16077</v>
      </c>
    </row>
    <row r="283" spans="2:33" s="154" customFormat="1" ht="15" customHeight="1" outlineLevel="1">
      <c r="B283" s="196" t="s">
        <v>184</v>
      </c>
      <c r="C283" s="196" t="s">
        <v>213</v>
      </c>
      <c r="D283" s="179">
        <v>56940</v>
      </c>
      <c r="E283" s="180">
        <v>62071</v>
      </c>
      <c r="F283" s="180">
        <v>61494</v>
      </c>
      <c r="G283" s="180">
        <v>52902</v>
      </c>
      <c r="H283" s="180">
        <v>61101</v>
      </c>
      <c r="I283" s="180">
        <v>61133</v>
      </c>
      <c r="J283" s="180">
        <v>57420</v>
      </c>
      <c r="K283" s="180">
        <v>55908</v>
      </c>
      <c r="L283" s="180">
        <v>49205</v>
      </c>
      <c r="M283" s="181">
        <v>41444</v>
      </c>
      <c r="N283" s="182">
        <v>14314</v>
      </c>
      <c r="O283" s="180">
        <v>13721</v>
      </c>
      <c r="P283" s="180">
        <v>14483</v>
      </c>
      <c r="Q283" s="180">
        <v>14422</v>
      </c>
      <c r="R283" s="180">
        <v>16031</v>
      </c>
      <c r="S283" s="180">
        <v>15365</v>
      </c>
      <c r="T283" s="180">
        <v>15658</v>
      </c>
      <c r="U283" s="180">
        <v>15017</v>
      </c>
      <c r="V283" s="180">
        <v>15692</v>
      </c>
      <c r="W283" s="180">
        <v>15394</v>
      </c>
      <c r="X283" s="180">
        <v>15534</v>
      </c>
      <c r="Y283" s="180">
        <v>14874</v>
      </c>
      <c r="Z283" s="180">
        <v>14900</v>
      </c>
      <c r="AA283" s="180">
        <v>12896</v>
      </c>
      <c r="AB283" s="180">
        <v>12764</v>
      </c>
      <c r="AC283" s="180">
        <v>12342</v>
      </c>
      <c r="AD283" s="180">
        <v>13428</v>
      </c>
      <c r="AE283" s="180">
        <v>15162</v>
      </c>
      <c r="AF283" s="180">
        <v>16434</v>
      </c>
      <c r="AG283" s="183">
        <v>16077</v>
      </c>
    </row>
    <row r="284" spans="2:33" s="154" customFormat="1" ht="15" customHeight="1" outlineLevel="1">
      <c r="B284" s="196" t="s">
        <v>184</v>
      </c>
      <c r="C284" s="196" t="s">
        <v>214</v>
      </c>
      <c r="D284" s="179">
        <v>0</v>
      </c>
      <c r="E284" s="180">
        <v>0</v>
      </c>
      <c r="F284" s="180">
        <v>0</v>
      </c>
      <c r="G284" s="180">
        <v>0</v>
      </c>
      <c r="H284" s="180">
        <v>0</v>
      </c>
      <c r="I284" s="180">
        <v>0</v>
      </c>
      <c r="J284" s="180">
        <v>0</v>
      </c>
      <c r="K284" s="180">
        <v>0</v>
      </c>
      <c r="L284" s="180">
        <v>0</v>
      </c>
      <c r="M284" s="181">
        <v>0</v>
      </c>
      <c r="N284" s="182">
        <v>0</v>
      </c>
      <c r="O284" s="180">
        <v>0</v>
      </c>
      <c r="P284" s="180">
        <v>0</v>
      </c>
      <c r="Q284" s="180">
        <v>0</v>
      </c>
      <c r="R284" s="180">
        <v>0</v>
      </c>
      <c r="S284" s="180">
        <v>0</v>
      </c>
      <c r="T284" s="180">
        <v>0</v>
      </c>
      <c r="U284" s="180">
        <v>0</v>
      </c>
      <c r="V284" s="180">
        <v>0</v>
      </c>
      <c r="W284" s="180">
        <v>0</v>
      </c>
      <c r="X284" s="180">
        <v>0</v>
      </c>
      <c r="Y284" s="180">
        <v>0</v>
      </c>
      <c r="Z284" s="180">
        <v>0</v>
      </c>
      <c r="AA284" s="180">
        <v>0</v>
      </c>
      <c r="AB284" s="180">
        <v>0</v>
      </c>
      <c r="AC284" s="180">
        <v>0</v>
      </c>
      <c r="AD284" s="180">
        <v>0</v>
      </c>
      <c r="AE284" s="180">
        <v>0</v>
      </c>
      <c r="AF284" s="180">
        <v>0</v>
      </c>
      <c r="AG284" s="183">
        <v>0</v>
      </c>
    </row>
    <row r="285" spans="2:33" s="154" customFormat="1" ht="15" customHeight="1" outlineLevel="1">
      <c r="B285" s="196" t="s">
        <v>184</v>
      </c>
      <c r="C285" s="196" t="s">
        <v>215</v>
      </c>
      <c r="D285" s="179">
        <v>43610</v>
      </c>
      <c r="E285" s="180">
        <v>47324</v>
      </c>
      <c r="F285" s="180">
        <v>49128</v>
      </c>
      <c r="G285" s="180">
        <v>42789</v>
      </c>
      <c r="H285" s="180">
        <v>49375</v>
      </c>
      <c r="I285" s="180">
        <v>48855</v>
      </c>
      <c r="J285" s="180">
        <v>47433</v>
      </c>
      <c r="K285" s="180">
        <v>45565</v>
      </c>
      <c r="L285" s="180">
        <v>39856</v>
      </c>
      <c r="M285" s="181">
        <v>33629</v>
      </c>
      <c r="N285" s="182">
        <v>10884</v>
      </c>
      <c r="O285" s="180">
        <v>10555</v>
      </c>
      <c r="P285" s="180">
        <v>11064</v>
      </c>
      <c r="Q285" s="180">
        <v>11107</v>
      </c>
      <c r="R285" s="180">
        <v>12397</v>
      </c>
      <c r="S285" s="180">
        <v>11655</v>
      </c>
      <c r="T285" s="180">
        <v>11903</v>
      </c>
      <c r="U285" s="180">
        <v>11369</v>
      </c>
      <c r="V285" s="180">
        <v>12176</v>
      </c>
      <c r="W285" s="180">
        <v>12157</v>
      </c>
      <c r="X285" s="180">
        <v>12684</v>
      </c>
      <c r="Y285" s="180">
        <v>12111</v>
      </c>
      <c r="Z285" s="180">
        <v>12172</v>
      </c>
      <c r="AA285" s="180">
        <v>10472</v>
      </c>
      <c r="AB285" s="180">
        <v>10172</v>
      </c>
      <c r="AC285" s="180">
        <v>9973</v>
      </c>
      <c r="AD285" s="180">
        <v>10922</v>
      </c>
      <c r="AE285" s="180">
        <v>12115</v>
      </c>
      <c r="AF285" s="180">
        <v>13411</v>
      </c>
      <c r="AG285" s="183">
        <v>12927</v>
      </c>
    </row>
    <row r="286" spans="2:33" s="154" customFormat="1" ht="15" customHeight="1" outlineLevel="1">
      <c r="B286" s="196" t="s">
        <v>184</v>
      </c>
      <c r="C286" s="196" t="s">
        <v>216</v>
      </c>
      <c r="D286" s="179">
        <v>44754</v>
      </c>
      <c r="E286" s="180">
        <v>48260</v>
      </c>
      <c r="F286" s="180">
        <v>50098</v>
      </c>
      <c r="G286" s="180">
        <v>43641</v>
      </c>
      <c r="H286" s="180">
        <v>50144</v>
      </c>
      <c r="I286" s="180">
        <v>49462</v>
      </c>
      <c r="J286" s="180">
        <v>47904</v>
      </c>
      <c r="K286" s="180">
        <v>45958</v>
      </c>
      <c r="L286" s="180">
        <v>40190</v>
      </c>
      <c r="M286" s="181">
        <v>33892</v>
      </c>
      <c r="N286" s="182">
        <v>11205</v>
      </c>
      <c r="O286" s="180">
        <v>10849</v>
      </c>
      <c r="P286" s="180">
        <v>11345</v>
      </c>
      <c r="Q286" s="180">
        <v>11355</v>
      </c>
      <c r="R286" s="180">
        <v>12646</v>
      </c>
      <c r="S286" s="180">
        <v>11896</v>
      </c>
      <c r="T286" s="180">
        <v>12133</v>
      </c>
      <c r="U286" s="180">
        <v>11585</v>
      </c>
      <c r="V286" s="180">
        <v>12401</v>
      </c>
      <c r="W286" s="180">
        <v>12391</v>
      </c>
      <c r="X286" s="180">
        <v>12948</v>
      </c>
      <c r="Y286" s="180">
        <v>12358</v>
      </c>
      <c r="Z286" s="180">
        <v>12431</v>
      </c>
      <c r="AA286" s="180">
        <v>10663</v>
      </c>
      <c r="AB286" s="180">
        <v>10373</v>
      </c>
      <c r="AC286" s="180">
        <v>10174</v>
      </c>
      <c r="AD286" s="180">
        <v>11116</v>
      </c>
      <c r="AE286" s="180">
        <v>12309</v>
      </c>
      <c r="AF286" s="180">
        <v>13607</v>
      </c>
      <c r="AG286" s="183">
        <v>13112</v>
      </c>
    </row>
    <row r="287" spans="2:33" s="154" customFormat="1" ht="15" customHeight="1" outlineLevel="1">
      <c r="B287" s="196" t="s">
        <v>184</v>
      </c>
      <c r="C287" s="196" t="s">
        <v>217</v>
      </c>
      <c r="D287" s="179">
        <v>13330</v>
      </c>
      <c r="E287" s="180">
        <v>14747</v>
      </c>
      <c r="F287" s="180">
        <v>12366</v>
      </c>
      <c r="G287" s="180">
        <v>10113</v>
      </c>
      <c r="H287" s="180">
        <v>11726</v>
      </c>
      <c r="I287" s="180">
        <v>12278</v>
      </c>
      <c r="J287" s="180">
        <v>9987</v>
      </c>
      <c r="K287" s="180">
        <v>10343</v>
      </c>
      <c r="L287" s="180">
        <v>9349</v>
      </c>
      <c r="M287" s="181">
        <v>7815</v>
      </c>
      <c r="N287" s="182">
        <v>3430</v>
      </c>
      <c r="O287" s="180">
        <v>3166</v>
      </c>
      <c r="P287" s="180">
        <v>3419</v>
      </c>
      <c r="Q287" s="180">
        <v>3315</v>
      </c>
      <c r="R287" s="180">
        <v>3634</v>
      </c>
      <c r="S287" s="180">
        <v>3710</v>
      </c>
      <c r="T287" s="180">
        <v>3755</v>
      </c>
      <c r="U287" s="180">
        <v>3648</v>
      </c>
      <c r="V287" s="180">
        <v>3516</v>
      </c>
      <c r="W287" s="180">
        <v>3237</v>
      </c>
      <c r="X287" s="180">
        <v>2850</v>
      </c>
      <c r="Y287" s="180">
        <v>2763</v>
      </c>
      <c r="Z287" s="180">
        <v>2728</v>
      </c>
      <c r="AA287" s="180">
        <v>2424</v>
      </c>
      <c r="AB287" s="180">
        <v>2592</v>
      </c>
      <c r="AC287" s="180">
        <v>2369</v>
      </c>
      <c r="AD287" s="180">
        <v>2506</v>
      </c>
      <c r="AE287" s="180">
        <v>3047</v>
      </c>
      <c r="AF287" s="180">
        <v>3023</v>
      </c>
      <c r="AG287" s="183">
        <v>3150</v>
      </c>
    </row>
    <row r="288" spans="2:33" s="154" customFormat="1" ht="15" customHeight="1" outlineLevel="1">
      <c r="B288" s="196" t="s">
        <v>184</v>
      </c>
      <c r="C288" s="196" t="s">
        <v>218</v>
      </c>
      <c r="D288" s="179">
        <v>13330</v>
      </c>
      <c r="E288" s="180">
        <v>14747</v>
      </c>
      <c r="F288" s="180">
        <v>12366</v>
      </c>
      <c r="G288" s="180">
        <v>10113</v>
      </c>
      <c r="H288" s="180">
        <v>11726</v>
      </c>
      <c r="I288" s="180">
        <v>12278</v>
      </c>
      <c r="J288" s="180">
        <v>9987</v>
      </c>
      <c r="K288" s="180">
        <v>10343</v>
      </c>
      <c r="L288" s="180">
        <v>9349</v>
      </c>
      <c r="M288" s="181">
        <v>7815</v>
      </c>
      <c r="N288" s="182">
        <v>3430</v>
      </c>
      <c r="O288" s="180">
        <v>3166</v>
      </c>
      <c r="P288" s="180">
        <v>3419</v>
      </c>
      <c r="Q288" s="180">
        <v>3315</v>
      </c>
      <c r="R288" s="180">
        <v>3634</v>
      </c>
      <c r="S288" s="180">
        <v>3710</v>
      </c>
      <c r="T288" s="180">
        <v>3755</v>
      </c>
      <c r="U288" s="180">
        <v>3648</v>
      </c>
      <c r="V288" s="180">
        <v>3516</v>
      </c>
      <c r="W288" s="180">
        <v>3237</v>
      </c>
      <c r="X288" s="180">
        <v>2850</v>
      </c>
      <c r="Y288" s="180">
        <v>2763</v>
      </c>
      <c r="Z288" s="180">
        <v>2728</v>
      </c>
      <c r="AA288" s="180">
        <v>2424</v>
      </c>
      <c r="AB288" s="180">
        <v>2592</v>
      </c>
      <c r="AC288" s="180">
        <v>2369</v>
      </c>
      <c r="AD288" s="180">
        <v>2506</v>
      </c>
      <c r="AE288" s="180">
        <v>3047</v>
      </c>
      <c r="AF288" s="180">
        <v>3023</v>
      </c>
      <c r="AG288" s="183">
        <v>3150</v>
      </c>
    </row>
    <row r="289" spans="2:33" s="154" customFormat="1" ht="15" customHeight="1" outlineLevel="1">
      <c r="B289" s="196" t="s">
        <v>184</v>
      </c>
      <c r="C289" s="196" t="s">
        <v>219</v>
      </c>
      <c r="D289" s="179">
        <v>1072</v>
      </c>
      <c r="E289" s="180">
        <v>856</v>
      </c>
      <c r="F289" s="180">
        <v>661</v>
      </c>
      <c r="G289" s="180">
        <v>624</v>
      </c>
      <c r="H289" s="180">
        <v>663</v>
      </c>
      <c r="I289" s="180">
        <v>610</v>
      </c>
      <c r="J289" s="180">
        <v>498</v>
      </c>
      <c r="K289" s="180">
        <v>463</v>
      </c>
      <c r="L289" s="180">
        <v>463</v>
      </c>
      <c r="M289" s="181">
        <v>464</v>
      </c>
      <c r="N289" s="182">
        <v>307</v>
      </c>
      <c r="O289" s="180">
        <v>270</v>
      </c>
      <c r="P289" s="180">
        <v>261</v>
      </c>
      <c r="Q289" s="180">
        <v>234</v>
      </c>
      <c r="R289" s="180">
        <v>236</v>
      </c>
      <c r="S289" s="180">
        <v>220</v>
      </c>
      <c r="T289" s="180">
        <v>205</v>
      </c>
      <c r="U289" s="180">
        <v>195</v>
      </c>
      <c r="V289" s="180">
        <v>169</v>
      </c>
      <c r="W289" s="180">
        <v>163</v>
      </c>
      <c r="X289" s="180">
        <v>162</v>
      </c>
      <c r="Y289" s="180">
        <v>167</v>
      </c>
      <c r="Z289" s="180">
        <v>179</v>
      </c>
      <c r="AA289" s="180">
        <v>155</v>
      </c>
      <c r="AB289" s="180">
        <v>149</v>
      </c>
      <c r="AC289" s="180">
        <v>141</v>
      </c>
      <c r="AD289" s="180">
        <v>176</v>
      </c>
      <c r="AE289" s="180">
        <v>167</v>
      </c>
      <c r="AF289" s="180">
        <v>168</v>
      </c>
      <c r="AG289" s="183">
        <v>152</v>
      </c>
    </row>
    <row r="290" spans="2:33" s="154" customFormat="1" ht="15" customHeight="1" outlineLevel="1">
      <c r="B290" s="196" t="s">
        <v>184</v>
      </c>
      <c r="C290" s="196" t="s">
        <v>220</v>
      </c>
      <c r="D290" s="179">
        <v>8102</v>
      </c>
      <c r="E290" s="180">
        <v>8524</v>
      </c>
      <c r="F290" s="180">
        <v>7302</v>
      </c>
      <c r="G290" s="180">
        <v>6465</v>
      </c>
      <c r="H290" s="180">
        <v>7102</v>
      </c>
      <c r="I290" s="180">
        <v>7538</v>
      </c>
      <c r="J290" s="180">
        <v>5948</v>
      </c>
      <c r="K290" s="180">
        <v>5140</v>
      </c>
      <c r="L290" s="180">
        <v>4298</v>
      </c>
      <c r="M290" s="181">
        <v>3544</v>
      </c>
      <c r="N290" s="182">
        <v>2104</v>
      </c>
      <c r="O290" s="180">
        <v>2013</v>
      </c>
      <c r="P290" s="180">
        <v>1976</v>
      </c>
      <c r="Q290" s="180">
        <v>2009</v>
      </c>
      <c r="R290" s="180">
        <v>2218</v>
      </c>
      <c r="S290" s="180">
        <v>2107</v>
      </c>
      <c r="T290" s="180">
        <v>2174</v>
      </c>
      <c r="U290" s="180">
        <v>2025</v>
      </c>
      <c r="V290" s="180">
        <v>1977</v>
      </c>
      <c r="W290" s="180">
        <v>1816</v>
      </c>
      <c r="X290" s="180">
        <v>1679</v>
      </c>
      <c r="Y290" s="180">
        <v>1830</v>
      </c>
      <c r="Z290" s="180">
        <v>1780</v>
      </c>
      <c r="AA290" s="180">
        <v>1501</v>
      </c>
      <c r="AB290" s="180">
        <v>1571</v>
      </c>
      <c r="AC290" s="180">
        <v>1613</v>
      </c>
      <c r="AD290" s="180">
        <v>1679</v>
      </c>
      <c r="AE290" s="180">
        <v>1671</v>
      </c>
      <c r="AF290" s="180">
        <v>1840</v>
      </c>
      <c r="AG290" s="183">
        <v>1912</v>
      </c>
    </row>
    <row r="291" spans="2:33" s="154" customFormat="1" ht="15" customHeight="1" outlineLevel="1">
      <c r="B291" s="196" t="s">
        <v>184</v>
      </c>
      <c r="C291" s="196" t="s">
        <v>221</v>
      </c>
      <c r="D291" s="179">
        <v>0</v>
      </c>
      <c r="E291" s="180">
        <v>0</v>
      </c>
      <c r="F291" s="180">
        <v>0</v>
      </c>
      <c r="G291" s="180">
        <v>0</v>
      </c>
      <c r="H291" s="180">
        <v>0</v>
      </c>
      <c r="I291" s="180">
        <v>0</v>
      </c>
      <c r="J291" s="180">
        <v>0</v>
      </c>
      <c r="K291" s="180">
        <v>0</v>
      </c>
      <c r="L291" s="180">
        <v>0</v>
      </c>
      <c r="M291" s="181">
        <v>0</v>
      </c>
      <c r="N291" s="182">
        <v>0</v>
      </c>
      <c r="O291" s="180">
        <v>0</v>
      </c>
      <c r="P291" s="180">
        <v>0</v>
      </c>
      <c r="Q291" s="180">
        <v>0</v>
      </c>
      <c r="R291" s="180">
        <v>0</v>
      </c>
      <c r="S291" s="180">
        <v>0</v>
      </c>
      <c r="T291" s="180">
        <v>0</v>
      </c>
      <c r="U291" s="180">
        <v>0</v>
      </c>
      <c r="V291" s="180">
        <v>0</v>
      </c>
      <c r="W291" s="180">
        <v>0</v>
      </c>
      <c r="X291" s="180">
        <v>0</v>
      </c>
      <c r="Y291" s="180">
        <v>0</v>
      </c>
      <c r="Z291" s="180">
        <v>0</v>
      </c>
      <c r="AA291" s="180">
        <v>0</v>
      </c>
      <c r="AB291" s="180">
        <v>0</v>
      </c>
      <c r="AC291" s="180">
        <v>0</v>
      </c>
      <c r="AD291" s="180">
        <v>0</v>
      </c>
      <c r="AE291" s="180">
        <v>0</v>
      </c>
      <c r="AF291" s="180">
        <v>0</v>
      </c>
      <c r="AG291" s="183">
        <v>0</v>
      </c>
    </row>
    <row r="292" spans="2:33" s="154" customFormat="1" ht="15" customHeight="1" outlineLevel="1">
      <c r="B292" s="196" t="s">
        <v>184</v>
      </c>
      <c r="C292" s="196" t="s">
        <v>222</v>
      </c>
      <c r="D292" s="179">
        <v>3012</v>
      </c>
      <c r="E292" s="180">
        <v>4431</v>
      </c>
      <c r="F292" s="180">
        <v>3433</v>
      </c>
      <c r="G292" s="180">
        <v>2172</v>
      </c>
      <c r="H292" s="180">
        <v>3190</v>
      </c>
      <c r="I292" s="180">
        <v>3440</v>
      </c>
      <c r="J292" s="180">
        <v>3070</v>
      </c>
      <c r="K292" s="180">
        <v>4347</v>
      </c>
      <c r="L292" s="180">
        <v>4254</v>
      </c>
      <c r="M292" s="181">
        <v>3544</v>
      </c>
      <c r="N292" s="182">
        <v>698</v>
      </c>
      <c r="O292" s="180">
        <v>589</v>
      </c>
      <c r="P292" s="180">
        <v>901</v>
      </c>
      <c r="Q292" s="180">
        <v>824</v>
      </c>
      <c r="R292" s="180">
        <v>931</v>
      </c>
      <c r="S292" s="180">
        <v>1142</v>
      </c>
      <c r="T292" s="180">
        <v>1146</v>
      </c>
      <c r="U292" s="180">
        <v>1212</v>
      </c>
      <c r="V292" s="180">
        <v>1145</v>
      </c>
      <c r="W292" s="180">
        <v>1024</v>
      </c>
      <c r="X292" s="180">
        <v>745</v>
      </c>
      <c r="Y292" s="180">
        <v>519</v>
      </c>
      <c r="Z292" s="180">
        <v>510</v>
      </c>
      <c r="AA292" s="180">
        <v>577</v>
      </c>
      <c r="AB292" s="180">
        <v>671</v>
      </c>
      <c r="AC292" s="180">
        <v>414</v>
      </c>
      <c r="AD292" s="180">
        <v>457</v>
      </c>
      <c r="AE292" s="180">
        <v>1015</v>
      </c>
      <c r="AF292" s="180">
        <v>819</v>
      </c>
      <c r="AG292" s="183">
        <v>899</v>
      </c>
    </row>
    <row r="293" spans="2:33" s="154" customFormat="1" ht="15" customHeight="1" outlineLevel="1">
      <c r="B293" s="196" t="s">
        <v>184</v>
      </c>
      <c r="C293" s="196" t="s">
        <v>60</v>
      </c>
      <c r="D293" s="179">
        <v>4156</v>
      </c>
      <c r="E293" s="180">
        <v>5367</v>
      </c>
      <c r="F293" s="180">
        <v>4403</v>
      </c>
      <c r="G293" s="180">
        <v>3024</v>
      </c>
      <c r="H293" s="180">
        <v>3961</v>
      </c>
      <c r="I293" s="180">
        <v>4130</v>
      </c>
      <c r="J293" s="180">
        <v>3541</v>
      </c>
      <c r="K293" s="180">
        <v>4740</v>
      </c>
      <c r="L293" s="180">
        <v>4588</v>
      </c>
      <c r="M293" s="181">
        <v>3807</v>
      </c>
      <c r="N293" s="182">
        <v>1019</v>
      </c>
      <c r="O293" s="180">
        <v>883</v>
      </c>
      <c r="P293" s="180">
        <v>1182</v>
      </c>
      <c r="Q293" s="180">
        <v>1072</v>
      </c>
      <c r="R293" s="180">
        <v>1180</v>
      </c>
      <c r="S293" s="180">
        <v>1383</v>
      </c>
      <c r="T293" s="180">
        <v>1376</v>
      </c>
      <c r="U293" s="180">
        <v>1428</v>
      </c>
      <c r="V293" s="180">
        <v>1370</v>
      </c>
      <c r="W293" s="180">
        <v>1258</v>
      </c>
      <c r="X293" s="180">
        <v>1009</v>
      </c>
      <c r="Y293" s="180">
        <v>766</v>
      </c>
      <c r="Z293" s="180">
        <v>769</v>
      </c>
      <c r="AA293" s="180">
        <v>768</v>
      </c>
      <c r="AB293" s="180">
        <v>872</v>
      </c>
      <c r="AC293" s="180">
        <v>615</v>
      </c>
      <c r="AD293" s="180">
        <v>651</v>
      </c>
      <c r="AE293" s="180">
        <v>1209</v>
      </c>
      <c r="AF293" s="180">
        <v>1015</v>
      </c>
      <c r="AG293" s="183">
        <v>1086</v>
      </c>
    </row>
    <row r="294" spans="2:33" s="154" customFormat="1" ht="15" customHeight="1" outlineLevel="1">
      <c r="B294" s="196" t="s">
        <v>184</v>
      </c>
      <c r="C294" s="196" t="s">
        <v>223</v>
      </c>
      <c r="D294" s="179">
        <v>1144</v>
      </c>
      <c r="E294" s="180">
        <v>936</v>
      </c>
      <c r="F294" s="180">
        <v>970</v>
      </c>
      <c r="G294" s="180">
        <v>852</v>
      </c>
      <c r="H294" s="180">
        <v>769</v>
      </c>
      <c r="I294" s="180">
        <v>607</v>
      </c>
      <c r="J294" s="180">
        <v>471</v>
      </c>
      <c r="K294" s="180">
        <v>393</v>
      </c>
      <c r="L294" s="180">
        <v>334</v>
      </c>
      <c r="M294" s="181">
        <v>263</v>
      </c>
      <c r="N294" s="182">
        <v>321</v>
      </c>
      <c r="O294" s="180">
        <v>294</v>
      </c>
      <c r="P294" s="180">
        <v>281</v>
      </c>
      <c r="Q294" s="180">
        <v>248</v>
      </c>
      <c r="R294" s="180">
        <v>249</v>
      </c>
      <c r="S294" s="180">
        <v>241</v>
      </c>
      <c r="T294" s="180">
        <v>230</v>
      </c>
      <c r="U294" s="180">
        <v>216</v>
      </c>
      <c r="V294" s="180">
        <v>225</v>
      </c>
      <c r="W294" s="180">
        <v>234</v>
      </c>
      <c r="X294" s="180">
        <v>264</v>
      </c>
      <c r="Y294" s="180">
        <v>247</v>
      </c>
      <c r="Z294" s="180">
        <v>259</v>
      </c>
      <c r="AA294" s="180">
        <v>191</v>
      </c>
      <c r="AB294" s="180">
        <v>201</v>
      </c>
      <c r="AC294" s="180">
        <v>201</v>
      </c>
      <c r="AD294" s="180">
        <v>194</v>
      </c>
      <c r="AE294" s="180">
        <v>194</v>
      </c>
      <c r="AF294" s="180">
        <v>196</v>
      </c>
      <c r="AG294" s="183">
        <v>185</v>
      </c>
    </row>
    <row r="295" spans="2:33" s="154" customFormat="1" ht="15" customHeight="1" outlineLevel="1">
      <c r="B295" s="196" t="s">
        <v>184</v>
      </c>
      <c r="C295" s="196" t="s">
        <v>224</v>
      </c>
      <c r="D295" s="179">
        <v>0</v>
      </c>
      <c r="E295" s="180">
        <v>0</v>
      </c>
      <c r="F295" s="180">
        <v>0</v>
      </c>
      <c r="G295" s="180">
        <v>0</v>
      </c>
      <c r="H295" s="180">
        <v>0</v>
      </c>
      <c r="I295" s="180">
        <v>0</v>
      </c>
      <c r="J295" s="180">
        <v>0</v>
      </c>
      <c r="K295" s="180">
        <v>0</v>
      </c>
      <c r="L295" s="180">
        <v>0</v>
      </c>
      <c r="M295" s="181">
        <v>0</v>
      </c>
      <c r="N295" s="182">
        <v>0</v>
      </c>
      <c r="O295" s="180">
        <v>0</v>
      </c>
      <c r="P295" s="180">
        <v>0</v>
      </c>
      <c r="Q295" s="180">
        <v>0</v>
      </c>
      <c r="R295" s="180">
        <v>0</v>
      </c>
      <c r="S295" s="180">
        <v>0</v>
      </c>
      <c r="T295" s="180">
        <v>0</v>
      </c>
      <c r="U295" s="180">
        <v>0</v>
      </c>
      <c r="V295" s="180">
        <v>0</v>
      </c>
      <c r="W295" s="180">
        <v>0</v>
      </c>
      <c r="X295" s="180">
        <v>0</v>
      </c>
      <c r="Y295" s="180">
        <v>0</v>
      </c>
      <c r="Z295" s="180">
        <v>0</v>
      </c>
      <c r="AA295" s="180">
        <v>0</v>
      </c>
      <c r="AB295" s="180">
        <v>0</v>
      </c>
      <c r="AC295" s="180">
        <v>0</v>
      </c>
      <c r="AD295" s="180">
        <v>0</v>
      </c>
      <c r="AE295" s="180">
        <v>0</v>
      </c>
      <c r="AF295" s="180">
        <v>0</v>
      </c>
      <c r="AG295" s="183">
        <v>0</v>
      </c>
    </row>
    <row r="296" spans="2:33" s="154" customFormat="1" ht="15" customHeight="1" outlineLevel="1">
      <c r="B296" s="196" t="s">
        <v>184</v>
      </c>
      <c r="C296" s="196" t="s">
        <v>225</v>
      </c>
      <c r="D296" s="179">
        <v>0</v>
      </c>
      <c r="E296" s="180">
        <v>0</v>
      </c>
      <c r="F296" s="180">
        <v>0</v>
      </c>
      <c r="G296" s="180">
        <v>0</v>
      </c>
      <c r="H296" s="180">
        <v>0</v>
      </c>
      <c r="I296" s="180">
        <v>0</v>
      </c>
      <c r="J296" s="180">
        <v>0</v>
      </c>
      <c r="K296" s="180">
        <v>0</v>
      </c>
      <c r="L296" s="180">
        <v>0</v>
      </c>
      <c r="M296" s="181">
        <v>0</v>
      </c>
      <c r="N296" s="182">
        <v>0</v>
      </c>
      <c r="O296" s="180">
        <v>0</v>
      </c>
      <c r="P296" s="180">
        <v>0</v>
      </c>
      <c r="Q296" s="180">
        <v>0</v>
      </c>
      <c r="R296" s="180">
        <v>0</v>
      </c>
      <c r="S296" s="180">
        <v>0</v>
      </c>
      <c r="T296" s="180">
        <v>0</v>
      </c>
      <c r="U296" s="180">
        <v>0</v>
      </c>
      <c r="V296" s="180">
        <v>0</v>
      </c>
      <c r="W296" s="180">
        <v>0</v>
      </c>
      <c r="X296" s="180">
        <v>0</v>
      </c>
      <c r="Y296" s="180">
        <v>0</v>
      </c>
      <c r="Z296" s="180">
        <v>0</v>
      </c>
      <c r="AA296" s="180">
        <v>0</v>
      </c>
      <c r="AB296" s="180">
        <v>0</v>
      </c>
      <c r="AC296" s="180">
        <v>0</v>
      </c>
      <c r="AD296" s="180">
        <v>0</v>
      </c>
      <c r="AE296" s="180">
        <v>0</v>
      </c>
      <c r="AF296" s="180">
        <v>0</v>
      </c>
      <c r="AG296" s="183">
        <v>0</v>
      </c>
    </row>
    <row r="297" spans="2:33" s="154" customFormat="1" ht="15" customHeight="1" outlineLevel="1">
      <c r="B297" s="196" t="s">
        <v>184</v>
      </c>
      <c r="C297" s="196" t="s">
        <v>226</v>
      </c>
      <c r="D297" s="179">
        <v>0</v>
      </c>
      <c r="E297" s="180">
        <v>0</v>
      </c>
      <c r="F297" s="180">
        <v>0</v>
      </c>
      <c r="G297" s="180">
        <v>0</v>
      </c>
      <c r="H297" s="180">
        <v>0</v>
      </c>
      <c r="I297" s="180">
        <v>0</v>
      </c>
      <c r="J297" s="180">
        <v>0</v>
      </c>
      <c r="K297" s="180">
        <v>0</v>
      </c>
      <c r="L297" s="180">
        <v>0</v>
      </c>
      <c r="M297" s="181">
        <v>0</v>
      </c>
      <c r="N297" s="182">
        <v>0</v>
      </c>
      <c r="O297" s="180">
        <v>0</v>
      </c>
      <c r="P297" s="180">
        <v>0</v>
      </c>
      <c r="Q297" s="180">
        <v>0</v>
      </c>
      <c r="R297" s="180">
        <v>0</v>
      </c>
      <c r="S297" s="180">
        <v>0</v>
      </c>
      <c r="T297" s="180">
        <v>0</v>
      </c>
      <c r="U297" s="180">
        <v>0</v>
      </c>
      <c r="V297" s="180">
        <v>0</v>
      </c>
      <c r="W297" s="180">
        <v>0</v>
      </c>
      <c r="X297" s="180">
        <v>0</v>
      </c>
      <c r="Y297" s="180">
        <v>0</v>
      </c>
      <c r="Z297" s="180">
        <v>0</v>
      </c>
      <c r="AA297" s="180">
        <v>0</v>
      </c>
      <c r="AB297" s="180">
        <v>0</v>
      </c>
      <c r="AC297" s="180">
        <v>0</v>
      </c>
      <c r="AD297" s="180">
        <v>0</v>
      </c>
      <c r="AE297" s="180">
        <v>0</v>
      </c>
      <c r="AF297" s="180">
        <v>0</v>
      </c>
      <c r="AG297" s="183">
        <v>0</v>
      </c>
    </row>
    <row r="298" spans="2:33" s="154" customFormat="1" ht="15" customHeight="1" outlineLevel="1">
      <c r="B298" s="196" t="s">
        <v>184</v>
      </c>
      <c r="C298" s="196" t="s">
        <v>227</v>
      </c>
      <c r="D298" s="179">
        <v>3012</v>
      </c>
      <c r="E298" s="180">
        <v>4431</v>
      </c>
      <c r="F298" s="180">
        <v>3433</v>
      </c>
      <c r="G298" s="180">
        <v>2172</v>
      </c>
      <c r="H298" s="180">
        <v>3192</v>
      </c>
      <c r="I298" s="180">
        <v>3523</v>
      </c>
      <c r="J298" s="180">
        <v>3070</v>
      </c>
      <c r="K298" s="180">
        <v>4347</v>
      </c>
      <c r="L298" s="180">
        <v>4254</v>
      </c>
      <c r="M298" s="181">
        <v>3544</v>
      </c>
      <c r="N298" s="182">
        <v>698</v>
      </c>
      <c r="O298" s="180">
        <v>589</v>
      </c>
      <c r="P298" s="180">
        <v>901</v>
      </c>
      <c r="Q298" s="180">
        <v>824</v>
      </c>
      <c r="R298" s="180">
        <v>931</v>
      </c>
      <c r="S298" s="180">
        <v>1142</v>
      </c>
      <c r="T298" s="180">
        <v>1146</v>
      </c>
      <c r="U298" s="180">
        <v>1212</v>
      </c>
      <c r="V298" s="180">
        <v>1145</v>
      </c>
      <c r="W298" s="180">
        <v>1024</v>
      </c>
      <c r="X298" s="180">
        <v>745</v>
      </c>
      <c r="Y298" s="180">
        <v>519</v>
      </c>
      <c r="Z298" s="180">
        <v>510</v>
      </c>
      <c r="AA298" s="180">
        <v>577</v>
      </c>
      <c r="AB298" s="180">
        <v>671</v>
      </c>
      <c r="AC298" s="180">
        <v>414</v>
      </c>
      <c r="AD298" s="180">
        <v>457</v>
      </c>
      <c r="AE298" s="180">
        <v>1015</v>
      </c>
      <c r="AF298" s="180">
        <v>819</v>
      </c>
      <c r="AG298" s="183">
        <v>901</v>
      </c>
    </row>
    <row r="299" spans="2:33" s="154" customFormat="1" ht="15" customHeight="1" outlineLevel="1">
      <c r="B299" s="196" t="s">
        <v>184</v>
      </c>
      <c r="C299" s="196" t="s">
        <v>228</v>
      </c>
      <c r="D299" s="179">
        <v>100</v>
      </c>
      <c r="E299" s="180">
        <v>81</v>
      </c>
      <c r="F299" s="180">
        <v>47</v>
      </c>
      <c r="G299" s="180">
        <v>0</v>
      </c>
      <c r="H299" s="180">
        <v>180</v>
      </c>
      <c r="I299" s="180">
        <v>496</v>
      </c>
      <c r="J299" s="180">
        <v>368</v>
      </c>
      <c r="K299" s="180">
        <v>0</v>
      </c>
      <c r="L299" s="180">
        <v>0</v>
      </c>
      <c r="M299" s="181">
        <v>0</v>
      </c>
      <c r="N299" s="182">
        <v>22</v>
      </c>
      <c r="O299" s="180">
        <v>22</v>
      </c>
      <c r="P299" s="180">
        <v>27</v>
      </c>
      <c r="Q299" s="180">
        <v>0</v>
      </c>
      <c r="R299" s="180">
        <v>28</v>
      </c>
      <c r="S299" s="180">
        <v>19</v>
      </c>
      <c r="T299" s="180">
        <v>17</v>
      </c>
      <c r="U299" s="180">
        <v>17</v>
      </c>
      <c r="V299" s="180">
        <v>14</v>
      </c>
      <c r="W299" s="180">
        <v>14</v>
      </c>
      <c r="X299" s="180">
        <v>11</v>
      </c>
      <c r="Y299" s="180">
        <v>8</v>
      </c>
      <c r="Z299" s="180">
        <v>-48</v>
      </c>
      <c r="AA299" s="180">
        <v>12</v>
      </c>
      <c r="AB299" s="180">
        <v>15</v>
      </c>
      <c r="AC299" s="180">
        <v>21</v>
      </c>
      <c r="AD299" s="180">
        <v>43</v>
      </c>
      <c r="AE299" s="180">
        <v>0</v>
      </c>
      <c r="AF299" s="180">
        <v>49</v>
      </c>
      <c r="AG299" s="183">
        <v>55</v>
      </c>
    </row>
    <row r="300" spans="2:33" s="154" customFormat="1" ht="15" customHeight="1" outlineLevel="1">
      <c r="B300" s="196" t="s">
        <v>184</v>
      </c>
      <c r="C300" s="196" t="s">
        <v>229</v>
      </c>
      <c r="D300" s="179">
        <v>0</v>
      </c>
      <c r="E300" s="180">
        <v>0</v>
      </c>
      <c r="F300" s="180">
        <v>0</v>
      </c>
      <c r="G300" s="180">
        <v>0</v>
      </c>
      <c r="H300" s="180">
        <v>0</v>
      </c>
      <c r="I300" s="180">
        <v>0</v>
      </c>
      <c r="J300" s="180">
        <v>0</v>
      </c>
      <c r="K300" s="180">
        <v>0</v>
      </c>
      <c r="L300" s="180">
        <v>0</v>
      </c>
      <c r="M300" s="181">
        <v>0</v>
      </c>
      <c r="N300" s="182">
        <v>0</v>
      </c>
      <c r="O300" s="180">
        <v>0</v>
      </c>
      <c r="P300" s="180">
        <v>0</v>
      </c>
      <c r="Q300" s="180">
        <v>0</v>
      </c>
      <c r="R300" s="180">
        <v>0</v>
      </c>
      <c r="S300" s="180">
        <v>0</v>
      </c>
      <c r="T300" s="180">
        <v>0</v>
      </c>
      <c r="U300" s="180">
        <v>0</v>
      </c>
      <c r="V300" s="180">
        <v>0</v>
      </c>
      <c r="W300" s="180">
        <v>0</v>
      </c>
      <c r="X300" s="180">
        <v>0</v>
      </c>
      <c r="Y300" s="180">
        <v>0</v>
      </c>
      <c r="Z300" s="180">
        <v>0</v>
      </c>
      <c r="AA300" s="180">
        <v>0</v>
      </c>
      <c r="AB300" s="180">
        <v>0</v>
      </c>
      <c r="AC300" s="180">
        <v>0</v>
      </c>
      <c r="AD300" s="180">
        <v>0</v>
      </c>
      <c r="AE300" s="180">
        <v>0</v>
      </c>
      <c r="AF300" s="180">
        <v>0</v>
      </c>
      <c r="AG300" s="183">
        <v>0</v>
      </c>
    </row>
    <row r="301" spans="2:33" s="154" customFormat="1" ht="15" customHeight="1" outlineLevel="1">
      <c r="B301" s="196" t="s">
        <v>184</v>
      </c>
      <c r="C301" s="196" t="s">
        <v>230</v>
      </c>
      <c r="D301" s="179">
        <v>-1</v>
      </c>
      <c r="E301" s="180">
        <v>7</v>
      </c>
      <c r="F301" s="180">
        <v>69</v>
      </c>
      <c r="G301" s="180">
        <v>12</v>
      </c>
      <c r="H301" s="180">
        <v>47</v>
      </c>
      <c r="I301" s="180">
        <v>-64</v>
      </c>
      <c r="J301" s="180">
        <v>-48</v>
      </c>
      <c r="K301" s="180">
        <v>227</v>
      </c>
      <c r="L301" s="180">
        <v>191</v>
      </c>
      <c r="M301" s="181">
        <v>194</v>
      </c>
      <c r="N301" s="182">
        <v>4</v>
      </c>
      <c r="O301" s="180">
        <v>6</v>
      </c>
      <c r="P301" s="180">
        <v>-19</v>
      </c>
      <c r="Q301" s="180">
        <v>0</v>
      </c>
      <c r="R301" s="180">
        <v>23</v>
      </c>
      <c r="S301" s="180">
        <v>-19</v>
      </c>
      <c r="T301" s="180">
        <v>0</v>
      </c>
      <c r="U301" s="180">
        <v>3</v>
      </c>
      <c r="V301" s="180">
        <v>24</v>
      </c>
      <c r="W301" s="180">
        <v>88</v>
      </c>
      <c r="X301" s="180">
        <v>-14</v>
      </c>
      <c r="Y301" s="180">
        <v>-29</v>
      </c>
      <c r="Z301" s="180">
        <v>54</v>
      </c>
      <c r="AA301" s="180">
        <v>-30</v>
      </c>
      <c r="AB301" s="180">
        <v>-18</v>
      </c>
      <c r="AC301" s="180">
        <v>6</v>
      </c>
      <c r="AD301" s="180">
        <v>47</v>
      </c>
      <c r="AE301" s="180">
        <v>-6</v>
      </c>
      <c r="AF301" s="180">
        <v>-5</v>
      </c>
      <c r="AG301" s="183">
        <v>82</v>
      </c>
    </row>
    <row r="302" spans="2:33" s="154" customFormat="1" ht="15" customHeight="1" outlineLevel="1">
      <c r="B302" s="196" t="s">
        <v>184</v>
      </c>
      <c r="C302" s="196" t="s">
        <v>231</v>
      </c>
      <c r="D302" s="179">
        <v>0</v>
      </c>
      <c r="E302" s="180">
        <v>0</v>
      </c>
      <c r="F302" s="180">
        <v>0</v>
      </c>
      <c r="G302" s="180">
        <v>0</v>
      </c>
      <c r="H302" s="180">
        <v>-2</v>
      </c>
      <c r="I302" s="180">
        <v>-83</v>
      </c>
      <c r="J302" s="180">
        <v>0</v>
      </c>
      <c r="K302" s="180">
        <v>0</v>
      </c>
      <c r="L302" s="180">
        <v>0</v>
      </c>
      <c r="M302" s="181">
        <v>0</v>
      </c>
      <c r="N302" s="182">
        <v>0</v>
      </c>
      <c r="O302" s="180">
        <v>0</v>
      </c>
      <c r="P302" s="180">
        <v>0</v>
      </c>
      <c r="Q302" s="180">
        <v>0</v>
      </c>
      <c r="R302" s="180">
        <v>0</v>
      </c>
      <c r="S302" s="180">
        <v>0</v>
      </c>
      <c r="T302" s="180">
        <v>0</v>
      </c>
      <c r="U302" s="180">
        <v>0</v>
      </c>
      <c r="V302" s="180">
        <v>0</v>
      </c>
      <c r="W302" s="180">
        <v>0</v>
      </c>
      <c r="X302" s="180">
        <v>0</v>
      </c>
      <c r="Y302" s="180">
        <v>0</v>
      </c>
      <c r="Z302" s="180">
        <v>0</v>
      </c>
      <c r="AA302" s="180">
        <v>0</v>
      </c>
      <c r="AB302" s="180">
        <v>0</v>
      </c>
      <c r="AC302" s="180">
        <v>0</v>
      </c>
      <c r="AD302" s="180">
        <v>0</v>
      </c>
      <c r="AE302" s="180">
        <v>0</v>
      </c>
      <c r="AF302" s="180">
        <v>0</v>
      </c>
      <c r="AG302" s="183">
        <v>-2</v>
      </c>
    </row>
    <row r="303" spans="2:33" s="154" customFormat="1" ht="15" customHeight="1" outlineLevel="1">
      <c r="B303" s="196" t="s">
        <v>184</v>
      </c>
      <c r="C303" s="196" t="s">
        <v>232</v>
      </c>
      <c r="D303" s="179">
        <v>0</v>
      </c>
      <c r="E303" s="180">
        <v>0</v>
      </c>
      <c r="F303" s="180">
        <v>0</v>
      </c>
      <c r="G303" s="180">
        <v>0</v>
      </c>
      <c r="H303" s="180">
        <v>0</v>
      </c>
      <c r="I303" s="180">
        <v>0</v>
      </c>
      <c r="J303" s="180">
        <v>0</v>
      </c>
      <c r="K303" s="180">
        <v>0</v>
      </c>
      <c r="L303" s="180">
        <v>0</v>
      </c>
      <c r="M303" s="181">
        <v>0</v>
      </c>
      <c r="N303" s="182">
        <v>0</v>
      </c>
      <c r="O303" s="180">
        <v>0</v>
      </c>
      <c r="P303" s="180">
        <v>0</v>
      </c>
      <c r="Q303" s="180">
        <v>0</v>
      </c>
      <c r="R303" s="180">
        <v>0</v>
      </c>
      <c r="S303" s="180">
        <v>0</v>
      </c>
      <c r="T303" s="180">
        <v>0</v>
      </c>
      <c r="U303" s="180">
        <v>0</v>
      </c>
      <c r="V303" s="180">
        <v>0</v>
      </c>
      <c r="W303" s="180">
        <v>0</v>
      </c>
      <c r="X303" s="180">
        <v>0</v>
      </c>
      <c r="Y303" s="180">
        <v>0</v>
      </c>
      <c r="Z303" s="180">
        <v>0</v>
      </c>
      <c r="AA303" s="180">
        <v>0</v>
      </c>
      <c r="AB303" s="180">
        <v>0</v>
      </c>
      <c r="AC303" s="180">
        <v>0</v>
      </c>
      <c r="AD303" s="180">
        <v>0</v>
      </c>
      <c r="AE303" s="180">
        <v>0</v>
      </c>
      <c r="AF303" s="180">
        <v>0</v>
      </c>
      <c r="AG303" s="183">
        <v>0</v>
      </c>
    </row>
    <row r="304" spans="2:33" s="154" customFormat="1" ht="15" customHeight="1" outlineLevel="1">
      <c r="B304" s="196" t="s">
        <v>184</v>
      </c>
      <c r="C304" s="196" t="s">
        <v>233</v>
      </c>
      <c r="D304" s="179">
        <v>0</v>
      </c>
      <c r="E304" s="180">
        <v>0</v>
      </c>
      <c r="F304" s="180">
        <v>0</v>
      </c>
      <c r="G304" s="180">
        <v>0</v>
      </c>
      <c r="H304" s="180">
        <v>0</v>
      </c>
      <c r="I304" s="180">
        <v>0</v>
      </c>
      <c r="J304" s="180">
        <v>0</v>
      </c>
      <c r="K304" s="180">
        <v>0</v>
      </c>
      <c r="L304" s="180">
        <v>0</v>
      </c>
      <c r="M304" s="181">
        <v>0</v>
      </c>
      <c r="N304" s="182">
        <v>0</v>
      </c>
      <c r="O304" s="180">
        <v>0</v>
      </c>
      <c r="P304" s="180">
        <v>0</v>
      </c>
      <c r="Q304" s="180">
        <v>0</v>
      </c>
      <c r="R304" s="180">
        <v>0</v>
      </c>
      <c r="S304" s="180">
        <v>0</v>
      </c>
      <c r="T304" s="180">
        <v>0</v>
      </c>
      <c r="U304" s="180">
        <v>0</v>
      </c>
      <c r="V304" s="180">
        <v>0</v>
      </c>
      <c r="W304" s="180">
        <v>0</v>
      </c>
      <c r="X304" s="180">
        <v>0</v>
      </c>
      <c r="Y304" s="180">
        <v>0</v>
      </c>
      <c r="Z304" s="180">
        <v>0</v>
      </c>
      <c r="AA304" s="180">
        <v>0</v>
      </c>
      <c r="AB304" s="180">
        <v>0</v>
      </c>
      <c r="AC304" s="180">
        <v>0</v>
      </c>
      <c r="AD304" s="180">
        <v>0</v>
      </c>
      <c r="AE304" s="180">
        <v>0</v>
      </c>
      <c r="AF304" s="180">
        <v>0</v>
      </c>
      <c r="AG304" s="183">
        <v>0</v>
      </c>
    </row>
    <row r="305" spans="1:33" s="154" customFormat="1" ht="15" customHeight="1" outlineLevel="1">
      <c r="B305" s="196" t="s">
        <v>184</v>
      </c>
      <c r="C305" s="196" t="s">
        <v>234</v>
      </c>
      <c r="D305" s="179">
        <v>0</v>
      </c>
      <c r="E305" s="180">
        <v>0</v>
      </c>
      <c r="F305" s="180">
        <v>0</v>
      </c>
      <c r="G305" s="180">
        <v>0</v>
      </c>
      <c r="H305" s="180">
        <v>-2</v>
      </c>
      <c r="I305" s="180">
        <v>-83</v>
      </c>
      <c r="J305" s="180">
        <v>0</v>
      </c>
      <c r="K305" s="180">
        <v>0</v>
      </c>
      <c r="L305" s="180">
        <v>0</v>
      </c>
      <c r="M305" s="181">
        <v>0</v>
      </c>
      <c r="N305" s="182">
        <v>0</v>
      </c>
      <c r="O305" s="180">
        <v>0</v>
      </c>
      <c r="P305" s="180">
        <v>0</v>
      </c>
      <c r="Q305" s="180">
        <v>0</v>
      </c>
      <c r="R305" s="180">
        <v>0</v>
      </c>
      <c r="S305" s="180">
        <v>0</v>
      </c>
      <c r="T305" s="180">
        <v>0</v>
      </c>
      <c r="U305" s="180">
        <v>0</v>
      </c>
      <c r="V305" s="180">
        <v>0</v>
      </c>
      <c r="W305" s="180">
        <v>0</v>
      </c>
      <c r="X305" s="180">
        <v>0</v>
      </c>
      <c r="Y305" s="180">
        <v>0</v>
      </c>
      <c r="Z305" s="180">
        <v>0</v>
      </c>
      <c r="AA305" s="180">
        <v>0</v>
      </c>
      <c r="AB305" s="180">
        <v>0</v>
      </c>
      <c r="AC305" s="180">
        <v>0</v>
      </c>
      <c r="AD305" s="180">
        <v>0</v>
      </c>
      <c r="AE305" s="180">
        <v>0</v>
      </c>
      <c r="AF305" s="180">
        <v>0</v>
      </c>
      <c r="AG305" s="183">
        <v>-2</v>
      </c>
    </row>
    <row r="306" spans="1:33" s="154" customFormat="1" ht="15" customHeight="1" outlineLevel="1">
      <c r="B306" s="196" t="s">
        <v>184</v>
      </c>
      <c r="C306" s="196" t="s">
        <v>140</v>
      </c>
      <c r="D306" s="179">
        <v>3111</v>
      </c>
      <c r="E306" s="180">
        <v>4519</v>
      </c>
      <c r="F306" s="180">
        <v>3549</v>
      </c>
      <c r="G306" s="180">
        <v>2184</v>
      </c>
      <c r="H306" s="180">
        <v>3417</v>
      </c>
      <c r="I306" s="180">
        <v>3872</v>
      </c>
      <c r="J306" s="180">
        <v>3390</v>
      </c>
      <c r="K306" s="180">
        <v>4574</v>
      </c>
      <c r="L306" s="180">
        <v>4445</v>
      </c>
      <c r="M306" s="181">
        <v>3738</v>
      </c>
      <c r="N306" s="182">
        <v>724</v>
      </c>
      <c r="O306" s="180">
        <v>617</v>
      </c>
      <c r="P306" s="180">
        <v>909</v>
      </c>
      <c r="Q306" s="180">
        <v>824</v>
      </c>
      <c r="R306" s="180">
        <v>982</v>
      </c>
      <c r="S306" s="180">
        <v>1142</v>
      </c>
      <c r="T306" s="180">
        <v>1163</v>
      </c>
      <c r="U306" s="180">
        <v>1232</v>
      </c>
      <c r="V306" s="180">
        <v>1183</v>
      </c>
      <c r="W306" s="180">
        <v>1126</v>
      </c>
      <c r="X306" s="180">
        <v>742</v>
      </c>
      <c r="Y306" s="180">
        <v>498</v>
      </c>
      <c r="Z306" s="180">
        <v>516</v>
      </c>
      <c r="AA306" s="180">
        <v>559</v>
      </c>
      <c r="AB306" s="180">
        <v>668</v>
      </c>
      <c r="AC306" s="180">
        <v>441</v>
      </c>
      <c r="AD306" s="180">
        <v>547</v>
      </c>
      <c r="AE306" s="180">
        <v>1009</v>
      </c>
      <c r="AF306" s="180">
        <v>863</v>
      </c>
      <c r="AG306" s="183">
        <v>1036</v>
      </c>
    </row>
    <row r="307" spans="1:33" s="154" customFormat="1" ht="15" customHeight="1" outlineLevel="1">
      <c r="B307" s="196" t="s">
        <v>184</v>
      </c>
      <c r="C307" s="196" t="s">
        <v>235</v>
      </c>
      <c r="D307" s="179">
        <v>270</v>
      </c>
      <c r="E307" s="180">
        <v>279</v>
      </c>
      <c r="F307" s="180">
        <v>199</v>
      </c>
      <c r="G307" s="180">
        <v>160</v>
      </c>
      <c r="H307" s="180">
        <v>93</v>
      </c>
      <c r="I307" s="180">
        <v>45</v>
      </c>
      <c r="J307" s="180">
        <v>45</v>
      </c>
      <c r="K307" s="180">
        <v>0</v>
      </c>
      <c r="L307" s="180">
        <v>0</v>
      </c>
      <c r="M307" s="181">
        <v>14</v>
      </c>
      <c r="N307" s="182">
        <v>64</v>
      </c>
      <c r="O307" s="180">
        <v>66</v>
      </c>
      <c r="P307" s="180">
        <v>71</v>
      </c>
      <c r="Q307" s="180">
        <v>32</v>
      </c>
      <c r="R307" s="180">
        <v>75</v>
      </c>
      <c r="S307" s="180">
        <v>70</v>
      </c>
      <c r="T307" s="180">
        <v>72</v>
      </c>
      <c r="U307" s="180">
        <v>62</v>
      </c>
      <c r="V307" s="180">
        <v>56</v>
      </c>
      <c r="W307" s="180">
        <v>50</v>
      </c>
      <c r="X307" s="180">
        <v>46</v>
      </c>
      <c r="Y307" s="180">
        <v>47</v>
      </c>
      <c r="Z307" s="180">
        <v>47</v>
      </c>
      <c r="AA307" s="180">
        <v>45</v>
      </c>
      <c r="AB307" s="180">
        <v>39</v>
      </c>
      <c r="AC307" s="180">
        <v>29</v>
      </c>
      <c r="AD307" s="180">
        <v>93</v>
      </c>
      <c r="AE307" s="180">
        <v>0</v>
      </c>
      <c r="AF307" s="180">
        <v>26</v>
      </c>
      <c r="AG307" s="183">
        <v>12</v>
      </c>
    </row>
    <row r="308" spans="1:33" s="154" customFormat="1" ht="15" customHeight="1" outlineLevel="1">
      <c r="B308" s="196" t="s">
        <v>184</v>
      </c>
      <c r="C308" s="196" t="s">
        <v>236</v>
      </c>
      <c r="D308" s="179">
        <v>2841</v>
      </c>
      <c r="E308" s="180">
        <v>4240</v>
      </c>
      <c r="F308" s="180">
        <v>3350</v>
      </c>
      <c r="G308" s="180">
        <v>2024</v>
      </c>
      <c r="H308" s="180">
        <v>3324</v>
      </c>
      <c r="I308" s="180">
        <v>3827</v>
      </c>
      <c r="J308" s="180">
        <v>3345</v>
      </c>
      <c r="K308" s="180">
        <v>4574</v>
      </c>
      <c r="L308" s="180">
        <v>4445</v>
      </c>
      <c r="M308" s="181">
        <v>3724</v>
      </c>
      <c r="N308" s="182">
        <v>660</v>
      </c>
      <c r="O308" s="180">
        <v>551</v>
      </c>
      <c r="P308" s="180">
        <v>838</v>
      </c>
      <c r="Q308" s="180">
        <v>792</v>
      </c>
      <c r="R308" s="180">
        <v>907</v>
      </c>
      <c r="S308" s="180">
        <v>1072</v>
      </c>
      <c r="T308" s="180">
        <v>1091</v>
      </c>
      <c r="U308" s="180">
        <v>1170</v>
      </c>
      <c r="V308" s="180">
        <v>1127</v>
      </c>
      <c r="W308" s="180">
        <v>1076</v>
      </c>
      <c r="X308" s="180">
        <v>696</v>
      </c>
      <c r="Y308" s="180">
        <v>451</v>
      </c>
      <c r="Z308" s="180">
        <v>469</v>
      </c>
      <c r="AA308" s="180">
        <v>514</v>
      </c>
      <c r="AB308" s="180">
        <v>629</v>
      </c>
      <c r="AC308" s="180">
        <v>412</v>
      </c>
      <c r="AD308" s="180">
        <v>454</v>
      </c>
      <c r="AE308" s="180">
        <v>1009</v>
      </c>
      <c r="AF308" s="180">
        <v>837</v>
      </c>
      <c r="AG308" s="183">
        <v>1024</v>
      </c>
    </row>
    <row r="309" spans="1:33" s="154" customFormat="1" ht="15" customHeight="1" outlineLevel="1">
      <c r="B309" s="196" t="s">
        <v>184</v>
      </c>
      <c r="C309" s="196" t="s">
        <v>237</v>
      </c>
      <c r="D309" s="179">
        <v>469</v>
      </c>
      <c r="E309" s="180">
        <v>748</v>
      </c>
      <c r="F309" s="180">
        <v>715</v>
      </c>
      <c r="G309" s="180">
        <v>591</v>
      </c>
      <c r="H309" s="180">
        <v>846</v>
      </c>
      <c r="I309" s="180">
        <v>880</v>
      </c>
      <c r="J309" s="180">
        <v>762</v>
      </c>
      <c r="K309" s="180">
        <v>1002</v>
      </c>
      <c r="L309" s="180">
        <v>1402</v>
      </c>
      <c r="M309" s="181">
        <v>1079</v>
      </c>
      <c r="N309" s="182">
        <v>130</v>
      </c>
      <c r="O309" s="180">
        <v>76</v>
      </c>
      <c r="P309" s="180">
        <v>106</v>
      </c>
      <c r="Q309" s="180">
        <v>157</v>
      </c>
      <c r="R309" s="180">
        <v>143</v>
      </c>
      <c r="S309" s="180">
        <v>179</v>
      </c>
      <c r="T309" s="180">
        <v>201</v>
      </c>
      <c r="U309" s="180">
        <v>225</v>
      </c>
      <c r="V309" s="180">
        <v>200</v>
      </c>
      <c r="W309" s="180">
        <v>254</v>
      </c>
      <c r="X309" s="180">
        <v>151</v>
      </c>
      <c r="Y309" s="180">
        <v>110</v>
      </c>
      <c r="Z309" s="180">
        <v>135</v>
      </c>
      <c r="AA309" s="180">
        <v>177</v>
      </c>
      <c r="AB309" s="180">
        <v>157</v>
      </c>
      <c r="AC309" s="180">
        <v>122</v>
      </c>
      <c r="AD309" s="180">
        <v>103</v>
      </c>
      <c r="AE309" s="180">
        <v>282</v>
      </c>
      <c r="AF309" s="180">
        <v>221</v>
      </c>
      <c r="AG309" s="183">
        <v>240</v>
      </c>
    </row>
    <row r="310" spans="1:33" s="154" customFormat="1" ht="15" customHeight="1" outlineLevel="1">
      <c r="B310" s="196" t="s">
        <v>184</v>
      </c>
      <c r="C310" s="196" t="s">
        <v>238</v>
      </c>
      <c r="D310" s="179">
        <v>0</v>
      </c>
      <c r="E310" s="180">
        <v>0</v>
      </c>
      <c r="F310" s="180">
        <v>0</v>
      </c>
      <c r="G310" s="180">
        <v>0</v>
      </c>
      <c r="H310" s="180">
        <v>0</v>
      </c>
      <c r="I310" s="180">
        <v>0</v>
      </c>
      <c r="J310" s="180">
        <v>0</v>
      </c>
      <c r="K310" s="180">
        <v>0</v>
      </c>
      <c r="L310" s="180">
        <v>0</v>
      </c>
      <c r="M310" s="181">
        <v>0</v>
      </c>
      <c r="N310" s="182">
        <v>0</v>
      </c>
      <c r="O310" s="180">
        <v>0</v>
      </c>
      <c r="P310" s="180">
        <v>0</v>
      </c>
      <c r="Q310" s="180">
        <v>0</v>
      </c>
      <c r="R310" s="180">
        <v>0</v>
      </c>
      <c r="S310" s="180">
        <v>0</v>
      </c>
      <c r="T310" s="180">
        <v>0</v>
      </c>
      <c r="U310" s="180">
        <v>0</v>
      </c>
      <c r="V310" s="180">
        <v>0</v>
      </c>
      <c r="W310" s="180">
        <v>0</v>
      </c>
      <c r="X310" s="180">
        <v>0</v>
      </c>
      <c r="Y310" s="180">
        <v>0</v>
      </c>
      <c r="Z310" s="180">
        <v>0</v>
      </c>
      <c r="AA310" s="180">
        <v>0</v>
      </c>
      <c r="AB310" s="180">
        <v>0</v>
      </c>
      <c r="AC310" s="180">
        <v>0</v>
      </c>
      <c r="AD310" s="180">
        <v>0</v>
      </c>
      <c r="AE310" s="180">
        <v>0</v>
      </c>
      <c r="AF310" s="180">
        <v>0</v>
      </c>
      <c r="AG310" s="183">
        <v>0</v>
      </c>
    </row>
    <row r="311" spans="1:33" s="154" customFormat="1" ht="15" customHeight="1" outlineLevel="1">
      <c r="B311" s="196" t="s">
        <v>184</v>
      </c>
      <c r="C311" s="196" t="s">
        <v>239</v>
      </c>
      <c r="D311" s="179">
        <v>0</v>
      </c>
      <c r="E311" s="180">
        <v>0</v>
      </c>
      <c r="F311" s="180">
        <v>0</v>
      </c>
      <c r="G311" s="180">
        <v>0</v>
      </c>
      <c r="H311" s="180">
        <v>0</v>
      </c>
      <c r="I311" s="180">
        <v>0</v>
      </c>
      <c r="J311" s="180">
        <v>0</v>
      </c>
      <c r="K311" s="180">
        <v>0</v>
      </c>
      <c r="L311" s="180">
        <v>0</v>
      </c>
      <c r="M311" s="181">
        <v>0</v>
      </c>
      <c r="N311" s="182">
        <v>0</v>
      </c>
      <c r="O311" s="180">
        <v>0</v>
      </c>
      <c r="P311" s="180">
        <v>0</v>
      </c>
      <c r="Q311" s="180">
        <v>0</v>
      </c>
      <c r="R311" s="180">
        <v>0</v>
      </c>
      <c r="S311" s="180">
        <v>0</v>
      </c>
      <c r="T311" s="180">
        <v>0</v>
      </c>
      <c r="U311" s="180">
        <v>0</v>
      </c>
      <c r="V311" s="180">
        <v>0</v>
      </c>
      <c r="W311" s="180">
        <v>0</v>
      </c>
      <c r="X311" s="180">
        <v>0</v>
      </c>
      <c r="Y311" s="180">
        <v>0</v>
      </c>
      <c r="Z311" s="180">
        <v>0</v>
      </c>
      <c r="AA311" s="180">
        <v>0</v>
      </c>
      <c r="AB311" s="180">
        <v>0</v>
      </c>
      <c r="AC311" s="180">
        <v>0</v>
      </c>
      <c r="AD311" s="180">
        <v>0</v>
      </c>
      <c r="AE311" s="180">
        <v>0</v>
      </c>
      <c r="AF311" s="180">
        <v>0</v>
      </c>
      <c r="AG311" s="183">
        <v>0</v>
      </c>
    </row>
    <row r="312" spans="1:33" s="154" customFormat="1" ht="15" customHeight="1" outlineLevel="1">
      <c r="B312" s="196" t="s">
        <v>184</v>
      </c>
      <c r="C312" s="196" t="s">
        <v>240</v>
      </c>
      <c r="D312" s="179">
        <v>2841</v>
      </c>
      <c r="E312" s="180">
        <v>4240</v>
      </c>
      <c r="F312" s="180">
        <v>3350</v>
      </c>
      <c r="G312" s="180">
        <v>2024</v>
      </c>
      <c r="H312" s="180">
        <v>3324</v>
      </c>
      <c r="I312" s="180">
        <v>3827</v>
      </c>
      <c r="J312" s="180">
        <v>3345</v>
      </c>
      <c r="K312" s="180">
        <v>4574</v>
      </c>
      <c r="L312" s="180">
        <v>4445</v>
      </c>
      <c r="M312" s="181">
        <v>3724</v>
      </c>
      <c r="N312" s="182">
        <v>660</v>
      </c>
      <c r="O312" s="180">
        <v>551</v>
      </c>
      <c r="P312" s="180">
        <v>838</v>
      </c>
      <c r="Q312" s="180">
        <v>792</v>
      </c>
      <c r="R312" s="180">
        <v>907</v>
      </c>
      <c r="S312" s="180">
        <v>1072</v>
      </c>
      <c r="T312" s="180">
        <v>1091</v>
      </c>
      <c r="U312" s="180">
        <v>1170</v>
      </c>
      <c r="V312" s="180">
        <v>1127</v>
      </c>
      <c r="W312" s="180">
        <v>1076</v>
      </c>
      <c r="X312" s="180">
        <v>696</v>
      </c>
      <c r="Y312" s="180">
        <v>451</v>
      </c>
      <c r="Z312" s="180">
        <v>469</v>
      </c>
      <c r="AA312" s="180">
        <v>514</v>
      </c>
      <c r="AB312" s="180">
        <v>629</v>
      </c>
      <c r="AC312" s="180">
        <v>412</v>
      </c>
      <c r="AD312" s="180">
        <v>454</v>
      </c>
      <c r="AE312" s="180">
        <v>1009</v>
      </c>
      <c r="AF312" s="180">
        <v>837</v>
      </c>
      <c r="AG312" s="183">
        <v>1024</v>
      </c>
    </row>
    <row r="313" spans="1:33" s="154" customFormat="1" ht="15" customHeight="1" outlineLevel="1">
      <c r="B313" s="196" t="s">
        <v>184</v>
      </c>
      <c r="C313" s="196" t="s">
        <v>241</v>
      </c>
      <c r="D313" s="179">
        <v>2372</v>
      </c>
      <c r="E313" s="180">
        <v>0</v>
      </c>
      <c r="F313" s="180">
        <v>0</v>
      </c>
      <c r="G313" s="180">
        <v>0</v>
      </c>
      <c r="H313" s="180">
        <v>2478</v>
      </c>
      <c r="I313" s="180">
        <v>2947</v>
      </c>
      <c r="J313" s="180">
        <v>2583</v>
      </c>
      <c r="K313" s="180">
        <v>3572</v>
      </c>
      <c r="L313" s="180">
        <v>3043</v>
      </c>
      <c r="M313" s="181">
        <v>2645</v>
      </c>
      <c r="N313" s="182">
        <v>2372</v>
      </c>
      <c r="O313" s="180">
        <v>0</v>
      </c>
      <c r="P313" s="180">
        <v>0</v>
      </c>
      <c r="Q313" s="180">
        <v>0</v>
      </c>
      <c r="R313" s="180">
        <v>0</v>
      </c>
      <c r="S313" s="180">
        <v>0</v>
      </c>
      <c r="T313" s="180">
        <v>0</v>
      </c>
      <c r="U313" s="180">
        <v>0</v>
      </c>
      <c r="V313" s="180">
        <v>0</v>
      </c>
      <c r="W313" s="180">
        <v>0</v>
      </c>
      <c r="X313" s="180">
        <v>0</v>
      </c>
      <c r="Y313" s="180">
        <v>0</v>
      </c>
      <c r="Z313" s="180">
        <v>0</v>
      </c>
      <c r="AA313" s="180">
        <v>0</v>
      </c>
      <c r="AB313" s="180">
        <v>0</v>
      </c>
      <c r="AC313" s="180">
        <v>0</v>
      </c>
      <c r="AD313" s="180">
        <v>351</v>
      </c>
      <c r="AE313" s="180">
        <v>727</v>
      </c>
      <c r="AF313" s="180">
        <v>616</v>
      </c>
      <c r="AG313" s="183">
        <v>784</v>
      </c>
    </row>
    <row r="314" spans="1:33" s="154" customFormat="1" ht="15" customHeight="1" outlineLevel="1">
      <c r="A314" s="154" t="s">
        <v>625</v>
      </c>
      <c r="B314" s="196" t="s">
        <v>184</v>
      </c>
      <c r="C314" s="196" t="s">
        <v>242</v>
      </c>
      <c r="D314" s="179">
        <v>0</v>
      </c>
      <c r="E314" s="180">
        <v>0</v>
      </c>
      <c r="F314" s="180">
        <v>0</v>
      </c>
      <c r="G314" s="180">
        <v>0</v>
      </c>
      <c r="H314" s="180">
        <v>0</v>
      </c>
      <c r="I314" s="180">
        <v>0</v>
      </c>
      <c r="J314" s="180">
        <v>0</v>
      </c>
      <c r="K314" s="180">
        <v>0</v>
      </c>
      <c r="L314" s="180">
        <v>0</v>
      </c>
      <c r="M314" s="181">
        <v>0</v>
      </c>
      <c r="N314" s="182">
        <v>0</v>
      </c>
      <c r="O314" s="180">
        <v>0</v>
      </c>
      <c r="P314" s="180">
        <v>0</v>
      </c>
      <c r="Q314" s="180">
        <v>0</v>
      </c>
      <c r="R314" s="180">
        <v>0</v>
      </c>
      <c r="S314" s="180">
        <v>0</v>
      </c>
      <c r="T314" s="180">
        <v>0</v>
      </c>
      <c r="U314" s="180">
        <v>0</v>
      </c>
      <c r="V314" s="180">
        <v>0</v>
      </c>
      <c r="W314" s="180">
        <v>0</v>
      </c>
      <c r="X314" s="180">
        <v>0</v>
      </c>
      <c r="Y314" s="180">
        <v>0</v>
      </c>
      <c r="Z314" s="180">
        <v>0</v>
      </c>
      <c r="AA314" s="180">
        <v>0</v>
      </c>
      <c r="AB314" s="180">
        <v>0</v>
      </c>
      <c r="AC314" s="180">
        <v>0</v>
      </c>
      <c r="AD314" s="180">
        <v>0</v>
      </c>
      <c r="AE314" s="180">
        <v>0</v>
      </c>
      <c r="AF314" s="180">
        <v>0</v>
      </c>
      <c r="AG314" s="183">
        <v>0</v>
      </c>
    </row>
    <row r="315" spans="1:33" s="154" customFormat="1" ht="15" customHeight="1" outlineLevel="1">
      <c r="B315" s="196" t="s">
        <v>184</v>
      </c>
      <c r="C315" s="196" t="s">
        <v>243</v>
      </c>
      <c r="D315" s="179">
        <v>2372</v>
      </c>
      <c r="E315" s="180">
        <v>0</v>
      </c>
      <c r="F315" s="180">
        <v>0</v>
      </c>
      <c r="G315" s="180">
        <v>0</v>
      </c>
      <c r="H315" s="180">
        <v>2478</v>
      </c>
      <c r="I315" s="180">
        <v>2947</v>
      </c>
      <c r="J315" s="180">
        <v>2583</v>
      </c>
      <c r="K315" s="180">
        <v>3572</v>
      </c>
      <c r="L315" s="180">
        <v>3043</v>
      </c>
      <c r="M315" s="181">
        <v>2645</v>
      </c>
      <c r="N315" s="182">
        <v>2372</v>
      </c>
      <c r="O315" s="180">
        <v>0</v>
      </c>
      <c r="P315" s="180">
        <v>0</v>
      </c>
      <c r="Q315" s="180">
        <v>0</v>
      </c>
      <c r="R315" s="180">
        <v>0</v>
      </c>
      <c r="S315" s="180">
        <v>0</v>
      </c>
      <c r="T315" s="180">
        <v>0</v>
      </c>
      <c r="U315" s="180">
        <v>0</v>
      </c>
      <c r="V315" s="180">
        <v>0</v>
      </c>
      <c r="W315" s="180">
        <v>0</v>
      </c>
      <c r="X315" s="180">
        <v>0</v>
      </c>
      <c r="Y315" s="180">
        <v>0</v>
      </c>
      <c r="Z315" s="180">
        <v>0</v>
      </c>
      <c r="AA315" s="180">
        <v>0</v>
      </c>
      <c r="AB315" s="180">
        <v>0</v>
      </c>
      <c r="AC315" s="180">
        <v>0</v>
      </c>
      <c r="AD315" s="180">
        <v>351</v>
      </c>
      <c r="AE315" s="180">
        <v>727</v>
      </c>
      <c r="AF315" s="180">
        <v>616</v>
      </c>
      <c r="AG315" s="183">
        <v>784</v>
      </c>
    </row>
    <row r="316" spans="1:33" s="154" customFormat="1" ht="15" customHeight="1" outlineLevel="1">
      <c r="A316" s="154" t="s">
        <v>625</v>
      </c>
      <c r="B316" s="196" t="s">
        <v>184</v>
      </c>
      <c r="C316" s="196" t="s">
        <v>244</v>
      </c>
      <c r="D316" s="179">
        <v>0</v>
      </c>
      <c r="E316" s="180">
        <v>0</v>
      </c>
      <c r="F316" s="180">
        <v>0</v>
      </c>
      <c r="G316" s="180">
        <v>0</v>
      </c>
      <c r="H316" s="180">
        <v>0</v>
      </c>
      <c r="I316" s="180">
        <v>0</v>
      </c>
      <c r="J316" s="180">
        <v>0</v>
      </c>
      <c r="K316" s="180">
        <v>0</v>
      </c>
      <c r="L316" s="180">
        <v>0</v>
      </c>
      <c r="M316" s="181">
        <v>0</v>
      </c>
      <c r="N316" s="182">
        <v>0</v>
      </c>
      <c r="O316" s="180">
        <v>0</v>
      </c>
      <c r="P316" s="180">
        <v>0</v>
      </c>
      <c r="Q316" s="180">
        <v>0</v>
      </c>
      <c r="R316" s="180">
        <v>0</v>
      </c>
      <c r="S316" s="180">
        <v>0</v>
      </c>
      <c r="T316" s="180">
        <v>0</v>
      </c>
      <c r="U316" s="180">
        <v>0</v>
      </c>
      <c r="V316" s="180">
        <v>0</v>
      </c>
      <c r="W316" s="180">
        <v>0</v>
      </c>
      <c r="X316" s="180">
        <v>0</v>
      </c>
      <c r="Y316" s="180">
        <v>0</v>
      </c>
      <c r="Z316" s="180">
        <v>0</v>
      </c>
      <c r="AA316" s="180">
        <v>0</v>
      </c>
      <c r="AB316" s="180">
        <v>0</v>
      </c>
      <c r="AC316" s="180">
        <v>0</v>
      </c>
      <c r="AD316" s="180">
        <v>0</v>
      </c>
      <c r="AE316" s="180">
        <v>0</v>
      </c>
      <c r="AF316" s="180">
        <v>0</v>
      </c>
      <c r="AG316" s="183">
        <v>0</v>
      </c>
    </row>
    <row r="317" spans="1:33" s="154" customFormat="1" ht="15" customHeight="1" outlineLevel="1">
      <c r="A317" s="154" t="s">
        <v>625</v>
      </c>
      <c r="B317" s="196" t="s">
        <v>184</v>
      </c>
      <c r="C317" s="196" t="s">
        <v>245</v>
      </c>
      <c r="D317" s="179">
        <v>0</v>
      </c>
      <c r="E317" s="180">
        <v>0</v>
      </c>
      <c r="F317" s="180">
        <v>0</v>
      </c>
      <c r="G317" s="180">
        <v>0</v>
      </c>
      <c r="H317" s="180">
        <v>0</v>
      </c>
      <c r="I317" s="180">
        <v>0</v>
      </c>
      <c r="J317" s="180">
        <v>0</v>
      </c>
      <c r="K317" s="180">
        <v>0</v>
      </c>
      <c r="L317" s="180">
        <v>0</v>
      </c>
      <c r="M317" s="181">
        <v>0</v>
      </c>
      <c r="N317" s="182">
        <v>0</v>
      </c>
      <c r="O317" s="180">
        <v>0</v>
      </c>
      <c r="P317" s="180">
        <v>0</v>
      </c>
      <c r="Q317" s="180">
        <v>0</v>
      </c>
      <c r="R317" s="180">
        <v>0</v>
      </c>
      <c r="S317" s="180">
        <v>0</v>
      </c>
      <c r="T317" s="180">
        <v>0</v>
      </c>
      <c r="U317" s="180">
        <v>0</v>
      </c>
      <c r="V317" s="180">
        <v>0</v>
      </c>
      <c r="W317" s="180">
        <v>0</v>
      </c>
      <c r="X317" s="180">
        <v>0</v>
      </c>
      <c r="Y317" s="180">
        <v>0</v>
      </c>
      <c r="Z317" s="180">
        <v>0</v>
      </c>
      <c r="AA317" s="180">
        <v>0</v>
      </c>
      <c r="AB317" s="180">
        <v>0</v>
      </c>
      <c r="AC317" s="180">
        <v>0</v>
      </c>
      <c r="AD317" s="180">
        <v>0</v>
      </c>
      <c r="AE317" s="180">
        <v>0</v>
      </c>
      <c r="AF317" s="180">
        <v>0</v>
      </c>
      <c r="AG317" s="183">
        <v>0</v>
      </c>
    </row>
    <row r="318" spans="1:33" s="154" customFormat="1" ht="15" customHeight="1" outlineLevel="1">
      <c r="A318" s="154" t="s">
        <v>625</v>
      </c>
      <c r="B318" s="196" t="s">
        <v>184</v>
      </c>
      <c r="C318" s="196" t="s">
        <v>246</v>
      </c>
      <c r="D318" s="179">
        <v>0</v>
      </c>
      <c r="E318" s="180">
        <v>0</v>
      </c>
      <c r="F318" s="180">
        <v>0</v>
      </c>
      <c r="G318" s="180">
        <v>0</v>
      </c>
      <c r="H318" s="180">
        <v>0</v>
      </c>
      <c r="I318" s="180">
        <v>0</v>
      </c>
      <c r="J318" s="180">
        <v>0</v>
      </c>
      <c r="K318" s="180">
        <v>0</v>
      </c>
      <c r="L318" s="180">
        <v>0</v>
      </c>
      <c r="M318" s="181">
        <v>0</v>
      </c>
      <c r="N318" s="182">
        <v>0</v>
      </c>
      <c r="O318" s="180">
        <v>0</v>
      </c>
      <c r="P318" s="180">
        <v>0</v>
      </c>
      <c r="Q318" s="180">
        <v>0</v>
      </c>
      <c r="R318" s="180">
        <v>0</v>
      </c>
      <c r="S318" s="180">
        <v>0</v>
      </c>
      <c r="T318" s="180">
        <v>0</v>
      </c>
      <c r="U318" s="180">
        <v>0</v>
      </c>
      <c r="V318" s="180">
        <v>0</v>
      </c>
      <c r="W318" s="180">
        <v>0</v>
      </c>
      <c r="X318" s="180">
        <v>0</v>
      </c>
      <c r="Y318" s="180">
        <v>0</v>
      </c>
      <c r="Z318" s="180">
        <v>0</v>
      </c>
      <c r="AA318" s="180">
        <v>0</v>
      </c>
      <c r="AB318" s="180">
        <v>0</v>
      </c>
      <c r="AC318" s="180">
        <v>0</v>
      </c>
      <c r="AD318" s="180">
        <v>0</v>
      </c>
      <c r="AE318" s="180">
        <v>0</v>
      </c>
      <c r="AF318" s="180">
        <v>0</v>
      </c>
      <c r="AG318" s="183">
        <v>0</v>
      </c>
    </row>
    <row r="319" spans="1:33" s="154" customFormat="1" ht="15" customHeight="1" outlineLevel="1">
      <c r="A319" s="154" t="s">
        <v>625</v>
      </c>
      <c r="B319" s="196" t="s">
        <v>184</v>
      </c>
      <c r="C319" s="196" t="s">
        <v>247</v>
      </c>
      <c r="D319" s="179">
        <v>0</v>
      </c>
      <c r="E319" s="180">
        <v>0</v>
      </c>
      <c r="F319" s="180">
        <v>0</v>
      </c>
      <c r="G319" s="180">
        <v>0</v>
      </c>
      <c r="H319" s="180">
        <v>0</v>
      </c>
      <c r="I319" s="180">
        <v>0</v>
      </c>
      <c r="J319" s="180">
        <v>0</v>
      </c>
      <c r="K319" s="180">
        <v>0</v>
      </c>
      <c r="L319" s="180">
        <v>0</v>
      </c>
      <c r="M319" s="181">
        <v>0</v>
      </c>
      <c r="N319" s="182">
        <v>0</v>
      </c>
      <c r="O319" s="180">
        <v>0</v>
      </c>
      <c r="P319" s="180">
        <v>0</v>
      </c>
      <c r="Q319" s="180">
        <v>0</v>
      </c>
      <c r="R319" s="180">
        <v>0</v>
      </c>
      <c r="S319" s="180">
        <v>0</v>
      </c>
      <c r="T319" s="180">
        <v>0</v>
      </c>
      <c r="U319" s="180">
        <v>0</v>
      </c>
      <c r="V319" s="180">
        <v>0</v>
      </c>
      <c r="W319" s="180">
        <v>0</v>
      </c>
      <c r="X319" s="180">
        <v>0</v>
      </c>
      <c r="Y319" s="180">
        <v>0</v>
      </c>
      <c r="Z319" s="180">
        <v>0</v>
      </c>
      <c r="AA319" s="180">
        <v>0</v>
      </c>
      <c r="AB319" s="180">
        <v>0</v>
      </c>
      <c r="AC319" s="180">
        <v>0</v>
      </c>
      <c r="AD319" s="180">
        <v>0</v>
      </c>
      <c r="AE319" s="180">
        <v>0</v>
      </c>
      <c r="AF319" s="180">
        <v>0</v>
      </c>
      <c r="AG319" s="183">
        <v>0</v>
      </c>
    </row>
    <row r="320" spans="1:33" s="154" customFormat="1" ht="15" customHeight="1" outlineLevel="1">
      <c r="B320" s="196" t="s">
        <v>184</v>
      </c>
      <c r="C320" s="196" t="s">
        <v>248</v>
      </c>
      <c r="D320" s="179">
        <v>2372</v>
      </c>
      <c r="E320" s="180">
        <v>3492</v>
      </c>
      <c r="F320" s="180">
        <v>2635</v>
      </c>
      <c r="G320" s="180">
        <v>1433</v>
      </c>
      <c r="H320" s="180">
        <v>2478</v>
      </c>
      <c r="I320" s="180">
        <v>2947</v>
      </c>
      <c r="J320" s="180">
        <v>2583</v>
      </c>
      <c r="K320" s="180">
        <v>3572</v>
      </c>
      <c r="L320" s="180">
        <v>3043</v>
      </c>
      <c r="M320" s="181">
        <v>2645</v>
      </c>
      <c r="N320" s="182">
        <v>530</v>
      </c>
      <c r="O320" s="180">
        <v>475</v>
      </c>
      <c r="P320" s="180">
        <v>732</v>
      </c>
      <c r="Q320" s="180">
        <v>635</v>
      </c>
      <c r="R320" s="180">
        <v>764</v>
      </c>
      <c r="S320" s="180">
        <v>893</v>
      </c>
      <c r="T320" s="180">
        <v>890</v>
      </c>
      <c r="U320" s="180">
        <v>945</v>
      </c>
      <c r="V320" s="180">
        <v>927</v>
      </c>
      <c r="W320" s="180">
        <v>822</v>
      </c>
      <c r="X320" s="180">
        <v>545</v>
      </c>
      <c r="Y320" s="180">
        <v>341</v>
      </c>
      <c r="Z320" s="180">
        <v>334</v>
      </c>
      <c r="AA320" s="180">
        <v>337</v>
      </c>
      <c r="AB320" s="180">
        <v>472</v>
      </c>
      <c r="AC320" s="180">
        <v>290</v>
      </c>
      <c r="AD320" s="180">
        <v>351</v>
      </c>
      <c r="AE320" s="180">
        <v>727</v>
      </c>
      <c r="AF320" s="180">
        <v>616</v>
      </c>
      <c r="AG320" s="183">
        <v>784</v>
      </c>
    </row>
    <row r="321" spans="2:33" s="154" customFormat="1" ht="15" customHeight="1" outlineLevel="1">
      <c r="B321" s="196" t="s">
        <v>184</v>
      </c>
      <c r="C321" s="196" t="s">
        <v>249</v>
      </c>
      <c r="D321" s="179">
        <v>2372</v>
      </c>
      <c r="E321" s="180">
        <v>0</v>
      </c>
      <c r="F321" s="180">
        <v>0</v>
      </c>
      <c r="G321" s="180">
        <v>0</v>
      </c>
      <c r="H321" s="180">
        <v>2480</v>
      </c>
      <c r="I321" s="180">
        <v>3030</v>
      </c>
      <c r="J321" s="180">
        <v>2583</v>
      </c>
      <c r="K321" s="180">
        <v>3572</v>
      </c>
      <c r="L321" s="180">
        <v>3043</v>
      </c>
      <c r="M321" s="181">
        <v>2645</v>
      </c>
      <c r="N321" s="182">
        <v>2372</v>
      </c>
      <c r="O321" s="180">
        <v>0</v>
      </c>
      <c r="P321" s="180">
        <v>0</v>
      </c>
      <c r="Q321" s="180">
        <v>0</v>
      </c>
      <c r="R321" s="180">
        <v>0</v>
      </c>
      <c r="S321" s="180">
        <v>0</v>
      </c>
      <c r="T321" s="180">
        <v>0</v>
      </c>
      <c r="U321" s="180">
        <v>0</v>
      </c>
      <c r="V321" s="180">
        <v>0</v>
      </c>
      <c r="W321" s="180">
        <v>0</v>
      </c>
      <c r="X321" s="180">
        <v>0</v>
      </c>
      <c r="Y321" s="180">
        <v>0</v>
      </c>
      <c r="Z321" s="180">
        <v>0</v>
      </c>
      <c r="AA321" s="180">
        <v>0</v>
      </c>
      <c r="AB321" s="180">
        <v>0</v>
      </c>
      <c r="AC321" s="180">
        <v>0</v>
      </c>
      <c r="AD321" s="180">
        <v>351</v>
      </c>
      <c r="AE321" s="180">
        <v>727</v>
      </c>
      <c r="AF321" s="180">
        <v>616</v>
      </c>
      <c r="AG321" s="183">
        <v>786</v>
      </c>
    </row>
    <row r="322" spans="2:33" s="154" customFormat="1" ht="15" customHeight="1" outlineLevel="1">
      <c r="B322" s="196" t="s">
        <v>184</v>
      </c>
      <c r="C322" s="196" t="s">
        <v>250</v>
      </c>
      <c r="D322" s="179">
        <v>2372</v>
      </c>
      <c r="E322" s="180">
        <v>0</v>
      </c>
      <c r="F322" s="180">
        <v>0</v>
      </c>
      <c r="G322" s="180">
        <v>0</v>
      </c>
      <c r="H322" s="180">
        <v>2478</v>
      </c>
      <c r="I322" s="180">
        <v>2947</v>
      </c>
      <c r="J322" s="180">
        <v>2583</v>
      </c>
      <c r="K322" s="180">
        <v>3572</v>
      </c>
      <c r="L322" s="180">
        <v>3043</v>
      </c>
      <c r="M322" s="181">
        <v>2645</v>
      </c>
      <c r="N322" s="182">
        <v>2372</v>
      </c>
      <c r="O322" s="180">
        <v>0</v>
      </c>
      <c r="P322" s="180">
        <v>0</v>
      </c>
      <c r="Q322" s="180">
        <v>0</v>
      </c>
      <c r="R322" s="180">
        <v>0</v>
      </c>
      <c r="S322" s="180">
        <v>0</v>
      </c>
      <c r="T322" s="180">
        <v>0</v>
      </c>
      <c r="U322" s="180">
        <v>0</v>
      </c>
      <c r="V322" s="180">
        <v>0</v>
      </c>
      <c r="W322" s="180">
        <v>0</v>
      </c>
      <c r="X322" s="180">
        <v>0</v>
      </c>
      <c r="Y322" s="180">
        <v>0</v>
      </c>
      <c r="Z322" s="180">
        <v>0</v>
      </c>
      <c r="AA322" s="180">
        <v>0</v>
      </c>
      <c r="AB322" s="180">
        <v>0</v>
      </c>
      <c r="AC322" s="180">
        <v>0</v>
      </c>
      <c r="AD322" s="180">
        <v>351</v>
      </c>
      <c r="AE322" s="180">
        <v>727</v>
      </c>
      <c r="AF322" s="180">
        <v>616</v>
      </c>
      <c r="AG322" s="183">
        <v>784</v>
      </c>
    </row>
    <row r="323" spans="2:33" s="154" customFormat="1" ht="15" customHeight="1" outlineLevel="1">
      <c r="B323" s="196" t="s">
        <v>184</v>
      </c>
      <c r="C323" s="196" t="s">
        <v>251</v>
      </c>
      <c r="D323" s="179">
        <v>0</v>
      </c>
      <c r="E323" s="180">
        <v>0</v>
      </c>
      <c r="F323" s="180">
        <v>0</v>
      </c>
      <c r="G323" s="180">
        <v>0</v>
      </c>
      <c r="H323" s="180">
        <v>0</v>
      </c>
      <c r="I323" s="180">
        <v>0</v>
      </c>
      <c r="J323" s="180">
        <v>0</v>
      </c>
      <c r="K323" s="180">
        <v>0</v>
      </c>
      <c r="L323" s="180">
        <v>0</v>
      </c>
      <c r="M323" s="181">
        <v>0</v>
      </c>
      <c r="N323" s="182">
        <v>0</v>
      </c>
      <c r="O323" s="180">
        <v>0</v>
      </c>
      <c r="P323" s="180">
        <v>0</v>
      </c>
      <c r="Q323" s="180">
        <v>0</v>
      </c>
      <c r="R323" s="180">
        <v>0</v>
      </c>
      <c r="S323" s="180">
        <v>0</v>
      </c>
      <c r="T323" s="180">
        <v>0</v>
      </c>
      <c r="U323" s="180">
        <v>0</v>
      </c>
      <c r="V323" s="180">
        <v>0</v>
      </c>
      <c r="W323" s="180">
        <v>0</v>
      </c>
      <c r="X323" s="180">
        <v>0</v>
      </c>
      <c r="Y323" s="180">
        <v>0</v>
      </c>
      <c r="Z323" s="180">
        <v>0</v>
      </c>
      <c r="AA323" s="180">
        <v>0</v>
      </c>
      <c r="AB323" s="180">
        <v>0</v>
      </c>
      <c r="AC323" s="180">
        <v>0</v>
      </c>
      <c r="AD323" s="180">
        <v>0</v>
      </c>
      <c r="AE323" s="180">
        <v>0</v>
      </c>
      <c r="AF323" s="180">
        <v>0</v>
      </c>
      <c r="AG323" s="183">
        <v>0</v>
      </c>
    </row>
    <row r="324" spans="2:33" s="154" customFormat="1" ht="15" customHeight="1" outlineLevel="1">
      <c r="B324" s="196" t="s">
        <v>184</v>
      </c>
      <c r="C324" s="196" t="s">
        <v>252</v>
      </c>
      <c r="D324" s="179">
        <v>0</v>
      </c>
      <c r="E324" s="180">
        <v>0</v>
      </c>
      <c r="F324" s="180">
        <v>0</v>
      </c>
      <c r="G324" s="180">
        <v>0</v>
      </c>
      <c r="H324" s="180">
        <v>0</v>
      </c>
      <c r="I324" s="180">
        <v>0</v>
      </c>
      <c r="J324" s="180">
        <v>0</v>
      </c>
      <c r="K324" s="180">
        <v>0</v>
      </c>
      <c r="L324" s="180">
        <v>0</v>
      </c>
      <c r="M324" s="181">
        <v>0</v>
      </c>
      <c r="N324" s="182">
        <v>0</v>
      </c>
      <c r="O324" s="180">
        <v>0</v>
      </c>
      <c r="P324" s="180">
        <v>0</v>
      </c>
      <c r="Q324" s="180">
        <v>0</v>
      </c>
      <c r="R324" s="180">
        <v>0</v>
      </c>
      <c r="S324" s="180">
        <v>0</v>
      </c>
      <c r="T324" s="180">
        <v>0</v>
      </c>
      <c r="U324" s="180">
        <v>0</v>
      </c>
      <c r="V324" s="180">
        <v>0</v>
      </c>
      <c r="W324" s="180">
        <v>0</v>
      </c>
      <c r="X324" s="180">
        <v>0</v>
      </c>
      <c r="Y324" s="180">
        <v>0</v>
      </c>
      <c r="Z324" s="180">
        <v>0</v>
      </c>
      <c r="AA324" s="180">
        <v>0</v>
      </c>
      <c r="AB324" s="180">
        <v>0</v>
      </c>
      <c r="AC324" s="180">
        <v>0</v>
      </c>
      <c r="AD324" s="180">
        <v>0</v>
      </c>
      <c r="AE324" s="180">
        <v>0</v>
      </c>
      <c r="AF324" s="180">
        <v>0</v>
      </c>
      <c r="AG324" s="183">
        <v>0</v>
      </c>
    </row>
    <row r="325" spans="2:33" s="154" customFormat="1" ht="15" customHeight="1" outlineLevel="1">
      <c r="B325" s="196" t="s">
        <v>184</v>
      </c>
      <c r="C325" s="196" t="s">
        <v>253</v>
      </c>
      <c r="D325" s="179">
        <v>1.36</v>
      </c>
      <c r="E325" s="180">
        <v>1.9</v>
      </c>
      <c r="F325" s="180">
        <v>1.36</v>
      </c>
      <c r="G325" s="180">
        <v>0.73</v>
      </c>
      <c r="H325" s="180">
        <v>1.25</v>
      </c>
      <c r="I325" s="180">
        <v>1.33</v>
      </c>
      <c r="J325" s="180">
        <v>1.1499999999999999</v>
      </c>
      <c r="K325" s="180">
        <v>1.49</v>
      </c>
      <c r="L325" s="180">
        <v>1.21</v>
      </c>
      <c r="M325" s="181">
        <v>1.03</v>
      </c>
      <c r="N325" s="182">
        <v>0.31</v>
      </c>
      <c r="O325" s="180">
        <v>0.27</v>
      </c>
      <c r="P325" s="180">
        <v>0.42</v>
      </c>
      <c r="Q325" s="180">
        <v>0.36</v>
      </c>
      <c r="R325" s="180">
        <v>0.43</v>
      </c>
      <c r="S325" s="180">
        <v>0.49</v>
      </c>
      <c r="T325" s="180">
        <v>0.48</v>
      </c>
      <c r="U325" s="180">
        <v>0.5</v>
      </c>
      <c r="V325" s="180">
        <v>0.48</v>
      </c>
      <c r="W325" s="180">
        <v>0.42</v>
      </c>
      <c r="X325" s="180">
        <v>0.28000000000000003</v>
      </c>
      <c r="Y325" s="180">
        <v>0.17</v>
      </c>
      <c r="Z325" s="180">
        <v>0.17</v>
      </c>
      <c r="AA325" s="180">
        <v>0.17</v>
      </c>
      <c r="AB325" s="180">
        <v>0.24</v>
      </c>
      <c r="AC325" s="180">
        <v>0.15</v>
      </c>
      <c r="AD325" s="180">
        <v>0.18</v>
      </c>
      <c r="AE325" s="180">
        <v>0.37</v>
      </c>
      <c r="AF325" s="180">
        <v>0.31</v>
      </c>
      <c r="AG325" s="183">
        <v>0.39</v>
      </c>
    </row>
    <row r="326" spans="2:33" s="154" customFormat="1" ht="15" customHeight="1" outlineLevel="1">
      <c r="B326" s="196" t="s">
        <v>184</v>
      </c>
      <c r="C326" s="196" t="s">
        <v>254</v>
      </c>
      <c r="D326" s="179">
        <v>0</v>
      </c>
      <c r="E326" s="180">
        <v>0</v>
      </c>
      <c r="F326" s="180">
        <v>0</v>
      </c>
      <c r="G326" s="180">
        <v>0</v>
      </c>
      <c r="H326" s="180">
        <v>0</v>
      </c>
      <c r="I326" s="180">
        <v>0</v>
      </c>
      <c r="J326" s="180">
        <v>0</v>
      </c>
      <c r="K326" s="180">
        <v>0</v>
      </c>
      <c r="L326" s="180">
        <v>0</v>
      </c>
      <c r="M326" s="181">
        <v>0</v>
      </c>
      <c r="N326" s="182">
        <v>0</v>
      </c>
      <c r="O326" s="180">
        <v>0</v>
      </c>
      <c r="P326" s="180">
        <v>0</v>
      </c>
      <c r="Q326" s="180">
        <v>0</v>
      </c>
      <c r="R326" s="180">
        <v>0</v>
      </c>
      <c r="S326" s="180">
        <v>0</v>
      </c>
      <c r="T326" s="180">
        <v>0</v>
      </c>
      <c r="U326" s="180">
        <v>0</v>
      </c>
      <c r="V326" s="180">
        <v>0</v>
      </c>
      <c r="W326" s="180">
        <v>0</v>
      </c>
      <c r="X326" s="180">
        <v>0</v>
      </c>
      <c r="Y326" s="180">
        <v>0</v>
      </c>
      <c r="Z326" s="180">
        <v>0</v>
      </c>
      <c r="AA326" s="180">
        <v>0</v>
      </c>
      <c r="AB326" s="180">
        <v>0</v>
      </c>
      <c r="AC326" s="180">
        <v>0</v>
      </c>
      <c r="AD326" s="180">
        <v>0</v>
      </c>
      <c r="AE326" s="180">
        <v>0</v>
      </c>
      <c r="AF326" s="180">
        <v>0</v>
      </c>
      <c r="AG326" s="183">
        <v>0</v>
      </c>
    </row>
    <row r="327" spans="2:33" s="154" customFormat="1" ht="15" customHeight="1" outlineLevel="1">
      <c r="B327" s="196" t="s">
        <v>184</v>
      </c>
      <c r="C327" s="196" t="s">
        <v>255</v>
      </c>
      <c r="D327" s="179">
        <v>1.36</v>
      </c>
      <c r="E327" s="180">
        <v>1.9</v>
      </c>
      <c r="F327" s="180">
        <v>1.36</v>
      </c>
      <c r="G327" s="180">
        <v>0.73</v>
      </c>
      <c r="H327" s="180">
        <v>1.25</v>
      </c>
      <c r="I327" s="180">
        <v>1.33</v>
      </c>
      <c r="J327" s="180">
        <v>1.1499999999999999</v>
      </c>
      <c r="K327" s="180">
        <v>1.49</v>
      </c>
      <c r="L327" s="180">
        <v>1.21</v>
      </c>
      <c r="M327" s="181">
        <v>1.03</v>
      </c>
      <c r="N327" s="182">
        <v>0.31</v>
      </c>
      <c r="O327" s="180">
        <v>0.27</v>
      </c>
      <c r="P327" s="180">
        <v>0.42</v>
      </c>
      <c r="Q327" s="180">
        <v>0.36</v>
      </c>
      <c r="R327" s="180">
        <v>0.43</v>
      </c>
      <c r="S327" s="180">
        <v>0.49</v>
      </c>
      <c r="T327" s="180">
        <v>0.48</v>
      </c>
      <c r="U327" s="180">
        <v>0.5</v>
      </c>
      <c r="V327" s="180">
        <v>0.48</v>
      </c>
      <c r="W327" s="180">
        <v>0.42</v>
      </c>
      <c r="X327" s="180">
        <v>0.28000000000000003</v>
      </c>
      <c r="Y327" s="180">
        <v>0.17</v>
      </c>
      <c r="Z327" s="180">
        <v>0.17</v>
      </c>
      <c r="AA327" s="180">
        <v>0.17</v>
      </c>
      <c r="AB327" s="180">
        <v>0.24</v>
      </c>
      <c r="AC327" s="180">
        <v>0.15</v>
      </c>
      <c r="AD327" s="180">
        <v>0.18</v>
      </c>
      <c r="AE327" s="180">
        <v>0.37</v>
      </c>
      <c r="AF327" s="180">
        <v>0.31</v>
      </c>
      <c r="AG327" s="183">
        <v>0.39</v>
      </c>
    </row>
    <row r="328" spans="2:33" s="154" customFormat="1" ht="15" customHeight="1" outlineLevel="1">
      <c r="B328" s="196" t="s">
        <v>184</v>
      </c>
      <c r="C328" s="196" t="s">
        <v>256</v>
      </c>
      <c r="D328" s="179">
        <v>0</v>
      </c>
      <c r="E328" s="180">
        <v>0</v>
      </c>
      <c r="F328" s="180">
        <v>0</v>
      </c>
      <c r="G328" s="180">
        <v>0</v>
      </c>
      <c r="H328" s="180">
        <v>0</v>
      </c>
      <c r="I328" s="180">
        <v>0</v>
      </c>
      <c r="J328" s="180">
        <v>0</v>
      </c>
      <c r="K328" s="180">
        <v>0</v>
      </c>
      <c r="L328" s="180">
        <v>0</v>
      </c>
      <c r="M328" s="181">
        <v>0</v>
      </c>
      <c r="N328" s="182">
        <v>0</v>
      </c>
      <c r="O328" s="180">
        <v>0</v>
      </c>
      <c r="P328" s="180">
        <v>0</v>
      </c>
      <c r="Q328" s="180">
        <v>0</v>
      </c>
      <c r="R328" s="180">
        <v>0</v>
      </c>
      <c r="S328" s="180">
        <v>0</v>
      </c>
      <c r="T328" s="180">
        <v>0</v>
      </c>
      <c r="U328" s="180">
        <v>0</v>
      </c>
      <c r="V328" s="180">
        <v>0</v>
      </c>
      <c r="W328" s="180">
        <v>0</v>
      </c>
      <c r="X328" s="180">
        <v>0</v>
      </c>
      <c r="Y328" s="180">
        <v>0</v>
      </c>
      <c r="Z328" s="180">
        <v>0</v>
      </c>
      <c r="AA328" s="180">
        <v>0</v>
      </c>
      <c r="AB328" s="180">
        <v>0</v>
      </c>
      <c r="AC328" s="180">
        <v>0</v>
      </c>
      <c r="AD328" s="180">
        <v>0</v>
      </c>
      <c r="AE328" s="180">
        <v>0</v>
      </c>
      <c r="AF328" s="180">
        <v>0</v>
      </c>
      <c r="AG328" s="183">
        <v>0</v>
      </c>
    </row>
    <row r="329" spans="2:33" s="154" customFormat="1" ht="15" customHeight="1" outlineLevel="1">
      <c r="B329" s="196" t="s">
        <v>184</v>
      </c>
      <c r="C329" s="196" t="s">
        <v>257</v>
      </c>
      <c r="D329" s="179">
        <v>0</v>
      </c>
      <c r="E329" s="180">
        <v>0</v>
      </c>
      <c r="F329" s="180">
        <v>0</v>
      </c>
      <c r="G329" s="180">
        <v>0</v>
      </c>
      <c r="H329" s="180">
        <v>0</v>
      </c>
      <c r="I329" s="180">
        <v>0</v>
      </c>
      <c r="J329" s="180">
        <v>0</v>
      </c>
      <c r="K329" s="180">
        <v>0</v>
      </c>
      <c r="L329" s="180">
        <v>0</v>
      </c>
      <c r="M329" s="181">
        <v>0</v>
      </c>
      <c r="N329" s="182">
        <v>0</v>
      </c>
      <c r="O329" s="180">
        <v>0</v>
      </c>
      <c r="P329" s="180">
        <v>0</v>
      </c>
      <c r="Q329" s="180">
        <v>0</v>
      </c>
      <c r="R329" s="180">
        <v>0</v>
      </c>
      <c r="S329" s="180">
        <v>0</v>
      </c>
      <c r="T329" s="180">
        <v>0</v>
      </c>
      <c r="U329" s="180">
        <v>0</v>
      </c>
      <c r="V329" s="180">
        <v>0</v>
      </c>
      <c r="W329" s="180">
        <v>0</v>
      </c>
      <c r="X329" s="180">
        <v>0</v>
      </c>
      <c r="Y329" s="180">
        <v>0</v>
      </c>
      <c r="Z329" s="180">
        <v>0</v>
      </c>
      <c r="AA329" s="180">
        <v>0</v>
      </c>
      <c r="AB329" s="180">
        <v>0</v>
      </c>
      <c r="AC329" s="180">
        <v>0</v>
      </c>
      <c r="AD329" s="180">
        <v>0</v>
      </c>
      <c r="AE329" s="180">
        <v>0</v>
      </c>
      <c r="AF329" s="180">
        <v>0</v>
      </c>
      <c r="AG329" s="183">
        <v>0</v>
      </c>
    </row>
    <row r="330" spans="2:33" s="154" customFormat="1" ht="15" customHeight="1" outlineLevel="1">
      <c r="B330" s="196" t="s">
        <v>184</v>
      </c>
      <c r="C330" s="196" t="s">
        <v>258</v>
      </c>
      <c r="D330" s="179">
        <v>0</v>
      </c>
      <c r="E330" s="180">
        <v>0</v>
      </c>
      <c r="F330" s="180">
        <v>0</v>
      </c>
      <c r="G330" s="180">
        <v>0</v>
      </c>
      <c r="H330" s="180">
        <v>0</v>
      </c>
      <c r="I330" s="180">
        <v>0</v>
      </c>
      <c r="J330" s="180">
        <v>0</v>
      </c>
      <c r="K330" s="180">
        <v>0</v>
      </c>
      <c r="L330" s="180">
        <v>0</v>
      </c>
      <c r="M330" s="181">
        <v>0</v>
      </c>
      <c r="N330" s="182">
        <v>0</v>
      </c>
      <c r="O330" s="180">
        <v>0</v>
      </c>
      <c r="P330" s="180">
        <v>0</v>
      </c>
      <c r="Q330" s="180">
        <v>0</v>
      </c>
      <c r="R330" s="180">
        <v>0</v>
      </c>
      <c r="S330" s="180">
        <v>0</v>
      </c>
      <c r="T330" s="180">
        <v>0</v>
      </c>
      <c r="U330" s="180">
        <v>0</v>
      </c>
      <c r="V330" s="180">
        <v>0</v>
      </c>
      <c r="W330" s="180">
        <v>0</v>
      </c>
      <c r="X330" s="180">
        <v>0</v>
      </c>
      <c r="Y330" s="180">
        <v>0</v>
      </c>
      <c r="Z330" s="180">
        <v>0</v>
      </c>
      <c r="AA330" s="180">
        <v>0</v>
      </c>
      <c r="AB330" s="180">
        <v>0</v>
      </c>
      <c r="AC330" s="180">
        <v>0</v>
      </c>
      <c r="AD330" s="180">
        <v>0</v>
      </c>
      <c r="AE330" s="180">
        <v>0</v>
      </c>
      <c r="AF330" s="180">
        <v>0</v>
      </c>
      <c r="AG330" s="183">
        <v>0</v>
      </c>
    </row>
    <row r="331" spans="2:33" s="154" customFormat="1" ht="15" customHeight="1" outlineLevel="1">
      <c r="B331" s="196" t="s">
        <v>184</v>
      </c>
      <c r="C331" s="196" t="s">
        <v>259</v>
      </c>
      <c r="D331" s="179">
        <v>0</v>
      </c>
      <c r="E331" s="180">
        <v>0</v>
      </c>
      <c r="F331" s="180">
        <v>0</v>
      </c>
      <c r="G331" s="180">
        <v>0</v>
      </c>
      <c r="H331" s="180">
        <v>0</v>
      </c>
      <c r="I331" s="180">
        <v>0</v>
      </c>
      <c r="J331" s="180">
        <v>0</v>
      </c>
      <c r="K331" s="180">
        <v>0</v>
      </c>
      <c r="L331" s="180">
        <v>0</v>
      </c>
      <c r="M331" s="181">
        <v>0</v>
      </c>
      <c r="N331" s="182">
        <v>0</v>
      </c>
      <c r="O331" s="180">
        <v>0</v>
      </c>
      <c r="P331" s="180">
        <v>0</v>
      </c>
      <c r="Q331" s="180">
        <v>0</v>
      </c>
      <c r="R331" s="180">
        <v>0</v>
      </c>
      <c r="S331" s="180">
        <v>0</v>
      </c>
      <c r="T331" s="180">
        <v>0</v>
      </c>
      <c r="U331" s="180">
        <v>0</v>
      </c>
      <c r="V331" s="180">
        <v>0</v>
      </c>
      <c r="W331" s="180">
        <v>0</v>
      </c>
      <c r="X331" s="180">
        <v>0</v>
      </c>
      <c r="Y331" s="180">
        <v>0</v>
      </c>
      <c r="Z331" s="180">
        <v>0</v>
      </c>
      <c r="AA331" s="180">
        <v>0</v>
      </c>
      <c r="AB331" s="180">
        <v>0</v>
      </c>
      <c r="AC331" s="180">
        <v>0</v>
      </c>
      <c r="AD331" s="180">
        <v>0</v>
      </c>
      <c r="AE331" s="180">
        <v>0</v>
      </c>
      <c r="AF331" s="180">
        <v>0</v>
      </c>
      <c r="AG331" s="183">
        <v>0</v>
      </c>
    </row>
    <row r="332" spans="2:33" s="154" customFormat="1" ht="15" customHeight="1" outlineLevel="1">
      <c r="B332" s="196" t="s">
        <v>184</v>
      </c>
      <c r="C332" s="196" t="s">
        <v>260</v>
      </c>
      <c r="D332" s="179">
        <v>1.36</v>
      </c>
      <c r="E332" s="180">
        <v>1.9</v>
      </c>
      <c r="F332" s="180">
        <v>1.36</v>
      </c>
      <c r="G332" s="180">
        <v>0.73</v>
      </c>
      <c r="H332" s="180">
        <v>1.25</v>
      </c>
      <c r="I332" s="180">
        <v>1.33</v>
      </c>
      <c r="J332" s="180">
        <v>1.1499999999999999</v>
      </c>
      <c r="K332" s="180">
        <v>1.49</v>
      </c>
      <c r="L332" s="180">
        <v>1.21</v>
      </c>
      <c r="M332" s="181">
        <v>1.03</v>
      </c>
      <c r="N332" s="182">
        <v>0.31</v>
      </c>
      <c r="O332" s="180">
        <v>0.27</v>
      </c>
      <c r="P332" s="180">
        <v>0.42</v>
      </c>
      <c r="Q332" s="180">
        <v>0.36</v>
      </c>
      <c r="R332" s="180">
        <v>0.43</v>
      </c>
      <c r="S332" s="180">
        <v>0.49</v>
      </c>
      <c r="T332" s="180">
        <v>0.48</v>
      </c>
      <c r="U332" s="180">
        <v>0.5</v>
      </c>
      <c r="V332" s="180">
        <v>0.48</v>
      </c>
      <c r="W332" s="180">
        <v>0.42</v>
      </c>
      <c r="X332" s="180">
        <v>0.28000000000000003</v>
      </c>
      <c r="Y332" s="180">
        <v>0.17</v>
      </c>
      <c r="Z332" s="180">
        <v>0.17</v>
      </c>
      <c r="AA332" s="180">
        <v>0.17</v>
      </c>
      <c r="AB332" s="180">
        <v>0.24</v>
      </c>
      <c r="AC332" s="180">
        <v>0.15</v>
      </c>
      <c r="AD332" s="180">
        <v>0.18</v>
      </c>
      <c r="AE332" s="180">
        <v>0.37</v>
      </c>
      <c r="AF332" s="180">
        <v>0.31</v>
      </c>
      <c r="AG332" s="183">
        <v>0.39</v>
      </c>
    </row>
    <row r="333" spans="2:33" s="154" customFormat="1" ht="15" customHeight="1" outlineLevel="1">
      <c r="B333" s="196" t="s">
        <v>184</v>
      </c>
      <c r="C333" s="196" t="s">
        <v>261</v>
      </c>
      <c r="D333" s="179">
        <v>1.36</v>
      </c>
      <c r="E333" s="180">
        <v>0</v>
      </c>
      <c r="F333" s="180">
        <v>0</v>
      </c>
      <c r="G333" s="180">
        <v>0</v>
      </c>
      <c r="H333" s="180">
        <v>1.25</v>
      </c>
      <c r="I333" s="180">
        <v>1.37</v>
      </c>
      <c r="J333" s="180">
        <v>1.1499999999999999</v>
      </c>
      <c r="K333" s="180">
        <v>1.49</v>
      </c>
      <c r="L333" s="180">
        <v>1.21</v>
      </c>
      <c r="M333" s="181">
        <v>1.03</v>
      </c>
      <c r="N333" s="182">
        <v>0.31</v>
      </c>
      <c r="O333" s="180">
        <v>0</v>
      </c>
      <c r="P333" s="180">
        <v>0</v>
      </c>
      <c r="Q333" s="180">
        <v>0</v>
      </c>
      <c r="R333" s="180">
        <v>0</v>
      </c>
      <c r="S333" s="180">
        <v>0</v>
      </c>
      <c r="T333" s="180">
        <v>0</v>
      </c>
      <c r="U333" s="180">
        <v>0</v>
      </c>
      <c r="V333" s="180">
        <v>0</v>
      </c>
      <c r="W333" s="180">
        <v>0</v>
      </c>
      <c r="X333" s="180">
        <v>0</v>
      </c>
      <c r="Y333" s="180">
        <v>0</v>
      </c>
      <c r="Z333" s="180">
        <v>0</v>
      </c>
      <c r="AA333" s="180">
        <v>0</v>
      </c>
      <c r="AB333" s="180">
        <v>0</v>
      </c>
      <c r="AC333" s="180">
        <v>0</v>
      </c>
      <c r="AD333" s="180">
        <v>0.18</v>
      </c>
      <c r="AE333" s="180">
        <v>0.37</v>
      </c>
      <c r="AF333" s="180">
        <v>0.31</v>
      </c>
      <c r="AG333" s="183">
        <v>0.39</v>
      </c>
    </row>
    <row r="334" spans="2:33" s="154" customFormat="1" ht="15" customHeight="1" outlineLevel="1">
      <c r="B334" s="196" t="s">
        <v>184</v>
      </c>
      <c r="C334" s="196" t="s">
        <v>262</v>
      </c>
      <c r="D334" s="179">
        <v>1.35</v>
      </c>
      <c r="E334" s="180">
        <v>1.88</v>
      </c>
      <c r="F334" s="180">
        <v>1.35</v>
      </c>
      <c r="G334" s="180">
        <v>0.73</v>
      </c>
      <c r="H334" s="180">
        <v>1.25</v>
      </c>
      <c r="I334" s="180">
        <v>1.31</v>
      </c>
      <c r="J334" s="180">
        <v>1.1399999999999999</v>
      </c>
      <c r="K334" s="180">
        <v>1.46</v>
      </c>
      <c r="L334" s="180">
        <v>1.18</v>
      </c>
      <c r="M334" s="181">
        <v>1.01</v>
      </c>
      <c r="N334" s="182">
        <v>0.3</v>
      </c>
      <c r="O334" s="180">
        <v>0.27</v>
      </c>
      <c r="P334" s="180">
        <v>0.42</v>
      </c>
      <c r="Q334" s="180">
        <v>0.36</v>
      </c>
      <c r="R334" s="180">
        <v>0.42</v>
      </c>
      <c r="S334" s="180">
        <v>0.49</v>
      </c>
      <c r="T334" s="180">
        <v>0.48</v>
      </c>
      <c r="U334" s="180">
        <v>0.49</v>
      </c>
      <c r="V334" s="180">
        <v>0.48</v>
      </c>
      <c r="W334" s="180">
        <v>0.42</v>
      </c>
      <c r="X334" s="180">
        <v>0.28000000000000003</v>
      </c>
      <c r="Y334" s="180">
        <v>0.17</v>
      </c>
      <c r="Z334" s="180">
        <v>0.17</v>
      </c>
      <c r="AA334" s="180">
        <v>0.17</v>
      </c>
      <c r="AB334" s="180">
        <v>0.24</v>
      </c>
      <c r="AC334" s="180">
        <v>0.15</v>
      </c>
      <c r="AD334" s="180">
        <v>0.19</v>
      </c>
      <c r="AE334" s="180">
        <v>0.37</v>
      </c>
      <c r="AF334" s="180">
        <v>0.31</v>
      </c>
      <c r="AG334" s="183">
        <v>0.38</v>
      </c>
    </row>
    <row r="335" spans="2:33" s="154" customFormat="1" ht="15" customHeight="1" outlineLevel="1">
      <c r="B335" s="196" t="s">
        <v>184</v>
      </c>
      <c r="C335" s="196" t="s">
        <v>263</v>
      </c>
      <c r="D335" s="179">
        <v>0</v>
      </c>
      <c r="E335" s="180">
        <v>0</v>
      </c>
      <c r="F335" s="180">
        <v>0</v>
      </c>
      <c r="G335" s="180">
        <v>0</v>
      </c>
      <c r="H335" s="180">
        <v>0</v>
      </c>
      <c r="I335" s="180">
        <v>0</v>
      </c>
      <c r="J335" s="180">
        <v>0</v>
      </c>
      <c r="K335" s="180">
        <v>0</v>
      </c>
      <c r="L335" s="180">
        <v>0</v>
      </c>
      <c r="M335" s="181">
        <v>0</v>
      </c>
      <c r="N335" s="182">
        <v>0</v>
      </c>
      <c r="O335" s="180">
        <v>0</v>
      </c>
      <c r="P335" s="180">
        <v>0</v>
      </c>
      <c r="Q335" s="180">
        <v>0</v>
      </c>
      <c r="R335" s="180">
        <v>0</v>
      </c>
      <c r="S335" s="180">
        <v>0</v>
      </c>
      <c r="T335" s="180">
        <v>0</v>
      </c>
      <c r="U335" s="180">
        <v>0</v>
      </c>
      <c r="V335" s="180">
        <v>0</v>
      </c>
      <c r="W335" s="180">
        <v>0</v>
      </c>
      <c r="X335" s="180">
        <v>0</v>
      </c>
      <c r="Y335" s="180">
        <v>0</v>
      </c>
      <c r="Z335" s="180">
        <v>0</v>
      </c>
      <c r="AA335" s="180">
        <v>0</v>
      </c>
      <c r="AB335" s="180">
        <v>0</v>
      </c>
      <c r="AC335" s="180">
        <v>0</v>
      </c>
      <c r="AD335" s="180">
        <v>0</v>
      </c>
      <c r="AE335" s="180">
        <v>0</v>
      </c>
      <c r="AF335" s="180">
        <v>0</v>
      </c>
      <c r="AG335" s="183">
        <v>0</v>
      </c>
    </row>
    <row r="336" spans="2:33" s="154" customFormat="1" ht="15" customHeight="1" outlineLevel="1">
      <c r="B336" s="196" t="s">
        <v>184</v>
      </c>
      <c r="C336" s="196" t="s">
        <v>264</v>
      </c>
      <c r="D336" s="179">
        <v>1.35</v>
      </c>
      <c r="E336" s="180">
        <v>1.88</v>
      </c>
      <c r="F336" s="180">
        <v>1.35</v>
      </c>
      <c r="G336" s="180">
        <v>0.73</v>
      </c>
      <c r="H336" s="180">
        <v>1.25</v>
      </c>
      <c r="I336" s="180">
        <v>1.31</v>
      </c>
      <c r="J336" s="180">
        <v>1.1399999999999999</v>
      </c>
      <c r="K336" s="180">
        <v>1.46</v>
      </c>
      <c r="L336" s="180">
        <v>1.18</v>
      </c>
      <c r="M336" s="181">
        <v>1.01</v>
      </c>
      <c r="N336" s="182">
        <v>0.3</v>
      </c>
      <c r="O336" s="180">
        <v>0.27</v>
      </c>
      <c r="P336" s="180">
        <v>0.42</v>
      </c>
      <c r="Q336" s="180">
        <v>0.36</v>
      </c>
      <c r="R336" s="180">
        <v>0.42</v>
      </c>
      <c r="S336" s="180">
        <v>0.49</v>
      </c>
      <c r="T336" s="180">
        <v>0.48</v>
      </c>
      <c r="U336" s="180">
        <v>0.49</v>
      </c>
      <c r="V336" s="180">
        <v>0.48</v>
      </c>
      <c r="W336" s="180">
        <v>0.42</v>
      </c>
      <c r="X336" s="180">
        <v>0.28000000000000003</v>
      </c>
      <c r="Y336" s="180">
        <v>0.17</v>
      </c>
      <c r="Z336" s="180">
        <v>0.17</v>
      </c>
      <c r="AA336" s="180">
        <v>0.17</v>
      </c>
      <c r="AB336" s="180">
        <v>0.24</v>
      </c>
      <c r="AC336" s="180">
        <v>0.15</v>
      </c>
      <c r="AD336" s="180">
        <v>0.19</v>
      </c>
      <c r="AE336" s="180">
        <v>0.37</v>
      </c>
      <c r="AF336" s="180">
        <v>0.31</v>
      </c>
      <c r="AG336" s="183">
        <v>0.38</v>
      </c>
    </row>
    <row r="337" spans="2:33" s="154" customFormat="1" ht="15" customHeight="1" outlineLevel="1">
      <c r="B337" s="196" t="s">
        <v>184</v>
      </c>
      <c r="C337" s="196" t="s">
        <v>265</v>
      </c>
      <c r="D337" s="179">
        <v>0</v>
      </c>
      <c r="E337" s="180">
        <v>0</v>
      </c>
      <c r="F337" s="180">
        <v>0</v>
      </c>
      <c r="G337" s="180">
        <v>0</v>
      </c>
      <c r="H337" s="180">
        <v>0</v>
      </c>
      <c r="I337" s="180">
        <v>0</v>
      </c>
      <c r="J337" s="180">
        <v>0</v>
      </c>
      <c r="K337" s="180">
        <v>0</v>
      </c>
      <c r="L337" s="180">
        <v>0</v>
      </c>
      <c r="M337" s="181">
        <v>0</v>
      </c>
      <c r="N337" s="182">
        <v>0</v>
      </c>
      <c r="O337" s="180">
        <v>0</v>
      </c>
      <c r="P337" s="180">
        <v>0</v>
      </c>
      <c r="Q337" s="180">
        <v>0</v>
      </c>
      <c r="R337" s="180">
        <v>0</v>
      </c>
      <c r="S337" s="180">
        <v>0</v>
      </c>
      <c r="T337" s="180">
        <v>0</v>
      </c>
      <c r="U337" s="180">
        <v>0</v>
      </c>
      <c r="V337" s="180">
        <v>0</v>
      </c>
      <c r="W337" s="180">
        <v>0</v>
      </c>
      <c r="X337" s="180">
        <v>0</v>
      </c>
      <c r="Y337" s="180">
        <v>0</v>
      </c>
      <c r="Z337" s="180">
        <v>0</v>
      </c>
      <c r="AA337" s="180">
        <v>0</v>
      </c>
      <c r="AB337" s="180">
        <v>0</v>
      </c>
      <c r="AC337" s="180">
        <v>0</v>
      </c>
      <c r="AD337" s="180">
        <v>0</v>
      </c>
      <c r="AE337" s="180">
        <v>0</v>
      </c>
      <c r="AF337" s="180">
        <v>0</v>
      </c>
      <c r="AG337" s="183">
        <v>0</v>
      </c>
    </row>
    <row r="338" spans="2:33" s="154" customFormat="1" ht="15" customHeight="1" outlineLevel="1">
      <c r="B338" s="196" t="s">
        <v>184</v>
      </c>
      <c r="C338" s="196" t="s">
        <v>266</v>
      </c>
      <c r="D338" s="179">
        <v>0</v>
      </c>
      <c r="E338" s="180">
        <v>0</v>
      </c>
      <c r="F338" s="180">
        <v>0</v>
      </c>
      <c r="G338" s="180">
        <v>0</v>
      </c>
      <c r="H338" s="180">
        <v>0</v>
      </c>
      <c r="I338" s="180">
        <v>0</v>
      </c>
      <c r="J338" s="180">
        <v>0</v>
      </c>
      <c r="K338" s="180">
        <v>0</v>
      </c>
      <c r="L338" s="180">
        <v>0</v>
      </c>
      <c r="M338" s="181">
        <v>0</v>
      </c>
      <c r="N338" s="182">
        <v>0</v>
      </c>
      <c r="O338" s="180">
        <v>0</v>
      </c>
      <c r="P338" s="180">
        <v>0</v>
      </c>
      <c r="Q338" s="180">
        <v>0</v>
      </c>
      <c r="R338" s="180">
        <v>0</v>
      </c>
      <c r="S338" s="180">
        <v>0</v>
      </c>
      <c r="T338" s="180">
        <v>0</v>
      </c>
      <c r="U338" s="180">
        <v>0</v>
      </c>
      <c r="V338" s="180">
        <v>0</v>
      </c>
      <c r="W338" s="180">
        <v>0</v>
      </c>
      <c r="X338" s="180">
        <v>0</v>
      </c>
      <c r="Y338" s="180">
        <v>0</v>
      </c>
      <c r="Z338" s="180">
        <v>0</v>
      </c>
      <c r="AA338" s="180">
        <v>0</v>
      </c>
      <c r="AB338" s="180">
        <v>0</v>
      </c>
      <c r="AC338" s="180">
        <v>0</v>
      </c>
      <c r="AD338" s="180">
        <v>0</v>
      </c>
      <c r="AE338" s="180">
        <v>0</v>
      </c>
      <c r="AF338" s="180">
        <v>0</v>
      </c>
      <c r="AG338" s="183">
        <v>0</v>
      </c>
    </row>
    <row r="339" spans="2:33" s="154" customFormat="1" ht="15" customHeight="1" outlineLevel="1">
      <c r="B339" s="196" t="s">
        <v>184</v>
      </c>
      <c r="C339" s="196" t="s">
        <v>267</v>
      </c>
      <c r="D339" s="179">
        <v>0</v>
      </c>
      <c r="E339" s="180">
        <v>0</v>
      </c>
      <c r="F339" s="180">
        <v>0</v>
      </c>
      <c r="G339" s="180">
        <v>0</v>
      </c>
      <c r="H339" s="180">
        <v>0</v>
      </c>
      <c r="I339" s="180">
        <v>0</v>
      </c>
      <c r="J339" s="180">
        <v>0</v>
      </c>
      <c r="K339" s="180">
        <v>0</v>
      </c>
      <c r="L339" s="180">
        <v>0</v>
      </c>
      <c r="M339" s="181">
        <v>0</v>
      </c>
      <c r="N339" s="182">
        <v>0</v>
      </c>
      <c r="O339" s="180">
        <v>0</v>
      </c>
      <c r="P339" s="180">
        <v>0</v>
      </c>
      <c r="Q339" s="180">
        <v>0</v>
      </c>
      <c r="R339" s="180">
        <v>0</v>
      </c>
      <c r="S339" s="180">
        <v>0</v>
      </c>
      <c r="T339" s="180">
        <v>0</v>
      </c>
      <c r="U339" s="180">
        <v>0</v>
      </c>
      <c r="V339" s="180">
        <v>0</v>
      </c>
      <c r="W339" s="180">
        <v>0</v>
      </c>
      <c r="X339" s="180">
        <v>0</v>
      </c>
      <c r="Y339" s="180">
        <v>0</v>
      </c>
      <c r="Z339" s="180">
        <v>0</v>
      </c>
      <c r="AA339" s="180">
        <v>0</v>
      </c>
      <c r="AB339" s="180">
        <v>0</v>
      </c>
      <c r="AC339" s="180">
        <v>0</v>
      </c>
      <c r="AD339" s="180">
        <v>0</v>
      </c>
      <c r="AE339" s="180">
        <v>0</v>
      </c>
      <c r="AF339" s="180">
        <v>0</v>
      </c>
      <c r="AG339" s="183">
        <v>0</v>
      </c>
    </row>
    <row r="340" spans="2:33" s="154" customFormat="1" ht="15" customHeight="1" outlineLevel="1">
      <c r="B340" s="196" t="s">
        <v>184</v>
      </c>
      <c r="C340" s="196" t="s">
        <v>268</v>
      </c>
      <c r="D340" s="179">
        <v>0</v>
      </c>
      <c r="E340" s="180">
        <v>0</v>
      </c>
      <c r="F340" s="180">
        <v>0</v>
      </c>
      <c r="G340" s="180">
        <v>0</v>
      </c>
      <c r="H340" s="180">
        <v>0</v>
      </c>
      <c r="I340" s="180">
        <v>0</v>
      </c>
      <c r="J340" s="180">
        <v>0</v>
      </c>
      <c r="K340" s="180">
        <v>0</v>
      </c>
      <c r="L340" s="180">
        <v>0</v>
      </c>
      <c r="M340" s="181">
        <v>0</v>
      </c>
      <c r="N340" s="182">
        <v>0</v>
      </c>
      <c r="O340" s="180">
        <v>0</v>
      </c>
      <c r="P340" s="180">
        <v>0</v>
      </c>
      <c r="Q340" s="180">
        <v>0</v>
      </c>
      <c r="R340" s="180">
        <v>0</v>
      </c>
      <c r="S340" s="180">
        <v>0</v>
      </c>
      <c r="T340" s="180">
        <v>0</v>
      </c>
      <c r="U340" s="180">
        <v>0</v>
      </c>
      <c r="V340" s="180">
        <v>0</v>
      </c>
      <c r="W340" s="180">
        <v>0</v>
      </c>
      <c r="X340" s="180">
        <v>0</v>
      </c>
      <c r="Y340" s="180">
        <v>0</v>
      </c>
      <c r="Z340" s="180">
        <v>0</v>
      </c>
      <c r="AA340" s="180">
        <v>0</v>
      </c>
      <c r="AB340" s="180">
        <v>0</v>
      </c>
      <c r="AC340" s="180">
        <v>0</v>
      </c>
      <c r="AD340" s="180">
        <v>0</v>
      </c>
      <c r="AE340" s="180">
        <v>0</v>
      </c>
      <c r="AF340" s="180">
        <v>0</v>
      </c>
      <c r="AG340" s="183">
        <v>0</v>
      </c>
    </row>
    <row r="341" spans="2:33" s="154" customFormat="1" ht="15" customHeight="1" outlineLevel="1">
      <c r="B341" s="196" t="s">
        <v>184</v>
      </c>
      <c r="C341" s="196" t="s">
        <v>269</v>
      </c>
      <c r="D341" s="179">
        <v>1.35</v>
      </c>
      <c r="E341" s="180">
        <v>1.88</v>
      </c>
      <c r="F341" s="180">
        <v>1.35</v>
      </c>
      <c r="G341" s="180">
        <v>0.73</v>
      </c>
      <c r="H341" s="180">
        <v>1.25</v>
      </c>
      <c r="I341" s="180">
        <v>1.31</v>
      </c>
      <c r="J341" s="180">
        <v>1.1399999999999999</v>
      </c>
      <c r="K341" s="180">
        <v>1.46</v>
      </c>
      <c r="L341" s="180">
        <v>1.18</v>
      </c>
      <c r="M341" s="181">
        <v>1.01</v>
      </c>
      <c r="N341" s="182">
        <v>0.3</v>
      </c>
      <c r="O341" s="180">
        <v>0.27</v>
      </c>
      <c r="P341" s="180">
        <v>0.42</v>
      </c>
      <c r="Q341" s="180">
        <v>0.36</v>
      </c>
      <c r="R341" s="180">
        <v>0.42</v>
      </c>
      <c r="S341" s="180">
        <v>0.49</v>
      </c>
      <c r="T341" s="180">
        <v>0.48</v>
      </c>
      <c r="U341" s="180">
        <v>0.49</v>
      </c>
      <c r="V341" s="180">
        <v>0.48</v>
      </c>
      <c r="W341" s="180">
        <v>0.42</v>
      </c>
      <c r="X341" s="180">
        <v>0.28000000000000003</v>
      </c>
      <c r="Y341" s="180">
        <v>0.17</v>
      </c>
      <c r="Z341" s="180">
        <v>0.17</v>
      </c>
      <c r="AA341" s="180">
        <v>0.17</v>
      </c>
      <c r="AB341" s="180">
        <v>0.24</v>
      </c>
      <c r="AC341" s="180">
        <v>0.15</v>
      </c>
      <c r="AD341" s="180">
        <v>0.19</v>
      </c>
      <c r="AE341" s="180">
        <v>0.37</v>
      </c>
      <c r="AF341" s="180">
        <v>0.31</v>
      </c>
      <c r="AG341" s="183">
        <v>0.38</v>
      </c>
    </row>
    <row r="342" spans="2:33" s="154" customFormat="1" ht="15" customHeight="1" outlineLevel="1">
      <c r="B342" s="196" t="s">
        <v>184</v>
      </c>
      <c r="C342" s="196" t="s">
        <v>270</v>
      </c>
      <c r="D342" s="179">
        <v>1.35</v>
      </c>
      <c r="E342" s="180">
        <v>0</v>
      </c>
      <c r="F342" s="180">
        <v>0</v>
      </c>
      <c r="G342" s="180">
        <v>0</v>
      </c>
      <c r="H342" s="180">
        <v>1.25</v>
      </c>
      <c r="I342" s="180">
        <v>1.35</v>
      </c>
      <c r="J342" s="180">
        <v>1.1399999999999999</v>
      </c>
      <c r="K342" s="180">
        <v>1.46</v>
      </c>
      <c r="L342" s="180">
        <v>1.18</v>
      </c>
      <c r="M342" s="181">
        <v>1.01</v>
      </c>
      <c r="N342" s="182">
        <v>0.3</v>
      </c>
      <c r="O342" s="180">
        <v>0</v>
      </c>
      <c r="P342" s="180">
        <v>0</v>
      </c>
      <c r="Q342" s="180">
        <v>0</v>
      </c>
      <c r="R342" s="180">
        <v>0</v>
      </c>
      <c r="S342" s="180">
        <v>0</v>
      </c>
      <c r="T342" s="180">
        <v>0</v>
      </c>
      <c r="U342" s="180">
        <v>0</v>
      </c>
      <c r="V342" s="180">
        <v>0</v>
      </c>
      <c r="W342" s="180">
        <v>0</v>
      </c>
      <c r="X342" s="180">
        <v>0</v>
      </c>
      <c r="Y342" s="180">
        <v>0</v>
      </c>
      <c r="Z342" s="180">
        <v>0</v>
      </c>
      <c r="AA342" s="180">
        <v>0</v>
      </c>
      <c r="AB342" s="180">
        <v>0</v>
      </c>
      <c r="AC342" s="180">
        <v>0</v>
      </c>
      <c r="AD342" s="180">
        <v>0.19</v>
      </c>
      <c r="AE342" s="180">
        <v>0.37</v>
      </c>
      <c r="AF342" s="180">
        <v>0.31</v>
      </c>
      <c r="AG342" s="183">
        <v>0.38</v>
      </c>
    </row>
    <row r="343" spans="2:33" s="154" customFormat="1" ht="15" customHeight="1" outlineLevel="1" thickBot="1">
      <c r="B343" s="197" t="s">
        <v>184</v>
      </c>
      <c r="C343" s="197" t="s">
        <v>271</v>
      </c>
      <c r="D343" s="198">
        <v>0.16</v>
      </c>
      <c r="E343" s="199">
        <v>0</v>
      </c>
      <c r="F343" s="199">
        <v>0</v>
      </c>
      <c r="G343" s="199">
        <v>0</v>
      </c>
      <c r="H343" s="199">
        <v>0</v>
      </c>
      <c r="I343" s="199">
        <v>0</v>
      </c>
      <c r="J343" s="199">
        <v>0</v>
      </c>
      <c r="K343" s="199">
        <v>0</v>
      </c>
      <c r="L343" s="199">
        <v>0</v>
      </c>
      <c r="M343" s="200">
        <v>0</v>
      </c>
      <c r="N343" s="201">
        <v>0.08</v>
      </c>
      <c r="O343" s="199">
        <v>0.08</v>
      </c>
      <c r="P343" s="199">
        <v>0</v>
      </c>
      <c r="Q343" s="199">
        <v>0</v>
      </c>
      <c r="R343" s="199">
        <v>0</v>
      </c>
      <c r="S343" s="199">
        <v>0</v>
      </c>
      <c r="T343" s="199">
        <v>0</v>
      </c>
      <c r="U343" s="199">
        <v>0</v>
      </c>
      <c r="V343" s="199">
        <v>0</v>
      </c>
      <c r="W343" s="199">
        <v>0</v>
      </c>
      <c r="X343" s="199">
        <v>0</v>
      </c>
      <c r="Y343" s="199">
        <v>0</v>
      </c>
      <c r="Z343" s="199">
        <v>0</v>
      </c>
      <c r="AA343" s="199">
        <v>0</v>
      </c>
      <c r="AB343" s="199">
        <v>0</v>
      </c>
      <c r="AC343" s="199">
        <v>0</v>
      </c>
      <c r="AD343" s="199">
        <v>0</v>
      </c>
      <c r="AE343" s="199">
        <v>0</v>
      </c>
      <c r="AF343" s="199">
        <v>0</v>
      </c>
      <c r="AG343" s="202">
        <v>0</v>
      </c>
    </row>
    <row r="344" spans="2:33" s="154" customFormat="1" ht="15" customHeight="1" outlineLevel="1">
      <c r="B344" s="167" t="s">
        <v>185</v>
      </c>
      <c r="C344" s="167" t="s">
        <v>272</v>
      </c>
      <c r="D344" s="203">
        <v>56940</v>
      </c>
      <c r="E344" s="192">
        <v>62071</v>
      </c>
      <c r="F344" s="192">
        <v>61494</v>
      </c>
      <c r="G344" s="192">
        <v>52902</v>
      </c>
      <c r="H344" s="192">
        <v>61101</v>
      </c>
      <c r="I344" s="192">
        <v>61133</v>
      </c>
      <c r="J344" s="192">
        <v>57420</v>
      </c>
      <c r="K344" s="192">
        <v>55908</v>
      </c>
      <c r="L344" s="192">
        <v>49205</v>
      </c>
      <c r="M344" s="193">
        <v>41444</v>
      </c>
      <c r="N344" s="194">
        <v>56940</v>
      </c>
      <c r="O344" s="192">
        <v>42626</v>
      </c>
      <c r="P344" s="192">
        <v>28905</v>
      </c>
      <c r="Q344" s="192">
        <v>14422</v>
      </c>
      <c r="R344" s="192">
        <v>62071</v>
      </c>
      <c r="S344" s="192">
        <v>46040</v>
      </c>
      <c r="T344" s="192">
        <v>30675</v>
      </c>
      <c r="U344" s="192">
        <v>15017</v>
      </c>
      <c r="V344" s="192">
        <v>61494</v>
      </c>
      <c r="W344" s="192">
        <v>45802</v>
      </c>
      <c r="X344" s="192">
        <v>30408</v>
      </c>
      <c r="Y344" s="192">
        <v>14874</v>
      </c>
      <c r="Z344" s="192">
        <v>52902</v>
      </c>
      <c r="AA344" s="192">
        <v>38002</v>
      </c>
      <c r="AB344" s="192">
        <v>25106</v>
      </c>
      <c r="AC344" s="192">
        <v>12342</v>
      </c>
      <c r="AD344" s="192">
        <v>61101</v>
      </c>
      <c r="AE344" s="192">
        <v>47673</v>
      </c>
      <c r="AF344" s="192">
        <v>32511</v>
      </c>
      <c r="AG344" s="195">
        <v>16077</v>
      </c>
    </row>
    <row r="345" spans="2:33" s="154" customFormat="1" ht="15" customHeight="1" outlineLevel="1">
      <c r="B345" s="173" t="s">
        <v>185</v>
      </c>
      <c r="C345" s="173" t="s">
        <v>273</v>
      </c>
      <c r="D345" s="179">
        <v>2372</v>
      </c>
      <c r="E345" s="180">
        <v>0</v>
      </c>
      <c r="F345" s="180">
        <v>0</v>
      </c>
      <c r="G345" s="180">
        <v>0</v>
      </c>
      <c r="H345" s="180">
        <v>2478</v>
      </c>
      <c r="I345" s="180">
        <v>2947</v>
      </c>
      <c r="J345" s="180">
        <v>2583</v>
      </c>
      <c r="K345" s="180">
        <v>3572</v>
      </c>
      <c r="L345" s="180">
        <v>3043</v>
      </c>
      <c r="M345" s="181">
        <v>2645</v>
      </c>
      <c r="N345" s="182">
        <v>2372</v>
      </c>
      <c r="O345" s="180">
        <v>0</v>
      </c>
      <c r="P345" s="180">
        <v>0</v>
      </c>
      <c r="Q345" s="180">
        <v>0</v>
      </c>
      <c r="R345" s="180">
        <v>0</v>
      </c>
      <c r="S345" s="180">
        <v>0</v>
      </c>
      <c r="T345" s="180">
        <v>0</v>
      </c>
      <c r="U345" s="180">
        <v>0</v>
      </c>
      <c r="V345" s="180">
        <v>0</v>
      </c>
      <c r="W345" s="180">
        <v>0</v>
      </c>
      <c r="X345" s="180">
        <v>0</v>
      </c>
      <c r="Y345" s="180">
        <v>0</v>
      </c>
      <c r="Z345" s="180">
        <v>0</v>
      </c>
      <c r="AA345" s="180">
        <v>0</v>
      </c>
      <c r="AB345" s="180">
        <v>0</v>
      </c>
      <c r="AC345" s="180">
        <v>0</v>
      </c>
      <c r="AD345" s="180">
        <v>2478</v>
      </c>
      <c r="AE345" s="180">
        <v>2127</v>
      </c>
      <c r="AF345" s="180">
        <v>1400</v>
      </c>
      <c r="AG345" s="183">
        <v>784</v>
      </c>
    </row>
    <row r="346" spans="2:33" s="154" customFormat="1" ht="15" customHeight="1" outlineLevel="1">
      <c r="B346" s="173" t="s">
        <v>185</v>
      </c>
      <c r="C346" s="173" t="s">
        <v>274</v>
      </c>
      <c r="D346" s="179">
        <v>1.35</v>
      </c>
      <c r="E346" s="180">
        <v>1.88</v>
      </c>
      <c r="F346" s="180">
        <v>1.35</v>
      </c>
      <c r="G346" s="180">
        <v>0.73</v>
      </c>
      <c r="H346" s="180">
        <v>1.25</v>
      </c>
      <c r="I346" s="180">
        <v>1.31</v>
      </c>
      <c r="J346" s="180">
        <v>1.1399999999999999</v>
      </c>
      <c r="K346" s="180">
        <v>1.46</v>
      </c>
      <c r="L346" s="180">
        <v>1.18</v>
      </c>
      <c r="M346" s="181">
        <v>1.01</v>
      </c>
      <c r="N346" s="182">
        <v>1.35</v>
      </c>
      <c r="O346" s="180">
        <v>1.05</v>
      </c>
      <c r="P346" s="180">
        <v>0.77</v>
      </c>
      <c r="Q346" s="180">
        <v>0.36</v>
      </c>
      <c r="R346" s="180">
        <v>1.88</v>
      </c>
      <c r="S346" s="180">
        <v>1.46</v>
      </c>
      <c r="T346" s="180">
        <v>0.97</v>
      </c>
      <c r="U346" s="180">
        <v>0.49</v>
      </c>
      <c r="V346" s="180">
        <v>1.35</v>
      </c>
      <c r="W346" s="180">
        <v>0.87</v>
      </c>
      <c r="X346" s="180">
        <v>0.45</v>
      </c>
      <c r="Y346" s="180">
        <v>0.17</v>
      </c>
      <c r="Z346" s="180">
        <v>0.73</v>
      </c>
      <c r="AA346" s="180">
        <v>0.56000000000000005</v>
      </c>
      <c r="AB346" s="180">
        <v>0.39</v>
      </c>
      <c r="AC346" s="180">
        <v>0.15</v>
      </c>
      <c r="AD346" s="180">
        <v>1.25</v>
      </c>
      <c r="AE346" s="180">
        <v>1.06</v>
      </c>
      <c r="AF346" s="180">
        <v>0.69</v>
      </c>
      <c r="AG346" s="183">
        <v>0.38</v>
      </c>
    </row>
    <row r="347" spans="2:33" s="154" customFormat="1" ht="15" customHeight="1" outlineLevel="1" thickBot="1">
      <c r="B347" s="184" t="s">
        <v>185</v>
      </c>
      <c r="C347" s="184" t="s">
        <v>275</v>
      </c>
      <c r="D347" s="185">
        <v>0.16</v>
      </c>
      <c r="E347" s="186">
        <v>0</v>
      </c>
      <c r="F347" s="186">
        <v>0</v>
      </c>
      <c r="G347" s="186">
        <v>0</v>
      </c>
      <c r="H347" s="186">
        <v>0</v>
      </c>
      <c r="I347" s="186">
        <v>0</v>
      </c>
      <c r="J347" s="186">
        <v>0</v>
      </c>
      <c r="K347" s="186">
        <v>0</v>
      </c>
      <c r="L347" s="186">
        <v>0</v>
      </c>
      <c r="M347" s="187">
        <v>0</v>
      </c>
      <c r="N347" s="188">
        <v>0.16</v>
      </c>
      <c r="O347" s="186">
        <v>0.08</v>
      </c>
      <c r="P347" s="186">
        <v>0</v>
      </c>
      <c r="Q347" s="186">
        <v>0</v>
      </c>
      <c r="R347" s="186">
        <v>0</v>
      </c>
      <c r="S347" s="186">
        <v>0</v>
      </c>
      <c r="T347" s="186">
        <v>0</v>
      </c>
      <c r="U347" s="186">
        <v>0</v>
      </c>
      <c r="V347" s="186">
        <v>0</v>
      </c>
      <c r="W347" s="186">
        <v>0</v>
      </c>
      <c r="X347" s="186">
        <v>0</v>
      </c>
      <c r="Y347" s="186">
        <v>0</v>
      </c>
      <c r="Z347" s="186">
        <v>0</v>
      </c>
      <c r="AA347" s="186">
        <v>0</v>
      </c>
      <c r="AB347" s="186">
        <v>0</v>
      </c>
      <c r="AC347" s="186">
        <v>0</v>
      </c>
      <c r="AD347" s="186">
        <v>0</v>
      </c>
      <c r="AE347" s="186">
        <v>0</v>
      </c>
      <c r="AF347" s="186">
        <v>0</v>
      </c>
      <c r="AG347" s="189">
        <v>0</v>
      </c>
    </row>
    <row r="348" spans="2:33" s="154" customFormat="1" ht="15" customHeight="1" outlineLevel="1">
      <c r="B348" s="190" t="s">
        <v>186</v>
      </c>
      <c r="C348" s="190" t="s">
        <v>276</v>
      </c>
      <c r="D348" s="203">
        <v>12569</v>
      </c>
      <c r="E348" s="192">
        <v>13852</v>
      </c>
      <c r="F348" s="192">
        <v>13913</v>
      </c>
      <c r="G348" s="192">
        <v>10635</v>
      </c>
      <c r="H348" s="192">
        <v>8352</v>
      </c>
      <c r="I348" s="192">
        <v>7764</v>
      </c>
      <c r="J348" s="192">
        <v>9546</v>
      </c>
      <c r="K348" s="192">
        <v>7042</v>
      </c>
      <c r="L348" s="192">
        <v>4747</v>
      </c>
      <c r="M348" s="193">
        <v>4317</v>
      </c>
      <c r="N348" s="194">
        <v>12569</v>
      </c>
      <c r="O348" s="192">
        <v>10991</v>
      </c>
      <c r="P348" s="192">
        <v>11519</v>
      </c>
      <c r="Q348" s="192">
        <v>12814</v>
      </c>
      <c r="R348" s="192">
        <v>13852</v>
      </c>
      <c r="S348" s="192">
        <v>13293</v>
      </c>
      <c r="T348" s="192">
        <v>14623</v>
      </c>
      <c r="U348" s="192">
        <v>14061</v>
      </c>
      <c r="V348" s="192">
        <v>13913</v>
      </c>
      <c r="W348" s="192">
        <v>12889</v>
      </c>
      <c r="X348" s="192">
        <v>11694</v>
      </c>
      <c r="Y348" s="192">
        <v>10255</v>
      </c>
      <c r="Z348" s="192">
        <v>10635</v>
      </c>
      <c r="AA348" s="192">
        <v>12795</v>
      </c>
      <c r="AB348" s="192">
        <v>11699</v>
      </c>
      <c r="AC348" s="192">
        <v>9691</v>
      </c>
      <c r="AD348" s="192">
        <v>8352</v>
      </c>
      <c r="AE348" s="192">
        <v>7910</v>
      </c>
      <c r="AF348" s="192">
        <v>8623</v>
      </c>
      <c r="AG348" s="195">
        <v>8273</v>
      </c>
    </row>
    <row r="349" spans="2:33" s="154" customFormat="1" ht="15" customHeight="1" outlineLevel="1">
      <c r="B349" s="196" t="s">
        <v>186</v>
      </c>
      <c r="C349" s="196" t="s">
        <v>277</v>
      </c>
      <c r="D349" s="179">
        <v>0</v>
      </c>
      <c r="E349" s="180">
        <v>0</v>
      </c>
      <c r="F349" s="180">
        <v>0</v>
      </c>
      <c r="G349" s="180">
        <v>0</v>
      </c>
      <c r="H349" s="180">
        <v>0</v>
      </c>
      <c r="I349" s="180">
        <v>0</v>
      </c>
      <c r="J349" s="180">
        <v>0</v>
      </c>
      <c r="K349" s="180">
        <v>0</v>
      </c>
      <c r="L349" s="180">
        <v>0</v>
      </c>
      <c r="M349" s="181">
        <v>0</v>
      </c>
      <c r="N349" s="182">
        <v>0</v>
      </c>
      <c r="O349" s="180">
        <v>0</v>
      </c>
      <c r="P349" s="180">
        <v>0</v>
      </c>
      <c r="Q349" s="180">
        <v>0</v>
      </c>
      <c r="R349" s="180">
        <v>0</v>
      </c>
      <c r="S349" s="180">
        <v>0</v>
      </c>
      <c r="T349" s="180">
        <v>0</v>
      </c>
      <c r="U349" s="180">
        <v>0</v>
      </c>
      <c r="V349" s="180">
        <v>0</v>
      </c>
      <c r="W349" s="180">
        <v>0</v>
      </c>
      <c r="X349" s="180">
        <v>0</v>
      </c>
      <c r="Y349" s="180">
        <v>0</v>
      </c>
      <c r="Z349" s="180">
        <v>0</v>
      </c>
      <c r="AA349" s="180">
        <v>0</v>
      </c>
      <c r="AB349" s="180">
        <v>0</v>
      </c>
      <c r="AC349" s="180">
        <v>0</v>
      </c>
      <c r="AD349" s="180">
        <v>0</v>
      </c>
      <c r="AE349" s="180">
        <v>0</v>
      </c>
      <c r="AF349" s="180">
        <v>0</v>
      </c>
      <c r="AG349" s="183">
        <v>0</v>
      </c>
    </row>
    <row r="350" spans="2:33" s="154" customFormat="1" ht="15" customHeight="1" outlineLevel="1">
      <c r="B350" s="196" t="s">
        <v>186</v>
      </c>
      <c r="C350" s="196" t="s">
        <v>278</v>
      </c>
      <c r="D350" s="179">
        <v>208</v>
      </c>
      <c r="E350" s="180">
        <v>966</v>
      </c>
      <c r="F350" s="180">
        <v>452</v>
      </c>
      <c r="G350" s="180">
        <v>373</v>
      </c>
      <c r="H350" s="180">
        <v>740</v>
      </c>
      <c r="I350" s="180">
        <v>208</v>
      </c>
      <c r="J350" s="180">
        <v>752</v>
      </c>
      <c r="K350" s="180">
        <v>2016</v>
      </c>
      <c r="L350" s="180">
        <v>5060</v>
      </c>
      <c r="M350" s="181">
        <v>835</v>
      </c>
      <c r="N350" s="182">
        <v>208</v>
      </c>
      <c r="O350" s="180">
        <v>281</v>
      </c>
      <c r="P350" s="180">
        <v>372</v>
      </c>
      <c r="Q350" s="180">
        <v>901</v>
      </c>
      <c r="R350" s="180">
        <v>966</v>
      </c>
      <c r="S350" s="180">
        <v>545</v>
      </c>
      <c r="T350" s="180">
        <v>509</v>
      </c>
      <c r="U350" s="180">
        <v>418</v>
      </c>
      <c r="V350" s="180">
        <v>452</v>
      </c>
      <c r="W350" s="180">
        <v>492</v>
      </c>
      <c r="X350" s="180">
        <v>744</v>
      </c>
      <c r="Y350" s="180">
        <v>627</v>
      </c>
      <c r="Z350" s="180">
        <v>373</v>
      </c>
      <c r="AA350" s="180">
        <v>331</v>
      </c>
      <c r="AB350" s="180">
        <v>299</v>
      </c>
      <c r="AC350" s="180">
        <v>434</v>
      </c>
      <c r="AD350" s="180">
        <v>740</v>
      </c>
      <c r="AE350" s="180">
        <v>662</v>
      </c>
      <c r="AF350" s="180">
        <v>410</v>
      </c>
      <c r="AG350" s="183">
        <v>228</v>
      </c>
    </row>
    <row r="351" spans="2:33" s="154" customFormat="1" ht="15" customHeight="1" outlineLevel="1">
      <c r="B351" s="196" t="s">
        <v>186</v>
      </c>
      <c r="C351" s="196" t="s">
        <v>279</v>
      </c>
      <c r="D351" s="179">
        <v>6629</v>
      </c>
      <c r="E351" s="180">
        <v>6476</v>
      </c>
      <c r="F351" s="180">
        <v>6493</v>
      </c>
      <c r="G351" s="180">
        <v>5837</v>
      </c>
      <c r="H351" s="180">
        <v>4731</v>
      </c>
      <c r="I351" s="180">
        <v>5961</v>
      </c>
      <c r="J351" s="180">
        <v>4622</v>
      </c>
      <c r="K351" s="180">
        <v>4089</v>
      </c>
      <c r="L351" s="180">
        <v>4414</v>
      </c>
      <c r="M351" s="181">
        <v>3635</v>
      </c>
      <c r="N351" s="182">
        <v>6629</v>
      </c>
      <c r="O351" s="180">
        <v>6187</v>
      </c>
      <c r="P351" s="180">
        <v>6829</v>
      </c>
      <c r="Q351" s="180">
        <v>6289</v>
      </c>
      <c r="R351" s="180">
        <v>6476</v>
      </c>
      <c r="S351" s="180">
        <v>6690</v>
      </c>
      <c r="T351" s="180">
        <v>6752</v>
      </c>
      <c r="U351" s="180">
        <v>6196</v>
      </c>
      <c r="V351" s="180">
        <v>6493</v>
      </c>
      <c r="W351" s="180">
        <v>6407</v>
      </c>
      <c r="X351" s="180">
        <v>6565</v>
      </c>
      <c r="Y351" s="180">
        <v>5880</v>
      </c>
      <c r="Z351" s="180">
        <v>5837</v>
      </c>
      <c r="AA351" s="180">
        <v>5279</v>
      </c>
      <c r="AB351" s="180">
        <v>5403</v>
      </c>
      <c r="AC351" s="180">
        <v>4278</v>
      </c>
      <c r="AD351" s="180">
        <v>4731</v>
      </c>
      <c r="AE351" s="180">
        <v>5532</v>
      </c>
      <c r="AF351" s="180">
        <v>6451</v>
      </c>
      <c r="AG351" s="183">
        <v>6002</v>
      </c>
    </row>
    <row r="352" spans="2:33" s="154" customFormat="1" ht="15" customHeight="1" outlineLevel="1">
      <c r="B352" s="196" t="s">
        <v>186</v>
      </c>
      <c r="C352" s="196" t="s">
        <v>280</v>
      </c>
      <c r="D352" s="179">
        <v>3213</v>
      </c>
      <c r="E352" s="180">
        <v>3327</v>
      </c>
      <c r="F352" s="180">
        <v>3643</v>
      </c>
      <c r="G352" s="180">
        <v>2706</v>
      </c>
      <c r="H352" s="180">
        <v>1712</v>
      </c>
      <c r="I352" s="180">
        <v>1732</v>
      </c>
      <c r="J352" s="180">
        <v>1530</v>
      </c>
      <c r="K352" s="180">
        <v>0</v>
      </c>
      <c r="L352" s="180">
        <v>0</v>
      </c>
      <c r="M352" s="181">
        <v>0</v>
      </c>
      <c r="N352" s="182">
        <v>3213</v>
      </c>
      <c r="O352" s="180">
        <v>3151</v>
      </c>
      <c r="P352" s="180">
        <v>3174</v>
      </c>
      <c r="Q352" s="180">
        <v>3200</v>
      </c>
      <c r="R352" s="180">
        <v>3327</v>
      </c>
      <c r="S352" s="180">
        <v>3326</v>
      </c>
      <c r="T352" s="180">
        <v>3385</v>
      </c>
      <c r="U352" s="180">
        <v>3205</v>
      </c>
      <c r="V352" s="180">
        <v>3643</v>
      </c>
      <c r="W352" s="180">
        <v>3588</v>
      </c>
      <c r="X352" s="180">
        <v>3272</v>
      </c>
      <c r="Y352" s="180">
        <v>3221</v>
      </c>
      <c r="Z352" s="180">
        <v>2706</v>
      </c>
      <c r="AA352" s="180">
        <v>2318</v>
      </c>
      <c r="AB352" s="180">
        <v>2252</v>
      </c>
      <c r="AC352" s="180">
        <v>1775</v>
      </c>
      <c r="AD352" s="180">
        <v>1712</v>
      </c>
      <c r="AE352" s="180">
        <v>1526</v>
      </c>
      <c r="AF352" s="180">
        <v>0</v>
      </c>
      <c r="AG352" s="183">
        <v>1548</v>
      </c>
    </row>
    <row r="353" spans="2:33" s="154" customFormat="1" ht="15" customHeight="1" outlineLevel="1">
      <c r="B353" s="196" t="s">
        <v>186</v>
      </c>
      <c r="C353" s="196" t="s">
        <v>281</v>
      </c>
      <c r="D353" s="179">
        <v>0</v>
      </c>
      <c r="E353" s="180">
        <v>0</v>
      </c>
      <c r="F353" s="180">
        <v>0</v>
      </c>
      <c r="G353" s="180">
        <v>0</v>
      </c>
      <c r="H353" s="180">
        <v>0</v>
      </c>
      <c r="I353" s="180">
        <v>0</v>
      </c>
      <c r="J353" s="180">
        <v>0</v>
      </c>
      <c r="K353" s="180">
        <v>1363</v>
      </c>
      <c r="L353" s="180">
        <v>0</v>
      </c>
      <c r="M353" s="181">
        <v>0</v>
      </c>
      <c r="N353" s="182">
        <v>0</v>
      </c>
      <c r="O353" s="180">
        <v>0</v>
      </c>
      <c r="P353" s="180">
        <v>0</v>
      </c>
      <c r="Q353" s="180">
        <v>0</v>
      </c>
      <c r="R353" s="180">
        <v>0</v>
      </c>
      <c r="S353" s="180">
        <v>0</v>
      </c>
      <c r="T353" s="180">
        <v>0</v>
      </c>
      <c r="U353" s="180">
        <v>0</v>
      </c>
      <c r="V353" s="180">
        <v>0</v>
      </c>
      <c r="W353" s="180">
        <v>0</v>
      </c>
      <c r="X353" s="180">
        <v>0</v>
      </c>
      <c r="Y353" s="180">
        <v>0</v>
      </c>
      <c r="Z353" s="180">
        <v>0</v>
      </c>
      <c r="AA353" s="180">
        <v>0</v>
      </c>
      <c r="AB353" s="180">
        <v>0</v>
      </c>
      <c r="AC353" s="180">
        <v>0</v>
      </c>
      <c r="AD353" s="180">
        <v>0</v>
      </c>
      <c r="AE353" s="180">
        <v>0</v>
      </c>
      <c r="AF353" s="180">
        <v>1629</v>
      </c>
      <c r="AG353" s="183">
        <v>0</v>
      </c>
    </row>
    <row r="354" spans="2:33" s="154" customFormat="1" ht="15" customHeight="1" outlineLevel="1">
      <c r="B354" s="196" t="s">
        <v>186</v>
      </c>
      <c r="C354" s="196" t="s">
        <v>282</v>
      </c>
      <c r="D354" s="179">
        <v>9842</v>
      </c>
      <c r="E354" s="180">
        <v>9803</v>
      </c>
      <c r="F354" s="180">
        <v>10136</v>
      </c>
      <c r="G354" s="180">
        <v>8543</v>
      </c>
      <c r="H354" s="180">
        <v>6443</v>
      </c>
      <c r="I354" s="180">
        <v>7693</v>
      </c>
      <c r="J354" s="180">
        <v>6152</v>
      </c>
      <c r="K354" s="180">
        <v>5452</v>
      </c>
      <c r="L354" s="180">
        <v>4414</v>
      </c>
      <c r="M354" s="181">
        <v>3635</v>
      </c>
      <c r="N354" s="182">
        <v>9842</v>
      </c>
      <c r="O354" s="180">
        <v>9338</v>
      </c>
      <c r="P354" s="180">
        <v>10003</v>
      </c>
      <c r="Q354" s="180">
        <v>9489</v>
      </c>
      <c r="R354" s="180">
        <v>9803</v>
      </c>
      <c r="S354" s="180">
        <v>10016</v>
      </c>
      <c r="T354" s="180">
        <v>10137</v>
      </c>
      <c r="U354" s="180">
        <v>9401</v>
      </c>
      <c r="V354" s="180">
        <v>10136</v>
      </c>
      <c r="W354" s="180">
        <v>9995</v>
      </c>
      <c r="X354" s="180">
        <v>9837</v>
      </c>
      <c r="Y354" s="180">
        <v>9101</v>
      </c>
      <c r="Z354" s="180">
        <v>8543</v>
      </c>
      <c r="AA354" s="180">
        <v>7597</v>
      </c>
      <c r="AB354" s="180">
        <v>7655</v>
      </c>
      <c r="AC354" s="180">
        <v>6053</v>
      </c>
      <c r="AD354" s="180">
        <v>6443</v>
      </c>
      <c r="AE354" s="180">
        <v>7058</v>
      </c>
      <c r="AF354" s="180">
        <v>8080</v>
      </c>
      <c r="AG354" s="183">
        <v>7550</v>
      </c>
    </row>
    <row r="355" spans="2:33" s="154" customFormat="1" ht="15" customHeight="1" outlineLevel="1">
      <c r="B355" s="196" t="s">
        <v>186</v>
      </c>
      <c r="C355" s="196" t="s">
        <v>283</v>
      </c>
      <c r="D355" s="179">
        <v>593</v>
      </c>
      <c r="E355" s="180">
        <v>753</v>
      </c>
      <c r="F355" s="180">
        <v>593</v>
      </c>
      <c r="G355" s="180">
        <v>487</v>
      </c>
      <c r="H355" s="180">
        <v>454</v>
      </c>
      <c r="I355" s="180">
        <v>744</v>
      </c>
      <c r="J355" s="180">
        <v>361</v>
      </c>
      <c r="K355" s="180">
        <v>329</v>
      </c>
      <c r="L355" s="180">
        <v>228</v>
      </c>
      <c r="M355" s="181">
        <v>161</v>
      </c>
      <c r="N355" s="182">
        <v>593</v>
      </c>
      <c r="O355" s="180">
        <v>690</v>
      </c>
      <c r="P355" s="180">
        <v>821</v>
      </c>
      <c r="Q355" s="180">
        <v>785</v>
      </c>
      <c r="R355" s="180">
        <v>753</v>
      </c>
      <c r="S355" s="180">
        <v>747</v>
      </c>
      <c r="T355" s="180">
        <v>694</v>
      </c>
      <c r="U355" s="180">
        <v>731</v>
      </c>
      <c r="V355" s="180">
        <v>593</v>
      </c>
      <c r="W355" s="180">
        <v>572</v>
      </c>
      <c r="X355" s="180">
        <v>673</v>
      </c>
      <c r="Y355" s="180">
        <v>631</v>
      </c>
      <c r="Z355" s="180">
        <v>487</v>
      </c>
      <c r="AA355" s="180">
        <v>459</v>
      </c>
      <c r="AB355" s="180">
        <v>432</v>
      </c>
      <c r="AC355" s="180">
        <v>444</v>
      </c>
      <c r="AD355" s="180">
        <v>454</v>
      </c>
      <c r="AE355" s="180">
        <v>138</v>
      </c>
      <c r="AF355" s="180">
        <v>573</v>
      </c>
      <c r="AG355" s="183">
        <v>743</v>
      </c>
    </row>
    <row r="356" spans="2:33" s="154" customFormat="1" ht="15" customHeight="1" outlineLevel="1">
      <c r="B356" s="196" t="s">
        <v>186</v>
      </c>
      <c r="C356" s="196" t="s">
        <v>284</v>
      </c>
      <c r="D356" s="179">
        <v>283</v>
      </c>
      <c r="E356" s="180">
        <v>239</v>
      </c>
      <c r="F356" s="180">
        <v>232</v>
      </c>
      <c r="G356" s="180">
        <v>168</v>
      </c>
      <c r="H356" s="180">
        <v>150</v>
      </c>
      <c r="I356" s="180">
        <v>160</v>
      </c>
      <c r="J356" s="180">
        <v>61</v>
      </c>
      <c r="K356" s="180">
        <v>78</v>
      </c>
      <c r="L356" s="180">
        <v>58</v>
      </c>
      <c r="M356" s="181">
        <v>69</v>
      </c>
      <c r="N356" s="182">
        <v>283</v>
      </c>
      <c r="O356" s="180">
        <v>241</v>
      </c>
      <c r="P356" s="180">
        <v>250</v>
      </c>
      <c r="Q356" s="180">
        <v>312</v>
      </c>
      <c r="R356" s="180">
        <v>239</v>
      </c>
      <c r="S356" s="180">
        <v>217</v>
      </c>
      <c r="T356" s="180">
        <v>250</v>
      </c>
      <c r="U356" s="180">
        <v>171</v>
      </c>
      <c r="V356" s="180">
        <v>232</v>
      </c>
      <c r="W356" s="180">
        <v>199</v>
      </c>
      <c r="X356" s="180">
        <v>199</v>
      </c>
      <c r="Y356" s="180">
        <v>131</v>
      </c>
      <c r="Z356" s="180">
        <v>168</v>
      </c>
      <c r="AA356" s="180">
        <v>150</v>
      </c>
      <c r="AB356" s="180">
        <v>115</v>
      </c>
      <c r="AC356" s="180">
        <v>107</v>
      </c>
      <c r="AD356" s="180">
        <v>150</v>
      </c>
      <c r="AE356" s="180">
        <v>680</v>
      </c>
      <c r="AF356" s="180">
        <v>182</v>
      </c>
      <c r="AG356" s="183">
        <v>173</v>
      </c>
    </row>
    <row r="357" spans="2:33" s="154" customFormat="1" ht="15" customHeight="1" outlineLevel="1">
      <c r="B357" s="196" t="s">
        <v>186</v>
      </c>
      <c r="C357" s="196" t="s">
        <v>285</v>
      </c>
      <c r="D357" s="179">
        <v>0</v>
      </c>
      <c r="E357" s="180">
        <v>0</v>
      </c>
      <c r="F357" s="180">
        <v>0</v>
      </c>
      <c r="G357" s="180">
        <v>0</v>
      </c>
      <c r="H357" s="180">
        <v>0</v>
      </c>
      <c r="I357" s="180">
        <v>0</v>
      </c>
      <c r="J357" s="180">
        <v>0</v>
      </c>
      <c r="K357" s="180">
        <v>0</v>
      </c>
      <c r="L357" s="180">
        <v>0</v>
      </c>
      <c r="M357" s="181">
        <v>0</v>
      </c>
      <c r="N357" s="182">
        <v>0</v>
      </c>
      <c r="O357" s="180">
        <v>0</v>
      </c>
      <c r="P357" s="180">
        <v>0</v>
      </c>
      <c r="Q357" s="180">
        <v>0</v>
      </c>
      <c r="R357" s="180">
        <v>0</v>
      </c>
      <c r="S357" s="180">
        <v>0</v>
      </c>
      <c r="T357" s="180">
        <v>0</v>
      </c>
      <c r="U357" s="180">
        <v>0</v>
      </c>
      <c r="V357" s="180">
        <v>0</v>
      </c>
      <c r="W357" s="180">
        <v>0</v>
      </c>
      <c r="X357" s="180">
        <v>0</v>
      </c>
      <c r="Y357" s="180">
        <v>0</v>
      </c>
      <c r="Z357" s="180">
        <v>0</v>
      </c>
      <c r="AA357" s="180">
        <v>0</v>
      </c>
      <c r="AB357" s="180">
        <v>0</v>
      </c>
      <c r="AC357" s="180">
        <v>0</v>
      </c>
      <c r="AD357" s="180">
        <v>0</v>
      </c>
      <c r="AE357" s="180">
        <v>0</v>
      </c>
      <c r="AF357" s="180">
        <v>0</v>
      </c>
      <c r="AG357" s="183">
        <v>0</v>
      </c>
    </row>
    <row r="358" spans="2:33" s="154" customFormat="1" ht="15" customHeight="1" outlineLevel="1">
      <c r="B358" s="196" t="s">
        <v>186</v>
      </c>
      <c r="C358" s="196" t="s">
        <v>286</v>
      </c>
      <c r="D358" s="179">
        <v>506</v>
      </c>
      <c r="E358" s="180">
        <v>412</v>
      </c>
      <c r="F358" s="180">
        <v>476</v>
      </c>
      <c r="G358" s="180">
        <v>396</v>
      </c>
      <c r="H358" s="180">
        <v>263</v>
      </c>
      <c r="I358" s="180">
        <v>276</v>
      </c>
      <c r="J358" s="180">
        <v>238</v>
      </c>
      <c r="K358" s="180">
        <v>169</v>
      </c>
      <c r="L358" s="180">
        <v>173</v>
      </c>
      <c r="M358" s="181">
        <v>97</v>
      </c>
      <c r="N358" s="182">
        <v>506</v>
      </c>
      <c r="O358" s="180">
        <v>433</v>
      </c>
      <c r="P358" s="180">
        <v>544</v>
      </c>
      <c r="Q358" s="180">
        <v>375</v>
      </c>
      <c r="R358" s="180">
        <v>412</v>
      </c>
      <c r="S358" s="180">
        <v>433</v>
      </c>
      <c r="T358" s="180">
        <v>402</v>
      </c>
      <c r="U358" s="180">
        <v>374</v>
      </c>
      <c r="V358" s="180">
        <v>476</v>
      </c>
      <c r="W358" s="180">
        <v>523</v>
      </c>
      <c r="X358" s="180">
        <v>500</v>
      </c>
      <c r="Y358" s="180">
        <v>420</v>
      </c>
      <c r="Z358" s="180">
        <v>396</v>
      </c>
      <c r="AA358" s="180">
        <v>343</v>
      </c>
      <c r="AB358" s="180">
        <v>292</v>
      </c>
      <c r="AC358" s="180">
        <v>291</v>
      </c>
      <c r="AD358" s="180">
        <v>263</v>
      </c>
      <c r="AE358" s="180">
        <v>291</v>
      </c>
      <c r="AF358" s="180">
        <v>349</v>
      </c>
      <c r="AG358" s="183">
        <v>342</v>
      </c>
    </row>
    <row r="359" spans="2:33" s="154" customFormat="1" ht="15" customHeight="1" outlineLevel="1">
      <c r="B359" s="196" t="s">
        <v>186</v>
      </c>
      <c r="C359" s="196" t="s">
        <v>287</v>
      </c>
      <c r="D359" s="179">
        <v>0</v>
      </c>
      <c r="E359" s="180">
        <v>0</v>
      </c>
      <c r="F359" s="180">
        <v>0</v>
      </c>
      <c r="G359" s="180">
        <v>0</v>
      </c>
      <c r="H359" s="180">
        <v>0</v>
      </c>
      <c r="I359" s="180">
        <v>0</v>
      </c>
      <c r="J359" s="180">
        <v>0</v>
      </c>
      <c r="K359" s="180">
        <v>0</v>
      </c>
      <c r="L359" s="180">
        <v>0</v>
      </c>
      <c r="M359" s="181">
        <v>0</v>
      </c>
      <c r="N359" s="182">
        <v>0</v>
      </c>
      <c r="O359" s="180">
        <v>0</v>
      </c>
      <c r="P359" s="180">
        <v>0</v>
      </c>
      <c r="Q359" s="180">
        <v>0</v>
      </c>
      <c r="R359" s="180">
        <v>0</v>
      </c>
      <c r="S359" s="180">
        <v>0</v>
      </c>
      <c r="T359" s="180">
        <v>0</v>
      </c>
      <c r="U359" s="180">
        <v>0</v>
      </c>
      <c r="V359" s="180">
        <v>0</v>
      </c>
      <c r="W359" s="180">
        <v>0</v>
      </c>
      <c r="X359" s="180">
        <v>0</v>
      </c>
      <c r="Y359" s="180">
        <v>0</v>
      </c>
      <c r="Z359" s="180">
        <v>0</v>
      </c>
      <c r="AA359" s="180">
        <v>0</v>
      </c>
      <c r="AB359" s="180">
        <v>0</v>
      </c>
      <c r="AC359" s="180">
        <v>0</v>
      </c>
      <c r="AD359" s="180">
        <v>0</v>
      </c>
      <c r="AE359" s="180">
        <v>0</v>
      </c>
      <c r="AF359" s="180">
        <v>0</v>
      </c>
      <c r="AG359" s="183">
        <v>0</v>
      </c>
    </row>
    <row r="360" spans="2:33" s="154" customFormat="1" ht="15" customHeight="1" outlineLevel="1">
      <c r="B360" s="196" t="s">
        <v>186</v>
      </c>
      <c r="C360" s="196" t="s">
        <v>288</v>
      </c>
      <c r="D360" s="179">
        <v>0</v>
      </c>
      <c r="E360" s="180">
        <v>0</v>
      </c>
      <c r="F360" s="180">
        <v>0</v>
      </c>
      <c r="G360" s="180">
        <v>0</v>
      </c>
      <c r="H360" s="180">
        <v>0</v>
      </c>
      <c r="I360" s="180">
        <v>0</v>
      </c>
      <c r="J360" s="180">
        <v>0</v>
      </c>
      <c r="K360" s="180">
        <v>0</v>
      </c>
      <c r="L360" s="180">
        <v>0</v>
      </c>
      <c r="M360" s="181">
        <v>0</v>
      </c>
      <c r="N360" s="182">
        <v>0</v>
      </c>
      <c r="O360" s="180">
        <v>0</v>
      </c>
      <c r="P360" s="180">
        <v>0</v>
      </c>
      <c r="Q360" s="180">
        <v>0</v>
      </c>
      <c r="R360" s="180">
        <v>0</v>
      </c>
      <c r="S360" s="180">
        <v>0</v>
      </c>
      <c r="T360" s="180">
        <v>0</v>
      </c>
      <c r="U360" s="180">
        <v>0</v>
      </c>
      <c r="V360" s="180">
        <v>0</v>
      </c>
      <c r="W360" s="180">
        <v>0</v>
      </c>
      <c r="X360" s="180">
        <v>0</v>
      </c>
      <c r="Y360" s="180">
        <v>0</v>
      </c>
      <c r="Z360" s="180">
        <v>0</v>
      </c>
      <c r="AA360" s="180">
        <v>0</v>
      </c>
      <c r="AB360" s="180">
        <v>0</v>
      </c>
      <c r="AC360" s="180">
        <v>0</v>
      </c>
      <c r="AD360" s="180">
        <v>0</v>
      </c>
      <c r="AE360" s="180">
        <v>0</v>
      </c>
      <c r="AF360" s="180">
        <v>0</v>
      </c>
      <c r="AG360" s="183">
        <v>0</v>
      </c>
    </row>
    <row r="361" spans="2:33" s="154" customFormat="1" ht="15" customHeight="1" outlineLevel="1">
      <c r="B361" s="196" t="s">
        <v>186</v>
      </c>
      <c r="C361" s="196" t="s">
        <v>289</v>
      </c>
      <c r="D361" s="179">
        <v>1382</v>
      </c>
      <c r="E361" s="180">
        <v>1404</v>
      </c>
      <c r="F361" s="180">
        <v>1301</v>
      </c>
      <c r="G361" s="180">
        <v>1051</v>
      </c>
      <c r="H361" s="180">
        <v>867</v>
      </c>
      <c r="I361" s="180">
        <v>1180</v>
      </c>
      <c r="J361" s="180">
        <v>660</v>
      </c>
      <c r="K361" s="180">
        <v>576</v>
      </c>
      <c r="L361" s="180">
        <v>459</v>
      </c>
      <c r="M361" s="181">
        <v>327</v>
      </c>
      <c r="N361" s="182">
        <v>1382</v>
      </c>
      <c r="O361" s="180">
        <v>1364</v>
      </c>
      <c r="P361" s="180">
        <v>1615</v>
      </c>
      <c r="Q361" s="180">
        <v>1472</v>
      </c>
      <c r="R361" s="180">
        <v>1404</v>
      </c>
      <c r="S361" s="180">
        <v>1397</v>
      </c>
      <c r="T361" s="180">
        <v>1346</v>
      </c>
      <c r="U361" s="180">
        <v>1276</v>
      </c>
      <c r="V361" s="180">
        <v>1301</v>
      </c>
      <c r="W361" s="180">
        <v>1294</v>
      </c>
      <c r="X361" s="180">
        <v>1372</v>
      </c>
      <c r="Y361" s="180">
        <v>1182</v>
      </c>
      <c r="Z361" s="180">
        <v>1051</v>
      </c>
      <c r="AA361" s="180">
        <v>952</v>
      </c>
      <c r="AB361" s="180">
        <v>839</v>
      </c>
      <c r="AC361" s="180">
        <v>842</v>
      </c>
      <c r="AD361" s="180">
        <v>867</v>
      </c>
      <c r="AE361" s="180">
        <v>1109</v>
      </c>
      <c r="AF361" s="180">
        <v>1104</v>
      </c>
      <c r="AG361" s="183">
        <v>1258</v>
      </c>
    </row>
    <row r="362" spans="2:33" s="154" customFormat="1" ht="15" customHeight="1" outlineLevel="1">
      <c r="B362" s="196" t="s">
        <v>186</v>
      </c>
      <c r="C362" s="196" t="s">
        <v>290</v>
      </c>
      <c r="D362" s="179">
        <v>0</v>
      </c>
      <c r="E362" s="180">
        <v>0</v>
      </c>
      <c r="F362" s="180">
        <v>0</v>
      </c>
      <c r="G362" s="180">
        <v>0</v>
      </c>
      <c r="H362" s="180">
        <v>0</v>
      </c>
      <c r="I362" s="180">
        <v>0</v>
      </c>
      <c r="J362" s="180">
        <v>0</v>
      </c>
      <c r="K362" s="180">
        <v>0</v>
      </c>
      <c r="L362" s="180">
        <v>0</v>
      </c>
      <c r="M362" s="181">
        <v>0</v>
      </c>
      <c r="N362" s="182">
        <v>0</v>
      </c>
      <c r="O362" s="180">
        <v>0</v>
      </c>
      <c r="P362" s="180">
        <v>0</v>
      </c>
      <c r="Q362" s="180">
        <v>0</v>
      </c>
      <c r="R362" s="180">
        <v>0</v>
      </c>
      <c r="S362" s="180">
        <v>0</v>
      </c>
      <c r="T362" s="180">
        <v>0</v>
      </c>
      <c r="U362" s="180">
        <v>0</v>
      </c>
      <c r="V362" s="180">
        <v>0</v>
      </c>
      <c r="W362" s="180">
        <v>0</v>
      </c>
      <c r="X362" s="180">
        <v>0</v>
      </c>
      <c r="Y362" s="180">
        <v>0</v>
      </c>
      <c r="Z362" s="180">
        <v>0</v>
      </c>
      <c r="AA362" s="180">
        <v>0</v>
      </c>
      <c r="AB362" s="180">
        <v>0</v>
      </c>
      <c r="AC362" s="180">
        <v>0</v>
      </c>
      <c r="AD362" s="180">
        <v>0</v>
      </c>
      <c r="AE362" s="180">
        <v>0</v>
      </c>
      <c r="AF362" s="180">
        <v>0</v>
      </c>
      <c r="AG362" s="183">
        <v>0</v>
      </c>
    </row>
    <row r="363" spans="2:33" s="154" customFormat="1" ht="15" customHeight="1" outlineLevel="1">
      <c r="B363" s="196" t="s">
        <v>186</v>
      </c>
      <c r="C363" s="196" t="s">
        <v>291</v>
      </c>
      <c r="D363" s="179">
        <v>0</v>
      </c>
      <c r="E363" s="180">
        <v>0</v>
      </c>
      <c r="F363" s="180">
        <v>0</v>
      </c>
      <c r="G363" s="180">
        <v>0</v>
      </c>
      <c r="H363" s="180">
        <v>0</v>
      </c>
      <c r="I363" s="180">
        <v>0</v>
      </c>
      <c r="J363" s="180">
        <v>0</v>
      </c>
      <c r="K363" s="180">
        <v>0</v>
      </c>
      <c r="L363" s="180">
        <v>0</v>
      </c>
      <c r="M363" s="181">
        <v>0</v>
      </c>
      <c r="N363" s="182">
        <v>0</v>
      </c>
      <c r="O363" s="180">
        <v>0</v>
      </c>
      <c r="P363" s="180">
        <v>0</v>
      </c>
      <c r="Q363" s="180">
        <v>0</v>
      </c>
      <c r="R363" s="180">
        <v>0</v>
      </c>
      <c r="S363" s="180">
        <v>0</v>
      </c>
      <c r="T363" s="180">
        <v>0</v>
      </c>
      <c r="U363" s="180">
        <v>0</v>
      </c>
      <c r="V363" s="180">
        <v>0</v>
      </c>
      <c r="W363" s="180">
        <v>0</v>
      </c>
      <c r="X363" s="180">
        <v>0</v>
      </c>
      <c r="Y363" s="180">
        <v>0</v>
      </c>
      <c r="Z363" s="180">
        <v>0</v>
      </c>
      <c r="AA363" s="180">
        <v>0</v>
      </c>
      <c r="AB363" s="180">
        <v>0</v>
      </c>
      <c r="AC363" s="180">
        <v>0</v>
      </c>
      <c r="AD363" s="180">
        <v>0</v>
      </c>
      <c r="AE363" s="180">
        <v>0</v>
      </c>
      <c r="AF363" s="180">
        <v>0</v>
      </c>
      <c r="AG363" s="183">
        <v>0</v>
      </c>
    </row>
    <row r="364" spans="2:33" s="154" customFormat="1" ht="15" customHeight="1" outlineLevel="1">
      <c r="B364" s="196" t="s">
        <v>186</v>
      </c>
      <c r="C364" s="196" t="s">
        <v>292</v>
      </c>
      <c r="D364" s="179">
        <v>3967</v>
      </c>
      <c r="E364" s="180">
        <v>3423</v>
      </c>
      <c r="F364" s="180">
        <v>3219</v>
      </c>
      <c r="G364" s="180">
        <v>3643</v>
      </c>
      <c r="H364" s="180">
        <v>3749</v>
      </c>
      <c r="I364" s="180">
        <v>3035</v>
      </c>
      <c r="J364" s="180">
        <v>2829</v>
      </c>
      <c r="K364" s="180">
        <v>2620</v>
      </c>
      <c r="L364" s="180">
        <v>2217</v>
      </c>
      <c r="M364" s="181">
        <v>1519</v>
      </c>
      <c r="N364" s="182">
        <v>3967</v>
      </c>
      <c r="O364" s="180">
        <v>3688</v>
      </c>
      <c r="P364" s="180">
        <v>3741</v>
      </c>
      <c r="Q364" s="180">
        <v>3369</v>
      </c>
      <c r="R364" s="180">
        <v>3423</v>
      </c>
      <c r="S364" s="180">
        <v>3005</v>
      </c>
      <c r="T364" s="180">
        <v>3043</v>
      </c>
      <c r="U364" s="180">
        <v>3217</v>
      </c>
      <c r="V364" s="180">
        <v>3219</v>
      </c>
      <c r="W364" s="180">
        <v>3118</v>
      </c>
      <c r="X364" s="180">
        <v>3562</v>
      </c>
      <c r="Y364" s="180">
        <v>3619</v>
      </c>
      <c r="Z364" s="180">
        <v>3643</v>
      </c>
      <c r="AA364" s="180">
        <v>3196</v>
      </c>
      <c r="AB364" s="180">
        <v>3348</v>
      </c>
      <c r="AC364" s="180">
        <v>2890</v>
      </c>
      <c r="AD364" s="180">
        <v>3749</v>
      </c>
      <c r="AE364" s="180">
        <v>4795</v>
      </c>
      <c r="AF364" s="180">
        <v>3559</v>
      </c>
      <c r="AG364" s="183">
        <v>3193</v>
      </c>
    </row>
    <row r="365" spans="2:33" s="154" customFormat="1" ht="15" customHeight="1" outlineLevel="1">
      <c r="B365" s="196" t="s">
        <v>186</v>
      </c>
      <c r="C365" s="196" t="s">
        <v>293</v>
      </c>
      <c r="D365" s="179">
        <v>27968</v>
      </c>
      <c r="E365" s="180">
        <v>29448</v>
      </c>
      <c r="F365" s="180">
        <v>29021</v>
      </c>
      <c r="G365" s="180">
        <v>24245</v>
      </c>
      <c r="H365" s="180">
        <v>20151</v>
      </c>
      <c r="I365" s="180">
        <v>19880</v>
      </c>
      <c r="J365" s="180">
        <v>19939</v>
      </c>
      <c r="K365" s="180">
        <v>17706</v>
      </c>
      <c r="L365" s="180">
        <v>16897</v>
      </c>
      <c r="M365" s="181">
        <v>10633</v>
      </c>
      <c r="N365" s="182">
        <v>27968</v>
      </c>
      <c r="O365" s="180">
        <v>25662</v>
      </c>
      <c r="P365" s="180">
        <v>27250</v>
      </c>
      <c r="Q365" s="180">
        <v>28045</v>
      </c>
      <c r="R365" s="180">
        <v>29448</v>
      </c>
      <c r="S365" s="180">
        <v>28256</v>
      </c>
      <c r="T365" s="180">
        <v>29658</v>
      </c>
      <c r="U365" s="180">
        <v>28373</v>
      </c>
      <c r="V365" s="180">
        <v>29021</v>
      </c>
      <c r="W365" s="180">
        <v>27788</v>
      </c>
      <c r="X365" s="180">
        <v>27209</v>
      </c>
      <c r="Y365" s="180">
        <v>24784</v>
      </c>
      <c r="Z365" s="180">
        <v>24245</v>
      </c>
      <c r="AA365" s="180">
        <v>24871</v>
      </c>
      <c r="AB365" s="180">
        <v>23840</v>
      </c>
      <c r="AC365" s="180">
        <v>19910</v>
      </c>
      <c r="AD365" s="180">
        <v>20151</v>
      </c>
      <c r="AE365" s="180">
        <v>21534</v>
      </c>
      <c r="AF365" s="180">
        <v>21776</v>
      </c>
      <c r="AG365" s="183">
        <v>20502</v>
      </c>
    </row>
    <row r="366" spans="2:33" s="154" customFormat="1" ht="15" customHeight="1" outlineLevel="1">
      <c r="B366" s="196" t="s">
        <v>186</v>
      </c>
      <c r="C366" s="196" t="s">
        <v>294</v>
      </c>
      <c r="D366" s="179">
        <v>1957</v>
      </c>
      <c r="E366" s="180">
        <v>1843</v>
      </c>
      <c r="F366" s="180">
        <v>1674</v>
      </c>
      <c r="G366" s="180">
        <v>1686</v>
      </c>
      <c r="H366" s="180">
        <v>1544</v>
      </c>
      <c r="I366" s="180">
        <v>1635</v>
      </c>
      <c r="J366" s="180">
        <v>1480</v>
      </c>
      <c r="K366" s="180">
        <v>1372</v>
      </c>
      <c r="L366" s="180">
        <v>1207</v>
      </c>
      <c r="M366" s="181">
        <v>1158</v>
      </c>
      <c r="N366" s="182">
        <v>1957</v>
      </c>
      <c r="O366" s="180">
        <v>0</v>
      </c>
      <c r="P366" s="180">
        <v>0</v>
      </c>
      <c r="Q366" s="180">
        <v>0</v>
      </c>
      <c r="R366" s="180">
        <v>1843</v>
      </c>
      <c r="S366" s="180">
        <v>0</v>
      </c>
      <c r="T366" s="180">
        <v>0</v>
      </c>
      <c r="U366" s="180">
        <v>0</v>
      </c>
      <c r="V366" s="180">
        <v>1674</v>
      </c>
      <c r="W366" s="180">
        <v>0</v>
      </c>
      <c r="X366" s="180">
        <v>0</v>
      </c>
      <c r="Y366" s="180">
        <v>0</v>
      </c>
      <c r="Z366" s="180">
        <v>1686</v>
      </c>
      <c r="AA366" s="180">
        <v>0</v>
      </c>
      <c r="AB366" s="180">
        <v>0</v>
      </c>
      <c r="AC366" s="180">
        <v>0</v>
      </c>
      <c r="AD366" s="180">
        <v>1544</v>
      </c>
      <c r="AE366" s="180">
        <v>0</v>
      </c>
      <c r="AF366" s="180">
        <v>0</v>
      </c>
      <c r="AG366" s="183">
        <v>0</v>
      </c>
    </row>
    <row r="367" spans="2:33" s="154" customFormat="1" ht="15" customHeight="1" outlineLevel="1">
      <c r="B367" s="196" t="s">
        <v>186</v>
      </c>
      <c r="C367" s="196" t="s">
        <v>295</v>
      </c>
      <c r="D367" s="179">
        <v>0</v>
      </c>
      <c r="E367" s="180">
        <v>0</v>
      </c>
      <c r="F367" s="180">
        <v>0</v>
      </c>
      <c r="G367" s="180">
        <v>0</v>
      </c>
      <c r="H367" s="180">
        <v>0</v>
      </c>
      <c r="I367" s="180">
        <v>0</v>
      </c>
      <c r="J367" s="180">
        <v>0</v>
      </c>
      <c r="K367" s="180">
        <v>0</v>
      </c>
      <c r="L367" s="180">
        <v>0</v>
      </c>
      <c r="M367" s="181">
        <v>0</v>
      </c>
      <c r="N367" s="182">
        <v>0</v>
      </c>
      <c r="O367" s="180">
        <v>0</v>
      </c>
      <c r="P367" s="180">
        <v>0</v>
      </c>
      <c r="Q367" s="180">
        <v>0</v>
      </c>
      <c r="R367" s="180">
        <v>0</v>
      </c>
      <c r="S367" s="180">
        <v>0</v>
      </c>
      <c r="T367" s="180">
        <v>0</v>
      </c>
      <c r="U367" s="180">
        <v>0</v>
      </c>
      <c r="V367" s="180">
        <v>0</v>
      </c>
      <c r="W367" s="180">
        <v>0</v>
      </c>
      <c r="X367" s="180">
        <v>0</v>
      </c>
      <c r="Y367" s="180">
        <v>0</v>
      </c>
      <c r="Z367" s="180">
        <v>0</v>
      </c>
      <c r="AA367" s="180">
        <v>0</v>
      </c>
      <c r="AB367" s="180">
        <v>0</v>
      </c>
      <c r="AC367" s="180">
        <v>0</v>
      </c>
      <c r="AD367" s="180">
        <v>0</v>
      </c>
      <c r="AE367" s="180">
        <v>0</v>
      </c>
      <c r="AF367" s="180">
        <v>0</v>
      </c>
      <c r="AG367" s="183">
        <v>0</v>
      </c>
    </row>
    <row r="368" spans="2:33" s="154" customFormat="1" ht="15" customHeight="1" outlineLevel="1">
      <c r="B368" s="196" t="s">
        <v>186</v>
      </c>
      <c r="C368" s="196" t="s">
        <v>296</v>
      </c>
      <c r="D368" s="179">
        <v>3343</v>
      </c>
      <c r="E368" s="180">
        <v>3091</v>
      </c>
      <c r="F368" s="180">
        <v>3055</v>
      </c>
      <c r="G368" s="180">
        <v>2966</v>
      </c>
      <c r="H368" s="180">
        <v>2966</v>
      </c>
      <c r="I368" s="180">
        <v>2979</v>
      </c>
      <c r="J368" s="180">
        <v>2569</v>
      </c>
      <c r="K368" s="180">
        <v>2192</v>
      </c>
      <c r="L368" s="180">
        <v>1810</v>
      </c>
      <c r="M368" s="181">
        <v>1492</v>
      </c>
      <c r="N368" s="182">
        <v>3343</v>
      </c>
      <c r="O368" s="180">
        <v>0</v>
      </c>
      <c r="P368" s="180">
        <v>0</v>
      </c>
      <c r="Q368" s="180">
        <v>0</v>
      </c>
      <c r="R368" s="180">
        <v>3091</v>
      </c>
      <c r="S368" s="180">
        <v>0</v>
      </c>
      <c r="T368" s="180">
        <v>0</v>
      </c>
      <c r="U368" s="180">
        <v>0</v>
      </c>
      <c r="V368" s="180">
        <v>3055</v>
      </c>
      <c r="W368" s="180">
        <v>0</v>
      </c>
      <c r="X368" s="180">
        <v>0</v>
      </c>
      <c r="Y368" s="180">
        <v>0</v>
      </c>
      <c r="Z368" s="180">
        <v>2966</v>
      </c>
      <c r="AA368" s="180">
        <v>0</v>
      </c>
      <c r="AB368" s="180">
        <v>0</v>
      </c>
      <c r="AC368" s="180">
        <v>0</v>
      </c>
      <c r="AD368" s="180">
        <v>2966</v>
      </c>
      <c r="AE368" s="180">
        <v>0</v>
      </c>
      <c r="AF368" s="180">
        <v>0</v>
      </c>
      <c r="AG368" s="183">
        <v>0</v>
      </c>
    </row>
    <row r="369" spans="2:33" s="154" customFormat="1" ht="15" customHeight="1" outlineLevel="1">
      <c r="B369" s="196" t="s">
        <v>186</v>
      </c>
      <c r="C369" s="196" t="s">
        <v>297</v>
      </c>
      <c r="D369" s="179">
        <v>0</v>
      </c>
      <c r="E369" s="180">
        <v>0</v>
      </c>
      <c r="F369" s="180">
        <v>0</v>
      </c>
      <c r="G369" s="180">
        <v>0</v>
      </c>
      <c r="H369" s="180">
        <v>0</v>
      </c>
      <c r="I369" s="180">
        <v>0</v>
      </c>
      <c r="J369" s="180">
        <v>0</v>
      </c>
      <c r="K369" s="180">
        <v>0</v>
      </c>
      <c r="L369" s="180">
        <v>0</v>
      </c>
      <c r="M369" s="181">
        <v>0</v>
      </c>
      <c r="N369" s="182">
        <v>0</v>
      </c>
      <c r="O369" s="180">
        <v>0</v>
      </c>
      <c r="P369" s="180">
        <v>0</v>
      </c>
      <c r="Q369" s="180">
        <v>0</v>
      </c>
      <c r="R369" s="180">
        <v>0</v>
      </c>
      <c r="S369" s="180">
        <v>0</v>
      </c>
      <c r="T369" s="180">
        <v>0</v>
      </c>
      <c r="U369" s="180">
        <v>0</v>
      </c>
      <c r="V369" s="180">
        <v>0</v>
      </c>
      <c r="W369" s="180">
        <v>0</v>
      </c>
      <c r="X369" s="180">
        <v>0</v>
      </c>
      <c r="Y369" s="180">
        <v>0</v>
      </c>
      <c r="Z369" s="180">
        <v>0</v>
      </c>
      <c r="AA369" s="180">
        <v>0</v>
      </c>
      <c r="AB369" s="180">
        <v>0</v>
      </c>
      <c r="AC369" s="180">
        <v>0</v>
      </c>
      <c r="AD369" s="180">
        <v>0</v>
      </c>
      <c r="AE369" s="180">
        <v>0</v>
      </c>
      <c r="AF369" s="180">
        <v>0</v>
      </c>
      <c r="AG369" s="183">
        <v>0</v>
      </c>
    </row>
    <row r="370" spans="2:33" s="154" customFormat="1" ht="15" customHeight="1" outlineLevel="1">
      <c r="B370" s="196" t="s">
        <v>186</v>
      </c>
      <c r="C370" s="196" t="s">
        <v>298</v>
      </c>
      <c r="D370" s="179">
        <v>0</v>
      </c>
      <c r="E370" s="180">
        <v>0</v>
      </c>
      <c r="F370" s="180">
        <v>0</v>
      </c>
      <c r="G370" s="180">
        <v>0</v>
      </c>
      <c r="H370" s="180">
        <v>0</v>
      </c>
      <c r="I370" s="180">
        <v>0</v>
      </c>
      <c r="J370" s="180">
        <v>0</v>
      </c>
      <c r="K370" s="180">
        <v>0</v>
      </c>
      <c r="L370" s="180">
        <v>0</v>
      </c>
      <c r="M370" s="181">
        <v>0</v>
      </c>
      <c r="N370" s="182">
        <v>0</v>
      </c>
      <c r="O370" s="180">
        <v>2156</v>
      </c>
      <c r="P370" s="180">
        <v>2058</v>
      </c>
      <c r="Q370" s="180">
        <v>2119</v>
      </c>
      <c r="R370" s="180">
        <v>0</v>
      </c>
      <c r="S370" s="180">
        <v>2123</v>
      </c>
      <c r="T370" s="180">
        <v>2064</v>
      </c>
      <c r="U370" s="180">
        <v>1987</v>
      </c>
      <c r="V370" s="180">
        <v>0</v>
      </c>
      <c r="W370" s="180">
        <v>1948</v>
      </c>
      <c r="X370" s="180">
        <v>1980</v>
      </c>
      <c r="Y370" s="180">
        <v>2049</v>
      </c>
      <c r="Z370" s="180">
        <v>0</v>
      </c>
      <c r="AA370" s="180">
        <v>1978</v>
      </c>
      <c r="AB370" s="180">
        <v>2117</v>
      </c>
      <c r="AC370" s="180">
        <v>2181</v>
      </c>
      <c r="AD370" s="180">
        <v>0</v>
      </c>
      <c r="AE370" s="180">
        <v>4404</v>
      </c>
      <c r="AF370" s="180">
        <v>4534</v>
      </c>
      <c r="AG370" s="183">
        <v>4588</v>
      </c>
    </row>
    <row r="371" spans="2:33" s="154" customFormat="1" ht="15" customHeight="1" outlineLevel="1">
      <c r="B371" s="196" t="s">
        <v>186</v>
      </c>
      <c r="C371" s="196" t="s">
        <v>299</v>
      </c>
      <c r="D371" s="179">
        <v>5300</v>
      </c>
      <c r="E371" s="180">
        <v>4934</v>
      </c>
      <c r="F371" s="180">
        <v>4729</v>
      </c>
      <c r="G371" s="180">
        <v>4652</v>
      </c>
      <c r="H371" s="180">
        <v>4510</v>
      </c>
      <c r="I371" s="180">
        <v>4614</v>
      </c>
      <c r="J371" s="180">
        <v>4049</v>
      </c>
      <c r="K371" s="180">
        <v>3564</v>
      </c>
      <c r="L371" s="180">
        <v>3017</v>
      </c>
      <c r="M371" s="181">
        <v>2650</v>
      </c>
      <c r="N371" s="182">
        <v>5300</v>
      </c>
      <c r="O371" s="180">
        <v>2156</v>
      </c>
      <c r="P371" s="180">
        <v>2058</v>
      </c>
      <c r="Q371" s="180">
        <v>2119</v>
      </c>
      <c r="R371" s="180">
        <v>4934</v>
      </c>
      <c r="S371" s="180">
        <v>2123</v>
      </c>
      <c r="T371" s="180">
        <v>2064</v>
      </c>
      <c r="U371" s="180">
        <v>1987</v>
      </c>
      <c r="V371" s="180">
        <v>4729</v>
      </c>
      <c r="W371" s="180">
        <v>1948</v>
      </c>
      <c r="X371" s="180">
        <v>1980</v>
      </c>
      <c r="Y371" s="180">
        <v>2049</v>
      </c>
      <c r="Z371" s="180">
        <v>4652</v>
      </c>
      <c r="AA371" s="180">
        <v>1978</v>
      </c>
      <c r="AB371" s="180">
        <v>2117</v>
      </c>
      <c r="AC371" s="180">
        <v>2181</v>
      </c>
      <c r="AD371" s="180">
        <v>4510</v>
      </c>
      <c r="AE371" s="180">
        <v>4404</v>
      </c>
      <c r="AF371" s="180">
        <v>4534</v>
      </c>
      <c r="AG371" s="183">
        <v>4588</v>
      </c>
    </row>
    <row r="372" spans="2:33" s="154" customFormat="1" ht="15" customHeight="1" outlineLevel="1">
      <c r="B372" s="196" t="s">
        <v>186</v>
      </c>
      <c r="C372" s="196" t="s">
        <v>300</v>
      </c>
      <c r="D372" s="179">
        <v>5300</v>
      </c>
      <c r="E372" s="180">
        <v>4934</v>
      </c>
      <c r="F372" s="180">
        <v>4729</v>
      </c>
      <c r="G372" s="180">
        <v>4652</v>
      </c>
      <c r="H372" s="180">
        <v>4510</v>
      </c>
      <c r="I372" s="180">
        <v>4614</v>
      </c>
      <c r="J372" s="180">
        <v>4049</v>
      </c>
      <c r="K372" s="180">
        <v>3564</v>
      </c>
      <c r="L372" s="180">
        <v>3017</v>
      </c>
      <c r="M372" s="181">
        <v>2650</v>
      </c>
      <c r="N372" s="182">
        <v>5300</v>
      </c>
      <c r="O372" s="180">
        <v>2156</v>
      </c>
      <c r="P372" s="180">
        <v>2058</v>
      </c>
      <c r="Q372" s="180">
        <v>2119</v>
      </c>
      <c r="R372" s="180">
        <v>4934</v>
      </c>
      <c r="S372" s="180">
        <v>2123</v>
      </c>
      <c r="T372" s="180">
        <v>2064</v>
      </c>
      <c r="U372" s="180">
        <v>1987</v>
      </c>
      <c r="V372" s="180">
        <v>4729</v>
      </c>
      <c r="W372" s="180">
        <v>1948</v>
      </c>
      <c r="X372" s="180">
        <v>1980</v>
      </c>
      <c r="Y372" s="180">
        <v>2049</v>
      </c>
      <c r="Z372" s="180">
        <v>4652</v>
      </c>
      <c r="AA372" s="180">
        <v>1978</v>
      </c>
      <c r="AB372" s="180">
        <v>2117</v>
      </c>
      <c r="AC372" s="180">
        <v>2181</v>
      </c>
      <c r="AD372" s="180">
        <v>4510</v>
      </c>
      <c r="AE372" s="180">
        <v>4404</v>
      </c>
      <c r="AF372" s="180">
        <v>4534</v>
      </c>
      <c r="AG372" s="183">
        <v>4588</v>
      </c>
    </row>
    <row r="373" spans="2:33" s="154" customFormat="1" ht="15" customHeight="1" outlineLevel="1">
      <c r="B373" s="196" t="s">
        <v>186</v>
      </c>
      <c r="C373" s="196" t="s">
        <v>301</v>
      </c>
      <c r="D373" s="179">
        <v>3174</v>
      </c>
      <c r="E373" s="180">
        <v>2810</v>
      </c>
      <c r="F373" s="180">
        <v>2776</v>
      </c>
      <c r="G373" s="180">
        <v>2471</v>
      </c>
      <c r="H373" s="180">
        <v>2233</v>
      </c>
      <c r="I373" s="180">
        <v>1946</v>
      </c>
      <c r="J373" s="180">
        <v>1640</v>
      </c>
      <c r="K373" s="180">
        <v>1559</v>
      </c>
      <c r="L373" s="180">
        <v>1326</v>
      </c>
      <c r="M373" s="181">
        <v>1133</v>
      </c>
      <c r="N373" s="182">
        <v>3174</v>
      </c>
      <c r="O373" s="180">
        <v>0</v>
      </c>
      <c r="P373" s="180">
        <v>0</v>
      </c>
      <c r="Q373" s="180">
        <v>0</v>
      </c>
      <c r="R373" s="180">
        <v>2810</v>
      </c>
      <c r="S373" s="180">
        <v>0</v>
      </c>
      <c r="T373" s="180">
        <v>0</v>
      </c>
      <c r="U373" s="180">
        <v>0</v>
      </c>
      <c r="V373" s="180">
        <v>2776</v>
      </c>
      <c r="W373" s="180">
        <v>0</v>
      </c>
      <c r="X373" s="180">
        <v>0</v>
      </c>
      <c r="Y373" s="180">
        <v>0</v>
      </c>
      <c r="Z373" s="180">
        <v>2471</v>
      </c>
      <c r="AA373" s="180">
        <v>0</v>
      </c>
      <c r="AB373" s="180">
        <v>0</v>
      </c>
      <c r="AC373" s="180">
        <v>0</v>
      </c>
      <c r="AD373" s="180">
        <v>2233</v>
      </c>
      <c r="AE373" s="180">
        <v>1946</v>
      </c>
      <c r="AF373" s="180">
        <v>1946</v>
      </c>
      <c r="AG373" s="183">
        <v>1946</v>
      </c>
    </row>
    <row r="374" spans="2:33" s="154" customFormat="1" ht="15" customHeight="1" outlineLevel="1">
      <c r="B374" s="196" t="s">
        <v>186</v>
      </c>
      <c r="C374" s="196" t="s">
        <v>302</v>
      </c>
      <c r="D374" s="179">
        <v>2126</v>
      </c>
      <c r="E374" s="180">
        <v>2124</v>
      </c>
      <c r="F374" s="180">
        <v>1953</v>
      </c>
      <c r="G374" s="180">
        <v>2181</v>
      </c>
      <c r="H374" s="180">
        <v>2277</v>
      </c>
      <c r="I374" s="180">
        <v>2668</v>
      </c>
      <c r="J374" s="180">
        <v>2409</v>
      </c>
      <c r="K374" s="180">
        <v>2005</v>
      </c>
      <c r="L374" s="180">
        <v>1691</v>
      </c>
      <c r="M374" s="181">
        <v>1517</v>
      </c>
      <c r="N374" s="182">
        <v>2126</v>
      </c>
      <c r="O374" s="180">
        <v>2156</v>
      </c>
      <c r="P374" s="180">
        <v>2058</v>
      </c>
      <c r="Q374" s="180">
        <v>2119</v>
      </c>
      <c r="R374" s="180">
        <v>2124</v>
      </c>
      <c r="S374" s="180">
        <v>2123</v>
      </c>
      <c r="T374" s="180">
        <v>2064</v>
      </c>
      <c r="U374" s="180">
        <v>1987</v>
      </c>
      <c r="V374" s="180">
        <v>1953</v>
      </c>
      <c r="W374" s="180">
        <v>1948</v>
      </c>
      <c r="X374" s="180">
        <v>1980</v>
      </c>
      <c r="Y374" s="180">
        <v>2049</v>
      </c>
      <c r="Z374" s="180">
        <v>2181</v>
      </c>
      <c r="AA374" s="180">
        <v>1978</v>
      </c>
      <c r="AB374" s="180">
        <v>2117</v>
      </c>
      <c r="AC374" s="180">
        <v>2181</v>
      </c>
      <c r="AD374" s="180">
        <v>2277</v>
      </c>
      <c r="AE374" s="180">
        <v>2458</v>
      </c>
      <c r="AF374" s="180">
        <v>2588</v>
      </c>
      <c r="AG374" s="183">
        <v>2642</v>
      </c>
    </row>
    <row r="375" spans="2:33" s="154" customFormat="1" ht="15" customHeight="1" outlineLevel="1">
      <c r="B375" s="196" t="s">
        <v>186</v>
      </c>
      <c r="C375" s="196" t="s">
        <v>303</v>
      </c>
      <c r="D375" s="179">
        <v>3374</v>
      </c>
      <c r="E375" s="180">
        <v>1857</v>
      </c>
      <c r="F375" s="180">
        <v>1495</v>
      </c>
      <c r="G375" s="180">
        <v>1694</v>
      </c>
      <c r="H375" s="180">
        <v>724</v>
      </c>
      <c r="I375" s="180">
        <v>780</v>
      </c>
      <c r="J375" s="180">
        <v>0</v>
      </c>
      <c r="K375" s="180">
        <v>0</v>
      </c>
      <c r="L375" s="180">
        <v>0</v>
      </c>
      <c r="M375" s="181">
        <v>0</v>
      </c>
      <c r="N375" s="182">
        <v>3374</v>
      </c>
      <c r="O375" s="180">
        <v>3511</v>
      </c>
      <c r="P375" s="180">
        <v>2609</v>
      </c>
      <c r="Q375" s="180">
        <v>1801</v>
      </c>
      <c r="R375" s="180">
        <v>1857</v>
      </c>
      <c r="S375" s="180">
        <v>1957</v>
      </c>
      <c r="T375" s="180">
        <v>1866</v>
      </c>
      <c r="U375" s="180">
        <v>1941</v>
      </c>
      <c r="V375" s="180">
        <v>1495</v>
      </c>
      <c r="W375" s="180">
        <v>1553</v>
      </c>
      <c r="X375" s="180">
        <v>1638</v>
      </c>
      <c r="Y375" s="180">
        <v>1658</v>
      </c>
      <c r="Z375" s="180">
        <v>1694</v>
      </c>
      <c r="AA375" s="180">
        <v>607</v>
      </c>
      <c r="AB375" s="180">
        <v>646</v>
      </c>
      <c r="AC375" s="180">
        <v>684</v>
      </c>
      <c r="AD375" s="180">
        <v>724</v>
      </c>
      <c r="AE375" s="180">
        <v>750</v>
      </c>
      <c r="AF375" s="180">
        <v>781</v>
      </c>
      <c r="AG375" s="183">
        <v>808</v>
      </c>
    </row>
    <row r="376" spans="2:33" s="154" customFormat="1" ht="15" customHeight="1" outlineLevel="1">
      <c r="B376" s="196" t="s">
        <v>186</v>
      </c>
      <c r="C376" s="196" t="s">
        <v>304</v>
      </c>
      <c r="D376" s="179">
        <v>9304</v>
      </c>
      <c r="E376" s="180">
        <v>5838</v>
      </c>
      <c r="F376" s="180">
        <v>4365</v>
      </c>
      <c r="G376" s="180">
        <v>4074</v>
      </c>
      <c r="H376" s="180">
        <v>1737</v>
      </c>
      <c r="I376" s="180">
        <v>1648</v>
      </c>
      <c r="J376" s="180">
        <v>0</v>
      </c>
      <c r="K376" s="180">
        <v>0</v>
      </c>
      <c r="L376" s="180">
        <v>0</v>
      </c>
      <c r="M376" s="181">
        <v>0</v>
      </c>
      <c r="N376" s="182">
        <v>9304</v>
      </c>
      <c r="O376" s="180">
        <v>9191</v>
      </c>
      <c r="P376" s="180">
        <v>7558</v>
      </c>
      <c r="Q376" s="180">
        <v>6005</v>
      </c>
      <c r="R376" s="180">
        <v>5838</v>
      </c>
      <c r="S376" s="180">
        <v>5943</v>
      </c>
      <c r="T376" s="180">
        <v>5431</v>
      </c>
      <c r="U376" s="180">
        <v>5406</v>
      </c>
      <c r="V376" s="180">
        <v>4365</v>
      </c>
      <c r="W376" s="180">
        <v>4259</v>
      </c>
      <c r="X376" s="180">
        <v>4264</v>
      </c>
      <c r="Y376" s="180">
        <v>4181</v>
      </c>
      <c r="Z376" s="180">
        <v>4074</v>
      </c>
      <c r="AA376" s="180">
        <v>1748</v>
      </c>
      <c r="AB376" s="180">
        <v>1748</v>
      </c>
      <c r="AC376" s="180">
        <v>1742</v>
      </c>
      <c r="AD376" s="180">
        <v>1737</v>
      </c>
      <c r="AE376" s="180">
        <v>1743</v>
      </c>
      <c r="AF376" s="180">
        <v>1753</v>
      </c>
      <c r="AG376" s="183">
        <v>1691</v>
      </c>
    </row>
    <row r="377" spans="2:33" s="154" customFormat="1" ht="15" customHeight="1" outlineLevel="1">
      <c r="B377" s="196" t="s">
        <v>186</v>
      </c>
      <c r="C377" s="196" t="s">
        <v>305</v>
      </c>
      <c r="D377" s="179">
        <v>0</v>
      </c>
      <c r="E377" s="180">
        <v>0</v>
      </c>
      <c r="F377" s="180">
        <v>0</v>
      </c>
      <c r="G377" s="180">
        <v>0</v>
      </c>
      <c r="H377" s="180">
        <v>0</v>
      </c>
      <c r="I377" s="180">
        <v>0</v>
      </c>
      <c r="J377" s="180">
        <v>0</v>
      </c>
      <c r="K377" s="180">
        <v>0</v>
      </c>
      <c r="L377" s="180">
        <v>0</v>
      </c>
      <c r="M377" s="181">
        <v>0</v>
      </c>
      <c r="N377" s="182">
        <v>0</v>
      </c>
      <c r="O377" s="180">
        <v>0</v>
      </c>
      <c r="P377" s="180">
        <v>0</v>
      </c>
      <c r="Q377" s="180">
        <v>0</v>
      </c>
      <c r="R377" s="180">
        <v>0</v>
      </c>
      <c r="S377" s="180">
        <v>0</v>
      </c>
      <c r="T377" s="180">
        <v>0</v>
      </c>
      <c r="U377" s="180">
        <v>0</v>
      </c>
      <c r="V377" s="180">
        <v>0</v>
      </c>
      <c r="W377" s="180">
        <v>0</v>
      </c>
      <c r="X377" s="180">
        <v>0</v>
      </c>
      <c r="Y377" s="180">
        <v>0</v>
      </c>
      <c r="Z377" s="180">
        <v>0</v>
      </c>
      <c r="AA377" s="180">
        <v>0</v>
      </c>
      <c r="AB377" s="180">
        <v>0</v>
      </c>
      <c r="AC377" s="180">
        <v>0</v>
      </c>
      <c r="AD377" s="180">
        <v>0</v>
      </c>
      <c r="AE377" s="180">
        <v>0</v>
      </c>
      <c r="AF377" s="180">
        <v>0</v>
      </c>
      <c r="AG377" s="183">
        <v>0</v>
      </c>
    </row>
    <row r="378" spans="2:33" s="154" customFormat="1" ht="15" customHeight="1" outlineLevel="1">
      <c r="B378" s="196" t="s">
        <v>186</v>
      </c>
      <c r="C378" s="196" t="s">
        <v>306</v>
      </c>
      <c r="D378" s="179">
        <v>4768</v>
      </c>
      <c r="E378" s="180">
        <v>5266</v>
      </c>
      <c r="F378" s="180">
        <v>1765</v>
      </c>
      <c r="G378" s="180">
        <v>1458</v>
      </c>
      <c r="H378" s="180">
        <v>1611</v>
      </c>
      <c r="I378" s="180">
        <v>2585</v>
      </c>
      <c r="J378" s="180">
        <v>3287</v>
      </c>
      <c r="K378" s="180">
        <v>3398</v>
      </c>
      <c r="L378" s="180">
        <v>4627</v>
      </c>
      <c r="M378" s="181">
        <v>7161</v>
      </c>
      <c r="N378" s="182">
        <v>4768</v>
      </c>
      <c r="O378" s="180">
        <v>4926</v>
      </c>
      <c r="P378" s="180">
        <v>4622</v>
      </c>
      <c r="Q378" s="180">
        <v>5319</v>
      </c>
      <c r="R378" s="180">
        <v>5266</v>
      </c>
      <c r="S378" s="180">
        <v>3764</v>
      </c>
      <c r="T378" s="180">
        <v>2585</v>
      </c>
      <c r="U378" s="180">
        <v>2081</v>
      </c>
      <c r="V378" s="180">
        <v>1765</v>
      </c>
      <c r="W378" s="180">
        <v>1606</v>
      </c>
      <c r="X378" s="180">
        <v>1549</v>
      </c>
      <c r="Y378" s="180">
        <v>1569</v>
      </c>
      <c r="Z378" s="180">
        <v>1458</v>
      </c>
      <c r="AA378" s="180">
        <v>1821</v>
      </c>
      <c r="AB378" s="180">
        <v>1707</v>
      </c>
      <c r="AC378" s="180">
        <v>1672</v>
      </c>
      <c r="AD378" s="180">
        <v>1611</v>
      </c>
      <c r="AE378" s="180">
        <v>1332</v>
      </c>
      <c r="AF378" s="180">
        <v>1509</v>
      </c>
      <c r="AG378" s="183">
        <v>2376</v>
      </c>
    </row>
    <row r="379" spans="2:33" s="154" customFormat="1" ht="15" customHeight="1" outlineLevel="1">
      <c r="B379" s="196" t="s">
        <v>186</v>
      </c>
      <c r="C379" s="196" t="s">
        <v>307</v>
      </c>
      <c r="D379" s="179">
        <v>19572</v>
      </c>
      <c r="E379" s="180">
        <v>15085</v>
      </c>
      <c r="F379" s="180">
        <v>9578</v>
      </c>
      <c r="G379" s="180">
        <v>9407</v>
      </c>
      <c r="H379" s="180">
        <v>6349</v>
      </c>
      <c r="I379" s="180">
        <v>7681</v>
      </c>
      <c r="J379" s="180">
        <v>5696</v>
      </c>
      <c r="K379" s="180">
        <v>5403</v>
      </c>
      <c r="L379" s="180">
        <v>6318</v>
      </c>
      <c r="M379" s="181">
        <v>8678</v>
      </c>
      <c r="N379" s="182">
        <v>19572</v>
      </c>
      <c r="O379" s="180">
        <v>19784</v>
      </c>
      <c r="P379" s="180">
        <v>16847</v>
      </c>
      <c r="Q379" s="180">
        <v>15244</v>
      </c>
      <c r="R379" s="180">
        <v>15085</v>
      </c>
      <c r="S379" s="180">
        <v>13787</v>
      </c>
      <c r="T379" s="180">
        <v>11946</v>
      </c>
      <c r="U379" s="180">
        <v>11415</v>
      </c>
      <c r="V379" s="180">
        <v>9578</v>
      </c>
      <c r="W379" s="180">
        <v>9366</v>
      </c>
      <c r="X379" s="180">
        <v>9431</v>
      </c>
      <c r="Y379" s="180">
        <v>9457</v>
      </c>
      <c r="Z379" s="180">
        <v>9407</v>
      </c>
      <c r="AA379" s="180">
        <v>6154</v>
      </c>
      <c r="AB379" s="180">
        <v>6218</v>
      </c>
      <c r="AC379" s="180">
        <v>6279</v>
      </c>
      <c r="AD379" s="180">
        <v>6349</v>
      </c>
      <c r="AE379" s="180">
        <v>6283</v>
      </c>
      <c r="AF379" s="180">
        <v>6631</v>
      </c>
      <c r="AG379" s="183">
        <v>7517</v>
      </c>
    </row>
    <row r="380" spans="2:33" s="154" customFormat="1" ht="15" customHeight="1" outlineLevel="1">
      <c r="B380" s="196" t="s">
        <v>186</v>
      </c>
      <c r="C380" s="196" t="s">
        <v>308</v>
      </c>
      <c r="D380" s="179">
        <v>47540</v>
      </c>
      <c r="E380" s="180">
        <v>44533</v>
      </c>
      <c r="F380" s="180">
        <v>38599</v>
      </c>
      <c r="G380" s="180">
        <v>33652</v>
      </c>
      <c r="H380" s="180">
        <v>26500</v>
      </c>
      <c r="I380" s="180">
        <v>27561</v>
      </c>
      <c r="J380" s="180">
        <v>25635</v>
      </c>
      <c r="K380" s="180">
        <v>23109</v>
      </c>
      <c r="L380" s="180">
        <v>23215</v>
      </c>
      <c r="M380" s="181">
        <v>19311</v>
      </c>
      <c r="N380" s="182">
        <v>47540</v>
      </c>
      <c r="O380" s="180">
        <v>45446</v>
      </c>
      <c r="P380" s="180">
        <v>44097</v>
      </c>
      <c r="Q380" s="180">
        <v>43289</v>
      </c>
      <c r="R380" s="180">
        <v>44533</v>
      </c>
      <c r="S380" s="180">
        <v>42043</v>
      </c>
      <c r="T380" s="180">
        <v>41604</v>
      </c>
      <c r="U380" s="180">
        <v>39788</v>
      </c>
      <c r="V380" s="180">
        <v>38599</v>
      </c>
      <c r="W380" s="180">
        <v>37154</v>
      </c>
      <c r="X380" s="180">
        <v>36640</v>
      </c>
      <c r="Y380" s="180">
        <v>34241</v>
      </c>
      <c r="Z380" s="180">
        <v>33652</v>
      </c>
      <c r="AA380" s="180">
        <v>31025</v>
      </c>
      <c r="AB380" s="180">
        <v>30058</v>
      </c>
      <c r="AC380" s="180">
        <v>26189</v>
      </c>
      <c r="AD380" s="180">
        <v>26500</v>
      </c>
      <c r="AE380" s="180">
        <v>27817</v>
      </c>
      <c r="AF380" s="180">
        <v>28407</v>
      </c>
      <c r="AG380" s="183">
        <v>28019</v>
      </c>
    </row>
    <row r="381" spans="2:33" s="154" customFormat="1" ht="15" customHeight="1" outlineLevel="1" thickBot="1">
      <c r="B381" s="204" t="s">
        <v>186</v>
      </c>
      <c r="C381" s="204" t="s">
        <v>309</v>
      </c>
      <c r="D381" s="185">
        <v>2</v>
      </c>
      <c r="E381" s="186">
        <v>2</v>
      </c>
      <c r="F381" s="186">
        <v>2</v>
      </c>
      <c r="G381" s="186">
        <v>2</v>
      </c>
      <c r="H381" s="186">
        <v>2</v>
      </c>
      <c r="I381" s="186">
        <v>2</v>
      </c>
      <c r="J381" s="186">
        <v>2</v>
      </c>
      <c r="K381" s="186">
        <v>2</v>
      </c>
      <c r="L381" s="186">
        <v>2</v>
      </c>
      <c r="M381" s="187">
        <v>2</v>
      </c>
      <c r="N381" s="188"/>
      <c r="O381" s="186"/>
      <c r="P381" s="186"/>
      <c r="Q381" s="186"/>
      <c r="R381" s="186"/>
      <c r="S381" s="186"/>
      <c r="T381" s="186"/>
      <c r="U381" s="186"/>
      <c r="V381" s="186"/>
      <c r="W381" s="186"/>
      <c r="X381" s="186"/>
      <c r="Y381" s="186"/>
      <c r="Z381" s="186"/>
      <c r="AA381" s="186"/>
      <c r="AB381" s="186"/>
      <c r="AC381" s="186"/>
      <c r="AD381" s="186"/>
      <c r="AE381" s="186"/>
      <c r="AF381" s="186"/>
      <c r="AG381" s="189"/>
    </row>
    <row r="382" spans="2:33" s="154" customFormat="1" ht="15" customHeight="1" outlineLevel="1">
      <c r="B382" s="205" t="s">
        <v>187</v>
      </c>
      <c r="C382" s="205" t="s">
        <v>310</v>
      </c>
      <c r="D382" s="206">
        <v>11579</v>
      </c>
      <c r="E382" s="207">
        <v>11656</v>
      </c>
      <c r="F382" s="207">
        <v>11293</v>
      </c>
      <c r="G382" s="207">
        <v>11373</v>
      </c>
      <c r="H382" s="207">
        <v>8309</v>
      </c>
      <c r="I382" s="207">
        <v>11492</v>
      </c>
      <c r="J382" s="207">
        <v>10430</v>
      </c>
      <c r="K382" s="207">
        <v>9840</v>
      </c>
      <c r="L382" s="207">
        <v>8895</v>
      </c>
      <c r="M382" s="208">
        <v>7316</v>
      </c>
      <c r="N382" s="209">
        <v>11579</v>
      </c>
      <c r="O382" s="207">
        <v>10556</v>
      </c>
      <c r="P382" s="207">
        <v>11193</v>
      </c>
      <c r="Q382" s="207">
        <v>10970</v>
      </c>
      <c r="R382" s="207">
        <v>11656</v>
      </c>
      <c r="S382" s="207">
        <v>11107</v>
      </c>
      <c r="T382" s="207">
        <v>11628</v>
      </c>
      <c r="U382" s="207">
        <v>10442</v>
      </c>
      <c r="V382" s="207">
        <v>11293</v>
      </c>
      <c r="W382" s="207">
        <v>11278</v>
      </c>
      <c r="X382" s="207">
        <v>12465</v>
      </c>
      <c r="Y382" s="207">
        <v>11402</v>
      </c>
      <c r="Z382" s="207">
        <v>11373</v>
      </c>
      <c r="AA382" s="207">
        <v>9947</v>
      </c>
      <c r="AB382" s="207">
        <v>9698</v>
      </c>
      <c r="AC382" s="207">
        <v>7844</v>
      </c>
      <c r="AD382" s="207">
        <v>8309</v>
      </c>
      <c r="AE382" s="207">
        <v>9475</v>
      </c>
      <c r="AF382" s="207">
        <v>11215</v>
      </c>
      <c r="AG382" s="210">
        <v>10891</v>
      </c>
    </row>
    <row r="383" spans="2:33" s="154" customFormat="1" ht="15" customHeight="1" outlineLevel="1">
      <c r="B383" s="173" t="s">
        <v>187</v>
      </c>
      <c r="C383" s="173" t="s">
        <v>311</v>
      </c>
      <c r="D383" s="179">
        <v>0</v>
      </c>
      <c r="E383" s="180">
        <v>0</v>
      </c>
      <c r="F383" s="180">
        <v>0</v>
      </c>
      <c r="G383" s="180">
        <v>0</v>
      </c>
      <c r="H383" s="180">
        <v>0</v>
      </c>
      <c r="I383" s="180">
        <v>0</v>
      </c>
      <c r="J383" s="180">
        <v>0</v>
      </c>
      <c r="K383" s="180">
        <v>0</v>
      </c>
      <c r="L383" s="180">
        <v>0</v>
      </c>
      <c r="M383" s="181">
        <v>0</v>
      </c>
      <c r="N383" s="182">
        <v>0</v>
      </c>
      <c r="O383" s="180">
        <v>0</v>
      </c>
      <c r="P383" s="180">
        <v>0</v>
      </c>
      <c r="Q383" s="180">
        <v>0</v>
      </c>
      <c r="R383" s="180">
        <v>0</v>
      </c>
      <c r="S383" s="180">
        <v>0</v>
      </c>
      <c r="T383" s="180">
        <v>0</v>
      </c>
      <c r="U383" s="180">
        <v>0</v>
      </c>
      <c r="V383" s="180">
        <v>0</v>
      </c>
      <c r="W383" s="180">
        <v>0</v>
      </c>
      <c r="X383" s="180">
        <v>0</v>
      </c>
      <c r="Y383" s="180">
        <v>0</v>
      </c>
      <c r="Z383" s="180">
        <v>0</v>
      </c>
      <c r="AA383" s="180">
        <v>0</v>
      </c>
      <c r="AB383" s="180">
        <v>0</v>
      </c>
      <c r="AC383" s="180">
        <v>0</v>
      </c>
      <c r="AD383" s="180">
        <v>0</v>
      </c>
      <c r="AE383" s="180">
        <v>0</v>
      </c>
      <c r="AF383" s="180">
        <v>0</v>
      </c>
      <c r="AG383" s="183">
        <v>0</v>
      </c>
    </row>
    <row r="384" spans="2:33" s="154" customFormat="1" ht="15" customHeight="1" outlineLevel="1">
      <c r="B384" s="173" t="s">
        <v>187</v>
      </c>
      <c r="C384" s="173" t="s">
        <v>312</v>
      </c>
      <c r="D384" s="179">
        <v>3843</v>
      </c>
      <c r="E384" s="180">
        <v>2867</v>
      </c>
      <c r="F384" s="180">
        <v>851</v>
      </c>
      <c r="G384" s="180">
        <v>663</v>
      </c>
      <c r="H384" s="180">
        <v>113</v>
      </c>
      <c r="I384" s="180">
        <v>225</v>
      </c>
      <c r="J384" s="180">
        <v>188</v>
      </c>
      <c r="K384" s="180">
        <v>0</v>
      </c>
      <c r="L384" s="180">
        <v>0</v>
      </c>
      <c r="M384" s="181">
        <v>0</v>
      </c>
      <c r="N384" s="182">
        <v>3843</v>
      </c>
      <c r="O384" s="180">
        <v>3724</v>
      </c>
      <c r="P384" s="180">
        <v>2609</v>
      </c>
      <c r="Q384" s="180">
        <v>3186</v>
      </c>
      <c r="R384" s="180">
        <v>2867</v>
      </c>
      <c r="S384" s="180">
        <v>1831</v>
      </c>
      <c r="T384" s="180">
        <v>1316</v>
      </c>
      <c r="U384" s="180">
        <v>816</v>
      </c>
      <c r="V384" s="180">
        <v>851</v>
      </c>
      <c r="W384" s="180">
        <v>826</v>
      </c>
      <c r="X384" s="180">
        <v>1627</v>
      </c>
      <c r="Y384" s="180">
        <v>1079</v>
      </c>
      <c r="Z384" s="180">
        <v>663</v>
      </c>
      <c r="AA384" s="180">
        <v>351</v>
      </c>
      <c r="AB384" s="180">
        <v>49</v>
      </c>
      <c r="AC384" s="180">
        <v>101</v>
      </c>
      <c r="AD384" s="180">
        <v>113</v>
      </c>
      <c r="AE384" s="180">
        <v>266</v>
      </c>
      <c r="AF384" s="180">
        <v>129</v>
      </c>
      <c r="AG384" s="183">
        <v>131</v>
      </c>
    </row>
    <row r="385" spans="2:33" s="154" customFormat="1" ht="15" customHeight="1" outlineLevel="1">
      <c r="B385" s="173" t="s">
        <v>187</v>
      </c>
      <c r="C385" s="173" t="s">
        <v>313</v>
      </c>
      <c r="D385" s="179">
        <v>0</v>
      </c>
      <c r="E385" s="180">
        <v>0</v>
      </c>
      <c r="F385" s="180">
        <v>0</v>
      </c>
      <c r="G385" s="180">
        <v>0</v>
      </c>
      <c r="H385" s="180">
        <v>0</v>
      </c>
      <c r="I385" s="180">
        <v>0</v>
      </c>
      <c r="J385" s="180">
        <v>0</v>
      </c>
      <c r="K385" s="180">
        <v>0</v>
      </c>
      <c r="L385" s="180">
        <v>0</v>
      </c>
      <c r="M385" s="181">
        <v>0</v>
      </c>
      <c r="N385" s="182">
        <v>0</v>
      </c>
      <c r="O385" s="180">
        <v>0</v>
      </c>
      <c r="P385" s="180">
        <v>0</v>
      </c>
      <c r="Q385" s="180">
        <v>0</v>
      </c>
      <c r="R385" s="180">
        <v>0</v>
      </c>
      <c r="S385" s="180">
        <v>0</v>
      </c>
      <c r="T385" s="180">
        <v>0</v>
      </c>
      <c r="U385" s="180">
        <v>0</v>
      </c>
      <c r="V385" s="180">
        <v>0</v>
      </c>
      <c r="W385" s="180">
        <v>0</v>
      </c>
      <c r="X385" s="180">
        <v>0</v>
      </c>
      <c r="Y385" s="180">
        <v>0</v>
      </c>
      <c r="Z385" s="180">
        <v>0</v>
      </c>
      <c r="AA385" s="180">
        <v>0</v>
      </c>
      <c r="AB385" s="180">
        <v>0</v>
      </c>
      <c r="AC385" s="180">
        <v>0</v>
      </c>
      <c r="AD385" s="180">
        <v>0</v>
      </c>
      <c r="AE385" s="180">
        <v>0</v>
      </c>
      <c r="AF385" s="180">
        <v>0</v>
      </c>
      <c r="AG385" s="183">
        <v>0</v>
      </c>
    </row>
    <row r="386" spans="2:33" s="154" customFormat="1" ht="15" customHeight="1" outlineLevel="1">
      <c r="B386" s="173" t="s">
        <v>187</v>
      </c>
      <c r="C386" s="173" t="s">
        <v>314</v>
      </c>
      <c r="D386" s="179">
        <v>1674</v>
      </c>
      <c r="E386" s="180">
        <v>1604</v>
      </c>
      <c r="F386" s="180">
        <v>3652</v>
      </c>
      <c r="G386" s="180">
        <v>3884</v>
      </c>
      <c r="H386" s="180">
        <v>1544</v>
      </c>
      <c r="I386" s="180">
        <v>1920</v>
      </c>
      <c r="J386" s="180">
        <v>2770</v>
      </c>
      <c r="K386" s="180">
        <v>6087</v>
      </c>
      <c r="L386" s="180">
        <v>5241</v>
      </c>
      <c r="M386" s="181">
        <v>3580</v>
      </c>
      <c r="N386" s="182">
        <v>1674</v>
      </c>
      <c r="O386" s="180">
        <v>3504</v>
      </c>
      <c r="P386" s="180">
        <v>3227</v>
      </c>
      <c r="Q386" s="180">
        <v>3076</v>
      </c>
      <c r="R386" s="180">
        <v>1604</v>
      </c>
      <c r="S386" s="180">
        <v>3816</v>
      </c>
      <c r="T386" s="180">
        <v>3823</v>
      </c>
      <c r="U386" s="180">
        <v>3590</v>
      </c>
      <c r="V386" s="180">
        <v>3652</v>
      </c>
      <c r="W386" s="180">
        <v>3898</v>
      </c>
      <c r="X386" s="180">
        <v>3812</v>
      </c>
      <c r="Y386" s="180">
        <v>3549</v>
      </c>
      <c r="Z386" s="180">
        <v>3884</v>
      </c>
      <c r="AA386" s="180">
        <v>3687</v>
      </c>
      <c r="AB386" s="180">
        <v>3765</v>
      </c>
      <c r="AC386" s="180">
        <v>3513</v>
      </c>
      <c r="AD386" s="180">
        <v>1544</v>
      </c>
      <c r="AE386" s="180">
        <v>4108</v>
      </c>
      <c r="AF386" s="180">
        <v>4271</v>
      </c>
      <c r="AG386" s="183">
        <v>3829</v>
      </c>
    </row>
    <row r="387" spans="2:33" s="154" customFormat="1" ht="15" customHeight="1" outlineLevel="1">
      <c r="B387" s="173" t="s">
        <v>187</v>
      </c>
      <c r="C387" s="173" t="s">
        <v>315</v>
      </c>
      <c r="D387" s="179">
        <v>4373</v>
      </c>
      <c r="E387" s="180">
        <v>3544</v>
      </c>
      <c r="F387" s="180">
        <v>3158</v>
      </c>
      <c r="G387" s="180">
        <v>3040</v>
      </c>
      <c r="H387" s="180">
        <v>2649</v>
      </c>
      <c r="I387" s="180">
        <v>2486</v>
      </c>
      <c r="J387" s="180">
        <v>2032</v>
      </c>
      <c r="K387" s="180">
        <v>0</v>
      </c>
      <c r="L387" s="180">
        <v>0</v>
      </c>
      <c r="M387" s="181">
        <v>0</v>
      </c>
      <c r="N387" s="182">
        <v>4373</v>
      </c>
      <c r="O387" s="180">
        <v>4027</v>
      </c>
      <c r="P387" s="180">
        <v>3683</v>
      </c>
      <c r="Q387" s="180">
        <v>3582</v>
      </c>
      <c r="R387" s="180">
        <v>3544</v>
      </c>
      <c r="S387" s="180">
        <v>3465</v>
      </c>
      <c r="T387" s="180">
        <v>3427</v>
      </c>
      <c r="U387" s="180">
        <v>3282</v>
      </c>
      <c r="V387" s="180">
        <v>3158</v>
      </c>
      <c r="W387" s="180">
        <v>3093</v>
      </c>
      <c r="X387" s="180">
        <v>3009</v>
      </c>
      <c r="Y387" s="180">
        <v>2950</v>
      </c>
      <c r="Z387" s="180">
        <v>3040</v>
      </c>
      <c r="AA387" s="180">
        <v>2876</v>
      </c>
      <c r="AB387" s="180">
        <v>2775</v>
      </c>
      <c r="AC387" s="180">
        <v>2683</v>
      </c>
      <c r="AD387" s="180">
        <v>2649</v>
      </c>
      <c r="AE387" s="180">
        <v>2572</v>
      </c>
      <c r="AF387" s="180">
        <v>2572</v>
      </c>
      <c r="AG387" s="183">
        <v>2518</v>
      </c>
    </row>
    <row r="388" spans="2:33" s="154" customFormat="1" ht="15" customHeight="1" outlineLevel="1">
      <c r="B388" s="173" t="s">
        <v>187</v>
      </c>
      <c r="C388" s="173" t="s">
        <v>316</v>
      </c>
      <c r="D388" s="179">
        <v>0</v>
      </c>
      <c r="E388" s="180">
        <v>0</v>
      </c>
      <c r="F388" s="180">
        <v>0</v>
      </c>
      <c r="G388" s="180">
        <v>0</v>
      </c>
      <c r="H388" s="180">
        <v>0</v>
      </c>
      <c r="I388" s="180">
        <v>0</v>
      </c>
      <c r="J388" s="180">
        <v>0</v>
      </c>
      <c r="K388" s="180">
        <v>0</v>
      </c>
      <c r="L388" s="180">
        <v>0</v>
      </c>
      <c r="M388" s="181">
        <v>0</v>
      </c>
      <c r="N388" s="182">
        <v>0</v>
      </c>
      <c r="O388" s="180">
        <v>0</v>
      </c>
      <c r="P388" s="180">
        <v>0</v>
      </c>
      <c r="Q388" s="180">
        <v>0</v>
      </c>
      <c r="R388" s="180">
        <v>0</v>
      </c>
      <c r="S388" s="180">
        <v>0</v>
      </c>
      <c r="T388" s="180">
        <v>0</v>
      </c>
      <c r="U388" s="180">
        <v>0</v>
      </c>
      <c r="V388" s="180">
        <v>0</v>
      </c>
      <c r="W388" s="180">
        <v>0</v>
      </c>
      <c r="X388" s="180">
        <v>0</v>
      </c>
      <c r="Y388" s="180">
        <v>0</v>
      </c>
      <c r="Z388" s="180">
        <v>0</v>
      </c>
      <c r="AA388" s="180">
        <v>0</v>
      </c>
      <c r="AB388" s="180">
        <v>0</v>
      </c>
      <c r="AC388" s="180">
        <v>0</v>
      </c>
      <c r="AD388" s="180">
        <v>0</v>
      </c>
      <c r="AE388" s="180">
        <v>0</v>
      </c>
      <c r="AF388" s="180">
        <v>0</v>
      </c>
      <c r="AG388" s="183">
        <v>0</v>
      </c>
    </row>
    <row r="389" spans="2:33" s="154" customFormat="1" ht="15" customHeight="1" outlineLevel="1">
      <c r="B389" s="173" t="s">
        <v>187</v>
      </c>
      <c r="C389" s="173" t="s">
        <v>317</v>
      </c>
      <c r="D389" s="179">
        <v>1970</v>
      </c>
      <c r="E389" s="180">
        <v>2330</v>
      </c>
      <c r="F389" s="180">
        <v>529</v>
      </c>
      <c r="G389" s="180">
        <v>0</v>
      </c>
      <c r="H389" s="180">
        <v>2244</v>
      </c>
      <c r="I389" s="180">
        <v>2403</v>
      </c>
      <c r="J389" s="180">
        <v>2371</v>
      </c>
      <c r="K389" s="180">
        <v>0</v>
      </c>
      <c r="L389" s="180">
        <v>0</v>
      </c>
      <c r="M389" s="181">
        <v>0</v>
      </c>
      <c r="N389" s="182">
        <v>1970</v>
      </c>
      <c r="O389" s="180">
        <v>0</v>
      </c>
      <c r="P389" s="180">
        <v>0</v>
      </c>
      <c r="Q389" s="180">
        <v>0</v>
      </c>
      <c r="R389" s="180">
        <v>2330</v>
      </c>
      <c r="S389" s="180">
        <v>0</v>
      </c>
      <c r="T389" s="180">
        <v>0</v>
      </c>
      <c r="U389" s="180">
        <v>0</v>
      </c>
      <c r="V389" s="180">
        <v>529</v>
      </c>
      <c r="W389" s="180">
        <v>0</v>
      </c>
      <c r="X389" s="180">
        <v>0</v>
      </c>
      <c r="Y389" s="180">
        <v>0</v>
      </c>
      <c r="Z389" s="180">
        <v>0</v>
      </c>
      <c r="AA389" s="180">
        <v>0</v>
      </c>
      <c r="AB389" s="180">
        <v>0</v>
      </c>
      <c r="AC389" s="180">
        <v>0</v>
      </c>
      <c r="AD389" s="180">
        <v>2244</v>
      </c>
      <c r="AE389" s="180">
        <v>0</v>
      </c>
      <c r="AF389" s="180">
        <v>0</v>
      </c>
      <c r="AG389" s="183">
        <v>0</v>
      </c>
    </row>
    <row r="390" spans="2:33" s="154" customFormat="1" ht="15" customHeight="1" outlineLevel="1">
      <c r="B390" s="173" t="s">
        <v>187</v>
      </c>
      <c r="C390" s="173" t="s">
        <v>318</v>
      </c>
      <c r="D390" s="179">
        <v>23439</v>
      </c>
      <c r="E390" s="180">
        <v>22001</v>
      </c>
      <c r="F390" s="180">
        <v>19483</v>
      </c>
      <c r="G390" s="180">
        <v>18960</v>
      </c>
      <c r="H390" s="180">
        <v>14859</v>
      </c>
      <c r="I390" s="180">
        <v>18526</v>
      </c>
      <c r="J390" s="180">
        <v>17791</v>
      </c>
      <c r="K390" s="180">
        <v>15927</v>
      </c>
      <c r="L390" s="180">
        <v>14136</v>
      </c>
      <c r="M390" s="181">
        <v>10896</v>
      </c>
      <c r="N390" s="182">
        <v>23439</v>
      </c>
      <c r="O390" s="180">
        <v>21811</v>
      </c>
      <c r="P390" s="180">
        <v>20712</v>
      </c>
      <c r="Q390" s="180">
        <v>20814</v>
      </c>
      <c r="R390" s="180">
        <v>22001</v>
      </c>
      <c r="S390" s="180">
        <v>20219</v>
      </c>
      <c r="T390" s="180">
        <v>20194</v>
      </c>
      <c r="U390" s="180">
        <v>18130</v>
      </c>
      <c r="V390" s="180">
        <v>19483</v>
      </c>
      <c r="W390" s="180">
        <v>19095</v>
      </c>
      <c r="X390" s="180">
        <v>20913</v>
      </c>
      <c r="Y390" s="180">
        <v>18980</v>
      </c>
      <c r="Z390" s="180">
        <v>18960</v>
      </c>
      <c r="AA390" s="180">
        <v>16861</v>
      </c>
      <c r="AB390" s="180">
        <v>16287</v>
      </c>
      <c r="AC390" s="180">
        <v>14141</v>
      </c>
      <c r="AD390" s="180">
        <v>14859</v>
      </c>
      <c r="AE390" s="180">
        <v>16421</v>
      </c>
      <c r="AF390" s="180">
        <v>18187</v>
      </c>
      <c r="AG390" s="183">
        <v>17369</v>
      </c>
    </row>
    <row r="391" spans="2:33" s="154" customFormat="1" ht="15" customHeight="1" outlineLevel="1">
      <c r="B391" s="173" t="s">
        <v>187</v>
      </c>
      <c r="C391" s="173" t="s">
        <v>319</v>
      </c>
      <c r="D391" s="179">
        <v>5242</v>
      </c>
      <c r="E391" s="180">
        <v>6387</v>
      </c>
      <c r="F391" s="180">
        <v>5146</v>
      </c>
      <c r="G391" s="180">
        <v>3417</v>
      </c>
      <c r="H391" s="180">
        <v>1898</v>
      </c>
      <c r="I391" s="180">
        <v>362</v>
      </c>
      <c r="J391" s="180">
        <v>569</v>
      </c>
      <c r="K391" s="180">
        <v>504</v>
      </c>
      <c r="L391" s="180">
        <v>505</v>
      </c>
      <c r="M391" s="181">
        <v>505</v>
      </c>
      <c r="N391" s="182">
        <v>5242</v>
      </c>
      <c r="O391" s="180">
        <v>5310</v>
      </c>
      <c r="P391" s="180">
        <v>5832</v>
      </c>
      <c r="Q391" s="180">
        <v>5813</v>
      </c>
      <c r="R391" s="180">
        <v>6387</v>
      </c>
      <c r="S391" s="180">
        <v>6430</v>
      </c>
      <c r="T391" s="180">
        <v>6424</v>
      </c>
      <c r="U391" s="180">
        <v>6794</v>
      </c>
      <c r="V391" s="180">
        <v>5146</v>
      </c>
      <c r="W391" s="180">
        <v>5168</v>
      </c>
      <c r="X391" s="180">
        <v>3623</v>
      </c>
      <c r="Y391" s="180">
        <v>3582</v>
      </c>
      <c r="Z391" s="180">
        <v>3417</v>
      </c>
      <c r="AA391" s="180">
        <v>3442</v>
      </c>
      <c r="AB391" s="180">
        <v>3394</v>
      </c>
      <c r="AC391" s="180">
        <v>2396</v>
      </c>
      <c r="AD391" s="180">
        <v>1898</v>
      </c>
      <c r="AE391" s="180">
        <v>1851</v>
      </c>
      <c r="AF391" s="180">
        <v>1840</v>
      </c>
      <c r="AG391" s="183">
        <v>1848</v>
      </c>
    </row>
    <row r="392" spans="2:33" s="154" customFormat="1" ht="15" customHeight="1" outlineLevel="1">
      <c r="B392" s="173" t="s">
        <v>187</v>
      </c>
      <c r="C392" s="173" t="s">
        <v>320</v>
      </c>
      <c r="D392" s="179">
        <v>0</v>
      </c>
      <c r="E392" s="180">
        <v>0</v>
      </c>
      <c r="F392" s="180">
        <v>0</v>
      </c>
      <c r="G392" s="180">
        <v>0</v>
      </c>
      <c r="H392" s="180">
        <v>0</v>
      </c>
      <c r="I392" s="180">
        <v>0</v>
      </c>
      <c r="J392" s="180">
        <v>0</v>
      </c>
      <c r="K392" s="180">
        <v>0</v>
      </c>
      <c r="L392" s="180">
        <v>0</v>
      </c>
      <c r="M392" s="181">
        <v>0</v>
      </c>
      <c r="N392" s="182">
        <v>0</v>
      </c>
      <c r="O392" s="180">
        <v>0</v>
      </c>
      <c r="P392" s="180">
        <v>0</v>
      </c>
      <c r="Q392" s="180">
        <v>0</v>
      </c>
      <c r="R392" s="180">
        <v>0</v>
      </c>
      <c r="S392" s="180">
        <v>0</v>
      </c>
      <c r="T392" s="180">
        <v>0</v>
      </c>
      <c r="U392" s="180">
        <v>0</v>
      </c>
      <c r="V392" s="180">
        <v>0</v>
      </c>
      <c r="W392" s="180">
        <v>0</v>
      </c>
      <c r="X392" s="180">
        <v>0</v>
      </c>
      <c r="Y392" s="180">
        <v>0</v>
      </c>
      <c r="Z392" s="180">
        <v>0</v>
      </c>
      <c r="AA392" s="180">
        <v>0</v>
      </c>
      <c r="AB392" s="180">
        <v>0</v>
      </c>
      <c r="AC392" s="180">
        <v>0</v>
      </c>
      <c r="AD392" s="180">
        <v>0</v>
      </c>
      <c r="AE392" s="180">
        <v>0</v>
      </c>
      <c r="AF392" s="180">
        <v>0</v>
      </c>
      <c r="AG392" s="183">
        <v>0</v>
      </c>
    </row>
    <row r="393" spans="2:33" s="154" customFormat="1" ht="15" customHeight="1" outlineLevel="1">
      <c r="B393" s="173" t="s">
        <v>187</v>
      </c>
      <c r="C393" s="173" t="s">
        <v>321</v>
      </c>
      <c r="D393" s="179">
        <v>0</v>
      </c>
      <c r="E393" s="180">
        <v>405</v>
      </c>
      <c r="F393" s="180">
        <v>0</v>
      </c>
      <c r="G393" s="180">
        <v>0</v>
      </c>
      <c r="H393" s="180">
        <v>0</v>
      </c>
      <c r="I393" s="180">
        <v>0</v>
      </c>
      <c r="J393" s="180">
        <v>0</v>
      </c>
      <c r="K393" s="180">
        <v>0</v>
      </c>
      <c r="L393" s="180">
        <v>0</v>
      </c>
      <c r="M393" s="181">
        <v>0</v>
      </c>
      <c r="N393" s="182">
        <v>0</v>
      </c>
      <c r="O393" s="180">
        <v>0</v>
      </c>
      <c r="P393" s="180">
        <v>0</v>
      </c>
      <c r="Q393" s="180">
        <v>0</v>
      </c>
      <c r="R393" s="180">
        <v>405</v>
      </c>
      <c r="S393" s="180">
        <v>0</v>
      </c>
      <c r="T393" s="180">
        <v>0</v>
      </c>
      <c r="U393" s="180">
        <v>0</v>
      </c>
      <c r="V393" s="180">
        <v>0</v>
      </c>
      <c r="W393" s="180">
        <v>0</v>
      </c>
      <c r="X393" s="180">
        <v>0</v>
      </c>
      <c r="Y393" s="180">
        <v>0</v>
      </c>
      <c r="Z393" s="180">
        <v>0</v>
      </c>
      <c r="AA393" s="180">
        <v>0</v>
      </c>
      <c r="AB393" s="180">
        <v>0</v>
      </c>
      <c r="AC393" s="180">
        <v>0</v>
      </c>
      <c r="AD393" s="180">
        <v>0</v>
      </c>
      <c r="AE393" s="180">
        <v>0</v>
      </c>
      <c r="AF393" s="180">
        <v>0</v>
      </c>
      <c r="AG393" s="183">
        <v>0</v>
      </c>
    </row>
    <row r="394" spans="2:33" s="154" customFormat="1" ht="15" customHeight="1" outlineLevel="1">
      <c r="B394" s="173" t="s">
        <v>187</v>
      </c>
      <c r="C394" s="173" t="s">
        <v>322</v>
      </c>
      <c r="D394" s="179">
        <v>8158</v>
      </c>
      <c r="E394" s="180">
        <v>6823</v>
      </c>
      <c r="F394" s="180">
        <v>6204</v>
      </c>
      <c r="G394" s="180">
        <v>5634</v>
      </c>
      <c r="H394" s="180">
        <v>5472</v>
      </c>
      <c r="I394" s="180">
        <v>4938</v>
      </c>
      <c r="J394" s="180">
        <v>2947</v>
      </c>
      <c r="K394" s="180">
        <v>2549</v>
      </c>
      <c r="L394" s="180">
        <v>2089</v>
      </c>
      <c r="M394" s="181">
        <v>1630</v>
      </c>
      <c r="N394" s="182">
        <v>8158</v>
      </c>
      <c r="O394" s="180">
        <v>8127</v>
      </c>
      <c r="P394" s="180">
        <v>7807</v>
      </c>
      <c r="Q394" s="180">
        <v>7305</v>
      </c>
      <c r="R394" s="180">
        <v>6823</v>
      </c>
      <c r="S394" s="180">
        <v>6731</v>
      </c>
      <c r="T394" s="180">
        <v>6650</v>
      </c>
      <c r="U394" s="180">
        <v>6494</v>
      </c>
      <c r="V394" s="180">
        <v>6204</v>
      </c>
      <c r="W394" s="180">
        <v>6078</v>
      </c>
      <c r="X394" s="180">
        <v>5943</v>
      </c>
      <c r="Y394" s="180">
        <v>5801</v>
      </c>
      <c r="Z394" s="180">
        <v>5634</v>
      </c>
      <c r="AA394" s="180">
        <v>5697</v>
      </c>
      <c r="AB394" s="180">
        <v>5752</v>
      </c>
      <c r="AC394" s="180">
        <v>5422</v>
      </c>
      <c r="AD394" s="180">
        <v>5472</v>
      </c>
      <c r="AE394" s="180">
        <v>5386</v>
      </c>
      <c r="AF394" s="180">
        <v>5557</v>
      </c>
      <c r="AG394" s="183">
        <v>5348</v>
      </c>
    </row>
    <row r="395" spans="2:33" s="154" customFormat="1" ht="15" customHeight="1" outlineLevel="1">
      <c r="B395" s="173" t="s">
        <v>187</v>
      </c>
      <c r="C395" s="173" t="s">
        <v>323</v>
      </c>
      <c r="D395" s="179">
        <v>21</v>
      </c>
      <c r="E395" s="180">
        <v>0</v>
      </c>
      <c r="F395" s="180">
        <v>0</v>
      </c>
      <c r="G395" s="180">
        <v>0</v>
      </c>
      <c r="H395" s="180">
        <v>0</v>
      </c>
      <c r="I395" s="180">
        <v>0</v>
      </c>
      <c r="J395" s="180">
        <v>0</v>
      </c>
      <c r="K395" s="180">
        <v>0</v>
      </c>
      <c r="L395" s="180">
        <v>0</v>
      </c>
      <c r="M395" s="181">
        <v>0</v>
      </c>
      <c r="N395" s="182">
        <v>21</v>
      </c>
      <c r="O395" s="180">
        <v>21</v>
      </c>
      <c r="P395" s="180">
        <v>0</v>
      </c>
      <c r="Q395" s="180">
        <v>0</v>
      </c>
      <c r="R395" s="180">
        <v>0</v>
      </c>
      <c r="S395" s="180">
        <v>0</v>
      </c>
      <c r="T395" s="180">
        <v>0</v>
      </c>
      <c r="U395" s="180">
        <v>0</v>
      </c>
      <c r="V395" s="180">
        <v>0</v>
      </c>
      <c r="W395" s="180">
        <v>0</v>
      </c>
      <c r="X395" s="180">
        <v>0</v>
      </c>
      <c r="Y395" s="180">
        <v>0</v>
      </c>
      <c r="Z395" s="180">
        <v>0</v>
      </c>
      <c r="AA395" s="180">
        <v>0</v>
      </c>
      <c r="AB395" s="180">
        <v>0</v>
      </c>
      <c r="AC395" s="180">
        <v>0</v>
      </c>
      <c r="AD395" s="180">
        <v>0</v>
      </c>
      <c r="AE395" s="180">
        <v>0</v>
      </c>
      <c r="AF395" s="180">
        <v>0</v>
      </c>
      <c r="AG395" s="183">
        <v>0</v>
      </c>
    </row>
    <row r="396" spans="2:33" s="154" customFormat="1" ht="15" customHeight="1" outlineLevel="1">
      <c r="B396" s="173" t="s">
        <v>187</v>
      </c>
      <c r="C396" s="173" t="s">
        <v>324</v>
      </c>
      <c r="D396" s="179">
        <v>0</v>
      </c>
      <c r="E396" s="180">
        <v>0</v>
      </c>
      <c r="F396" s="180">
        <v>0</v>
      </c>
      <c r="G396" s="180">
        <v>0</v>
      </c>
      <c r="H396" s="180">
        <v>0</v>
      </c>
      <c r="I396" s="180">
        <v>0</v>
      </c>
      <c r="J396" s="180">
        <v>0</v>
      </c>
      <c r="K396" s="180">
        <v>0</v>
      </c>
      <c r="L396" s="180">
        <v>0</v>
      </c>
      <c r="M396" s="181">
        <v>0</v>
      </c>
      <c r="N396" s="182">
        <v>0</v>
      </c>
      <c r="O396" s="180">
        <v>0</v>
      </c>
      <c r="P396" s="180">
        <v>0</v>
      </c>
      <c r="Q396" s="180">
        <v>0</v>
      </c>
      <c r="R396" s="180">
        <v>0</v>
      </c>
      <c r="S396" s="180">
        <v>0</v>
      </c>
      <c r="T396" s="180">
        <v>0</v>
      </c>
      <c r="U396" s="180">
        <v>0</v>
      </c>
      <c r="V396" s="180">
        <v>0</v>
      </c>
      <c r="W396" s="180">
        <v>0</v>
      </c>
      <c r="X396" s="180">
        <v>0</v>
      </c>
      <c r="Y396" s="180">
        <v>0</v>
      </c>
      <c r="Z396" s="180">
        <v>0</v>
      </c>
      <c r="AA396" s="180">
        <v>0</v>
      </c>
      <c r="AB396" s="180">
        <v>0</v>
      </c>
      <c r="AC396" s="180">
        <v>0</v>
      </c>
      <c r="AD396" s="180">
        <v>0</v>
      </c>
      <c r="AE396" s="180">
        <v>0</v>
      </c>
      <c r="AF396" s="180">
        <v>0</v>
      </c>
      <c r="AG396" s="183">
        <v>0</v>
      </c>
    </row>
    <row r="397" spans="2:33" s="154" customFormat="1" ht="15" customHeight="1" outlineLevel="1">
      <c r="B397" s="173" t="s">
        <v>187</v>
      </c>
      <c r="C397" s="173" t="s">
        <v>325</v>
      </c>
      <c r="D397" s="179">
        <v>0</v>
      </c>
      <c r="E397" s="180">
        <v>0</v>
      </c>
      <c r="F397" s="180">
        <v>0</v>
      </c>
      <c r="G397" s="180">
        <v>0</v>
      </c>
      <c r="H397" s="180">
        <v>0</v>
      </c>
      <c r="I397" s="180">
        <v>0</v>
      </c>
      <c r="J397" s="180">
        <v>0</v>
      </c>
      <c r="K397" s="180">
        <v>0</v>
      </c>
      <c r="L397" s="180">
        <v>0</v>
      </c>
      <c r="M397" s="181">
        <v>0</v>
      </c>
      <c r="N397" s="182">
        <v>0</v>
      </c>
      <c r="O397" s="180">
        <v>0</v>
      </c>
      <c r="P397" s="180">
        <v>0</v>
      </c>
      <c r="Q397" s="180">
        <v>0</v>
      </c>
      <c r="R397" s="180">
        <v>0</v>
      </c>
      <c r="S397" s="180">
        <v>0</v>
      </c>
      <c r="T397" s="180">
        <v>0</v>
      </c>
      <c r="U397" s="180">
        <v>0</v>
      </c>
      <c r="V397" s="180">
        <v>0</v>
      </c>
      <c r="W397" s="180">
        <v>0</v>
      </c>
      <c r="X397" s="180">
        <v>0</v>
      </c>
      <c r="Y397" s="180">
        <v>0</v>
      </c>
      <c r="Z397" s="180">
        <v>0</v>
      </c>
      <c r="AA397" s="180">
        <v>0</v>
      </c>
      <c r="AB397" s="180">
        <v>0</v>
      </c>
      <c r="AC397" s="180">
        <v>0</v>
      </c>
      <c r="AD397" s="180">
        <v>0</v>
      </c>
      <c r="AE397" s="180">
        <v>0</v>
      </c>
      <c r="AF397" s="180">
        <v>0</v>
      </c>
      <c r="AG397" s="183">
        <v>0</v>
      </c>
    </row>
    <row r="398" spans="2:33" s="154" customFormat="1" ht="15" customHeight="1" outlineLevel="1">
      <c r="B398" s="173" t="s">
        <v>187</v>
      </c>
      <c r="C398" s="173" t="s">
        <v>326</v>
      </c>
      <c r="D398" s="179">
        <v>13421</v>
      </c>
      <c r="E398" s="180">
        <v>13615</v>
      </c>
      <c r="F398" s="180">
        <v>11350</v>
      </c>
      <c r="G398" s="180">
        <v>9051</v>
      </c>
      <c r="H398" s="180">
        <v>7370</v>
      </c>
      <c r="I398" s="180">
        <v>5300</v>
      </c>
      <c r="J398" s="180">
        <v>3516</v>
      </c>
      <c r="K398" s="180">
        <v>3053</v>
      </c>
      <c r="L398" s="180">
        <v>2594</v>
      </c>
      <c r="M398" s="181">
        <v>2135</v>
      </c>
      <c r="N398" s="182">
        <v>13421</v>
      </c>
      <c r="O398" s="180">
        <v>13458</v>
      </c>
      <c r="P398" s="180">
        <v>13639</v>
      </c>
      <c r="Q398" s="180">
        <v>13118</v>
      </c>
      <c r="R398" s="180">
        <v>13615</v>
      </c>
      <c r="S398" s="180">
        <v>13161</v>
      </c>
      <c r="T398" s="180">
        <v>13074</v>
      </c>
      <c r="U398" s="180">
        <v>13288</v>
      </c>
      <c r="V398" s="180">
        <v>11350</v>
      </c>
      <c r="W398" s="180">
        <v>11246</v>
      </c>
      <c r="X398" s="180">
        <v>9566</v>
      </c>
      <c r="Y398" s="180">
        <v>9383</v>
      </c>
      <c r="Z398" s="180">
        <v>9051</v>
      </c>
      <c r="AA398" s="180">
        <v>9139</v>
      </c>
      <c r="AB398" s="180">
        <v>9146</v>
      </c>
      <c r="AC398" s="180">
        <v>7818</v>
      </c>
      <c r="AD398" s="180">
        <v>7370</v>
      </c>
      <c r="AE398" s="180">
        <v>7237</v>
      </c>
      <c r="AF398" s="180">
        <v>7397</v>
      </c>
      <c r="AG398" s="183">
        <v>7196</v>
      </c>
    </row>
    <row r="399" spans="2:33" s="154" customFormat="1" ht="15" customHeight="1" outlineLevel="1">
      <c r="B399" s="173" t="s">
        <v>187</v>
      </c>
      <c r="C399" s="173" t="s">
        <v>327</v>
      </c>
      <c r="D399" s="179">
        <v>36860</v>
      </c>
      <c r="E399" s="180">
        <v>35616</v>
      </c>
      <c r="F399" s="180">
        <v>30833</v>
      </c>
      <c r="G399" s="180">
        <v>28011</v>
      </c>
      <c r="H399" s="180">
        <v>22229</v>
      </c>
      <c r="I399" s="180">
        <v>23826</v>
      </c>
      <c r="J399" s="180">
        <v>21307</v>
      </c>
      <c r="K399" s="180">
        <v>18980</v>
      </c>
      <c r="L399" s="180">
        <v>16730</v>
      </c>
      <c r="M399" s="181">
        <v>13031</v>
      </c>
      <c r="N399" s="182">
        <v>36860</v>
      </c>
      <c r="O399" s="180">
        <v>35269</v>
      </c>
      <c r="P399" s="180">
        <v>34351</v>
      </c>
      <c r="Q399" s="180">
        <v>33932</v>
      </c>
      <c r="R399" s="180">
        <v>35616</v>
      </c>
      <c r="S399" s="180">
        <v>33380</v>
      </c>
      <c r="T399" s="180">
        <v>33268</v>
      </c>
      <c r="U399" s="180">
        <v>31418</v>
      </c>
      <c r="V399" s="180">
        <v>30833</v>
      </c>
      <c r="W399" s="180">
        <v>30341</v>
      </c>
      <c r="X399" s="180">
        <v>30479</v>
      </c>
      <c r="Y399" s="180">
        <v>28363</v>
      </c>
      <c r="Z399" s="180">
        <v>28011</v>
      </c>
      <c r="AA399" s="180">
        <v>26000</v>
      </c>
      <c r="AB399" s="180">
        <v>25433</v>
      </c>
      <c r="AC399" s="180">
        <v>21959</v>
      </c>
      <c r="AD399" s="180">
        <v>22229</v>
      </c>
      <c r="AE399" s="180">
        <v>23658</v>
      </c>
      <c r="AF399" s="180">
        <v>25584</v>
      </c>
      <c r="AG399" s="183">
        <v>24565</v>
      </c>
    </row>
    <row r="400" spans="2:33" s="154" customFormat="1" ht="15" customHeight="1" outlineLevel="1">
      <c r="B400" s="173" t="s">
        <v>187</v>
      </c>
      <c r="C400" s="173" t="s">
        <v>328</v>
      </c>
      <c r="D400" s="179">
        <v>0</v>
      </c>
      <c r="E400" s="180">
        <v>0</v>
      </c>
      <c r="F400" s="180">
        <v>0</v>
      </c>
      <c r="G400" s="180">
        <v>0</v>
      </c>
      <c r="H400" s="180">
        <v>0</v>
      </c>
      <c r="I400" s="180">
        <v>0</v>
      </c>
      <c r="J400" s="180">
        <v>0</v>
      </c>
      <c r="K400" s="180">
        <v>0</v>
      </c>
      <c r="L400" s="180">
        <v>0</v>
      </c>
      <c r="M400" s="181">
        <v>0</v>
      </c>
      <c r="N400" s="182">
        <v>0</v>
      </c>
      <c r="O400" s="180">
        <v>0</v>
      </c>
      <c r="P400" s="180">
        <v>0</v>
      </c>
      <c r="Q400" s="180">
        <v>0</v>
      </c>
      <c r="R400" s="180">
        <v>0</v>
      </c>
      <c r="S400" s="180">
        <v>0</v>
      </c>
      <c r="T400" s="180">
        <v>0</v>
      </c>
      <c r="U400" s="180">
        <v>0</v>
      </c>
      <c r="V400" s="180">
        <v>0</v>
      </c>
      <c r="W400" s="180">
        <v>0</v>
      </c>
      <c r="X400" s="180">
        <v>0</v>
      </c>
      <c r="Y400" s="180">
        <v>0</v>
      </c>
      <c r="Z400" s="180">
        <v>0</v>
      </c>
      <c r="AA400" s="180">
        <v>0</v>
      </c>
      <c r="AB400" s="180">
        <v>0</v>
      </c>
      <c r="AC400" s="180">
        <v>0</v>
      </c>
      <c r="AD400" s="180">
        <v>0</v>
      </c>
      <c r="AE400" s="180">
        <v>0</v>
      </c>
      <c r="AF400" s="180">
        <v>0</v>
      </c>
      <c r="AG400" s="183">
        <v>0</v>
      </c>
    </row>
    <row r="401" spans="2:33" s="154" customFormat="1" ht="15" customHeight="1" outlineLevel="1">
      <c r="B401" s="173" t="s">
        <v>187</v>
      </c>
      <c r="C401" s="173" t="s">
        <v>329</v>
      </c>
      <c r="D401" s="179">
        <v>10680</v>
      </c>
      <c r="E401" s="180">
        <v>8917</v>
      </c>
      <c r="F401" s="180">
        <v>7766</v>
      </c>
      <c r="G401" s="180">
        <v>5641</v>
      </c>
      <c r="H401" s="180">
        <v>4271</v>
      </c>
      <c r="I401" s="180">
        <v>3735</v>
      </c>
      <c r="J401" s="180">
        <v>4328</v>
      </c>
      <c r="K401" s="180">
        <v>4129</v>
      </c>
      <c r="L401" s="180">
        <v>6485</v>
      </c>
      <c r="M401" s="181">
        <v>6280</v>
      </c>
      <c r="N401" s="182">
        <v>10680</v>
      </c>
      <c r="O401" s="180">
        <v>10177</v>
      </c>
      <c r="P401" s="180">
        <v>9746</v>
      </c>
      <c r="Q401" s="180">
        <v>9357</v>
      </c>
      <c r="R401" s="180">
        <v>8917</v>
      </c>
      <c r="S401" s="180">
        <v>8663</v>
      </c>
      <c r="T401" s="180">
        <v>8336</v>
      </c>
      <c r="U401" s="180">
        <v>8370</v>
      </c>
      <c r="V401" s="180">
        <v>7766</v>
      </c>
      <c r="W401" s="180">
        <v>6813</v>
      </c>
      <c r="X401" s="180">
        <v>6161</v>
      </c>
      <c r="Y401" s="180">
        <v>5878</v>
      </c>
      <c r="Z401" s="180">
        <v>5641</v>
      </c>
      <c r="AA401" s="180">
        <v>5025</v>
      </c>
      <c r="AB401" s="180">
        <v>4625</v>
      </c>
      <c r="AC401" s="180">
        <v>4230</v>
      </c>
      <c r="AD401" s="180">
        <v>4271</v>
      </c>
      <c r="AE401" s="180">
        <v>4159</v>
      </c>
      <c r="AF401" s="180">
        <v>2823</v>
      </c>
      <c r="AG401" s="183">
        <v>3454</v>
      </c>
    </row>
    <row r="402" spans="2:33" s="154" customFormat="1" ht="15" customHeight="1" outlineLevel="1">
      <c r="B402" s="173" t="s">
        <v>187</v>
      </c>
      <c r="C402" s="173" t="s">
        <v>330</v>
      </c>
      <c r="D402" s="179">
        <v>12554</v>
      </c>
      <c r="E402" s="180">
        <v>12187</v>
      </c>
      <c r="F402" s="180">
        <v>11797</v>
      </c>
      <c r="G402" s="180">
        <v>11472</v>
      </c>
      <c r="H402" s="180">
        <v>0</v>
      </c>
      <c r="I402" s="180">
        <v>0</v>
      </c>
      <c r="J402" s="180">
        <v>0</v>
      </c>
      <c r="K402" s="180">
        <v>9540</v>
      </c>
      <c r="L402" s="180">
        <v>8195</v>
      </c>
      <c r="M402" s="181">
        <v>6823</v>
      </c>
      <c r="N402" s="182">
        <v>12554</v>
      </c>
      <c r="O402" s="180">
        <v>12489</v>
      </c>
      <c r="P402" s="180">
        <v>12409</v>
      </c>
      <c r="Q402" s="180">
        <v>12313</v>
      </c>
      <c r="R402" s="180">
        <v>12187</v>
      </c>
      <c r="S402" s="180">
        <v>12071</v>
      </c>
      <c r="T402" s="180">
        <v>11992</v>
      </c>
      <c r="U402" s="180">
        <v>11900</v>
      </c>
      <c r="V402" s="180">
        <v>11797</v>
      </c>
      <c r="W402" s="180">
        <v>11674</v>
      </c>
      <c r="X402" s="180">
        <v>11608</v>
      </c>
      <c r="Y402" s="180">
        <v>11534</v>
      </c>
      <c r="Z402" s="180">
        <v>11472</v>
      </c>
      <c r="AA402" s="180">
        <v>11351</v>
      </c>
      <c r="AB402" s="180">
        <v>11289</v>
      </c>
      <c r="AC402" s="180">
        <v>11224</v>
      </c>
      <c r="AD402" s="180">
        <v>0</v>
      </c>
      <c r="AE402" s="180">
        <v>0</v>
      </c>
      <c r="AF402" s="180">
        <v>0</v>
      </c>
      <c r="AG402" s="183">
        <v>0</v>
      </c>
    </row>
    <row r="403" spans="2:33" s="154" customFormat="1" ht="15" customHeight="1" outlineLevel="1">
      <c r="B403" s="173" t="s">
        <v>187</v>
      </c>
      <c r="C403" s="173" t="s">
        <v>331</v>
      </c>
      <c r="D403" s="179">
        <v>0</v>
      </c>
      <c r="E403" s="180">
        <v>0</v>
      </c>
      <c r="F403" s="180">
        <v>0</v>
      </c>
      <c r="G403" s="180">
        <v>0</v>
      </c>
      <c r="H403" s="180">
        <v>11189</v>
      </c>
      <c r="I403" s="180">
        <v>10589</v>
      </c>
      <c r="J403" s="180">
        <v>10107</v>
      </c>
      <c r="K403" s="180">
        <v>0</v>
      </c>
      <c r="L403" s="180">
        <v>0</v>
      </c>
      <c r="M403" s="181">
        <v>0</v>
      </c>
      <c r="N403" s="182">
        <v>0</v>
      </c>
      <c r="O403" s="180">
        <v>0</v>
      </c>
      <c r="P403" s="180">
        <v>0</v>
      </c>
      <c r="Q403" s="180">
        <v>0</v>
      </c>
      <c r="R403" s="180">
        <v>0</v>
      </c>
      <c r="S403" s="180">
        <v>0</v>
      </c>
      <c r="T403" s="180">
        <v>0</v>
      </c>
      <c r="U403" s="180">
        <v>0</v>
      </c>
      <c r="V403" s="180">
        <v>0</v>
      </c>
      <c r="W403" s="180">
        <v>0</v>
      </c>
      <c r="X403" s="180">
        <v>0</v>
      </c>
      <c r="Y403" s="180">
        <v>0</v>
      </c>
      <c r="Z403" s="180">
        <v>0</v>
      </c>
      <c r="AA403" s="180">
        <v>0</v>
      </c>
      <c r="AB403" s="180">
        <v>0</v>
      </c>
      <c r="AC403" s="180">
        <v>0</v>
      </c>
      <c r="AD403" s="180">
        <v>11189</v>
      </c>
      <c r="AE403" s="180">
        <v>10945</v>
      </c>
      <c r="AF403" s="180">
        <v>10781</v>
      </c>
      <c r="AG403" s="183">
        <v>10652</v>
      </c>
    </row>
    <row r="404" spans="2:33" s="154" customFormat="1" ht="15" customHeight="1" outlineLevel="1">
      <c r="B404" s="173" t="s">
        <v>187</v>
      </c>
      <c r="C404" s="173" t="s">
        <v>332</v>
      </c>
      <c r="D404" s="179">
        <v>0</v>
      </c>
      <c r="E404" s="180">
        <v>0</v>
      </c>
      <c r="F404" s="180">
        <v>0</v>
      </c>
      <c r="G404" s="180">
        <v>0</v>
      </c>
      <c r="H404" s="180">
        <v>0</v>
      </c>
      <c r="I404" s="180">
        <v>0</v>
      </c>
      <c r="J404" s="180">
        <v>0</v>
      </c>
      <c r="K404" s="180">
        <v>0</v>
      </c>
      <c r="L404" s="180">
        <v>0</v>
      </c>
      <c r="M404" s="181">
        <v>0</v>
      </c>
      <c r="N404" s="182">
        <v>0</v>
      </c>
      <c r="O404" s="180">
        <v>0</v>
      </c>
      <c r="P404" s="180">
        <v>0</v>
      </c>
      <c r="Q404" s="180">
        <v>0</v>
      </c>
      <c r="R404" s="180">
        <v>0</v>
      </c>
      <c r="S404" s="180">
        <v>0</v>
      </c>
      <c r="T404" s="180">
        <v>0</v>
      </c>
      <c r="U404" s="180">
        <v>0</v>
      </c>
      <c r="V404" s="180">
        <v>0</v>
      </c>
      <c r="W404" s="180">
        <v>0</v>
      </c>
      <c r="X404" s="180">
        <v>0</v>
      </c>
      <c r="Y404" s="180">
        <v>0</v>
      </c>
      <c r="Z404" s="180">
        <v>0</v>
      </c>
      <c r="AA404" s="180">
        <v>0</v>
      </c>
      <c r="AB404" s="180">
        <v>0</v>
      </c>
      <c r="AC404" s="180">
        <v>0</v>
      </c>
      <c r="AD404" s="180">
        <v>0</v>
      </c>
      <c r="AE404" s="180">
        <v>0</v>
      </c>
      <c r="AF404" s="180">
        <v>0</v>
      </c>
      <c r="AG404" s="183">
        <v>0</v>
      </c>
    </row>
    <row r="405" spans="2:33" s="154" customFormat="1" ht="15" customHeight="1" outlineLevel="1">
      <c r="B405" s="173" t="s">
        <v>187</v>
      </c>
      <c r="C405" s="173" t="s">
        <v>333</v>
      </c>
      <c r="D405" s="179">
        <v>30330</v>
      </c>
      <c r="E405" s="180">
        <v>28236</v>
      </c>
      <c r="F405" s="180">
        <v>24744</v>
      </c>
      <c r="G405" s="180">
        <v>22110</v>
      </c>
      <c r="H405" s="180">
        <v>20677</v>
      </c>
      <c r="I405" s="180">
        <v>18199</v>
      </c>
      <c r="J405" s="180">
        <v>15282</v>
      </c>
      <c r="K405" s="180">
        <v>12746</v>
      </c>
      <c r="L405" s="180">
        <v>9174</v>
      </c>
      <c r="M405" s="181">
        <v>6131</v>
      </c>
      <c r="N405" s="182">
        <v>30330</v>
      </c>
      <c r="O405" s="180">
        <v>29939</v>
      </c>
      <c r="P405" s="180">
        <v>29603</v>
      </c>
      <c r="Q405" s="180">
        <v>28871</v>
      </c>
      <c r="R405" s="180">
        <v>28236</v>
      </c>
      <c r="S405" s="180">
        <v>27472</v>
      </c>
      <c r="T405" s="180">
        <v>26579</v>
      </c>
      <c r="U405" s="180">
        <v>25689</v>
      </c>
      <c r="V405" s="180">
        <v>24744</v>
      </c>
      <c r="W405" s="180">
        <v>23805</v>
      </c>
      <c r="X405" s="180">
        <v>22984</v>
      </c>
      <c r="Y405" s="180">
        <v>22439</v>
      </c>
      <c r="Z405" s="180">
        <v>22110</v>
      </c>
      <c r="AA405" s="180">
        <v>21776</v>
      </c>
      <c r="AB405" s="180">
        <v>21439</v>
      </c>
      <c r="AC405" s="180">
        <v>20967</v>
      </c>
      <c r="AD405" s="180">
        <v>20677</v>
      </c>
      <c r="AE405" s="180">
        <v>20326</v>
      </c>
      <c r="AF405" s="180">
        <v>19599</v>
      </c>
      <c r="AG405" s="183">
        <v>18983</v>
      </c>
    </row>
    <row r="406" spans="2:33" s="154" customFormat="1" ht="15" customHeight="1" outlineLevel="1">
      <c r="B406" s="173" t="s">
        <v>187</v>
      </c>
      <c r="C406" s="173" t="s">
        <v>334</v>
      </c>
      <c r="D406" s="179">
        <v>-32145</v>
      </c>
      <c r="E406" s="180">
        <v>-31445</v>
      </c>
      <c r="F406" s="180">
        <v>-28704</v>
      </c>
      <c r="G406" s="180">
        <v>-27904</v>
      </c>
      <c r="H406" s="180">
        <v>-27904</v>
      </c>
      <c r="I406" s="180">
        <v>-25037</v>
      </c>
      <c r="J406" s="180">
        <v>-21033</v>
      </c>
      <c r="K406" s="180">
        <v>-18007</v>
      </c>
      <c r="L406" s="180">
        <v>-10758</v>
      </c>
      <c r="M406" s="181">
        <v>-6539</v>
      </c>
      <c r="N406" s="182">
        <v>-32145</v>
      </c>
      <c r="O406" s="180">
        <v>-32145</v>
      </c>
      <c r="P406" s="180">
        <v>-32145</v>
      </c>
      <c r="Q406" s="180">
        <v>-31745</v>
      </c>
      <c r="R406" s="180">
        <v>-31445</v>
      </c>
      <c r="S406" s="180">
        <v>-30884</v>
      </c>
      <c r="T406" s="180">
        <v>-30284</v>
      </c>
      <c r="U406" s="180">
        <v>-29154</v>
      </c>
      <c r="V406" s="180">
        <v>-28704</v>
      </c>
      <c r="W406" s="180">
        <v>-28504</v>
      </c>
      <c r="X406" s="180">
        <v>-28304</v>
      </c>
      <c r="Y406" s="180">
        <v>-28104</v>
      </c>
      <c r="Z406" s="180">
        <v>-27904</v>
      </c>
      <c r="AA406" s="180">
        <v>-27904</v>
      </c>
      <c r="AB406" s="180">
        <v>-27904</v>
      </c>
      <c r="AC406" s="180">
        <v>-27904</v>
      </c>
      <c r="AD406" s="180">
        <v>-27904</v>
      </c>
      <c r="AE406" s="180">
        <v>-27903</v>
      </c>
      <c r="AF406" s="180">
        <v>-27488</v>
      </c>
      <c r="AG406" s="183">
        <v>-26068</v>
      </c>
    </row>
    <row r="407" spans="2:33" s="154" customFormat="1" ht="15" customHeight="1" outlineLevel="1">
      <c r="B407" s="173" t="s">
        <v>187</v>
      </c>
      <c r="C407" s="173" t="s">
        <v>335</v>
      </c>
      <c r="D407" s="179">
        <v>-59</v>
      </c>
      <c r="E407" s="180">
        <v>-61</v>
      </c>
      <c r="F407" s="180">
        <v>-71</v>
      </c>
      <c r="G407" s="180">
        <v>-37</v>
      </c>
      <c r="H407" s="180">
        <v>309</v>
      </c>
      <c r="I407" s="180">
        <v>-16</v>
      </c>
      <c r="J407" s="180">
        <v>-28</v>
      </c>
      <c r="K407" s="180">
        <v>-150</v>
      </c>
      <c r="L407" s="180">
        <v>-126</v>
      </c>
      <c r="M407" s="181">
        <v>-135</v>
      </c>
      <c r="N407" s="182">
        <v>-59</v>
      </c>
      <c r="O407" s="180">
        <v>-106</v>
      </c>
      <c r="P407" s="180">
        <v>-121</v>
      </c>
      <c r="Q407" s="180">
        <v>-82</v>
      </c>
      <c r="R407" s="180">
        <v>-61</v>
      </c>
      <c r="S407" s="180">
        <v>4</v>
      </c>
      <c r="T407" s="180">
        <v>49</v>
      </c>
      <c r="U407" s="180">
        <v>-65</v>
      </c>
      <c r="V407" s="180">
        <v>-71</v>
      </c>
      <c r="W407" s="180">
        <v>-162</v>
      </c>
      <c r="X407" s="180">
        <v>-127</v>
      </c>
      <c r="Y407" s="180">
        <v>9</v>
      </c>
      <c r="Z407" s="180">
        <v>-37</v>
      </c>
      <c r="AA407" s="180">
        <v>-198</v>
      </c>
      <c r="AB407" s="180">
        <v>-199</v>
      </c>
      <c r="AC407" s="180">
        <v>-57</v>
      </c>
      <c r="AD407" s="180">
        <v>309</v>
      </c>
      <c r="AE407" s="180">
        <v>791</v>
      </c>
      <c r="AF407" s="180">
        <v>-69</v>
      </c>
      <c r="AG407" s="183">
        <v>-113</v>
      </c>
    </row>
    <row r="408" spans="2:33" s="154" customFormat="1" ht="15" customHeight="1" outlineLevel="1">
      <c r="B408" s="173" t="s">
        <v>187</v>
      </c>
      <c r="C408" s="173" t="s">
        <v>336</v>
      </c>
      <c r="D408" s="179">
        <v>15922</v>
      </c>
      <c r="E408" s="180">
        <v>15304</v>
      </c>
      <c r="F408" s="180">
        <v>12912</v>
      </c>
      <c r="G408" s="180">
        <v>9058</v>
      </c>
      <c r="H408" s="180">
        <v>6169</v>
      </c>
      <c r="I408" s="180">
        <v>4097</v>
      </c>
      <c r="J408" s="180">
        <v>4897</v>
      </c>
      <c r="K408" s="180">
        <v>4633</v>
      </c>
      <c r="L408" s="180">
        <v>6990</v>
      </c>
      <c r="M408" s="181">
        <v>6785</v>
      </c>
      <c r="N408" s="182">
        <v>15922</v>
      </c>
      <c r="O408" s="180">
        <v>15487</v>
      </c>
      <c r="P408" s="180">
        <v>15578</v>
      </c>
      <c r="Q408" s="180">
        <v>15170</v>
      </c>
      <c r="R408" s="180">
        <v>15304</v>
      </c>
      <c r="S408" s="180">
        <v>15093</v>
      </c>
      <c r="T408" s="180">
        <v>14760</v>
      </c>
      <c r="U408" s="180">
        <v>15164</v>
      </c>
      <c r="V408" s="180">
        <v>12912</v>
      </c>
      <c r="W408" s="180">
        <v>11981</v>
      </c>
      <c r="X408" s="180">
        <v>9784</v>
      </c>
      <c r="Y408" s="180">
        <v>9460</v>
      </c>
      <c r="Z408" s="180">
        <v>9058</v>
      </c>
      <c r="AA408" s="180">
        <v>8467</v>
      </c>
      <c r="AB408" s="180">
        <v>8019</v>
      </c>
      <c r="AC408" s="180">
        <v>6626</v>
      </c>
      <c r="AD408" s="180">
        <v>6169</v>
      </c>
      <c r="AE408" s="180">
        <v>6010</v>
      </c>
      <c r="AF408" s="180">
        <v>4663</v>
      </c>
      <c r="AG408" s="183">
        <v>5302</v>
      </c>
    </row>
    <row r="409" spans="2:33" s="154" customFormat="1" ht="15" customHeight="1" outlineLevel="1">
      <c r="B409" s="173" t="s">
        <v>187</v>
      </c>
      <c r="C409" s="173" t="s">
        <v>337</v>
      </c>
      <c r="D409" s="179">
        <v>10680</v>
      </c>
      <c r="E409" s="180">
        <v>8917</v>
      </c>
      <c r="F409" s="180">
        <v>7766</v>
      </c>
      <c r="G409" s="180">
        <v>5641</v>
      </c>
      <c r="H409" s="180">
        <v>4271</v>
      </c>
      <c r="I409" s="180">
        <v>3735</v>
      </c>
      <c r="J409" s="180">
        <v>4328</v>
      </c>
      <c r="K409" s="180">
        <v>4129</v>
      </c>
      <c r="L409" s="180">
        <v>6485</v>
      </c>
      <c r="M409" s="181">
        <v>6280</v>
      </c>
      <c r="N409" s="182">
        <v>10680</v>
      </c>
      <c r="O409" s="180">
        <v>10177</v>
      </c>
      <c r="P409" s="180">
        <v>9746</v>
      </c>
      <c r="Q409" s="180">
        <v>9357</v>
      </c>
      <c r="R409" s="180">
        <v>8917</v>
      </c>
      <c r="S409" s="180">
        <v>8663</v>
      </c>
      <c r="T409" s="180">
        <v>8336</v>
      </c>
      <c r="U409" s="180">
        <v>8370</v>
      </c>
      <c r="V409" s="180">
        <v>7766</v>
      </c>
      <c r="W409" s="180">
        <v>6813</v>
      </c>
      <c r="X409" s="180">
        <v>6161</v>
      </c>
      <c r="Y409" s="180">
        <v>5878</v>
      </c>
      <c r="Z409" s="180">
        <v>5641</v>
      </c>
      <c r="AA409" s="180">
        <v>5025</v>
      </c>
      <c r="AB409" s="180">
        <v>4625</v>
      </c>
      <c r="AC409" s="180">
        <v>4230</v>
      </c>
      <c r="AD409" s="180">
        <v>4271</v>
      </c>
      <c r="AE409" s="180">
        <v>4159</v>
      </c>
      <c r="AF409" s="180">
        <v>2823</v>
      </c>
      <c r="AG409" s="183">
        <v>3454</v>
      </c>
    </row>
    <row r="410" spans="2:33" s="154" customFormat="1" ht="15" customHeight="1" outlineLevel="1">
      <c r="B410" s="173" t="s">
        <v>187</v>
      </c>
      <c r="C410" s="173" t="s">
        <v>338</v>
      </c>
      <c r="D410" s="179">
        <v>47540</v>
      </c>
      <c r="E410" s="180">
        <v>44533</v>
      </c>
      <c r="F410" s="180">
        <v>38599</v>
      </c>
      <c r="G410" s="180">
        <v>33652</v>
      </c>
      <c r="H410" s="180">
        <v>26500</v>
      </c>
      <c r="I410" s="180">
        <v>27561</v>
      </c>
      <c r="J410" s="180">
        <v>25635</v>
      </c>
      <c r="K410" s="180">
        <v>23109</v>
      </c>
      <c r="L410" s="180">
        <v>23215</v>
      </c>
      <c r="M410" s="181">
        <v>19311</v>
      </c>
      <c r="N410" s="182">
        <v>47540</v>
      </c>
      <c r="O410" s="180">
        <v>45446</v>
      </c>
      <c r="P410" s="180">
        <v>44097</v>
      </c>
      <c r="Q410" s="180">
        <v>43289</v>
      </c>
      <c r="R410" s="180">
        <v>44533</v>
      </c>
      <c r="S410" s="180">
        <v>42043</v>
      </c>
      <c r="T410" s="180">
        <v>41604</v>
      </c>
      <c r="U410" s="180">
        <v>39788</v>
      </c>
      <c r="V410" s="180">
        <v>38599</v>
      </c>
      <c r="W410" s="180">
        <v>37154</v>
      </c>
      <c r="X410" s="180">
        <v>36640</v>
      </c>
      <c r="Y410" s="180">
        <v>34241</v>
      </c>
      <c r="Z410" s="180">
        <v>33652</v>
      </c>
      <c r="AA410" s="180">
        <v>31025</v>
      </c>
      <c r="AB410" s="180">
        <v>30058</v>
      </c>
      <c r="AC410" s="180">
        <v>26189</v>
      </c>
      <c r="AD410" s="180">
        <v>26500</v>
      </c>
      <c r="AE410" s="180">
        <v>27817</v>
      </c>
      <c r="AF410" s="180">
        <v>28407</v>
      </c>
      <c r="AG410" s="183">
        <v>28019</v>
      </c>
    </row>
    <row r="411" spans="2:33" s="154" customFormat="1" ht="15" customHeight="1" outlineLevel="1">
      <c r="B411" s="173" t="s">
        <v>187</v>
      </c>
      <c r="C411" s="173" t="s">
        <v>339</v>
      </c>
      <c r="D411" s="179">
        <v>3516</v>
      </c>
      <c r="E411" s="180">
        <v>936</v>
      </c>
      <c r="F411" s="180">
        <v>970</v>
      </c>
      <c r="G411" s="180">
        <v>852</v>
      </c>
      <c r="H411" s="180">
        <v>3247</v>
      </c>
      <c r="I411" s="180">
        <v>3554</v>
      </c>
      <c r="J411" s="180">
        <v>3054</v>
      </c>
      <c r="K411" s="180">
        <v>3965</v>
      </c>
      <c r="L411" s="180">
        <v>3377</v>
      </c>
      <c r="M411" s="181">
        <v>2908</v>
      </c>
      <c r="N411" s="182">
        <v>3516</v>
      </c>
      <c r="O411" s="180">
        <v>1072</v>
      </c>
      <c r="P411" s="180">
        <v>1019</v>
      </c>
      <c r="Q411" s="180">
        <v>968</v>
      </c>
      <c r="R411" s="180">
        <v>936</v>
      </c>
      <c r="S411" s="180">
        <v>912</v>
      </c>
      <c r="T411" s="180">
        <v>905</v>
      </c>
      <c r="U411" s="180">
        <v>939</v>
      </c>
      <c r="V411" s="180">
        <v>970</v>
      </c>
      <c r="W411" s="180">
        <v>1004</v>
      </c>
      <c r="X411" s="180">
        <v>961</v>
      </c>
      <c r="Y411" s="180">
        <v>898</v>
      </c>
      <c r="Z411" s="180">
        <v>852</v>
      </c>
      <c r="AA411" s="180">
        <v>1138</v>
      </c>
      <c r="AB411" s="180">
        <v>1868</v>
      </c>
      <c r="AC411" s="180">
        <v>2479</v>
      </c>
      <c r="AD411" s="180">
        <v>3247</v>
      </c>
      <c r="AE411" s="180">
        <v>3564</v>
      </c>
      <c r="AF411" s="180">
        <v>3562</v>
      </c>
      <c r="AG411" s="183">
        <v>3635</v>
      </c>
    </row>
    <row r="412" spans="2:33" s="154" customFormat="1" ht="15" customHeight="1" outlineLevel="1">
      <c r="B412" s="173" t="s">
        <v>187</v>
      </c>
      <c r="C412" s="173" t="s">
        <v>340</v>
      </c>
      <c r="D412" s="179">
        <v>4529</v>
      </c>
      <c r="E412" s="180">
        <v>7447</v>
      </c>
      <c r="F412" s="180">
        <v>9538</v>
      </c>
      <c r="G412" s="180">
        <v>5285</v>
      </c>
      <c r="H412" s="180">
        <v>5292</v>
      </c>
      <c r="I412" s="180">
        <v>1354</v>
      </c>
      <c r="J412" s="180">
        <v>2148</v>
      </c>
      <c r="K412" s="180">
        <v>1779</v>
      </c>
      <c r="L412" s="180">
        <v>2761</v>
      </c>
      <c r="M412" s="181">
        <v>-263</v>
      </c>
      <c r="N412" s="182">
        <v>4529</v>
      </c>
      <c r="O412" s="180">
        <v>3851</v>
      </c>
      <c r="P412" s="180">
        <v>6538</v>
      </c>
      <c r="Q412" s="180">
        <v>7231</v>
      </c>
      <c r="R412" s="180">
        <v>7447</v>
      </c>
      <c r="S412" s="180">
        <v>8037</v>
      </c>
      <c r="T412" s="180">
        <v>9464</v>
      </c>
      <c r="U412" s="180">
        <v>10243</v>
      </c>
      <c r="V412" s="180">
        <v>9538</v>
      </c>
      <c r="W412" s="180">
        <v>8693</v>
      </c>
      <c r="X412" s="180">
        <v>6296</v>
      </c>
      <c r="Y412" s="180">
        <v>5804</v>
      </c>
      <c r="Z412" s="180">
        <v>5285</v>
      </c>
      <c r="AA412" s="180">
        <v>8010</v>
      </c>
      <c r="AB412" s="180">
        <v>7553</v>
      </c>
      <c r="AC412" s="180">
        <v>5769</v>
      </c>
      <c r="AD412" s="180">
        <v>5292</v>
      </c>
      <c r="AE412" s="180">
        <v>5113</v>
      </c>
      <c r="AF412" s="180">
        <v>3589</v>
      </c>
      <c r="AG412" s="183">
        <v>3133</v>
      </c>
    </row>
    <row r="413" spans="2:33" s="154" customFormat="1" ht="15" customHeight="1" outlineLevel="1">
      <c r="B413" s="173" t="s">
        <v>187</v>
      </c>
      <c r="C413" s="173" t="s">
        <v>341</v>
      </c>
      <c r="D413" s="179">
        <v>-2352</v>
      </c>
      <c r="E413" s="180">
        <v>2290</v>
      </c>
      <c r="F413" s="180">
        <v>3149</v>
      </c>
      <c r="G413" s="180">
        <v>-74</v>
      </c>
      <c r="H413" s="180">
        <v>1278</v>
      </c>
      <c r="I413" s="180">
        <v>901</v>
      </c>
      <c r="J413" s="180">
        <v>2955</v>
      </c>
      <c r="K413" s="180">
        <v>4111</v>
      </c>
      <c r="L413" s="180">
        <v>4785</v>
      </c>
      <c r="M413" s="181">
        <v>3341</v>
      </c>
      <c r="N413" s="182">
        <v>-2352</v>
      </c>
      <c r="O413" s="180">
        <v>-3388</v>
      </c>
      <c r="P413" s="180">
        <v>-2174</v>
      </c>
      <c r="Q413" s="180">
        <v>-525</v>
      </c>
      <c r="R413" s="180">
        <v>2290</v>
      </c>
      <c r="S413" s="180">
        <v>616</v>
      </c>
      <c r="T413" s="180">
        <v>642</v>
      </c>
      <c r="U413" s="180">
        <v>-1145</v>
      </c>
      <c r="V413" s="180">
        <v>3149</v>
      </c>
      <c r="W413" s="180">
        <v>1956</v>
      </c>
      <c r="X413" s="180">
        <v>1160</v>
      </c>
      <c r="Y413" s="180">
        <v>59</v>
      </c>
      <c r="Z413" s="180">
        <v>-74</v>
      </c>
      <c r="AA413" s="180">
        <v>2386</v>
      </c>
      <c r="AB413" s="180">
        <v>1655</v>
      </c>
      <c r="AC413" s="180">
        <v>678</v>
      </c>
      <c r="AD413" s="180">
        <v>1278</v>
      </c>
      <c r="AE413" s="180">
        <v>599</v>
      </c>
      <c r="AF413" s="180">
        <v>822</v>
      </c>
      <c r="AG413" s="183">
        <v>-149</v>
      </c>
    </row>
    <row r="414" spans="2:33" s="154" customFormat="1" ht="15" customHeight="1" outlineLevel="1">
      <c r="B414" s="173" t="s">
        <v>187</v>
      </c>
      <c r="C414" s="173" t="s">
        <v>342</v>
      </c>
      <c r="D414" s="179">
        <v>15922</v>
      </c>
      <c r="E414" s="180">
        <v>15304</v>
      </c>
      <c r="F414" s="180">
        <v>12912</v>
      </c>
      <c r="G414" s="180">
        <v>9058</v>
      </c>
      <c r="H414" s="180">
        <v>6169</v>
      </c>
      <c r="I414" s="180">
        <v>4097</v>
      </c>
      <c r="J414" s="180">
        <v>4897</v>
      </c>
      <c r="K414" s="180">
        <v>4633</v>
      </c>
      <c r="L414" s="180">
        <v>6990</v>
      </c>
      <c r="M414" s="181">
        <v>6785</v>
      </c>
      <c r="N414" s="182">
        <v>15922</v>
      </c>
      <c r="O414" s="180">
        <v>15487</v>
      </c>
      <c r="P414" s="180">
        <v>15578</v>
      </c>
      <c r="Q414" s="180">
        <v>15170</v>
      </c>
      <c r="R414" s="180">
        <v>15304</v>
      </c>
      <c r="S414" s="180">
        <v>15093</v>
      </c>
      <c r="T414" s="180">
        <v>14760</v>
      </c>
      <c r="U414" s="180">
        <v>15164</v>
      </c>
      <c r="V414" s="180">
        <v>12912</v>
      </c>
      <c r="W414" s="180">
        <v>11981</v>
      </c>
      <c r="X414" s="180">
        <v>9784</v>
      </c>
      <c r="Y414" s="180">
        <v>9460</v>
      </c>
      <c r="Z414" s="180">
        <v>9058</v>
      </c>
      <c r="AA414" s="180">
        <v>8467</v>
      </c>
      <c r="AB414" s="180">
        <v>8019</v>
      </c>
      <c r="AC414" s="180">
        <v>6626</v>
      </c>
      <c r="AD414" s="180">
        <v>6169</v>
      </c>
      <c r="AE414" s="180">
        <v>6010</v>
      </c>
      <c r="AF414" s="180">
        <v>4663</v>
      </c>
      <c r="AG414" s="183">
        <v>5302</v>
      </c>
    </row>
    <row r="415" spans="2:33" s="154" customFormat="1" ht="15" customHeight="1" outlineLevel="1">
      <c r="B415" s="173" t="s">
        <v>187</v>
      </c>
      <c r="C415" s="173" t="s">
        <v>343</v>
      </c>
      <c r="D415" s="179">
        <v>1738</v>
      </c>
      <c r="E415" s="180">
        <v>1761</v>
      </c>
      <c r="F415" s="180">
        <v>1918</v>
      </c>
      <c r="G415" s="180">
        <v>1957</v>
      </c>
      <c r="H415" s="180">
        <v>1944</v>
      </c>
      <c r="I415" s="180">
        <v>2060</v>
      </c>
      <c r="J415" s="180">
        <v>2226</v>
      </c>
      <c r="K415" s="180">
        <v>2330</v>
      </c>
      <c r="L415" s="180">
        <v>2485</v>
      </c>
      <c r="M415" s="181">
        <v>2556</v>
      </c>
      <c r="N415" s="182">
        <v>1738</v>
      </c>
      <c r="O415" s="180">
        <v>1736</v>
      </c>
      <c r="P415" s="180">
        <v>1734</v>
      </c>
      <c r="Q415" s="180">
        <v>1761</v>
      </c>
      <c r="R415" s="180">
        <v>1761</v>
      </c>
      <c r="S415" s="180">
        <v>1795</v>
      </c>
      <c r="T415" s="180">
        <v>1834</v>
      </c>
      <c r="U415" s="180">
        <v>1899</v>
      </c>
      <c r="V415" s="180">
        <v>1918</v>
      </c>
      <c r="W415" s="180">
        <v>1930</v>
      </c>
      <c r="X415" s="180">
        <v>1945</v>
      </c>
      <c r="Y415" s="180">
        <v>1955</v>
      </c>
      <c r="Z415" s="180">
        <v>1957</v>
      </c>
      <c r="AA415" s="180">
        <v>1956</v>
      </c>
      <c r="AB415" s="180">
        <v>1955</v>
      </c>
      <c r="AC415" s="180">
        <v>1954</v>
      </c>
      <c r="AD415" s="180">
        <v>1944</v>
      </c>
      <c r="AE415" s="180">
        <v>1944</v>
      </c>
      <c r="AF415" s="180">
        <v>1960</v>
      </c>
      <c r="AG415" s="183">
        <v>2017</v>
      </c>
    </row>
    <row r="416" spans="2:33" s="154" customFormat="1" ht="15" customHeight="1" outlineLevel="1">
      <c r="B416" s="173" t="s">
        <v>187</v>
      </c>
      <c r="C416" s="173" t="s">
        <v>344</v>
      </c>
      <c r="D416" s="179">
        <v>0</v>
      </c>
      <c r="E416" s="180">
        <v>0</v>
      </c>
      <c r="F416" s="180">
        <v>0</v>
      </c>
      <c r="G416" s="180">
        <v>0</v>
      </c>
      <c r="H416" s="180">
        <v>0</v>
      </c>
      <c r="I416" s="180">
        <v>0</v>
      </c>
      <c r="J416" s="180">
        <v>0</v>
      </c>
      <c r="K416" s="180">
        <v>0</v>
      </c>
      <c r="L416" s="180">
        <v>0</v>
      </c>
      <c r="M416" s="181">
        <v>0</v>
      </c>
      <c r="N416" s="182">
        <v>0</v>
      </c>
      <c r="O416" s="180">
        <v>0</v>
      </c>
      <c r="P416" s="180">
        <v>0</v>
      </c>
      <c r="Q416" s="180">
        <v>0</v>
      </c>
      <c r="R416" s="180">
        <v>0</v>
      </c>
      <c r="S416" s="180">
        <v>0</v>
      </c>
      <c r="T416" s="180">
        <v>0</v>
      </c>
      <c r="U416" s="180">
        <v>0</v>
      </c>
      <c r="V416" s="180">
        <v>0</v>
      </c>
      <c r="W416" s="180">
        <v>0</v>
      </c>
      <c r="X416" s="180">
        <v>0</v>
      </c>
      <c r="Y416" s="180">
        <v>0</v>
      </c>
      <c r="Z416" s="180">
        <v>0</v>
      </c>
      <c r="AA416" s="180">
        <v>0</v>
      </c>
      <c r="AB416" s="180">
        <v>0</v>
      </c>
      <c r="AC416" s="180">
        <v>0</v>
      </c>
      <c r="AD416" s="180">
        <v>0</v>
      </c>
      <c r="AE416" s="180">
        <v>0</v>
      </c>
      <c r="AF416" s="180">
        <v>0</v>
      </c>
      <c r="AG416" s="183">
        <v>0</v>
      </c>
    </row>
    <row r="417" spans="2:33" s="154" customFormat="1" ht="15" customHeight="1" outlineLevel="1">
      <c r="B417" s="173" t="s">
        <v>187</v>
      </c>
      <c r="C417" s="173" t="s">
        <v>345</v>
      </c>
      <c r="D417" s="179">
        <v>0</v>
      </c>
      <c r="E417" s="180">
        <v>0</v>
      </c>
      <c r="F417" s="180">
        <v>0</v>
      </c>
      <c r="G417" s="180">
        <v>0</v>
      </c>
      <c r="H417" s="180">
        <v>0</v>
      </c>
      <c r="I417" s="180">
        <v>0</v>
      </c>
      <c r="J417" s="180">
        <v>0</v>
      </c>
      <c r="K417" s="180">
        <v>0</v>
      </c>
      <c r="L417" s="180">
        <v>0</v>
      </c>
      <c r="M417" s="181">
        <v>0</v>
      </c>
      <c r="N417" s="182">
        <v>0</v>
      </c>
      <c r="O417" s="180">
        <v>0</v>
      </c>
      <c r="P417" s="180">
        <v>0</v>
      </c>
      <c r="Q417" s="180">
        <v>0</v>
      </c>
      <c r="R417" s="180">
        <v>0</v>
      </c>
      <c r="S417" s="180">
        <v>0</v>
      </c>
      <c r="T417" s="180">
        <v>0</v>
      </c>
      <c r="U417" s="180">
        <v>0</v>
      </c>
      <c r="V417" s="180">
        <v>0</v>
      </c>
      <c r="W417" s="180">
        <v>0</v>
      </c>
      <c r="X417" s="180">
        <v>0</v>
      </c>
      <c r="Y417" s="180">
        <v>0</v>
      </c>
      <c r="Z417" s="180">
        <v>0</v>
      </c>
      <c r="AA417" s="180">
        <v>0</v>
      </c>
      <c r="AB417" s="180">
        <v>0</v>
      </c>
      <c r="AC417" s="180">
        <v>0</v>
      </c>
      <c r="AD417" s="180">
        <v>0</v>
      </c>
      <c r="AE417" s="180">
        <v>0</v>
      </c>
      <c r="AF417" s="180">
        <v>0</v>
      </c>
      <c r="AG417" s="183">
        <v>0</v>
      </c>
    </row>
    <row r="418" spans="2:33" s="154" customFormat="1" ht="15" customHeight="1" outlineLevel="1">
      <c r="B418" s="173" t="s">
        <v>187</v>
      </c>
      <c r="C418" s="173" t="s">
        <v>346</v>
      </c>
      <c r="D418" s="179">
        <v>1738</v>
      </c>
      <c r="E418" s="180">
        <v>1761</v>
      </c>
      <c r="F418" s="180">
        <v>1918</v>
      </c>
      <c r="G418" s="180">
        <v>1957</v>
      </c>
      <c r="H418" s="180">
        <v>1944</v>
      </c>
      <c r="I418" s="180">
        <v>2060</v>
      </c>
      <c r="J418" s="180">
        <v>2226</v>
      </c>
      <c r="K418" s="180">
        <v>2330</v>
      </c>
      <c r="L418" s="180">
        <v>2485</v>
      </c>
      <c r="M418" s="181">
        <v>2556</v>
      </c>
      <c r="N418" s="182">
        <v>1738</v>
      </c>
      <c r="O418" s="180">
        <v>1736</v>
      </c>
      <c r="P418" s="180">
        <v>1734</v>
      </c>
      <c r="Q418" s="180">
        <v>1761</v>
      </c>
      <c r="R418" s="180">
        <v>1761</v>
      </c>
      <c r="S418" s="180">
        <v>1795</v>
      </c>
      <c r="T418" s="180">
        <v>1834</v>
      </c>
      <c r="U418" s="180">
        <v>1899</v>
      </c>
      <c r="V418" s="180">
        <v>1918</v>
      </c>
      <c r="W418" s="180">
        <v>1930</v>
      </c>
      <c r="X418" s="180">
        <v>1945</v>
      </c>
      <c r="Y418" s="180">
        <v>1955</v>
      </c>
      <c r="Z418" s="180">
        <v>1957</v>
      </c>
      <c r="AA418" s="180">
        <v>1956</v>
      </c>
      <c r="AB418" s="180">
        <v>1955</v>
      </c>
      <c r="AC418" s="180">
        <v>1954</v>
      </c>
      <c r="AD418" s="180">
        <v>1944</v>
      </c>
      <c r="AE418" s="180">
        <v>1944</v>
      </c>
      <c r="AF418" s="180">
        <v>1960</v>
      </c>
      <c r="AG418" s="183">
        <v>2017</v>
      </c>
    </row>
    <row r="419" spans="2:33" s="154" customFormat="1" ht="15" customHeight="1" outlineLevel="1">
      <c r="B419" s="173" t="s">
        <v>187</v>
      </c>
      <c r="C419" s="173" t="s">
        <v>347</v>
      </c>
      <c r="D419" s="179">
        <v>1200</v>
      </c>
      <c r="E419" s="180">
        <v>1154</v>
      </c>
      <c r="F419" s="180">
        <v>1451</v>
      </c>
      <c r="G419" s="180">
        <v>919</v>
      </c>
      <c r="H419" s="180">
        <v>919</v>
      </c>
      <c r="I419" s="180">
        <v>785</v>
      </c>
      <c r="J419" s="180">
        <v>606</v>
      </c>
      <c r="K419" s="180">
        <v>488</v>
      </c>
      <c r="L419" s="180">
        <v>284</v>
      </c>
      <c r="M419" s="181">
        <v>165</v>
      </c>
      <c r="N419" s="182">
        <v>1200</v>
      </c>
      <c r="O419" s="180">
        <v>1200</v>
      </c>
      <c r="P419" s="180">
        <v>1200</v>
      </c>
      <c r="Q419" s="180">
        <v>1171</v>
      </c>
      <c r="R419" s="180">
        <v>1154</v>
      </c>
      <c r="S419" s="180">
        <v>1118</v>
      </c>
      <c r="T419" s="180">
        <v>1078</v>
      </c>
      <c r="U419" s="180">
        <v>1007</v>
      </c>
      <c r="V419" s="180">
        <v>1451</v>
      </c>
      <c r="W419" s="180">
        <v>961</v>
      </c>
      <c r="X419" s="180">
        <v>945</v>
      </c>
      <c r="Y419" s="180">
        <v>931</v>
      </c>
      <c r="Z419" s="180">
        <v>919</v>
      </c>
      <c r="AA419" s="180">
        <v>919</v>
      </c>
      <c r="AB419" s="180">
        <v>919</v>
      </c>
      <c r="AC419" s="180">
        <v>919</v>
      </c>
      <c r="AD419" s="180">
        <v>919</v>
      </c>
      <c r="AE419" s="180">
        <v>919</v>
      </c>
      <c r="AF419" s="180">
        <v>897</v>
      </c>
      <c r="AG419" s="183">
        <v>837</v>
      </c>
    </row>
    <row r="420" spans="2:33" s="154" customFormat="1" ht="15" customHeight="1" outlineLevel="1">
      <c r="B420" s="173" t="s">
        <v>187</v>
      </c>
      <c r="C420" s="173" t="s">
        <v>348</v>
      </c>
      <c r="D420" s="179">
        <v>1745</v>
      </c>
      <c r="E420" s="180">
        <v>1838</v>
      </c>
      <c r="F420" s="180">
        <v>1944</v>
      </c>
      <c r="G420" s="180">
        <v>1954</v>
      </c>
      <c r="H420" s="180">
        <v>1980</v>
      </c>
      <c r="I420" s="180">
        <v>2223</v>
      </c>
      <c r="J420" s="180">
        <v>2255</v>
      </c>
      <c r="K420" s="180">
        <v>2403</v>
      </c>
      <c r="L420" s="180">
        <v>2509</v>
      </c>
      <c r="M420" s="181">
        <v>2565</v>
      </c>
      <c r="N420" s="182">
        <v>1745</v>
      </c>
      <c r="O420" s="180">
        <v>1735</v>
      </c>
      <c r="P420" s="180">
        <v>1747</v>
      </c>
      <c r="Q420" s="180">
        <v>1759</v>
      </c>
      <c r="R420" s="180">
        <v>1838</v>
      </c>
      <c r="S420" s="180">
        <v>1813</v>
      </c>
      <c r="T420" s="180">
        <v>1858</v>
      </c>
      <c r="U420" s="180">
        <v>1908</v>
      </c>
      <c r="V420" s="180">
        <v>1944</v>
      </c>
      <c r="W420" s="180">
        <v>1939</v>
      </c>
      <c r="X420" s="180">
        <v>1952</v>
      </c>
      <c r="Y420" s="180">
        <v>1961</v>
      </c>
      <c r="Z420" s="180">
        <v>1954</v>
      </c>
      <c r="AA420" s="180">
        <v>1956</v>
      </c>
      <c r="AB420" s="180">
        <v>1955</v>
      </c>
      <c r="AC420" s="180">
        <v>1949</v>
      </c>
      <c r="AD420" s="180">
        <v>1980</v>
      </c>
      <c r="AE420" s="180">
        <v>1953</v>
      </c>
      <c r="AF420" s="180">
        <v>1991</v>
      </c>
      <c r="AG420" s="183">
        <v>2036</v>
      </c>
    </row>
    <row r="421" spans="2:33" s="154" customFormat="1" ht="15" customHeight="1" outlineLevel="1">
      <c r="B421" s="173" t="s">
        <v>187</v>
      </c>
      <c r="C421" s="173" t="s">
        <v>349</v>
      </c>
      <c r="D421" s="179">
        <v>1755</v>
      </c>
      <c r="E421" s="180">
        <v>1853</v>
      </c>
      <c r="F421" s="180">
        <v>1955</v>
      </c>
      <c r="G421" s="180">
        <v>1962</v>
      </c>
      <c r="H421" s="180">
        <v>1986</v>
      </c>
      <c r="I421" s="180">
        <v>2247</v>
      </c>
      <c r="J421" s="180">
        <v>2271</v>
      </c>
      <c r="K421" s="180">
        <v>2449</v>
      </c>
      <c r="L421" s="180">
        <v>2568</v>
      </c>
      <c r="M421" s="181">
        <v>2619</v>
      </c>
      <c r="N421" s="182">
        <v>1755</v>
      </c>
      <c r="O421" s="180">
        <v>1742</v>
      </c>
      <c r="P421" s="180">
        <v>1753</v>
      </c>
      <c r="Q421" s="180">
        <v>1774</v>
      </c>
      <c r="R421" s="180">
        <v>1853</v>
      </c>
      <c r="S421" s="180">
        <v>1828</v>
      </c>
      <c r="T421" s="180">
        <v>1871</v>
      </c>
      <c r="U421" s="180">
        <v>1923</v>
      </c>
      <c r="V421" s="180">
        <v>1955</v>
      </c>
      <c r="W421" s="180">
        <v>1949</v>
      </c>
      <c r="X421" s="180">
        <v>1960</v>
      </c>
      <c r="Y421" s="180">
        <v>1973</v>
      </c>
      <c r="Z421" s="180">
        <v>1962</v>
      </c>
      <c r="AA421" s="180">
        <v>1966</v>
      </c>
      <c r="AB421" s="180">
        <v>1960</v>
      </c>
      <c r="AC421" s="180">
        <v>1952</v>
      </c>
      <c r="AD421" s="180">
        <v>1986</v>
      </c>
      <c r="AE421" s="180">
        <v>1957</v>
      </c>
      <c r="AF421" s="180">
        <v>1999</v>
      </c>
      <c r="AG421" s="183">
        <v>2040</v>
      </c>
    </row>
    <row r="422" spans="2:33" s="154" customFormat="1" ht="15" customHeight="1" outlineLevel="1">
      <c r="B422" s="173" t="s">
        <v>187</v>
      </c>
      <c r="C422" s="173" t="s">
        <v>350</v>
      </c>
      <c r="D422" s="179">
        <v>108800</v>
      </c>
      <c r="E422" s="180">
        <v>106700</v>
      </c>
      <c r="F422" s="180">
        <v>100300</v>
      </c>
      <c r="G422" s="180">
        <v>94300</v>
      </c>
      <c r="H422" s="180">
        <v>76500</v>
      </c>
      <c r="I422" s="180">
        <v>88200</v>
      </c>
      <c r="J422" s="180">
        <v>90500</v>
      </c>
      <c r="K422" s="180">
        <v>65200</v>
      </c>
      <c r="L422" s="180">
        <v>55200</v>
      </c>
      <c r="M422" s="181">
        <v>46000</v>
      </c>
      <c r="N422" s="182"/>
      <c r="O422" s="180"/>
      <c r="P422" s="180"/>
      <c r="Q422" s="180"/>
      <c r="R422" s="180"/>
      <c r="S422" s="180"/>
      <c r="T422" s="180"/>
      <c r="U422" s="180"/>
      <c r="V422" s="180"/>
      <c r="W422" s="180"/>
      <c r="X422" s="180"/>
      <c r="Y422" s="180"/>
      <c r="Z422" s="180"/>
      <c r="AA422" s="180"/>
      <c r="AB422" s="180"/>
      <c r="AC422" s="180"/>
      <c r="AD422" s="180"/>
      <c r="AE422" s="180"/>
      <c r="AF422" s="180"/>
      <c r="AG422" s="183"/>
    </row>
    <row r="423" spans="2:33" s="154" customFormat="1" ht="15" customHeight="1" outlineLevel="1" thickBot="1">
      <c r="B423" s="184" t="s">
        <v>187</v>
      </c>
      <c r="C423" s="184" t="s">
        <v>351</v>
      </c>
      <c r="D423" s="185">
        <v>2500</v>
      </c>
      <c r="E423" s="186">
        <v>2700</v>
      </c>
      <c r="F423" s="186">
        <v>3000</v>
      </c>
      <c r="G423" s="186">
        <v>1700</v>
      </c>
      <c r="H423" s="186">
        <v>2400</v>
      </c>
      <c r="I423" s="186"/>
      <c r="J423" s="186"/>
      <c r="K423" s="186"/>
      <c r="L423" s="186"/>
      <c r="M423" s="187"/>
      <c r="N423" s="188"/>
      <c r="O423" s="186"/>
      <c r="P423" s="186"/>
      <c r="Q423" s="186"/>
      <c r="R423" s="186"/>
      <c r="S423" s="186"/>
      <c r="T423" s="186"/>
      <c r="U423" s="186"/>
      <c r="V423" s="186"/>
      <c r="W423" s="186"/>
      <c r="X423" s="186"/>
      <c r="Y423" s="186"/>
      <c r="Z423" s="186"/>
      <c r="AA423" s="186"/>
      <c r="AB423" s="186"/>
      <c r="AC423" s="186"/>
      <c r="AD423" s="186"/>
      <c r="AE423" s="186"/>
      <c r="AF423" s="186"/>
      <c r="AG423" s="189"/>
    </row>
    <row r="424" spans="2:33" s="154" customFormat="1" ht="15" customHeight="1" outlineLevel="1">
      <c r="B424" s="190" t="s">
        <v>188</v>
      </c>
      <c r="C424" s="190" t="s">
        <v>352</v>
      </c>
      <c r="D424" s="203">
        <v>2372</v>
      </c>
      <c r="E424" s="192">
        <v>3492</v>
      </c>
      <c r="F424" s="192">
        <v>2635</v>
      </c>
      <c r="G424" s="192">
        <v>1433</v>
      </c>
      <c r="H424" s="192">
        <v>2478</v>
      </c>
      <c r="I424" s="192">
        <v>2947</v>
      </c>
      <c r="J424" s="192">
        <v>2583</v>
      </c>
      <c r="K424" s="192">
        <v>3572</v>
      </c>
      <c r="L424" s="192">
        <v>3043</v>
      </c>
      <c r="M424" s="193">
        <v>2645</v>
      </c>
      <c r="N424" s="194">
        <v>2372</v>
      </c>
      <c r="O424" s="192">
        <v>1842</v>
      </c>
      <c r="P424" s="192">
        <v>1367</v>
      </c>
      <c r="Q424" s="192">
        <v>635</v>
      </c>
      <c r="R424" s="192">
        <v>3492</v>
      </c>
      <c r="S424" s="192">
        <v>2728</v>
      </c>
      <c r="T424" s="192">
        <v>1835</v>
      </c>
      <c r="U424" s="192">
        <v>945</v>
      </c>
      <c r="V424" s="192">
        <v>2635</v>
      </c>
      <c r="W424" s="192">
        <v>1708</v>
      </c>
      <c r="X424" s="192">
        <v>886</v>
      </c>
      <c r="Y424" s="192">
        <v>341</v>
      </c>
      <c r="Z424" s="192">
        <v>1433</v>
      </c>
      <c r="AA424" s="192">
        <v>1099</v>
      </c>
      <c r="AB424" s="192">
        <v>762</v>
      </c>
      <c r="AC424" s="192">
        <v>290</v>
      </c>
      <c r="AD424" s="192">
        <v>2478</v>
      </c>
      <c r="AE424" s="192">
        <v>2127</v>
      </c>
      <c r="AF424" s="192">
        <v>1400</v>
      </c>
      <c r="AG424" s="195">
        <v>784</v>
      </c>
    </row>
    <row r="425" spans="2:33" s="154" customFormat="1" ht="15" customHeight="1" outlineLevel="1">
      <c r="B425" s="196" t="s">
        <v>188</v>
      </c>
      <c r="C425" s="196" t="s">
        <v>223</v>
      </c>
      <c r="D425" s="179">
        <v>1144</v>
      </c>
      <c r="E425" s="180">
        <v>936</v>
      </c>
      <c r="F425" s="180">
        <v>970</v>
      </c>
      <c r="G425" s="180">
        <v>852</v>
      </c>
      <c r="H425" s="180">
        <v>769</v>
      </c>
      <c r="I425" s="180">
        <v>607</v>
      </c>
      <c r="J425" s="180">
        <v>471</v>
      </c>
      <c r="K425" s="180">
        <v>393</v>
      </c>
      <c r="L425" s="180">
        <v>334</v>
      </c>
      <c r="M425" s="181">
        <v>263</v>
      </c>
      <c r="N425" s="182">
        <v>1144</v>
      </c>
      <c r="O425" s="180">
        <v>823</v>
      </c>
      <c r="P425" s="180">
        <v>529</v>
      </c>
      <c r="Q425" s="180">
        <v>248</v>
      </c>
      <c r="R425" s="180">
        <v>936</v>
      </c>
      <c r="S425" s="180">
        <v>687</v>
      </c>
      <c r="T425" s="180">
        <v>446</v>
      </c>
      <c r="U425" s="180">
        <v>216</v>
      </c>
      <c r="V425" s="180">
        <v>970</v>
      </c>
      <c r="W425" s="180">
        <v>745</v>
      </c>
      <c r="X425" s="180">
        <v>511</v>
      </c>
      <c r="Y425" s="180">
        <v>247</v>
      </c>
      <c r="Z425" s="180">
        <v>852</v>
      </c>
      <c r="AA425" s="180">
        <v>593</v>
      </c>
      <c r="AB425" s="180">
        <v>402</v>
      </c>
      <c r="AC425" s="180">
        <v>201</v>
      </c>
      <c r="AD425" s="180">
        <v>769</v>
      </c>
      <c r="AE425" s="180">
        <v>575</v>
      </c>
      <c r="AF425" s="180">
        <v>381</v>
      </c>
      <c r="AG425" s="183">
        <v>185</v>
      </c>
    </row>
    <row r="426" spans="2:33" s="154" customFormat="1" ht="15" customHeight="1" outlineLevel="1">
      <c r="B426" s="196" t="s">
        <v>188</v>
      </c>
      <c r="C426" s="196" t="s">
        <v>225</v>
      </c>
      <c r="D426" s="179">
        <v>0</v>
      </c>
      <c r="E426" s="180">
        <v>0</v>
      </c>
      <c r="F426" s="180">
        <v>0</v>
      </c>
      <c r="G426" s="180">
        <v>0</v>
      </c>
      <c r="H426" s="180">
        <v>0</v>
      </c>
      <c r="I426" s="180">
        <v>0</v>
      </c>
      <c r="J426" s="180">
        <v>0</v>
      </c>
      <c r="K426" s="180">
        <v>0</v>
      </c>
      <c r="L426" s="180">
        <v>0</v>
      </c>
      <c r="M426" s="181">
        <v>0</v>
      </c>
      <c r="N426" s="182">
        <v>0</v>
      </c>
      <c r="O426" s="180">
        <v>0</v>
      </c>
      <c r="P426" s="180">
        <v>0</v>
      </c>
      <c r="Q426" s="180">
        <v>0</v>
      </c>
      <c r="R426" s="180">
        <v>0</v>
      </c>
      <c r="S426" s="180">
        <v>0</v>
      </c>
      <c r="T426" s="180">
        <v>0</v>
      </c>
      <c r="U426" s="180">
        <v>0</v>
      </c>
      <c r="V426" s="180">
        <v>0</v>
      </c>
      <c r="W426" s="180">
        <v>0</v>
      </c>
      <c r="X426" s="180">
        <v>0</v>
      </c>
      <c r="Y426" s="180">
        <v>0</v>
      </c>
      <c r="Z426" s="180">
        <v>0</v>
      </c>
      <c r="AA426" s="180">
        <v>0</v>
      </c>
      <c r="AB426" s="180">
        <v>0</v>
      </c>
      <c r="AC426" s="180">
        <v>0</v>
      </c>
      <c r="AD426" s="180">
        <v>0</v>
      </c>
      <c r="AE426" s="180">
        <v>0</v>
      </c>
      <c r="AF426" s="180">
        <v>0</v>
      </c>
      <c r="AG426" s="183">
        <v>0</v>
      </c>
    </row>
    <row r="427" spans="2:33" s="154" customFormat="1" ht="15" customHeight="1" outlineLevel="1">
      <c r="B427" s="196" t="s">
        <v>188</v>
      </c>
      <c r="C427" s="196" t="s">
        <v>226</v>
      </c>
      <c r="D427" s="179">
        <v>0</v>
      </c>
      <c r="E427" s="180">
        <v>0</v>
      </c>
      <c r="F427" s="180">
        <v>0</v>
      </c>
      <c r="G427" s="180">
        <v>0</v>
      </c>
      <c r="H427" s="180">
        <v>0</v>
      </c>
      <c r="I427" s="180">
        <v>0</v>
      </c>
      <c r="J427" s="180">
        <v>0</v>
      </c>
      <c r="K427" s="180">
        <v>0</v>
      </c>
      <c r="L427" s="180">
        <v>0</v>
      </c>
      <c r="M427" s="181">
        <v>0</v>
      </c>
      <c r="N427" s="182">
        <v>0</v>
      </c>
      <c r="O427" s="180">
        <v>0</v>
      </c>
      <c r="P427" s="180">
        <v>0</v>
      </c>
      <c r="Q427" s="180">
        <v>0</v>
      </c>
      <c r="R427" s="180">
        <v>0</v>
      </c>
      <c r="S427" s="180">
        <v>0</v>
      </c>
      <c r="T427" s="180">
        <v>0</v>
      </c>
      <c r="U427" s="180">
        <v>0</v>
      </c>
      <c r="V427" s="180">
        <v>0</v>
      </c>
      <c r="W427" s="180">
        <v>0</v>
      </c>
      <c r="X427" s="180">
        <v>0</v>
      </c>
      <c r="Y427" s="180">
        <v>0</v>
      </c>
      <c r="Z427" s="180">
        <v>0</v>
      </c>
      <c r="AA427" s="180">
        <v>0</v>
      </c>
      <c r="AB427" s="180">
        <v>0</v>
      </c>
      <c r="AC427" s="180">
        <v>0</v>
      </c>
      <c r="AD427" s="180">
        <v>0</v>
      </c>
      <c r="AE427" s="180">
        <v>0</v>
      </c>
      <c r="AF427" s="180">
        <v>0</v>
      </c>
      <c r="AG427" s="183">
        <v>0</v>
      </c>
    </row>
    <row r="428" spans="2:33" s="154" customFormat="1" ht="15" customHeight="1" outlineLevel="1">
      <c r="B428" s="196" t="s">
        <v>188</v>
      </c>
      <c r="C428" s="196" t="s">
        <v>321</v>
      </c>
      <c r="D428" s="179">
        <v>-428</v>
      </c>
      <c r="E428" s="180">
        <v>19</v>
      </c>
      <c r="F428" s="180">
        <v>-45</v>
      </c>
      <c r="G428" s="180">
        <v>-52</v>
      </c>
      <c r="H428" s="180">
        <v>86</v>
      </c>
      <c r="I428" s="180">
        <v>0</v>
      </c>
      <c r="J428" s="180">
        <v>0</v>
      </c>
      <c r="K428" s="180">
        <v>0</v>
      </c>
      <c r="L428" s="180">
        <v>0</v>
      </c>
      <c r="M428" s="181">
        <v>0</v>
      </c>
      <c r="N428" s="182">
        <v>-428</v>
      </c>
      <c r="O428" s="180">
        <v>-107</v>
      </c>
      <c r="P428" s="180">
        <v>77</v>
      </c>
      <c r="Q428" s="180">
        <v>47</v>
      </c>
      <c r="R428" s="180">
        <v>19</v>
      </c>
      <c r="S428" s="180">
        <v>-91</v>
      </c>
      <c r="T428" s="180">
        <v>-56</v>
      </c>
      <c r="U428" s="180">
        <v>-63</v>
      </c>
      <c r="V428" s="180">
        <v>-45</v>
      </c>
      <c r="W428" s="180">
        <v>-35</v>
      </c>
      <c r="X428" s="180">
        <v>-55</v>
      </c>
      <c r="Y428" s="180">
        <v>-31</v>
      </c>
      <c r="Z428" s="180">
        <v>-52</v>
      </c>
      <c r="AA428" s="180">
        <v>-33</v>
      </c>
      <c r="AB428" s="211">
        <v>-91</v>
      </c>
      <c r="AC428" s="180">
        <v>10</v>
      </c>
      <c r="AD428" s="212">
        <v>86</v>
      </c>
      <c r="AE428" s="180">
        <v>209</v>
      </c>
      <c r="AF428" s="180">
        <v>-19</v>
      </c>
      <c r="AG428" s="183">
        <v>0</v>
      </c>
    </row>
    <row r="429" spans="2:33" s="154" customFormat="1" ht="15" customHeight="1" outlineLevel="1">
      <c r="B429" s="196" t="s">
        <v>188</v>
      </c>
      <c r="C429" s="196" t="s">
        <v>353</v>
      </c>
      <c r="D429" s="179">
        <v>0</v>
      </c>
      <c r="E429" s="180">
        <v>-5</v>
      </c>
      <c r="F429" s="180">
        <v>-4</v>
      </c>
      <c r="G429" s="180">
        <v>59</v>
      </c>
      <c r="H429" s="180">
        <v>116</v>
      </c>
      <c r="I429" s="180">
        <v>133</v>
      </c>
      <c r="J429" s="180">
        <v>61</v>
      </c>
      <c r="K429" s="180">
        <v>519</v>
      </c>
      <c r="L429" s="180">
        <v>-275</v>
      </c>
      <c r="M429" s="181">
        <v>-383</v>
      </c>
      <c r="N429" s="182">
        <v>0</v>
      </c>
      <c r="O429" s="180">
        <v>15</v>
      </c>
      <c r="P429" s="180">
        <v>15</v>
      </c>
      <c r="Q429" s="180">
        <v>-10</v>
      </c>
      <c r="R429" s="180">
        <v>-5</v>
      </c>
      <c r="S429" s="180">
        <v>-19</v>
      </c>
      <c r="T429" s="180">
        <v>-9</v>
      </c>
      <c r="U429" s="180">
        <v>0</v>
      </c>
      <c r="V429" s="180">
        <v>-4</v>
      </c>
      <c r="W429" s="180">
        <v>23</v>
      </c>
      <c r="X429" s="180">
        <v>37</v>
      </c>
      <c r="Y429" s="180">
        <v>30</v>
      </c>
      <c r="Z429" s="180">
        <v>59</v>
      </c>
      <c r="AA429" s="180">
        <v>58</v>
      </c>
      <c r="AB429" s="180">
        <v>26</v>
      </c>
      <c r="AC429" s="180">
        <v>0</v>
      </c>
      <c r="AD429" s="180">
        <v>116</v>
      </c>
      <c r="AE429" s="180">
        <v>137</v>
      </c>
      <c r="AF429" s="213">
        <v>85</v>
      </c>
      <c r="AG429" s="183">
        <v>39</v>
      </c>
    </row>
    <row r="430" spans="2:33" s="154" customFormat="1" ht="15" customHeight="1" outlineLevel="1">
      <c r="B430" s="196" t="s">
        <v>188</v>
      </c>
      <c r="C430" s="196" t="s">
        <v>354</v>
      </c>
      <c r="D430" s="179">
        <v>0</v>
      </c>
      <c r="E430" s="180">
        <v>0</v>
      </c>
      <c r="F430" s="180">
        <v>0</v>
      </c>
      <c r="G430" s="180">
        <v>0</v>
      </c>
      <c r="H430" s="180">
        <v>0</v>
      </c>
      <c r="I430" s="180">
        <v>0</v>
      </c>
      <c r="J430" s="180">
        <v>0</v>
      </c>
      <c r="K430" s="180">
        <v>0</v>
      </c>
      <c r="L430" s="180">
        <v>0</v>
      </c>
      <c r="M430" s="181">
        <v>0</v>
      </c>
      <c r="N430" s="182">
        <v>0</v>
      </c>
      <c r="O430" s="180">
        <v>0</v>
      </c>
      <c r="P430" s="180">
        <v>0</v>
      </c>
      <c r="Q430" s="180">
        <v>0</v>
      </c>
      <c r="R430" s="180">
        <v>0</v>
      </c>
      <c r="S430" s="180">
        <v>0</v>
      </c>
      <c r="T430" s="180">
        <v>0</v>
      </c>
      <c r="U430" s="180">
        <v>0</v>
      </c>
      <c r="V430" s="180">
        <v>0</v>
      </c>
      <c r="W430" s="180">
        <v>0</v>
      </c>
      <c r="X430" s="180">
        <v>0</v>
      </c>
      <c r="Y430" s="180">
        <v>0</v>
      </c>
      <c r="Z430" s="180">
        <v>0</v>
      </c>
      <c r="AA430" s="180">
        <v>0</v>
      </c>
      <c r="AB430" s="180">
        <v>0</v>
      </c>
      <c r="AC430" s="180">
        <v>0</v>
      </c>
      <c r="AD430" s="180">
        <v>0</v>
      </c>
      <c r="AE430" s="180">
        <v>0</v>
      </c>
      <c r="AF430" s="180">
        <v>0</v>
      </c>
      <c r="AG430" s="183">
        <v>0</v>
      </c>
    </row>
    <row r="431" spans="2:33" s="154" customFormat="1" ht="15" customHeight="1" outlineLevel="1">
      <c r="B431" s="196" t="s">
        <v>188</v>
      </c>
      <c r="C431" s="196" t="s">
        <v>355</v>
      </c>
      <c r="D431" s="179">
        <v>-343</v>
      </c>
      <c r="E431" s="180">
        <v>-425</v>
      </c>
      <c r="F431" s="180">
        <v>-1416</v>
      </c>
      <c r="G431" s="180">
        <v>-1745</v>
      </c>
      <c r="H431" s="180">
        <v>289</v>
      </c>
      <c r="I431" s="180">
        <v>-1300</v>
      </c>
      <c r="J431" s="180">
        <v>-707</v>
      </c>
      <c r="K431" s="180">
        <v>0</v>
      </c>
      <c r="L431" s="180">
        <v>0</v>
      </c>
      <c r="M431" s="181">
        <v>0</v>
      </c>
      <c r="N431" s="182">
        <v>-343</v>
      </c>
      <c r="O431" s="180">
        <v>243</v>
      </c>
      <c r="P431" s="180">
        <v>-461</v>
      </c>
      <c r="Q431" s="180">
        <v>232</v>
      </c>
      <c r="R431" s="180">
        <v>-425</v>
      </c>
      <c r="S431" s="180">
        <v>-352</v>
      </c>
      <c r="T431" s="180">
        <v>-174</v>
      </c>
      <c r="U431" s="180">
        <v>492</v>
      </c>
      <c r="V431" s="180">
        <v>-1416</v>
      </c>
      <c r="W431" s="180">
        <v>-1047</v>
      </c>
      <c r="X431" s="180">
        <v>-1309</v>
      </c>
      <c r="Y431" s="180">
        <v>-327</v>
      </c>
      <c r="Z431" s="180">
        <v>-1745</v>
      </c>
      <c r="AA431" s="180">
        <v>-1012</v>
      </c>
      <c r="AB431" s="180">
        <v>-916</v>
      </c>
      <c r="AC431" s="180">
        <v>384</v>
      </c>
      <c r="AD431" s="180">
        <v>289</v>
      </c>
      <c r="AE431" s="180">
        <v>-190</v>
      </c>
      <c r="AF431" s="180">
        <v>-373</v>
      </c>
      <c r="AG431" s="183">
        <v>0</v>
      </c>
    </row>
    <row r="432" spans="2:33" s="154" customFormat="1" ht="15" customHeight="1" outlineLevel="1">
      <c r="B432" s="196" t="s">
        <v>188</v>
      </c>
      <c r="C432" s="196" t="s">
        <v>356</v>
      </c>
      <c r="D432" s="179">
        <v>48</v>
      </c>
      <c r="E432" s="180">
        <v>-52</v>
      </c>
      <c r="F432" s="180">
        <v>-248</v>
      </c>
      <c r="G432" s="180">
        <v>-183</v>
      </c>
      <c r="H432" s="180">
        <v>309</v>
      </c>
      <c r="I432" s="180">
        <v>-498</v>
      </c>
      <c r="J432" s="180">
        <v>-72</v>
      </c>
      <c r="K432" s="180">
        <v>0</v>
      </c>
      <c r="L432" s="180">
        <v>0</v>
      </c>
      <c r="M432" s="181">
        <v>0</v>
      </c>
      <c r="N432" s="182">
        <v>48</v>
      </c>
      <c r="O432" s="180">
        <v>67</v>
      </c>
      <c r="P432" s="180">
        <v>-190</v>
      </c>
      <c r="Q432" s="180">
        <v>-68</v>
      </c>
      <c r="R432" s="180">
        <v>-52</v>
      </c>
      <c r="S432" s="180">
        <v>-46</v>
      </c>
      <c r="T432" s="180">
        <v>-31</v>
      </c>
      <c r="U432" s="180">
        <v>38</v>
      </c>
      <c r="V432" s="180">
        <v>-248</v>
      </c>
      <c r="W432" s="180">
        <v>-241</v>
      </c>
      <c r="X432" s="180">
        <v>-318</v>
      </c>
      <c r="Y432" s="180">
        <v>-132</v>
      </c>
      <c r="Z432" s="180">
        <v>-183</v>
      </c>
      <c r="AA432" s="180">
        <v>-83</v>
      </c>
      <c r="AB432" s="180">
        <v>29</v>
      </c>
      <c r="AC432" s="180">
        <v>24</v>
      </c>
      <c r="AD432" s="180">
        <v>309</v>
      </c>
      <c r="AE432" s="180">
        <v>65</v>
      </c>
      <c r="AF432" s="180">
        <v>77</v>
      </c>
      <c r="AG432" s="183">
        <v>0</v>
      </c>
    </row>
    <row r="433" spans="2:33" s="154" customFormat="1" ht="15" customHeight="1" outlineLevel="1">
      <c r="B433" s="196" t="s">
        <v>188</v>
      </c>
      <c r="C433" s="196" t="s">
        <v>357</v>
      </c>
      <c r="D433" s="179">
        <v>0</v>
      </c>
      <c r="E433" s="180">
        <v>0</v>
      </c>
      <c r="F433" s="180">
        <v>0</v>
      </c>
      <c r="G433" s="180">
        <v>0</v>
      </c>
      <c r="H433" s="180">
        <v>0</v>
      </c>
      <c r="I433" s="180">
        <v>0</v>
      </c>
      <c r="J433" s="180">
        <v>0</v>
      </c>
      <c r="K433" s="180">
        <v>0</v>
      </c>
      <c r="L433" s="180">
        <v>0</v>
      </c>
      <c r="M433" s="181">
        <v>0</v>
      </c>
      <c r="N433" s="182">
        <v>0</v>
      </c>
      <c r="O433" s="180">
        <v>0</v>
      </c>
      <c r="P433" s="180">
        <v>0</v>
      </c>
      <c r="Q433" s="180">
        <v>0</v>
      </c>
      <c r="R433" s="180">
        <v>0</v>
      </c>
      <c r="S433" s="180">
        <v>0</v>
      </c>
      <c r="T433" s="180">
        <v>0</v>
      </c>
      <c r="U433" s="180">
        <v>0</v>
      </c>
      <c r="V433" s="180">
        <v>0</v>
      </c>
      <c r="W433" s="180">
        <v>0</v>
      </c>
      <c r="X433" s="180">
        <v>0</v>
      </c>
      <c r="Y433" s="180">
        <v>0</v>
      </c>
      <c r="Z433" s="180">
        <v>0</v>
      </c>
      <c r="AA433" s="180">
        <v>0</v>
      </c>
      <c r="AB433" s="180">
        <v>0</v>
      </c>
      <c r="AC433" s="180">
        <v>0</v>
      </c>
      <c r="AD433" s="180">
        <v>0</v>
      </c>
      <c r="AE433" s="180">
        <v>0</v>
      </c>
      <c r="AF433" s="180">
        <v>0</v>
      </c>
      <c r="AG433" s="183">
        <v>0</v>
      </c>
    </row>
    <row r="434" spans="2:33" s="154" customFormat="1" ht="15" customHeight="1" outlineLevel="1">
      <c r="B434" s="196" t="s">
        <v>188</v>
      </c>
      <c r="C434" s="196" t="s">
        <v>358</v>
      </c>
      <c r="D434" s="179">
        <v>0</v>
      </c>
      <c r="E434" s="180">
        <v>0</v>
      </c>
      <c r="F434" s="180">
        <v>0</v>
      </c>
      <c r="G434" s="180">
        <v>0</v>
      </c>
      <c r="H434" s="180">
        <v>0</v>
      </c>
      <c r="I434" s="180">
        <v>0</v>
      </c>
      <c r="J434" s="180">
        <v>0</v>
      </c>
      <c r="K434" s="180">
        <v>0</v>
      </c>
      <c r="L434" s="180">
        <v>0</v>
      </c>
      <c r="M434" s="181">
        <v>0</v>
      </c>
      <c r="N434" s="182">
        <v>0</v>
      </c>
      <c r="O434" s="180">
        <v>0</v>
      </c>
      <c r="P434" s="180">
        <v>0</v>
      </c>
      <c r="Q434" s="180">
        <v>0</v>
      </c>
      <c r="R434" s="180">
        <v>0</v>
      </c>
      <c r="S434" s="180">
        <v>0</v>
      </c>
      <c r="T434" s="180">
        <v>0</v>
      </c>
      <c r="U434" s="180">
        <v>0</v>
      </c>
      <c r="V434" s="180">
        <v>0</v>
      </c>
      <c r="W434" s="180">
        <v>0</v>
      </c>
      <c r="X434" s="180">
        <v>0</v>
      </c>
      <c r="Y434" s="180">
        <v>0</v>
      </c>
      <c r="Z434" s="180">
        <v>0</v>
      </c>
      <c r="AA434" s="180">
        <v>0</v>
      </c>
      <c r="AB434" s="180">
        <v>0</v>
      </c>
      <c r="AC434" s="180">
        <v>0</v>
      </c>
      <c r="AD434" s="180">
        <v>0</v>
      </c>
      <c r="AE434" s="180">
        <v>0</v>
      </c>
      <c r="AF434" s="180">
        <v>0</v>
      </c>
      <c r="AG434" s="183">
        <v>0</v>
      </c>
    </row>
    <row r="435" spans="2:33" s="154" customFormat="1" ht="15" customHeight="1" outlineLevel="1">
      <c r="B435" s="196" t="s">
        <v>188</v>
      </c>
      <c r="C435" s="196" t="s">
        <v>359</v>
      </c>
      <c r="D435" s="179">
        <v>-74</v>
      </c>
      <c r="E435" s="180">
        <v>327</v>
      </c>
      <c r="F435" s="180">
        <v>-151</v>
      </c>
      <c r="G435" s="180">
        <v>2833</v>
      </c>
      <c r="H435" s="180">
        <v>-3117</v>
      </c>
      <c r="I435" s="180">
        <v>837</v>
      </c>
      <c r="J435" s="180">
        <v>505</v>
      </c>
      <c r="K435" s="180">
        <v>0</v>
      </c>
      <c r="L435" s="180">
        <v>0</v>
      </c>
      <c r="M435" s="181">
        <v>0</v>
      </c>
      <c r="N435" s="182">
        <v>-74</v>
      </c>
      <c r="O435" s="180">
        <v>-1104</v>
      </c>
      <c r="P435" s="180">
        <v>-440</v>
      </c>
      <c r="Q435" s="180">
        <v>-671</v>
      </c>
      <c r="R435" s="180">
        <v>327</v>
      </c>
      <c r="S435" s="180">
        <v>-231</v>
      </c>
      <c r="T435" s="180">
        <v>261</v>
      </c>
      <c r="U435" s="180">
        <v>-925</v>
      </c>
      <c r="V435" s="180">
        <v>-151</v>
      </c>
      <c r="W435" s="180">
        <v>-175</v>
      </c>
      <c r="X435" s="180">
        <v>1131</v>
      </c>
      <c r="Y435" s="180">
        <v>22</v>
      </c>
      <c r="Z435" s="180">
        <v>2833</v>
      </c>
      <c r="AA435" s="180">
        <v>1551</v>
      </c>
      <c r="AB435" s="180">
        <v>1318</v>
      </c>
      <c r="AC435" s="180">
        <v>-483</v>
      </c>
      <c r="AD435" s="180">
        <v>-3117</v>
      </c>
      <c r="AE435" s="180">
        <v>-1992</v>
      </c>
      <c r="AF435" s="180">
        <v>-328</v>
      </c>
      <c r="AG435" s="183">
        <v>0</v>
      </c>
    </row>
    <row r="436" spans="2:33" s="154" customFormat="1" ht="15" customHeight="1" outlineLevel="1">
      <c r="B436" s="196" t="s">
        <v>188</v>
      </c>
      <c r="C436" s="196" t="s">
        <v>360</v>
      </c>
      <c r="D436" s="179">
        <v>-126</v>
      </c>
      <c r="E436" s="180">
        <v>-74</v>
      </c>
      <c r="F436" s="180">
        <v>421</v>
      </c>
      <c r="G436" s="180">
        <v>-44</v>
      </c>
      <c r="H436" s="180">
        <v>39</v>
      </c>
      <c r="I436" s="180">
        <v>787</v>
      </c>
      <c r="J436" s="180">
        <v>955</v>
      </c>
      <c r="K436" s="180">
        <v>0</v>
      </c>
      <c r="L436" s="180">
        <v>0</v>
      </c>
      <c r="M436" s="181">
        <v>0</v>
      </c>
      <c r="N436" s="182">
        <v>-126</v>
      </c>
      <c r="O436" s="180">
        <v>-290</v>
      </c>
      <c r="P436" s="180">
        <v>-543</v>
      </c>
      <c r="Q436" s="180">
        <v>-785</v>
      </c>
      <c r="R436" s="180">
        <v>-74</v>
      </c>
      <c r="S436" s="180">
        <v>-223</v>
      </c>
      <c r="T436" s="180">
        <v>-341</v>
      </c>
      <c r="U436" s="180">
        <v>-680</v>
      </c>
      <c r="V436" s="180">
        <v>421</v>
      </c>
      <c r="W436" s="180">
        <v>237</v>
      </c>
      <c r="X436" s="180">
        <v>12</v>
      </c>
      <c r="Y436" s="180">
        <v>-251</v>
      </c>
      <c r="Z436" s="180">
        <v>-44</v>
      </c>
      <c r="AA436" s="180">
        <v>-204</v>
      </c>
      <c r="AB436" s="180">
        <v>12</v>
      </c>
      <c r="AC436" s="180">
        <v>-371</v>
      </c>
      <c r="AD436" s="180">
        <v>39</v>
      </c>
      <c r="AE436" s="180">
        <v>0</v>
      </c>
      <c r="AF436" s="180">
        <v>78</v>
      </c>
      <c r="AG436" s="183">
        <v>0</v>
      </c>
    </row>
    <row r="437" spans="2:33" s="154" customFormat="1" ht="15" customHeight="1" outlineLevel="1">
      <c r="B437" s="196" t="s">
        <v>188</v>
      </c>
      <c r="C437" s="196" t="s">
        <v>361</v>
      </c>
      <c r="D437" s="179">
        <v>48</v>
      </c>
      <c r="E437" s="180">
        <v>692</v>
      </c>
      <c r="F437" s="180">
        <v>1067</v>
      </c>
      <c r="G437" s="180">
        <v>-90</v>
      </c>
      <c r="H437" s="180">
        <v>505</v>
      </c>
      <c r="I437" s="180">
        <v>6</v>
      </c>
      <c r="J437" s="180">
        <v>-152</v>
      </c>
      <c r="K437" s="180">
        <v>355</v>
      </c>
      <c r="L437" s="180">
        <v>2208</v>
      </c>
      <c r="M437" s="181">
        <v>1145</v>
      </c>
      <c r="N437" s="182">
        <v>48</v>
      </c>
      <c r="O437" s="180">
        <v>-130</v>
      </c>
      <c r="P437" s="180">
        <v>-180</v>
      </c>
      <c r="Q437" s="180">
        <v>81</v>
      </c>
      <c r="R437" s="180">
        <v>692</v>
      </c>
      <c r="S437" s="180">
        <v>763</v>
      </c>
      <c r="T437" s="180">
        <v>610</v>
      </c>
      <c r="U437" s="180">
        <v>301</v>
      </c>
      <c r="V437" s="180">
        <v>1067</v>
      </c>
      <c r="W437" s="180">
        <v>743</v>
      </c>
      <c r="X437" s="180">
        <v>301</v>
      </c>
      <c r="Y437" s="180">
        <v>141</v>
      </c>
      <c r="Z437" s="180">
        <v>-90</v>
      </c>
      <c r="AA437" s="180">
        <v>93</v>
      </c>
      <c r="AB437" s="180">
        <v>-24</v>
      </c>
      <c r="AC437" s="180">
        <v>547</v>
      </c>
      <c r="AD437" s="180">
        <v>505</v>
      </c>
      <c r="AE437" s="180">
        <v>146</v>
      </c>
      <c r="AF437" s="180">
        <v>-68</v>
      </c>
      <c r="AG437" s="183">
        <v>-825</v>
      </c>
    </row>
    <row r="438" spans="2:33" s="154" customFormat="1" ht="15" customHeight="1" outlineLevel="1">
      <c r="B438" s="196" t="s">
        <v>188</v>
      </c>
      <c r="C438" s="196" t="s">
        <v>362</v>
      </c>
      <c r="D438" s="179">
        <v>642</v>
      </c>
      <c r="E438" s="180">
        <v>617</v>
      </c>
      <c r="F438" s="180">
        <v>740</v>
      </c>
      <c r="G438" s="180">
        <v>843</v>
      </c>
      <c r="H438" s="180">
        <v>420</v>
      </c>
      <c r="I438" s="180">
        <v>430</v>
      </c>
      <c r="J438" s="180">
        <v>325</v>
      </c>
      <c r="K438" s="180">
        <v>0</v>
      </c>
      <c r="L438" s="180">
        <v>0</v>
      </c>
      <c r="M438" s="181">
        <v>0</v>
      </c>
      <c r="N438" s="182">
        <v>642</v>
      </c>
      <c r="O438" s="180">
        <v>483</v>
      </c>
      <c r="P438" s="180">
        <v>325</v>
      </c>
      <c r="Q438" s="180">
        <v>153</v>
      </c>
      <c r="R438" s="180">
        <v>617</v>
      </c>
      <c r="S438" s="180">
        <v>474</v>
      </c>
      <c r="T438" s="180">
        <v>298</v>
      </c>
      <c r="U438" s="180">
        <v>141</v>
      </c>
      <c r="V438" s="180">
        <v>740</v>
      </c>
      <c r="W438" s="180">
        <v>528</v>
      </c>
      <c r="X438" s="180">
        <v>377</v>
      </c>
      <c r="Y438" s="180">
        <v>198</v>
      </c>
      <c r="Z438" s="180">
        <v>843</v>
      </c>
      <c r="AA438" s="180">
        <v>576</v>
      </c>
      <c r="AB438" s="180">
        <v>319</v>
      </c>
      <c r="AC438" s="180">
        <v>159</v>
      </c>
      <c r="AD438" s="180">
        <v>420</v>
      </c>
      <c r="AE438" s="180">
        <v>88</v>
      </c>
      <c r="AF438" s="180">
        <v>18</v>
      </c>
      <c r="AG438" s="183">
        <v>-40</v>
      </c>
    </row>
    <row r="439" spans="2:33" s="154" customFormat="1" ht="15" customHeight="1" outlineLevel="1">
      <c r="B439" s="196" t="s">
        <v>188</v>
      </c>
      <c r="C439" s="196" t="s">
        <v>363</v>
      </c>
      <c r="D439" s="179">
        <v>3283</v>
      </c>
      <c r="E439" s="180">
        <v>5527</v>
      </c>
      <c r="F439" s="180">
        <v>3969</v>
      </c>
      <c r="G439" s="180">
        <v>3906</v>
      </c>
      <c r="H439" s="180">
        <v>1894</v>
      </c>
      <c r="I439" s="180">
        <v>3949</v>
      </c>
      <c r="J439" s="180">
        <v>3969</v>
      </c>
      <c r="K439" s="180">
        <v>4839</v>
      </c>
      <c r="L439" s="180">
        <v>5310</v>
      </c>
      <c r="M439" s="181">
        <v>3670</v>
      </c>
      <c r="N439" s="182">
        <v>3283</v>
      </c>
      <c r="O439" s="180">
        <v>1842</v>
      </c>
      <c r="P439" s="180">
        <v>499</v>
      </c>
      <c r="Q439" s="180">
        <v>-138</v>
      </c>
      <c r="R439" s="180">
        <v>5527</v>
      </c>
      <c r="S439" s="180">
        <v>3690</v>
      </c>
      <c r="T439" s="180">
        <v>2839</v>
      </c>
      <c r="U439" s="180">
        <v>465</v>
      </c>
      <c r="V439" s="180">
        <v>3969</v>
      </c>
      <c r="W439" s="180">
        <v>2486</v>
      </c>
      <c r="X439" s="180">
        <v>1573</v>
      </c>
      <c r="Y439" s="180">
        <v>238</v>
      </c>
      <c r="Z439" s="180">
        <v>3906</v>
      </c>
      <c r="AA439" s="180">
        <v>2638</v>
      </c>
      <c r="AB439" s="180">
        <v>1837</v>
      </c>
      <c r="AC439" s="180">
        <v>761</v>
      </c>
      <c r="AD439" s="180">
        <v>1894</v>
      </c>
      <c r="AE439" s="180">
        <v>1165</v>
      </c>
      <c r="AF439" s="180">
        <v>1251</v>
      </c>
      <c r="AG439" s="183">
        <v>143</v>
      </c>
    </row>
    <row r="440" spans="2:33" s="154" customFormat="1" ht="15" customHeight="1" outlineLevel="1">
      <c r="B440" s="196" t="s">
        <v>188</v>
      </c>
      <c r="C440" s="196" t="s">
        <v>364</v>
      </c>
      <c r="D440" s="179">
        <v>0</v>
      </c>
      <c r="E440" s="180">
        <v>0</v>
      </c>
      <c r="F440" s="180">
        <v>0</v>
      </c>
      <c r="G440" s="180">
        <v>0</v>
      </c>
      <c r="H440" s="180">
        <v>0</v>
      </c>
      <c r="I440" s="180">
        <v>0</v>
      </c>
      <c r="J440" s="180">
        <v>0</v>
      </c>
      <c r="K440" s="180">
        <v>0</v>
      </c>
      <c r="L440" s="180">
        <v>0</v>
      </c>
      <c r="M440" s="181">
        <v>0</v>
      </c>
      <c r="N440" s="182">
        <v>0</v>
      </c>
      <c r="O440" s="180">
        <v>0</v>
      </c>
      <c r="P440" s="180">
        <v>0</v>
      </c>
      <c r="Q440" s="180">
        <v>0</v>
      </c>
      <c r="R440" s="180">
        <v>0</v>
      </c>
      <c r="S440" s="180">
        <v>0</v>
      </c>
      <c r="T440" s="180">
        <v>0</v>
      </c>
      <c r="U440" s="180">
        <v>0</v>
      </c>
      <c r="V440" s="180">
        <v>0</v>
      </c>
      <c r="W440" s="180">
        <v>0</v>
      </c>
      <c r="X440" s="180">
        <v>0</v>
      </c>
      <c r="Y440" s="180">
        <v>0</v>
      </c>
      <c r="Z440" s="180">
        <v>0</v>
      </c>
      <c r="AA440" s="180">
        <v>0</v>
      </c>
      <c r="AB440" s="180">
        <v>0</v>
      </c>
      <c r="AC440" s="180">
        <v>0</v>
      </c>
      <c r="AD440" s="180">
        <v>0</v>
      </c>
      <c r="AE440" s="180">
        <v>0</v>
      </c>
      <c r="AF440" s="180">
        <v>0</v>
      </c>
      <c r="AG440" s="183">
        <v>0</v>
      </c>
    </row>
    <row r="441" spans="2:33" s="154" customFormat="1" ht="15" customHeight="1" outlineLevel="1" thickBot="1">
      <c r="B441" s="197" t="s">
        <v>188</v>
      </c>
      <c r="C441" s="197" t="s">
        <v>365</v>
      </c>
      <c r="D441" s="198">
        <v>3283</v>
      </c>
      <c r="E441" s="199">
        <v>5527</v>
      </c>
      <c r="F441" s="199">
        <v>3969</v>
      </c>
      <c r="G441" s="199">
        <v>3906</v>
      </c>
      <c r="H441" s="199">
        <v>1894</v>
      </c>
      <c r="I441" s="199">
        <v>3949</v>
      </c>
      <c r="J441" s="199">
        <v>3969</v>
      </c>
      <c r="K441" s="199">
        <v>4839</v>
      </c>
      <c r="L441" s="199">
        <v>5310</v>
      </c>
      <c r="M441" s="200">
        <v>3670</v>
      </c>
      <c r="N441" s="201">
        <v>3283</v>
      </c>
      <c r="O441" s="199">
        <v>1842</v>
      </c>
      <c r="P441" s="199">
        <v>499</v>
      </c>
      <c r="Q441" s="199">
        <v>-138</v>
      </c>
      <c r="R441" s="199">
        <v>5527</v>
      </c>
      <c r="S441" s="199">
        <v>3690</v>
      </c>
      <c r="T441" s="199">
        <v>2839</v>
      </c>
      <c r="U441" s="199">
        <v>465</v>
      </c>
      <c r="V441" s="199">
        <v>3969</v>
      </c>
      <c r="W441" s="199">
        <v>2486</v>
      </c>
      <c r="X441" s="199">
        <v>1573</v>
      </c>
      <c r="Y441" s="199">
        <v>238</v>
      </c>
      <c r="Z441" s="199">
        <v>3906</v>
      </c>
      <c r="AA441" s="199">
        <v>2638</v>
      </c>
      <c r="AB441" s="214">
        <v>1837</v>
      </c>
      <c r="AC441" s="199">
        <v>761</v>
      </c>
      <c r="AD441" s="199">
        <v>1894</v>
      </c>
      <c r="AE441" s="199">
        <v>1165</v>
      </c>
      <c r="AF441" s="199">
        <v>1251</v>
      </c>
      <c r="AG441" s="202">
        <v>143</v>
      </c>
    </row>
    <row r="442" spans="2:33" s="154" customFormat="1" ht="15" customHeight="1" outlineLevel="1">
      <c r="B442" s="167" t="s">
        <v>189</v>
      </c>
      <c r="C442" s="167" t="s">
        <v>366</v>
      </c>
      <c r="D442" s="203">
        <v>135</v>
      </c>
      <c r="E442" s="192">
        <v>14</v>
      </c>
      <c r="F442" s="192">
        <v>18</v>
      </c>
      <c r="G442" s="192">
        <v>16</v>
      </c>
      <c r="H442" s="192">
        <v>44</v>
      </c>
      <c r="I442" s="192">
        <v>0</v>
      </c>
      <c r="J442" s="192">
        <v>40</v>
      </c>
      <c r="K442" s="192">
        <v>0</v>
      </c>
      <c r="L442" s="192">
        <v>0</v>
      </c>
      <c r="M442" s="193">
        <v>0</v>
      </c>
      <c r="N442" s="194">
        <v>135</v>
      </c>
      <c r="O442" s="192">
        <v>81</v>
      </c>
      <c r="P442" s="192">
        <v>34</v>
      </c>
      <c r="Q442" s="192">
        <v>0</v>
      </c>
      <c r="R442" s="192">
        <v>14</v>
      </c>
      <c r="S442" s="192">
        <v>12</v>
      </c>
      <c r="T442" s="192">
        <v>12</v>
      </c>
      <c r="U442" s="192">
        <v>12</v>
      </c>
      <c r="V442" s="192">
        <v>18</v>
      </c>
      <c r="W442" s="192">
        <v>18</v>
      </c>
      <c r="X442" s="192">
        <v>18</v>
      </c>
      <c r="Y442" s="192">
        <v>0</v>
      </c>
      <c r="Z442" s="192">
        <v>16</v>
      </c>
      <c r="AA442" s="192">
        <v>16</v>
      </c>
      <c r="AB442" s="192">
        <v>16</v>
      </c>
      <c r="AC442" s="192">
        <v>0</v>
      </c>
      <c r="AD442" s="192">
        <v>44</v>
      </c>
      <c r="AE442" s="192">
        <v>44</v>
      </c>
      <c r="AF442" s="192">
        <v>44</v>
      </c>
      <c r="AG442" s="195">
        <v>0</v>
      </c>
    </row>
    <row r="443" spans="2:33" s="154" customFormat="1" ht="15" customHeight="1" outlineLevel="1">
      <c r="B443" s="173" t="s">
        <v>189</v>
      </c>
      <c r="C443" s="173" t="s">
        <v>367</v>
      </c>
      <c r="D443" s="179">
        <v>4354</v>
      </c>
      <c r="E443" s="180">
        <v>1435</v>
      </c>
      <c r="F443" s="180">
        <v>1427</v>
      </c>
      <c r="G443" s="180">
        <v>1538</v>
      </c>
      <c r="H443" s="180">
        <v>0</v>
      </c>
      <c r="I443" s="180">
        <v>0</v>
      </c>
      <c r="J443" s="180">
        <v>0</v>
      </c>
      <c r="K443" s="180">
        <v>0</v>
      </c>
      <c r="L443" s="180">
        <v>0</v>
      </c>
      <c r="M443" s="181">
        <v>0</v>
      </c>
      <c r="N443" s="182">
        <v>4354</v>
      </c>
      <c r="O443" s="180">
        <v>3156</v>
      </c>
      <c r="P443" s="180">
        <v>2440</v>
      </c>
      <c r="Q443" s="180">
        <v>640</v>
      </c>
      <c r="R443" s="180">
        <v>1435</v>
      </c>
      <c r="S443" s="180">
        <v>856</v>
      </c>
      <c r="T443" s="180">
        <v>432</v>
      </c>
      <c r="U443" s="180">
        <v>222</v>
      </c>
      <c r="V443" s="180">
        <v>1427</v>
      </c>
      <c r="W443" s="180">
        <v>1184</v>
      </c>
      <c r="X443" s="180">
        <v>838</v>
      </c>
      <c r="Y443" s="180">
        <v>169</v>
      </c>
      <c r="Z443" s="180">
        <v>1538</v>
      </c>
      <c r="AA443" s="180">
        <v>1307</v>
      </c>
      <c r="AB443" s="180">
        <v>982</v>
      </c>
      <c r="AC443" s="180">
        <v>642</v>
      </c>
      <c r="AD443" s="180">
        <v>0</v>
      </c>
      <c r="AE443" s="180">
        <v>0</v>
      </c>
      <c r="AF443" s="180">
        <v>0</v>
      </c>
      <c r="AG443" s="183">
        <v>0</v>
      </c>
    </row>
    <row r="444" spans="2:33" s="154" customFormat="1" ht="15" customHeight="1" outlineLevel="1">
      <c r="B444" s="173" t="s">
        <v>189</v>
      </c>
      <c r="C444" s="173" t="s">
        <v>368</v>
      </c>
      <c r="D444" s="179">
        <v>0</v>
      </c>
      <c r="E444" s="180">
        <v>0</v>
      </c>
      <c r="F444" s="180">
        <v>0</v>
      </c>
      <c r="G444" s="180">
        <v>0</v>
      </c>
      <c r="H444" s="180">
        <v>2333</v>
      </c>
      <c r="I444" s="180">
        <v>3679</v>
      </c>
      <c r="J444" s="180">
        <v>10320</v>
      </c>
      <c r="K444" s="180">
        <v>12168</v>
      </c>
      <c r="L444" s="180">
        <v>10469</v>
      </c>
      <c r="M444" s="181">
        <v>10078</v>
      </c>
      <c r="N444" s="182">
        <v>0</v>
      </c>
      <c r="O444" s="180">
        <v>0</v>
      </c>
      <c r="P444" s="180">
        <v>0</v>
      </c>
      <c r="Q444" s="180">
        <v>0</v>
      </c>
      <c r="R444" s="180">
        <v>0</v>
      </c>
      <c r="S444" s="180">
        <v>0</v>
      </c>
      <c r="T444" s="180">
        <v>0</v>
      </c>
      <c r="U444" s="180">
        <v>0</v>
      </c>
      <c r="V444" s="180">
        <v>0</v>
      </c>
      <c r="W444" s="180">
        <v>0</v>
      </c>
      <c r="X444" s="180">
        <v>0</v>
      </c>
      <c r="Y444" s="180">
        <v>0</v>
      </c>
      <c r="Z444" s="180">
        <v>0</v>
      </c>
      <c r="AA444" s="180">
        <v>0</v>
      </c>
      <c r="AB444" s="180">
        <v>0</v>
      </c>
      <c r="AC444" s="180">
        <v>0</v>
      </c>
      <c r="AD444" s="180">
        <v>2333</v>
      </c>
      <c r="AE444" s="180">
        <v>2034</v>
      </c>
      <c r="AF444" s="180">
        <v>1752</v>
      </c>
      <c r="AG444" s="183">
        <v>434</v>
      </c>
    </row>
    <row r="445" spans="2:33" s="154" customFormat="1" ht="15" customHeight="1" outlineLevel="1">
      <c r="B445" s="173" t="s">
        <v>189</v>
      </c>
      <c r="C445" s="173" t="s">
        <v>369</v>
      </c>
      <c r="D445" s="179">
        <v>-513</v>
      </c>
      <c r="E445" s="180">
        <v>-675</v>
      </c>
      <c r="F445" s="180">
        <v>-444</v>
      </c>
      <c r="G445" s="180">
        <v>-367</v>
      </c>
      <c r="H445" s="180">
        <v>-440</v>
      </c>
      <c r="I445" s="180">
        <v>-831</v>
      </c>
      <c r="J445" s="180">
        <v>-896</v>
      </c>
      <c r="K445" s="180">
        <v>-728</v>
      </c>
      <c r="L445" s="180">
        <v>-525</v>
      </c>
      <c r="M445" s="181">
        <v>-329</v>
      </c>
      <c r="N445" s="182">
        <v>-513</v>
      </c>
      <c r="O445" s="180">
        <v>-383</v>
      </c>
      <c r="P445" s="180">
        <v>-262</v>
      </c>
      <c r="Q445" s="180">
        <v>-142</v>
      </c>
      <c r="R445" s="180">
        <v>-675</v>
      </c>
      <c r="S445" s="180">
        <v>-510</v>
      </c>
      <c r="T445" s="180">
        <v>-296</v>
      </c>
      <c r="U445" s="180">
        <v>-137</v>
      </c>
      <c r="V445" s="180">
        <v>-444</v>
      </c>
      <c r="W445" s="180">
        <v>-284</v>
      </c>
      <c r="X445" s="180">
        <v>-191</v>
      </c>
      <c r="Y445" s="180">
        <v>-46</v>
      </c>
      <c r="Z445" s="180">
        <v>-367</v>
      </c>
      <c r="AA445" s="180">
        <v>-249</v>
      </c>
      <c r="AB445" s="180">
        <v>-179</v>
      </c>
      <c r="AC445" s="180">
        <v>-80</v>
      </c>
      <c r="AD445" s="180">
        <v>-440</v>
      </c>
      <c r="AE445" s="180">
        <v>-401</v>
      </c>
      <c r="AF445" s="180">
        <v>-264</v>
      </c>
      <c r="AG445" s="183">
        <v>-122</v>
      </c>
    </row>
    <row r="446" spans="2:33" s="154" customFormat="1" ht="15" customHeight="1" outlineLevel="1">
      <c r="B446" s="173" t="s">
        <v>189</v>
      </c>
      <c r="C446" s="173" t="s">
        <v>370</v>
      </c>
      <c r="D446" s="179">
        <v>-4844</v>
      </c>
      <c r="E446" s="180">
        <v>-2562</v>
      </c>
      <c r="F446" s="180">
        <v>-376</v>
      </c>
      <c r="G446" s="180">
        <v>-3613</v>
      </c>
      <c r="H446" s="180">
        <v>-176</v>
      </c>
      <c r="I446" s="180">
        <v>-2217</v>
      </c>
      <c r="J446" s="180">
        <v>-118</v>
      </c>
      <c r="K446" s="180">
        <v>0</v>
      </c>
      <c r="L446" s="180">
        <v>0</v>
      </c>
      <c r="M446" s="181">
        <v>0</v>
      </c>
      <c r="N446" s="182">
        <v>-4844</v>
      </c>
      <c r="O446" s="180">
        <v>-4708</v>
      </c>
      <c r="P446" s="180">
        <v>-2411</v>
      </c>
      <c r="Q446" s="180">
        <v>-245</v>
      </c>
      <c r="R446" s="180">
        <v>-2562</v>
      </c>
      <c r="S446" s="180">
        <v>-2564</v>
      </c>
      <c r="T446" s="180">
        <v>-1901</v>
      </c>
      <c r="U446" s="180">
        <v>-1473</v>
      </c>
      <c r="V446" s="180">
        <v>-376</v>
      </c>
      <c r="W446" s="180">
        <v>-246</v>
      </c>
      <c r="X446" s="180">
        <v>-222</v>
      </c>
      <c r="Y446" s="180">
        <v>-133</v>
      </c>
      <c r="Z446" s="180">
        <v>-3613</v>
      </c>
      <c r="AA446" s="180">
        <v>-3</v>
      </c>
      <c r="AB446" s="180">
        <v>-3</v>
      </c>
      <c r="AC446" s="180">
        <v>-3</v>
      </c>
      <c r="AD446" s="180">
        <v>-176</v>
      </c>
      <c r="AE446" s="180">
        <v>-165</v>
      </c>
      <c r="AF446" s="180">
        <v>-165</v>
      </c>
      <c r="AG446" s="183">
        <v>-170</v>
      </c>
    </row>
    <row r="447" spans="2:33" s="154" customFormat="1" ht="15" customHeight="1" outlineLevel="1">
      <c r="B447" s="173" t="s">
        <v>189</v>
      </c>
      <c r="C447" s="173" t="s">
        <v>371</v>
      </c>
      <c r="D447" s="179">
        <v>-2615</v>
      </c>
      <c r="E447" s="180">
        <v>-4656</v>
      </c>
      <c r="F447" s="180">
        <v>-1790</v>
      </c>
      <c r="G447" s="180">
        <v>-1383</v>
      </c>
      <c r="H447" s="180">
        <v>0</v>
      </c>
      <c r="I447" s="180">
        <v>0</v>
      </c>
      <c r="J447" s="180">
        <v>0</v>
      </c>
      <c r="K447" s="180">
        <v>0</v>
      </c>
      <c r="L447" s="180">
        <v>0</v>
      </c>
      <c r="M447" s="181">
        <v>0</v>
      </c>
      <c r="N447" s="182">
        <v>-2615</v>
      </c>
      <c r="O447" s="180">
        <v>-1831</v>
      </c>
      <c r="P447" s="180">
        <v>-1190</v>
      </c>
      <c r="Q447" s="180">
        <v>-673</v>
      </c>
      <c r="R447" s="180">
        <v>-4656</v>
      </c>
      <c r="S447" s="180">
        <v>-2419</v>
      </c>
      <c r="T447" s="180">
        <v>-781</v>
      </c>
      <c r="U447" s="180">
        <v>-240</v>
      </c>
      <c r="V447" s="180">
        <v>-1790</v>
      </c>
      <c r="W447" s="180">
        <v>-1186</v>
      </c>
      <c r="X447" s="180">
        <v>-1063</v>
      </c>
      <c r="Y447" s="180">
        <v>-350</v>
      </c>
      <c r="Z447" s="180">
        <v>-1383</v>
      </c>
      <c r="AA447" s="180">
        <v>-1182</v>
      </c>
      <c r="AB447" s="180">
        <v>-776</v>
      </c>
      <c r="AC447" s="180">
        <v>-428</v>
      </c>
      <c r="AD447" s="180">
        <v>0</v>
      </c>
      <c r="AE447" s="180">
        <v>0</v>
      </c>
      <c r="AF447" s="180">
        <v>0</v>
      </c>
      <c r="AG447" s="183">
        <v>0</v>
      </c>
    </row>
    <row r="448" spans="2:33" s="154" customFormat="1" ht="15" customHeight="1" outlineLevel="1">
      <c r="B448" s="173" t="s">
        <v>189</v>
      </c>
      <c r="C448" s="173" t="s">
        <v>372</v>
      </c>
      <c r="D448" s="179">
        <v>0</v>
      </c>
      <c r="E448" s="180">
        <v>0</v>
      </c>
      <c r="F448" s="180">
        <v>0</v>
      </c>
      <c r="G448" s="180">
        <v>0</v>
      </c>
      <c r="H448" s="180">
        <v>-1584</v>
      </c>
      <c r="I448" s="180">
        <v>-2394</v>
      </c>
      <c r="J448" s="180">
        <v>-8343</v>
      </c>
      <c r="K448" s="180">
        <v>-7562</v>
      </c>
      <c r="L448" s="180">
        <v>-12261</v>
      </c>
      <c r="M448" s="181">
        <v>-12099</v>
      </c>
      <c r="N448" s="182">
        <v>0</v>
      </c>
      <c r="O448" s="180">
        <v>0</v>
      </c>
      <c r="P448" s="180">
        <v>0</v>
      </c>
      <c r="Q448" s="180">
        <v>0</v>
      </c>
      <c r="R448" s="180">
        <v>0</v>
      </c>
      <c r="S448" s="180">
        <v>0</v>
      </c>
      <c r="T448" s="180">
        <v>0</v>
      </c>
      <c r="U448" s="180">
        <v>0</v>
      </c>
      <c r="V448" s="180">
        <v>0</v>
      </c>
      <c r="W448" s="180">
        <v>0</v>
      </c>
      <c r="X448" s="180">
        <v>0</v>
      </c>
      <c r="Y448" s="180">
        <v>0</v>
      </c>
      <c r="Z448" s="180">
        <v>0</v>
      </c>
      <c r="AA448" s="180">
        <v>0</v>
      </c>
      <c r="AB448" s="180">
        <v>0</v>
      </c>
      <c r="AC448" s="180">
        <v>0</v>
      </c>
      <c r="AD448" s="180">
        <v>-1584</v>
      </c>
      <c r="AE448" s="180">
        <v>-1150</v>
      </c>
      <c r="AF448" s="180">
        <v>-788</v>
      </c>
      <c r="AG448" s="183">
        <v>-172</v>
      </c>
    </row>
    <row r="449" spans="2:33" s="154" customFormat="1" ht="15" customHeight="1" outlineLevel="1">
      <c r="B449" s="173" t="s">
        <v>189</v>
      </c>
      <c r="C449" s="173" t="s">
        <v>373</v>
      </c>
      <c r="D449" s="179">
        <v>167</v>
      </c>
      <c r="E449" s="180">
        <v>278</v>
      </c>
      <c r="F449" s="180">
        <v>0</v>
      </c>
      <c r="G449" s="180">
        <v>0</v>
      </c>
      <c r="H449" s="180">
        <v>0</v>
      </c>
      <c r="I449" s="180">
        <v>0</v>
      </c>
      <c r="J449" s="180">
        <v>0</v>
      </c>
      <c r="K449" s="180">
        <v>0</v>
      </c>
      <c r="L449" s="180">
        <v>0</v>
      </c>
      <c r="M449" s="181">
        <v>-464</v>
      </c>
      <c r="N449" s="182">
        <v>167</v>
      </c>
      <c r="O449" s="180">
        <v>136</v>
      </c>
      <c r="P449" s="180">
        <v>102</v>
      </c>
      <c r="Q449" s="180">
        <v>55</v>
      </c>
      <c r="R449" s="180">
        <v>278</v>
      </c>
      <c r="S449" s="180">
        <v>204</v>
      </c>
      <c r="T449" s="180">
        <v>135</v>
      </c>
      <c r="U449" s="180">
        <v>67</v>
      </c>
      <c r="V449" s="180">
        <v>0</v>
      </c>
      <c r="W449" s="180">
        <v>-410</v>
      </c>
      <c r="X449" s="180">
        <v>0</v>
      </c>
      <c r="Y449" s="180">
        <v>0</v>
      </c>
      <c r="Z449" s="180">
        <v>0</v>
      </c>
      <c r="AA449" s="180">
        <v>0</v>
      </c>
      <c r="AB449" s="180">
        <v>0</v>
      </c>
      <c r="AC449" s="180">
        <v>0</v>
      </c>
      <c r="AD449" s="180">
        <v>0</v>
      </c>
      <c r="AE449" s="180">
        <v>0</v>
      </c>
      <c r="AF449" s="180">
        <v>0</v>
      </c>
      <c r="AG449" s="183">
        <v>0</v>
      </c>
    </row>
    <row r="450" spans="2:33" s="154" customFormat="1" ht="15" customHeight="1" outlineLevel="1">
      <c r="B450" s="173" t="s">
        <v>189</v>
      </c>
      <c r="C450" s="173" t="s">
        <v>374</v>
      </c>
      <c r="D450" s="179">
        <v>0</v>
      </c>
      <c r="E450" s="180">
        <v>0</v>
      </c>
      <c r="F450" s="180">
        <v>0</v>
      </c>
      <c r="G450" s="180">
        <v>0</v>
      </c>
      <c r="H450" s="180">
        <v>0</v>
      </c>
      <c r="I450" s="180">
        <v>0</v>
      </c>
      <c r="J450" s="180">
        <v>0</v>
      </c>
      <c r="K450" s="180">
        <v>0</v>
      </c>
      <c r="L450" s="180">
        <v>0</v>
      </c>
      <c r="M450" s="181">
        <v>0</v>
      </c>
      <c r="N450" s="182">
        <v>0</v>
      </c>
      <c r="O450" s="180">
        <v>0</v>
      </c>
      <c r="P450" s="180">
        <v>0</v>
      </c>
      <c r="Q450" s="180">
        <v>0</v>
      </c>
      <c r="R450" s="180">
        <v>0</v>
      </c>
      <c r="S450" s="180">
        <v>0</v>
      </c>
      <c r="T450" s="180">
        <v>0</v>
      </c>
      <c r="U450" s="180">
        <v>0</v>
      </c>
      <c r="V450" s="180">
        <v>0</v>
      </c>
      <c r="W450" s="180">
        <v>0</v>
      </c>
      <c r="X450" s="180">
        <v>0</v>
      </c>
      <c r="Y450" s="180">
        <v>0</v>
      </c>
      <c r="Z450" s="180">
        <v>0</v>
      </c>
      <c r="AA450" s="180">
        <v>0</v>
      </c>
      <c r="AB450" s="180">
        <v>0</v>
      </c>
      <c r="AC450" s="180">
        <v>0</v>
      </c>
      <c r="AD450" s="180">
        <v>0</v>
      </c>
      <c r="AE450" s="180">
        <v>0</v>
      </c>
      <c r="AF450" s="180">
        <v>0</v>
      </c>
      <c r="AG450" s="183">
        <v>0</v>
      </c>
    </row>
    <row r="451" spans="2:33" s="154" customFormat="1" ht="15" customHeight="1" outlineLevel="1" thickBot="1">
      <c r="B451" s="184" t="s">
        <v>189</v>
      </c>
      <c r="C451" s="184" t="s">
        <v>375</v>
      </c>
      <c r="D451" s="185">
        <v>-3316</v>
      </c>
      <c r="E451" s="186">
        <v>-6166</v>
      </c>
      <c r="F451" s="186">
        <v>-1165</v>
      </c>
      <c r="G451" s="186">
        <v>-3809</v>
      </c>
      <c r="H451" s="186">
        <v>177</v>
      </c>
      <c r="I451" s="186">
        <v>-1763</v>
      </c>
      <c r="J451" s="186">
        <v>1003</v>
      </c>
      <c r="K451" s="186">
        <v>3878</v>
      </c>
      <c r="L451" s="186">
        <v>-2317</v>
      </c>
      <c r="M451" s="187">
        <v>-2814</v>
      </c>
      <c r="N451" s="188">
        <v>-3316</v>
      </c>
      <c r="O451" s="186">
        <v>-3549</v>
      </c>
      <c r="P451" s="186">
        <v>-1287</v>
      </c>
      <c r="Q451" s="186">
        <v>-365</v>
      </c>
      <c r="R451" s="186">
        <v>-6166</v>
      </c>
      <c r="S451" s="186">
        <v>-4421</v>
      </c>
      <c r="T451" s="186">
        <v>-2399</v>
      </c>
      <c r="U451" s="186">
        <v>-1549</v>
      </c>
      <c r="V451" s="186">
        <v>-1165</v>
      </c>
      <c r="W451" s="186">
        <v>-924</v>
      </c>
      <c r="X451" s="186">
        <v>-620</v>
      </c>
      <c r="Y451" s="186">
        <v>-360</v>
      </c>
      <c r="Z451" s="186">
        <v>-3809</v>
      </c>
      <c r="AA451" s="186">
        <v>-111</v>
      </c>
      <c r="AB451" s="186">
        <v>40</v>
      </c>
      <c r="AC451" s="186">
        <v>131</v>
      </c>
      <c r="AD451" s="186">
        <v>177</v>
      </c>
      <c r="AE451" s="186">
        <v>362</v>
      </c>
      <c r="AF451" s="186">
        <v>579</v>
      </c>
      <c r="AG451" s="189">
        <v>-30</v>
      </c>
    </row>
    <row r="452" spans="2:33" s="154" customFormat="1" ht="15" customHeight="1" outlineLevel="1">
      <c r="B452" s="215" t="s">
        <v>190</v>
      </c>
      <c r="C452" s="215" t="s">
        <v>376</v>
      </c>
      <c r="D452" s="206">
        <v>3311</v>
      </c>
      <c r="E452" s="207">
        <v>4685</v>
      </c>
      <c r="F452" s="207">
        <v>3069</v>
      </c>
      <c r="G452" s="207">
        <v>2058</v>
      </c>
      <c r="H452" s="207">
        <v>1519</v>
      </c>
      <c r="I452" s="207">
        <v>66</v>
      </c>
      <c r="J452" s="207">
        <v>100</v>
      </c>
      <c r="K452" s="207">
        <v>0</v>
      </c>
      <c r="L452" s="207">
        <v>0</v>
      </c>
      <c r="M452" s="208">
        <v>0</v>
      </c>
      <c r="N452" s="209">
        <v>3311</v>
      </c>
      <c r="O452" s="207">
        <v>2498</v>
      </c>
      <c r="P452" s="207">
        <v>1289</v>
      </c>
      <c r="Q452" s="207">
        <v>609</v>
      </c>
      <c r="R452" s="207">
        <v>4685</v>
      </c>
      <c r="S452" s="207">
        <v>3317</v>
      </c>
      <c r="T452" s="207">
        <v>2433</v>
      </c>
      <c r="U452" s="207">
        <v>1930</v>
      </c>
      <c r="V452" s="207">
        <v>3069</v>
      </c>
      <c r="W452" s="207">
        <v>2554</v>
      </c>
      <c r="X452" s="207">
        <v>1333</v>
      </c>
      <c r="Y452" s="207">
        <v>268</v>
      </c>
      <c r="Z452" s="207">
        <v>2058</v>
      </c>
      <c r="AA452" s="207">
        <v>1748</v>
      </c>
      <c r="AB452" s="207">
        <v>1491</v>
      </c>
      <c r="AC452" s="207">
        <v>497</v>
      </c>
      <c r="AD452" s="207">
        <v>1519</v>
      </c>
      <c r="AE452" s="207">
        <v>1772</v>
      </c>
      <c r="AF452" s="207">
        <v>1619</v>
      </c>
      <c r="AG452" s="210">
        <v>1591</v>
      </c>
    </row>
    <row r="453" spans="2:33" s="154" customFormat="1" ht="15" customHeight="1" outlineLevel="1">
      <c r="B453" s="196" t="s">
        <v>190</v>
      </c>
      <c r="C453" s="196" t="s">
        <v>377</v>
      </c>
      <c r="D453" s="179">
        <v>52</v>
      </c>
      <c r="E453" s="180">
        <v>40</v>
      </c>
      <c r="F453" s="180">
        <v>12</v>
      </c>
      <c r="G453" s="180">
        <v>2</v>
      </c>
      <c r="H453" s="180">
        <v>79</v>
      </c>
      <c r="I453" s="180">
        <v>136</v>
      </c>
      <c r="J453" s="180">
        <v>314</v>
      </c>
      <c r="K453" s="180">
        <v>1023</v>
      </c>
      <c r="L453" s="180">
        <v>1091</v>
      </c>
      <c r="M453" s="181">
        <v>617</v>
      </c>
      <c r="N453" s="182">
        <v>52</v>
      </c>
      <c r="O453" s="180">
        <v>49</v>
      </c>
      <c r="P453" s="180">
        <v>44</v>
      </c>
      <c r="Q453" s="180">
        <v>38</v>
      </c>
      <c r="R453" s="180">
        <v>40</v>
      </c>
      <c r="S453" s="180">
        <v>34</v>
      </c>
      <c r="T453" s="180">
        <v>29</v>
      </c>
      <c r="U453" s="180">
        <v>10</v>
      </c>
      <c r="V453" s="180">
        <v>12</v>
      </c>
      <c r="W453" s="180">
        <v>11</v>
      </c>
      <c r="X453" s="180">
        <v>9</v>
      </c>
      <c r="Y453" s="180">
        <v>7</v>
      </c>
      <c r="Z453" s="180">
        <v>2</v>
      </c>
      <c r="AA453" s="180">
        <v>0</v>
      </c>
      <c r="AB453" s="180">
        <v>0</v>
      </c>
      <c r="AC453" s="180">
        <v>0</v>
      </c>
      <c r="AD453" s="180">
        <v>79</v>
      </c>
      <c r="AE453" s="180">
        <v>79</v>
      </c>
      <c r="AF453" s="180">
        <v>68</v>
      </c>
      <c r="AG453" s="183">
        <v>21</v>
      </c>
    </row>
    <row r="454" spans="2:33" s="154" customFormat="1" ht="15" customHeight="1" outlineLevel="1">
      <c r="B454" s="196" t="s">
        <v>190</v>
      </c>
      <c r="C454" s="196" t="s">
        <v>378</v>
      </c>
      <c r="D454" s="179">
        <v>-3248</v>
      </c>
      <c r="E454" s="180">
        <v>-1435</v>
      </c>
      <c r="F454" s="180">
        <v>-1630</v>
      </c>
      <c r="G454" s="180">
        <v>-122</v>
      </c>
      <c r="H454" s="180">
        <v>-237</v>
      </c>
      <c r="I454" s="180">
        <v>-265</v>
      </c>
      <c r="J454" s="180">
        <v>0</v>
      </c>
      <c r="K454" s="180">
        <v>0</v>
      </c>
      <c r="L454" s="180">
        <v>0</v>
      </c>
      <c r="M454" s="181">
        <v>0</v>
      </c>
      <c r="N454" s="182">
        <v>-3248</v>
      </c>
      <c r="O454" s="180">
        <v>-2822</v>
      </c>
      <c r="P454" s="180">
        <v>-2104</v>
      </c>
      <c r="Q454" s="180">
        <v>-863</v>
      </c>
      <c r="R454" s="180">
        <v>-1435</v>
      </c>
      <c r="S454" s="180">
        <v>-1055</v>
      </c>
      <c r="T454" s="180">
        <v>-693</v>
      </c>
      <c r="U454" s="180">
        <v>-323</v>
      </c>
      <c r="V454" s="180">
        <v>-1630</v>
      </c>
      <c r="W454" s="180">
        <v>-1115</v>
      </c>
      <c r="X454" s="180">
        <v>-819</v>
      </c>
      <c r="Y454" s="180">
        <v>-566</v>
      </c>
      <c r="Z454" s="180">
        <v>-122</v>
      </c>
      <c r="AA454" s="180">
        <v>-62</v>
      </c>
      <c r="AB454" s="180">
        <v>-112</v>
      </c>
      <c r="AC454" s="180">
        <v>-11</v>
      </c>
      <c r="AD454" s="180">
        <v>-237</v>
      </c>
      <c r="AE454" s="180">
        <v>-237</v>
      </c>
      <c r="AF454" s="180">
        <v>-223</v>
      </c>
      <c r="AG454" s="183">
        <v>-200</v>
      </c>
    </row>
    <row r="455" spans="2:33" s="154" customFormat="1" ht="15" customHeight="1" outlineLevel="1">
      <c r="B455" s="196" t="s">
        <v>190</v>
      </c>
      <c r="C455" s="196" t="s">
        <v>379</v>
      </c>
      <c r="D455" s="179">
        <v>-724</v>
      </c>
      <c r="E455" s="180">
        <v>-2717</v>
      </c>
      <c r="F455" s="180">
        <v>-800</v>
      </c>
      <c r="G455" s="180">
        <v>0</v>
      </c>
      <c r="H455" s="180">
        <v>-2867</v>
      </c>
      <c r="I455" s="180">
        <v>-4004</v>
      </c>
      <c r="J455" s="180">
        <v>-3026</v>
      </c>
      <c r="K455" s="180">
        <v>-7249</v>
      </c>
      <c r="L455" s="180">
        <v>-4219</v>
      </c>
      <c r="M455" s="181">
        <v>0</v>
      </c>
      <c r="N455" s="182">
        <v>-724</v>
      </c>
      <c r="O455" s="180">
        <v>-724</v>
      </c>
      <c r="P455" s="180">
        <v>-724</v>
      </c>
      <c r="Q455" s="180">
        <v>-324</v>
      </c>
      <c r="R455" s="180">
        <v>-2717</v>
      </c>
      <c r="S455" s="180">
        <v>-2180</v>
      </c>
      <c r="T455" s="180">
        <v>-1580</v>
      </c>
      <c r="U455" s="180">
        <v>-450</v>
      </c>
      <c r="V455" s="180">
        <v>-800</v>
      </c>
      <c r="W455" s="180">
        <v>-600</v>
      </c>
      <c r="X455" s="180">
        <v>-400</v>
      </c>
      <c r="Y455" s="180">
        <v>-200</v>
      </c>
      <c r="Z455" s="180">
        <v>0</v>
      </c>
      <c r="AA455" s="180">
        <v>0</v>
      </c>
      <c r="AB455" s="180">
        <v>0</v>
      </c>
      <c r="AC455" s="180">
        <v>0</v>
      </c>
      <c r="AD455" s="180">
        <v>-2867</v>
      </c>
      <c r="AE455" s="180">
        <v>-2866</v>
      </c>
      <c r="AF455" s="180">
        <v>-2451</v>
      </c>
      <c r="AG455" s="183">
        <v>-1031</v>
      </c>
    </row>
    <row r="456" spans="2:33" s="154" customFormat="1" ht="15" customHeight="1" outlineLevel="1">
      <c r="B456" s="196" t="s">
        <v>190</v>
      </c>
      <c r="C456" s="196" t="s">
        <v>380</v>
      </c>
      <c r="D456" s="179">
        <v>-278</v>
      </c>
      <c r="E456" s="180">
        <v>0</v>
      </c>
      <c r="F456" s="180">
        <v>0</v>
      </c>
      <c r="G456" s="180">
        <v>0</v>
      </c>
      <c r="H456" s="180">
        <v>0</v>
      </c>
      <c r="I456" s="180">
        <v>0</v>
      </c>
      <c r="J456" s="180">
        <v>0</v>
      </c>
      <c r="K456" s="180">
        <v>0</v>
      </c>
      <c r="L456" s="180">
        <v>0</v>
      </c>
      <c r="M456" s="181">
        <v>0</v>
      </c>
      <c r="N456" s="182">
        <v>-278</v>
      </c>
      <c r="O456" s="180">
        <v>-139</v>
      </c>
      <c r="P456" s="180">
        <v>0</v>
      </c>
      <c r="Q456" s="180">
        <v>0</v>
      </c>
      <c r="R456" s="180">
        <v>0</v>
      </c>
      <c r="S456" s="180">
        <v>0</v>
      </c>
      <c r="T456" s="180">
        <v>0</v>
      </c>
      <c r="U456" s="180">
        <v>0</v>
      </c>
      <c r="V456" s="180">
        <v>0</v>
      </c>
      <c r="W456" s="180">
        <v>0</v>
      </c>
      <c r="X456" s="180">
        <v>0</v>
      </c>
      <c r="Y456" s="180">
        <v>0</v>
      </c>
      <c r="Z456" s="180">
        <v>0</v>
      </c>
      <c r="AA456" s="180">
        <v>0</v>
      </c>
      <c r="AB456" s="180">
        <v>0</v>
      </c>
      <c r="AC456" s="180">
        <v>0</v>
      </c>
      <c r="AD456" s="180">
        <v>0</v>
      </c>
      <c r="AE456" s="180">
        <v>0</v>
      </c>
      <c r="AF456" s="180">
        <v>0</v>
      </c>
      <c r="AG456" s="183">
        <v>0</v>
      </c>
    </row>
    <row r="457" spans="2:33" s="154" customFormat="1" ht="15" customHeight="1" outlineLevel="1">
      <c r="B457" s="196" t="s">
        <v>190</v>
      </c>
      <c r="C457" s="196" t="s">
        <v>381</v>
      </c>
      <c r="D457" s="179">
        <v>-323</v>
      </c>
      <c r="E457" s="180">
        <v>4</v>
      </c>
      <c r="F457" s="180">
        <v>-174</v>
      </c>
      <c r="G457" s="180">
        <v>74</v>
      </c>
      <c r="H457" s="180">
        <v>100</v>
      </c>
      <c r="I457" s="180">
        <v>-53</v>
      </c>
      <c r="J457" s="180">
        <v>61</v>
      </c>
      <c r="K457" s="180">
        <v>0</v>
      </c>
      <c r="L457" s="180">
        <v>0</v>
      </c>
      <c r="M457" s="181">
        <v>-2000</v>
      </c>
      <c r="N457" s="182">
        <v>-323</v>
      </c>
      <c r="O457" s="180">
        <v>8</v>
      </c>
      <c r="P457" s="180">
        <v>8</v>
      </c>
      <c r="Q457" s="180">
        <v>8</v>
      </c>
      <c r="R457" s="180">
        <v>4</v>
      </c>
      <c r="S457" s="180">
        <v>3</v>
      </c>
      <c r="T457" s="180">
        <v>2</v>
      </c>
      <c r="U457" s="180">
        <v>3</v>
      </c>
      <c r="V457" s="180">
        <v>-174</v>
      </c>
      <c r="W457" s="180">
        <v>-174</v>
      </c>
      <c r="X457" s="180">
        <v>2</v>
      </c>
      <c r="Y457" s="180">
        <v>237</v>
      </c>
      <c r="Z457" s="180">
        <v>74</v>
      </c>
      <c r="AA457" s="180">
        <v>43</v>
      </c>
      <c r="AB457" s="180">
        <v>0</v>
      </c>
      <c r="AC457" s="180">
        <v>-1</v>
      </c>
      <c r="AD457" s="180">
        <v>100</v>
      </c>
      <c r="AE457" s="180">
        <v>0</v>
      </c>
      <c r="AF457" s="180">
        <v>0</v>
      </c>
      <c r="AG457" s="183">
        <v>6</v>
      </c>
    </row>
    <row r="458" spans="2:33" s="154" customFormat="1" ht="15" customHeight="1" outlineLevel="1">
      <c r="B458" s="196" t="s">
        <v>190</v>
      </c>
      <c r="C458" s="196" t="s">
        <v>382</v>
      </c>
      <c r="D458" s="179">
        <v>0</v>
      </c>
      <c r="E458" s="180">
        <v>0</v>
      </c>
      <c r="F458" s="180">
        <v>0</v>
      </c>
      <c r="G458" s="180">
        <v>0</v>
      </c>
      <c r="H458" s="180">
        <v>0</v>
      </c>
      <c r="I458" s="180">
        <v>0</v>
      </c>
      <c r="J458" s="180">
        <v>0</v>
      </c>
      <c r="K458" s="180">
        <v>0</v>
      </c>
      <c r="L458" s="180">
        <v>0</v>
      </c>
      <c r="M458" s="181">
        <v>0</v>
      </c>
      <c r="N458" s="182">
        <v>0</v>
      </c>
      <c r="O458" s="180">
        <v>0</v>
      </c>
      <c r="P458" s="180">
        <v>0</v>
      </c>
      <c r="Q458" s="180">
        <v>0</v>
      </c>
      <c r="R458" s="180">
        <v>0</v>
      </c>
      <c r="S458" s="180">
        <v>0</v>
      </c>
      <c r="T458" s="180">
        <v>0</v>
      </c>
      <c r="U458" s="180">
        <v>0</v>
      </c>
      <c r="V458" s="180">
        <v>0</v>
      </c>
      <c r="W458" s="180">
        <v>0</v>
      </c>
      <c r="X458" s="180">
        <v>0</v>
      </c>
      <c r="Y458" s="180">
        <v>0</v>
      </c>
      <c r="Z458" s="180">
        <v>0</v>
      </c>
      <c r="AA458" s="180">
        <v>0</v>
      </c>
      <c r="AB458" s="180">
        <v>0</v>
      </c>
      <c r="AC458" s="180">
        <v>0</v>
      </c>
      <c r="AD458" s="180">
        <v>0</v>
      </c>
      <c r="AE458" s="180">
        <v>0</v>
      </c>
      <c r="AF458" s="180">
        <v>0</v>
      </c>
      <c r="AG458" s="183">
        <v>0</v>
      </c>
    </row>
    <row r="459" spans="2:33" s="154" customFormat="1" ht="15" customHeight="1" outlineLevel="1" thickBot="1">
      <c r="B459" s="197" t="s">
        <v>190</v>
      </c>
      <c r="C459" s="197" t="s">
        <v>383</v>
      </c>
      <c r="D459" s="198">
        <v>-1210</v>
      </c>
      <c r="E459" s="199">
        <v>577</v>
      </c>
      <c r="F459" s="199">
        <v>477</v>
      </c>
      <c r="G459" s="199">
        <v>2012</v>
      </c>
      <c r="H459" s="199">
        <v>-1406</v>
      </c>
      <c r="I459" s="199">
        <v>-4120</v>
      </c>
      <c r="J459" s="199">
        <v>-2551</v>
      </c>
      <c r="K459" s="199">
        <v>-6226</v>
      </c>
      <c r="L459" s="199">
        <v>-3128</v>
      </c>
      <c r="M459" s="200">
        <v>-1383</v>
      </c>
      <c r="N459" s="201">
        <v>-1210</v>
      </c>
      <c r="O459" s="199">
        <v>-1130</v>
      </c>
      <c r="P459" s="199">
        <v>-1487</v>
      </c>
      <c r="Q459" s="199">
        <v>-532</v>
      </c>
      <c r="R459" s="199">
        <v>577</v>
      </c>
      <c r="S459" s="199">
        <v>119</v>
      </c>
      <c r="T459" s="199">
        <v>191</v>
      </c>
      <c r="U459" s="199">
        <v>1170</v>
      </c>
      <c r="V459" s="199">
        <v>477</v>
      </c>
      <c r="W459" s="199">
        <v>676</v>
      </c>
      <c r="X459" s="199">
        <v>125</v>
      </c>
      <c r="Y459" s="199">
        <v>-254</v>
      </c>
      <c r="Z459" s="199">
        <v>2012</v>
      </c>
      <c r="AA459" s="199">
        <v>1729</v>
      </c>
      <c r="AB459" s="199">
        <v>1379</v>
      </c>
      <c r="AC459" s="199">
        <v>485</v>
      </c>
      <c r="AD459" s="199">
        <v>-1406</v>
      </c>
      <c r="AE459" s="199">
        <v>-1252</v>
      </c>
      <c r="AF459" s="199">
        <v>-987</v>
      </c>
      <c r="AG459" s="202">
        <v>387</v>
      </c>
    </row>
    <row r="460" spans="2:33" s="154" customFormat="1" ht="15" customHeight="1" outlineLevel="1">
      <c r="B460" s="167" t="s">
        <v>191</v>
      </c>
      <c r="C460" s="167" t="s">
        <v>384</v>
      </c>
      <c r="D460" s="203">
        <v>-40</v>
      </c>
      <c r="E460" s="192">
        <v>1</v>
      </c>
      <c r="F460" s="192">
        <v>-3</v>
      </c>
      <c r="G460" s="192">
        <v>174</v>
      </c>
      <c r="H460" s="192">
        <v>-77</v>
      </c>
      <c r="I460" s="192">
        <v>152</v>
      </c>
      <c r="J460" s="192">
        <v>71</v>
      </c>
      <c r="K460" s="192">
        <v>-196</v>
      </c>
      <c r="L460" s="192">
        <v>565</v>
      </c>
      <c r="M460" s="193">
        <v>612</v>
      </c>
      <c r="N460" s="194">
        <v>-40</v>
      </c>
      <c r="O460" s="192">
        <v>-24</v>
      </c>
      <c r="P460" s="192">
        <v>-58</v>
      </c>
      <c r="Q460" s="192">
        <v>-3</v>
      </c>
      <c r="R460" s="192">
        <v>1</v>
      </c>
      <c r="S460" s="192">
        <v>-8</v>
      </c>
      <c r="T460" s="192">
        <v>79</v>
      </c>
      <c r="U460" s="192">
        <v>62</v>
      </c>
      <c r="V460" s="192">
        <v>-3</v>
      </c>
      <c r="W460" s="192">
        <v>16</v>
      </c>
      <c r="X460" s="192">
        <v>-19</v>
      </c>
      <c r="Y460" s="192">
        <v>-4</v>
      </c>
      <c r="Z460" s="192">
        <v>174</v>
      </c>
      <c r="AA460" s="192">
        <v>187</v>
      </c>
      <c r="AB460" s="192">
        <v>91</v>
      </c>
      <c r="AC460" s="192">
        <v>-38</v>
      </c>
      <c r="AD460" s="192">
        <v>-77</v>
      </c>
      <c r="AE460" s="192">
        <v>-129</v>
      </c>
      <c r="AF460" s="192">
        <v>16</v>
      </c>
      <c r="AG460" s="195">
        <v>9</v>
      </c>
    </row>
    <row r="461" spans="2:33" s="154" customFormat="1" ht="15" customHeight="1" outlineLevel="1">
      <c r="B461" s="173" t="s">
        <v>191</v>
      </c>
      <c r="C461" s="173" t="s">
        <v>385</v>
      </c>
      <c r="D461" s="179">
        <v>-1283</v>
      </c>
      <c r="E461" s="180">
        <v>-61</v>
      </c>
      <c r="F461" s="180">
        <v>3278</v>
      </c>
      <c r="G461" s="180">
        <v>2283</v>
      </c>
      <c r="H461" s="180">
        <v>588</v>
      </c>
      <c r="I461" s="180">
        <v>-1782</v>
      </c>
      <c r="J461" s="180">
        <v>2492</v>
      </c>
      <c r="K461" s="180">
        <v>2295</v>
      </c>
      <c r="L461" s="180">
        <v>430</v>
      </c>
      <c r="M461" s="181">
        <v>85</v>
      </c>
      <c r="N461" s="182">
        <v>-1283</v>
      </c>
      <c r="O461" s="180">
        <v>-2861</v>
      </c>
      <c r="P461" s="180">
        <v>-2333</v>
      </c>
      <c r="Q461" s="180">
        <v>-1038</v>
      </c>
      <c r="R461" s="180">
        <v>-61</v>
      </c>
      <c r="S461" s="180">
        <v>-620</v>
      </c>
      <c r="T461" s="180">
        <v>710</v>
      </c>
      <c r="U461" s="180">
        <v>148</v>
      </c>
      <c r="V461" s="180">
        <v>3278</v>
      </c>
      <c r="W461" s="180">
        <v>2254</v>
      </c>
      <c r="X461" s="180">
        <v>1059</v>
      </c>
      <c r="Y461" s="180">
        <v>-380</v>
      </c>
      <c r="Z461" s="180">
        <v>2283</v>
      </c>
      <c r="AA461" s="180">
        <v>4443</v>
      </c>
      <c r="AB461" s="180">
        <v>3347</v>
      </c>
      <c r="AC461" s="180">
        <v>1339</v>
      </c>
      <c r="AD461" s="180">
        <v>588</v>
      </c>
      <c r="AE461" s="180">
        <v>146</v>
      </c>
      <c r="AF461" s="180">
        <v>859</v>
      </c>
      <c r="AG461" s="183">
        <v>509</v>
      </c>
    </row>
    <row r="462" spans="2:33" s="154" customFormat="1" ht="15" customHeight="1" outlineLevel="1">
      <c r="B462" s="173" t="s">
        <v>191</v>
      </c>
      <c r="C462" s="173" t="s">
        <v>386</v>
      </c>
      <c r="D462" s="179">
        <v>13852</v>
      </c>
      <c r="E462" s="180">
        <v>13913</v>
      </c>
      <c r="F462" s="180">
        <v>10635</v>
      </c>
      <c r="G462" s="180">
        <v>8352</v>
      </c>
      <c r="H462" s="180">
        <v>7764</v>
      </c>
      <c r="I462" s="180">
        <v>9546</v>
      </c>
      <c r="J462" s="180">
        <v>7054</v>
      </c>
      <c r="K462" s="180">
        <v>4747</v>
      </c>
      <c r="L462" s="180">
        <v>4317</v>
      </c>
      <c r="M462" s="181">
        <v>4232</v>
      </c>
      <c r="N462" s="182">
        <v>13852</v>
      </c>
      <c r="O462" s="180">
        <v>13852</v>
      </c>
      <c r="P462" s="180">
        <v>13852</v>
      </c>
      <c r="Q462" s="180">
        <v>13852</v>
      </c>
      <c r="R462" s="180">
        <v>13913</v>
      </c>
      <c r="S462" s="180">
        <v>13913</v>
      </c>
      <c r="T462" s="180">
        <v>13913</v>
      </c>
      <c r="U462" s="180">
        <v>13913</v>
      </c>
      <c r="V462" s="180">
        <v>10635</v>
      </c>
      <c r="W462" s="180">
        <v>10635</v>
      </c>
      <c r="X462" s="180">
        <v>10635</v>
      </c>
      <c r="Y462" s="180">
        <v>10635</v>
      </c>
      <c r="Z462" s="180">
        <v>8352</v>
      </c>
      <c r="AA462" s="180">
        <v>8352</v>
      </c>
      <c r="AB462" s="180">
        <v>8352</v>
      </c>
      <c r="AC462" s="180">
        <v>8352</v>
      </c>
      <c r="AD462" s="180">
        <v>7764</v>
      </c>
      <c r="AE462" s="180">
        <v>7764</v>
      </c>
      <c r="AF462" s="180">
        <v>7764</v>
      </c>
      <c r="AG462" s="183">
        <v>7764</v>
      </c>
    </row>
    <row r="463" spans="2:33" s="154" customFormat="1" ht="15" customHeight="1" outlineLevel="1">
      <c r="B463" s="173" t="s">
        <v>191</v>
      </c>
      <c r="C463" s="173" t="s">
        <v>387</v>
      </c>
      <c r="D463" s="179">
        <v>12569</v>
      </c>
      <c r="E463" s="180">
        <v>13852</v>
      </c>
      <c r="F463" s="180">
        <v>13913</v>
      </c>
      <c r="G463" s="180">
        <v>10635</v>
      </c>
      <c r="H463" s="180">
        <v>8352</v>
      </c>
      <c r="I463" s="180">
        <v>7764</v>
      </c>
      <c r="J463" s="180">
        <v>9546</v>
      </c>
      <c r="K463" s="180">
        <v>7042</v>
      </c>
      <c r="L463" s="180">
        <v>4747</v>
      </c>
      <c r="M463" s="181">
        <v>4317</v>
      </c>
      <c r="N463" s="182">
        <v>12569</v>
      </c>
      <c r="O463" s="180">
        <v>10991</v>
      </c>
      <c r="P463" s="180">
        <v>11519</v>
      </c>
      <c r="Q463" s="180">
        <v>12814</v>
      </c>
      <c r="R463" s="180">
        <v>13852</v>
      </c>
      <c r="S463" s="180">
        <v>13293</v>
      </c>
      <c r="T463" s="180">
        <v>14623</v>
      </c>
      <c r="U463" s="180">
        <v>14061</v>
      </c>
      <c r="V463" s="180">
        <v>13913</v>
      </c>
      <c r="W463" s="180">
        <v>12889</v>
      </c>
      <c r="X463" s="180">
        <v>11694</v>
      </c>
      <c r="Y463" s="180">
        <v>10255</v>
      </c>
      <c r="Z463" s="180">
        <v>10635</v>
      </c>
      <c r="AA463" s="180">
        <v>12795</v>
      </c>
      <c r="AB463" s="180">
        <v>11699</v>
      </c>
      <c r="AC463" s="180">
        <v>9691</v>
      </c>
      <c r="AD463" s="180">
        <v>8352</v>
      </c>
      <c r="AE463" s="180">
        <v>7910</v>
      </c>
      <c r="AF463" s="180">
        <v>8623</v>
      </c>
      <c r="AG463" s="183">
        <v>8273</v>
      </c>
    </row>
    <row r="464" spans="2:33" s="154" customFormat="1" ht="15" customHeight="1" outlineLevel="1">
      <c r="B464" s="173" t="s">
        <v>191</v>
      </c>
      <c r="C464" s="173" t="s">
        <v>388</v>
      </c>
      <c r="D464" s="179">
        <v>28709</v>
      </c>
      <c r="E464" s="180">
        <v>31667</v>
      </c>
      <c r="F464" s="180">
        <v>29582</v>
      </c>
      <c r="G464" s="180">
        <v>24849</v>
      </c>
      <c r="H464" s="180">
        <v>29532</v>
      </c>
      <c r="I464" s="180">
        <v>28446</v>
      </c>
      <c r="J464" s="180">
        <v>25059</v>
      </c>
      <c r="K464" s="180">
        <v>19497</v>
      </c>
      <c r="L464" s="180">
        <v>16265</v>
      </c>
      <c r="M464" s="181">
        <v>14934</v>
      </c>
      <c r="N464" s="182">
        <v>0</v>
      </c>
      <c r="O464" s="180">
        <v>0</v>
      </c>
      <c r="P464" s="180">
        <v>0</v>
      </c>
      <c r="Q464" s="180">
        <v>0</v>
      </c>
      <c r="R464" s="180">
        <v>0</v>
      </c>
      <c r="S464" s="180">
        <v>0</v>
      </c>
      <c r="T464" s="180">
        <v>0</v>
      </c>
      <c r="U464" s="180">
        <v>0</v>
      </c>
      <c r="V464" s="180">
        <v>0</v>
      </c>
      <c r="W464" s="180">
        <v>0</v>
      </c>
      <c r="X464" s="180">
        <v>0</v>
      </c>
      <c r="Y464" s="180">
        <v>0</v>
      </c>
      <c r="Z464" s="180">
        <v>0</v>
      </c>
      <c r="AA464" s="180">
        <v>0</v>
      </c>
      <c r="AB464" s="180">
        <v>0</v>
      </c>
      <c r="AC464" s="180">
        <v>0</v>
      </c>
      <c r="AD464" s="180">
        <v>0</v>
      </c>
      <c r="AE464" s="180">
        <v>0</v>
      </c>
      <c r="AF464" s="180">
        <v>0</v>
      </c>
      <c r="AG464" s="183">
        <v>0</v>
      </c>
    </row>
    <row r="465" spans="2:33" s="154" customFormat="1" ht="15" customHeight="1" outlineLevel="1">
      <c r="B465" s="173" t="s">
        <v>191</v>
      </c>
      <c r="C465" s="173" t="s">
        <v>389</v>
      </c>
      <c r="D465" s="179">
        <v>28231</v>
      </c>
      <c r="E465" s="180">
        <v>30404</v>
      </c>
      <c r="F465" s="180">
        <v>31912</v>
      </c>
      <c r="G465" s="180">
        <v>28053</v>
      </c>
      <c r="H465" s="180">
        <v>31569</v>
      </c>
      <c r="I465" s="180">
        <v>32687</v>
      </c>
      <c r="J465" s="180">
        <v>32361</v>
      </c>
      <c r="K465" s="180">
        <v>36411</v>
      </c>
      <c r="L465" s="180">
        <v>32940</v>
      </c>
      <c r="M465" s="181">
        <v>26510</v>
      </c>
      <c r="N465" s="182">
        <v>0</v>
      </c>
      <c r="O465" s="180">
        <v>0</v>
      </c>
      <c r="P465" s="180">
        <v>0</v>
      </c>
      <c r="Q465" s="180">
        <v>0</v>
      </c>
      <c r="R465" s="180">
        <v>0</v>
      </c>
      <c r="S465" s="180">
        <v>0</v>
      </c>
      <c r="T465" s="180">
        <v>0</v>
      </c>
      <c r="U465" s="180">
        <v>0</v>
      </c>
      <c r="V465" s="180">
        <v>0</v>
      </c>
      <c r="W465" s="180">
        <v>0</v>
      </c>
      <c r="X465" s="180">
        <v>0</v>
      </c>
      <c r="Y465" s="180">
        <v>0</v>
      </c>
      <c r="Z465" s="180">
        <v>0</v>
      </c>
      <c r="AA465" s="180">
        <v>0</v>
      </c>
      <c r="AB465" s="180">
        <v>0</v>
      </c>
      <c r="AC465" s="180">
        <v>0</v>
      </c>
      <c r="AD465" s="180">
        <v>0</v>
      </c>
      <c r="AE465" s="180">
        <v>0</v>
      </c>
      <c r="AF465" s="180">
        <v>0</v>
      </c>
      <c r="AG465" s="183">
        <v>0</v>
      </c>
    </row>
    <row r="466" spans="2:33" s="154" customFormat="1" ht="15" customHeight="1" outlineLevel="1">
      <c r="B466" s="173" t="s">
        <v>191</v>
      </c>
      <c r="C466" s="173" t="s">
        <v>390</v>
      </c>
      <c r="D466" s="179" t="s">
        <v>629</v>
      </c>
      <c r="E466" s="180" t="s">
        <v>629</v>
      </c>
      <c r="F466" s="180" t="s">
        <v>629</v>
      </c>
      <c r="G466" s="180" t="s">
        <v>629</v>
      </c>
      <c r="H466" s="180" t="s">
        <v>630</v>
      </c>
      <c r="I466" s="180" t="s">
        <v>630</v>
      </c>
      <c r="J466" s="180" t="s">
        <v>630</v>
      </c>
      <c r="K466" s="180" t="s">
        <v>630</v>
      </c>
      <c r="L466" s="180" t="s">
        <v>630</v>
      </c>
      <c r="M466" s="181" t="s">
        <v>630</v>
      </c>
      <c r="N466" s="182"/>
      <c r="O466" s="180"/>
      <c r="P466" s="180"/>
      <c r="Q466" s="180"/>
      <c r="R466" s="180"/>
      <c r="S466" s="180"/>
      <c r="T466" s="180"/>
      <c r="U466" s="180"/>
      <c r="V466" s="180"/>
      <c r="W466" s="180"/>
      <c r="X466" s="180"/>
      <c r="Y466" s="180"/>
      <c r="Z466" s="180"/>
      <c r="AA466" s="180"/>
      <c r="AB466" s="180"/>
      <c r="AC466" s="180"/>
      <c r="AD466" s="180"/>
      <c r="AE466" s="180"/>
      <c r="AF466" s="180"/>
      <c r="AG466" s="183"/>
    </row>
    <row r="467" spans="2:33" s="154" customFormat="1" ht="15" customHeight="1" outlineLevel="1" thickBot="1">
      <c r="B467" s="184" t="s">
        <v>191</v>
      </c>
      <c r="C467" s="184" t="s">
        <v>391</v>
      </c>
      <c r="D467" s="185" t="s">
        <v>477</v>
      </c>
      <c r="E467" s="186" t="s">
        <v>477</v>
      </c>
      <c r="F467" s="186" t="s">
        <v>477</v>
      </c>
      <c r="G467" s="186" t="s">
        <v>477</v>
      </c>
      <c r="H467" s="186" t="s">
        <v>477</v>
      </c>
      <c r="I467" s="186" t="s">
        <v>477</v>
      </c>
      <c r="J467" s="186" t="s">
        <v>477</v>
      </c>
      <c r="K467" s="186" t="s">
        <v>477</v>
      </c>
      <c r="L467" s="186" t="s">
        <v>477</v>
      </c>
      <c r="M467" s="187" t="s">
        <v>477</v>
      </c>
      <c r="N467" s="188"/>
      <c r="O467" s="186"/>
      <c r="P467" s="186"/>
      <c r="Q467" s="186"/>
      <c r="R467" s="186"/>
      <c r="S467" s="186"/>
      <c r="T467" s="186"/>
      <c r="U467" s="186"/>
      <c r="V467" s="186"/>
      <c r="W467" s="186"/>
      <c r="X467" s="186"/>
      <c r="Y467" s="186"/>
      <c r="Z467" s="186"/>
      <c r="AA467" s="186"/>
      <c r="AB467" s="186"/>
      <c r="AC467" s="186"/>
      <c r="AD467" s="186"/>
      <c r="AE467" s="186"/>
      <c r="AF467" s="186"/>
      <c r="AG467" s="189"/>
    </row>
    <row r="468" spans="2:33" s="154" customFormat="1" ht="15" customHeight="1" outlineLevel="1">
      <c r="B468" s="190" t="s">
        <v>192</v>
      </c>
      <c r="C468" s="190" t="s">
        <v>392</v>
      </c>
      <c r="D468" s="203">
        <v>9.8000000000000007</v>
      </c>
      <c r="E468" s="192">
        <v>9.1999999999999993</v>
      </c>
      <c r="F468" s="192">
        <v>9.6999999999999993</v>
      </c>
      <c r="G468" s="192">
        <v>17.7</v>
      </c>
      <c r="H468" s="192">
        <v>7.6</v>
      </c>
      <c r="I468" s="192">
        <v>15.3</v>
      </c>
      <c r="J468" s="192">
        <v>21.2</v>
      </c>
      <c r="K468" s="192">
        <v>20.100000000000001</v>
      </c>
      <c r="L468" s="192">
        <v>35.4</v>
      </c>
      <c r="M468" s="193">
        <v>33.1</v>
      </c>
      <c r="N468" s="194">
        <v>9.8000000000000007</v>
      </c>
      <c r="O468" s="192">
        <v>6.3</v>
      </c>
      <c r="P468" s="192">
        <v>7</v>
      </c>
      <c r="Q468" s="192">
        <v>9.4</v>
      </c>
      <c r="R468" s="192">
        <v>9.1999999999999993</v>
      </c>
      <c r="S468" s="192">
        <v>8.1</v>
      </c>
      <c r="T468" s="192">
        <v>8.6999999999999993</v>
      </c>
      <c r="U468" s="192">
        <v>9.3000000000000007</v>
      </c>
      <c r="V468" s="192">
        <v>9.6999999999999993</v>
      </c>
      <c r="W468" s="192">
        <v>13.8</v>
      </c>
      <c r="X468" s="192">
        <v>16.8</v>
      </c>
      <c r="Y468" s="192">
        <v>21.6</v>
      </c>
      <c r="Z468" s="192">
        <v>17.7</v>
      </c>
      <c r="AA468" s="192">
        <v>19.3</v>
      </c>
      <c r="AB468" s="192">
        <v>14.1</v>
      </c>
      <c r="AC468" s="192">
        <v>11.4</v>
      </c>
      <c r="AD468" s="192">
        <v>7.6</v>
      </c>
      <c r="AE468" s="192">
        <v>8.9</v>
      </c>
      <c r="AF468" s="192">
        <v>18.3</v>
      </c>
      <c r="AG468" s="195">
        <v>13.7</v>
      </c>
    </row>
    <row r="469" spans="2:33" s="154" customFormat="1" ht="15" customHeight="1" outlineLevel="1">
      <c r="B469" s="196" t="s">
        <v>192</v>
      </c>
      <c r="C469" s="196" t="s">
        <v>393</v>
      </c>
      <c r="D469" s="179">
        <v>13.6</v>
      </c>
      <c r="E469" s="180">
        <v>9.4</v>
      </c>
      <c r="F469" s="180">
        <v>13</v>
      </c>
      <c r="G469" s="180">
        <v>23.6</v>
      </c>
      <c r="H469" s="180">
        <v>20.8</v>
      </c>
      <c r="I469" s="180">
        <v>23.5</v>
      </c>
      <c r="J469" s="180">
        <v>28.3</v>
      </c>
      <c r="K469" s="180">
        <v>28.8</v>
      </c>
      <c r="L469" s="180">
        <v>36.1</v>
      </c>
      <c r="M469" s="181">
        <v>36.799999999999997</v>
      </c>
      <c r="N469" s="182">
        <v>13.6</v>
      </c>
      <c r="O469" s="180">
        <v>12.5</v>
      </c>
      <c r="P469" s="180">
        <v>10.9</v>
      </c>
      <c r="Q469" s="180">
        <v>10.5</v>
      </c>
      <c r="R469" s="180">
        <v>9.4</v>
      </c>
      <c r="S469" s="180">
        <v>9.1</v>
      </c>
      <c r="T469" s="180">
        <v>9.4</v>
      </c>
      <c r="U469" s="180">
        <v>9.9</v>
      </c>
      <c r="V469" s="180">
        <v>13</v>
      </c>
      <c r="W469" s="180">
        <v>16.8</v>
      </c>
      <c r="X469" s="180">
        <v>22.2</v>
      </c>
      <c r="Y469" s="180">
        <v>23.4</v>
      </c>
      <c r="Z469" s="180">
        <v>23.6</v>
      </c>
      <c r="AA469" s="180">
        <v>23</v>
      </c>
      <c r="AB469" s="180">
        <v>27.4</v>
      </c>
      <c r="AC469" s="180">
        <v>25.5</v>
      </c>
      <c r="AD469" s="180">
        <v>20.8</v>
      </c>
      <c r="AE469" s="180">
        <v>22.3</v>
      </c>
      <c r="AF469" s="180">
        <v>23</v>
      </c>
      <c r="AG469" s="183">
        <v>22.6</v>
      </c>
    </row>
    <row r="470" spans="2:33" s="154" customFormat="1" ht="15" customHeight="1" outlineLevel="1">
      <c r="B470" s="196" t="s">
        <v>192</v>
      </c>
      <c r="C470" s="196" t="s">
        <v>394</v>
      </c>
      <c r="D470" s="179">
        <v>6.4</v>
      </c>
      <c r="E470" s="180">
        <v>7</v>
      </c>
      <c r="F470" s="180">
        <v>8.4</v>
      </c>
      <c r="G470" s="180">
        <v>10.7</v>
      </c>
      <c r="H470" s="180">
        <v>7</v>
      </c>
      <c r="I470" s="180">
        <v>14.4</v>
      </c>
      <c r="J470" s="180">
        <v>16.600000000000001</v>
      </c>
      <c r="K470" s="180">
        <v>19.600000000000001</v>
      </c>
      <c r="L470" s="180">
        <v>26.4</v>
      </c>
      <c r="M470" s="181">
        <v>22.4</v>
      </c>
      <c r="N470" s="182">
        <v>6.4</v>
      </c>
      <c r="O470" s="180">
        <v>6.2</v>
      </c>
      <c r="P470" s="180">
        <v>6.8</v>
      </c>
      <c r="Q470" s="180">
        <v>7.6</v>
      </c>
      <c r="R470" s="180">
        <v>7</v>
      </c>
      <c r="S470" s="180">
        <v>6.7</v>
      </c>
      <c r="T470" s="180">
        <v>6.1</v>
      </c>
      <c r="U470" s="180">
        <v>6.8</v>
      </c>
      <c r="V470" s="180">
        <v>8.4</v>
      </c>
      <c r="W470" s="180">
        <v>10.9</v>
      </c>
      <c r="X470" s="180">
        <v>14.8</v>
      </c>
      <c r="Y470" s="180">
        <v>13.9</v>
      </c>
      <c r="Z470" s="180">
        <v>10.7</v>
      </c>
      <c r="AA470" s="180">
        <v>10.5</v>
      </c>
      <c r="AB470" s="180">
        <v>8.3000000000000007</v>
      </c>
      <c r="AC470" s="180">
        <v>7.7</v>
      </c>
      <c r="AD470" s="180">
        <v>7</v>
      </c>
      <c r="AE470" s="180">
        <v>7.7</v>
      </c>
      <c r="AF470" s="180">
        <v>13.5</v>
      </c>
      <c r="AG470" s="183">
        <v>13.3</v>
      </c>
    </row>
    <row r="471" spans="2:33" s="154" customFormat="1" ht="15" customHeight="1" outlineLevel="1">
      <c r="B471" s="196" t="s">
        <v>192</v>
      </c>
      <c r="C471" s="196" t="s">
        <v>395</v>
      </c>
      <c r="D471" s="179">
        <v>23.4</v>
      </c>
      <c r="E471" s="180">
        <v>23.8</v>
      </c>
      <c r="F471" s="180">
        <v>20.100000000000001</v>
      </c>
      <c r="G471" s="180">
        <v>19.100000000000001</v>
      </c>
      <c r="H471" s="180">
        <v>19.2</v>
      </c>
      <c r="I471" s="180">
        <v>20.100000000000001</v>
      </c>
      <c r="J471" s="180">
        <v>17.399999999999999</v>
      </c>
      <c r="K471" s="180">
        <v>18.5</v>
      </c>
      <c r="L471" s="180">
        <v>19</v>
      </c>
      <c r="M471" s="181">
        <v>18.899999999999999</v>
      </c>
      <c r="N471" s="182">
        <v>23.4</v>
      </c>
      <c r="O471" s="180">
        <v>23.1</v>
      </c>
      <c r="P471" s="180">
        <v>23.3</v>
      </c>
      <c r="Q471" s="180">
        <v>23.4</v>
      </c>
      <c r="R471" s="180">
        <v>23.8</v>
      </c>
      <c r="S471" s="180">
        <v>23.7</v>
      </c>
      <c r="T471" s="180">
        <v>22.9</v>
      </c>
      <c r="U471" s="180">
        <v>21.5</v>
      </c>
      <c r="V471" s="180">
        <v>20.100000000000001</v>
      </c>
      <c r="W471" s="180">
        <v>19.100000000000001</v>
      </c>
      <c r="X471" s="180">
        <v>18.5</v>
      </c>
      <c r="Y471" s="180">
        <v>19</v>
      </c>
      <c r="Z471" s="180">
        <v>19.100000000000001</v>
      </c>
      <c r="AA471" s="180">
        <v>19.2</v>
      </c>
      <c r="AB471" s="180">
        <v>19.600000000000001</v>
      </c>
      <c r="AC471" s="180">
        <v>19.100000000000001</v>
      </c>
      <c r="AD471" s="180">
        <v>19.2</v>
      </c>
      <c r="AE471" s="180">
        <v>19.5</v>
      </c>
      <c r="AF471" s="180">
        <v>19.3</v>
      </c>
      <c r="AG471" s="183">
        <v>19.899999999999999</v>
      </c>
    </row>
    <row r="472" spans="2:33" s="154" customFormat="1" ht="15" customHeight="1" outlineLevel="1">
      <c r="B472" s="196" t="s">
        <v>192</v>
      </c>
      <c r="C472" s="196" t="s">
        <v>396</v>
      </c>
      <c r="D472" s="179">
        <v>5</v>
      </c>
      <c r="E472" s="180">
        <v>6.8</v>
      </c>
      <c r="F472" s="180">
        <v>5.4</v>
      </c>
      <c r="G472" s="180">
        <v>3.8</v>
      </c>
      <c r="H472" s="180">
        <v>5.4</v>
      </c>
      <c r="I472" s="180">
        <v>6.3</v>
      </c>
      <c r="J472" s="180">
        <v>5.8</v>
      </c>
      <c r="K472" s="180">
        <v>8.1999999999999993</v>
      </c>
      <c r="L472" s="180">
        <v>9</v>
      </c>
      <c r="M472" s="181">
        <v>9</v>
      </c>
      <c r="N472" s="182">
        <v>5</v>
      </c>
      <c r="O472" s="180">
        <v>5.3</v>
      </c>
      <c r="P472" s="180">
        <v>6</v>
      </c>
      <c r="Q472" s="180">
        <v>6.3</v>
      </c>
      <c r="R472" s="180">
        <v>6.8</v>
      </c>
      <c r="S472" s="180">
        <v>7.2</v>
      </c>
      <c r="T472" s="180">
        <v>7.2</v>
      </c>
      <c r="U472" s="180">
        <v>6.6</v>
      </c>
      <c r="V472" s="180">
        <v>5.4</v>
      </c>
      <c r="W472" s="180">
        <v>4.4000000000000004</v>
      </c>
      <c r="X472" s="180">
        <v>3.7</v>
      </c>
      <c r="Y472" s="180">
        <v>3.7</v>
      </c>
      <c r="Z472" s="180">
        <v>3.8</v>
      </c>
      <c r="AA472" s="180">
        <v>3.9</v>
      </c>
      <c r="AB472" s="180">
        <v>4.7</v>
      </c>
      <c r="AC472" s="180">
        <v>4.7</v>
      </c>
      <c r="AD472" s="180">
        <v>5.4</v>
      </c>
      <c r="AE472" s="180">
        <v>5.9</v>
      </c>
      <c r="AF472" s="180">
        <v>5.7</v>
      </c>
      <c r="AG472" s="183">
        <v>6.1</v>
      </c>
    </row>
    <row r="473" spans="2:33" s="154" customFormat="1" ht="15" customHeight="1" outlineLevel="1">
      <c r="B473" s="196" t="s">
        <v>192</v>
      </c>
      <c r="C473" s="196" t="s">
        <v>397</v>
      </c>
      <c r="D473" s="179">
        <v>4.2</v>
      </c>
      <c r="E473" s="180">
        <v>0</v>
      </c>
      <c r="F473" s="180">
        <v>0</v>
      </c>
      <c r="G473" s="180">
        <v>0</v>
      </c>
      <c r="H473" s="180">
        <v>4.0999999999999996</v>
      </c>
      <c r="I473" s="180">
        <v>4.8</v>
      </c>
      <c r="J473" s="180">
        <v>4.5</v>
      </c>
      <c r="K473" s="180">
        <v>6.4</v>
      </c>
      <c r="L473" s="180">
        <v>6.2</v>
      </c>
      <c r="M473" s="181">
        <v>6.4</v>
      </c>
      <c r="N473" s="182">
        <v>4.2</v>
      </c>
      <c r="O473" s="180">
        <v>0</v>
      </c>
      <c r="P473" s="180">
        <v>0</v>
      </c>
      <c r="Q473" s="180">
        <v>0</v>
      </c>
      <c r="R473" s="180">
        <v>0</v>
      </c>
      <c r="S473" s="180">
        <v>0</v>
      </c>
      <c r="T473" s="180">
        <v>0</v>
      </c>
      <c r="U473" s="180">
        <v>0</v>
      </c>
      <c r="V473" s="180">
        <v>0</v>
      </c>
      <c r="W473" s="180">
        <v>0</v>
      </c>
      <c r="X473" s="180">
        <v>0</v>
      </c>
      <c r="Y473" s="180">
        <v>0</v>
      </c>
      <c r="Z473" s="180">
        <v>0</v>
      </c>
      <c r="AA473" s="180">
        <v>0.7</v>
      </c>
      <c r="AB473" s="180">
        <v>2</v>
      </c>
      <c r="AC473" s="180">
        <v>3</v>
      </c>
      <c r="AD473" s="180">
        <v>4.0999999999999996</v>
      </c>
      <c r="AE473" s="180">
        <v>4.4000000000000004</v>
      </c>
      <c r="AF473" s="180">
        <v>4.4000000000000004</v>
      </c>
      <c r="AG473" s="183">
        <v>4.8</v>
      </c>
    </row>
    <row r="474" spans="2:33" s="154" customFormat="1" ht="15" customHeight="1" outlineLevel="1">
      <c r="B474" s="196" t="s">
        <v>192</v>
      </c>
      <c r="C474" s="196" t="s">
        <v>398</v>
      </c>
      <c r="D474" s="179">
        <v>4.2</v>
      </c>
      <c r="E474" s="180">
        <v>0</v>
      </c>
      <c r="F474" s="180">
        <v>0</v>
      </c>
      <c r="G474" s="180">
        <v>0</v>
      </c>
      <c r="H474" s="180">
        <v>4.0999999999999996</v>
      </c>
      <c r="I474" s="180">
        <v>4.8</v>
      </c>
      <c r="J474" s="180">
        <v>4.5</v>
      </c>
      <c r="K474" s="180">
        <v>6.4</v>
      </c>
      <c r="L474" s="180">
        <v>6.2</v>
      </c>
      <c r="M474" s="181">
        <v>6.4</v>
      </c>
      <c r="N474" s="182">
        <v>4.2</v>
      </c>
      <c r="O474" s="180">
        <v>0</v>
      </c>
      <c r="P474" s="180">
        <v>0</v>
      </c>
      <c r="Q474" s="180">
        <v>0</v>
      </c>
      <c r="R474" s="180">
        <v>0</v>
      </c>
      <c r="S474" s="180">
        <v>0</v>
      </c>
      <c r="T474" s="180">
        <v>0</v>
      </c>
      <c r="U474" s="180">
        <v>0</v>
      </c>
      <c r="V474" s="180">
        <v>0</v>
      </c>
      <c r="W474" s="180">
        <v>0</v>
      </c>
      <c r="X474" s="180">
        <v>0</v>
      </c>
      <c r="Y474" s="180">
        <v>0</v>
      </c>
      <c r="Z474" s="180">
        <v>0</v>
      </c>
      <c r="AA474" s="180">
        <v>0.7</v>
      </c>
      <c r="AB474" s="180">
        <v>2</v>
      </c>
      <c r="AC474" s="180">
        <v>3</v>
      </c>
      <c r="AD474" s="180">
        <v>4.0999999999999996</v>
      </c>
      <c r="AE474" s="180">
        <v>4.4000000000000004</v>
      </c>
      <c r="AF474" s="180">
        <v>4.4000000000000004</v>
      </c>
      <c r="AG474" s="183">
        <v>4.8</v>
      </c>
    </row>
    <row r="475" spans="2:33" s="154" customFormat="1" ht="15" customHeight="1" outlineLevel="1">
      <c r="B475" s="196" t="s">
        <v>192</v>
      </c>
      <c r="C475" s="196" t="s">
        <v>399</v>
      </c>
      <c r="D475" s="179">
        <v>11.5</v>
      </c>
      <c r="E475" s="180">
        <v>3.7</v>
      </c>
      <c r="F475" s="180">
        <v>4.5999999999999996</v>
      </c>
      <c r="G475" s="180">
        <v>4.7</v>
      </c>
      <c r="H475" s="180">
        <v>36.700000000000003</v>
      </c>
      <c r="I475" s="180">
        <v>86</v>
      </c>
      <c r="J475" s="180">
        <v>75.3</v>
      </c>
      <c r="K475" s="180">
        <v>0</v>
      </c>
      <c r="L475" s="180">
        <v>0</v>
      </c>
      <c r="M475" s="181">
        <v>267</v>
      </c>
      <c r="N475" s="182">
        <v>11.5</v>
      </c>
      <c r="O475" s="180">
        <v>3</v>
      </c>
      <c r="P475" s="180">
        <v>3.4</v>
      </c>
      <c r="Q475" s="180">
        <v>3.7</v>
      </c>
      <c r="R475" s="180">
        <v>3.7</v>
      </c>
      <c r="S475" s="180">
        <v>4.0999999999999996</v>
      </c>
      <c r="T475" s="180">
        <v>4.7</v>
      </c>
      <c r="U475" s="180">
        <v>4.9000000000000004</v>
      </c>
      <c r="V475" s="180">
        <v>4.5999999999999996</v>
      </c>
      <c r="W475" s="180">
        <v>4.4000000000000004</v>
      </c>
      <c r="X475" s="180">
        <v>4.0999999999999996</v>
      </c>
      <c r="Y475" s="180">
        <v>4.3</v>
      </c>
      <c r="Z475" s="180">
        <v>4.7</v>
      </c>
      <c r="AA475" s="180">
        <v>5.4</v>
      </c>
      <c r="AB475" s="180">
        <v>11.8</v>
      </c>
      <c r="AC475" s="180">
        <v>17.399999999999999</v>
      </c>
      <c r="AD475" s="180">
        <v>36.700000000000003</v>
      </c>
      <c r="AE475" s="180">
        <v>46.2</v>
      </c>
      <c r="AF475" s="180">
        <v>45.3</v>
      </c>
      <c r="AG475" s="183">
        <v>68.400000000000006</v>
      </c>
    </row>
    <row r="476" spans="2:33" s="154" customFormat="1" ht="15" customHeight="1" outlineLevel="1">
      <c r="B476" s="196" t="s">
        <v>192</v>
      </c>
      <c r="C476" s="196" t="s">
        <v>400</v>
      </c>
      <c r="D476" s="179">
        <v>1.7</v>
      </c>
      <c r="E476" s="180">
        <v>1.8</v>
      </c>
      <c r="F476" s="180">
        <v>1.5</v>
      </c>
      <c r="G476" s="180">
        <v>1.8</v>
      </c>
      <c r="H476" s="180">
        <v>1.5</v>
      </c>
      <c r="I476" s="180">
        <v>1.1000000000000001</v>
      </c>
      <c r="J476" s="180">
        <v>0.9</v>
      </c>
      <c r="K476" s="180">
        <v>0</v>
      </c>
      <c r="L476" s="180">
        <v>0</v>
      </c>
      <c r="M476" s="181">
        <v>0.2</v>
      </c>
      <c r="N476" s="182">
        <v>1.7</v>
      </c>
      <c r="O476" s="180">
        <v>1.6</v>
      </c>
      <c r="P476" s="180">
        <v>1.6</v>
      </c>
      <c r="Q476" s="180">
        <v>1.6</v>
      </c>
      <c r="R476" s="180">
        <v>1.8</v>
      </c>
      <c r="S476" s="180">
        <v>1.7</v>
      </c>
      <c r="T476" s="180">
        <v>1.6</v>
      </c>
      <c r="U476" s="180">
        <v>1.4</v>
      </c>
      <c r="V476" s="180">
        <v>1.5</v>
      </c>
      <c r="W476" s="180">
        <v>1.6</v>
      </c>
      <c r="X476" s="180">
        <v>1.9</v>
      </c>
      <c r="Y476" s="180">
        <v>1.9</v>
      </c>
      <c r="Z476" s="180">
        <v>1.8</v>
      </c>
      <c r="AA476" s="180">
        <v>2.4</v>
      </c>
      <c r="AB476" s="180">
        <v>2</v>
      </c>
      <c r="AC476" s="180">
        <v>2.2000000000000002</v>
      </c>
      <c r="AD476" s="180">
        <v>1.5</v>
      </c>
      <c r="AE476" s="180">
        <v>1.4</v>
      </c>
      <c r="AF476" s="180">
        <v>1.8</v>
      </c>
      <c r="AG476" s="183">
        <v>1.1000000000000001</v>
      </c>
    </row>
    <row r="477" spans="2:33" s="154" customFormat="1" ht="15" customHeight="1" outlineLevel="1">
      <c r="B477" s="196" t="s">
        <v>192</v>
      </c>
      <c r="C477" s="196" t="s">
        <v>401</v>
      </c>
      <c r="D477" s="179">
        <v>16.5</v>
      </c>
      <c r="E477" s="180">
        <v>17.600000000000001</v>
      </c>
      <c r="F477" s="180">
        <v>21.3</v>
      </c>
      <c r="G477" s="180">
        <v>29.2</v>
      </c>
      <c r="H477" s="180">
        <v>25.5</v>
      </c>
      <c r="I477" s="180">
        <v>23</v>
      </c>
      <c r="J477" s="180">
        <v>22.8</v>
      </c>
      <c r="K477" s="180">
        <v>21.9</v>
      </c>
      <c r="L477" s="180">
        <v>31.5</v>
      </c>
      <c r="M477" s="181">
        <v>29</v>
      </c>
      <c r="N477" s="182">
        <v>16.5</v>
      </c>
      <c r="O477" s="180">
        <v>15.6</v>
      </c>
      <c r="P477" s="180">
        <v>16.2</v>
      </c>
      <c r="Q477" s="180">
        <v>17.600000000000001</v>
      </c>
      <c r="R477" s="180">
        <v>17.600000000000001</v>
      </c>
      <c r="S477" s="180">
        <v>18</v>
      </c>
      <c r="T477" s="180">
        <v>19.7</v>
      </c>
      <c r="U477" s="180">
        <v>20.399999999999999</v>
      </c>
      <c r="V477" s="180">
        <v>21.3</v>
      </c>
      <c r="W477" s="180">
        <v>24.1</v>
      </c>
      <c r="X477" s="180">
        <v>26.9</v>
      </c>
      <c r="Y477" s="180">
        <v>28.1</v>
      </c>
      <c r="Z477" s="180">
        <v>29.2</v>
      </c>
      <c r="AA477" s="180">
        <v>27.8</v>
      </c>
      <c r="AB477" s="180">
        <v>26.5</v>
      </c>
      <c r="AC477" s="180">
        <v>26.8</v>
      </c>
      <c r="AD477" s="180">
        <v>25.5</v>
      </c>
      <c r="AE477" s="180">
        <v>25.2</v>
      </c>
      <c r="AF477" s="180">
        <v>22.7</v>
      </c>
      <c r="AG477" s="183">
        <v>22.5</v>
      </c>
    </row>
    <row r="478" spans="2:33" s="154" customFormat="1" ht="15" customHeight="1" outlineLevel="1" thickBot="1">
      <c r="B478" s="197" t="s">
        <v>192</v>
      </c>
      <c r="C478" s="197" t="s">
        <v>402</v>
      </c>
      <c r="D478" s="198"/>
      <c r="E478" s="199"/>
      <c r="F478" s="199"/>
      <c r="G478" s="199">
        <v>21801</v>
      </c>
      <c r="H478" s="199">
        <v>32392</v>
      </c>
      <c r="I478" s="199">
        <v>33413</v>
      </c>
      <c r="J478" s="199">
        <v>28541</v>
      </c>
      <c r="K478" s="199">
        <v>54785</v>
      </c>
      <c r="L478" s="199">
        <v>55127</v>
      </c>
      <c r="M478" s="200">
        <v>57500</v>
      </c>
      <c r="N478" s="201"/>
      <c r="O478" s="199"/>
      <c r="P478" s="199"/>
      <c r="Q478" s="199"/>
      <c r="R478" s="199">
        <v>21801</v>
      </c>
      <c r="S478" s="199"/>
      <c r="T478" s="199"/>
      <c r="U478" s="199"/>
      <c r="V478" s="199"/>
      <c r="W478" s="199"/>
      <c r="X478" s="199"/>
      <c r="Y478" s="199"/>
      <c r="Z478" s="199"/>
      <c r="AA478" s="199"/>
      <c r="AB478" s="199"/>
      <c r="AC478" s="199"/>
      <c r="AD478" s="199"/>
      <c r="AE478" s="199"/>
      <c r="AF478" s="199"/>
      <c r="AG478" s="202">
        <v>32392</v>
      </c>
    </row>
    <row r="479" spans="2:33" s="154" customFormat="1" ht="15" customHeight="1" outlineLevel="1">
      <c r="B479" s="167" t="s">
        <v>193</v>
      </c>
      <c r="C479" s="167" t="s">
        <v>403</v>
      </c>
      <c r="D479" s="203">
        <v>9.8000000000000007</v>
      </c>
      <c r="E479" s="192">
        <v>0</v>
      </c>
      <c r="F479" s="192">
        <v>0</v>
      </c>
      <c r="G479" s="192">
        <v>0</v>
      </c>
      <c r="H479" s="192">
        <v>7.6</v>
      </c>
      <c r="I479" s="192">
        <v>14.8</v>
      </c>
      <c r="J479" s="192">
        <v>21.2</v>
      </c>
      <c r="K479" s="192">
        <v>20.100000000000001</v>
      </c>
      <c r="L479" s="192">
        <v>35.4</v>
      </c>
      <c r="M479" s="193">
        <v>33.1</v>
      </c>
      <c r="N479" s="194">
        <v>9.8000000000000007</v>
      </c>
      <c r="O479" s="192">
        <v>0</v>
      </c>
      <c r="P479" s="192">
        <v>0</v>
      </c>
      <c r="Q479" s="192">
        <v>0</v>
      </c>
      <c r="R479" s="192">
        <v>0</v>
      </c>
      <c r="S479" s="192">
        <v>0</v>
      </c>
      <c r="T479" s="192">
        <v>0</v>
      </c>
      <c r="U479" s="192">
        <v>0</v>
      </c>
      <c r="V479" s="192">
        <v>0</v>
      </c>
      <c r="W479" s="192">
        <v>0</v>
      </c>
      <c r="X479" s="192">
        <v>0</v>
      </c>
      <c r="Y479" s="192">
        <v>0</v>
      </c>
      <c r="Z479" s="192">
        <v>0</v>
      </c>
      <c r="AA479" s="192">
        <v>19.3</v>
      </c>
      <c r="AB479" s="192">
        <v>14.1</v>
      </c>
      <c r="AC479" s="192">
        <v>11.4</v>
      </c>
      <c r="AD479" s="192">
        <v>7.6</v>
      </c>
      <c r="AE479" s="192">
        <v>8.6999999999999993</v>
      </c>
      <c r="AF479" s="192">
        <v>17.8</v>
      </c>
      <c r="AG479" s="195">
        <v>13.3</v>
      </c>
    </row>
    <row r="480" spans="2:33" s="154" customFormat="1" ht="15" customHeight="1" outlineLevel="1">
      <c r="B480" s="173" t="s">
        <v>193</v>
      </c>
      <c r="C480" s="173" t="s">
        <v>404</v>
      </c>
      <c r="D480" s="179">
        <v>13.6</v>
      </c>
      <c r="E480" s="180">
        <v>0</v>
      </c>
      <c r="F480" s="180">
        <v>0</v>
      </c>
      <c r="G480" s="180">
        <v>0</v>
      </c>
      <c r="H480" s="180">
        <v>20.8</v>
      </c>
      <c r="I480" s="180">
        <v>22.8</v>
      </c>
      <c r="J480" s="180">
        <v>28.3</v>
      </c>
      <c r="K480" s="180">
        <v>28.8</v>
      </c>
      <c r="L480" s="180">
        <v>36.1</v>
      </c>
      <c r="M480" s="181">
        <v>36.799999999999997</v>
      </c>
      <c r="N480" s="182">
        <v>13.6</v>
      </c>
      <c r="O480" s="180">
        <v>0</v>
      </c>
      <c r="P480" s="180">
        <v>0</v>
      </c>
      <c r="Q480" s="180">
        <v>0</v>
      </c>
      <c r="R480" s="180">
        <v>0</v>
      </c>
      <c r="S480" s="180">
        <v>0</v>
      </c>
      <c r="T480" s="180">
        <v>0</v>
      </c>
      <c r="U480" s="180">
        <v>0</v>
      </c>
      <c r="V480" s="180">
        <v>0</v>
      </c>
      <c r="W480" s="180">
        <v>0</v>
      </c>
      <c r="X480" s="180">
        <v>0</v>
      </c>
      <c r="Y480" s="180">
        <v>0</v>
      </c>
      <c r="Z480" s="180">
        <v>0</v>
      </c>
      <c r="AA480" s="180">
        <v>23</v>
      </c>
      <c r="AB480" s="180">
        <v>27.4</v>
      </c>
      <c r="AC480" s="180">
        <v>25.5</v>
      </c>
      <c r="AD480" s="180">
        <v>20.8</v>
      </c>
      <c r="AE480" s="180">
        <v>21.7</v>
      </c>
      <c r="AF480" s="180">
        <v>22.3</v>
      </c>
      <c r="AG480" s="183">
        <v>22</v>
      </c>
    </row>
    <row r="481" spans="2:33" s="154" customFormat="1" ht="15" customHeight="1" outlineLevel="1">
      <c r="B481" s="173" t="s">
        <v>193</v>
      </c>
      <c r="C481" s="173" t="s">
        <v>405</v>
      </c>
      <c r="D481" s="179">
        <v>6.4</v>
      </c>
      <c r="E481" s="180">
        <v>0</v>
      </c>
      <c r="F481" s="180">
        <v>0</v>
      </c>
      <c r="G481" s="180">
        <v>0</v>
      </c>
      <c r="H481" s="180">
        <v>7</v>
      </c>
      <c r="I481" s="180">
        <v>14</v>
      </c>
      <c r="J481" s="180">
        <v>16.600000000000001</v>
      </c>
      <c r="K481" s="180">
        <v>19.600000000000001</v>
      </c>
      <c r="L481" s="180">
        <v>26.4</v>
      </c>
      <c r="M481" s="181">
        <v>22.4</v>
      </c>
      <c r="N481" s="182">
        <v>6.4</v>
      </c>
      <c r="O481" s="180">
        <v>0</v>
      </c>
      <c r="P481" s="180">
        <v>0</v>
      </c>
      <c r="Q481" s="180">
        <v>0</v>
      </c>
      <c r="R481" s="180">
        <v>0</v>
      </c>
      <c r="S481" s="180">
        <v>0</v>
      </c>
      <c r="T481" s="180">
        <v>0</v>
      </c>
      <c r="U481" s="180">
        <v>0</v>
      </c>
      <c r="V481" s="180">
        <v>0</v>
      </c>
      <c r="W481" s="180">
        <v>0</v>
      </c>
      <c r="X481" s="180">
        <v>0</v>
      </c>
      <c r="Y481" s="180">
        <v>0</v>
      </c>
      <c r="Z481" s="180">
        <v>0</v>
      </c>
      <c r="AA481" s="180">
        <v>10.5</v>
      </c>
      <c r="AB481" s="180">
        <v>8.3000000000000007</v>
      </c>
      <c r="AC481" s="180">
        <v>7.7</v>
      </c>
      <c r="AD481" s="180">
        <v>7</v>
      </c>
      <c r="AE481" s="180">
        <v>7.5</v>
      </c>
      <c r="AF481" s="180">
        <v>13.1</v>
      </c>
      <c r="AG481" s="183">
        <v>13</v>
      </c>
    </row>
    <row r="482" spans="2:33" s="154" customFormat="1" ht="15" customHeight="1" outlineLevel="1">
      <c r="B482" s="173" t="s">
        <v>193</v>
      </c>
      <c r="C482" s="173" t="s">
        <v>406</v>
      </c>
      <c r="D482" s="179">
        <v>4.2</v>
      </c>
      <c r="E482" s="180">
        <v>0</v>
      </c>
      <c r="F482" s="180">
        <v>0</v>
      </c>
      <c r="G482" s="180">
        <v>0</v>
      </c>
      <c r="H482" s="180">
        <v>4.0999999999999996</v>
      </c>
      <c r="I482" s="180">
        <v>5</v>
      </c>
      <c r="J482" s="180">
        <v>4.5</v>
      </c>
      <c r="K482" s="180">
        <v>6.4</v>
      </c>
      <c r="L482" s="180">
        <v>6.2</v>
      </c>
      <c r="M482" s="181">
        <v>6.4</v>
      </c>
      <c r="N482" s="182">
        <v>4.2</v>
      </c>
      <c r="O482" s="180">
        <v>0</v>
      </c>
      <c r="P482" s="180">
        <v>0</v>
      </c>
      <c r="Q482" s="180">
        <v>0</v>
      </c>
      <c r="R482" s="180">
        <v>0</v>
      </c>
      <c r="S482" s="180">
        <v>0</v>
      </c>
      <c r="T482" s="180">
        <v>0</v>
      </c>
      <c r="U482" s="180">
        <v>0</v>
      </c>
      <c r="V482" s="180">
        <v>0</v>
      </c>
      <c r="W482" s="180">
        <v>0</v>
      </c>
      <c r="X482" s="180">
        <v>0</v>
      </c>
      <c r="Y482" s="180">
        <v>0</v>
      </c>
      <c r="Z482" s="180">
        <v>0</v>
      </c>
      <c r="AA482" s="180">
        <v>0.7</v>
      </c>
      <c r="AB482" s="180">
        <v>2</v>
      </c>
      <c r="AC482" s="180">
        <v>3</v>
      </c>
      <c r="AD482" s="180">
        <v>4.0999999999999996</v>
      </c>
      <c r="AE482" s="180">
        <v>4.5</v>
      </c>
      <c r="AF482" s="180">
        <v>4.5999999999999996</v>
      </c>
      <c r="AG482" s="183">
        <v>4.9000000000000004</v>
      </c>
    </row>
    <row r="483" spans="2:33" s="154" customFormat="1" ht="15" customHeight="1" outlineLevel="1">
      <c r="B483" s="173" t="s">
        <v>193</v>
      </c>
      <c r="C483" s="173" t="s">
        <v>407</v>
      </c>
      <c r="D483" s="179">
        <v>22.2</v>
      </c>
      <c r="E483" s="180">
        <v>0</v>
      </c>
      <c r="F483" s="180">
        <v>0</v>
      </c>
      <c r="G483" s="180">
        <v>0</v>
      </c>
      <c r="H483" s="180">
        <v>58.1</v>
      </c>
      <c r="I483" s="180">
        <v>81.099999999999994</v>
      </c>
      <c r="J483" s="180">
        <v>59.7</v>
      </c>
      <c r="K483" s="180">
        <v>86.5</v>
      </c>
      <c r="L483" s="180">
        <v>46.9</v>
      </c>
      <c r="M483" s="181">
        <v>42.1</v>
      </c>
      <c r="N483" s="182">
        <v>22.2</v>
      </c>
      <c r="O483" s="180">
        <v>0</v>
      </c>
      <c r="P483" s="180">
        <v>0</v>
      </c>
      <c r="Q483" s="180">
        <v>0</v>
      </c>
      <c r="R483" s="180">
        <v>0</v>
      </c>
      <c r="S483" s="180">
        <v>0</v>
      </c>
      <c r="T483" s="180">
        <v>0</v>
      </c>
      <c r="U483" s="180">
        <v>0</v>
      </c>
      <c r="V483" s="180">
        <v>0</v>
      </c>
      <c r="W483" s="180">
        <v>0</v>
      </c>
      <c r="X483" s="180">
        <v>0</v>
      </c>
      <c r="Y483" s="180">
        <v>0</v>
      </c>
      <c r="Z483" s="180">
        <v>0</v>
      </c>
      <c r="AA483" s="180">
        <v>7</v>
      </c>
      <c r="AB483" s="180">
        <v>23.3</v>
      </c>
      <c r="AC483" s="180">
        <v>40</v>
      </c>
      <c r="AD483" s="180">
        <v>58.1</v>
      </c>
      <c r="AE483" s="180">
        <v>69.5</v>
      </c>
      <c r="AF483" s="180">
        <v>103.8</v>
      </c>
      <c r="AG483" s="183">
        <v>88.6</v>
      </c>
    </row>
    <row r="484" spans="2:33" s="154" customFormat="1" ht="15" customHeight="1" outlineLevel="1">
      <c r="B484" s="173" t="s">
        <v>193</v>
      </c>
      <c r="C484" s="173" t="s">
        <v>408</v>
      </c>
      <c r="D484" s="179">
        <v>5</v>
      </c>
      <c r="E484" s="180">
        <v>0</v>
      </c>
      <c r="F484" s="180">
        <v>0</v>
      </c>
      <c r="G484" s="180">
        <v>0</v>
      </c>
      <c r="H484" s="180">
        <v>9.4</v>
      </c>
      <c r="I484" s="180">
        <v>11</v>
      </c>
      <c r="J484" s="180">
        <v>10.1</v>
      </c>
      <c r="K484" s="180">
        <v>15.5</v>
      </c>
      <c r="L484" s="180">
        <v>13.1</v>
      </c>
      <c r="M484" s="181">
        <v>13.7</v>
      </c>
      <c r="N484" s="182">
        <v>5</v>
      </c>
      <c r="O484" s="180">
        <v>0</v>
      </c>
      <c r="P484" s="180">
        <v>0</v>
      </c>
      <c r="Q484" s="180">
        <v>0</v>
      </c>
      <c r="R484" s="180">
        <v>0</v>
      </c>
      <c r="S484" s="180">
        <v>0</v>
      </c>
      <c r="T484" s="180">
        <v>0</v>
      </c>
      <c r="U484" s="180">
        <v>0</v>
      </c>
      <c r="V484" s="180">
        <v>0</v>
      </c>
      <c r="W484" s="180">
        <v>0</v>
      </c>
      <c r="X484" s="180">
        <v>0</v>
      </c>
      <c r="Y484" s="180">
        <v>0</v>
      </c>
      <c r="Z484" s="180">
        <v>0</v>
      </c>
      <c r="AA484" s="180">
        <v>1.1000000000000001</v>
      </c>
      <c r="AB484" s="180">
        <v>3.6</v>
      </c>
      <c r="AC484" s="180">
        <v>6.5</v>
      </c>
      <c r="AD484" s="180">
        <v>9.4</v>
      </c>
      <c r="AE484" s="180">
        <v>10.4</v>
      </c>
      <c r="AF484" s="180">
        <v>10.3</v>
      </c>
      <c r="AG484" s="183">
        <v>10.9</v>
      </c>
    </row>
    <row r="485" spans="2:33" s="154" customFormat="1" ht="15" customHeight="1" outlineLevel="1">
      <c r="B485" s="173" t="s">
        <v>193</v>
      </c>
      <c r="C485" s="173" t="s">
        <v>409</v>
      </c>
      <c r="D485" s="179">
        <v>14.9</v>
      </c>
      <c r="E485" s="180">
        <v>0</v>
      </c>
      <c r="F485" s="180">
        <v>0</v>
      </c>
      <c r="G485" s="180">
        <v>0</v>
      </c>
      <c r="H485" s="180">
        <v>40.200000000000003</v>
      </c>
      <c r="I485" s="180">
        <v>74</v>
      </c>
      <c r="J485" s="180">
        <v>52.7</v>
      </c>
      <c r="K485" s="180">
        <v>77.099999999999994</v>
      </c>
      <c r="L485" s="180">
        <v>43.5</v>
      </c>
      <c r="M485" s="181">
        <v>39</v>
      </c>
      <c r="N485" s="182">
        <v>14.9</v>
      </c>
      <c r="O485" s="180">
        <v>0</v>
      </c>
      <c r="P485" s="180">
        <v>0</v>
      </c>
      <c r="Q485" s="180">
        <v>0</v>
      </c>
      <c r="R485" s="180">
        <v>0</v>
      </c>
      <c r="S485" s="180">
        <v>0</v>
      </c>
      <c r="T485" s="180">
        <v>0</v>
      </c>
      <c r="U485" s="180">
        <v>0</v>
      </c>
      <c r="V485" s="180">
        <v>0</v>
      </c>
      <c r="W485" s="180">
        <v>0</v>
      </c>
      <c r="X485" s="180">
        <v>0</v>
      </c>
      <c r="Y485" s="180">
        <v>0</v>
      </c>
      <c r="Z485" s="180">
        <v>0</v>
      </c>
      <c r="AA485" s="180">
        <v>4.0999999999999996</v>
      </c>
      <c r="AB485" s="180">
        <v>13.4</v>
      </c>
      <c r="AC485" s="180">
        <v>25.6</v>
      </c>
      <c r="AD485" s="180">
        <v>40.200000000000003</v>
      </c>
      <c r="AE485" s="180">
        <v>48.1</v>
      </c>
      <c r="AF485" s="180">
        <v>62.8</v>
      </c>
      <c r="AG485" s="183">
        <v>57.7</v>
      </c>
    </row>
    <row r="486" spans="2:33" s="154" customFormat="1" ht="15" customHeight="1" outlineLevel="1" thickBot="1">
      <c r="B486" s="184" t="s">
        <v>193</v>
      </c>
      <c r="C486" s="184" t="s">
        <v>410</v>
      </c>
      <c r="D486" s="185"/>
      <c r="E486" s="186"/>
      <c r="F486" s="186"/>
      <c r="G486" s="186">
        <v>21801</v>
      </c>
      <c r="H486" s="186">
        <v>32418</v>
      </c>
      <c r="I486" s="186">
        <v>34354</v>
      </c>
      <c r="J486" s="186">
        <v>28541</v>
      </c>
      <c r="K486" s="186">
        <v>54785</v>
      </c>
      <c r="L486" s="186">
        <v>55127</v>
      </c>
      <c r="M486" s="187">
        <v>57500</v>
      </c>
      <c r="N486" s="188"/>
      <c r="O486" s="186"/>
      <c r="P486" s="186"/>
      <c r="Q486" s="186"/>
      <c r="R486" s="186">
        <v>21801</v>
      </c>
      <c r="S486" s="186"/>
      <c r="T486" s="186"/>
      <c r="U486" s="186"/>
      <c r="V486" s="186"/>
      <c r="W486" s="186"/>
      <c r="X486" s="186"/>
      <c r="Y486" s="186"/>
      <c r="Z486" s="186"/>
      <c r="AA486" s="186"/>
      <c r="AB486" s="186"/>
      <c r="AC486" s="186"/>
      <c r="AD486" s="186"/>
      <c r="AE486" s="186"/>
      <c r="AF486" s="186"/>
      <c r="AG486" s="189">
        <v>32418</v>
      </c>
    </row>
    <row r="487" spans="2:33" s="154" customFormat="1" ht="15" customHeight="1" outlineLevel="1">
      <c r="B487" s="190" t="s">
        <v>194</v>
      </c>
      <c r="C487" s="190" t="s">
        <v>411</v>
      </c>
      <c r="D487" s="203">
        <v>1</v>
      </c>
      <c r="E487" s="192">
        <v>1.1000000000000001</v>
      </c>
      <c r="F487" s="192">
        <v>1.3</v>
      </c>
      <c r="G487" s="192">
        <v>1</v>
      </c>
      <c r="H487" s="192">
        <v>1</v>
      </c>
      <c r="I487" s="192">
        <v>0.8</v>
      </c>
      <c r="J487" s="192">
        <v>0.9</v>
      </c>
      <c r="K487" s="192">
        <v>0.9</v>
      </c>
      <c r="L487" s="192">
        <v>1</v>
      </c>
      <c r="M487" s="193">
        <v>0.8</v>
      </c>
      <c r="N487" s="194">
        <v>1</v>
      </c>
      <c r="O487" s="192">
        <v>0.9</v>
      </c>
      <c r="P487" s="192">
        <v>1.1000000000000001</v>
      </c>
      <c r="Q487" s="192">
        <v>1.1000000000000001</v>
      </c>
      <c r="R487" s="192">
        <v>1.1000000000000001</v>
      </c>
      <c r="S487" s="192">
        <v>1.2</v>
      </c>
      <c r="T487" s="192">
        <v>1.3</v>
      </c>
      <c r="U487" s="192">
        <v>1.3</v>
      </c>
      <c r="V487" s="192">
        <v>1.3</v>
      </c>
      <c r="W487" s="192">
        <v>1.2</v>
      </c>
      <c r="X487" s="192">
        <v>1.1000000000000001</v>
      </c>
      <c r="Y487" s="192">
        <v>1.1000000000000001</v>
      </c>
      <c r="Z487" s="192">
        <v>1</v>
      </c>
      <c r="AA487" s="192">
        <v>1.2</v>
      </c>
      <c r="AB487" s="192">
        <v>1.2</v>
      </c>
      <c r="AC487" s="192">
        <v>1.1000000000000001</v>
      </c>
      <c r="AD487" s="192">
        <v>1</v>
      </c>
      <c r="AE487" s="192">
        <v>1</v>
      </c>
      <c r="AF487" s="192">
        <v>0.9</v>
      </c>
      <c r="AG487" s="195">
        <v>0.9</v>
      </c>
    </row>
    <row r="488" spans="2:33" s="154" customFormat="1" ht="15" customHeight="1" outlineLevel="1">
      <c r="B488" s="196" t="s">
        <v>194</v>
      </c>
      <c r="C488" s="196" t="s">
        <v>412</v>
      </c>
      <c r="D488" s="179">
        <v>1.2</v>
      </c>
      <c r="E488" s="180">
        <v>1.3</v>
      </c>
      <c r="F488" s="180">
        <v>1.5</v>
      </c>
      <c r="G488" s="180">
        <v>1.3</v>
      </c>
      <c r="H488" s="180">
        <v>1.4</v>
      </c>
      <c r="I488" s="180">
        <v>1.1000000000000001</v>
      </c>
      <c r="J488" s="180">
        <v>1.1000000000000001</v>
      </c>
      <c r="K488" s="180">
        <v>1.1000000000000001</v>
      </c>
      <c r="L488" s="180">
        <v>1.2</v>
      </c>
      <c r="M488" s="181">
        <v>1</v>
      </c>
      <c r="N488" s="182">
        <v>1.2</v>
      </c>
      <c r="O488" s="180">
        <v>1.2</v>
      </c>
      <c r="P488" s="180">
        <v>1.3</v>
      </c>
      <c r="Q488" s="180">
        <v>1.3</v>
      </c>
      <c r="R488" s="180">
        <v>1.3</v>
      </c>
      <c r="S488" s="180">
        <v>1.4</v>
      </c>
      <c r="T488" s="180">
        <v>1.5</v>
      </c>
      <c r="U488" s="180">
        <v>1.6</v>
      </c>
      <c r="V488" s="180">
        <v>1.5</v>
      </c>
      <c r="W488" s="180">
        <v>1.5</v>
      </c>
      <c r="X488" s="180">
        <v>1.3</v>
      </c>
      <c r="Y488" s="180">
        <v>1.3</v>
      </c>
      <c r="Z488" s="180">
        <v>1.3</v>
      </c>
      <c r="AA488" s="180">
        <v>1.5</v>
      </c>
      <c r="AB488" s="180">
        <v>1.5</v>
      </c>
      <c r="AC488" s="180">
        <v>1.4</v>
      </c>
      <c r="AD488" s="180">
        <v>1.4</v>
      </c>
      <c r="AE488" s="180">
        <v>1.3</v>
      </c>
      <c r="AF488" s="180">
        <v>1.2</v>
      </c>
      <c r="AG488" s="183">
        <v>1.2</v>
      </c>
    </row>
    <row r="489" spans="2:33" s="154" customFormat="1" ht="15" customHeight="1" outlineLevel="1">
      <c r="B489" s="196" t="s">
        <v>194</v>
      </c>
      <c r="C489" s="196" t="s">
        <v>413</v>
      </c>
      <c r="D489" s="179"/>
      <c r="E489" s="180"/>
      <c r="F489" s="180"/>
      <c r="G489" s="180"/>
      <c r="H489" s="180">
        <v>12</v>
      </c>
      <c r="I489" s="180"/>
      <c r="J489" s="180"/>
      <c r="K489" s="180"/>
      <c r="L489" s="180"/>
      <c r="M489" s="181"/>
      <c r="N489" s="182"/>
      <c r="O489" s="180"/>
      <c r="P489" s="180"/>
      <c r="Q489" s="180">
        <v>12</v>
      </c>
      <c r="R489" s="180">
        <v>5</v>
      </c>
      <c r="S489" s="180"/>
      <c r="T489" s="180"/>
      <c r="U489" s="180"/>
      <c r="V489" s="180"/>
      <c r="W489" s="180"/>
      <c r="X489" s="180"/>
      <c r="Y489" s="180"/>
      <c r="Z489" s="180"/>
      <c r="AA489" s="180"/>
      <c r="AB489" s="180"/>
      <c r="AC489" s="180"/>
      <c r="AD489" s="180"/>
      <c r="AE489" s="180"/>
      <c r="AF489" s="180"/>
      <c r="AG489" s="183"/>
    </row>
    <row r="490" spans="2:33" s="154" customFormat="1" ht="15" customHeight="1" outlineLevel="1">
      <c r="B490" s="196" t="s">
        <v>194</v>
      </c>
      <c r="C490" s="196" t="s">
        <v>414</v>
      </c>
      <c r="D490" s="179">
        <v>0.85</v>
      </c>
      <c r="E490" s="180">
        <v>1.04</v>
      </c>
      <c r="F490" s="180">
        <v>0.77</v>
      </c>
      <c r="G490" s="180">
        <v>0.72</v>
      </c>
      <c r="H490" s="180">
        <v>0.47</v>
      </c>
      <c r="I490" s="180">
        <v>0.16</v>
      </c>
      <c r="J490" s="180">
        <v>0.17</v>
      </c>
      <c r="K490" s="180">
        <v>0.12</v>
      </c>
      <c r="L490" s="180">
        <v>0.08</v>
      </c>
      <c r="M490" s="181">
        <v>0.08</v>
      </c>
      <c r="N490" s="182">
        <v>0.85</v>
      </c>
      <c r="O490" s="180">
        <v>0.89</v>
      </c>
      <c r="P490" s="180">
        <v>0.87</v>
      </c>
      <c r="Q490" s="180">
        <v>0.96</v>
      </c>
      <c r="R490" s="180">
        <v>1.04</v>
      </c>
      <c r="S490" s="180">
        <v>0.95</v>
      </c>
      <c r="T490" s="180">
        <v>0.93</v>
      </c>
      <c r="U490" s="180">
        <v>0.91</v>
      </c>
      <c r="V490" s="180">
        <v>0.77</v>
      </c>
      <c r="W490" s="180">
        <v>0.88</v>
      </c>
      <c r="X490" s="180">
        <v>0.85</v>
      </c>
      <c r="Y490" s="180">
        <v>0.79</v>
      </c>
      <c r="Z490" s="180">
        <v>0.72</v>
      </c>
      <c r="AA490" s="180">
        <v>0.75</v>
      </c>
      <c r="AB490" s="180">
        <v>0.74</v>
      </c>
      <c r="AC490" s="180">
        <v>0.59</v>
      </c>
      <c r="AD490" s="180">
        <v>0.47</v>
      </c>
      <c r="AE490" s="180">
        <v>0.51</v>
      </c>
      <c r="AF490" s="180">
        <v>0.7</v>
      </c>
      <c r="AG490" s="183">
        <v>0.56999999999999995</v>
      </c>
    </row>
    <row r="491" spans="2:33" s="154" customFormat="1" ht="15" customHeight="1" outlineLevel="1" thickBot="1">
      <c r="B491" s="204" t="s">
        <v>194</v>
      </c>
      <c r="C491" s="204" t="s">
        <v>415</v>
      </c>
      <c r="D491" s="185">
        <v>0.33</v>
      </c>
      <c r="E491" s="186">
        <v>0.42</v>
      </c>
      <c r="F491" s="186">
        <v>0.4</v>
      </c>
      <c r="G491" s="186">
        <v>0.38</v>
      </c>
      <c r="H491" s="186">
        <v>0.31</v>
      </c>
      <c r="I491" s="186">
        <v>0.09</v>
      </c>
      <c r="J491" s="186">
        <v>0.12</v>
      </c>
      <c r="K491" s="186">
        <v>0.11</v>
      </c>
      <c r="L491" s="186">
        <v>7.0000000000000007E-2</v>
      </c>
      <c r="M491" s="187">
        <v>7.0000000000000007E-2</v>
      </c>
      <c r="N491" s="188">
        <v>0.33</v>
      </c>
      <c r="O491" s="186">
        <v>0.34</v>
      </c>
      <c r="P491" s="186">
        <v>0.37</v>
      </c>
      <c r="Q491" s="186">
        <v>0.38</v>
      </c>
      <c r="R491" s="186">
        <v>0.42</v>
      </c>
      <c r="S491" s="186">
        <v>0.43</v>
      </c>
      <c r="T491" s="186">
        <v>0.44</v>
      </c>
      <c r="U491" s="186">
        <v>0.45</v>
      </c>
      <c r="V491" s="186">
        <v>0.4</v>
      </c>
      <c r="W491" s="186">
        <v>0.43</v>
      </c>
      <c r="X491" s="186">
        <v>0.37</v>
      </c>
      <c r="Y491" s="186">
        <v>0.38</v>
      </c>
      <c r="Z491" s="186">
        <v>0.38</v>
      </c>
      <c r="AA491" s="186">
        <v>0.41</v>
      </c>
      <c r="AB491" s="186">
        <v>0.42</v>
      </c>
      <c r="AC491" s="186">
        <v>0.36</v>
      </c>
      <c r="AD491" s="186">
        <v>0.31</v>
      </c>
      <c r="AE491" s="186">
        <v>0.31</v>
      </c>
      <c r="AF491" s="186">
        <v>0.39</v>
      </c>
      <c r="AG491" s="189">
        <v>0.35</v>
      </c>
    </row>
    <row r="492" spans="2:33" s="154" customFormat="1" ht="15" customHeight="1" outlineLevel="1">
      <c r="B492" s="205" t="s">
        <v>195</v>
      </c>
      <c r="C492" s="205" t="s">
        <v>416</v>
      </c>
      <c r="D492" s="206">
        <v>4.5</v>
      </c>
      <c r="E492" s="207">
        <v>5</v>
      </c>
      <c r="F492" s="207">
        <v>5</v>
      </c>
      <c r="G492" s="207">
        <v>6</v>
      </c>
      <c r="H492" s="207">
        <v>6.2</v>
      </c>
      <c r="I492" s="207">
        <v>7.4</v>
      </c>
      <c r="J492" s="207">
        <v>5.9</v>
      </c>
      <c r="K492" s="207">
        <v>5.6</v>
      </c>
      <c r="L492" s="207">
        <v>3.6</v>
      </c>
      <c r="M492" s="208">
        <v>3.1</v>
      </c>
      <c r="N492" s="209">
        <v>4.5</v>
      </c>
      <c r="O492" s="207">
        <v>4.5</v>
      </c>
      <c r="P492" s="207">
        <v>4.5</v>
      </c>
      <c r="Q492" s="207">
        <v>4.5999999999999996</v>
      </c>
      <c r="R492" s="207">
        <v>5</v>
      </c>
      <c r="S492" s="207">
        <v>4.9000000000000004</v>
      </c>
      <c r="T492" s="207">
        <v>5</v>
      </c>
      <c r="U492" s="207">
        <v>4.8</v>
      </c>
      <c r="V492" s="207">
        <v>5</v>
      </c>
      <c r="W492" s="207">
        <v>5.5</v>
      </c>
      <c r="X492" s="207">
        <v>5.9</v>
      </c>
      <c r="Y492" s="207">
        <v>5.8</v>
      </c>
      <c r="Z492" s="207">
        <v>6</v>
      </c>
      <c r="AA492" s="207">
        <v>6.2</v>
      </c>
      <c r="AB492" s="207">
        <v>6.5</v>
      </c>
      <c r="AC492" s="207">
        <v>6.2</v>
      </c>
      <c r="AD492" s="207">
        <v>6.2</v>
      </c>
      <c r="AE492" s="207">
        <v>6.7</v>
      </c>
      <c r="AF492" s="207">
        <v>10.1</v>
      </c>
      <c r="AG492" s="210">
        <v>8.1</v>
      </c>
    </row>
    <row r="493" spans="2:33" s="154" customFormat="1" ht="15" customHeight="1" outlineLevel="1">
      <c r="B493" s="173" t="s">
        <v>195</v>
      </c>
      <c r="C493" s="173" t="s">
        <v>417</v>
      </c>
      <c r="D493" s="179">
        <v>1.2</v>
      </c>
      <c r="E493" s="180">
        <v>1.5</v>
      </c>
      <c r="F493" s="180">
        <v>1.7</v>
      </c>
      <c r="G493" s="180">
        <v>1.8</v>
      </c>
      <c r="H493" s="180">
        <v>2.2999999999999998</v>
      </c>
      <c r="I493" s="180">
        <v>2.2999999999999998</v>
      </c>
      <c r="J493" s="180">
        <v>2.4</v>
      </c>
      <c r="K493" s="180">
        <v>2.4</v>
      </c>
      <c r="L493" s="180">
        <v>2.2999999999999998</v>
      </c>
      <c r="M493" s="181">
        <v>2.4</v>
      </c>
      <c r="N493" s="182">
        <v>1.2</v>
      </c>
      <c r="O493" s="180">
        <v>1.3</v>
      </c>
      <c r="P493" s="180">
        <v>1.4</v>
      </c>
      <c r="Q493" s="180">
        <v>1.5</v>
      </c>
      <c r="R493" s="180">
        <v>1.5</v>
      </c>
      <c r="S493" s="180">
        <v>1.6</v>
      </c>
      <c r="T493" s="180">
        <v>1.6</v>
      </c>
      <c r="U493" s="180">
        <v>1.7</v>
      </c>
      <c r="V493" s="180">
        <v>1.7</v>
      </c>
      <c r="W493" s="180">
        <v>1.8</v>
      </c>
      <c r="X493" s="180">
        <v>1.7</v>
      </c>
      <c r="Y493" s="180">
        <v>1.8</v>
      </c>
      <c r="Z493" s="180">
        <v>1.8</v>
      </c>
      <c r="AA493" s="180">
        <v>1.7</v>
      </c>
      <c r="AB493" s="180">
        <v>1.8</v>
      </c>
      <c r="AC493" s="180">
        <v>2.1</v>
      </c>
      <c r="AD493" s="180">
        <v>2.2999999999999998</v>
      </c>
      <c r="AE493" s="180">
        <v>2.2000000000000002</v>
      </c>
      <c r="AF493" s="180">
        <v>2.2999999999999998</v>
      </c>
      <c r="AG493" s="183">
        <v>2.2999999999999998</v>
      </c>
    </row>
    <row r="494" spans="2:33" s="154" customFormat="1" ht="15" customHeight="1" outlineLevel="1">
      <c r="B494" s="173" t="s">
        <v>195</v>
      </c>
      <c r="C494" s="173" t="s">
        <v>418</v>
      </c>
      <c r="D494" s="179">
        <v>22.1</v>
      </c>
      <c r="E494" s="180">
        <v>22.3</v>
      </c>
      <c r="F494" s="180">
        <v>22.6</v>
      </c>
      <c r="G494" s="180">
        <v>20.100000000000001</v>
      </c>
      <c r="H494" s="180">
        <v>13.7</v>
      </c>
      <c r="I494" s="180">
        <v>12.7</v>
      </c>
      <c r="J494" s="180">
        <v>16.600000000000001</v>
      </c>
      <c r="K494" s="180">
        <v>12.6</v>
      </c>
      <c r="L494" s="180">
        <v>9.6</v>
      </c>
      <c r="M494" s="181">
        <v>10.4</v>
      </c>
      <c r="N494" s="182">
        <v>22.1</v>
      </c>
      <c r="O494" s="180">
        <v>18.7</v>
      </c>
      <c r="P494" s="180">
        <v>19.100000000000001</v>
      </c>
      <c r="Q494" s="180">
        <v>20.8</v>
      </c>
      <c r="R494" s="180">
        <v>22.3</v>
      </c>
      <c r="S494" s="180">
        <v>21.5</v>
      </c>
      <c r="T494" s="180">
        <v>23.7</v>
      </c>
      <c r="U494" s="180">
        <v>22.8</v>
      </c>
      <c r="V494" s="180">
        <v>22.6</v>
      </c>
      <c r="W494" s="180">
        <v>21.2</v>
      </c>
      <c r="X494" s="180">
        <v>20.100000000000001</v>
      </c>
      <c r="Y494" s="180">
        <v>18.5</v>
      </c>
      <c r="Z494" s="180">
        <v>20.100000000000001</v>
      </c>
      <c r="AA494" s="180">
        <v>24.9</v>
      </c>
      <c r="AB494" s="180">
        <v>21.8</v>
      </c>
      <c r="AC494" s="180">
        <v>16.899999999999999</v>
      </c>
      <c r="AD494" s="180">
        <v>13.7</v>
      </c>
      <c r="AE494" s="180">
        <v>12.4</v>
      </c>
      <c r="AF494" s="180">
        <v>13.4</v>
      </c>
      <c r="AG494" s="183">
        <v>13.2</v>
      </c>
    </row>
    <row r="495" spans="2:33" s="154" customFormat="1" ht="15" customHeight="1" outlineLevel="1">
      <c r="B495" s="173" t="s">
        <v>195</v>
      </c>
      <c r="C495" s="173" t="s">
        <v>419</v>
      </c>
      <c r="D495" s="179">
        <v>17.3</v>
      </c>
      <c r="E495" s="180">
        <v>15.8</v>
      </c>
      <c r="F495" s="180">
        <v>16.5</v>
      </c>
      <c r="G495" s="180">
        <v>16.100000000000001</v>
      </c>
      <c r="H495" s="180">
        <v>10.5</v>
      </c>
      <c r="I495" s="180">
        <v>12.6</v>
      </c>
      <c r="J495" s="180">
        <v>10.7</v>
      </c>
      <c r="K495" s="180">
        <v>9.8000000000000007</v>
      </c>
      <c r="L495" s="180">
        <v>9</v>
      </c>
      <c r="M495" s="181">
        <v>8.8000000000000007</v>
      </c>
      <c r="N495" s="182">
        <v>17.3</v>
      </c>
      <c r="O495" s="180">
        <v>15.9</v>
      </c>
      <c r="P495" s="180">
        <v>16.600000000000001</v>
      </c>
      <c r="Q495" s="180">
        <v>15.4</v>
      </c>
      <c r="R495" s="180">
        <v>15.8</v>
      </c>
      <c r="S495" s="180">
        <v>16.2</v>
      </c>
      <c r="T495" s="180">
        <v>16.399999999999999</v>
      </c>
      <c r="U495" s="180">
        <v>15.3</v>
      </c>
      <c r="V495" s="180">
        <v>16.5</v>
      </c>
      <c r="W495" s="180">
        <v>16.5</v>
      </c>
      <c r="X495" s="180">
        <v>16.899999999999999</v>
      </c>
      <c r="Y495" s="180">
        <v>16.399999999999999</v>
      </c>
      <c r="Z495" s="180">
        <v>16.100000000000001</v>
      </c>
      <c r="AA495" s="180">
        <v>14.8</v>
      </c>
      <c r="AB495" s="180">
        <v>14.3</v>
      </c>
      <c r="AC495" s="180">
        <v>10.6</v>
      </c>
      <c r="AD495" s="180">
        <v>10.5</v>
      </c>
      <c r="AE495" s="180">
        <v>11.1</v>
      </c>
      <c r="AF495" s="180">
        <v>12.6</v>
      </c>
      <c r="AG495" s="183">
        <v>12.1</v>
      </c>
    </row>
    <row r="496" spans="2:33" s="154" customFormat="1" ht="15" customHeight="1" outlineLevel="1">
      <c r="B496" s="173" t="s">
        <v>195</v>
      </c>
      <c r="C496" s="173" t="s">
        <v>420</v>
      </c>
      <c r="D496" s="179">
        <v>14.2</v>
      </c>
      <c r="E496" s="180">
        <v>13.7</v>
      </c>
      <c r="F496" s="180">
        <v>11.9</v>
      </c>
      <c r="G496" s="180">
        <v>12.2</v>
      </c>
      <c r="H496" s="180">
        <v>11.6</v>
      </c>
      <c r="I496" s="180">
        <v>12.3</v>
      </c>
      <c r="J496" s="180">
        <v>10.4</v>
      </c>
      <c r="K496" s="180">
        <v>9.1999999999999993</v>
      </c>
      <c r="L496" s="180">
        <v>8.6999999999999993</v>
      </c>
      <c r="M496" s="181">
        <v>8.6</v>
      </c>
      <c r="N496" s="182">
        <v>14.2</v>
      </c>
      <c r="O496" s="180">
        <v>14</v>
      </c>
      <c r="P496" s="180">
        <v>13.8</v>
      </c>
      <c r="Q496" s="180">
        <v>13.8</v>
      </c>
      <c r="R496" s="180">
        <v>13.7</v>
      </c>
      <c r="S496" s="180">
        <v>13.4</v>
      </c>
      <c r="T496" s="180">
        <v>12.9</v>
      </c>
      <c r="U496" s="180">
        <v>12.2</v>
      </c>
      <c r="V496" s="180">
        <v>11.9</v>
      </c>
      <c r="W496" s="180">
        <v>11.7</v>
      </c>
      <c r="X496" s="180">
        <v>11.7</v>
      </c>
      <c r="Y496" s="180">
        <v>12.1</v>
      </c>
      <c r="Z496" s="180">
        <v>12.2</v>
      </c>
      <c r="AA496" s="180">
        <v>12.4</v>
      </c>
      <c r="AB496" s="180">
        <v>12.2</v>
      </c>
      <c r="AC496" s="180">
        <v>11.9</v>
      </c>
      <c r="AD496" s="180">
        <v>11.6</v>
      </c>
      <c r="AE496" s="180">
        <v>11.6</v>
      </c>
      <c r="AF496" s="180">
        <v>11.9</v>
      </c>
      <c r="AG496" s="183">
        <v>12.3</v>
      </c>
    </row>
    <row r="497" spans="2:33" s="154" customFormat="1" ht="15" customHeight="1" outlineLevel="1" thickBot="1">
      <c r="B497" s="184" t="s">
        <v>195</v>
      </c>
      <c r="C497" s="184" t="s">
        <v>421</v>
      </c>
      <c r="D497" s="185">
        <v>1.9</v>
      </c>
      <c r="E497" s="186">
        <v>1.4</v>
      </c>
      <c r="F497" s="186">
        <v>1.1000000000000001</v>
      </c>
      <c r="G497" s="186">
        <v>1.2</v>
      </c>
      <c r="H497" s="186">
        <v>1.1000000000000001</v>
      </c>
      <c r="I497" s="186">
        <v>1</v>
      </c>
      <c r="J497" s="186">
        <v>0.9</v>
      </c>
      <c r="K497" s="186">
        <v>0.8</v>
      </c>
      <c r="L497" s="186">
        <v>0.9</v>
      </c>
      <c r="M497" s="187">
        <v>1.1000000000000001</v>
      </c>
      <c r="N497" s="188">
        <v>1.9</v>
      </c>
      <c r="O497" s="186">
        <v>1.7</v>
      </c>
      <c r="P497" s="186">
        <v>1.6</v>
      </c>
      <c r="Q497" s="186">
        <v>1.5</v>
      </c>
      <c r="R497" s="186">
        <v>1.4</v>
      </c>
      <c r="S497" s="186">
        <v>1.3</v>
      </c>
      <c r="T497" s="186">
        <v>1.2</v>
      </c>
      <c r="U497" s="186">
        <v>1.1000000000000001</v>
      </c>
      <c r="V497" s="186">
        <v>1.1000000000000001</v>
      </c>
      <c r="W497" s="186">
        <v>1.1000000000000001</v>
      </c>
      <c r="X497" s="186">
        <v>1.1000000000000001</v>
      </c>
      <c r="Y497" s="186">
        <v>1.2</v>
      </c>
      <c r="Z497" s="186">
        <v>1.2</v>
      </c>
      <c r="AA497" s="186">
        <v>1.2</v>
      </c>
      <c r="AB497" s="186">
        <v>1.2</v>
      </c>
      <c r="AC497" s="186">
        <v>1.1000000000000001</v>
      </c>
      <c r="AD497" s="186">
        <v>1.1000000000000001</v>
      </c>
      <c r="AE497" s="186">
        <v>1</v>
      </c>
      <c r="AF497" s="186">
        <v>1</v>
      </c>
      <c r="AG497" s="189">
        <v>1</v>
      </c>
    </row>
    <row r="498" spans="2:33" s="154" customFormat="1" ht="15" customHeight="1" outlineLevel="1">
      <c r="B498" s="190" t="s">
        <v>196</v>
      </c>
      <c r="C498" s="190" t="s">
        <v>422</v>
      </c>
      <c r="D498" s="203">
        <v>4.53</v>
      </c>
      <c r="E498" s="192">
        <v>4.4800000000000004</v>
      </c>
      <c r="F498" s="192">
        <v>4.42</v>
      </c>
      <c r="G498" s="192">
        <v>4.97</v>
      </c>
      <c r="H498" s="192">
        <v>7.32</v>
      </c>
      <c r="I498" s="192">
        <v>7.87</v>
      </c>
      <c r="J498" s="192">
        <v>6.02</v>
      </c>
      <c r="K498" s="192">
        <v>7.94</v>
      </c>
      <c r="L498" s="192">
        <v>10.37</v>
      </c>
      <c r="M498" s="193">
        <v>9.6</v>
      </c>
      <c r="N498" s="194">
        <v>4.53</v>
      </c>
      <c r="O498" s="192">
        <v>5.34</v>
      </c>
      <c r="P498" s="192">
        <v>5.23</v>
      </c>
      <c r="Q498" s="192">
        <v>4.8</v>
      </c>
      <c r="R498" s="192">
        <v>4.4800000000000004</v>
      </c>
      <c r="S498" s="192">
        <v>4.6399999999999997</v>
      </c>
      <c r="T498" s="192">
        <v>4.22</v>
      </c>
      <c r="U498" s="192">
        <v>4.38</v>
      </c>
      <c r="V498" s="192">
        <v>4.42</v>
      </c>
      <c r="W498" s="192">
        <v>4.71</v>
      </c>
      <c r="X498" s="192">
        <v>4.9800000000000004</v>
      </c>
      <c r="Y498" s="192">
        <v>5.41</v>
      </c>
      <c r="Z498" s="192">
        <v>4.97</v>
      </c>
      <c r="AA498" s="192">
        <v>4.0199999999999996</v>
      </c>
      <c r="AB498" s="192">
        <v>4.59</v>
      </c>
      <c r="AC498" s="192">
        <v>5.92</v>
      </c>
      <c r="AD498" s="192">
        <v>7.32</v>
      </c>
      <c r="AE498" s="192">
        <v>8.0500000000000007</v>
      </c>
      <c r="AF498" s="192">
        <v>7.44</v>
      </c>
      <c r="AG498" s="195">
        <v>7.55</v>
      </c>
    </row>
    <row r="499" spans="2:33" s="154" customFormat="1" ht="15" customHeight="1" outlineLevel="1">
      <c r="B499" s="196" t="s">
        <v>196</v>
      </c>
      <c r="C499" s="196" t="s">
        <v>423</v>
      </c>
      <c r="D499" s="179">
        <v>26.78</v>
      </c>
      <c r="E499" s="180">
        <v>29.22</v>
      </c>
      <c r="F499" s="180">
        <v>31.49</v>
      </c>
      <c r="G499" s="180">
        <v>24.26</v>
      </c>
      <c r="H499" s="180">
        <v>26.83</v>
      </c>
      <c r="I499" s="180">
        <v>22.91</v>
      </c>
      <c r="J499" s="180">
        <v>23.84</v>
      </c>
      <c r="K499" s="180">
        <v>27.88</v>
      </c>
      <c r="L499" s="180">
        <v>29.1</v>
      </c>
      <c r="M499" s="181">
        <v>27.32</v>
      </c>
      <c r="N499" s="182">
        <v>26.78</v>
      </c>
      <c r="O499" s="180">
        <v>27.21</v>
      </c>
      <c r="P499" s="180">
        <v>29.3</v>
      </c>
      <c r="Q499" s="180">
        <v>29.01</v>
      </c>
      <c r="R499" s="180">
        <v>29.22</v>
      </c>
      <c r="S499" s="180">
        <v>29.08</v>
      </c>
      <c r="T499" s="180">
        <v>29.92</v>
      </c>
      <c r="U499" s="180">
        <v>31.02</v>
      </c>
      <c r="V499" s="180">
        <v>31.49</v>
      </c>
      <c r="W499" s="180">
        <v>31.16</v>
      </c>
      <c r="X499" s="180">
        <v>29.4</v>
      </c>
      <c r="Y499" s="180">
        <v>27.05</v>
      </c>
      <c r="Z499" s="180">
        <v>24.26</v>
      </c>
      <c r="AA499" s="180">
        <v>26</v>
      </c>
      <c r="AB499" s="180">
        <v>25.36</v>
      </c>
      <c r="AC499" s="180">
        <v>26.3</v>
      </c>
      <c r="AD499" s="180">
        <v>26.83</v>
      </c>
      <c r="AE499" s="180">
        <v>25.9</v>
      </c>
      <c r="AF499" s="180">
        <v>24.79</v>
      </c>
      <c r="AG499" s="183">
        <v>23.65</v>
      </c>
    </row>
    <row r="500" spans="2:33" s="154" customFormat="1" ht="15" customHeight="1" outlineLevel="1">
      <c r="B500" s="196" t="s">
        <v>196</v>
      </c>
      <c r="C500" s="196" t="s">
        <v>424</v>
      </c>
      <c r="D500" s="179">
        <v>5.33</v>
      </c>
      <c r="E500" s="180">
        <v>6.96</v>
      </c>
      <c r="F500" s="180">
        <v>7.92</v>
      </c>
      <c r="G500" s="180">
        <v>9.3800000000000008</v>
      </c>
      <c r="H500" s="180">
        <v>14.31</v>
      </c>
      <c r="I500" s="180">
        <v>16.37</v>
      </c>
      <c r="J500" s="180">
        <v>13.27</v>
      </c>
      <c r="K500" s="180">
        <v>13.54</v>
      </c>
      <c r="L500" s="180">
        <v>7.59</v>
      </c>
      <c r="M500" s="181">
        <v>6.6</v>
      </c>
      <c r="N500" s="182">
        <v>5.33</v>
      </c>
      <c r="O500" s="180">
        <v>5.76</v>
      </c>
      <c r="P500" s="180">
        <v>6.19</v>
      </c>
      <c r="Q500" s="180">
        <v>6.57</v>
      </c>
      <c r="R500" s="180">
        <v>6.96</v>
      </c>
      <c r="S500" s="180">
        <v>7.13</v>
      </c>
      <c r="T500" s="180">
        <v>7.41</v>
      </c>
      <c r="U500" s="180">
        <v>7.36</v>
      </c>
      <c r="V500" s="180">
        <v>7.92</v>
      </c>
      <c r="W500" s="180">
        <v>8.91</v>
      </c>
      <c r="X500" s="180">
        <v>9.4499999999999993</v>
      </c>
      <c r="Y500" s="180">
        <v>9.43</v>
      </c>
      <c r="Z500" s="180">
        <v>9.3800000000000008</v>
      </c>
      <c r="AA500" s="180">
        <v>10.23</v>
      </c>
      <c r="AB500" s="180">
        <v>11.61</v>
      </c>
      <c r="AC500" s="180">
        <v>13.56</v>
      </c>
      <c r="AD500" s="180">
        <v>14.31</v>
      </c>
      <c r="AE500" s="180">
        <v>15.31</v>
      </c>
      <c r="AF500" s="180">
        <v>22.72</v>
      </c>
      <c r="AG500" s="183">
        <v>18.09</v>
      </c>
    </row>
    <row r="501" spans="2:33" s="154" customFormat="1" ht="15" customHeight="1" outlineLevel="1" thickBot="1">
      <c r="B501" s="204" t="s">
        <v>196</v>
      </c>
      <c r="C501" s="204" t="s">
        <v>425</v>
      </c>
      <c r="D501" s="185">
        <v>3.58</v>
      </c>
      <c r="E501" s="186">
        <v>4.0599999999999996</v>
      </c>
      <c r="F501" s="186">
        <v>4.76</v>
      </c>
      <c r="G501" s="186">
        <v>5.84</v>
      </c>
      <c r="H501" s="186">
        <v>9.9</v>
      </c>
      <c r="I501" s="186">
        <v>14.92</v>
      </c>
      <c r="J501" s="186">
        <v>11.73</v>
      </c>
      <c r="K501" s="186">
        <v>12.07</v>
      </c>
      <c r="L501" s="186">
        <v>7.04</v>
      </c>
      <c r="M501" s="187">
        <v>6.11</v>
      </c>
      <c r="N501" s="188">
        <v>3.58</v>
      </c>
      <c r="O501" s="186">
        <v>3.79</v>
      </c>
      <c r="P501" s="186">
        <v>3.87</v>
      </c>
      <c r="Q501" s="186">
        <v>4.05</v>
      </c>
      <c r="R501" s="186">
        <v>4.0599999999999996</v>
      </c>
      <c r="S501" s="186">
        <v>4.09</v>
      </c>
      <c r="T501" s="186">
        <v>4.18</v>
      </c>
      <c r="U501" s="186">
        <v>4.0599999999999996</v>
      </c>
      <c r="V501" s="186">
        <v>4.76</v>
      </c>
      <c r="W501" s="186">
        <v>5.07</v>
      </c>
      <c r="X501" s="186">
        <v>5.95</v>
      </c>
      <c r="Y501" s="186">
        <v>5.86</v>
      </c>
      <c r="Z501" s="186">
        <v>5.84</v>
      </c>
      <c r="AA501" s="186">
        <v>6.07</v>
      </c>
      <c r="AB501" s="186">
        <v>6.7</v>
      </c>
      <c r="AC501" s="186">
        <v>8.66</v>
      </c>
      <c r="AD501" s="186">
        <v>9.9</v>
      </c>
      <c r="AE501" s="186">
        <v>10.59</v>
      </c>
      <c r="AF501" s="186">
        <v>13.76</v>
      </c>
      <c r="AG501" s="189">
        <v>11.79</v>
      </c>
    </row>
    <row r="502" spans="2:33" s="154" customFormat="1" ht="15" customHeight="1" outlineLevel="1">
      <c r="B502" s="205" t="s">
        <v>197</v>
      </c>
      <c r="C502" s="205" t="s">
        <v>426</v>
      </c>
      <c r="D502" s="206">
        <v>5.8</v>
      </c>
      <c r="E502" s="207">
        <v>6.2</v>
      </c>
      <c r="F502" s="207">
        <v>6.6</v>
      </c>
      <c r="G502" s="207">
        <v>7.1</v>
      </c>
      <c r="H502" s="207">
        <v>8.6</v>
      </c>
      <c r="I502" s="207">
        <v>8.8000000000000007</v>
      </c>
      <c r="J502" s="207">
        <v>9.9</v>
      </c>
      <c r="K502" s="207">
        <v>11.3</v>
      </c>
      <c r="L502" s="207">
        <v>12.2</v>
      </c>
      <c r="M502" s="208">
        <v>13.3</v>
      </c>
      <c r="N502" s="209">
        <v>5.8</v>
      </c>
      <c r="O502" s="207">
        <v>6.1</v>
      </c>
      <c r="P502" s="207">
        <v>6</v>
      </c>
      <c r="Q502" s="207">
        <v>6.5</v>
      </c>
      <c r="R502" s="207">
        <v>6.2</v>
      </c>
      <c r="S502" s="207">
        <v>6.2</v>
      </c>
      <c r="T502" s="207">
        <v>6.2</v>
      </c>
      <c r="U502" s="207">
        <v>6.7</v>
      </c>
      <c r="V502" s="207">
        <v>6.6</v>
      </c>
      <c r="W502" s="207">
        <v>6.9</v>
      </c>
      <c r="X502" s="207">
        <v>6.7</v>
      </c>
      <c r="Y502" s="207">
        <v>7.3</v>
      </c>
      <c r="Z502" s="207">
        <v>7.1</v>
      </c>
      <c r="AA502" s="207">
        <v>7</v>
      </c>
      <c r="AB502" s="207">
        <v>6.8</v>
      </c>
      <c r="AC502" s="207">
        <v>8.4</v>
      </c>
      <c r="AD502" s="207">
        <v>8.6</v>
      </c>
      <c r="AE502" s="207">
        <v>8.6</v>
      </c>
      <c r="AF502" s="207">
        <v>8.6</v>
      </c>
      <c r="AG502" s="210">
        <v>9.1</v>
      </c>
    </row>
    <row r="503" spans="2:33" s="154" customFormat="1" ht="15" customHeight="1" outlineLevel="1">
      <c r="B503" s="173" t="s">
        <v>197</v>
      </c>
      <c r="C503" s="173" t="s">
        <v>427</v>
      </c>
      <c r="D503" s="179">
        <v>31.3</v>
      </c>
      <c r="E503" s="180">
        <v>35</v>
      </c>
      <c r="F503" s="180">
        <v>41.8</v>
      </c>
      <c r="G503" s="180">
        <v>44.6</v>
      </c>
      <c r="H503" s="180">
        <v>48.2</v>
      </c>
      <c r="I503" s="180">
        <v>53.1</v>
      </c>
      <c r="J503" s="180">
        <v>76.8</v>
      </c>
      <c r="K503" s="180">
        <v>88</v>
      </c>
      <c r="L503" s="180">
        <v>101.4</v>
      </c>
      <c r="M503" s="181">
        <v>106.3</v>
      </c>
      <c r="N503" s="182">
        <v>31.3</v>
      </c>
      <c r="O503" s="180">
        <v>32.700000000000003</v>
      </c>
      <c r="P503" s="180">
        <v>31.2</v>
      </c>
      <c r="Q503" s="180">
        <v>34.299999999999997</v>
      </c>
      <c r="R503" s="180">
        <v>35</v>
      </c>
      <c r="S503" s="180">
        <v>35</v>
      </c>
      <c r="T503" s="180">
        <v>35</v>
      </c>
      <c r="U503" s="180">
        <v>39.4</v>
      </c>
      <c r="V503" s="180">
        <v>41.8</v>
      </c>
      <c r="W503" s="180">
        <v>43.7</v>
      </c>
      <c r="X503" s="180">
        <v>42.9</v>
      </c>
      <c r="Y503" s="180">
        <v>44.4</v>
      </c>
      <c r="Z503" s="180">
        <v>44.6</v>
      </c>
      <c r="AA503" s="180">
        <v>40.299999999999997</v>
      </c>
      <c r="AB503" s="180">
        <v>44.4</v>
      </c>
      <c r="AC503" s="180">
        <v>44.2</v>
      </c>
      <c r="AD503" s="180">
        <v>48.2</v>
      </c>
      <c r="AE503" s="180">
        <v>46.4</v>
      </c>
      <c r="AF503" s="180">
        <v>49.8</v>
      </c>
      <c r="AG503" s="183">
        <v>49.5</v>
      </c>
    </row>
    <row r="504" spans="2:33" s="154" customFormat="1" ht="15" customHeight="1" outlineLevel="1">
      <c r="B504" s="173" t="s">
        <v>197</v>
      </c>
      <c r="C504" s="173" t="s">
        <v>428</v>
      </c>
      <c r="D504" s="179">
        <v>62.23</v>
      </c>
      <c r="E504" s="180">
        <v>56.86</v>
      </c>
      <c r="F504" s="180">
        <v>59.34</v>
      </c>
      <c r="G504" s="180">
        <v>58.14</v>
      </c>
      <c r="H504" s="180">
        <v>37.96</v>
      </c>
      <c r="I504" s="180">
        <v>45.3</v>
      </c>
      <c r="J504" s="180">
        <v>38.57</v>
      </c>
      <c r="K504" s="180">
        <v>35.11</v>
      </c>
      <c r="L504" s="180">
        <v>32.29</v>
      </c>
      <c r="M504" s="181">
        <v>31.58</v>
      </c>
      <c r="N504" s="182">
        <v>62.23</v>
      </c>
      <c r="O504" s="180">
        <v>57.31</v>
      </c>
      <c r="P504" s="180">
        <v>59.72</v>
      </c>
      <c r="Q504" s="180">
        <v>55.57</v>
      </c>
      <c r="R504" s="180">
        <v>56.86</v>
      </c>
      <c r="S504" s="180">
        <v>58.41</v>
      </c>
      <c r="T504" s="180">
        <v>59.09</v>
      </c>
      <c r="U504" s="180">
        <v>54.91</v>
      </c>
      <c r="V504" s="180">
        <v>59.34</v>
      </c>
      <c r="W504" s="180">
        <v>59.28</v>
      </c>
      <c r="X504" s="180">
        <v>60.84</v>
      </c>
      <c r="Y504" s="180">
        <v>59.1</v>
      </c>
      <c r="Z504" s="180">
        <v>58.14</v>
      </c>
      <c r="AA504" s="180">
        <v>53.18</v>
      </c>
      <c r="AB504" s="180">
        <v>51.32</v>
      </c>
      <c r="AC504" s="180">
        <v>37.99</v>
      </c>
      <c r="AD504" s="180">
        <v>37.96</v>
      </c>
      <c r="AE504" s="180">
        <v>39.909999999999997</v>
      </c>
      <c r="AF504" s="180">
        <v>45.35</v>
      </c>
      <c r="AG504" s="183">
        <v>43.5</v>
      </c>
    </row>
    <row r="505" spans="2:33" s="154" customFormat="1" ht="15" customHeight="1" outlineLevel="1">
      <c r="B505" s="173" t="s">
        <v>197</v>
      </c>
      <c r="C505" s="173" t="s">
        <v>429</v>
      </c>
      <c r="D505" s="179">
        <v>5.79</v>
      </c>
      <c r="E505" s="180">
        <v>6.33</v>
      </c>
      <c r="F505" s="180">
        <v>6.07</v>
      </c>
      <c r="G505" s="180">
        <v>6.19</v>
      </c>
      <c r="H505" s="180">
        <v>9.48</v>
      </c>
      <c r="I505" s="180">
        <v>7.95</v>
      </c>
      <c r="J505" s="180">
        <v>9.33</v>
      </c>
      <c r="K505" s="180">
        <v>10.25</v>
      </c>
      <c r="L505" s="180">
        <v>11.15</v>
      </c>
      <c r="M505" s="181">
        <v>11.4</v>
      </c>
      <c r="N505" s="182">
        <v>5.79</v>
      </c>
      <c r="O505" s="180">
        <v>6.28</v>
      </c>
      <c r="P505" s="180">
        <v>6.03</v>
      </c>
      <c r="Q505" s="180">
        <v>6.48</v>
      </c>
      <c r="R505" s="180">
        <v>6.33</v>
      </c>
      <c r="S505" s="180">
        <v>6.16</v>
      </c>
      <c r="T505" s="180">
        <v>6.09</v>
      </c>
      <c r="U505" s="180">
        <v>6.56</v>
      </c>
      <c r="V505" s="180">
        <v>6.07</v>
      </c>
      <c r="W505" s="180">
        <v>6.07</v>
      </c>
      <c r="X505" s="180">
        <v>5.92</v>
      </c>
      <c r="Y505" s="180">
        <v>6.09</v>
      </c>
      <c r="Z505" s="180">
        <v>6.19</v>
      </c>
      <c r="AA505" s="180">
        <v>6.77</v>
      </c>
      <c r="AB505" s="180">
        <v>7.01</v>
      </c>
      <c r="AC505" s="180">
        <v>9.48</v>
      </c>
      <c r="AD505" s="180">
        <v>9.48</v>
      </c>
      <c r="AE505" s="180">
        <v>9.02</v>
      </c>
      <c r="AF505" s="180">
        <v>7.94</v>
      </c>
      <c r="AG505" s="183">
        <v>8.2799999999999994</v>
      </c>
    </row>
    <row r="506" spans="2:33" s="154" customFormat="1" ht="15" customHeight="1" outlineLevel="1">
      <c r="B506" s="173" t="s">
        <v>197</v>
      </c>
      <c r="C506" s="173" t="s">
        <v>430</v>
      </c>
      <c r="D506" s="179">
        <v>41.2</v>
      </c>
      <c r="E506" s="180">
        <v>44.21</v>
      </c>
      <c r="F506" s="180">
        <v>47.27</v>
      </c>
      <c r="G506" s="180">
        <v>50.33</v>
      </c>
      <c r="H506" s="180">
        <v>70.47</v>
      </c>
      <c r="I506" s="180">
        <v>51.81</v>
      </c>
      <c r="J506" s="180">
        <v>87</v>
      </c>
      <c r="K506" s="180">
        <v>97.06</v>
      </c>
      <c r="L506" s="180">
        <v>107.2</v>
      </c>
      <c r="M506" s="181">
        <v>126.74</v>
      </c>
      <c r="N506" s="182">
        <v>41.2</v>
      </c>
      <c r="O506" s="180">
        <v>43</v>
      </c>
      <c r="P506" s="180">
        <v>37.340000000000003</v>
      </c>
      <c r="Q506" s="180">
        <v>41.76</v>
      </c>
      <c r="R506" s="180">
        <v>44.21</v>
      </c>
      <c r="S506" s="180">
        <v>44.19</v>
      </c>
      <c r="T506" s="180">
        <v>45.88</v>
      </c>
      <c r="U506" s="180">
        <v>48.3</v>
      </c>
      <c r="V506" s="180">
        <v>47.27</v>
      </c>
      <c r="W506" s="180">
        <v>46.91</v>
      </c>
      <c r="X506" s="180">
        <v>42.42</v>
      </c>
      <c r="Y506" s="180">
        <v>46.9</v>
      </c>
      <c r="Z506" s="180">
        <v>50.33</v>
      </c>
      <c r="AA506" s="180">
        <v>54.02</v>
      </c>
      <c r="AB506" s="180">
        <v>64</v>
      </c>
      <c r="AC506" s="180">
        <v>68.13</v>
      </c>
      <c r="AD506" s="180">
        <v>70.47</v>
      </c>
      <c r="AE506" s="180">
        <v>57.4</v>
      </c>
      <c r="AF506" s="180">
        <v>58.1</v>
      </c>
      <c r="AG506" s="183">
        <v>49.67</v>
      </c>
    </row>
    <row r="507" spans="2:33" s="154" customFormat="1" ht="15" customHeight="1" outlineLevel="1">
      <c r="B507" s="173" t="s">
        <v>197</v>
      </c>
      <c r="C507" s="173" t="s">
        <v>431</v>
      </c>
      <c r="D507" s="179">
        <v>1.2</v>
      </c>
      <c r="E507" s="180">
        <v>1.4</v>
      </c>
      <c r="F507" s="180">
        <v>1.6</v>
      </c>
      <c r="G507" s="180">
        <v>1.6</v>
      </c>
      <c r="H507" s="180">
        <v>2.2999999999999998</v>
      </c>
      <c r="I507" s="180">
        <v>2.2000000000000002</v>
      </c>
      <c r="J507" s="180">
        <v>2.2000000000000002</v>
      </c>
      <c r="K507" s="180">
        <v>2.4</v>
      </c>
      <c r="L507" s="180">
        <v>2.1</v>
      </c>
      <c r="M507" s="181">
        <v>2.1</v>
      </c>
      <c r="N507" s="182">
        <v>1.2</v>
      </c>
      <c r="O507" s="180">
        <v>1.3</v>
      </c>
      <c r="P507" s="180">
        <v>1.4</v>
      </c>
      <c r="Q507" s="180">
        <v>1.4</v>
      </c>
      <c r="R507" s="180">
        <v>1.4</v>
      </c>
      <c r="S507" s="180">
        <v>1.5</v>
      </c>
      <c r="T507" s="180">
        <v>1.5</v>
      </c>
      <c r="U507" s="180">
        <v>1.5</v>
      </c>
      <c r="V507" s="180">
        <v>1.6</v>
      </c>
      <c r="W507" s="180">
        <v>1.6</v>
      </c>
      <c r="X507" s="180">
        <v>1.6</v>
      </c>
      <c r="Y507" s="180">
        <v>1.6</v>
      </c>
      <c r="Z507" s="180">
        <v>1.6</v>
      </c>
      <c r="AA507" s="180">
        <v>1.7</v>
      </c>
      <c r="AB507" s="180">
        <v>1.8</v>
      </c>
      <c r="AC507" s="180">
        <v>2.2000000000000002</v>
      </c>
      <c r="AD507" s="180">
        <v>2.2999999999999998</v>
      </c>
      <c r="AE507" s="180">
        <v>2.2999999999999998</v>
      </c>
      <c r="AF507" s="180">
        <v>2.2999999999999998</v>
      </c>
      <c r="AG507" s="183">
        <v>2.2000000000000002</v>
      </c>
    </row>
    <row r="508" spans="2:33" s="154" customFormat="1" ht="15" customHeight="1" outlineLevel="1">
      <c r="B508" s="173" t="s">
        <v>197</v>
      </c>
      <c r="C508" s="173" t="s">
        <v>432</v>
      </c>
      <c r="D508" s="179">
        <v>11</v>
      </c>
      <c r="E508" s="180">
        <v>10</v>
      </c>
      <c r="F508" s="180">
        <v>9</v>
      </c>
      <c r="G508" s="180">
        <v>8</v>
      </c>
      <c r="H508" s="180">
        <v>7</v>
      </c>
      <c r="I508" s="180">
        <v>7</v>
      </c>
      <c r="J508" s="180">
        <v>5</v>
      </c>
      <c r="K508" s="180">
        <v>4</v>
      </c>
      <c r="L508" s="180">
        <v>4</v>
      </c>
      <c r="M508" s="181">
        <v>3</v>
      </c>
      <c r="N508" s="182">
        <v>11</v>
      </c>
      <c r="O508" s="180">
        <v>11</v>
      </c>
      <c r="P508" s="180">
        <v>12</v>
      </c>
      <c r="Q508" s="180">
        <v>11</v>
      </c>
      <c r="R508" s="180">
        <v>10</v>
      </c>
      <c r="S508" s="180">
        <v>10</v>
      </c>
      <c r="T508" s="180">
        <v>10</v>
      </c>
      <c r="U508" s="180">
        <v>9</v>
      </c>
      <c r="V508" s="180">
        <v>9</v>
      </c>
      <c r="W508" s="180">
        <v>8</v>
      </c>
      <c r="X508" s="180">
        <v>8</v>
      </c>
      <c r="Y508" s="180">
        <v>8</v>
      </c>
      <c r="Z508" s="180">
        <v>8</v>
      </c>
      <c r="AA508" s="180">
        <v>9</v>
      </c>
      <c r="AB508" s="180">
        <v>8</v>
      </c>
      <c r="AC508" s="180">
        <v>8</v>
      </c>
      <c r="AD508" s="180">
        <v>7</v>
      </c>
      <c r="AE508" s="180">
        <v>8</v>
      </c>
      <c r="AF508" s="180">
        <v>7</v>
      </c>
      <c r="AG508" s="183">
        <v>7</v>
      </c>
    </row>
    <row r="509" spans="2:33" s="154" customFormat="1" ht="15" customHeight="1" outlineLevel="1">
      <c r="B509" s="173" t="s">
        <v>197</v>
      </c>
      <c r="C509" s="173" t="s">
        <v>433</v>
      </c>
      <c r="D509" s="179">
        <v>16.09</v>
      </c>
      <c r="E509" s="180">
        <v>16.72</v>
      </c>
      <c r="F509" s="180">
        <v>15.13</v>
      </c>
      <c r="G509" s="180">
        <v>12.39</v>
      </c>
      <c r="H509" s="180">
        <v>10.37</v>
      </c>
      <c r="I509" s="180">
        <v>9.65</v>
      </c>
      <c r="J509" s="180">
        <v>8.9600000000000009</v>
      </c>
      <c r="K509" s="180">
        <v>7.6</v>
      </c>
      <c r="L509" s="180">
        <v>6.8</v>
      </c>
      <c r="M509" s="181">
        <v>4.16</v>
      </c>
      <c r="N509" s="182">
        <v>16.09</v>
      </c>
      <c r="O509" s="180">
        <v>14.78</v>
      </c>
      <c r="P509" s="180">
        <v>15.72</v>
      </c>
      <c r="Q509" s="180">
        <v>15.93</v>
      </c>
      <c r="R509" s="180">
        <v>16.72</v>
      </c>
      <c r="S509" s="180">
        <v>15.74</v>
      </c>
      <c r="T509" s="180">
        <v>16.170000000000002</v>
      </c>
      <c r="U509" s="180">
        <v>14.94</v>
      </c>
      <c r="V509" s="180">
        <v>15.13</v>
      </c>
      <c r="W509" s="180">
        <v>14.4</v>
      </c>
      <c r="X509" s="180">
        <v>13.99</v>
      </c>
      <c r="Y509" s="180">
        <v>12.68</v>
      </c>
      <c r="Z509" s="180">
        <v>12.39</v>
      </c>
      <c r="AA509" s="180">
        <v>12.72</v>
      </c>
      <c r="AB509" s="180">
        <v>12.19</v>
      </c>
      <c r="AC509" s="180">
        <v>10.19</v>
      </c>
      <c r="AD509" s="180">
        <v>10.37</v>
      </c>
      <c r="AE509" s="180">
        <v>11.08</v>
      </c>
      <c r="AF509" s="180">
        <v>11.11</v>
      </c>
      <c r="AG509" s="183">
        <v>10.16</v>
      </c>
    </row>
    <row r="510" spans="2:33" s="154" customFormat="1" ht="15" customHeight="1" outlineLevel="1">
      <c r="B510" s="173" t="s">
        <v>197</v>
      </c>
      <c r="C510" s="173" t="s">
        <v>434</v>
      </c>
      <c r="D510" s="179">
        <v>27.35</v>
      </c>
      <c r="E510" s="180">
        <v>25.29</v>
      </c>
      <c r="F510" s="180">
        <v>20.12</v>
      </c>
      <c r="G510" s="180">
        <v>17.2</v>
      </c>
      <c r="H510" s="180">
        <v>13.63</v>
      </c>
      <c r="I510" s="180">
        <v>13.38</v>
      </c>
      <c r="J510" s="180">
        <v>11.52</v>
      </c>
      <c r="K510" s="180">
        <v>9.92</v>
      </c>
      <c r="L510" s="180">
        <v>9.34</v>
      </c>
      <c r="M510" s="181">
        <v>7.56</v>
      </c>
      <c r="N510" s="182">
        <v>27.35</v>
      </c>
      <c r="O510" s="180">
        <v>26.18</v>
      </c>
      <c r="P510" s="180">
        <v>25.43</v>
      </c>
      <c r="Q510" s="180">
        <v>24.58</v>
      </c>
      <c r="R510" s="180">
        <v>25.29</v>
      </c>
      <c r="S510" s="180">
        <v>23.42</v>
      </c>
      <c r="T510" s="180">
        <v>22.68</v>
      </c>
      <c r="U510" s="180">
        <v>20.95</v>
      </c>
      <c r="V510" s="180">
        <v>20.12</v>
      </c>
      <c r="W510" s="180">
        <v>19.25</v>
      </c>
      <c r="X510" s="180">
        <v>18.84</v>
      </c>
      <c r="Y510" s="180">
        <v>17.510000000000002</v>
      </c>
      <c r="Z510" s="180">
        <v>17.2</v>
      </c>
      <c r="AA510" s="180">
        <v>15.86</v>
      </c>
      <c r="AB510" s="180">
        <v>15.37</v>
      </c>
      <c r="AC510" s="180">
        <v>13.4</v>
      </c>
      <c r="AD510" s="180">
        <v>13.63</v>
      </c>
      <c r="AE510" s="180">
        <v>14.31</v>
      </c>
      <c r="AF510" s="180">
        <v>14.49</v>
      </c>
      <c r="AG510" s="183">
        <v>13.89</v>
      </c>
    </row>
    <row r="511" spans="2:33" s="154" customFormat="1" ht="15" customHeight="1" outlineLevel="1">
      <c r="B511" s="173" t="s">
        <v>197</v>
      </c>
      <c r="C511" s="173" t="s">
        <v>435</v>
      </c>
      <c r="D511" s="179">
        <v>118.7</v>
      </c>
      <c r="E511" s="180">
        <v>86.3</v>
      </c>
      <c r="F511" s="180">
        <v>75.5</v>
      </c>
      <c r="G511" s="180">
        <v>102.3</v>
      </c>
      <c r="H511" s="180">
        <v>57.6</v>
      </c>
      <c r="I511" s="180">
        <v>65</v>
      </c>
      <c r="J511" s="180">
        <v>0</v>
      </c>
      <c r="K511" s="180">
        <v>0</v>
      </c>
      <c r="L511" s="180">
        <v>0</v>
      </c>
      <c r="M511" s="181">
        <v>0</v>
      </c>
      <c r="N511" s="182">
        <v>118.7</v>
      </c>
      <c r="O511" s="180">
        <v>124.8</v>
      </c>
      <c r="P511" s="180">
        <v>104.3</v>
      </c>
      <c r="Q511" s="180">
        <v>83.4</v>
      </c>
      <c r="R511" s="180">
        <v>86.3</v>
      </c>
      <c r="S511" s="180">
        <v>91.2</v>
      </c>
      <c r="T511" s="180">
        <v>87.5</v>
      </c>
      <c r="U511" s="180">
        <v>87.8</v>
      </c>
      <c r="V511" s="180">
        <v>75.5</v>
      </c>
      <c r="W511" s="180">
        <v>85.3</v>
      </c>
      <c r="X511" s="180">
        <v>95.8</v>
      </c>
      <c r="Y511" s="180">
        <v>99.3</v>
      </c>
      <c r="Z511" s="180">
        <v>102.3</v>
      </c>
      <c r="AA511" s="180">
        <v>46.9</v>
      </c>
      <c r="AB511" s="180">
        <v>51.8</v>
      </c>
      <c r="AC511" s="180">
        <v>57.4</v>
      </c>
      <c r="AD511" s="180">
        <v>57.6</v>
      </c>
      <c r="AE511" s="180">
        <v>59.9</v>
      </c>
      <c r="AF511" s="180">
        <v>89.8</v>
      </c>
      <c r="AG511" s="183">
        <v>72.400000000000006</v>
      </c>
    </row>
    <row r="512" spans="2:33" s="154" customFormat="1" ht="15" customHeight="1" outlineLevel="1" thickBot="1">
      <c r="B512" s="184" t="s">
        <v>197</v>
      </c>
      <c r="C512" s="184" t="s">
        <v>436</v>
      </c>
      <c r="D512" s="185">
        <v>2.4</v>
      </c>
      <c r="E512" s="186">
        <v>2.2999999999999998</v>
      </c>
      <c r="F512" s="186">
        <v>2.1</v>
      </c>
      <c r="G512" s="186">
        <v>2</v>
      </c>
      <c r="H512" s="186">
        <v>1.4</v>
      </c>
      <c r="I512" s="186">
        <v>1.9</v>
      </c>
      <c r="J512" s="186">
        <v>1.1000000000000001</v>
      </c>
      <c r="K512" s="186">
        <v>1</v>
      </c>
      <c r="L512" s="186">
        <v>0.9</v>
      </c>
      <c r="M512" s="187">
        <v>0.8</v>
      </c>
      <c r="N512" s="188">
        <v>2.4</v>
      </c>
      <c r="O512" s="186">
        <v>2.2999999999999998</v>
      </c>
      <c r="P512" s="186">
        <v>2.7</v>
      </c>
      <c r="Q512" s="186">
        <v>2.4</v>
      </c>
      <c r="R512" s="186">
        <v>2.2999999999999998</v>
      </c>
      <c r="S512" s="186">
        <v>2.2999999999999998</v>
      </c>
      <c r="T512" s="186">
        <v>2.2000000000000002</v>
      </c>
      <c r="U512" s="186">
        <v>2.1</v>
      </c>
      <c r="V512" s="186">
        <v>2.1</v>
      </c>
      <c r="W512" s="186">
        <v>2.1</v>
      </c>
      <c r="X512" s="186">
        <v>2.4</v>
      </c>
      <c r="Y512" s="186">
        <v>2.1</v>
      </c>
      <c r="Z512" s="186">
        <v>2</v>
      </c>
      <c r="AA512" s="186">
        <v>1.9</v>
      </c>
      <c r="AB512" s="186">
        <v>1.6</v>
      </c>
      <c r="AC512" s="186">
        <v>1.5</v>
      </c>
      <c r="AD512" s="186">
        <v>1.4</v>
      </c>
      <c r="AE512" s="186">
        <v>1.7</v>
      </c>
      <c r="AF512" s="186">
        <v>1.7</v>
      </c>
      <c r="AG512" s="189">
        <v>2</v>
      </c>
    </row>
    <row r="513" spans="2:33" s="154" customFormat="1" ht="15" customHeight="1" outlineLevel="1">
      <c r="B513" s="190" t="s">
        <v>198</v>
      </c>
      <c r="C513" s="190" t="s">
        <v>437</v>
      </c>
      <c r="D513" s="203">
        <v>3.02</v>
      </c>
      <c r="E513" s="192">
        <v>3.63</v>
      </c>
      <c r="F513" s="192">
        <v>2.68</v>
      </c>
      <c r="G513" s="192">
        <v>1.75</v>
      </c>
      <c r="H513" s="192">
        <v>0.98</v>
      </c>
      <c r="I513" s="192">
        <v>0.18</v>
      </c>
      <c r="J513" s="192">
        <v>0.26</v>
      </c>
      <c r="K513" s="192">
        <v>0.22</v>
      </c>
      <c r="L513" s="192">
        <v>0.2</v>
      </c>
      <c r="M513" s="193">
        <v>0.2</v>
      </c>
      <c r="N513" s="194">
        <v>3.02</v>
      </c>
      <c r="O513" s="192">
        <v>3.06</v>
      </c>
      <c r="P513" s="192">
        <v>3.36</v>
      </c>
      <c r="Q513" s="192">
        <v>3.3</v>
      </c>
      <c r="R513" s="192">
        <v>3.63</v>
      </c>
      <c r="S513" s="192">
        <v>3.58</v>
      </c>
      <c r="T513" s="192">
        <v>3.5</v>
      </c>
      <c r="U513" s="192">
        <v>3.58</v>
      </c>
      <c r="V513" s="192">
        <v>2.68</v>
      </c>
      <c r="W513" s="192">
        <v>2.68</v>
      </c>
      <c r="X513" s="192">
        <v>1.86</v>
      </c>
      <c r="Y513" s="192">
        <v>1.83</v>
      </c>
      <c r="Z513" s="192">
        <v>1.75</v>
      </c>
      <c r="AA513" s="192">
        <v>1.76</v>
      </c>
      <c r="AB513" s="192">
        <v>1.74</v>
      </c>
      <c r="AC513" s="192">
        <v>1.23</v>
      </c>
      <c r="AD513" s="192">
        <v>0.98</v>
      </c>
      <c r="AE513" s="192">
        <v>0.95</v>
      </c>
      <c r="AF513" s="192">
        <v>0.94</v>
      </c>
      <c r="AG513" s="195">
        <v>0.92</v>
      </c>
    </row>
    <row r="514" spans="2:33" s="154" customFormat="1" ht="15" customHeight="1" outlineLevel="1">
      <c r="B514" s="196" t="s">
        <v>198</v>
      </c>
      <c r="C514" s="196" t="s">
        <v>438</v>
      </c>
      <c r="D514" s="179">
        <v>13.49</v>
      </c>
      <c r="E514" s="180">
        <v>12.49</v>
      </c>
      <c r="F514" s="180">
        <v>10.16</v>
      </c>
      <c r="G514" s="180">
        <v>9.69</v>
      </c>
      <c r="H514" s="180">
        <v>7.64</v>
      </c>
      <c r="I514" s="180">
        <v>8.99</v>
      </c>
      <c r="J514" s="180">
        <v>7.99</v>
      </c>
      <c r="K514" s="180">
        <v>6.84</v>
      </c>
      <c r="L514" s="180">
        <v>5.69</v>
      </c>
      <c r="M514" s="181">
        <v>4.26</v>
      </c>
      <c r="N514" s="182">
        <v>13.49</v>
      </c>
      <c r="O514" s="180">
        <v>12.56</v>
      </c>
      <c r="P514" s="180">
        <v>11.94</v>
      </c>
      <c r="Q514" s="180">
        <v>11.82</v>
      </c>
      <c r="R514" s="180">
        <v>12.49</v>
      </c>
      <c r="S514" s="180">
        <v>11.26</v>
      </c>
      <c r="T514" s="180">
        <v>11.01</v>
      </c>
      <c r="U514" s="180">
        <v>9.5500000000000007</v>
      </c>
      <c r="V514" s="180">
        <v>10.16</v>
      </c>
      <c r="W514" s="180">
        <v>9.89</v>
      </c>
      <c r="X514" s="180">
        <v>10.75</v>
      </c>
      <c r="Y514" s="180">
        <v>9.7100000000000009</v>
      </c>
      <c r="Z514" s="180">
        <v>9.69</v>
      </c>
      <c r="AA514" s="180">
        <v>8.6199999999999992</v>
      </c>
      <c r="AB514" s="180">
        <v>8.33</v>
      </c>
      <c r="AC514" s="180">
        <v>7.24</v>
      </c>
      <c r="AD514" s="180">
        <v>7.64</v>
      </c>
      <c r="AE514" s="180">
        <v>8.4499999999999993</v>
      </c>
      <c r="AF514" s="180">
        <v>9.2799999999999994</v>
      </c>
      <c r="AG514" s="183">
        <v>8.61</v>
      </c>
    </row>
    <row r="515" spans="2:33" s="154" customFormat="1" ht="15" customHeight="1" outlineLevel="1">
      <c r="B515" s="196" t="s">
        <v>198</v>
      </c>
      <c r="C515" s="196" t="s">
        <v>439</v>
      </c>
      <c r="D515" s="179">
        <v>7.23</v>
      </c>
      <c r="E515" s="180">
        <v>7.87</v>
      </c>
      <c r="F515" s="180">
        <v>7.25</v>
      </c>
      <c r="G515" s="180">
        <v>5.43</v>
      </c>
      <c r="H515" s="180">
        <v>4.3</v>
      </c>
      <c r="I515" s="180">
        <v>3.77</v>
      </c>
      <c r="J515" s="180">
        <v>4.29</v>
      </c>
      <c r="K515" s="180">
        <v>3.02</v>
      </c>
      <c r="L515" s="180">
        <v>1.91</v>
      </c>
      <c r="M515" s="181">
        <v>1.69</v>
      </c>
      <c r="N515" s="182">
        <v>7.23</v>
      </c>
      <c r="O515" s="180">
        <v>6.33</v>
      </c>
      <c r="P515" s="180">
        <v>6.64</v>
      </c>
      <c r="Q515" s="180">
        <v>7.28</v>
      </c>
      <c r="R515" s="180">
        <v>7.87</v>
      </c>
      <c r="S515" s="180">
        <v>7.41</v>
      </c>
      <c r="T515" s="180">
        <v>7.97</v>
      </c>
      <c r="U515" s="180">
        <v>7.4</v>
      </c>
      <c r="V515" s="180">
        <v>7.25</v>
      </c>
      <c r="W515" s="180">
        <v>6.68</v>
      </c>
      <c r="X515" s="180">
        <v>6.01</v>
      </c>
      <c r="Y515" s="180">
        <v>5.25</v>
      </c>
      <c r="Z515" s="180">
        <v>5.43</v>
      </c>
      <c r="AA515" s="180">
        <v>6.54</v>
      </c>
      <c r="AB515" s="180">
        <v>5.98</v>
      </c>
      <c r="AC515" s="180">
        <v>4.96</v>
      </c>
      <c r="AD515" s="180">
        <v>4.3</v>
      </c>
      <c r="AE515" s="180">
        <v>4.07</v>
      </c>
      <c r="AF515" s="180">
        <v>4.4000000000000004</v>
      </c>
      <c r="AG515" s="183">
        <v>4.0999999999999996</v>
      </c>
    </row>
    <row r="516" spans="2:33" s="154" customFormat="1" ht="15" customHeight="1" outlineLevel="1">
      <c r="B516" s="196" t="s">
        <v>198</v>
      </c>
      <c r="C516" s="196" t="s">
        <v>440</v>
      </c>
      <c r="D516" s="179">
        <v>0.49</v>
      </c>
      <c r="E516" s="180">
        <v>0.72</v>
      </c>
      <c r="F516" s="180">
        <v>0.66</v>
      </c>
      <c r="G516" s="180">
        <v>0.61</v>
      </c>
      <c r="H516" s="180">
        <v>0.44</v>
      </c>
      <c r="I516" s="180">
        <v>0.1</v>
      </c>
      <c r="J516" s="180">
        <v>0.13</v>
      </c>
      <c r="K516" s="180">
        <v>0.12</v>
      </c>
      <c r="L516" s="180">
        <v>0.08</v>
      </c>
      <c r="M516" s="181">
        <v>0.08</v>
      </c>
      <c r="N516" s="182">
        <v>0.49</v>
      </c>
      <c r="O516" s="180">
        <v>0.52</v>
      </c>
      <c r="P516" s="180">
        <v>0.6</v>
      </c>
      <c r="Q516" s="180">
        <v>0.62</v>
      </c>
      <c r="R516" s="180">
        <v>0.72</v>
      </c>
      <c r="S516" s="180">
        <v>0.74</v>
      </c>
      <c r="T516" s="180">
        <v>0.77</v>
      </c>
      <c r="U516" s="180">
        <v>0.81</v>
      </c>
      <c r="V516" s="180">
        <v>0.66</v>
      </c>
      <c r="W516" s="180">
        <v>0.76</v>
      </c>
      <c r="X516" s="180">
        <v>0.59</v>
      </c>
      <c r="Y516" s="180">
        <v>0.61</v>
      </c>
      <c r="Z516" s="180">
        <v>0.61</v>
      </c>
      <c r="AA516" s="180">
        <v>0.68</v>
      </c>
      <c r="AB516" s="180">
        <v>0.73</v>
      </c>
      <c r="AC516" s="180">
        <v>0.56999999999999995</v>
      </c>
      <c r="AD516" s="180">
        <v>0.44</v>
      </c>
      <c r="AE516" s="180">
        <v>0.45</v>
      </c>
      <c r="AF516" s="180">
        <v>0.65</v>
      </c>
      <c r="AG516" s="183">
        <v>0.54</v>
      </c>
    </row>
    <row r="517" spans="2:33" s="154" customFormat="1" ht="15" customHeight="1" outlineLevel="1">
      <c r="B517" s="196" t="s">
        <v>198</v>
      </c>
      <c r="C517" s="196" t="s">
        <v>441</v>
      </c>
      <c r="D517" s="179">
        <v>32.9</v>
      </c>
      <c r="E517" s="180">
        <v>41.7</v>
      </c>
      <c r="F517" s="180">
        <v>39.9</v>
      </c>
      <c r="G517" s="180">
        <v>37.700000000000003</v>
      </c>
      <c r="H517" s="180">
        <v>30.8</v>
      </c>
      <c r="I517" s="180">
        <v>8.8000000000000007</v>
      </c>
      <c r="J517" s="180">
        <v>11.6</v>
      </c>
      <c r="K517" s="180">
        <v>10.9</v>
      </c>
      <c r="L517" s="180">
        <v>7.2</v>
      </c>
      <c r="M517" s="181">
        <v>7.4</v>
      </c>
      <c r="N517" s="182">
        <v>32.9</v>
      </c>
      <c r="O517" s="180">
        <v>34.299999999999997</v>
      </c>
      <c r="P517" s="180">
        <v>37.4</v>
      </c>
      <c r="Q517" s="180">
        <v>38.299999999999997</v>
      </c>
      <c r="R517" s="180">
        <v>41.7</v>
      </c>
      <c r="S517" s="180">
        <v>42.6</v>
      </c>
      <c r="T517" s="180">
        <v>43.5</v>
      </c>
      <c r="U517" s="180">
        <v>44.8</v>
      </c>
      <c r="V517" s="180">
        <v>39.9</v>
      </c>
      <c r="W517" s="180">
        <v>43.1</v>
      </c>
      <c r="X517" s="180">
        <v>37</v>
      </c>
      <c r="Y517" s="180">
        <v>37.9</v>
      </c>
      <c r="Z517" s="180">
        <v>37.700000000000003</v>
      </c>
      <c r="AA517" s="180">
        <v>40.700000000000003</v>
      </c>
      <c r="AB517" s="180">
        <v>42.3</v>
      </c>
      <c r="AC517" s="180">
        <v>36.200000000000003</v>
      </c>
      <c r="AD517" s="180">
        <v>30.8</v>
      </c>
      <c r="AE517" s="180">
        <v>30.8</v>
      </c>
      <c r="AF517" s="180">
        <v>39.5</v>
      </c>
      <c r="AG517" s="183">
        <v>34.9</v>
      </c>
    </row>
    <row r="518" spans="2:33" s="154" customFormat="1" ht="15" customHeight="1" outlineLevel="1">
      <c r="B518" s="196" t="s">
        <v>198</v>
      </c>
      <c r="C518" s="196" t="s">
        <v>442</v>
      </c>
      <c r="D518" s="179">
        <v>14.2</v>
      </c>
      <c r="E518" s="180">
        <v>17.899999999999999</v>
      </c>
      <c r="F518" s="180">
        <v>16.7</v>
      </c>
      <c r="G518" s="180">
        <v>12.2</v>
      </c>
      <c r="H518" s="180">
        <v>8.5</v>
      </c>
      <c r="I518" s="180">
        <v>1.5</v>
      </c>
      <c r="J518" s="180">
        <v>2.7</v>
      </c>
      <c r="K518" s="180">
        <v>2.7</v>
      </c>
      <c r="L518" s="180">
        <v>3</v>
      </c>
      <c r="M518" s="181">
        <v>3.9</v>
      </c>
      <c r="N518" s="182">
        <v>14.2</v>
      </c>
      <c r="O518" s="180">
        <v>15.1</v>
      </c>
      <c r="P518" s="180">
        <v>17</v>
      </c>
      <c r="Q518" s="180">
        <v>17.100000000000001</v>
      </c>
      <c r="R518" s="180">
        <v>17.899999999999999</v>
      </c>
      <c r="S518" s="180">
        <v>19.3</v>
      </c>
      <c r="T518" s="180">
        <v>19.3</v>
      </c>
      <c r="U518" s="180">
        <v>21.6</v>
      </c>
      <c r="V518" s="180">
        <v>16.7</v>
      </c>
      <c r="W518" s="180">
        <v>17</v>
      </c>
      <c r="X518" s="180">
        <v>11.9</v>
      </c>
      <c r="Y518" s="180">
        <v>12.6</v>
      </c>
      <c r="Z518" s="180">
        <v>12.2</v>
      </c>
      <c r="AA518" s="180">
        <v>13.2</v>
      </c>
      <c r="AB518" s="180">
        <v>13.3</v>
      </c>
      <c r="AC518" s="180">
        <v>10.9</v>
      </c>
      <c r="AD518" s="180">
        <v>8.5</v>
      </c>
      <c r="AE518" s="180">
        <v>7.8</v>
      </c>
      <c r="AF518" s="180">
        <v>7.2</v>
      </c>
      <c r="AG518" s="183">
        <v>7.5</v>
      </c>
    </row>
    <row r="519" spans="2:33" s="154" customFormat="1" ht="15" customHeight="1" outlineLevel="1">
      <c r="B519" s="196" t="s">
        <v>198</v>
      </c>
      <c r="C519" s="196" t="s">
        <v>443</v>
      </c>
      <c r="D519" s="179">
        <v>77.5</v>
      </c>
      <c r="E519" s="180">
        <v>80</v>
      </c>
      <c r="F519" s="180">
        <v>79.900000000000006</v>
      </c>
      <c r="G519" s="180">
        <v>83.2</v>
      </c>
      <c r="H519" s="180">
        <v>83.9</v>
      </c>
      <c r="I519" s="180">
        <v>86.4</v>
      </c>
      <c r="J519" s="180">
        <v>83.1</v>
      </c>
      <c r="K519" s="180">
        <v>82.1</v>
      </c>
      <c r="L519" s="180">
        <v>72.099999999999994</v>
      </c>
      <c r="M519" s="181">
        <v>67.5</v>
      </c>
      <c r="N519" s="182">
        <v>77.5</v>
      </c>
      <c r="O519" s="180">
        <v>77.599999999999994</v>
      </c>
      <c r="P519" s="180">
        <v>77.900000000000006</v>
      </c>
      <c r="Q519" s="180">
        <v>78.400000000000006</v>
      </c>
      <c r="R519" s="180">
        <v>80</v>
      </c>
      <c r="S519" s="180">
        <v>79.400000000000006</v>
      </c>
      <c r="T519" s="180">
        <v>80</v>
      </c>
      <c r="U519" s="180">
        <v>79</v>
      </c>
      <c r="V519" s="180">
        <v>79.900000000000006</v>
      </c>
      <c r="W519" s="180">
        <v>81.7</v>
      </c>
      <c r="X519" s="180">
        <v>83.2</v>
      </c>
      <c r="Y519" s="180">
        <v>82.8</v>
      </c>
      <c r="Z519" s="180">
        <v>83.2</v>
      </c>
      <c r="AA519" s="180">
        <v>83.8</v>
      </c>
      <c r="AB519" s="180">
        <v>84.6</v>
      </c>
      <c r="AC519" s="180">
        <v>83.8</v>
      </c>
      <c r="AD519" s="180">
        <v>83.9</v>
      </c>
      <c r="AE519" s="180">
        <v>85</v>
      </c>
      <c r="AF519" s="180">
        <v>90.1</v>
      </c>
      <c r="AG519" s="183">
        <v>87.7</v>
      </c>
    </row>
    <row r="520" spans="2:33" s="154" customFormat="1" ht="15" customHeight="1" outlineLevel="1">
      <c r="B520" s="196" t="s">
        <v>198</v>
      </c>
      <c r="C520" s="196" t="s">
        <v>444</v>
      </c>
      <c r="D520" s="179">
        <v>42.4</v>
      </c>
      <c r="E520" s="180">
        <v>83.5</v>
      </c>
      <c r="F520" s="180">
        <v>122.8</v>
      </c>
      <c r="G520" s="180">
        <v>93.7</v>
      </c>
      <c r="H520" s="180">
        <v>123.9</v>
      </c>
      <c r="I520" s="180">
        <v>36.299999999999997</v>
      </c>
      <c r="J520" s="180">
        <v>49.6</v>
      </c>
      <c r="K520" s="180">
        <v>43.1</v>
      </c>
      <c r="L520" s="180">
        <v>42.6</v>
      </c>
      <c r="M520" s="181">
        <v>-4.2</v>
      </c>
      <c r="N520" s="182">
        <v>42.4</v>
      </c>
      <c r="O520" s="180">
        <v>37.799999999999997</v>
      </c>
      <c r="P520" s="180">
        <v>67.099999999999994</v>
      </c>
      <c r="Q520" s="180">
        <v>77.3</v>
      </c>
      <c r="R520" s="180">
        <v>83.5</v>
      </c>
      <c r="S520" s="180">
        <v>92.8</v>
      </c>
      <c r="T520" s="180">
        <v>113.5</v>
      </c>
      <c r="U520" s="180">
        <v>122.4</v>
      </c>
      <c r="V520" s="180">
        <v>122.8</v>
      </c>
      <c r="W520" s="180">
        <v>127.6</v>
      </c>
      <c r="X520" s="180">
        <v>102.2</v>
      </c>
      <c r="Y520" s="180">
        <v>98.7</v>
      </c>
      <c r="Z520" s="180">
        <v>93.7</v>
      </c>
      <c r="AA520" s="180">
        <v>159.4</v>
      </c>
      <c r="AB520" s="180">
        <v>163.30000000000001</v>
      </c>
      <c r="AC520" s="180">
        <v>136.4</v>
      </c>
      <c r="AD520" s="180">
        <v>123.9</v>
      </c>
      <c r="AE520" s="180">
        <v>122.9</v>
      </c>
      <c r="AF520" s="180">
        <v>127.1</v>
      </c>
      <c r="AG520" s="183">
        <v>90.7</v>
      </c>
    </row>
    <row r="521" spans="2:33" s="154" customFormat="1" ht="15" customHeight="1" outlineLevel="1">
      <c r="B521" s="196" t="s">
        <v>198</v>
      </c>
      <c r="C521" s="196" t="s">
        <v>445</v>
      </c>
      <c r="D521" s="179">
        <v>32.76</v>
      </c>
      <c r="E521" s="180">
        <v>35.25</v>
      </c>
      <c r="F521" s="180">
        <v>32.06</v>
      </c>
      <c r="G521" s="180">
        <v>27.03</v>
      </c>
      <c r="H521" s="180">
        <v>31.43</v>
      </c>
      <c r="I521" s="180">
        <v>29.68</v>
      </c>
      <c r="J521" s="180">
        <v>25.8</v>
      </c>
      <c r="K521" s="180">
        <v>23.99</v>
      </c>
      <c r="L521" s="180">
        <v>19.8</v>
      </c>
      <c r="M521" s="181">
        <v>16.21</v>
      </c>
      <c r="N521" s="182">
        <v>32.76</v>
      </c>
      <c r="O521" s="180">
        <v>33.79</v>
      </c>
      <c r="P521" s="180">
        <v>34.78</v>
      </c>
      <c r="Q521" s="180">
        <v>34.909999999999997</v>
      </c>
      <c r="R521" s="180">
        <v>35.25</v>
      </c>
      <c r="S521" s="180">
        <v>34.39</v>
      </c>
      <c r="T521" s="180">
        <v>33.68</v>
      </c>
      <c r="U521" s="180">
        <v>32.46</v>
      </c>
      <c r="V521" s="180">
        <v>32.06</v>
      </c>
      <c r="W521" s="180">
        <v>31.45</v>
      </c>
      <c r="X521" s="180">
        <v>29.92</v>
      </c>
      <c r="Y521" s="180">
        <v>28.35</v>
      </c>
      <c r="Z521" s="180">
        <v>27.03</v>
      </c>
      <c r="AA521" s="180">
        <v>26.29</v>
      </c>
      <c r="AB521" s="180">
        <v>27.47</v>
      </c>
      <c r="AC521" s="180">
        <v>29.36</v>
      </c>
      <c r="AD521" s="180">
        <v>31.43</v>
      </c>
      <c r="AE521" s="180">
        <v>32.75</v>
      </c>
      <c r="AF521" s="180">
        <v>32.729999999999997</v>
      </c>
      <c r="AG521" s="183">
        <v>30.98</v>
      </c>
    </row>
    <row r="522" spans="2:33" s="154" customFormat="1" ht="15" customHeight="1" outlineLevel="1">
      <c r="B522" s="196" t="s">
        <v>198</v>
      </c>
      <c r="C522" s="196" t="s">
        <v>446</v>
      </c>
      <c r="D522" s="179">
        <v>6.14</v>
      </c>
      <c r="E522" s="180">
        <v>5.0599999999999996</v>
      </c>
      <c r="F522" s="180">
        <v>4.05</v>
      </c>
      <c r="G522" s="180">
        <v>2.88</v>
      </c>
      <c r="H522" s="180">
        <v>2.2000000000000002</v>
      </c>
      <c r="I522" s="180">
        <v>1.81</v>
      </c>
      <c r="J522" s="180">
        <v>1.94</v>
      </c>
      <c r="K522" s="180">
        <v>1.77</v>
      </c>
      <c r="L522" s="180">
        <v>2.61</v>
      </c>
      <c r="M522" s="181">
        <v>2.46</v>
      </c>
      <c r="N522" s="182">
        <v>6.14</v>
      </c>
      <c r="O522" s="180">
        <v>5.86</v>
      </c>
      <c r="P522" s="180">
        <v>5.62</v>
      </c>
      <c r="Q522" s="180">
        <v>5.31</v>
      </c>
      <c r="R522" s="180">
        <v>5.0599999999999996</v>
      </c>
      <c r="S522" s="180">
        <v>4.83</v>
      </c>
      <c r="T522" s="180">
        <v>4.55</v>
      </c>
      <c r="U522" s="180">
        <v>4.41</v>
      </c>
      <c r="V522" s="180">
        <v>4.05</v>
      </c>
      <c r="W522" s="180">
        <v>3.53</v>
      </c>
      <c r="X522" s="180">
        <v>3.17</v>
      </c>
      <c r="Y522" s="180">
        <v>3.01</v>
      </c>
      <c r="Z522" s="180">
        <v>2.88</v>
      </c>
      <c r="AA522" s="180">
        <v>2.57</v>
      </c>
      <c r="AB522" s="180">
        <v>2.37</v>
      </c>
      <c r="AC522" s="180">
        <v>2.16</v>
      </c>
      <c r="AD522" s="180">
        <v>2.2000000000000002</v>
      </c>
      <c r="AE522" s="180">
        <v>2.14</v>
      </c>
      <c r="AF522" s="180">
        <v>1.44</v>
      </c>
      <c r="AG522" s="183">
        <v>1.71</v>
      </c>
    </row>
    <row r="523" spans="2:33" s="154" customFormat="1" ht="15" customHeight="1" outlineLevel="1">
      <c r="B523" s="196" t="s">
        <v>198</v>
      </c>
      <c r="C523" s="196" t="s">
        <v>447</v>
      </c>
      <c r="D523" s="179">
        <v>-1.1499999999999999</v>
      </c>
      <c r="E523" s="180">
        <v>0.69</v>
      </c>
      <c r="F523" s="180">
        <v>0.99</v>
      </c>
      <c r="G523" s="180">
        <v>-0.06</v>
      </c>
      <c r="H523" s="180">
        <v>0.93</v>
      </c>
      <c r="I523" s="180">
        <v>0.63</v>
      </c>
      <c r="J523" s="180">
        <v>1.94</v>
      </c>
      <c r="K523" s="180">
        <v>1.77</v>
      </c>
      <c r="L523" s="180">
        <v>2.61</v>
      </c>
      <c r="M523" s="181">
        <v>2.46</v>
      </c>
      <c r="N523" s="182">
        <v>-1.1499999999999999</v>
      </c>
      <c r="O523" s="180">
        <v>-1.45</v>
      </c>
      <c r="P523" s="180">
        <v>-0.24</v>
      </c>
      <c r="Q523" s="180">
        <v>0.88</v>
      </c>
      <c r="R523" s="180">
        <v>0.69</v>
      </c>
      <c r="S523" s="180">
        <v>0.43</v>
      </c>
      <c r="T523" s="180">
        <v>0.56999999999999995</v>
      </c>
      <c r="U523" s="180">
        <v>0.54</v>
      </c>
      <c r="V523" s="180">
        <v>0.99</v>
      </c>
      <c r="W523" s="180">
        <v>0.52</v>
      </c>
      <c r="X523" s="180">
        <v>0.13</v>
      </c>
      <c r="Y523" s="180">
        <v>0.02</v>
      </c>
      <c r="Z523" s="180">
        <v>-0.06</v>
      </c>
      <c r="AA523" s="180">
        <v>1.37</v>
      </c>
      <c r="AB523" s="180">
        <v>1.1399999999999999</v>
      </c>
      <c r="AC523" s="180">
        <v>0.92</v>
      </c>
      <c r="AD523" s="180">
        <v>0.93</v>
      </c>
      <c r="AE523" s="180">
        <v>0.86</v>
      </c>
      <c r="AF523" s="180">
        <v>0.15</v>
      </c>
      <c r="AG523" s="183">
        <v>0.47</v>
      </c>
    </row>
    <row r="524" spans="2:33" s="154" customFormat="1" ht="15" customHeight="1" outlineLevel="1">
      <c r="B524" s="196" t="s">
        <v>198</v>
      </c>
      <c r="C524" s="196" t="s">
        <v>448</v>
      </c>
      <c r="D524" s="179">
        <v>0.4</v>
      </c>
      <c r="E524" s="180">
        <v>0.49</v>
      </c>
      <c r="F524" s="180">
        <v>0.41</v>
      </c>
      <c r="G524" s="180">
        <v>0.48</v>
      </c>
      <c r="H524" s="180">
        <v>0.3</v>
      </c>
      <c r="I524" s="180">
        <v>0.68</v>
      </c>
      <c r="J524" s="180">
        <v>0.94</v>
      </c>
      <c r="K524" s="180">
        <v>1.22</v>
      </c>
      <c r="L524" s="180">
        <v>2.11</v>
      </c>
      <c r="M524" s="181">
        <v>2.06</v>
      </c>
      <c r="N524" s="182">
        <v>0.4</v>
      </c>
      <c r="O524" s="180">
        <v>0.27</v>
      </c>
      <c r="P524" s="180">
        <v>0.34</v>
      </c>
      <c r="Q524" s="180">
        <v>0.47</v>
      </c>
      <c r="R524" s="180">
        <v>0.49</v>
      </c>
      <c r="S524" s="180">
        <v>0.46</v>
      </c>
      <c r="T524" s="180">
        <v>0.48</v>
      </c>
      <c r="U524" s="180">
        <v>0.48</v>
      </c>
      <c r="V524" s="180">
        <v>0.41</v>
      </c>
      <c r="W524" s="180">
        <v>0.46</v>
      </c>
      <c r="X524" s="180">
        <v>0.44</v>
      </c>
      <c r="Y524" s="180">
        <v>0.56999999999999995</v>
      </c>
      <c r="Z524" s="180">
        <v>0.48</v>
      </c>
      <c r="AA524" s="180">
        <v>0.55000000000000004</v>
      </c>
      <c r="AB524" s="180">
        <v>0.49</v>
      </c>
      <c r="AC524" s="180">
        <v>0.4</v>
      </c>
      <c r="AD524" s="180">
        <v>0.3</v>
      </c>
      <c r="AE524" s="180">
        <v>0.37</v>
      </c>
      <c r="AF524" s="180">
        <v>0.75</v>
      </c>
      <c r="AG524" s="183">
        <v>0.6</v>
      </c>
    </row>
    <row r="525" spans="2:33" s="154" customFormat="1" ht="15" customHeight="1" outlineLevel="1">
      <c r="B525" s="196" t="s">
        <v>198</v>
      </c>
      <c r="C525" s="196" t="s">
        <v>449</v>
      </c>
      <c r="D525" s="179">
        <v>2.16</v>
      </c>
      <c r="E525" s="180">
        <v>3.41</v>
      </c>
      <c r="F525" s="180">
        <v>3.25</v>
      </c>
      <c r="G525" s="180">
        <v>4.4800000000000004</v>
      </c>
      <c r="H525" s="180">
        <v>4.32</v>
      </c>
      <c r="I525" s="180">
        <v>11.07</v>
      </c>
      <c r="J525" s="180">
        <v>12.48</v>
      </c>
      <c r="K525" s="180">
        <v>16.559999999999999</v>
      </c>
      <c r="L525" s="180">
        <v>16</v>
      </c>
      <c r="M525" s="181">
        <v>13.59</v>
      </c>
      <c r="N525" s="182">
        <v>2.16</v>
      </c>
      <c r="O525" s="180">
        <v>1.58</v>
      </c>
      <c r="P525" s="180">
        <v>2.11</v>
      </c>
      <c r="Q525" s="180">
        <v>3.08</v>
      </c>
      <c r="R525" s="180">
        <v>3.41</v>
      </c>
      <c r="S525" s="180">
        <v>3.27</v>
      </c>
      <c r="T525" s="180">
        <v>3.57</v>
      </c>
      <c r="U525" s="180">
        <v>3.51</v>
      </c>
      <c r="V525" s="180">
        <v>3.25</v>
      </c>
      <c r="W525" s="180">
        <v>4.08</v>
      </c>
      <c r="X525" s="180">
        <v>4.18</v>
      </c>
      <c r="Y525" s="180">
        <v>5.38</v>
      </c>
      <c r="Z525" s="180">
        <v>4.4800000000000004</v>
      </c>
      <c r="AA525" s="180">
        <v>5.62</v>
      </c>
      <c r="AB525" s="180">
        <v>5.65</v>
      </c>
      <c r="AC525" s="180">
        <v>5.38</v>
      </c>
      <c r="AD525" s="180">
        <v>4.32</v>
      </c>
      <c r="AE525" s="180">
        <v>5.7</v>
      </c>
      <c r="AF525" s="180">
        <v>17.059999999999999</v>
      </c>
      <c r="AG525" s="183">
        <v>10.89</v>
      </c>
    </row>
    <row r="526" spans="2:33" s="154" customFormat="1" ht="15" customHeight="1" outlineLevel="1">
      <c r="B526" s="196" t="s">
        <v>198</v>
      </c>
      <c r="C526" s="196" t="s">
        <v>450</v>
      </c>
      <c r="D526" s="179">
        <v>-11.51</v>
      </c>
      <c r="E526" s="180">
        <v>24.97</v>
      </c>
      <c r="F526" s="180">
        <v>13.29</v>
      </c>
      <c r="G526" s="180">
        <v>-215</v>
      </c>
      <c r="H526" s="180">
        <v>10.220000000000001</v>
      </c>
      <c r="I526" s="180">
        <v>31.81</v>
      </c>
      <c r="J526" s="180">
        <v>12.48</v>
      </c>
      <c r="K526" s="180">
        <v>16.559999999999999</v>
      </c>
      <c r="L526" s="180">
        <v>16</v>
      </c>
      <c r="M526" s="181">
        <v>13.59</v>
      </c>
      <c r="N526" s="182">
        <v>-11.51</v>
      </c>
      <c r="O526" s="180">
        <v>-6.37</v>
      </c>
      <c r="P526" s="180">
        <v>-49.5</v>
      </c>
      <c r="Q526" s="180">
        <v>18.600000000000001</v>
      </c>
      <c r="R526" s="180">
        <v>24.97</v>
      </c>
      <c r="S526" s="180">
        <v>36.770000000000003</v>
      </c>
      <c r="T526" s="180">
        <v>28.49</v>
      </c>
      <c r="U526" s="180">
        <v>28.65</v>
      </c>
      <c r="V526" s="180">
        <v>13.29</v>
      </c>
      <c r="W526" s="180">
        <v>27.68</v>
      </c>
      <c r="X526" s="180">
        <v>101.85</v>
      </c>
      <c r="Y526" s="180">
        <v>810</v>
      </c>
      <c r="Z526" s="180">
        <v>-215</v>
      </c>
      <c r="AA526" s="180">
        <v>10.55</v>
      </c>
      <c r="AB526" s="180">
        <v>11.74</v>
      </c>
      <c r="AC526" s="180">
        <v>12.63</v>
      </c>
      <c r="AD526" s="180">
        <v>10.220000000000001</v>
      </c>
      <c r="AE526" s="180">
        <v>14.19</v>
      </c>
      <c r="AF526" s="180">
        <v>163.80000000000001</v>
      </c>
      <c r="AG526" s="183">
        <v>39.64</v>
      </c>
    </row>
    <row r="527" spans="2:33" s="154" customFormat="1" ht="15" customHeight="1" outlineLevel="1" thickBot="1">
      <c r="B527" s="204" t="s">
        <v>198</v>
      </c>
      <c r="C527" s="204" t="s">
        <v>451</v>
      </c>
      <c r="D527" s="185">
        <v>19.7</v>
      </c>
      <c r="E527" s="186">
        <v>24.6</v>
      </c>
      <c r="F527" s="186">
        <v>37.799999999999997</v>
      </c>
      <c r="G527" s="186">
        <v>20.9</v>
      </c>
      <c r="H527" s="186">
        <v>28.6</v>
      </c>
      <c r="I527" s="186">
        <v>3.3</v>
      </c>
      <c r="J527" s="186">
        <v>4</v>
      </c>
      <c r="K527" s="186">
        <v>2.6</v>
      </c>
      <c r="L527" s="186">
        <v>2.7</v>
      </c>
      <c r="M527" s="187">
        <v>-0.3</v>
      </c>
      <c r="N527" s="188">
        <v>19.7</v>
      </c>
      <c r="O527" s="186">
        <v>24</v>
      </c>
      <c r="P527" s="186">
        <v>31.7</v>
      </c>
      <c r="Q527" s="186">
        <v>25.1</v>
      </c>
      <c r="R527" s="186">
        <v>24.6</v>
      </c>
      <c r="S527" s="186">
        <v>28.3</v>
      </c>
      <c r="T527" s="186">
        <v>31.8</v>
      </c>
      <c r="U527" s="186">
        <v>34.799999999999997</v>
      </c>
      <c r="V527" s="186">
        <v>37.799999999999997</v>
      </c>
      <c r="W527" s="186">
        <v>31.3</v>
      </c>
      <c r="X527" s="186">
        <v>24.5</v>
      </c>
      <c r="Y527" s="186">
        <v>18.3</v>
      </c>
      <c r="Z527" s="186">
        <v>20.9</v>
      </c>
      <c r="AA527" s="186">
        <v>28.4</v>
      </c>
      <c r="AB527" s="186">
        <v>28.8</v>
      </c>
      <c r="AC527" s="186">
        <v>25.4</v>
      </c>
      <c r="AD527" s="186">
        <v>28.6</v>
      </c>
      <c r="AE527" s="186">
        <v>21.6</v>
      </c>
      <c r="AF527" s="186">
        <v>7.4</v>
      </c>
      <c r="AG527" s="189">
        <v>8.3000000000000007</v>
      </c>
    </row>
    <row r="528" spans="2:33" s="154" customFormat="1" ht="15" customHeight="1" outlineLevel="1">
      <c r="B528" s="167" t="s">
        <v>199</v>
      </c>
      <c r="C528" s="167" t="s">
        <v>452</v>
      </c>
      <c r="D528" s="203">
        <v>2.61</v>
      </c>
      <c r="E528" s="192">
        <v>4.2300000000000004</v>
      </c>
      <c r="F528" s="192">
        <v>4.97</v>
      </c>
      <c r="G528" s="192">
        <v>2.7</v>
      </c>
      <c r="H528" s="192">
        <v>2.72</v>
      </c>
      <c r="I528" s="192">
        <v>0.66</v>
      </c>
      <c r="J528" s="192">
        <v>0.96</v>
      </c>
      <c r="K528" s="192">
        <v>0.76</v>
      </c>
      <c r="L528" s="192">
        <v>1.1100000000000001</v>
      </c>
      <c r="M528" s="193">
        <v>-0.1</v>
      </c>
      <c r="N528" s="194">
        <v>2.61</v>
      </c>
      <c r="O528" s="192">
        <v>2.2200000000000002</v>
      </c>
      <c r="P528" s="192">
        <v>3.77</v>
      </c>
      <c r="Q528" s="192">
        <v>4.1100000000000003</v>
      </c>
      <c r="R528" s="192">
        <v>4.2300000000000004</v>
      </c>
      <c r="S528" s="192">
        <v>4.4800000000000004</v>
      </c>
      <c r="T528" s="192">
        <v>5.16</v>
      </c>
      <c r="U528" s="192">
        <v>5.39</v>
      </c>
      <c r="V528" s="192">
        <v>4.97</v>
      </c>
      <c r="W528" s="192">
        <v>4.5</v>
      </c>
      <c r="X528" s="192">
        <v>3.24</v>
      </c>
      <c r="Y528" s="192">
        <v>2.97</v>
      </c>
      <c r="Z528" s="192">
        <v>2.7</v>
      </c>
      <c r="AA528" s="192">
        <v>4.0999999999999996</v>
      </c>
      <c r="AB528" s="192">
        <v>3.86</v>
      </c>
      <c r="AC528" s="192">
        <v>2.95</v>
      </c>
      <c r="AD528" s="192">
        <v>2.72</v>
      </c>
      <c r="AE528" s="192">
        <v>2.63</v>
      </c>
      <c r="AF528" s="192">
        <v>1.83</v>
      </c>
      <c r="AG528" s="195">
        <v>1.55</v>
      </c>
    </row>
    <row r="529" spans="2:33" s="154" customFormat="1" ht="15" customHeight="1" outlineLevel="1">
      <c r="B529" s="173" t="s">
        <v>199</v>
      </c>
      <c r="C529" s="173" t="s">
        <v>453</v>
      </c>
      <c r="D529" s="179">
        <v>2.02</v>
      </c>
      <c r="E529" s="180">
        <v>0.53</v>
      </c>
      <c r="F529" s="180">
        <v>0.51</v>
      </c>
      <c r="G529" s="180">
        <v>0.44</v>
      </c>
      <c r="H529" s="180">
        <v>1.67</v>
      </c>
      <c r="I529" s="180">
        <v>1.73</v>
      </c>
      <c r="J529" s="180">
        <v>1.37</v>
      </c>
      <c r="K529" s="180">
        <v>1.7</v>
      </c>
      <c r="L529" s="180">
        <v>1.36</v>
      </c>
      <c r="M529" s="181">
        <v>1.1399999999999999</v>
      </c>
      <c r="N529" s="182">
        <v>2.02</v>
      </c>
      <c r="O529" s="180">
        <v>0.62</v>
      </c>
      <c r="P529" s="180">
        <v>0.59</v>
      </c>
      <c r="Q529" s="180">
        <v>0.55000000000000004</v>
      </c>
      <c r="R529" s="180">
        <v>0.53</v>
      </c>
      <c r="S529" s="180">
        <v>0.51</v>
      </c>
      <c r="T529" s="180">
        <v>0.49</v>
      </c>
      <c r="U529" s="180">
        <v>0.49</v>
      </c>
      <c r="V529" s="180">
        <v>0.51</v>
      </c>
      <c r="W529" s="180">
        <v>0.52</v>
      </c>
      <c r="X529" s="180">
        <v>0.49</v>
      </c>
      <c r="Y529" s="180">
        <v>0.46</v>
      </c>
      <c r="Z529" s="180">
        <v>0.44</v>
      </c>
      <c r="AA529" s="180">
        <v>0.57999999999999996</v>
      </c>
      <c r="AB529" s="180">
        <v>0.96</v>
      </c>
      <c r="AC529" s="180">
        <v>1.27</v>
      </c>
      <c r="AD529" s="180">
        <v>1.67</v>
      </c>
      <c r="AE529" s="180">
        <v>1.83</v>
      </c>
      <c r="AF529" s="180">
        <v>1.82</v>
      </c>
      <c r="AG529" s="183">
        <v>1.8</v>
      </c>
    </row>
    <row r="530" spans="2:33" s="154" customFormat="1" ht="15" customHeight="1" outlineLevel="1">
      <c r="B530" s="173" t="s">
        <v>199</v>
      </c>
      <c r="C530" s="173" t="s">
        <v>454</v>
      </c>
      <c r="D530" s="179">
        <v>-1.35</v>
      </c>
      <c r="E530" s="180">
        <v>1.3</v>
      </c>
      <c r="F530" s="180">
        <v>1.64</v>
      </c>
      <c r="G530" s="180">
        <v>-0.04</v>
      </c>
      <c r="H530" s="180">
        <v>0.66</v>
      </c>
      <c r="I530" s="180">
        <v>0.44</v>
      </c>
      <c r="J530" s="180">
        <v>1.33</v>
      </c>
      <c r="K530" s="180">
        <v>1.76</v>
      </c>
      <c r="L530" s="180">
        <v>1.93</v>
      </c>
      <c r="M530" s="181">
        <v>1.31</v>
      </c>
      <c r="N530" s="182">
        <v>-1.35</v>
      </c>
      <c r="O530" s="180">
        <v>-1.95</v>
      </c>
      <c r="P530" s="180">
        <v>-1.25</v>
      </c>
      <c r="Q530" s="180">
        <v>-0.3</v>
      </c>
      <c r="R530" s="180">
        <v>1.3</v>
      </c>
      <c r="S530" s="180">
        <v>0.34</v>
      </c>
      <c r="T530" s="180">
        <v>0.35</v>
      </c>
      <c r="U530" s="180">
        <v>-0.6</v>
      </c>
      <c r="V530" s="180">
        <v>1.64</v>
      </c>
      <c r="W530" s="180">
        <v>1.01</v>
      </c>
      <c r="X530" s="180">
        <v>0.6</v>
      </c>
      <c r="Y530" s="180">
        <v>0.03</v>
      </c>
      <c r="Z530" s="180">
        <v>-0.04</v>
      </c>
      <c r="AA530" s="180">
        <v>1.22</v>
      </c>
      <c r="AB530" s="180">
        <v>0.85</v>
      </c>
      <c r="AC530" s="180">
        <v>0.35</v>
      </c>
      <c r="AD530" s="180">
        <v>0.66</v>
      </c>
      <c r="AE530" s="180">
        <v>0.31</v>
      </c>
      <c r="AF530" s="180">
        <v>0.42</v>
      </c>
      <c r="AG530" s="183">
        <v>-7.0000000000000007E-2</v>
      </c>
    </row>
    <row r="531" spans="2:33" s="154" customFormat="1" ht="15" customHeight="1" outlineLevel="1">
      <c r="B531" s="173" t="s">
        <v>199</v>
      </c>
      <c r="C531" s="173" t="s">
        <v>455</v>
      </c>
      <c r="D531" s="179">
        <v>22.2</v>
      </c>
      <c r="E531" s="180">
        <v>0</v>
      </c>
      <c r="F531" s="180">
        <v>0</v>
      </c>
      <c r="G531" s="180">
        <v>0</v>
      </c>
      <c r="H531" s="180">
        <v>58</v>
      </c>
      <c r="I531" s="180">
        <v>78.900000000000006</v>
      </c>
      <c r="J531" s="180">
        <v>59.7</v>
      </c>
      <c r="K531" s="180">
        <v>86.5</v>
      </c>
      <c r="L531" s="180">
        <v>46.9</v>
      </c>
      <c r="M531" s="181">
        <v>42.1</v>
      </c>
      <c r="N531" s="182">
        <v>22.2</v>
      </c>
      <c r="O531" s="180">
        <v>0</v>
      </c>
      <c r="P531" s="180">
        <v>0</v>
      </c>
      <c r="Q531" s="180">
        <v>0</v>
      </c>
      <c r="R531" s="180">
        <v>0</v>
      </c>
      <c r="S531" s="180">
        <v>0</v>
      </c>
      <c r="T531" s="180">
        <v>0</v>
      </c>
      <c r="U531" s="180">
        <v>0</v>
      </c>
      <c r="V531" s="180">
        <v>0</v>
      </c>
      <c r="W531" s="180">
        <v>0</v>
      </c>
      <c r="X531" s="180">
        <v>0</v>
      </c>
      <c r="Y531" s="180">
        <v>0</v>
      </c>
      <c r="Z531" s="180">
        <v>0</v>
      </c>
      <c r="AA531" s="180">
        <v>7</v>
      </c>
      <c r="AB531" s="180">
        <v>23.3</v>
      </c>
      <c r="AC531" s="180">
        <v>40</v>
      </c>
      <c r="AD531" s="180">
        <v>58</v>
      </c>
      <c r="AE531" s="180">
        <v>67.5</v>
      </c>
      <c r="AF531" s="180">
        <v>100.8</v>
      </c>
      <c r="AG531" s="183">
        <v>86.1</v>
      </c>
    </row>
    <row r="532" spans="2:33" s="154" customFormat="1" ht="15" customHeight="1" outlineLevel="1">
      <c r="B532" s="173" t="s">
        <v>199</v>
      </c>
      <c r="C532" s="173" t="s">
        <v>203</v>
      </c>
      <c r="D532" s="179">
        <v>14.9</v>
      </c>
      <c r="E532" s="180">
        <v>0</v>
      </c>
      <c r="F532" s="180">
        <v>0</v>
      </c>
      <c r="G532" s="180">
        <v>0</v>
      </c>
      <c r="H532" s="180">
        <v>40.200000000000003</v>
      </c>
      <c r="I532" s="180">
        <v>71.900000000000006</v>
      </c>
      <c r="J532" s="180">
        <v>52.7</v>
      </c>
      <c r="K532" s="180">
        <v>77.099999999999994</v>
      </c>
      <c r="L532" s="180">
        <v>43.5</v>
      </c>
      <c r="M532" s="181">
        <v>39</v>
      </c>
      <c r="N532" s="182">
        <v>14.9</v>
      </c>
      <c r="O532" s="180">
        <v>0</v>
      </c>
      <c r="P532" s="180">
        <v>0</v>
      </c>
      <c r="Q532" s="180">
        <v>0</v>
      </c>
      <c r="R532" s="180">
        <v>0</v>
      </c>
      <c r="S532" s="180">
        <v>0</v>
      </c>
      <c r="T532" s="180">
        <v>0</v>
      </c>
      <c r="U532" s="180">
        <v>0</v>
      </c>
      <c r="V532" s="180">
        <v>0</v>
      </c>
      <c r="W532" s="180">
        <v>0</v>
      </c>
      <c r="X532" s="180">
        <v>0</v>
      </c>
      <c r="Y532" s="180">
        <v>0</v>
      </c>
      <c r="Z532" s="180">
        <v>0</v>
      </c>
      <c r="AA532" s="180">
        <v>4.0999999999999996</v>
      </c>
      <c r="AB532" s="180">
        <v>13.4</v>
      </c>
      <c r="AC532" s="180">
        <v>25.6</v>
      </c>
      <c r="AD532" s="180">
        <v>40.200000000000003</v>
      </c>
      <c r="AE532" s="180">
        <v>46.7</v>
      </c>
      <c r="AF532" s="180">
        <v>61</v>
      </c>
      <c r="AG532" s="183">
        <v>56.1</v>
      </c>
    </row>
    <row r="533" spans="2:33" s="154" customFormat="1" ht="15" customHeight="1" outlineLevel="1">
      <c r="B533" s="173" t="s">
        <v>199</v>
      </c>
      <c r="C533" s="173" t="s">
        <v>202</v>
      </c>
      <c r="D533" s="179">
        <v>5</v>
      </c>
      <c r="E533" s="180">
        <v>0</v>
      </c>
      <c r="F533" s="180">
        <v>0</v>
      </c>
      <c r="G533" s="180">
        <v>0</v>
      </c>
      <c r="H533" s="180">
        <v>9.4</v>
      </c>
      <c r="I533" s="180">
        <v>10.7</v>
      </c>
      <c r="J533" s="180">
        <v>10.1</v>
      </c>
      <c r="K533" s="180">
        <v>15.5</v>
      </c>
      <c r="L533" s="180">
        <v>13.1</v>
      </c>
      <c r="M533" s="181">
        <v>13.7</v>
      </c>
      <c r="N533" s="182">
        <v>5</v>
      </c>
      <c r="O533" s="180">
        <v>0</v>
      </c>
      <c r="P533" s="180">
        <v>0</v>
      </c>
      <c r="Q533" s="180">
        <v>0</v>
      </c>
      <c r="R533" s="180">
        <v>0</v>
      </c>
      <c r="S533" s="180">
        <v>0</v>
      </c>
      <c r="T533" s="180">
        <v>0</v>
      </c>
      <c r="U533" s="180">
        <v>0</v>
      </c>
      <c r="V533" s="180">
        <v>0</v>
      </c>
      <c r="W533" s="180">
        <v>0</v>
      </c>
      <c r="X533" s="180">
        <v>0</v>
      </c>
      <c r="Y533" s="180">
        <v>0</v>
      </c>
      <c r="Z533" s="180">
        <v>0</v>
      </c>
      <c r="AA533" s="180">
        <v>1.1000000000000001</v>
      </c>
      <c r="AB533" s="180">
        <v>3.6</v>
      </c>
      <c r="AC533" s="180">
        <v>6.5</v>
      </c>
      <c r="AD533" s="180">
        <v>9.4</v>
      </c>
      <c r="AE533" s="180">
        <v>10.1</v>
      </c>
      <c r="AF533" s="180">
        <v>10</v>
      </c>
      <c r="AG533" s="183">
        <v>10.6</v>
      </c>
    </row>
    <row r="534" spans="2:33" s="154" customFormat="1" ht="15" customHeight="1" outlineLevel="1">
      <c r="B534" s="173" t="s">
        <v>199</v>
      </c>
      <c r="C534" s="173" t="s">
        <v>456</v>
      </c>
      <c r="D534" s="179">
        <v>6.6</v>
      </c>
      <c r="E534" s="180">
        <v>32.5</v>
      </c>
      <c r="F534" s="180">
        <v>25.8</v>
      </c>
      <c r="G534" s="180">
        <v>29.3</v>
      </c>
      <c r="H534" s="180">
        <v>5.7</v>
      </c>
      <c r="I534" s="180">
        <v>11.6</v>
      </c>
      <c r="J534" s="180">
        <v>17.7</v>
      </c>
      <c r="K534" s="180">
        <v>17.2</v>
      </c>
      <c r="L534" s="180">
        <v>30.7</v>
      </c>
      <c r="M534" s="181">
        <v>29.3</v>
      </c>
      <c r="N534" s="182">
        <v>6.6</v>
      </c>
      <c r="O534" s="180">
        <v>14.9</v>
      </c>
      <c r="P534" s="180">
        <v>20.100000000000001</v>
      </c>
      <c r="Q534" s="180">
        <v>29.8</v>
      </c>
      <c r="R534" s="180">
        <v>32.5</v>
      </c>
      <c r="S534" s="180">
        <v>31</v>
      </c>
      <c r="T534" s="180">
        <v>33.1</v>
      </c>
      <c r="U534" s="180">
        <v>31.6</v>
      </c>
      <c r="V534" s="180">
        <v>25.8</v>
      </c>
      <c r="W534" s="180">
        <v>27.7</v>
      </c>
      <c r="X534" s="180">
        <v>27</v>
      </c>
      <c r="Y534" s="180">
        <v>35.200000000000003</v>
      </c>
      <c r="Z534" s="180">
        <v>29.3</v>
      </c>
      <c r="AA534" s="180">
        <v>24.9</v>
      </c>
      <c r="AB534" s="180">
        <v>13.9</v>
      </c>
      <c r="AC534" s="180">
        <v>9.1</v>
      </c>
      <c r="AD534" s="180">
        <v>5.7</v>
      </c>
      <c r="AE534" s="180">
        <v>6.7</v>
      </c>
      <c r="AF534" s="180">
        <v>13.5</v>
      </c>
      <c r="AG534" s="183">
        <v>10.4</v>
      </c>
    </row>
    <row r="535" spans="2:33" s="154" customFormat="1" ht="15" customHeight="1" outlineLevel="1">
      <c r="B535" s="173" t="s">
        <v>199</v>
      </c>
      <c r="C535" s="173" t="s">
        <v>457</v>
      </c>
      <c r="D535" s="179">
        <v>-9.8000000000000007</v>
      </c>
      <c r="E535" s="180">
        <v>13.3</v>
      </c>
      <c r="F535" s="180">
        <v>8</v>
      </c>
      <c r="G535" s="180">
        <v>-322.5</v>
      </c>
      <c r="H535" s="180">
        <v>14.4</v>
      </c>
      <c r="I535" s="180">
        <v>45.5</v>
      </c>
      <c r="J535" s="180">
        <v>18.2</v>
      </c>
      <c r="K535" s="180">
        <v>16.7</v>
      </c>
      <c r="L535" s="180">
        <v>21.6</v>
      </c>
      <c r="M535" s="181">
        <v>25.5</v>
      </c>
      <c r="N535" s="182">
        <v>-9.8000000000000007</v>
      </c>
      <c r="O535" s="180">
        <v>-4.7</v>
      </c>
      <c r="P535" s="180">
        <v>-9.5</v>
      </c>
      <c r="Q535" s="180">
        <v>-54.6</v>
      </c>
      <c r="R535" s="180">
        <v>13.3</v>
      </c>
      <c r="S535" s="180">
        <v>46.5</v>
      </c>
      <c r="T535" s="180">
        <v>46.4</v>
      </c>
      <c r="U535" s="180">
        <v>-25.8</v>
      </c>
      <c r="V535" s="180">
        <v>8</v>
      </c>
      <c r="W535" s="180">
        <v>14.3</v>
      </c>
      <c r="X535" s="180">
        <v>22.1</v>
      </c>
      <c r="Y535" s="180">
        <v>540</v>
      </c>
      <c r="Z535" s="180">
        <v>-322.5</v>
      </c>
      <c r="AA535" s="180">
        <v>11.8</v>
      </c>
      <c r="AB535" s="180">
        <v>15.7</v>
      </c>
      <c r="AC535" s="180">
        <v>33.200000000000003</v>
      </c>
      <c r="AD535" s="180">
        <v>14.4</v>
      </c>
      <c r="AE535" s="180">
        <v>39.4</v>
      </c>
      <c r="AF535" s="180">
        <v>58.5</v>
      </c>
      <c r="AG535" s="183">
        <v>-266.10000000000002</v>
      </c>
    </row>
    <row r="536" spans="2:33" s="154" customFormat="1" ht="15" customHeight="1" outlineLevel="1" thickBot="1">
      <c r="B536" s="184" t="s">
        <v>199</v>
      </c>
      <c r="C536" s="184" t="s">
        <v>458</v>
      </c>
      <c r="D536" s="185">
        <v>523346</v>
      </c>
      <c r="E536" s="186">
        <v>581734</v>
      </c>
      <c r="F536" s="186">
        <v>613101</v>
      </c>
      <c r="G536" s="186">
        <v>560997</v>
      </c>
      <c r="H536" s="186">
        <v>798706</v>
      </c>
      <c r="I536" s="186">
        <v>693118</v>
      </c>
      <c r="J536" s="186">
        <v>634475</v>
      </c>
      <c r="K536" s="186">
        <v>857485</v>
      </c>
      <c r="L536" s="186">
        <v>891395</v>
      </c>
      <c r="M536" s="187">
        <v>900957</v>
      </c>
      <c r="N536" s="188"/>
      <c r="O536" s="186"/>
      <c r="P536" s="186"/>
      <c r="Q536" s="186">
        <v>523346</v>
      </c>
      <c r="R536" s="186">
        <v>581734</v>
      </c>
      <c r="S536" s="186"/>
      <c r="T536" s="186"/>
      <c r="U536" s="186"/>
      <c r="V536" s="186"/>
      <c r="W536" s="186">
        <v>613101</v>
      </c>
      <c r="X536" s="186"/>
      <c r="Y536" s="186"/>
      <c r="Z536" s="186"/>
      <c r="AA536" s="186"/>
      <c r="AB536" s="186">
        <v>560997</v>
      </c>
      <c r="AC536" s="186"/>
      <c r="AD536" s="186"/>
      <c r="AE536" s="186"/>
      <c r="AF536" s="186"/>
      <c r="AG536" s="189">
        <v>798706</v>
      </c>
    </row>
    <row r="537" spans="2:33" s="154" customFormat="1" ht="15" customHeight="1" outlineLevel="1">
      <c r="B537" s="190" t="s">
        <v>200</v>
      </c>
      <c r="C537" s="190" t="s">
        <v>459</v>
      </c>
      <c r="D537" s="203">
        <v>26.7</v>
      </c>
      <c r="E537" s="192">
        <v>36.4</v>
      </c>
      <c r="F537" s="192">
        <v>48.5</v>
      </c>
      <c r="G537" s="192">
        <v>54.8</v>
      </c>
      <c r="H537" s="192">
        <v>64.400000000000006</v>
      </c>
      <c r="I537" s="192">
        <v>70.5</v>
      </c>
      <c r="J537" s="192">
        <v>73.3</v>
      </c>
      <c r="K537" s="192">
        <v>74.599999999999994</v>
      </c>
      <c r="L537" s="192">
        <v>80.5</v>
      </c>
      <c r="M537" s="193">
        <v>81.2</v>
      </c>
      <c r="N537" s="194">
        <v>26.7</v>
      </c>
      <c r="O537" s="192">
        <v>30</v>
      </c>
      <c r="P537" s="192">
        <v>31.9</v>
      </c>
      <c r="Q537" s="192">
        <v>33.4</v>
      </c>
      <c r="R537" s="192">
        <v>36.4</v>
      </c>
      <c r="S537" s="192">
        <v>38.799999999999997</v>
      </c>
      <c r="T537" s="192">
        <v>40.9</v>
      </c>
      <c r="U537" s="192">
        <v>44.7</v>
      </c>
      <c r="V537" s="192">
        <v>48.5</v>
      </c>
      <c r="W537" s="192">
        <v>50.1</v>
      </c>
      <c r="X537" s="192">
        <v>50.7</v>
      </c>
      <c r="Y537" s="192">
        <v>53</v>
      </c>
      <c r="Z537" s="192">
        <v>54.8</v>
      </c>
      <c r="AA537" s="192">
        <v>54.5</v>
      </c>
      <c r="AB537" s="192">
        <v>60.6</v>
      </c>
      <c r="AC537" s="192">
        <v>62.6</v>
      </c>
      <c r="AD537" s="192">
        <v>64.400000000000006</v>
      </c>
      <c r="AE537" s="192">
        <v>67</v>
      </c>
      <c r="AF537" s="192">
        <v>68.400000000000006</v>
      </c>
      <c r="AG537" s="195">
        <v>69.3</v>
      </c>
    </row>
    <row r="538" spans="2:33" s="154" customFormat="1" ht="15" customHeight="1" outlineLevel="1">
      <c r="B538" s="196" t="s">
        <v>200</v>
      </c>
      <c r="C538" s="196" t="s">
        <v>460</v>
      </c>
      <c r="D538" s="179">
        <v>5.4</v>
      </c>
      <c r="E538" s="180">
        <v>0</v>
      </c>
      <c r="F538" s="180">
        <v>0</v>
      </c>
      <c r="G538" s="180">
        <v>0</v>
      </c>
      <c r="H538" s="180">
        <v>34.4</v>
      </c>
      <c r="I538" s="180">
        <v>45.3</v>
      </c>
      <c r="J538" s="180">
        <v>52.6</v>
      </c>
      <c r="K538" s="180">
        <v>71.7</v>
      </c>
      <c r="L538" s="180">
        <v>110.6</v>
      </c>
      <c r="M538" s="181">
        <v>120.3</v>
      </c>
      <c r="N538" s="182">
        <v>5.4</v>
      </c>
      <c r="O538" s="180">
        <v>0</v>
      </c>
      <c r="P538" s="180">
        <v>0</v>
      </c>
      <c r="Q538" s="180">
        <v>0</v>
      </c>
      <c r="R538" s="180">
        <v>0</v>
      </c>
      <c r="S538" s="180">
        <v>0</v>
      </c>
      <c r="T538" s="180">
        <v>0</v>
      </c>
      <c r="U538" s="180">
        <v>0</v>
      </c>
      <c r="V538" s="180">
        <v>0</v>
      </c>
      <c r="W538" s="180">
        <v>0</v>
      </c>
      <c r="X538" s="180">
        <v>0</v>
      </c>
      <c r="Y538" s="180">
        <v>0</v>
      </c>
      <c r="Z538" s="180">
        <v>0</v>
      </c>
      <c r="AA538" s="180">
        <v>3.8</v>
      </c>
      <c r="AB538" s="180">
        <v>15.9</v>
      </c>
      <c r="AC538" s="180">
        <v>24.8</v>
      </c>
      <c r="AD538" s="180">
        <v>34.4</v>
      </c>
      <c r="AE538" s="180">
        <v>40.299999999999997</v>
      </c>
      <c r="AF538" s="180">
        <v>41.8</v>
      </c>
      <c r="AG538" s="183">
        <v>44.2</v>
      </c>
    </row>
    <row r="539" spans="2:33" s="154" customFormat="1" ht="15" customHeight="1" outlineLevel="1">
      <c r="B539" s="196" t="s">
        <v>200</v>
      </c>
      <c r="C539" s="196" t="s">
        <v>461</v>
      </c>
      <c r="D539" s="179">
        <v>8.1999999999999993</v>
      </c>
      <c r="E539" s="180">
        <v>17.399999999999999</v>
      </c>
      <c r="F539" s="180">
        <v>23.2</v>
      </c>
      <c r="G539" s="180">
        <v>25.2</v>
      </c>
      <c r="H539" s="180">
        <v>51.9</v>
      </c>
      <c r="I539" s="180">
        <v>64.2</v>
      </c>
      <c r="J539" s="180">
        <v>75.5</v>
      </c>
      <c r="K539" s="180">
        <v>111.5</v>
      </c>
      <c r="L539" s="180">
        <v>161.6</v>
      </c>
      <c r="M539" s="181">
        <v>171.2</v>
      </c>
      <c r="N539" s="182">
        <v>8.1999999999999993</v>
      </c>
      <c r="O539" s="180">
        <v>10.4</v>
      </c>
      <c r="P539" s="180">
        <v>12.4</v>
      </c>
      <c r="Q539" s="180">
        <v>13.4</v>
      </c>
      <c r="R539" s="180">
        <v>17.399999999999999</v>
      </c>
      <c r="S539" s="180">
        <v>20.3</v>
      </c>
      <c r="T539" s="180">
        <v>21.7</v>
      </c>
      <c r="U539" s="180">
        <v>23.9</v>
      </c>
      <c r="V539" s="180">
        <v>23.2</v>
      </c>
      <c r="W539" s="180">
        <v>22.3</v>
      </c>
      <c r="X539" s="180">
        <v>18.3</v>
      </c>
      <c r="Y539" s="180">
        <v>21.2</v>
      </c>
      <c r="Z539" s="180">
        <v>25.2</v>
      </c>
      <c r="AA539" s="180">
        <v>24.2</v>
      </c>
      <c r="AB539" s="180">
        <v>41.9</v>
      </c>
      <c r="AC539" s="180">
        <v>44.7</v>
      </c>
      <c r="AD539" s="180">
        <v>51.9</v>
      </c>
      <c r="AE539" s="180">
        <v>59.4</v>
      </c>
      <c r="AF539" s="180">
        <v>60.7</v>
      </c>
      <c r="AG539" s="183">
        <v>63.6</v>
      </c>
    </row>
    <row r="540" spans="2:33" s="154" customFormat="1" ht="15" customHeight="1" outlineLevel="1">
      <c r="B540" s="196" t="s">
        <v>200</v>
      </c>
      <c r="C540" s="196" t="s">
        <v>462</v>
      </c>
      <c r="D540" s="179">
        <v>6.8</v>
      </c>
      <c r="E540" s="180">
        <v>11.7</v>
      </c>
      <c r="F540" s="180">
        <v>11.6</v>
      </c>
      <c r="G540" s="180">
        <v>17.8</v>
      </c>
      <c r="H540" s="180">
        <v>29.1</v>
      </c>
      <c r="I540" s="180">
        <v>28.2</v>
      </c>
      <c r="J540" s="180">
        <v>64.900000000000006</v>
      </c>
      <c r="K540" s="180">
        <v>79.3</v>
      </c>
      <c r="L540" s="180">
        <v>115.3</v>
      </c>
      <c r="M540" s="181">
        <v>127.6</v>
      </c>
      <c r="N540" s="182">
        <v>6.8</v>
      </c>
      <c r="O540" s="180">
        <v>3.8</v>
      </c>
      <c r="P540" s="180">
        <v>5.6</v>
      </c>
      <c r="Q540" s="180">
        <v>7.5</v>
      </c>
      <c r="R540" s="180">
        <v>11.7</v>
      </c>
      <c r="S540" s="180">
        <v>11.5</v>
      </c>
      <c r="T540" s="180">
        <v>13.4</v>
      </c>
      <c r="U540" s="180">
        <v>12.5</v>
      </c>
      <c r="V540" s="180">
        <v>11.6</v>
      </c>
      <c r="W540" s="180">
        <v>14.5</v>
      </c>
      <c r="X540" s="180">
        <v>15.9</v>
      </c>
      <c r="Y540" s="180">
        <v>20.2</v>
      </c>
      <c r="Z540" s="180">
        <v>17.8</v>
      </c>
      <c r="AA540" s="180">
        <v>21.8</v>
      </c>
      <c r="AB540" s="180">
        <v>25.6</v>
      </c>
      <c r="AC540" s="180">
        <v>30.4</v>
      </c>
      <c r="AD540" s="180">
        <v>29.1</v>
      </c>
      <c r="AE540" s="180">
        <v>27</v>
      </c>
      <c r="AF540" s="180">
        <v>38.4</v>
      </c>
      <c r="AG540" s="183">
        <v>35.1</v>
      </c>
    </row>
    <row r="541" spans="2:33" s="154" customFormat="1" ht="15" customHeight="1" outlineLevel="1">
      <c r="B541" s="196" t="s">
        <v>200</v>
      </c>
      <c r="C541" s="196" t="s">
        <v>463</v>
      </c>
      <c r="D541" s="179">
        <v>82.9</v>
      </c>
      <c r="E541" s="180">
        <v>66.900000000000006</v>
      </c>
      <c r="F541" s="180">
        <v>0</v>
      </c>
      <c r="G541" s="180">
        <v>70.599999999999994</v>
      </c>
      <c r="H541" s="180">
        <v>56.1</v>
      </c>
      <c r="I541" s="180">
        <v>43.9</v>
      </c>
      <c r="J541" s="180">
        <v>86</v>
      </c>
      <c r="K541" s="180">
        <v>71.099999999999994</v>
      </c>
      <c r="L541" s="180">
        <v>71.3</v>
      </c>
      <c r="M541" s="181">
        <v>74.5</v>
      </c>
      <c r="N541" s="182">
        <v>82.9</v>
      </c>
      <c r="O541" s="180">
        <v>36.9</v>
      </c>
      <c r="P541" s="180">
        <v>45.2</v>
      </c>
      <c r="Q541" s="180">
        <v>55.7</v>
      </c>
      <c r="R541" s="180">
        <v>66.900000000000006</v>
      </c>
      <c r="S541" s="180">
        <v>56.5</v>
      </c>
      <c r="T541" s="180">
        <v>61.5</v>
      </c>
      <c r="U541" s="180">
        <v>52.5</v>
      </c>
      <c r="V541" s="180">
        <v>0</v>
      </c>
      <c r="W541" s="180">
        <v>64.8</v>
      </c>
      <c r="X541" s="180">
        <v>86.7</v>
      </c>
      <c r="Y541" s="180">
        <v>95.6</v>
      </c>
      <c r="Z541" s="180">
        <v>70.599999999999994</v>
      </c>
      <c r="AA541" s="180">
        <v>90.2</v>
      </c>
      <c r="AB541" s="180">
        <v>61.1</v>
      </c>
      <c r="AC541" s="180">
        <v>0</v>
      </c>
      <c r="AD541" s="180">
        <v>56.1</v>
      </c>
      <c r="AE541" s="180">
        <v>45.5</v>
      </c>
      <c r="AF541" s="180">
        <v>63.4</v>
      </c>
      <c r="AG541" s="183">
        <v>55.2</v>
      </c>
    </row>
    <row r="542" spans="2:33" s="154" customFormat="1" ht="15" customHeight="1" outlineLevel="1">
      <c r="B542" s="196" t="s">
        <v>200</v>
      </c>
      <c r="C542" s="196" t="s">
        <v>464</v>
      </c>
      <c r="D542" s="179">
        <v>53.7</v>
      </c>
      <c r="E542" s="180">
        <v>73.3</v>
      </c>
      <c r="F542" s="180">
        <v>0</v>
      </c>
      <c r="G542" s="180">
        <v>75.900000000000006</v>
      </c>
      <c r="H542" s="180">
        <v>114.3</v>
      </c>
      <c r="I542" s="180">
        <v>99.2</v>
      </c>
      <c r="J542" s="180">
        <v>160.6</v>
      </c>
      <c r="K542" s="180">
        <v>153.19999999999999</v>
      </c>
      <c r="L542" s="180">
        <v>143.1</v>
      </c>
      <c r="M542" s="181">
        <v>158.19999999999999</v>
      </c>
      <c r="N542" s="182">
        <v>53.7</v>
      </c>
      <c r="O542" s="180">
        <v>31.5</v>
      </c>
      <c r="P542" s="180">
        <v>45.4</v>
      </c>
      <c r="Q542" s="180">
        <v>58.6</v>
      </c>
      <c r="R542" s="180">
        <v>73.3</v>
      </c>
      <c r="S542" s="180">
        <v>74.3</v>
      </c>
      <c r="T542" s="180">
        <v>82.6</v>
      </c>
      <c r="U542" s="180">
        <v>66.099999999999994</v>
      </c>
      <c r="V542" s="180">
        <v>0</v>
      </c>
      <c r="W542" s="180">
        <v>78.599999999999994</v>
      </c>
      <c r="X542" s="180">
        <v>86.4</v>
      </c>
      <c r="Y542" s="180">
        <v>99.4</v>
      </c>
      <c r="Z542" s="180">
        <v>75.900000000000006</v>
      </c>
      <c r="AA542" s="180">
        <v>101.6</v>
      </c>
      <c r="AB542" s="180">
        <v>108.7</v>
      </c>
      <c r="AC542" s="180">
        <v>0</v>
      </c>
      <c r="AD542" s="180">
        <v>114.3</v>
      </c>
      <c r="AE542" s="180">
        <v>108.2</v>
      </c>
      <c r="AF542" s="180">
        <v>203.8</v>
      </c>
      <c r="AG542" s="183">
        <v>147.80000000000001</v>
      </c>
    </row>
    <row r="543" spans="2:33" s="154" customFormat="1" ht="15" customHeight="1" outlineLevel="1">
      <c r="B543" s="196" t="s">
        <v>200</v>
      </c>
      <c r="C543" s="196" t="s">
        <v>465</v>
      </c>
      <c r="D543" s="179">
        <v>16.5</v>
      </c>
      <c r="E543" s="180">
        <v>21</v>
      </c>
      <c r="F543" s="180">
        <v>0</v>
      </c>
      <c r="G543" s="180">
        <v>21.3</v>
      </c>
      <c r="H543" s="180">
        <v>29.7</v>
      </c>
      <c r="I543" s="180">
        <v>27.3</v>
      </c>
      <c r="J543" s="180">
        <v>61.8</v>
      </c>
      <c r="K543" s="180">
        <v>68.2</v>
      </c>
      <c r="L543" s="180">
        <v>97.7</v>
      </c>
      <c r="M543" s="181">
        <v>111.4</v>
      </c>
      <c r="N543" s="182">
        <v>16.5</v>
      </c>
      <c r="O543" s="180">
        <v>8.1999999999999993</v>
      </c>
      <c r="P543" s="180">
        <v>11.4</v>
      </c>
      <c r="Q543" s="180">
        <v>14.7</v>
      </c>
      <c r="R543" s="180">
        <v>21</v>
      </c>
      <c r="S543" s="180">
        <v>19.5</v>
      </c>
      <c r="T543" s="180">
        <v>21.6</v>
      </c>
      <c r="U543" s="180">
        <v>18</v>
      </c>
      <c r="V543" s="180">
        <v>0</v>
      </c>
      <c r="W543" s="180">
        <v>19.7</v>
      </c>
      <c r="X543" s="180">
        <v>21.2</v>
      </c>
      <c r="Y543" s="180">
        <v>24.6</v>
      </c>
      <c r="Z543" s="180">
        <v>21.3</v>
      </c>
      <c r="AA543" s="180">
        <v>26.1</v>
      </c>
      <c r="AB543" s="180">
        <v>27.7</v>
      </c>
      <c r="AC543" s="180">
        <v>0</v>
      </c>
      <c r="AD543" s="180">
        <v>29.7</v>
      </c>
      <c r="AE543" s="180">
        <v>26.4</v>
      </c>
      <c r="AF543" s="180">
        <v>37.299999999999997</v>
      </c>
      <c r="AG543" s="183">
        <v>33.9</v>
      </c>
    </row>
    <row r="544" spans="2:33" s="154" customFormat="1" ht="15" customHeight="1" outlineLevel="1">
      <c r="B544" s="196" t="s">
        <v>200</v>
      </c>
      <c r="C544" s="196" t="s">
        <v>466</v>
      </c>
      <c r="D544" s="179">
        <v>61.4</v>
      </c>
      <c r="E544" s="180">
        <v>234.6</v>
      </c>
      <c r="F544" s="180">
        <v>0</v>
      </c>
      <c r="G544" s="180">
        <v>142.6</v>
      </c>
      <c r="H544" s="180">
        <v>50.2</v>
      </c>
      <c r="I544" s="180">
        <v>39.9</v>
      </c>
      <c r="J544" s="180">
        <v>83.9</v>
      </c>
      <c r="K544" s="180">
        <v>71.8</v>
      </c>
      <c r="L544" s="180">
        <v>78</v>
      </c>
      <c r="M544" s="181">
        <v>83.9</v>
      </c>
      <c r="N544" s="182">
        <v>61.4</v>
      </c>
      <c r="O544" s="180">
        <v>89.4</v>
      </c>
      <c r="P544" s="180">
        <v>127.4</v>
      </c>
      <c r="Q544" s="180">
        <v>172.1</v>
      </c>
      <c r="R544" s="180">
        <v>234.6</v>
      </c>
      <c r="S544" s="180">
        <v>237.7</v>
      </c>
      <c r="T544" s="180">
        <v>267</v>
      </c>
      <c r="U544" s="180">
        <v>192.5</v>
      </c>
      <c r="V544" s="180">
        <v>0</v>
      </c>
      <c r="W544" s="180">
        <v>155.80000000000001</v>
      </c>
      <c r="X544" s="180">
        <v>169.9</v>
      </c>
      <c r="Y544" s="180">
        <v>184</v>
      </c>
      <c r="Z544" s="180">
        <v>142.6</v>
      </c>
      <c r="AA544" s="180">
        <v>136.9</v>
      </c>
      <c r="AB544" s="180">
        <v>73.8</v>
      </c>
      <c r="AC544" s="180">
        <v>0</v>
      </c>
      <c r="AD544" s="180">
        <v>50.2</v>
      </c>
      <c r="AE544" s="180">
        <v>41</v>
      </c>
      <c r="AF544" s="180">
        <v>57</v>
      </c>
      <c r="AG544" s="183">
        <v>50.5</v>
      </c>
    </row>
    <row r="545" spans="2:33" s="154" customFormat="1" ht="15" customHeight="1" outlineLevel="1">
      <c r="B545" s="196" t="s">
        <v>200</v>
      </c>
      <c r="C545" s="196" t="s">
        <v>467</v>
      </c>
      <c r="D545" s="179">
        <v>-68.7</v>
      </c>
      <c r="E545" s="180">
        <v>107.1</v>
      </c>
      <c r="F545" s="180">
        <v>0</v>
      </c>
      <c r="G545" s="180">
        <v>-1283.8</v>
      </c>
      <c r="H545" s="180">
        <v>126.9</v>
      </c>
      <c r="I545" s="180">
        <v>115.3</v>
      </c>
      <c r="J545" s="180">
        <v>71.3</v>
      </c>
      <c r="K545" s="180">
        <v>79.2</v>
      </c>
      <c r="L545" s="180">
        <v>82.5</v>
      </c>
      <c r="M545" s="181">
        <v>93.5</v>
      </c>
      <c r="N545" s="182">
        <v>-68.7</v>
      </c>
      <c r="O545" s="180">
        <v>-26</v>
      </c>
      <c r="P545" s="180">
        <v>-55.9</v>
      </c>
      <c r="Q545" s="180">
        <v>-256.89999999999998</v>
      </c>
      <c r="R545" s="180">
        <v>107.1</v>
      </c>
      <c r="S545" s="180">
        <v>377.1</v>
      </c>
      <c r="T545" s="180">
        <v>343.4</v>
      </c>
      <c r="U545" s="180">
        <v>-100.4</v>
      </c>
      <c r="V545" s="180">
        <v>0</v>
      </c>
      <c r="W545" s="180">
        <v>89.5</v>
      </c>
      <c r="X545" s="180">
        <v>112.4</v>
      </c>
      <c r="Y545" s="180">
        <v>1582.6</v>
      </c>
      <c r="Z545" s="180">
        <v>-1283.8</v>
      </c>
      <c r="AA545" s="180">
        <v>67.2</v>
      </c>
      <c r="AB545" s="180">
        <v>78.2</v>
      </c>
      <c r="AC545" s="180">
        <v>0</v>
      </c>
      <c r="AD545" s="180">
        <v>126.9</v>
      </c>
      <c r="AE545" s="180">
        <v>259.2</v>
      </c>
      <c r="AF545" s="180">
        <v>134.5</v>
      </c>
      <c r="AG545" s="183">
        <v>-401.1</v>
      </c>
    </row>
    <row r="546" spans="2:33" s="154" customFormat="1" ht="15" customHeight="1" outlineLevel="1">
      <c r="B546" s="196" t="s">
        <v>200</v>
      </c>
      <c r="C546" s="196" t="s">
        <v>468</v>
      </c>
      <c r="D546" s="179">
        <v>1225</v>
      </c>
      <c r="E546" s="180">
        <v>1028.5999999999999</v>
      </c>
      <c r="F546" s="180">
        <v>733.3</v>
      </c>
      <c r="G546" s="180">
        <v>610</v>
      </c>
      <c r="H546" s="180">
        <v>488.9</v>
      </c>
      <c r="I546" s="180">
        <v>500</v>
      </c>
      <c r="J546" s="180">
        <v>325</v>
      </c>
      <c r="K546" s="180">
        <v>171.4</v>
      </c>
      <c r="L546" s="180">
        <v>114.3</v>
      </c>
      <c r="M546" s="181">
        <v>160</v>
      </c>
      <c r="N546" s="182">
        <v>1225</v>
      </c>
      <c r="O546" s="180">
        <v>1300</v>
      </c>
      <c r="P546" s="180">
        <v>1200</v>
      </c>
      <c r="Q546" s="180">
        <v>1240</v>
      </c>
      <c r="R546" s="180">
        <v>1028.5999999999999</v>
      </c>
      <c r="S546" s="180">
        <v>925</v>
      </c>
      <c r="T546" s="180">
        <v>962.5</v>
      </c>
      <c r="U546" s="180">
        <v>810</v>
      </c>
      <c r="V546" s="180">
        <v>733.3</v>
      </c>
      <c r="W546" s="180">
        <v>844.4</v>
      </c>
      <c r="X546" s="180">
        <v>842.9</v>
      </c>
      <c r="Y546" s="180">
        <v>677.8</v>
      </c>
      <c r="Z546" s="180">
        <v>610</v>
      </c>
      <c r="AA546" s="180">
        <v>618.20000000000005</v>
      </c>
      <c r="AB546" s="180">
        <v>561.5</v>
      </c>
      <c r="AC546" s="180">
        <v>570</v>
      </c>
      <c r="AD546" s="180">
        <v>488.9</v>
      </c>
      <c r="AE546" s="180">
        <v>500</v>
      </c>
      <c r="AF546" s="180">
        <v>650</v>
      </c>
      <c r="AG546" s="183">
        <v>540</v>
      </c>
    </row>
    <row r="547" spans="2:33" s="154" customFormat="1" ht="15" customHeight="1" outlineLevel="1">
      <c r="B547" s="196" t="s">
        <v>200</v>
      </c>
      <c r="C547" s="196" t="s">
        <v>469</v>
      </c>
      <c r="D547" s="179">
        <v>85.7</v>
      </c>
      <c r="E547" s="180">
        <v>86.7</v>
      </c>
      <c r="F547" s="180">
        <v>83.3</v>
      </c>
      <c r="G547" s="180">
        <v>72.2</v>
      </c>
      <c r="H547" s="180">
        <v>73.7</v>
      </c>
      <c r="I547" s="180">
        <v>73.3</v>
      </c>
      <c r="J547" s="180">
        <v>78.599999999999994</v>
      </c>
      <c r="K547" s="180">
        <v>78.599999999999994</v>
      </c>
      <c r="L547" s="180">
        <v>85.7</v>
      </c>
      <c r="M547" s="181">
        <v>76.900000000000006</v>
      </c>
      <c r="N547" s="182">
        <v>85.7</v>
      </c>
      <c r="O547" s="180">
        <v>85.7</v>
      </c>
      <c r="P547" s="180">
        <v>86.7</v>
      </c>
      <c r="Q547" s="180">
        <v>86.7</v>
      </c>
      <c r="R547" s="180">
        <v>86.7</v>
      </c>
      <c r="S547" s="180">
        <v>93.3</v>
      </c>
      <c r="T547" s="180">
        <v>93.8</v>
      </c>
      <c r="U547" s="180">
        <v>88.9</v>
      </c>
      <c r="V547" s="180">
        <v>83.3</v>
      </c>
      <c r="W547" s="180">
        <v>88.2</v>
      </c>
      <c r="X547" s="180">
        <v>76.5</v>
      </c>
      <c r="Y547" s="180">
        <v>72.2</v>
      </c>
      <c r="Z547" s="180">
        <v>72.2</v>
      </c>
      <c r="AA547" s="180">
        <v>75</v>
      </c>
      <c r="AB547" s="180">
        <v>83.3</v>
      </c>
      <c r="AC547" s="180">
        <v>73.7</v>
      </c>
      <c r="AD547" s="180">
        <v>73.7</v>
      </c>
      <c r="AE547" s="180">
        <v>72.2</v>
      </c>
      <c r="AF547" s="180">
        <v>66.7</v>
      </c>
      <c r="AG547" s="183">
        <v>70.599999999999994</v>
      </c>
    </row>
    <row r="548" spans="2:33" s="154" customFormat="1" ht="15" customHeight="1" outlineLevel="1">
      <c r="B548" s="196" t="s">
        <v>200</v>
      </c>
      <c r="C548" s="196" t="s">
        <v>470</v>
      </c>
      <c r="D548" s="179">
        <v>58.6</v>
      </c>
      <c r="E548" s="180">
        <v>67</v>
      </c>
      <c r="F548" s="180">
        <v>65.3</v>
      </c>
      <c r="G548" s="180">
        <v>65.2</v>
      </c>
      <c r="H548" s="180">
        <v>76.5</v>
      </c>
      <c r="I548" s="180">
        <v>81.7</v>
      </c>
      <c r="J548" s="180">
        <v>83.3</v>
      </c>
      <c r="K548" s="180">
        <v>90.2</v>
      </c>
      <c r="L548" s="180">
        <v>95.5</v>
      </c>
      <c r="M548" s="181">
        <v>94</v>
      </c>
      <c r="N548" s="182">
        <v>58.6</v>
      </c>
      <c r="O548" s="180">
        <v>60.2</v>
      </c>
      <c r="P548" s="180">
        <v>61.2</v>
      </c>
      <c r="Q548" s="180">
        <v>62.4</v>
      </c>
      <c r="R548" s="180">
        <v>67</v>
      </c>
      <c r="S548" s="180">
        <v>66.8</v>
      </c>
      <c r="T548" s="180">
        <v>66.8</v>
      </c>
      <c r="U548" s="180">
        <v>66.2</v>
      </c>
      <c r="V548" s="180">
        <v>65.3</v>
      </c>
      <c r="W548" s="180">
        <v>65</v>
      </c>
      <c r="X548" s="180">
        <v>60.9</v>
      </c>
      <c r="Y548" s="180">
        <v>63.3</v>
      </c>
      <c r="Z548" s="180">
        <v>65.2</v>
      </c>
      <c r="AA548" s="180">
        <v>65.099999999999994</v>
      </c>
      <c r="AB548" s="180">
        <v>74</v>
      </c>
      <c r="AC548" s="180">
        <v>74.3</v>
      </c>
      <c r="AD548" s="180">
        <v>76.5</v>
      </c>
      <c r="AE548" s="180">
        <v>79.599999999999994</v>
      </c>
      <c r="AF548" s="180">
        <v>79.8</v>
      </c>
      <c r="AG548" s="183">
        <v>81.2</v>
      </c>
    </row>
    <row r="549" spans="2:33" s="154" customFormat="1" ht="15" customHeight="1" outlineLevel="1">
      <c r="B549" s="196" t="s">
        <v>200</v>
      </c>
      <c r="C549" s="196" t="s">
        <v>471</v>
      </c>
      <c r="D549" s="179">
        <v>18.2</v>
      </c>
      <c r="E549" s="180">
        <v>30.1</v>
      </c>
      <c r="F549" s="180">
        <v>31.2</v>
      </c>
      <c r="G549" s="180">
        <v>26.6</v>
      </c>
      <c r="H549" s="180">
        <v>50.9</v>
      </c>
      <c r="I549" s="180">
        <v>61.2</v>
      </c>
      <c r="J549" s="180">
        <v>72.5</v>
      </c>
      <c r="K549" s="180">
        <v>95.3</v>
      </c>
      <c r="L549" s="180">
        <v>130.4</v>
      </c>
      <c r="M549" s="181">
        <v>138.5</v>
      </c>
      <c r="N549" s="182">
        <v>18.2</v>
      </c>
      <c r="O549" s="180">
        <v>20.9</v>
      </c>
      <c r="P549" s="180">
        <v>23.7</v>
      </c>
      <c r="Q549" s="180">
        <v>25.3</v>
      </c>
      <c r="R549" s="180">
        <v>30.1</v>
      </c>
      <c r="S549" s="180">
        <v>32.299999999999997</v>
      </c>
      <c r="T549" s="180">
        <v>33.799999999999997</v>
      </c>
      <c r="U549" s="180">
        <v>34.4</v>
      </c>
      <c r="V549" s="180">
        <v>31.2</v>
      </c>
      <c r="W549" s="180">
        <v>28.4</v>
      </c>
      <c r="X549" s="180">
        <v>22.4</v>
      </c>
      <c r="Y549" s="180">
        <v>23.9</v>
      </c>
      <c r="Z549" s="180">
        <v>26.6</v>
      </c>
      <c r="AA549" s="180">
        <v>26.7</v>
      </c>
      <c r="AB549" s="180">
        <v>43.1</v>
      </c>
      <c r="AC549" s="180">
        <v>44.3</v>
      </c>
      <c r="AD549" s="180">
        <v>50.9</v>
      </c>
      <c r="AE549" s="180">
        <v>57.8</v>
      </c>
      <c r="AF549" s="180">
        <v>57.6</v>
      </c>
      <c r="AG549" s="183">
        <v>59.8</v>
      </c>
    </row>
    <row r="550" spans="2:33" s="154" customFormat="1" ht="15" customHeight="1" outlineLevel="1">
      <c r="B550" s="196" t="s">
        <v>200</v>
      </c>
      <c r="C550" s="196" t="s">
        <v>472</v>
      </c>
      <c r="D550" s="179">
        <v>20.3</v>
      </c>
      <c r="E550" s="180">
        <v>0</v>
      </c>
      <c r="F550" s="180">
        <v>0</v>
      </c>
      <c r="G550" s="180">
        <v>0</v>
      </c>
      <c r="H550" s="180">
        <v>53.9</v>
      </c>
      <c r="I550" s="180">
        <v>64</v>
      </c>
      <c r="J550" s="180">
        <v>71.400000000000006</v>
      </c>
      <c r="K550" s="180">
        <v>97</v>
      </c>
      <c r="L550" s="180">
        <v>137.80000000000001</v>
      </c>
      <c r="M550" s="181">
        <v>148.80000000000001</v>
      </c>
      <c r="N550" s="182">
        <v>20.3</v>
      </c>
      <c r="O550" s="180">
        <v>0</v>
      </c>
      <c r="P550" s="180">
        <v>0</v>
      </c>
      <c r="Q550" s="180">
        <v>0</v>
      </c>
      <c r="R550" s="180">
        <v>0</v>
      </c>
      <c r="S550" s="180">
        <v>0</v>
      </c>
      <c r="T550" s="180">
        <v>0</v>
      </c>
      <c r="U550" s="180">
        <v>0</v>
      </c>
      <c r="V550" s="180">
        <v>0</v>
      </c>
      <c r="W550" s="180">
        <v>0</v>
      </c>
      <c r="X550" s="180">
        <v>0</v>
      </c>
      <c r="Y550" s="180">
        <v>0</v>
      </c>
      <c r="Z550" s="180">
        <v>0</v>
      </c>
      <c r="AA550" s="180">
        <v>7.1</v>
      </c>
      <c r="AB550" s="180">
        <v>26</v>
      </c>
      <c r="AC550" s="180">
        <v>40</v>
      </c>
      <c r="AD550" s="180">
        <v>53.9</v>
      </c>
      <c r="AE550" s="180">
        <v>60.3</v>
      </c>
      <c r="AF550" s="180">
        <v>60.3</v>
      </c>
      <c r="AG550" s="183">
        <v>64</v>
      </c>
    </row>
    <row r="551" spans="2:33" s="154" customFormat="1" ht="15" customHeight="1" outlineLevel="1">
      <c r="B551" s="196" t="s">
        <v>200</v>
      </c>
      <c r="C551" s="196" t="s">
        <v>473</v>
      </c>
      <c r="D551" s="179">
        <v>20.3</v>
      </c>
      <c r="E551" s="180">
        <v>0</v>
      </c>
      <c r="F551" s="180">
        <v>0</v>
      </c>
      <c r="G551" s="180">
        <v>0</v>
      </c>
      <c r="H551" s="180">
        <v>53.9</v>
      </c>
      <c r="I551" s="180">
        <v>64</v>
      </c>
      <c r="J551" s="180">
        <v>71.400000000000006</v>
      </c>
      <c r="K551" s="180">
        <v>97</v>
      </c>
      <c r="L551" s="180">
        <v>137.80000000000001</v>
      </c>
      <c r="M551" s="181">
        <v>148.80000000000001</v>
      </c>
      <c r="N551" s="182">
        <v>20.3</v>
      </c>
      <c r="O551" s="180">
        <v>0</v>
      </c>
      <c r="P551" s="180">
        <v>0</v>
      </c>
      <c r="Q551" s="180">
        <v>0</v>
      </c>
      <c r="R551" s="180">
        <v>0</v>
      </c>
      <c r="S551" s="180">
        <v>0</v>
      </c>
      <c r="T551" s="180">
        <v>0</v>
      </c>
      <c r="U551" s="180">
        <v>0</v>
      </c>
      <c r="V551" s="180">
        <v>0</v>
      </c>
      <c r="W551" s="180">
        <v>0</v>
      </c>
      <c r="X551" s="180">
        <v>0</v>
      </c>
      <c r="Y551" s="180">
        <v>0</v>
      </c>
      <c r="Z551" s="180">
        <v>0</v>
      </c>
      <c r="AA551" s="180">
        <v>7.1</v>
      </c>
      <c r="AB551" s="180">
        <v>26</v>
      </c>
      <c r="AC551" s="180">
        <v>40</v>
      </c>
      <c r="AD551" s="180">
        <v>53.9</v>
      </c>
      <c r="AE551" s="180">
        <v>60.3</v>
      </c>
      <c r="AF551" s="180">
        <v>60.3</v>
      </c>
      <c r="AG551" s="183">
        <v>64</v>
      </c>
    </row>
    <row r="552" spans="2:33" s="154" customFormat="1" ht="15" customHeight="1" outlineLevel="1">
      <c r="B552" s="196" t="s">
        <v>200</v>
      </c>
      <c r="C552" s="196" t="s">
        <v>474</v>
      </c>
      <c r="D552" s="179">
        <v>64.900000000000006</v>
      </c>
      <c r="E552" s="180">
        <v>0</v>
      </c>
      <c r="F552" s="180">
        <v>0</v>
      </c>
      <c r="G552" s="180">
        <v>0</v>
      </c>
      <c r="H552" s="180">
        <v>204.2</v>
      </c>
      <c r="I552" s="180">
        <v>234.8</v>
      </c>
      <c r="J552" s="180">
        <v>186</v>
      </c>
      <c r="K552" s="180">
        <v>215.7</v>
      </c>
      <c r="L552" s="180">
        <v>201.3</v>
      </c>
      <c r="M552" s="181">
        <v>211.6</v>
      </c>
      <c r="N552" s="182">
        <v>64.900000000000006</v>
      </c>
      <c r="O552" s="180">
        <v>0</v>
      </c>
      <c r="P552" s="180">
        <v>0</v>
      </c>
      <c r="Q552" s="180">
        <v>0</v>
      </c>
      <c r="R552" s="180">
        <v>0</v>
      </c>
      <c r="S552" s="180">
        <v>0</v>
      </c>
      <c r="T552" s="180">
        <v>0</v>
      </c>
      <c r="U552" s="180">
        <v>0</v>
      </c>
      <c r="V552" s="180">
        <v>0</v>
      </c>
      <c r="W552" s="180">
        <v>0</v>
      </c>
      <c r="X552" s="180">
        <v>0</v>
      </c>
      <c r="Y552" s="180">
        <v>0</v>
      </c>
      <c r="Z552" s="180">
        <v>0</v>
      </c>
      <c r="AA552" s="180">
        <v>26.9</v>
      </c>
      <c r="AB552" s="180">
        <v>103.1</v>
      </c>
      <c r="AC552" s="180">
        <v>164.6</v>
      </c>
      <c r="AD552" s="180">
        <v>204.2</v>
      </c>
      <c r="AE552" s="180">
        <v>245.5</v>
      </c>
      <c r="AF552" s="180">
        <v>333.8</v>
      </c>
      <c r="AG552" s="183">
        <v>276.8</v>
      </c>
    </row>
    <row r="553" spans="2:33" s="154" customFormat="1" ht="15" customHeight="1" outlineLevel="1" thickBot="1">
      <c r="B553" s="204" t="s">
        <v>200</v>
      </c>
      <c r="C553" s="204" t="s">
        <v>475</v>
      </c>
      <c r="D553" s="185">
        <v>264.7</v>
      </c>
      <c r="E553" s="186">
        <v>263.2</v>
      </c>
      <c r="F553" s="186">
        <v>250</v>
      </c>
      <c r="G553" s="186">
        <v>272.7</v>
      </c>
      <c r="H553" s="186">
        <v>238.5</v>
      </c>
      <c r="I553" s="186">
        <v>264.3</v>
      </c>
      <c r="J553" s="186">
        <v>203.4</v>
      </c>
      <c r="K553" s="186">
        <v>186.7</v>
      </c>
      <c r="L553" s="186">
        <v>128.6</v>
      </c>
      <c r="M553" s="187">
        <v>119.2</v>
      </c>
      <c r="N553" s="188">
        <v>264.7</v>
      </c>
      <c r="O553" s="186">
        <v>264.7</v>
      </c>
      <c r="P553" s="186">
        <v>264.7</v>
      </c>
      <c r="Q553" s="186">
        <v>270.60000000000002</v>
      </c>
      <c r="R553" s="186">
        <v>263.2</v>
      </c>
      <c r="S553" s="186">
        <v>257.89999999999998</v>
      </c>
      <c r="T553" s="186">
        <v>263.2</v>
      </c>
      <c r="U553" s="186">
        <v>240</v>
      </c>
      <c r="V553" s="186">
        <v>250</v>
      </c>
      <c r="W553" s="186">
        <v>261.89999999999998</v>
      </c>
      <c r="X553" s="186">
        <v>281</v>
      </c>
      <c r="Y553" s="186">
        <v>276.2</v>
      </c>
      <c r="Z553" s="186">
        <v>272.7</v>
      </c>
      <c r="AA553" s="186">
        <v>281.8</v>
      </c>
      <c r="AB553" s="186">
        <v>250</v>
      </c>
      <c r="AC553" s="186">
        <v>248</v>
      </c>
      <c r="AD553" s="186">
        <v>238.5</v>
      </c>
      <c r="AE553" s="186">
        <v>248.1</v>
      </c>
      <c r="AF553" s="186">
        <v>374.1</v>
      </c>
      <c r="AG553" s="189">
        <v>289.3</v>
      </c>
    </row>
    <row r="554" spans="2:33" s="154" customFormat="1" ht="15" customHeight="1"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spans="2:33" s="154" customFormat="1" ht="15" customHeight="1"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spans="2:33" s="154" customFormat="1" ht="15" customHeight="1"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spans="2:33" s="154" customFormat="1" ht="15" customHeight="1"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spans="2:33" s="154" customFormat="1" ht="15" customHeight="1"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spans="2:33" s="154" customFormat="1" ht="15" customHeight="1"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spans="2:33" s="154" customFormat="1" ht="15" customHeight="1"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spans="4:33" s="154" customFormat="1" ht="15" customHeight="1"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spans="4:33" s="154" customFormat="1" ht="15" customHeight="1"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spans="4:33" s="154" customFormat="1" ht="15" customHeight="1"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spans="4:33" s="154" customFormat="1" ht="15" customHeight="1"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spans="4:33" s="154" customFormat="1" ht="15" customHeight="1"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spans="4:33" s="154" customFormat="1" ht="15" customHeight="1"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spans="4:33" s="154" customFormat="1" ht="15" customHeight="1"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spans="4:33" s="154" customFormat="1" ht="15" customHeight="1"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spans="4:33" s="154" customFormat="1" ht="15" customHeight="1"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spans="4:33" s="154" customFormat="1" ht="15" customHeight="1"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spans="4:33" s="154" customFormat="1" ht="15" customHeight="1"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spans="4:33" s="154" customFormat="1" ht="15" customHeight="1"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spans="4:33" s="154" customFormat="1" ht="15" customHeight="1"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spans="4:33" s="154" customFormat="1" ht="15" customHeight="1"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spans="4:33" s="154" customFormat="1" ht="15" customHeight="1"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spans="4:33" s="154" customFormat="1" ht="15" customHeight="1"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spans="4:33" s="154" customFormat="1" ht="15" customHeight="1"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spans="4:33" s="154" customFormat="1" ht="15" customHeight="1"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spans="4:33" s="154" customFormat="1" ht="15" customHeight="1"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spans="4:33" s="154" customFormat="1" ht="15" customHeight="1"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spans="4:33" s="154" customFormat="1" ht="15" customHeight="1"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spans="4:33" s="154" customFormat="1" ht="15" customHeight="1"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spans="4:33" s="154" customFormat="1" ht="15" customHeight="1"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spans="4:33" s="154" customFormat="1" ht="15" customHeight="1"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spans="4:33" s="154" customFormat="1" ht="15" customHeight="1"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spans="4:33" s="154" customFormat="1" ht="15" customHeight="1"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spans="4:33" s="154" customFormat="1" ht="15" customHeight="1"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spans="4:33" s="154" customFormat="1" ht="15" customHeight="1"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spans="4:33" s="154" customFormat="1" ht="15" customHeight="1"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spans="4:33" s="154" customFormat="1" ht="15" customHeight="1"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spans="4:33" s="154" customFormat="1" ht="15" customHeight="1"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spans="4:33" s="154" customFormat="1" ht="15" customHeight="1"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spans="4:33" s="154" customFormat="1" ht="15" customHeight="1"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spans="4:33" s="154" customFormat="1" ht="15" customHeight="1"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spans="4:33" s="154" customFormat="1" ht="15" customHeight="1"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spans="4:33" s="154" customFormat="1" ht="15" customHeight="1"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spans="4:33" s="154" customFormat="1" ht="15" customHeight="1"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spans="4:33" s="154" customFormat="1" ht="15" customHeight="1"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spans="4:33" s="154" customFormat="1" ht="15" customHeight="1"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spans="4:33" s="154" customFormat="1" ht="15" customHeight="1"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spans="4:33" s="154" customFormat="1" ht="15" customHeight="1"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spans="4:33" s="154" customFormat="1" ht="15" customHeight="1"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spans="4:33" s="154" customFormat="1" ht="15" customHeight="1"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spans="4:33" s="154" customFormat="1" ht="15" customHeight="1"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spans="4:33" s="154" customFormat="1" ht="15" customHeight="1"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spans="4:33" s="154" customFormat="1" ht="15" customHeight="1"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spans="4:33" s="154" customFormat="1" ht="15" customHeight="1"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spans="4:33" s="154" customFormat="1" ht="15" customHeight="1"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spans="4:33" s="154" customFormat="1" ht="15" customHeight="1"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spans="4:33" s="154" customFormat="1" ht="15" customHeight="1"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spans="4:33" s="154" customFormat="1" ht="15" customHeight="1"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spans="4:33" s="154" customFormat="1" ht="15" customHeight="1"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spans="4:33" s="154" customFormat="1" ht="15" customHeight="1"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spans="4:33" s="154" customFormat="1" ht="15" customHeight="1"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spans="4:33" s="154" customFormat="1" ht="15" customHeight="1"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spans="4:33" s="154" customFormat="1" ht="15" customHeight="1"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</sheetData>
  <sheetProtection formatCells="0" formatColumns="0" formatRows="0" insertHyperlinks="0" selectLockedCells="1"/>
  <mergeCells count="1">
    <mergeCell ref="C212:C266"/>
  </mergeCells>
  <dataValidations count="3">
    <dataValidation type="list" allowBlank="1" showInputMessage="1" showErrorMessage="1" sqref="D4">
      <formula1>"1,2,3,4,5,6"</formula1>
    </dataValidation>
    <dataValidation type="list" allowBlank="1" showInputMessage="1" showErrorMessage="1" sqref="D2">
      <formula1>"TRUE,FALSE"</formula1>
    </dataValidation>
    <dataValidation type="list" allowBlank="1" showInputMessage="1" showErrorMessage="1" sqref="D5">
      <formula1>"ca,www"</formula1>
    </dataValidation>
  </dataValidations>
  <printOptions horizontalCentered="1"/>
  <pageMargins left="0.75" right="0.75" top="0" bottom="0" header="0" footer="0"/>
  <pageSetup paperSize="9" scale="80" orientation="portrait"/>
  <headerFooter alignWithMargins="0"/>
  <rowBreaks count="2" manualBreakCount="2">
    <brk id="94" max="16383" man="1"/>
    <brk id="180" min="2" max="34" man="1"/>
  </rowBreaks>
  <ignoredErrors>
    <ignoredError sqref="E11" unlockedFormula="1"/>
  </ignoredError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E11"/>
  <sheetViews>
    <sheetView showGridLines="0" workbookViewId="0">
      <selection activeCell="B39" sqref="B39"/>
    </sheetView>
  </sheetViews>
  <sheetFormatPr defaultRowHeight="15"/>
  <cols>
    <col min="1" max="1" width="3.25" style="579" customWidth="1"/>
    <col min="2" max="2" width="34" style="580" bestFit="1" customWidth="1"/>
    <col min="3" max="3" width="7.625" style="579" customWidth="1"/>
    <col min="4" max="4" width="3.25" style="579" customWidth="1"/>
    <col min="5" max="16384" width="9" style="579"/>
  </cols>
  <sheetData>
    <row r="1" spans="1:5" ht="15.75" thickBot="1"/>
    <row r="2" spans="1:5" ht="15.75" thickBot="1">
      <c r="B2" s="581" t="s">
        <v>624</v>
      </c>
      <c r="C2" s="582" t="s">
        <v>482</v>
      </c>
      <c r="D2" s="583"/>
      <c r="E2" s="583"/>
    </row>
    <row r="3" spans="1:5" ht="15.75" thickBot="1">
      <c r="D3" s="584"/>
      <c r="E3" s="584"/>
    </row>
    <row r="4" spans="1:5" ht="15.75" thickBot="1">
      <c r="A4" s="585"/>
      <c r="B4" s="586" t="s">
        <v>619</v>
      </c>
      <c r="C4" s="587"/>
      <c r="D4" s="588"/>
      <c r="E4" s="588"/>
    </row>
    <row r="5" spans="1:5" ht="15.75" thickBot="1">
      <c r="A5" s="585"/>
      <c r="B5" s="586" t="s">
        <v>56</v>
      </c>
      <c r="C5" s="589"/>
      <c r="D5" s="588"/>
      <c r="E5" s="588"/>
    </row>
    <row r="6" spans="1:5" ht="15.75" thickBot="1">
      <c r="A6" s="585"/>
      <c r="B6" s="586" t="s">
        <v>60</v>
      </c>
      <c r="C6" s="589">
        <v>0.9</v>
      </c>
      <c r="D6" s="588"/>
      <c r="E6" s="588"/>
    </row>
    <row r="7" spans="1:5" ht="15.75" thickBot="1">
      <c r="A7" s="585"/>
      <c r="B7" s="586" t="s">
        <v>620</v>
      </c>
      <c r="C7" s="589"/>
      <c r="D7" s="588"/>
      <c r="E7" s="588"/>
    </row>
    <row r="8" spans="1:5" ht="15.75" thickBot="1">
      <c r="A8" s="585"/>
      <c r="B8" s="586" t="s">
        <v>621</v>
      </c>
      <c r="C8" s="589"/>
      <c r="D8" s="588"/>
      <c r="E8" s="588"/>
    </row>
    <row r="9" spans="1:5" ht="15.75" thickBot="1">
      <c r="A9" s="585"/>
      <c r="B9" s="586" t="s">
        <v>622</v>
      </c>
      <c r="C9" s="589"/>
      <c r="D9" s="588"/>
      <c r="E9" s="588"/>
    </row>
    <row r="10" spans="1:5" ht="15.75" thickBot="1">
      <c r="A10" s="585"/>
      <c r="B10" s="586" t="s">
        <v>623</v>
      </c>
      <c r="C10" s="589"/>
    </row>
    <row r="11" spans="1:5" ht="15.75" thickBot="1">
      <c r="A11" s="585"/>
      <c r="B11" s="586" t="s">
        <v>76</v>
      </c>
      <c r="C11" s="59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C000"/>
  </sheetPr>
  <dimension ref="B2:E140"/>
  <sheetViews>
    <sheetView showGridLines="0" zoomScale="76" zoomScaleNormal="76" zoomScalePageLayoutView="76" workbookViewId="0">
      <selection activeCell="D29" sqref="D29"/>
    </sheetView>
  </sheetViews>
  <sheetFormatPr defaultColWidth="16.125" defaultRowHeight="15" customHeight="1"/>
  <cols>
    <col min="1" max="1" width="3.625" style="274" customWidth="1"/>
    <col min="2" max="3" width="16.125" style="274"/>
    <col min="4" max="4" width="15.625" style="274" customWidth="1"/>
    <col min="5" max="5" width="16.125" style="274"/>
    <col min="6" max="6" width="3.625" style="274" customWidth="1"/>
    <col min="7" max="16384" width="16.125" style="274"/>
  </cols>
  <sheetData>
    <row r="2" spans="2:3" ht="15" customHeight="1">
      <c r="B2" s="289" t="s">
        <v>479</v>
      </c>
      <c r="C2" s="1" t="b">
        <v>1</v>
      </c>
    </row>
    <row r="3" spans="2:3" ht="15" customHeight="1">
      <c r="B3" s="289" t="s">
        <v>0</v>
      </c>
      <c r="C3" s="275" t="str">
        <f>TICKER_RNG</f>
        <v>DELL</v>
      </c>
    </row>
    <row r="4" spans="2:3" ht="15" customHeight="1">
      <c r="B4" s="286" t="s">
        <v>480</v>
      </c>
      <c r="C4" s="276" t="str">
        <f>IF(OR($C$5="-",$C$2=FALSE),"-",DATE(YEAR($B$17)+0,MONTH($B$17)+1,DAY($B$17)))</f>
        <v>-</v>
      </c>
    </row>
    <row r="5" spans="2:3" ht="15" customHeight="1">
      <c r="B5" s="286" t="s">
        <v>481</v>
      </c>
      <c r="C5" s="276" t="str">
        <f>IF(OR($B$8="-",$C$2=FALSE),"-",DATE(YEAR($B$8)+1,MONTH($B$8),DAY($B$8)))</f>
        <v>-</v>
      </c>
    </row>
    <row r="7" spans="2:3" ht="15" customHeight="1">
      <c r="B7" s="287" t="str">
        <f ca="1">IF(OR($B$8="-",$C$2=FALSE),"-",OFFSET(DATA!$C$15,CHARTING!$B$18+1,0))</f>
        <v>-</v>
      </c>
      <c r="C7" s="288"/>
    </row>
    <row r="8" spans="2:3" ht="15" customHeight="1">
      <c r="B8" s="277" t="str">
        <f t="array" ref="B8:B17">IF($C$2=FALSE,"-",TRANSPOSE(DATA!$D$9:$M$9))</f>
        <v>-</v>
      </c>
      <c r="C8" s="280" t="str">
        <f t="array" aca="1" ref="C8:C17" ca="1">IF($C$2=FALSE,"-",TRANSPOSE(OFFSET(DATA!$D$16:$M$16,CHARTING!$B$18,0)))</f>
        <v>-</v>
      </c>
    </row>
    <row r="9" spans="2:3" ht="15" customHeight="1">
      <c r="B9" s="278" t="str">
        <v>-</v>
      </c>
      <c r="C9" s="281" t="str">
        <f ca="1"/>
        <v>-</v>
      </c>
    </row>
    <row r="10" spans="2:3" ht="15" customHeight="1">
      <c r="B10" s="278" t="str">
        <v>-</v>
      </c>
      <c r="C10" s="281" t="str">
        <f ca="1"/>
        <v>-</v>
      </c>
    </row>
    <row r="11" spans="2:3" ht="15" customHeight="1">
      <c r="B11" s="278" t="str">
        <v>-</v>
      </c>
      <c r="C11" s="281" t="str">
        <f ca="1"/>
        <v>-</v>
      </c>
    </row>
    <row r="12" spans="2:3" ht="15" customHeight="1">
      <c r="B12" s="278" t="str">
        <v>-</v>
      </c>
      <c r="C12" s="281" t="str">
        <f ca="1"/>
        <v>-</v>
      </c>
    </row>
    <row r="13" spans="2:3" ht="15" customHeight="1">
      <c r="B13" s="278" t="str">
        <v>-</v>
      </c>
      <c r="C13" s="281" t="str">
        <f ca="1"/>
        <v>-</v>
      </c>
    </row>
    <row r="14" spans="2:3" ht="15" customHeight="1">
      <c r="B14" s="278" t="str">
        <v>-</v>
      </c>
      <c r="C14" s="281" t="str">
        <f ca="1"/>
        <v>-</v>
      </c>
    </row>
    <row r="15" spans="2:3" ht="15" customHeight="1">
      <c r="B15" s="278" t="str">
        <v>-</v>
      </c>
      <c r="C15" s="281" t="str">
        <f ca="1"/>
        <v>-</v>
      </c>
    </row>
    <row r="16" spans="2:3" ht="15" customHeight="1">
      <c r="B16" s="278" t="str">
        <v>-</v>
      </c>
      <c r="C16" s="281" t="str">
        <f ca="1"/>
        <v>-</v>
      </c>
    </row>
    <row r="17" spans="2:5" ht="15" customHeight="1">
      <c r="B17" s="279" t="str">
        <v>-</v>
      </c>
      <c r="C17" s="282" t="str">
        <f ca="1"/>
        <v>-</v>
      </c>
    </row>
    <row r="18" spans="2:5" ht="15" customHeight="1">
      <c r="B18" s="284">
        <v>6</v>
      </c>
      <c r="C18" s="285"/>
    </row>
    <row r="20" spans="2:5" ht="15" customHeight="1">
      <c r="B20" s="290" t="str">
        <f t="array" ref="B20:E140">IF(OR($B$8="-",$C$2=FALSE),"-",[1]!PER_SHARE_TIME_SERIE_FUNC([1]!YAHOO_HISTORICAL_DATA_SERIE_FUNC($C$3,$C$4,$C$5,"MONTHLY", "DA", FALSE,FALSE,TRUE),$B$8:$C$17))</f>
        <v>-</v>
      </c>
      <c r="C20" s="290" t="str">
        <v>-</v>
      </c>
      <c r="D20" s="290" t="str">
        <v>-</v>
      </c>
      <c r="E20" s="290" t="str">
        <v>-</v>
      </c>
    </row>
    <row r="21" spans="2:5" ht="15" customHeight="1">
      <c r="B21" s="291" t="str">
        <v>-</v>
      </c>
      <c r="C21" s="292" t="str">
        <v>-</v>
      </c>
      <c r="D21" s="292" t="str">
        <v>-</v>
      </c>
      <c r="E21" s="293" t="str">
        <v>-</v>
      </c>
    </row>
    <row r="22" spans="2:5" ht="15" customHeight="1">
      <c r="B22" s="294" t="str">
        <v>-</v>
      </c>
      <c r="C22" s="283" t="str">
        <v>-</v>
      </c>
      <c r="D22" s="283" t="str">
        <v>-</v>
      </c>
      <c r="E22" s="295" t="str">
        <v>-</v>
      </c>
    </row>
    <row r="23" spans="2:5" ht="15" customHeight="1">
      <c r="B23" s="294" t="str">
        <v>-</v>
      </c>
      <c r="C23" s="283" t="str">
        <v>-</v>
      </c>
      <c r="D23" s="283" t="str">
        <v>-</v>
      </c>
      <c r="E23" s="295" t="str">
        <v>-</v>
      </c>
    </row>
    <row r="24" spans="2:5" ht="15" customHeight="1">
      <c r="B24" s="294" t="str">
        <v>-</v>
      </c>
      <c r="C24" s="283" t="str">
        <v>-</v>
      </c>
      <c r="D24" s="283" t="str">
        <v>-</v>
      </c>
      <c r="E24" s="295" t="str">
        <v>-</v>
      </c>
    </row>
    <row r="25" spans="2:5" ht="15" customHeight="1">
      <c r="B25" s="294" t="str">
        <v>-</v>
      </c>
      <c r="C25" s="283" t="str">
        <v>-</v>
      </c>
      <c r="D25" s="283" t="str">
        <v>-</v>
      </c>
      <c r="E25" s="295" t="str">
        <v>-</v>
      </c>
    </row>
    <row r="26" spans="2:5" ht="15" customHeight="1">
      <c r="B26" s="294" t="str">
        <v>-</v>
      </c>
      <c r="C26" s="283" t="str">
        <v>-</v>
      </c>
      <c r="D26" s="283" t="str">
        <v>-</v>
      </c>
      <c r="E26" s="295" t="str">
        <v>-</v>
      </c>
    </row>
    <row r="27" spans="2:5" ht="15" customHeight="1">
      <c r="B27" s="294" t="str">
        <v>-</v>
      </c>
      <c r="C27" s="283" t="str">
        <v>-</v>
      </c>
      <c r="D27" s="283" t="str">
        <v>-</v>
      </c>
      <c r="E27" s="295" t="str">
        <v>-</v>
      </c>
    </row>
    <row r="28" spans="2:5" ht="15" customHeight="1">
      <c r="B28" s="294" t="str">
        <v>-</v>
      </c>
      <c r="C28" s="283" t="str">
        <v>-</v>
      </c>
      <c r="D28" s="283" t="str">
        <v>-</v>
      </c>
      <c r="E28" s="295" t="str">
        <v>-</v>
      </c>
    </row>
    <row r="29" spans="2:5" ht="15" customHeight="1">
      <c r="B29" s="294" t="str">
        <v>-</v>
      </c>
      <c r="C29" s="283" t="str">
        <v>-</v>
      </c>
      <c r="D29" s="283" t="str">
        <v>-</v>
      </c>
      <c r="E29" s="295" t="str">
        <v>-</v>
      </c>
    </row>
    <row r="30" spans="2:5" ht="15" customHeight="1">
      <c r="B30" s="294" t="str">
        <v>-</v>
      </c>
      <c r="C30" s="283" t="str">
        <v>-</v>
      </c>
      <c r="D30" s="283" t="str">
        <v>-</v>
      </c>
      <c r="E30" s="295" t="str">
        <v>-</v>
      </c>
    </row>
    <row r="31" spans="2:5" ht="15" customHeight="1">
      <c r="B31" s="294" t="str">
        <v>-</v>
      </c>
      <c r="C31" s="283" t="str">
        <v>-</v>
      </c>
      <c r="D31" s="283" t="str">
        <v>-</v>
      </c>
      <c r="E31" s="295" t="str">
        <v>-</v>
      </c>
    </row>
    <row r="32" spans="2:5" ht="15" customHeight="1">
      <c r="B32" s="294" t="str">
        <v>-</v>
      </c>
      <c r="C32" s="283" t="str">
        <v>-</v>
      </c>
      <c r="D32" s="283" t="str">
        <v>-</v>
      </c>
      <c r="E32" s="295" t="str">
        <v>-</v>
      </c>
    </row>
    <row r="33" spans="2:5" ht="15" customHeight="1">
      <c r="B33" s="294" t="str">
        <v>-</v>
      </c>
      <c r="C33" s="283" t="str">
        <v>-</v>
      </c>
      <c r="D33" s="283" t="str">
        <v>-</v>
      </c>
      <c r="E33" s="295" t="str">
        <v>-</v>
      </c>
    </row>
    <row r="34" spans="2:5" ht="15" customHeight="1">
      <c r="B34" s="294" t="str">
        <v>-</v>
      </c>
      <c r="C34" s="283" t="str">
        <v>-</v>
      </c>
      <c r="D34" s="283" t="str">
        <v>-</v>
      </c>
      <c r="E34" s="295" t="str">
        <v>-</v>
      </c>
    </row>
    <row r="35" spans="2:5" ht="15" customHeight="1">
      <c r="B35" s="294" t="str">
        <v>-</v>
      </c>
      <c r="C35" s="283" t="str">
        <v>-</v>
      </c>
      <c r="D35" s="283" t="str">
        <v>-</v>
      </c>
      <c r="E35" s="295" t="str">
        <v>-</v>
      </c>
    </row>
    <row r="36" spans="2:5" ht="15" customHeight="1">
      <c r="B36" s="294" t="str">
        <v>-</v>
      </c>
      <c r="C36" s="283" t="str">
        <v>-</v>
      </c>
      <c r="D36" s="283" t="str">
        <v>-</v>
      </c>
      <c r="E36" s="295" t="str">
        <v>-</v>
      </c>
    </row>
    <row r="37" spans="2:5" ht="15" customHeight="1">
      <c r="B37" s="294" t="str">
        <v>-</v>
      </c>
      <c r="C37" s="283" t="str">
        <v>-</v>
      </c>
      <c r="D37" s="283" t="str">
        <v>-</v>
      </c>
      <c r="E37" s="295" t="str">
        <v>-</v>
      </c>
    </row>
    <row r="38" spans="2:5" ht="15" customHeight="1">
      <c r="B38" s="294" t="str">
        <v>-</v>
      </c>
      <c r="C38" s="283" t="str">
        <v>-</v>
      </c>
      <c r="D38" s="283" t="str">
        <v>-</v>
      </c>
      <c r="E38" s="295" t="str">
        <v>-</v>
      </c>
    </row>
    <row r="39" spans="2:5" ht="15" customHeight="1">
      <c r="B39" s="294" t="str">
        <v>-</v>
      </c>
      <c r="C39" s="283" t="str">
        <v>-</v>
      </c>
      <c r="D39" s="283" t="str">
        <v>-</v>
      </c>
      <c r="E39" s="295" t="str">
        <v>-</v>
      </c>
    </row>
    <row r="40" spans="2:5" ht="15" customHeight="1">
      <c r="B40" s="294" t="str">
        <v>-</v>
      </c>
      <c r="C40" s="283" t="str">
        <v>-</v>
      </c>
      <c r="D40" s="283" t="str">
        <v>-</v>
      </c>
      <c r="E40" s="295" t="str">
        <v>-</v>
      </c>
    </row>
    <row r="41" spans="2:5" ht="15" customHeight="1">
      <c r="B41" s="294" t="str">
        <v>-</v>
      </c>
      <c r="C41" s="283" t="str">
        <v>-</v>
      </c>
      <c r="D41" s="283" t="str">
        <v>-</v>
      </c>
      <c r="E41" s="295" t="str">
        <v>-</v>
      </c>
    </row>
    <row r="42" spans="2:5" ht="15" customHeight="1">
      <c r="B42" s="294" t="str">
        <v>-</v>
      </c>
      <c r="C42" s="283" t="str">
        <v>-</v>
      </c>
      <c r="D42" s="283" t="str">
        <v>-</v>
      </c>
      <c r="E42" s="295" t="str">
        <v>-</v>
      </c>
    </row>
    <row r="43" spans="2:5" ht="15" customHeight="1">
      <c r="B43" s="294" t="str">
        <v>-</v>
      </c>
      <c r="C43" s="283" t="str">
        <v>-</v>
      </c>
      <c r="D43" s="283" t="str">
        <v>-</v>
      </c>
      <c r="E43" s="295" t="str">
        <v>-</v>
      </c>
    </row>
    <row r="44" spans="2:5" ht="15" customHeight="1">
      <c r="B44" s="294" t="str">
        <v>-</v>
      </c>
      <c r="C44" s="283" t="str">
        <v>-</v>
      </c>
      <c r="D44" s="283" t="str">
        <v>-</v>
      </c>
      <c r="E44" s="295" t="str">
        <v>-</v>
      </c>
    </row>
    <row r="45" spans="2:5" ht="15" customHeight="1">
      <c r="B45" s="294" t="str">
        <v>-</v>
      </c>
      <c r="C45" s="283" t="str">
        <v>-</v>
      </c>
      <c r="D45" s="283" t="str">
        <v>-</v>
      </c>
      <c r="E45" s="295" t="str">
        <v>-</v>
      </c>
    </row>
    <row r="46" spans="2:5" ht="15" customHeight="1">
      <c r="B46" s="294" t="str">
        <v>-</v>
      </c>
      <c r="C46" s="283" t="str">
        <v>-</v>
      </c>
      <c r="D46" s="283" t="str">
        <v>-</v>
      </c>
      <c r="E46" s="295" t="str">
        <v>-</v>
      </c>
    </row>
    <row r="47" spans="2:5" ht="15" customHeight="1">
      <c r="B47" s="294" t="str">
        <v>-</v>
      </c>
      <c r="C47" s="283" t="str">
        <v>-</v>
      </c>
      <c r="D47" s="283" t="str">
        <v>-</v>
      </c>
      <c r="E47" s="295" t="str">
        <v>-</v>
      </c>
    </row>
    <row r="48" spans="2:5" ht="15" customHeight="1">
      <c r="B48" s="294" t="str">
        <v>-</v>
      </c>
      <c r="C48" s="283" t="str">
        <v>-</v>
      </c>
      <c r="D48" s="283" t="str">
        <v>-</v>
      </c>
      <c r="E48" s="295" t="str">
        <v>-</v>
      </c>
    </row>
    <row r="49" spans="2:5" ht="15" customHeight="1">
      <c r="B49" s="294" t="str">
        <v>-</v>
      </c>
      <c r="C49" s="283" t="str">
        <v>-</v>
      </c>
      <c r="D49" s="283" t="str">
        <v>-</v>
      </c>
      <c r="E49" s="295" t="str">
        <v>-</v>
      </c>
    </row>
    <row r="50" spans="2:5" ht="15" customHeight="1">
      <c r="B50" s="294" t="str">
        <v>-</v>
      </c>
      <c r="C50" s="283" t="str">
        <v>-</v>
      </c>
      <c r="D50" s="283" t="str">
        <v>-</v>
      </c>
      <c r="E50" s="295" t="str">
        <v>-</v>
      </c>
    </row>
    <row r="51" spans="2:5" ht="15" customHeight="1">
      <c r="B51" s="294" t="str">
        <v>-</v>
      </c>
      <c r="C51" s="283" t="str">
        <v>-</v>
      </c>
      <c r="D51" s="283" t="str">
        <v>-</v>
      </c>
      <c r="E51" s="295" t="str">
        <v>-</v>
      </c>
    </row>
    <row r="52" spans="2:5" ht="15" customHeight="1">
      <c r="B52" s="294" t="str">
        <v>-</v>
      </c>
      <c r="C52" s="283" t="str">
        <v>-</v>
      </c>
      <c r="D52" s="283" t="str">
        <v>-</v>
      </c>
      <c r="E52" s="295" t="str">
        <v>-</v>
      </c>
    </row>
    <row r="53" spans="2:5" ht="15" customHeight="1">
      <c r="B53" s="294" t="str">
        <v>-</v>
      </c>
      <c r="C53" s="283" t="str">
        <v>-</v>
      </c>
      <c r="D53" s="283" t="str">
        <v>-</v>
      </c>
      <c r="E53" s="295" t="str">
        <v>-</v>
      </c>
    </row>
    <row r="54" spans="2:5" ht="15" customHeight="1">
      <c r="B54" s="294" t="str">
        <v>-</v>
      </c>
      <c r="C54" s="283" t="str">
        <v>-</v>
      </c>
      <c r="D54" s="283" t="str">
        <v>-</v>
      </c>
      <c r="E54" s="295" t="str">
        <v>-</v>
      </c>
    </row>
    <row r="55" spans="2:5" ht="15" customHeight="1">
      <c r="B55" s="294" t="str">
        <v>-</v>
      </c>
      <c r="C55" s="283" t="str">
        <v>-</v>
      </c>
      <c r="D55" s="283" t="str">
        <v>-</v>
      </c>
      <c r="E55" s="295" t="str">
        <v>-</v>
      </c>
    </row>
    <row r="56" spans="2:5" ht="15" customHeight="1">
      <c r="B56" s="294" t="str">
        <v>-</v>
      </c>
      <c r="C56" s="283" t="str">
        <v>-</v>
      </c>
      <c r="D56" s="283" t="str">
        <v>-</v>
      </c>
      <c r="E56" s="295" t="str">
        <v>-</v>
      </c>
    </row>
    <row r="57" spans="2:5" ht="15" customHeight="1">
      <c r="B57" s="294" t="str">
        <v>-</v>
      </c>
      <c r="C57" s="283" t="str">
        <v>-</v>
      </c>
      <c r="D57" s="283" t="str">
        <v>-</v>
      </c>
      <c r="E57" s="295" t="str">
        <v>-</v>
      </c>
    </row>
    <row r="58" spans="2:5" ht="15" customHeight="1">
      <c r="B58" s="294" t="str">
        <v>-</v>
      </c>
      <c r="C58" s="283" t="str">
        <v>-</v>
      </c>
      <c r="D58" s="283" t="str">
        <v>-</v>
      </c>
      <c r="E58" s="295" t="str">
        <v>-</v>
      </c>
    </row>
    <row r="59" spans="2:5" ht="15" customHeight="1">
      <c r="B59" s="294" t="str">
        <v>-</v>
      </c>
      <c r="C59" s="283" t="str">
        <v>-</v>
      </c>
      <c r="D59" s="283" t="str">
        <v>-</v>
      </c>
      <c r="E59" s="295" t="str">
        <v>-</v>
      </c>
    </row>
    <row r="60" spans="2:5" ht="15" customHeight="1">
      <c r="B60" s="294" t="str">
        <v>-</v>
      </c>
      <c r="C60" s="283" t="str">
        <v>-</v>
      </c>
      <c r="D60" s="283" t="str">
        <v>-</v>
      </c>
      <c r="E60" s="295" t="str">
        <v>-</v>
      </c>
    </row>
    <row r="61" spans="2:5" ht="15" customHeight="1">
      <c r="B61" s="294" t="str">
        <v>-</v>
      </c>
      <c r="C61" s="283" t="str">
        <v>-</v>
      </c>
      <c r="D61" s="283" t="str">
        <v>-</v>
      </c>
      <c r="E61" s="295" t="str">
        <v>-</v>
      </c>
    </row>
    <row r="62" spans="2:5" ht="15" customHeight="1">
      <c r="B62" s="294" t="str">
        <v>-</v>
      </c>
      <c r="C62" s="283" t="str">
        <v>-</v>
      </c>
      <c r="D62" s="283" t="str">
        <v>-</v>
      </c>
      <c r="E62" s="295" t="str">
        <v>-</v>
      </c>
    </row>
    <row r="63" spans="2:5" ht="15" customHeight="1">
      <c r="B63" s="294" t="str">
        <v>-</v>
      </c>
      <c r="C63" s="283" t="str">
        <v>-</v>
      </c>
      <c r="D63" s="283" t="str">
        <v>-</v>
      </c>
      <c r="E63" s="295" t="str">
        <v>-</v>
      </c>
    </row>
    <row r="64" spans="2:5" ht="15" customHeight="1">
      <c r="B64" s="294" t="str">
        <v>-</v>
      </c>
      <c r="C64" s="283" t="str">
        <v>-</v>
      </c>
      <c r="D64" s="283" t="str">
        <v>-</v>
      </c>
      <c r="E64" s="295" t="str">
        <v>-</v>
      </c>
    </row>
    <row r="65" spans="2:5" ht="15" customHeight="1">
      <c r="B65" s="294" t="str">
        <v>-</v>
      </c>
      <c r="C65" s="283" t="str">
        <v>-</v>
      </c>
      <c r="D65" s="283" t="str">
        <v>-</v>
      </c>
      <c r="E65" s="295" t="str">
        <v>-</v>
      </c>
    </row>
    <row r="66" spans="2:5" ht="15" customHeight="1">
      <c r="B66" s="294" t="str">
        <v>-</v>
      </c>
      <c r="C66" s="283" t="str">
        <v>-</v>
      </c>
      <c r="D66" s="283" t="str">
        <v>-</v>
      </c>
      <c r="E66" s="295" t="str">
        <v>-</v>
      </c>
    </row>
    <row r="67" spans="2:5" ht="15" customHeight="1">
      <c r="B67" s="294" t="str">
        <v>-</v>
      </c>
      <c r="C67" s="283" t="str">
        <v>-</v>
      </c>
      <c r="D67" s="283" t="str">
        <v>-</v>
      </c>
      <c r="E67" s="295" t="str">
        <v>-</v>
      </c>
    </row>
    <row r="68" spans="2:5" ht="15" customHeight="1">
      <c r="B68" s="294" t="str">
        <v>-</v>
      </c>
      <c r="C68" s="283" t="str">
        <v>-</v>
      </c>
      <c r="D68" s="283" t="str">
        <v>-</v>
      </c>
      <c r="E68" s="295" t="str">
        <v>-</v>
      </c>
    </row>
    <row r="69" spans="2:5" ht="15" customHeight="1">
      <c r="B69" s="294" t="str">
        <v>-</v>
      </c>
      <c r="C69" s="283" t="str">
        <v>-</v>
      </c>
      <c r="D69" s="283" t="str">
        <v>-</v>
      </c>
      <c r="E69" s="295" t="str">
        <v>-</v>
      </c>
    </row>
    <row r="70" spans="2:5" ht="15" customHeight="1">
      <c r="B70" s="294" t="str">
        <v>-</v>
      </c>
      <c r="C70" s="283" t="str">
        <v>-</v>
      </c>
      <c r="D70" s="283" t="str">
        <v>-</v>
      </c>
      <c r="E70" s="295" t="str">
        <v>-</v>
      </c>
    </row>
    <row r="71" spans="2:5" ht="15" customHeight="1">
      <c r="B71" s="294" t="str">
        <v>-</v>
      </c>
      <c r="C71" s="283" t="str">
        <v>-</v>
      </c>
      <c r="D71" s="283" t="str">
        <v>-</v>
      </c>
      <c r="E71" s="295" t="str">
        <v>-</v>
      </c>
    </row>
    <row r="72" spans="2:5" ht="15" customHeight="1">
      <c r="B72" s="294" t="str">
        <v>-</v>
      </c>
      <c r="C72" s="283" t="str">
        <v>-</v>
      </c>
      <c r="D72" s="283" t="str">
        <v>-</v>
      </c>
      <c r="E72" s="295" t="str">
        <v>-</v>
      </c>
    </row>
    <row r="73" spans="2:5" ht="15" customHeight="1">
      <c r="B73" s="294" t="str">
        <v>-</v>
      </c>
      <c r="C73" s="283" t="str">
        <v>-</v>
      </c>
      <c r="D73" s="283" t="str">
        <v>-</v>
      </c>
      <c r="E73" s="295" t="str">
        <v>-</v>
      </c>
    </row>
    <row r="74" spans="2:5" ht="15" customHeight="1">
      <c r="B74" s="294" t="str">
        <v>-</v>
      </c>
      <c r="C74" s="283" t="str">
        <v>-</v>
      </c>
      <c r="D74" s="283" t="str">
        <v>-</v>
      </c>
      <c r="E74" s="295" t="str">
        <v>-</v>
      </c>
    </row>
    <row r="75" spans="2:5" ht="15" customHeight="1">
      <c r="B75" s="294" t="str">
        <v>-</v>
      </c>
      <c r="C75" s="283" t="str">
        <v>-</v>
      </c>
      <c r="D75" s="283" t="str">
        <v>-</v>
      </c>
      <c r="E75" s="295" t="str">
        <v>-</v>
      </c>
    </row>
    <row r="76" spans="2:5" ht="15" customHeight="1">
      <c r="B76" s="294" t="str">
        <v>-</v>
      </c>
      <c r="C76" s="283" t="str">
        <v>-</v>
      </c>
      <c r="D76" s="283" t="str">
        <v>-</v>
      </c>
      <c r="E76" s="295" t="str">
        <v>-</v>
      </c>
    </row>
    <row r="77" spans="2:5" ht="15" customHeight="1">
      <c r="B77" s="294" t="str">
        <v>-</v>
      </c>
      <c r="C77" s="283" t="str">
        <v>-</v>
      </c>
      <c r="D77" s="283" t="str">
        <v>-</v>
      </c>
      <c r="E77" s="295" t="str">
        <v>-</v>
      </c>
    </row>
    <row r="78" spans="2:5" ht="15" customHeight="1">
      <c r="B78" s="294" t="str">
        <v>-</v>
      </c>
      <c r="C78" s="283" t="str">
        <v>-</v>
      </c>
      <c r="D78" s="283" t="str">
        <v>-</v>
      </c>
      <c r="E78" s="295" t="str">
        <v>-</v>
      </c>
    </row>
    <row r="79" spans="2:5" ht="15" customHeight="1">
      <c r="B79" s="294" t="str">
        <v>-</v>
      </c>
      <c r="C79" s="283" t="str">
        <v>-</v>
      </c>
      <c r="D79" s="283" t="str">
        <v>-</v>
      </c>
      <c r="E79" s="295" t="str">
        <v>-</v>
      </c>
    </row>
    <row r="80" spans="2:5" ht="15" customHeight="1">
      <c r="B80" s="294" t="str">
        <v>-</v>
      </c>
      <c r="C80" s="283" t="str">
        <v>-</v>
      </c>
      <c r="D80" s="283" t="str">
        <v>-</v>
      </c>
      <c r="E80" s="295" t="str">
        <v>-</v>
      </c>
    </row>
    <row r="81" spans="2:5" ht="15" customHeight="1">
      <c r="B81" s="294" t="str">
        <v>-</v>
      </c>
      <c r="C81" s="283" t="str">
        <v>-</v>
      </c>
      <c r="D81" s="283" t="str">
        <v>-</v>
      </c>
      <c r="E81" s="295" t="str">
        <v>-</v>
      </c>
    </row>
    <row r="82" spans="2:5" ht="15" customHeight="1">
      <c r="B82" s="294" t="str">
        <v>-</v>
      </c>
      <c r="C82" s="283" t="str">
        <v>-</v>
      </c>
      <c r="D82" s="283" t="str">
        <v>-</v>
      </c>
      <c r="E82" s="295" t="str">
        <v>-</v>
      </c>
    </row>
    <row r="83" spans="2:5" ht="15" customHeight="1">
      <c r="B83" s="294" t="str">
        <v>-</v>
      </c>
      <c r="C83" s="283" t="str">
        <v>-</v>
      </c>
      <c r="D83" s="283" t="str">
        <v>-</v>
      </c>
      <c r="E83" s="295" t="str">
        <v>-</v>
      </c>
    </row>
    <row r="84" spans="2:5" ht="15" customHeight="1">
      <c r="B84" s="294" t="str">
        <v>-</v>
      </c>
      <c r="C84" s="283" t="str">
        <v>-</v>
      </c>
      <c r="D84" s="283" t="str">
        <v>-</v>
      </c>
      <c r="E84" s="295" t="str">
        <v>-</v>
      </c>
    </row>
    <row r="85" spans="2:5" ht="15" customHeight="1">
      <c r="B85" s="294" t="str">
        <v>-</v>
      </c>
      <c r="C85" s="283" t="str">
        <v>-</v>
      </c>
      <c r="D85" s="283" t="str">
        <v>-</v>
      </c>
      <c r="E85" s="295" t="str">
        <v>-</v>
      </c>
    </row>
    <row r="86" spans="2:5" ht="15" customHeight="1">
      <c r="B86" s="294" t="str">
        <v>-</v>
      </c>
      <c r="C86" s="283" t="str">
        <v>-</v>
      </c>
      <c r="D86" s="283" t="str">
        <v>-</v>
      </c>
      <c r="E86" s="295" t="str">
        <v>-</v>
      </c>
    </row>
    <row r="87" spans="2:5" ht="15" customHeight="1">
      <c r="B87" s="294" t="str">
        <v>-</v>
      </c>
      <c r="C87" s="283" t="str">
        <v>-</v>
      </c>
      <c r="D87" s="283" t="str">
        <v>-</v>
      </c>
      <c r="E87" s="295" t="str">
        <v>-</v>
      </c>
    </row>
    <row r="88" spans="2:5" ht="15" customHeight="1">
      <c r="B88" s="294" t="str">
        <v>-</v>
      </c>
      <c r="C88" s="283" t="str">
        <v>-</v>
      </c>
      <c r="D88" s="283" t="str">
        <v>-</v>
      </c>
      <c r="E88" s="295" t="str">
        <v>-</v>
      </c>
    </row>
    <row r="89" spans="2:5" ht="15" customHeight="1">
      <c r="B89" s="294" t="str">
        <v>-</v>
      </c>
      <c r="C89" s="283" t="str">
        <v>-</v>
      </c>
      <c r="D89" s="283" t="str">
        <v>-</v>
      </c>
      <c r="E89" s="295" t="str">
        <v>-</v>
      </c>
    </row>
    <row r="90" spans="2:5" ht="15" customHeight="1">
      <c r="B90" s="294" t="str">
        <v>-</v>
      </c>
      <c r="C90" s="283" t="str">
        <v>-</v>
      </c>
      <c r="D90" s="283" t="str">
        <v>-</v>
      </c>
      <c r="E90" s="295" t="str">
        <v>-</v>
      </c>
    </row>
    <row r="91" spans="2:5" ht="15" customHeight="1">
      <c r="B91" s="294" t="str">
        <v>-</v>
      </c>
      <c r="C91" s="283" t="str">
        <v>-</v>
      </c>
      <c r="D91" s="283" t="str">
        <v>-</v>
      </c>
      <c r="E91" s="295" t="str">
        <v>-</v>
      </c>
    </row>
    <row r="92" spans="2:5" ht="15" customHeight="1">
      <c r="B92" s="294" t="str">
        <v>-</v>
      </c>
      <c r="C92" s="283" t="str">
        <v>-</v>
      </c>
      <c r="D92" s="283" t="str">
        <v>-</v>
      </c>
      <c r="E92" s="295" t="str">
        <v>-</v>
      </c>
    </row>
    <row r="93" spans="2:5" ht="15" customHeight="1">
      <c r="B93" s="294" t="str">
        <v>-</v>
      </c>
      <c r="C93" s="283" t="str">
        <v>-</v>
      </c>
      <c r="D93" s="283" t="str">
        <v>-</v>
      </c>
      <c r="E93" s="295" t="str">
        <v>-</v>
      </c>
    </row>
    <row r="94" spans="2:5" ht="15" customHeight="1">
      <c r="B94" s="294" t="str">
        <v>-</v>
      </c>
      <c r="C94" s="283" t="str">
        <v>-</v>
      </c>
      <c r="D94" s="283" t="str">
        <v>-</v>
      </c>
      <c r="E94" s="295" t="str">
        <v>-</v>
      </c>
    </row>
    <row r="95" spans="2:5" ht="15" customHeight="1">
      <c r="B95" s="294" t="str">
        <v>-</v>
      </c>
      <c r="C95" s="283" t="str">
        <v>-</v>
      </c>
      <c r="D95" s="283" t="str">
        <v>-</v>
      </c>
      <c r="E95" s="295" t="str">
        <v>-</v>
      </c>
    </row>
    <row r="96" spans="2:5" ht="15" customHeight="1">
      <c r="B96" s="294" t="str">
        <v>-</v>
      </c>
      <c r="C96" s="283" t="str">
        <v>-</v>
      </c>
      <c r="D96" s="283" t="str">
        <v>-</v>
      </c>
      <c r="E96" s="295" t="str">
        <v>-</v>
      </c>
    </row>
    <row r="97" spans="2:5" ht="15" customHeight="1">
      <c r="B97" s="294" t="str">
        <v>-</v>
      </c>
      <c r="C97" s="283" t="str">
        <v>-</v>
      </c>
      <c r="D97" s="283" t="str">
        <v>-</v>
      </c>
      <c r="E97" s="295" t="str">
        <v>-</v>
      </c>
    </row>
    <row r="98" spans="2:5" ht="15" customHeight="1">
      <c r="B98" s="294" t="str">
        <v>-</v>
      </c>
      <c r="C98" s="283" t="str">
        <v>-</v>
      </c>
      <c r="D98" s="283" t="str">
        <v>-</v>
      </c>
      <c r="E98" s="295" t="str">
        <v>-</v>
      </c>
    </row>
    <row r="99" spans="2:5" ht="15" customHeight="1">
      <c r="B99" s="294" t="str">
        <v>-</v>
      </c>
      <c r="C99" s="283" t="str">
        <v>-</v>
      </c>
      <c r="D99" s="283" t="str">
        <v>-</v>
      </c>
      <c r="E99" s="295" t="str">
        <v>-</v>
      </c>
    </row>
    <row r="100" spans="2:5" ht="15" customHeight="1">
      <c r="B100" s="294" t="str">
        <v>-</v>
      </c>
      <c r="C100" s="283" t="str">
        <v>-</v>
      </c>
      <c r="D100" s="283" t="str">
        <v>-</v>
      </c>
      <c r="E100" s="295" t="str">
        <v>-</v>
      </c>
    </row>
    <row r="101" spans="2:5" ht="15" customHeight="1">
      <c r="B101" s="294" t="str">
        <v>-</v>
      </c>
      <c r="C101" s="283" t="str">
        <v>-</v>
      </c>
      <c r="D101" s="283" t="str">
        <v>-</v>
      </c>
      <c r="E101" s="295" t="str">
        <v>-</v>
      </c>
    </row>
    <row r="102" spans="2:5" ht="15" customHeight="1">
      <c r="B102" s="294" t="str">
        <v>-</v>
      </c>
      <c r="C102" s="283" t="str">
        <v>-</v>
      </c>
      <c r="D102" s="283" t="str">
        <v>-</v>
      </c>
      <c r="E102" s="295" t="str">
        <v>-</v>
      </c>
    </row>
    <row r="103" spans="2:5" ht="15" customHeight="1">
      <c r="B103" s="294" t="str">
        <v>-</v>
      </c>
      <c r="C103" s="283" t="str">
        <v>-</v>
      </c>
      <c r="D103" s="283" t="str">
        <v>-</v>
      </c>
      <c r="E103" s="295" t="str">
        <v>-</v>
      </c>
    </row>
    <row r="104" spans="2:5" ht="15" customHeight="1">
      <c r="B104" s="294" t="str">
        <v>-</v>
      </c>
      <c r="C104" s="283" t="str">
        <v>-</v>
      </c>
      <c r="D104" s="283" t="str">
        <v>-</v>
      </c>
      <c r="E104" s="295" t="str">
        <v>-</v>
      </c>
    </row>
    <row r="105" spans="2:5" ht="15" customHeight="1">
      <c r="B105" s="294" t="str">
        <v>-</v>
      </c>
      <c r="C105" s="283" t="str">
        <v>-</v>
      </c>
      <c r="D105" s="283" t="str">
        <v>-</v>
      </c>
      <c r="E105" s="295" t="str">
        <v>-</v>
      </c>
    </row>
    <row r="106" spans="2:5" ht="15" customHeight="1">
      <c r="B106" s="294" t="str">
        <v>-</v>
      </c>
      <c r="C106" s="283" t="str">
        <v>-</v>
      </c>
      <c r="D106" s="283" t="str">
        <v>-</v>
      </c>
      <c r="E106" s="295" t="str">
        <v>-</v>
      </c>
    </row>
    <row r="107" spans="2:5" ht="15" customHeight="1">
      <c r="B107" s="294" t="str">
        <v>-</v>
      </c>
      <c r="C107" s="283" t="str">
        <v>-</v>
      </c>
      <c r="D107" s="283" t="str">
        <v>-</v>
      </c>
      <c r="E107" s="295" t="str">
        <v>-</v>
      </c>
    </row>
    <row r="108" spans="2:5" ht="15" customHeight="1">
      <c r="B108" s="294" t="str">
        <v>-</v>
      </c>
      <c r="C108" s="283" t="str">
        <v>-</v>
      </c>
      <c r="D108" s="283" t="str">
        <v>-</v>
      </c>
      <c r="E108" s="295" t="str">
        <v>-</v>
      </c>
    </row>
    <row r="109" spans="2:5" ht="15" customHeight="1">
      <c r="B109" s="294" t="str">
        <v>-</v>
      </c>
      <c r="C109" s="283" t="str">
        <v>-</v>
      </c>
      <c r="D109" s="283" t="str">
        <v>-</v>
      </c>
      <c r="E109" s="295" t="str">
        <v>-</v>
      </c>
    </row>
    <row r="110" spans="2:5" ht="15" customHeight="1">
      <c r="B110" s="294" t="str">
        <v>-</v>
      </c>
      <c r="C110" s="283" t="str">
        <v>-</v>
      </c>
      <c r="D110" s="283" t="str">
        <v>-</v>
      </c>
      <c r="E110" s="295" t="str">
        <v>-</v>
      </c>
    </row>
    <row r="111" spans="2:5" ht="15" customHeight="1">
      <c r="B111" s="294" t="str">
        <v>-</v>
      </c>
      <c r="C111" s="283" t="str">
        <v>-</v>
      </c>
      <c r="D111" s="283" t="str">
        <v>-</v>
      </c>
      <c r="E111" s="295" t="str">
        <v>-</v>
      </c>
    </row>
    <row r="112" spans="2:5" ht="15" customHeight="1">
      <c r="B112" s="294" t="str">
        <v>-</v>
      </c>
      <c r="C112" s="283" t="str">
        <v>-</v>
      </c>
      <c r="D112" s="283" t="str">
        <v>-</v>
      </c>
      <c r="E112" s="295" t="str">
        <v>-</v>
      </c>
    </row>
    <row r="113" spans="2:5" ht="15" customHeight="1">
      <c r="B113" s="294" t="str">
        <v>-</v>
      </c>
      <c r="C113" s="283" t="str">
        <v>-</v>
      </c>
      <c r="D113" s="283" t="str">
        <v>-</v>
      </c>
      <c r="E113" s="295" t="str">
        <v>-</v>
      </c>
    </row>
    <row r="114" spans="2:5" ht="15" customHeight="1">
      <c r="B114" s="294" t="str">
        <v>-</v>
      </c>
      <c r="C114" s="283" t="str">
        <v>-</v>
      </c>
      <c r="D114" s="283" t="str">
        <v>-</v>
      </c>
      <c r="E114" s="295" t="str">
        <v>-</v>
      </c>
    </row>
    <row r="115" spans="2:5" ht="15" customHeight="1">
      <c r="B115" s="294" t="str">
        <v>-</v>
      </c>
      <c r="C115" s="283" t="str">
        <v>-</v>
      </c>
      <c r="D115" s="283" t="str">
        <v>-</v>
      </c>
      <c r="E115" s="295" t="str">
        <v>-</v>
      </c>
    </row>
    <row r="116" spans="2:5" ht="15" customHeight="1">
      <c r="B116" s="294" t="str">
        <v>-</v>
      </c>
      <c r="C116" s="283" t="str">
        <v>-</v>
      </c>
      <c r="D116" s="283" t="str">
        <v>-</v>
      </c>
      <c r="E116" s="295" t="str">
        <v>-</v>
      </c>
    </row>
    <row r="117" spans="2:5" ht="15" customHeight="1">
      <c r="B117" s="294" t="str">
        <v>-</v>
      </c>
      <c r="C117" s="283" t="str">
        <v>-</v>
      </c>
      <c r="D117" s="283" t="str">
        <v>-</v>
      </c>
      <c r="E117" s="295" t="str">
        <v>-</v>
      </c>
    </row>
    <row r="118" spans="2:5" ht="15" customHeight="1">
      <c r="B118" s="294" t="str">
        <v>-</v>
      </c>
      <c r="C118" s="283" t="str">
        <v>-</v>
      </c>
      <c r="D118" s="283" t="str">
        <v>-</v>
      </c>
      <c r="E118" s="295" t="str">
        <v>-</v>
      </c>
    </row>
    <row r="119" spans="2:5" ht="15" customHeight="1">
      <c r="B119" s="294" t="str">
        <v>-</v>
      </c>
      <c r="C119" s="283" t="str">
        <v>-</v>
      </c>
      <c r="D119" s="283" t="str">
        <v>-</v>
      </c>
      <c r="E119" s="295" t="str">
        <v>-</v>
      </c>
    </row>
    <row r="120" spans="2:5" ht="15" customHeight="1">
      <c r="B120" s="294" t="str">
        <v>-</v>
      </c>
      <c r="C120" s="283" t="str">
        <v>-</v>
      </c>
      <c r="D120" s="283" t="str">
        <v>-</v>
      </c>
      <c r="E120" s="295" t="str">
        <v>-</v>
      </c>
    </row>
    <row r="121" spans="2:5" ht="15" customHeight="1">
      <c r="B121" s="294" t="str">
        <v>-</v>
      </c>
      <c r="C121" s="283" t="str">
        <v>-</v>
      </c>
      <c r="D121" s="283" t="str">
        <v>-</v>
      </c>
      <c r="E121" s="295" t="str">
        <v>-</v>
      </c>
    </row>
    <row r="122" spans="2:5" ht="15" customHeight="1">
      <c r="B122" s="294" t="str">
        <v>-</v>
      </c>
      <c r="C122" s="283" t="str">
        <v>-</v>
      </c>
      <c r="D122" s="283" t="str">
        <v>-</v>
      </c>
      <c r="E122" s="295" t="str">
        <v>-</v>
      </c>
    </row>
    <row r="123" spans="2:5" ht="15" customHeight="1">
      <c r="B123" s="294" t="str">
        <v>-</v>
      </c>
      <c r="C123" s="283" t="str">
        <v>-</v>
      </c>
      <c r="D123" s="283" t="str">
        <v>-</v>
      </c>
      <c r="E123" s="295" t="str">
        <v>-</v>
      </c>
    </row>
    <row r="124" spans="2:5" ht="15" customHeight="1">
      <c r="B124" s="294" t="str">
        <v>-</v>
      </c>
      <c r="C124" s="283" t="str">
        <v>-</v>
      </c>
      <c r="D124" s="283" t="str">
        <v>-</v>
      </c>
      <c r="E124" s="295" t="str">
        <v>-</v>
      </c>
    </row>
    <row r="125" spans="2:5" ht="15" customHeight="1">
      <c r="B125" s="294" t="str">
        <v>-</v>
      </c>
      <c r="C125" s="283" t="str">
        <v>-</v>
      </c>
      <c r="D125" s="283" t="str">
        <v>-</v>
      </c>
      <c r="E125" s="295" t="str">
        <v>-</v>
      </c>
    </row>
    <row r="126" spans="2:5" ht="15" customHeight="1">
      <c r="B126" s="294" t="str">
        <v>-</v>
      </c>
      <c r="C126" s="283" t="str">
        <v>-</v>
      </c>
      <c r="D126" s="283" t="str">
        <v>-</v>
      </c>
      <c r="E126" s="295" t="str">
        <v>-</v>
      </c>
    </row>
    <row r="127" spans="2:5" ht="15" customHeight="1">
      <c r="B127" s="294" t="str">
        <v>-</v>
      </c>
      <c r="C127" s="283" t="str">
        <v>-</v>
      </c>
      <c r="D127" s="283" t="str">
        <v>-</v>
      </c>
      <c r="E127" s="295" t="str">
        <v>-</v>
      </c>
    </row>
    <row r="128" spans="2:5" ht="15" customHeight="1">
      <c r="B128" s="294" t="str">
        <v>-</v>
      </c>
      <c r="C128" s="283" t="str">
        <v>-</v>
      </c>
      <c r="D128" s="283" t="str">
        <v>-</v>
      </c>
      <c r="E128" s="295" t="str">
        <v>-</v>
      </c>
    </row>
    <row r="129" spans="2:5" ht="15" customHeight="1">
      <c r="B129" s="294" t="str">
        <v>-</v>
      </c>
      <c r="C129" s="283" t="str">
        <v>-</v>
      </c>
      <c r="D129" s="283" t="str">
        <v>-</v>
      </c>
      <c r="E129" s="295" t="str">
        <v>-</v>
      </c>
    </row>
    <row r="130" spans="2:5" ht="15" customHeight="1">
      <c r="B130" s="294" t="str">
        <v>-</v>
      </c>
      <c r="C130" s="283" t="str">
        <v>-</v>
      </c>
      <c r="D130" s="283" t="str">
        <v>-</v>
      </c>
      <c r="E130" s="295" t="str">
        <v>-</v>
      </c>
    </row>
    <row r="131" spans="2:5" ht="15" customHeight="1">
      <c r="B131" s="294" t="str">
        <v>-</v>
      </c>
      <c r="C131" s="283" t="str">
        <v>-</v>
      </c>
      <c r="D131" s="283" t="str">
        <v>-</v>
      </c>
      <c r="E131" s="295" t="str">
        <v>-</v>
      </c>
    </row>
    <row r="132" spans="2:5" ht="15" customHeight="1">
      <c r="B132" s="294" t="str">
        <v>-</v>
      </c>
      <c r="C132" s="283" t="str">
        <v>-</v>
      </c>
      <c r="D132" s="283" t="str">
        <v>-</v>
      </c>
      <c r="E132" s="295" t="str">
        <v>-</v>
      </c>
    </row>
    <row r="133" spans="2:5" ht="15" customHeight="1">
      <c r="B133" s="294" t="str">
        <v>-</v>
      </c>
      <c r="C133" s="283" t="str">
        <v>-</v>
      </c>
      <c r="D133" s="283" t="str">
        <v>-</v>
      </c>
      <c r="E133" s="295" t="str">
        <v>-</v>
      </c>
    </row>
    <row r="134" spans="2:5" ht="15" customHeight="1">
      <c r="B134" s="294" t="str">
        <v>-</v>
      </c>
      <c r="C134" s="283" t="str">
        <v>-</v>
      </c>
      <c r="D134" s="283" t="str">
        <v>-</v>
      </c>
      <c r="E134" s="295" t="str">
        <v>-</v>
      </c>
    </row>
    <row r="135" spans="2:5" ht="15" customHeight="1">
      <c r="B135" s="294" t="str">
        <v>-</v>
      </c>
      <c r="C135" s="283" t="str">
        <v>-</v>
      </c>
      <c r="D135" s="283" t="str">
        <v>-</v>
      </c>
      <c r="E135" s="295" t="str">
        <v>-</v>
      </c>
    </row>
    <row r="136" spans="2:5" ht="15" customHeight="1">
      <c r="B136" s="294" t="str">
        <v>-</v>
      </c>
      <c r="C136" s="283" t="str">
        <v>-</v>
      </c>
      <c r="D136" s="283" t="str">
        <v>-</v>
      </c>
      <c r="E136" s="295" t="str">
        <v>-</v>
      </c>
    </row>
    <row r="137" spans="2:5" ht="15" customHeight="1">
      <c r="B137" s="294" t="str">
        <v>-</v>
      </c>
      <c r="C137" s="283" t="str">
        <v>-</v>
      </c>
      <c r="D137" s="283" t="str">
        <v>-</v>
      </c>
      <c r="E137" s="295" t="str">
        <v>-</v>
      </c>
    </row>
    <row r="138" spans="2:5" ht="15" customHeight="1">
      <c r="B138" s="294" t="str">
        <v>-</v>
      </c>
      <c r="C138" s="283" t="str">
        <v>-</v>
      </c>
      <c r="D138" s="283" t="str">
        <v>-</v>
      </c>
      <c r="E138" s="295" t="str">
        <v>-</v>
      </c>
    </row>
    <row r="139" spans="2:5" ht="15" customHeight="1">
      <c r="B139" s="294" t="str">
        <v>-</v>
      </c>
      <c r="C139" s="283" t="str">
        <v>-</v>
      </c>
      <c r="D139" s="283" t="str">
        <v>-</v>
      </c>
      <c r="E139" s="295" t="str">
        <v>-</v>
      </c>
    </row>
    <row r="140" spans="2:5" ht="15" customHeight="1">
      <c r="B140" s="296" t="str">
        <v>-</v>
      </c>
      <c r="C140" s="297" t="str">
        <v>-</v>
      </c>
      <c r="D140" s="297" t="str">
        <v>-</v>
      </c>
      <c r="E140" s="298" t="str">
        <v>-</v>
      </c>
    </row>
  </sheetData>
  <dataValidations count="1">
    <dataValidation type="list" allowBlank="1" showInputMessage="1" showErrorMessage="1" sqref="C2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Scroll Bar 3">
              <controlPr defaultSiz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item1.xml><?xml version="1.0" encoding="utf-8"?>
<models xmlns="http://schemas.microsoft.com/SolverFoundationForExcel/_dontShowOMLWarningIsDerived">
  <model>False</model>
</models>
</file>

<file path=customXml/item2.xml><?xml version="1.0" encoding="utf-8"?>
<versions xmlns="http://schemas.microsoft.com/SolverFoundationForExcel/Version">
  <addinversion>0.6</addinversion>
</versions>
</file>

<file path=customXml/item3.xml><?xml version="1.0" encoding="utf-8"?>
<models xmlns="http://schemas.microsoft.com/SolverFoundationForExcel/_lastCategoryIsDerived">
  <model>False</model>
</models>
</file>

<file path=customXml/item4.xml><?xml version="1.0" encoding="utf-8"?>
<models xmlns="http://schemas.microsoft.com/SolverFoundationForExcel/_quadraticSolverIsDerived">
  <model>False</model>
</models>
</file>

<file path=customXml/item5.xml><?xml version="1.0" encoding="utf-8"?>
<models xmlns="http://schemas.microsoft.com/SolverFoundationForExcel/_generalMaxIterations">
  <model/>
</models>
</file>

<file path=customXml/item6.xml><?xml version="1.0" encoding="utf-8"?>
<models xmlns="http://schemas.microsoft.com/SolverFoundationForExcel/Model">
  <model>// Model: This is the main modeling area
Model[
  // Parameters: This is where you define the data that plugs into the 
  // model. Parameters can be declared as Sets that are later used as 
  // indices (in other Parameters or Decisions), or as singled-valued 
  // constants of type Reals, Integers, or Booleans. When Parameters 
  // are declared as Sets, the elements of the sets will come from the 
  // spreadsheet via the data binding functionality. When Parameters 
  // are declared as constants, their values can be initialized either in 
  // place using = or from data binding functionality.
  Parameters[
  ],
  // Decisions: These are the “outputs” of the solver. They are the 
  // results of the model being solved. Supported types for Decisions 
  // can be Reals, Integers, or Booleans. Decisions are mandatory.
  Decisions[
  ],
  // Constraints: This is where you can add business constraints to 
  // the model. These are restrictions placed on Decisions.
  Constraints[
  ],
  // Goals: This is where you define the business goal or goals you
  // are trying to accomplish. These are used to specify a quantity that 
  // should be maximized or minimized (Minimize[] or Maximize [])
  Goals[
  ]
]</model>
</models>
</file>

<file path=customXml/item7.xml><?xml version="1.0" encoding="utf-8"?>
<models xmlns="http://schemas.microsoft.com/SolverFoundationForExcel/_linearAlgorithmIsDerived">
  <model>False</model>
</models>
</file>

<file path=customXml/item8.xml><?xml version="1.0" encoding="utf-8"?>
<models xmlns="http://schemas.microsoft.com/SolverFoundationForExcel/_linearOptionsOnIsDerived">
  <model>False</model>
</models>
</file>

<file path=customXml/item9.xml><?xml version="1.0" encoding="utf-8"?>
<models xmlns="http://schemas.microsoft.com/SolverFoundationForExcel/_constraintVarHeuristicIsDerived">
  <model>False</model>
</models>
</file>

<file path=customXml/item10.xml><?xml version="1.0" encoding="utf-8"?>
<models xmlns="http://schemas.microsoft.com/SolverFoundationForExcel/_linearAlgorithm">
  <model>Select</model>
</models>
</file>

<file path=customXml/item11.xml><?xml version="1.0" encoding="utf-8"?>
<models xmlns="http://schemas.microsoft.com/SolverFoundationForExcel/_constraintMovHeuristicIsDerived">
  <model>False</model>
</models>
</file>

<file path=customXml/item12.xml><?xml version="1.0" encoding="utf-8"?>
<models xmlns="http://schemas.microsoft.com/SolverFoundationForExcel/_mixedCuttingPlane">
  <model>Select</model>
</models>
</file>

<file path=customXml/item13.xml><?xml version="1.0" encoding="utf-8"?>
<models xmlns="http://schemas.microsoft.com/SolverFoundationForExcel/_constraintMovHeuristic">
  <model>Select</model>
</models>
</file>

<file path=customXml/item14.xml><?xml version="1.0" encoding="utf-8"?>
<models xmlns="http://schemas.microsoft.com/SolverFoundationForExcel/_sensitivity">
  <model>True</model>
</models>
</file>

<file path=customXml/item15.xml><?xml version="1.0" encoding="utf-8"?>
<models xmlns="http://schemas.microsoft.com/SolverFoundationForExcel/_quadraticNumericsIsDerived">
  <model>False</model>
</models>
</file>

<file path=customXml/item16.xml><?xml version="1.0" encoding="utf-8"?>
<models xmlns="http://schemas.microsoft.com/SolverFoundationForExcel/_sensitivityIsDerived">
  <model>False</model>
</models>
</file>

<file path=customXml/item17.xml><?xml version="1.0" encoding="utf-8"?>
<models xmlns="http://schemas.microsoft.com/SolverFoundationForExcel/_constraintSolver">
  <model>Select</model>
</models>
</file>

<file path=customXml/item18.xml><?xml version="1.0" encoding="utf-8"?>
<models xmlns="http://schemas.microsoft.com/SolverFoundationForExcel/_quadraticOptionsOn">
  <model>True</model>
</models>
</file>

<file path=customXml/item19.xml><?xml version="1.0" encoding="utf-8"?>
<models xmlns="http://schemas.microsoft.com/SolverFoundationForExcel/_linearNumerics">
  <model>Select</model>
</models>
</file>

<file path=customXml/item20.xml><?xml version="1.0" encoding="utf-8"?>
<models xmlns="http://schemas.microsoft.com/SolverFoundationForExcel/_lastCategory">
  <model>General</model>
</models>
</file>

<file path=customXml/item21.xml><?xml version="1.0" encoding="utf-8"?>
<models xmlns="http://schemas.microsoft.com/SolverFoundationForExcel/_linearStrategyIsDerived">
  <model>False</model>
</models>
</file>

<file path=customXml/item22.xml><?xml version="1.0" encoding="utf-8"?>
<models xmlns="http://schemas.microsoft.com/SolverFoundationForExcel/_constraintValHeuristicIsDerived">
  <model>False</model>
</models>
</file>

<file path=customXml/item23.xml><?xml version="1.0" encoding="utf-8"?>
<models xmlns="http://schemas.microsoft.com/SolverFoundationForExcel/_mixedSolverIsDerived">
  <model>False</model>
</models>
</file>

<file path=customXml/item24.xml><?xml version="1.0" encoding="utf-8"?>
<models xmlns="http://schemas.microsoft.com/SolverFoundationForExcel/_mixedSolver">
  <model>Select</model>
</models>
</file>

<file path=customXml/item25.xml><?xml version="1.0" encoding="utf-8"?>
<models xmlns="http://schemas.microsoft.com/SolverFoundationForExcel/_constraintOptionsOn">
  <model>True</model>
</models>
</file>

<file path=customXml/item26.xml><?xml version="1.0" encoding="utf-8"?>
<models xmlns="http://schemas.microsoft.com/SolverFoundationForExcel/Input">
  <model/>
</models>
</file>

<file path=customXml/item27.xml><?xml version="1.0" encoding="utf-8"?>
<models xmlns="http://schemas.microsoft.com/SolverFoundationForExcel/_mixedStrategyIsDerived">
  <model>False</model>
</models>
</file>

<file path=customXml/item28.xml><?xml version="1.0" encoding="utf-8"?>
<models xmlns="http://schemas.microsoft.com/SolverFoundationForExcel/_mixedOptionsOn">
  <model>True</model>
</models>
</file>

<file path=customXml/item29.xml><?xml version="1.0" encoding="utf-8"?>
<models xmlns="http://schemas.microsoft.com/SolverFoundationForExcel/_constraintAlgorithmIsDerived">
  <model>False</model>
</models>
</file>

<file path=customXml/item30.xml><?xml version="1.0" encoding="utf-8"?>
<models xmlns="http://schemas.microsoft.com/SolverFoundationForExcel/_constraintAlgorithm">
  <model>Select</model>
</models>
</file>

<file path=customXml/item31.xml><?xml version="1.0" encoding="utf-8"?>
<models xmlns="http://schemas.microsoft.com/SolverFoundationForExcel/_mixedCuttingPlaneIsDerived">
  <model>False</model>
</models>
</file>

<file path=customXml/item32.xml><?xml version="1.0" encoding="utf-8"?>
<models xmlns="http://schemas.microsoft.com/SolverFoundationForExcel/_constraintOptionsOnIsDerived">
  <model>False</model>
</models>
</file>

<file path=customXml/item33.xml><?xml version="1.0" encoding="utf-8"?>
<models xmlns="http://schemas.microsoft.com/SolverFoundationForExcel/_linearNumericsIsDerived">
  <model>False</model>
</models>
</file>

<file path=customXml/item34.xml><?xml version="1.0" encoding="utf-8"?>
<models xmlns="http://schemas.microsoft.com/SolverFoundationForExcel/_mixedOptionsOnIsDerived">
  <model>False</model>
</models>
</file>

<file path=customXml/item35.xml><?xml version="1.0" encoding="utf-8"?>
<models xmlns="http://schemas.microsoft.com/SolverFoundationForExcel/_generalOptionsOn">
  <model>True</model>
</models>
</file>

<file path=customXml/item36.xml><?xml version="1.0" encoding="utf-8"?>
<models xmlns="http://schemas.microsoft.com/SolverFoundationForExcel/_quadraticOptionsOnIsDerived">
  <model>False</model>
</models>
</file>

<file path=customXml/item37.xml><?xml version="1.0" encoding="utf-8"?>
<models xmlns="http://schemas.microsoft.com/SolverFoundationForExcel/_constraintVarHeuristic">
  <model>Select</model>
</models>
</file>

<file path=customXml/item38.xml><?xml version="1.0" encoding="utf-8"?>
<models xmlns="http://schemas.microsoft.com/SolverFoundationForExcel/_generalOptionsOnIsDerived">
  <model>False</model>
</models>
</file>

<file path=customXml/item39.xml><?xml version="1.0" encoding="utf-8"?>
<models xmlns="http://schemas.microsoft.com/SolverFoundationForExcel/_dontShowOMLWarning">
  <model>False</model>
</models>
</file>

<file path=customXml/item40.xml><?xml version="1.0" encoding="utf-8"?>
<models xmlns="http://schemas.microsoft.com/SolverFoundationForExcel/_generalMaxIterationsIsDerived">
  <model>False</model>
</models>
</file>

<file path=customXml/item41.xml><?xml version="1.0" encoding="utf-8"?>
<models xmlns="http://schemas.microsoft.com/SolverFoundationForExcel/_linearOptionsOn">
  <model>True</model>
</models>
</file>

<file path=customXml/item42.xml><?xml version="1.0" encoding="utf-8"?>
<models xmlns="http://schemas.microsoft.com/SolverFoundationForExcel/_quadraticNumerics">
  <model>Select</model>
</models>
</file>

<file path=customXml/item43.xml><?xml version="1.0" encoding="utf-8"?>
<models xmlns="http://schemas.microsoft.com/SolverFoundationForExcel/_linearSolverIsDerived">
  <model>False</model>
</models>
</file>

<file path=customXml/item44.xml><?xml version="1.0" encoding="utf-8"?>
<models xmlns="http://schemas.microsoft.com/SolverFoundationForExcel/_constraintValHeuristic">
  <model>Select</model>
</models>
</file>

<file path=customXml/item45.xml><?xml version="1.0" encoding="utf-8"?>
<models xmlns="http://schemas.microsoft.com/SolverFoundationForExcel/_mixedStrategy">
  <model>Select</model>
</models>
</file>

<file path=customXml/item46.xml><?xml version="1.0" encoding="utf-8"?>
<models xmlns="http://schemas.microsoft.com/SolverFoundationForExcel/_linearStrategy">
  <model>Select</model>
</models>
</file>

<file path=customXml/item47.xml><?xml version="1.0" encoding="utf-8"?>
<models xmlns="http://schemas.microsoft.com/SolverFoundationForExcel/_quadraticSolver">
  <model>Select</model>
</models>
</file>

<file path=customXml/item48.xml><?xml version="1.0" encoding="utf-8"?>
<models xmlns="http://schemas.microsoft.com/SolverFoundationForExcel/_constraintSolverIsDerived">
  <model>False</model>
</models>
</file>

<file path=customXml/item49.xml><?xml version="1.0" encoding="utf-8"?>
<models xmlns="http://schemas.microsoft.com/SolverFoundationForExcel/_quadraticAlgorithmIsDerived">
  <model>False</model>
</models>
</file>

<file path=customXml/item50.xml><?xml version="1.0" encoding="utf-8"?>
<models xmlns="http://schemas.microsoft.com/SolverFoundationForExcel/_linearSolver">
  <model>Select</model>
</models>
</file>

<file path=customXml/item51.xml><?xml version="1.0" encoding="utf-8"?>
<models xmlns="http://schemas.microsoft.com/SolverFoundationForExcel/_generalMaxSeconds">
  <model/>
</models>
</file>

<file path=customXml/item52.xml><?xml version="1.0" encoding="utf-8"?>
<models xmlns="http://schemas.microsoft.com/SolverFoundationForExcel/_quadraticAlgorithm">
  <model>Select</model>
</models>
</file>

<file path=customXml/item53.xml><?xml version="1.0" encoding="utf-8"?>
<models xmlns="http://schemas.microsoft.com/SolverFoundationForExcel/_generalMaxSecondsIsDerived">
  <model>False</model>
</models>
</file>

<file path=customXml/itemProps1.xml><?xml version="1.0" encoding="utf-8"?>
<ds:datastoreItem xmlns:ds="http://schemas.openxmlformats.org/officeDocument/2006/customXml" ds:itemID="{9F86F76E-E1D3-43E0-A78E-558936275FFE}">
  <ds:schemaRefs>
    <ds:schemaRef ds:uri="http://schemas.microsoft.com/SolverFoundationForExcel/_dontShowOMLWarningIsDerived"/>
  </ds:schemaRefs>
</ds:datastoreItem>
</file>

<file path=customXml/itemProps2.xml><?xml version="1.0" encoding="utf-8"?>
<ds:datastoreItem xmlns:ds="http://schemas.openxmlformats.org/officeDocument/2006/customXml" ds:itemID="{6015352C-5E09-4C21-A1A0-DE69104B4813}">
  <ds:schemaRefs>
    <ds:schemaRef ds:uri="http://schemas.microsoft.com/SolverFoundationForExcel/Version"/>
  </ds:schemaRefs>
</ds:datastoreItem>
</file>

<file path=customXml/itemProps3.xml><?xml version="1.0" encoding="utf-8"?>
<ds:datastoreItem xmlns:ds="http://schemas.openxmlformats.org/officeDocument/2006/customXml" ds:itemID="{D70B2A07-FA73-41F4-B748-5EDBDB56C247}">
  <ds:schemaRefs>
    <ds:schemaRef ds:uri="http://schemas.microsoft.com/SolverFoundationForExcel/_lastCategoryIsDerived"/>
  </ds:schemaRefs>
</ds:datastoreItem>
</file>

<file path=customXml/itemProps4.xml><?xml version="1.0" encoding="utf-8"?>
<ds:datastoreItem xmlns:ds="http://schemas.openxmlformats.org/officeDocument/2006/customXml" ds:itemID="{2D062C18-BBE7-425D-A95E-3E73F020A6CE}">
  <ds:schemaRefs>
    <ds:schemaRef ds:uri="http://schemas.microsoft.com/SolverFoundationForExcel/_quadraticSolverIsDerived"/>
  </ds:schemaRefs>
</ds:datastoreItem>
</file>

<file path=customXml/itemProps5.xml><?xml version="1.0" encoding="utf-8"?>
<ds:datastoreItem xmlns:ds="http://schemas.openxmlformats.org/officeDocument/2006/customXml" ds:itemID="{35FA671A-F5E1-441E-A6C0-7AE52F7E8355}">
  <ds:schemaRefs>
    <ds:schemaRef ds:uri="http://schemas.microsoft.com/SolverFoundationForExcel/_generalMaxIterations"/>
  </ds:schemaRefs>
</ds:datastoreItem>
</file>

<file path=customXml/itemProps6.xml><?xml version="1.0" encoding="utf-8"?>
<ds:datastoreItem xmlns:ds="http://schemas.openxmlformats.org/officeDocument/2006/customXml" ds:itemID="{8969044C-128E-46C1-B6B4-1FCA56102849}">
  <ds:schemaRefs>
    <ds:schemaRef ds:uri="http://schemas.microsoft.com/SolverFoundationForExcel/Model"/>
  </ds:schemaRefs>
</ds:datastoreItem>
</file>

<file path=customXml/itemProps7.xml><?xml version="1.0" encoding="utf-8"?>
<ds:datastoreItem xmlns:ds="http://schemas.openxmlformats.org/officeDocument/2006/customXml" ds:itemID="{DA42192F-2FCB-419B-B245-F7D168E63893}">
  <ds:schemaRefs>
    <ds:schemaRef ds:uri="http://schemas.microsoft.com/SolverFoundationForExcel/_linearAlgorithmIsDerived"/>
  </ds:schemaRefs>
</ds:datastoreItem>
</file>

<file path=customXml/itemProps8.xml><?xml version="1.0" encoding="utf-8"?>
<ds:datastoreItem xmlns:ds="http://schemas.openxmlformats.org/officeDocument/2006/customXml" ds:itemID="{88C48A4E-6C2E-453C-905C-63F00D7A4409}">
  <ds:schemaRefs>
    <ds:schemaRef ds:uri="http://schemas.microsoft.com/SolverFoundationForExcel/_linearOptionsOnIsDerived"/>
  </ds:schemaRefs>
</ds:datastoreItem>
</file>

<file path=customXml/itemProps9.xml><?xml version="1.0" encoding="utf-8"?>
<ds:datastoreItem xmlns:ds="http://schemas.openxmlformats.org/officeDocument/2006/customXml" ds:itemID="{D25E1A66-EFFD-402D-B179-17DF6917741D}">
  <ds:schemaRefs>
    <ds:schemaRef ds:uri="http://schemas.microsoft.com/SolverFoundationForExcel/_constraintVarHeuristicIsDerived"/>
  </ds:schemaRefs>
</ds:datastoreItem>
</file>

<file path=customXml/itemProps10.xml><?xml version="1.0" encoding="utf-8"?>
<ds:datastoreItem xmlns:ds="http://schemas.openxmlformats.org/officeDocument/2006/customXml" ds:itemID="{1759F1CE-FBFB-4330-A297-0FE8FB41367E}">
  <ds:schemaRefs>
    <ds:schemaRef ds:uri="http://schemas.microsoft.com/SolverFoundationForExcel/_linearAlgorithm"/>
  </ds:schemaRefs>
</ds:datastoreItem>
</file>

<file path=customXml/itemProps11.xml><?xml version="1.0" encoding="utf-8"?>
<ds:datastoreItem xmlns:ds="http://schemas.openxmlformats.org/officeDocument/2006/customXml" ds:itemID="{87C1DEB3-F5D0-4CD2-B7B4-5ABD1EE33F2F}">
  <ds:schemaRefs>
    <ds:schemaRef ds:uri="http://schemas.microsoft.com/SolverFoundationForExcel/_constraintMovHeuristicIsDerived"/>
  </ds:schemaRefs>
</ds:datastoreItem>
</file>

<file path=customXml/itemProps12.xml><?xml version="1.0" encoding="utf-8"?>
<ds:datastoreItem xmlns:ds="http://schemas.openxmlformats.org/officeDocument/2006/customXml" ds:itemID="{E2ADCEB0-8570-4CB2-9629-2AF6BCAE92E3}">
  <ds:schemaRefs>
    <ds:schemaRef ds:uri="http://schemas.microsoft.com/SolverFoundationForExcel/_mixedCuttingPlane"/>
  </ds:schemaRefs>
</ds:datastoreItem>
</file>

<file path=customXml/itemProps13.xml><?xml version="1.0" encoding="utf-8"?>
<ds:datastoreItem xmlns:ds="http://schemas.openxmlformats.org/officeDocument/2006/customXml" ds:itemID="{C1875801-C3CD-4F3D-B6B8-EF8710276948}">
  <ds:schemaRefs>
    <ds:schemaRef ds:uri="http://schemas.microsoft.com/SolverFoundationForExcel/_constraintMovHeuristic"/>
  </ds:schemaRefs>
</ds:datastoreItem>
</file>

<file path=customXml/itemProps14.xml><?xml version="1.0" encoding="utf-8"?>
<ds:datastoreItem xmlns:ds="http://schemas.openxmlformats.org/officeDocument/2006/customXml" ds:itemID="{A27BAB6C-4C03-45EA-A47C-5F34D02EFE15}">
  <ds:schemaRefs>
    <ds:schemaRef ds:uri="http://schemas.microsoft.com/SolverFoundationForExcel/_sensitivity"/>
  </ds:schemaRefs>
</ds:datastoreItem>
</file>

<file path=customXml/itemProps15.xml><?xml version="1.0" encoding="utf-8"?>
<ds:datastoreItem xmlns:ds="http://schemas.openxmlformats.org/officeDocument/2006/customXml" ds:itemID="{FE5CA656-D139-4939-94F3-E1FEC02910D4}">
  <ds:schemaRefs>
    <ds:schemaRef ds:uri="http://schemas.microsoft.com/SolverFoundationForExcel/_quadraticNumericsIsDerived"/>
  </ds:schemaRefs>
</ds:datastoreItem>
</file>

<file path=customXml/itemProps16.xml><?xml version="1.0" encoding="utf-8"?>
<ds:datastoreItem xmlns:ds="http://schemas.openxmlformats.org/officeDocument/2006/customXml" ds:itemID="{5E13F4B2-8C3D-46A9-AAE1-79112B8DBE6F}">
  <ds:schemaRefs>
    <ds:schemaRef ds:uri="http://schemas.microsoft.com/SolverFoundationForExcel/_sensitivityIsDerived"/>
  </ds:schemaRefs>
</ds:datastoreItem>
</file>

<file path=customXml/itemProps17.xml><?xml version="1.0" encoding="utf-8"?>
<ds:datastoreItem xmlns:ds="http://schemas.openxmlformats.org/officeDocument/2006/customXml" ds:itemID="{36B13801-63F5-42F9-830A-6B4B2998A685}">
  <ds:schemaRefs>
    <ds:schemaRef ds:uri="http://schemas.microsoft.com/SolverFoundationForExcel/_constraintSolver"/>
  </ds:schemaRefs>
</ds:datastoreItem>
</file>

<file path=customXml/itemProps18.xml><?xml version="1.0" encoding="utf-8"?>
<ds:datastoreItem xmlns:ds="http://schemas.openxmlformats.org/officeDocument/2006/customXml" ds:itemID="{FD497215-4925-44E4-A634-783AA2C1AFA6}">
  <ds:schemaRefs>
    <ds:schemaRef ds:uri="http://schemas.microsoft.com/SolverFoundationForExcel/_quadraticOptionsOn"/>
  </ds:schemaRefs>
</ds:datastoreItem>
</file>

<file path=customXml/itemProps19.xml><?xml version="1.0" encoding="utf-8"?>
<ds:datastoreItem xmlns:ds="http://schemas.openxmlformats.org/officeDocument/2006/customXml" ds:itemID="{BF047CCA-B2B2-4FC6-9010-778D3DDBFDCC}">
  <ds:schemaRefs>
    <ds:schemaRef ds:uri="http://schemas.microsoft.com/SolverFoundationForExcel/_linearNumerics"/>
  </ds:schemaRefs>
</ds:datastoreItem>
</file>

<file path=customXml/itemProps20.xml><?xml version="1.0" encoding="utf-8"?>
<ds:datastoreItem xmlns:ds="http://schemas.openxmlformats.org/officeDocument/2006/customXml" ds:itemID="{440F312D-A241-4ADA-921B-F8C29AB6FE6E}">
  <ds:schemaRefs>
    <ds:schemaRef ds:uri="http://schemas.microsoft.com/SolverFoundationForExcel/_lastCategory"/>
  </ds:schemaRefs>
</ds:datastoreItem>
</file>

<file path=customXml/itemProps21.xml><?xml version="1.0" encoding="utf-8"?>
<ds:datastoreItem xmlns:ds="http://schemas.openxmlformats.org/officeDocument/2006/customXml" ds:itemID="{D1F46CAC-3838-4653-A934-947BDE9851E7}">
  <ds:schemaRefs>
    <ds:schemaRef ds:uri="http://schemas.microsoft.com/SolverFoundationForExcel/_linearStrategyIsDerived"/>
  </ds:schemaRefs>
</ds:datastoreItem>
</file>

<file path=customXml/itemProps22.xml><?xml version="1.0" encoding="utf-8"?>
<ds:datastoreItem xmlns:ds="http://schemas.openxmlformats.org/officeDocument/2006/customXml" ds:itemID="{6DB1698B-C430-4623-9DBE-4DB288E54ACF}">
  <ds:schemaRefs>
    <ds:schemaRef ds:uri="http://schemas.microsoft.com/SolverFoundationForExcel/_constraintValHeuristicIsDerived"/>
  </ds:schemaRefs>
</ds:datastoreItem>
</file>

<file path=customXml/itemProps23.xml><?xml version="1.0" encoding="utf-8"?>
<ds:datastoreItem xmlns:ds="http://schemas.openxmlformats.org/officeDocument/2006/customXml" ds:itemID="{526C2AD3-ED3E-4F3E-9005-72E0656BF14F}">
  <ds:schemaRefs>
    <ds:schemaRef ds:uri="http://schemas.microsoft.com/SolverFoundationForExcel/_mixedSolverIsDerived"/>
  </ds:schemaRefs>
</ds:datastoreItem>
</file>

<file path=customXml/itemProps24.xml><?xml version="1.0" encoding="utf-8"?>
<ds:datastoreItem xmlns:ds="http://schemas.openxmlformats.org/officeDocument/2006/customXml" ds:itemID="{1A81AAA4-313F-461D-A1E2-B3794FD27099}">
  <ds:schemaRefs>
    <ds:schemaRef ds:uri="http://schemas.microsoft.com/SolverFoundationForExcel/_mixedSolver"/>
  </ds:schemaRefs>
</ds:datastoreItem>
</file>

<file path=customXml/itemProps25.xml><?xml version="1.0" encoding="utf-8"?>
<ds:datastoreItem xmlns:ds="http://schemas.openxmlformats.org/officeDocument/2006/customXml" ds:itemID="{F799DD27-D50A-4BD8-84A0-250CD301E39D}">
  <ds:schemaRefs>
    <ds:schemaRef ds:uri="http://schemas.microsoft.com/SolverFoundationForExcel/_constraintOptionsOn"/>
  </ds:schemaRefs>
</ds:datastoreItem>
</file>

<file path=customXml/itemProps26.xml><?xml version="1.0" encoding="utf-8"?>
<ds:datastoreItem xmlns:ds="http://schemas.openxmlformats.org/officeDocument/2006/customXml" ds:itemID="{699C1C8B-92BB-4A4B-B91B-E88A951ED728}">
  <ds:schemaRefs>
    <ds:schemaRef ds:uri="http://schemas.microsoft.com/SolverFoundationForExcel/Input"/>
  </ds:schemaRefs>
</ds:datastoreItem>
</file>

<file path=customXml/itemProps27.xml><?xml version="1.0" encoding="utf-8"?>
<ds:datastoreItem xmlns:ds="http://schemas.openxmlformats.org/officeDocument/2006/customXml" ds:itemID="{9E8DFF40-5CE2-4FC1-B97C-5D9DB8FBCFDA}">
  <ds:schemaRefs>
    <ds:schemaRef ds:uri="http://schemas.microsoft.com/SolverFoundationForExcel/_mixedStrategyIsDerived"/>
  </ds:schemaRefs>
</ds:datastoreItem>
</file>

<file path=customXml/itemProps28.xml><?xml version="1.0" encoding="utf-8"?>
<ds:datastoreItem xmlns:ds="http://schemas.openxmlformats.org/officeDocument/2006/customXml" ds:itemID="{B37259BB-E56D-4157-AD06-B3C2CC607CA9}">
  <ds:schemaRefs>
    <ds:schemaRef ds:uri="http://schemas.microsoft.com/SolverFoundationForExcel/_mixedOptionsOn"/>
  </ds:schemaRefs>
</ds:datastoreItem>
</file>

<file path=customXml/itemProps29.xml><?xml version="1.0" encoding="utf-8"?>
<ds:datastoreItem xmlns:ds="http://schemas.openxmlformats.org/officeDocument/2006/customXml" ds:itemID="{E3548163-07C1-4458-93FC-D09F28A0FAD9}">
  <ds:schemaRefs>
    <ds:schemaRef ds:uri="http://schemas.microsoft.com/SolverFoundationForExcel/_constraintAlgorithmIsDerived"/>
  </ds:schemaRefs>
</ds:datastoreItem>
</file>

<file path=customXml/itemProps30.xml><?xml version="1.0" encoding="utf-8"?>
<ds:datastoreItem xmlns:ds="http://schemas.openxmlformats.org/officeDocument/2006/customXml" ds:itemID="{3047E6DC-F501-4EEF-8255-6C7BFFC8DED9}">
  <ds:schemaRefs>
    <ds:schemaRef ds:uri="http://schemas.microsoft.com/SolverFoundationForExcel/_constraintAlgorithm"/>
  </ds:schemaRefs>
</ds:datastoreItem>
</file>

<file path=customXml/itemProps31.xml><?xml version="1.0" encoding="utf-8"?>
<ds:datastoreItem xmlns:ds="http://schemas.openxmlformats.org/officeDocument/2006/customXml" ds:itemID="{0F02E38B-FBD3-4E63-AD30-8E28DF13FD43}">
  <ds:schemaRefs>
    <ds:schemaRef ds:uri="http://schemas.microsoft.com/SolverFoundationForExcel/_mixedCuttingPlaneIsDerived"/>
  </ds:schemaRefs>
</ds:datastoreItem>
</file>

<file path=customXml/itemProps32.xml><?xml version="1.0" encoding="utf-8"?>
<ds:datastoreItem xmlns:ds="http://schemas.openxmlformats.org/officeDocument/2006/customXml" ds:itemID="{AA7B10F3-B5AE-4B4A-9E82-2079C165263F}">
  <ds:schemaRefs>
    <ds:schemaRef ds:uri="http://schemas.microsoft.com/SolverFoundationForExcel/_constraintOptionsOnIsDerived"/>
  </ds:schemaRefs>
</ds:datastoreItem>
</file>

<file path=customXml/itemProps33.xml><?xml version="1.0" encoding="utf-8"?>
<ds:datastoreItem xmlns:ds="http://schemas.openxmlformats.org/officeDocument/2006/customXml" ds:itemID="{8672846B-0A93-416E-801C-F5D2DFD65E2D}">
  <ds:schemaRefs>
    <ds:schemaRef ds:uri="http://schemas.microsoft.com/SolverFoundationForExcel/_linearNumericsIsDerived"/>
  </ds:schemaRefs>
</ds:datastoreItem>
</file>

<file path=customXml/itemProps34.xml><?xml version="1.0" encoding="utf-8"?>
<ds:datastoreItem xmlns:ds="http://schemas.openxmlformats.org/officeDocument/2006/customXml" ds:itemID="{BE8B93AA-3ACD-499C-8BE6-725E064D14E3}">
  <ds:schemaRefs>
    <ds:schemaRef ds:uri="http://schemas.microsoft.com/SolverFoundationForExcel/_mixedOptionsOnIsDerived"/>
  </ds:schemaRefs>
</ds:datastoreItem>
</file>

<file path=customXml/itemProps35.xml><?xml version="1.0" encoding="utf-8"?>
<ds:datastoreItem xmlns:ds="http://schemas.openxmlformats.org/officeDocument/2006/customXml" ds:itemID="{500B7219-820D-4D93-8F02-C42DF270AB48}">
  <ds:schemaRefs>
    <ds:schemaRef ds:uri="http://schemas.microsoft.com/SolverFoundationForExcel/_generalOptionsOn"/>
  </ds:schemaRefs>
</ds:datastoreItem>
</file>

<file path=customXml/itemProps36.xml><?xml version="1.0" encoding="utf-8"?>
<ds:datastoreItem xmlns:ds="http://schemas.openxmlformats.org/officeDocument/2006/customXml" ds:itemID="{676E3883-8072-4672-9481-12CECEF37955}">
  <ds:schemaRefs>
    <ds:schemaRef ds:uri="http://schemas.microsoft.com/SolverFoundationForExcel/_quadraticOptionsOnIsDerived"/>
  </ds:schemaRefs>
</ds:datastoreItem>
</file>

<file path=customXml/itemProps37.xml><?xml version="1.0" encoding="utf-8"?>
<ds:datastoreItem xmlns:ds="http://schemas.openxmlformats.org/officeDocument/2006/customXml" ds:itemID="{638391B0-2D25-4D5D-9CEB-7C068F9ECB1A}">
  <ds:schemaRefs>
    <ds:schemaRef ds:uri="http://schemas.microsoft.com/SolverFoundationForExcel/_constraintVarHeuristic"/>
  </ds:schemaRefs>
</ds:datastoreItem>
</file>

<file path=customXml/itemProps38.xml><?xml version="1.0" encoding="utf-8"?>
<ds:datastoreItem xmlns:ds="http://schemas.openxmlformats.org/officeDocument/2006/customXml" ds:itemID="{363E2E37-2B0C-4936-B127-4BD86059BA3C}">
  <ds:schemaRefs>
    <ds:schemaRef ds:uri="http://schemas.microsoft.com/SolverFoundationForExcel/_generalOptionsOnIsDerived"/>
  </ds:schemaRefs>
</ds:datastoreItem>
</file>

<file path=customXml/itemProps39.xml><?xml version="1.0" encoding="utf-8"?>
<ds:datastoreItem xmlns:ds="http://schemas.openxmlformats.org/officeDocument/2006/customXml" ds:itemID="{54BC8DB6-5703-478A-A0C4-49EAAF23C0E1}">
  <ds:schemaRefs>
    <ds:schemaRef ds:uri="http://schemas.microsoft.com/SolverFoundationForExcel/_dontShowOMLWarning"/>
  </ds:schemaRefs>
</ds:datastoreItem>
</file>

<file path=customXml/itemProps40.xml><?xml version="1.0" encoding="utf-8"?>
<ds:datastoreItem xmlns:ds="http://schemas.openxmlformats.org/officeDocument/2006/customXml" ds:itemID="{402CE4EE-3233-45E3-BACB-F5B572ED47CA}">
  <ds:schemaRefs>
    <ds:schemaRef ds:uri="http://schemas.microsoft.com/SolverFoundationForExcel/_generalMaxIterationsIsDerived"/>
  </ds:schemaRefs>
</ds:datastoreItem>
</file>

<file path=customXml/itemProps41.xml><?xml version="1.0" encoding="utf-8"?>
<ds:datastoreItem xmlns:ds="http://schemas.openxmlformats.org/officeDocument/2006/customXml" ds:itemID="{AAEB54D5-02EF-4F6C-88C3-23CDD14F9708}">
  <ds:schemaRefs>
    <ds:schemaRef ds:uri="http://schemas.microsoft.com/SolverFoundationForExcel/_linearOptionsOn"/>
  </ds:schemaRefs>
</ds:datastoreItem>
</file>

<file path=customXml/itemProps42.xml><?xml version="1.0" encoding="utf-8"?>
<ds:datastoreItem xmlns:ds="http://schemas.openxmlformats.org/officeDocument/2006/customXml" ds:itemID="{A12D942A-85AF-443F-9519-820742EA8076}">
  <ds:schemaRefs>
    <ds:schemaRef ds:uri="http://schemas.microsoft.com/SolverFoundationForExcel/_quadraticNumerics"/>
  </ds:schemaRefs>
</ds:datastoreItem>
</file>

<file path=customXml/itemProps43.xml><?xml version="1.0" encoding="utf-8"?>
<ds:datastoreItem xmlns:ds="http://schemas.openxmlformats.org/officeDocument/2006/customXml" ds:itemID="{673E8FA1-4AD7-4F99-9557-02D8DEDB40C1}">
  <ds:schemaRefs>
    <ds:schemaRef ds:uri="http://schemas.microsoft.com/SolverFoundationForExcel/_linearSolverIsDerived"/>
  </ds:schemaRefs>
</ds:datastoreItem>
</file>

<file path=customXml/itemProps44.xml><?xml version="1.0" encoding="utf-8"?>
<ds:datastoreItem xmlns:ds="http://schemas.openxmlformats.org/officeDocument/2006/customXml" ds:itemID="{91F40717-B6D8-49EF-9E3C-E2682272A6A9}">
  <ds:schemaRefs>
    <ds:schemaRef ds:uri="http://schemas.microsoft.com/SolverFoundationForExcel/_constraintValHeuristic"/>
  </ds:schemaRefs>
</ds:datastoreItem>
</file>

<file path=customXml/itemProps45.xml><?xml version="1.0" encoding="utf-8"?>
<ds:datastoreItem xmlns:ds="http://schemas.openxmlformats.org/officeDocument/2006/customXml" ds:itemID="{79BBCB8A-5408-434B-94BC-8F7D87BF0F30}">
  <ds:schemaRefs>
    <ds:schemaRef ds:uri="http://schemas.microsoft.com/SolverFoundationForExcel/_mixedStrategy"/>
  </ds:schemaRefs>
</ds:datastoreItem>
</file>

<file path=customXml/itemProps46.xml><?xml version="1.0" encoding="utf-8"?>
<ds:datastoreItem xmlns:ds="http://schemas.openxmlformats.org/officeDocument/2006/customXml" ds:itemID="{753D2A39-75AC-43D2-999C-1120378EC356}">
  <ds:schemaRefs>
    <ds:schemaRef ds:uri="http://schemas.microsoft.com/SolverFoundationForExcel/_linearStrategy"/>
  </ds:schemaRefs>
</ds:datastoreItem>
</file>

<file path=customXml/itemProps47.xml><?xml version="1.0" encoding="utf-8"?>
<ds:datastoreItem xmlns:ds="http://schemas.openxmlformats.org/officeDocument/2006/customXml" ds:itemID="{5ABD6C31-DA65-4D63-A02D-702D7D0FB053}">
  <ds:schemaRefs>
    <ds:schemaRef ds:uri="http://schemas.microsoft.com/SolverFoundationForExcel/_quadraticSolver"/>
  </ds:schemaRefs>
</ds:datastoreItem>
</file>

<file path=customXml/itemProps48.xml><?xml version="1.0" encoding="utf-8"?>
<ds:datastoreItem xmlns:ds="http://schemas.openxmlformats.org/officeDocument/2006/customXml" ds:itemID="{F56772E3-A27B-4DE2-9E68-BD0E85AD1981}">
  <ds:schemaRefs>
    <ds:schemaRef ds:uri="http://schemas.microsoft.com/SolverFoundationForExcel/_constraintSolverIsDerived"/>
  </ds:schemaRefs>
</ds:datastoreItem>
</file>

<file path=customXml/itemProps49.xml><?xml version="1.0" encoding="utf-8"?>
<ds:datastoreItem xmlns:ds="http://schemas.openxmlformats.org/officeDocument/2006/customXml" ds:itemID="{68C24606-BADB-4585-979B-817EBCDF708C}">
  <ds:schemaRefs>
    <ds:schemaRef ds:uri="http://schemas.microsoft.com/SolverFoundationForExcel/_quadraticAlgorithmIsDerived"/>
  </ds:schemaRefs>
</ds:datastoreItem>
</file>

<file path=customXml/itemProps50.xml><?xml version="1.0" encoding="utf-8"?>
<ds:datastoreItem xmlns:ds="http://schemas.openxmlformats.org/officeDocument/2006/customXml" ds:itemID="{F4364AFA-E75E-4A63-BCBA-36262736A27B}">
  <ds:schemaRefs>
    <ds:schemaRef ds:uri="http://schemas.microsoft.com/SolverFoundationForExcel/_linearSolver"/>
  </ds:schemaRefs>
</ds:datastoreItem>
</file>

<file path=customXml/itemProps51.xml><?xml version="1.0" encoding="utf-8"?>
<ds:datastoreItem xmlns:ds="http://schemas.openxmlformats.org/officeDocument/2006/customXml" ds:itemID="{58CFA5BC-B8D2-4EE6-9515-F8438B8CDC9D}">
  <ds:schemaRefs>
    <ds:schemaRef ds:uri="http://schemas.microsoft.com/SolverFoundationForExcel/_generalMaxSeconds"/>
  </ds:schemaRefs>
</ds:datastoreItem>
</file>

<file path=customXml/itemProps52.xml><?xml version="1.0" encoding="utf-8"?>
<ds:datastoreItem xmlns:ds="http://schemas.openxmlformats.org/officeDocument/2006/customXml" ds:itemID="{5BACAB1E-AEAE-47BE-902E-A0772E7EAE20}">
  <ds:schemaRefs>
    <ds:schemaRef ds:uri="http://schemas.microsoft.com/SolverFoundationForExcel/_quadraticAlgorithm"/>
  </ds:schemaRefs>
</ds:datastoreItem>
</file>

<file path=customXml/itemProps53.xml><?xml version="1.0" encoding="utf-8"?>
<ds:datastoreItem xmlns:ds="http://schemas.openxmlformats.org/officeDocument/2006/customXml" ds:itemID="{047A0DA2-7E98-4E83-8EE0-6104314E468E}">
  <ds:schemaRefs>
    <ds:schemaRef ds:uri="http://schemas.microsoft.com/SolverFoundationForExcel/_generalMaxSecondsIsDeriv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FORECASTING</vt:lpstr>
      <vt:lpstr>DATA</vt:lpstr>
      <vt:lpstr>COMPS</vt:lpstr>
      <vt:lpstr>CHARTING</vt:lpstr>
      <vt:lpstr>CONTROL_RNG</vt:lpstr>
      <vt:lpstr>CURRENCY_RNG</vt:lpstr>
      <vt:lpstr>DATA_RNG</vt:lpstr>
      <vt:lpstr>Reference_Ticker</vt:lpstr>
      <vt:lpstr>Screen_Inputs</vt:lpstr>
      <vt:lpstr>SERVER_RNG</vt:lpstr>
      <vt:lpstr>TICKER_RNG</vt:lpstr>
    </vt:vector>
  </TitlesOfParts>
  <Company>NICO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ADVFN Retrieval</dc:title>
  <dc:creator>Rafael Nicolas Fermin Cota</dc:creator>
  <dc:description>nfermincota.hba2005@ivey.ca</dc:description>
  <cp:lastModifiedBy>Windows User</cp:lastModifiedBy>
  <dcterms:created xsi:type="dcterms:W3CDTF">2008-08-29T23:40:23Z</dcterms:created>
  <dcterms:modified xsi:type="dcterms:W3CDTF">2013-03-20T02:50:42Z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sswordProperty1">
    <vt:lpwstr>MIGHAoGBAO/iBmlLYx6j35opzGKI+VB8Uc29yKPNayoOzOHhTIUf2GGDqX1XJ2eP</vt:lpwstr>
  </property>
  <property fmtid="{D5CDD505-2E9C-101B-9397-08002B2CF9AE}" pid="3" name="PasswordProperty2">
    <vt:lpwstr>NhP1P2dNk8AOxR4ro37hLPUiM+E8cE7r5QKWrlIPXp1ltbMXraIvvtcdk3/RahcD</vt:lpwstr>
  </property>
  <property fmtid="{D5CDD505-2E9C-101B-9397-08002B2CF9AE}" pid="4" name="PasswordProperty3">
    <vt:lpwstr>2Ggr6Bf8YyeqL/u7E+lo/G4xZeZB6nQsbnIEvzyE6F3btCi9yUUZAgED</vt:lpwstr>
  </property>
  <property fmtid="{D5CDD505-2E9C-101B-9397-08002B2CF9AE}" pid="5" name="PasswordSequence">
    <vt:lpwstr>2</vt:lpwstr>
  </property>
  <property fmtid="{D5CDD505-2E9C-101B-9397-08002B2CF9AE}" pid="6" name="SignatureProperty1">
    <vt:lpwstr>5EE9E6A4D734D60783F363E88B5FD3CFB6FEE5CCAD163C786E51E7A42425A14F13B615594F27AB641CBA7E3634AF599954E67412FC243A638849124AECDBF655</vt:lpwstr>
  </property>
  <property fmtid="{D5CDD505-2E9C-101B-9397-08002B2CF9AE}" pid="7" name="SignatureProperty2">
    <vt:lpwstr>BE0BFA3F0F6B275C450A68958633918360876EDEFA77686760EDB3A333860ECDA5A2B09BC45BB8B37B1005D464CA4A02493D221703EF8033612738B8D94C4676</vt:lpwstr>
  </property>
  <property fmtid="{D5CDD505-2E9C-101B-9397-08002B2CF9AE}" pid="8" name="SignatureProperty3">
    <vt:lpwstr>D0EA042253731D5BC54D3E7962139C7C944D1F36F5BC8D3B5D2F198B0E271C28E9974620EC02BD4F46AA912DB04B2DCFDB53CF852897C1679EC857EA6545914B</vt:lpwstr>
  </property>
  <property fmtid="{D5CDD505-2E9C-101B-9397-08002B2CF9AE}" pid="9" name="SignatureProperty4">
    <vt:lpwstr>C61D431A2221E390EA9431337651D309BFBFCABA23B5267C6A756DFAD21914ED</vt:lpwstr>
  </property>
  <property fmtid="{D5CDD505-2E9C-101B-9397-08002B2CF9AE}" pid="10" name="SignatureSequence">
    <vt:lpwstr>2</vt:lpwstr>
  </property>
</Properties>
</file>