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360" yWindow="15" windowWidth="6225" windowHeight="5760" activeTab="2"/>
  </bookViews>
  <sheets>
    <sheet name="MODEL" sheetId="21" r:id="rId1"/>
    <sheet name="MIN_VOLATILITY_CHART" sheetId="18" r:id="rId2"/>
    <sheet name="MAX_VOLATILITY_CHART" sheetId="23" r:id="rId3"/>
    <sheet name="MIN_RETURN_CHART" sheetId="19" r:id="rId4"/>
    <sheet name="MAX_RETURN_CHART" sheetId="22" r:id="rId5"/>
  </sheets>
  <definedNames>
    <definedName name="INPUTS">MODEL!$C$5:$C$7</definedName>
    <definedName name="MAX_DATE_AXIS">MODEL!$K$6:$K$55</definedName>
    <definedName name="MAX_PRICE_AXIS">MODEL!$L$6:$L$55</definedName>
    <definedName name="MAX_RETURN_AXIS">MODEL!$M$6:$M$55</definedName>
    <definedName name="MAX_VOLATILITY_AXIS">MODEL!$N$6:$N$55</definedName>
    <definedName name="MIN_DATE_AXIS">MODEL!$G$6:$G$55</definedName>
    <definedName name="MIN_PRICE_AXIS">MODEL!$H$6:$H$55</definedName>
    <definedName name="MIN_RETURN_AXIS">MODEL!$I$6:$I$55</definedName>
    <definedName name="MIN_VOLATILITY_AXIS">MODEL!$J$6:$J$55</definedName>
    <definedName name="POSITION">MODEL!$G$5</definedName>
  </definedNames>
  <calcPr calcId="145621"/>
</workbook>
</file>

<file path=xl/calcChain.xml><?xml version="1.0" encoding="utf-8"?>
<calcChain xmlns="http://schemas.openxmlformats.org/spreadsheetml/2006/main">
  <c r="B15" i="21" l="1"/>
  <c r="B14" i="21"/>
  <c r="C7" i="21"/>
  <c r="C6" i="21" s="1"/>
</calcChain>
</file>

<file path=xl/comments1.xml><?xml version="1.0" encoding="utf-8"?>
<comments xmlns="http://schemas.openxmlformats.org/spreadsheetml/2006/main">
  <authors>
    <author>Nico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if blank it will find the min and max correlation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'VERSION = 0 --&gt; SD &amp; Prices
'VERSION else --&gt; SD &amp; Returns</t>
        </r>
      </text>
    </comment>
    <comment ref="B12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'METHOD = 0 --&gt; Pearson
'METHOD Else --&gt; Spearman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chart.yahoo.com/table.csv?s=GE&amp;a=4&amp;b=27&amp;c=2007&amp;d=4&amp;e=26&amp;f=2009&amp;g=d&amp;q=q&amp;y=0&amp;z=GE&amp;x=.csv" htmlFormat="all"/>
  </connection>
</connections>
</file>

<file path=xl/sharedStrings.xml><?xml version="1.0" encoding="utf-8"?>
<sst xmlns="http://schemas.openxmlformats.org/spreadsheetml/2006/main" count="18" uniqueCount="18">
  <si>
    <t>TICKER</t>
  </si>
  <si>
    <t>MSFT</t>
  </si>
  <si>
    <t>START DATE</t>
  </si>
  <si>
    <t>END DATE</t>
  </si>
  <si>
    <t>REFERENCE DATE</t>
  </si>
  <si>
    <t>MA PERIODS</t>
  </si>
  <si>
    <t>Correlation, Volatility and the Market</t>
  </si>
  <si>
    <t>NBINS</t>
  </si>
  <si>
    <t>VERSION</t>
  </si>
  <si>
    <t>METHOD</t>
  </si>
  <si>
    <t>MIN CORREL PRICE</t>
  </si>
  <si>
    <t>MIN CORREL RETURN</t>
  </si>
  <si>
    <t>MIN CORREL VOLATILITY</t>
  </si>
  <si>
    <t>MAX CORREL PRICE</t>
  </si>
  <si>
    <t>MAX CORREL RETURN</t>
  </si>
  <si>
    <t>MAX CORREL VOLATILITY</t>
  </si>
  <si>
    <t>MIN CORREL DATE: CORREL = -73.01%</t>
  </si>
  <si>
    <t>MAX CORREL DATE: CORREL = 60.39%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</si>
</sst>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5" formatCode="&quot;$&quot;#,##0_);\(&quot;$&quot;#,##0\)"/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[$-409]d\-mmm\-yy;@"/>
    <numFmt numFmtId="166" formatCode="0.0000"/>
    <numFmt numFmtId="167" formatCode="0.00000000000"/>
    <numFmt numFmtId="168" formatCode="0.0000000000"/>
    <numFmt numFmtId="169" formatCode="#,##0.000"/>
  </numFmts>
  <fonts count="12" x14ac:knownFonts="1">
    <font>
      <sz val="10"/>
      <name val="Arial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22"/>
      <color rgb="FFFF0000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  <font>
      <sz val="10"/>
      <color theme="1"/>
      <name val="Courier New"/>
      <family val="3"/>
    </font>
    <font>
      <sz val="10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1">
    <xf numFmtId="0" fontId="0" fillId="0" borderId="0" xfId="0"/>
    <xf numFmtId="0" fontId="4" fillId="0" borderId="0" xfId="8" applyFont="1" applyAlignment="1">
      <alignment horizontal="left" vertical="center"/>
    </xf>
    <xf numFmtId="0" fontId="5" fillId="0" borderId="0" xfId="8" applyFont="1" applyAlignment="1">
      <alignment horizontal="center" vertical="center"/>
    </xf>
    <xf numFmtId="0" fontId="5" fillId="0" borderId="0" xfId="8" quotePrefix="1" applyFont="1" applyAlignment="1">
      <alignment horizontal="center" vertical="center"/>
    </xf>
    <xf numFmtId="0" fontId="5" fillId="0" borderId="0" xfId="8" applyFont="1" applyBorder="1" applyAlignment="1">
      <alignment horizontal="center" vertical="center"/>
    </xf>
    <xf numFmtId="4" fontId="5" fillId="0" borderId="0" xfId="8" applyNumberFormat="1" applyFont="1" applyBorder="1" applyAlignment="1">
      <alignment horizontal="center" vertical="center"/>
    </xf>
    <xf numFmtId="0" fontId="6" fillId="2" borderId="2" xfId="8" applyFont="1" applyFill="1" applyBorder="1" applyAlignment="1">
      <alignment horizontal="center" vertical="center"/>
    </xf>
    <xf numFmtId="49" fontId="7" fillId="0" borderId="2" xfId="8" applyNumberFormat="1" applyFont="1" applyBorder="1" applyAlignment="1">
      <alignment horizontal="center" vertical="center"/>
    </xf>
    <xf numFmtId="0" fontId="7" fillId="0" borderId="0" xfId="8" applyFont="1" applyBorder="1" applyAlignment="1">
      <alignment horizontal="center" vertical="center"/>
    </xf>
    <xf numFmtId="0" fontId="5" fillId="0" borderId="0" xfId="8" applyFont="1"/>
    <xf numFmtId="0" fontId="1" fillId="0" borderId="0" xfId="8"/>
    <xf numFmtId="165" fontId="7" fillId="0" borderId="2" xfId="8" applyNumberFormat="1" applyFont="1" applyBorder="1" applyAlignment="1">
      <alignment horizontal="center" vertical="center"/>
    </xf>
    <xf numFmtId="14" fontId="7" fillId="0" borderId="0" xfId="8" applyNumberFormat="1" applyFont="1" applyBorder="1" applyAlignment="1">
      <alignment horizontal="center" vertical="center"/>
    </xf>
    <xf numFmtId="166" fontId="5" fillId="0" borderId="0" xfId="8" applyNumberFormat="1" applyFont="1" applyAlignment="1">
      <alignment horizontal="center" vertical="center"/>
    </xf>
    <xf numFmtId="167" fontId="5" fillId="0" borderId="0" xfId="8" applyNumberFormat="1" applyFont="1" applyAlignment="1">
      <alignment horizontal="center" vertical="center"/>
    </xf>
    <xf numFmtId="0" fontId="7" fillId="0" borderId="0" xfId="9" applyNumberFormat="1" applyFont="1" applyBorder="1" applyAlignment="1">
      <alignment horizontal="right" vertical="center"/>
    </xf>
    <xf numFmtId="44" fontId="7" fillId="0" borderId="0" xfId="9" applyNumberFormat="1" applyFont="1" applyBorder="1" applyAlignment="1">
      <alignment horizontal="center" vertical="center"/>
    </xf>
    <xf numFmtId="164" fontId="5" fillId="0" borderId="0" xfId="10" applyFont="1"/>
    <xf numFmtId="168" fontId="5" fillId="0" borderId="0" xfId="8" applyNumberFormat="1" applyFont="1" applyAlignment="1">
      <alignment horizontal="center" vertical="center"/>
    </xf>
    <xf numFmtId="165" fontId="6" fillId="3" borderId="2" xfId="0" applyNumberFormat="1" applyFont="1" applyFill="1" applyBorder="1" applyAlignment="1">
      <alignment horizontal="center" vertical="center" wrapText="1"/>
    </xf>
    <xf numFmtId="165" fontId="5" fillId="0" borderId="2" xfId="0" applyNumberFormat="1" applyFont="1" applyBorder="1"/>
    <xf numFmtId="44" fontId="7" fillId="0" borderId="0" xfId="9" applyNumberFormat="1" applyFont="1" applyBorder="1" applyAlignment="1">
      <alignment horizontal="left" vertical="center"/>
    </xf>
    <xf numFmtId="3" fontId="7" fillId="0" borderId="2" xfId="9" applyNumberFormat="1" applyFont="1" applyBorder="1" applyAlignment="1">
      <alignment horizontal="center" vertical="center"/>
    </xf>
    <xf numFmtId="3" fontId="9" fillId="0" borderId="2" xfId="9" applyNumberFormat="1" applyFont="1" applyBorder="1" applyAlignment="1">
      <alignment horizontal="center" vertical="center"/>
    </xf>
    <xf numFmtId="10" fontId="0" fillId="0" borderId="0" xfId="0" applyNumberFormat="1"/>
    <xf numFmtId="169" fontId="6" fillId="3" borderId="2" xfId="0" applyNumberFormat="1" applyFont="1" applyFill="1" applyBorder="1" applyAlignment="1">
      <alignment horizontal="center" vertical="center" wrapText="1"/>
    </xf>
    <xf numFmtId="169" fontId="5" fillId="0" borderId="2" xfId="0" applyNumberFormat="1" applyFont="1" applyBorder="1"/>
    <xf numFmtId="44" fontId="7" fillId="4" borderId="6" xfId="9" applyNumberFormat="1" applyFont="1" applyFill="1" applyBorder="1" applyAlignment="1">
      <alignment horizontal="centerContinuous" vertical="center"/>
    </xf>
    <xf numFmtId="44" fontId="7" fillId="4" borderId="4" xfId="9" applyNumberFormat="1" applyFont="1" applyFill="1" applyBorder="1" applyAlignment="1">
      <alignment horizontal="centerContinuous" vertical="center"/>
    </xf>
    <xf numFmtId="44" fontId="8" fillId="4" borderId="5" xfId="9" applyNumberFormat="1" applyFont="1" applyFill="1" applyBorder="1" applyAlignment="1">
      <alignment horizontal="centerContinuous" vertical="center"/>
    </xf>
    <xf numFmtId="165" fontId="8" fillId="4" borderId="3" xfId="9" applyNumberFormat="1" applyFont="1" applyFill="1" applyBorder="1" applyAlignment="1">
      <alignment horizontal="centerContinuous" vertical="center"/>
    </xf>
  </cellXfs>
  <cellStyles count="11">
    <cellStyle name="Comma 2" xfId="10"/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Normal 2" xfId="8"/>
    <cellStyle name="Percent 2" xfId="9"/>
    <cellStyle name="Total" xfId="7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chartsheet" Target="chart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360918184656504E-2"/>
          <c:y val="4.9438256493873463E-2"/>
          <c:w val="0.79215219663279701"/>
          <c:h val="0.73221005535127071"/>
        </c:manualLayout>
      </c:layout>
      <c:lineChart>
        <c:grouping val="standard"/>
        <c:varyColors val="0"/>
        <c:ser>
          <c:idx val="1"/>
          <c:order val="0"/>
          <c:tx>
            <c:strRef>
              <c:f>MODEL!$H$5</c:f>
              <c:strCache>
                <c:ptCount val="1"/>
                <c:pt idx="0">
                  <c:v>MIN CORREL PRICE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[0]!MIN_DATE_AXIS</c:f>
              <c:numCache>
                <c:formatCode>[$-409]d\-mmm\-yy;@</c:formatCode>
                <c:ptCount val="50"/>
                <c:pt idx="0">
                  <c:v>41101</c:v>
                </c:pt>
                <c:pt idx="1">
                  <c:v>41102</c:v>
                </c:pt>
                <c:pt idx="2">
                  <c:v>41103</c:v>
                </c:pt>
                <c:pt idx="3">
                  <c:v>41106</c:v>
                </c:pt>
                <c:pt idx="4">
                  <c:v>41107</c:v>
                </c:pt>
                <c:pt idx="5">
                  <c:v>41108</c:v>
                </c:pt>
                <c:pt idx="6">
                  <c:v>41109</c:v>
                </c:pt>
                <c:pt idx="7">
                  <c:v>41110</c:v>
                </c:pt>
                <c:pt idx="8">
                  <c:v>41113</c:v>
                </c:pt>
                <c:pt idx="9">
                  <c:v>41114</c:v>
                </c:pt>
                <c:pt idx="10">
                  <c:v>41115</c:v>
                </c:pt>
                <c:pt idx="11">
                  <c:v>41116</c:v>
                </c:pt>
                <c:pt idx="12">
                  <c:v>41117</c:v>
                </c:pt>
                <c:pt idx="13">
                  <c:v>41120</c:v>
                </c:pt>
                <c:pt idx="14">
                  <c:v>41121</c:v>
                </c:pt>
                <c:pt idx="15">
                  <c:v>41122</c:v>
                </c:pt>
                <c:pt idx="16">
                  <c:v>41123</c:v>
                </c:pt>
                <c:pt idx="17">
                  <c:v>41124</c:v>
                </c:pt>
                <c:pt idx="18">
                  <c:v>41127</c:v>
                </c:pt>
                <c:pt idx="19">
                  <c:v>41128</c:v>
                </c:pt>
                <c:pt idx="20">
                  <c:v>41129</c:v>
                </c:pt>
                <c:pt idx="21">
                  <c:v>41130</c:v>
                </c:pt>
                <c:pt idx="22">
                  <c:v>41131</c:v>
                </c:pt>
                <c:pt idx="23">
                  <c:v>41134</c:v>
                </c:pt>
                <c:pt idx="24">
                  <c:v>41135</c:v>
                </c:pt>
                <c:pt idx="25">
                  <c:v>41136</c:v>
                </c:pt>
                <c:pt idx="26">
                  <c:v>41137</c:v>
                </c:pt>
                <c:pt idx="27">
                  <c:v>41138</c:v>
                </c:pt>
                <c:pt idx="28">
                  <c:v>41141</c:v>
                </c:pt>
                <c:pt idx="29">
                  <c:v>41142</c:v>
                </c:pt>
                <c:pt idx="30">
                  <c:v>41143</c:v>
                </c:pt>
                <c:pt idx="31">
                  <c:v>41144</c:v>
                </c:pt>
                <c:pt idx="32">
                  <c:v>41145</c:v>
                </c:pt>
                <c:pt idx="33">
                  <c:v>41148</c:v>
                </c:pt>
                <c:pt idx="34">
                  <c:v>41149</c:v>
                </c:pt>
                <c:pt idx="35">
                  <c:v>41150</c:v>
                </c:pt>
                <c:pt idx="36">
                  <c:v>41151</c:v>
                </c:pt>
                <c:pt idx="37">
                  <c:v>41152</c:v>
                </c:pt>
                <c:pt idx="38">
                  <c:v>41156</c:v>
                </c:pt>
                <c:pt idx="39">
                  <c:v>41157</c:v>
                </c:pt>
                <c:pt idx="40">
                  <c:v>41158</c:v>
                </c:pt>
                <c:pt idx="41">
                  <c:v>41159</c:v>
                </c:pt>
                <c:pt idx="42">
                  <c:v>41162</c:v>
                </c:pt>
                <c:pt idx="43">
                  <c:v>41163</c:v>
                </c:pt>
                <c:pt idx="44">
                  <c:v>41164</c:v>
                </c:pt>
                <c:pt idx="45">
                  <c:v>41165</c:v>
                </c:pt>
                <c:pt idx="46">
                  <c:v>41166</c:v>
                </c:pt>
                <c:pt idx="47">
                  <c:v>41169</c:v>
                </c:pt>
                <c:pt idx="48">
                  <c:v>41170</c:v>
                </c:pt>
                <c:pt idx="49">
                  <c:v>41171</c:v>
                </c:pt>
              </c:numCache>
            </c:numRef>
          </c:cat>
          <c:val>
            <c:numRef>
              <c:f>[0]!MIN_PRICE_AXIS</c:f>
              <c:numCache>
                <c:formatCode>#,##0.000</c:formatCode>
                <c:ptCount val="50"/>
                <c:pt idx="0">
                  <c:v>28.63</c:v>
                </c:pt>
                <c:pt idx="1">
                  <c:v>27.98</c:v>
                </c:pt>
                <c:pt idx="2">
                  <c:v>28.72</c:v>
                </c:pt>
                <c:pt idx="3">
                  <c:v>28.77</c:v>
                </c:pt>
                <c:pt idx="4">
                  <c:v>28.98</c:v>
                </c:pt>
                <c:pt idx="5">
                  <c:v>29.76</c:v>
                </c:pt>
                <c:pt idx="6">
                  <c:v>29.97</c:v>
                </c:pt>
                <c:pt idx="7">
                  <c:v>29.43</c:v>
                </c:pt>
                <c:pt idx="8">
                  <c:v>28.61</c:v>
                </c:pt>
                <c:pt idx="9">
                  <c:v>28.49</c:v>
                </c:pt>
                <c:pt idx="10">
                  <c:v>28.17</c:v>
                </c:pt>
                <c:pt idx="11">
                  <c:v>28.5</c:v>
                </c:pt>
                <c:pt idx="12">
                  <c:v>29.08</c:v>
                </c:pt>
                <c:pt idx="13">
                  <c:v>28.97</c:v>
                </c:pt>
                <c:pt idx="14">
                  <c:v>28.8</c:v>
                </c:pt>
                <c:pt idx="15">
                  <c:v>28.74</c:v>
                </c:pt>
                <c:pt idx="16">
                  <c:v>28.53</c:v>
                </c:pt>
                <c:pt idx="17">
                  <c:v>29.07</c:v>
                </c:pt>
                <c:pt idx="18">
                  <c:v>29.27</c:v>
                </c:pt>
                <c:pt idx="19">
                  <c:v>29.57</c:v>
                </c:pt>
                <c:pt idx="20">
                  <c:v>29.64</c:v>
                </c:pt>
                <c:pt idx="21">
                  <c:v>29.81</c:v>
                </c:pt>
                <c:pt idx="22">
                  <c:v>29.73</c:v>
                </c:pt>
                <c:pt idx="23">
                  <c:v>29.7</c:v>
                </c:pt>
                <c:pt idx="24">
                  <c:v>29.64</c:v>
                </c:pt>
                <c:pt idx="25">
                  <c:v>29.71</c:v>
                </c:pt>
                <c:pt idx="26">
                  <c:v>30.28</c:v>
                </c:pt>
                <c:pt idx="27">
                  <c:v>30.4</c:v>
                </c:pt>
                <c:pt idx="28">
                  <c:v>30.24</c:v>
                </c:pt>
                <c:pt idx="29">
                  <c:v>30.3</c:v>
                </c:pt>
                <c:pt idx="30">
                  <c:v>30.04</c:v>
                </c:pt>
                <c:pt idx="31">
                  <c:v>29.77</c:v>
                </c:pt>
                <c:pt idx="32">
                  <c:v>30.06</c:v>
                </c:pt>
                <c:pt idx="33">
                  <c:v>30.19</c:v>
                </c:pt>
                <c:pt idx="34">
                  <c:v>30.13</c:v>
                </c:pt>
                <c:pt idx="35">
                  <c:v>30.15</c:v>
                </c:pt>
                <c:pt idx="36">
                  <c:v>29.83</c:v>
                </c:pt>
                <c:pt idx="37">
                  <c:v>30.32</c:v>
                </c:pt>
                <c:pt idx="38">
                  <c:v>29.89</c:v>
                </c:pt>
                <c:pt idx="39">
                  <c:v>29.89</c:v>
                </c:pt>
                <c:pt idx="40">
                  <c:v>30.84</c:v>
                </c:pt>
                <c:pt idx="41">
                  <c:v>30.45</c:v>
                </c:pt>
                <c:pt idx="42">
                  <c:v>30.22</c:v>
                </c:pt>
                <c:pt idx="43">
                  <c:v>30.29</c:v>
                </c:pt>
                <c:pt idx="44">
                  <c:v>30.28</c:v>
                </c:pt>
                <c:pt idx="45">
                  <c:v>30.44</c:v>
                </c:pt>
                <c:pt idx="46">
                  <c:v>30.7</c:v>
                </c:pt>
                <c:pt idx="47">
                  <c:v>30.7</c:v>
                </c:pt>
                <c:pt idx="48">
                  <c:v>30.67</c:v>
                </c:pt>
                <c:pt idx="49">
                  <c:v>30.54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34624"/>
        <c:axId val="138795200"/>
      </c:lineChart>
      <c:lineChart>
        <c:grouping val="standard"/>
        <c:varyColors val="0"/>
        <c:ser>
          <c:idx val="0"/>
          <c:order val="1"/>
          <c:tx>
            <c:strRef>
              <c:f>MODEL!$J$5</c:f>
              <c:strCache>
                <c:ptCount val="1"/>
                <c:pt idx="0">
                  <c:v>MIN CORREL VOLATILITY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[0]!MIN_DATE_AXIS</c:f>
              <c:numCache>
                <c:formatCode>[$-409]d\-mmm\-yy;@</c:formatCode>
                <c:ptCount val="50"/>
                <c:pt idx="0">
                  <c:v>41101</c:v>
                </c:pt>
                <c:pt idx="1">
                  <c:v>41102</c:v>
                </c:pt>
                <c:pt idx="2">
                  <c:v>41103</c:v>
                </c:pt>
                <c:pt idx="3">
                  <c:v>41106</c:v>
                </c:pt>
                <c:pt idx="4">
                  <c:v>41107</c:v>
                </c:pt>
                <c:pt idx="5">
                  <c:v>41108</c:v>
                </c:pt>
                <c:pt idx="6">
                  <c:v>41109</c:v>
                </c:pt>
                <c:pt idx="7">
                  <c:v>41110</c:v>
                </c:pt>
                <c:pt idx="8">
                  <c:v>41113</c:v>
                </c:pt>
                <c:pt idx="9">
                  <c:v>41114</c:v>
                </c:pt>
                <c:pt idx="10">
                  <c:v>41115</c:v>
                </c:pt>
                <c:pt idx="11">
                  <c:v>41116</c:v>
                </c:pt>
                <c:pt idx="12">
                  <c:v>41117</c:v>
                </c:pt>
                <c:pt idx="13">
                  <c:v>41120</c:v>
                </c:pt>
                <c:pt idx="14">
                  <c:v>41121</c:v>
                </c:pt>
                <c:pt idx="15">
                  <c:v>41122</c:v>
                </c:pt>
                <c:pt idx="16">
                  <c:v>41123</c:v>
                </c:pt>
                <c:pt idx="17">
                  <c:v>41124</c:v>
                </c:pt>
                <c:pt idx="18">
                  <c:v>41127</c:v>
                </c:pt>
                <c:pt idx="19">
                  <c:v>41128</c:v>
                </c:pt>
                <c:pt idx="20">
                  <c:v>41129</c:v>
                </c:pt>
                <c:pt idx="21">
                  <c:v>41130</c:v>
                </c:pt>
                <c:pt idx="22">
                  <c:v>41131</c:v>
                </c:pt>
                <c:pt idx="23">
                  <c:v>41134</c:v>
                </c:pt>
                <c:pt idx="24">
                  <c:v>41135</c:v>
                </c:pt>
                <c:pt idx="25">
                  <c:v>41136</c:v>
                </c:pt>
                <c:pt idx="26">
                  <c:v>41137</c:v>
                </c:pt>
                <c:pt idx="27">
                  <c:v>41138</c:v>
                </c:pt>
                <c:pt idx="28">
                  <c:v>41141</c:v>
                </c:pt>
                <c:pt idx="29">
                  <c:v>41142</c:v>
                </c:pt>
                <c:pt idx="30">
                  <c:v>41143</c:v>
                </c:pt>
                <c:pt idx="31">
                  <c:v>41144</c:v>
                </c:pt>
                <c:pt idx="32">
                  <c:v>41145</c:v>
                </c:pt>
                <c:pt idx="33">
                  <c:v>41148</c:v>
                </c:pt>
                <c:pt idx="34">
                  <c:v>41149</c:v>
                </c:pt>
                <c:pt idx="35">
                  <c:v>41150</c:v>
                </c:pt>
                <c:pt idx="36">
                  <c:v>41151</c:v>
                </c:pt>
                <c:pt idx="37">
                  <c:v>41152</c:v>
                </c:pt>
                <c:pt idx="38">
                  <c:v>41156</c:v>
                </c:pt>
                <c:pt idx="39">
                  <c:v>41157</c:v>
                </c:pt>
                <c:pt idx="40">
                  <c:v>41158</c:v>
                </c:pt>
                <c:pt idx="41">
                  <c:v>41159</c:v>
                </c:pt>
                <c:pt idx="42">
                  <c:v>41162</c:v>
                </c:pt>
                <c:pt idx="43">
                  <c:v>41163</c:v>
                </c:pt>
                <c:pt idx="44">
                  <c:v>41164</c:v>
                </c:pt>
                <c:pt idx="45">
                  <c:v>41165</c:v>
                </c:pt>
                <c:pt idx="46">
                  <c:v>41166</c:v>
                </c:pt>
                <c:pt idx="47">
                  <c:v>41169</c:v>
                </c:pt>
                <c:pt idx="48">
                  <c:v>41170</c:v>
                </c:pt>
                <c:pt idx="49">
                  <c:v>41171</c:v>
                </c:pt>
              </c:numCache>
            </c:numRef>
          </c:cat>
          <c:val>
            <c:numRef>
              <c:f>[0]!MIN_VOLATILITY_AXIS</c:f>
              <c:numCache>
                <c:formatCode>#,##0.000</c:formatCode>
                <c:ptCount val="50"/>
                <c:pt idx="0">
                  <c:v>1.5664602829435634E-2</c:v>
                </c:pt>
                <c:pt idx="1">
                  <c:v>1.5492843536995917E-2</c:v>
                </c:pt>
                <c:pt idx="2">
                  <c:v>1.623569909340598E-2</c:v>
                </c:pt>
                <c:pt idx="3">
                  <c:v>1.6192658712090725E-2</c:v>
                </c:pt>
                <c:pt idx="4">
                  <c:v>1.6197700652144296E-2</c:v>
                </c:pt>
                <c:pt idx="5">
                  <c:v>1.6439100440955954E-2</c:v>
                </c:pt>
                <c:pt idx="6">
                  <c:v>1.6416461630280044E-2</c:v>
                </c:pt>
                <c:pt idx="7">
                  <c:v>1.5744383301706612E-2</c:v>
                </c:pt>
                <c:pt idx="8">
                  <c:v>1.6597555280290634E-2</c:v>
                </c:pt>
                <c:pt idx="9">
                  <c:v>1.5801685473583415E-2</c:v>
                </c:pt>
                <c:pt idx="10">
                  <c:v>1.5296167642424053E-2</c:v>
                </c:pt>
                <c:pt idx="11">
                  <c:v>1.4615756366951048E-2</c:v>
                </c:pt>
                <c:pt idx="12">
                  <c:v>1.5235572347231288E-2</c:v>
                </c:pt>
                <c:pt idx="13">
                  <c:v>1.5210604055426036E-2</c:v>
                </c:pt>
                <c:pt idx="14">
                  <c:v>1.5159339653067766E-2</c:v>
                </c:pt>
                <c:pt idx="15">
                  <c:v>1.4294022750574058E-2</c:v>
                </c:pt>
                <c:pt idx="16">
                  <c:v>1.4340694573017249E-2</c:v>
                </c:pt>
                <c:pt idx="17">
                  <c:v>1.4892191827815163E-2</c:v>
                </c:pt>
                <c:pt idx="18">
                  <c:v>1.4990766650435455E-2</c:v>
                </c:pt>
                <c:pt idx="19">
                  <c:v>1.475936513295294E-2</c:v>
                </c:pt>
                <c:pt idx="20">
                  <c:v>1.4699877082875498E-2</c:v>
                </c:pt>
                <c:pt idx="21">
                  <c:v>1.4586576277793507E-2</c:v>
                </c:pt>
                <c:pt idx="22">
                  <c:v>1.4193195608734969E-2</c:v>
                </c:pt>
                <c:pt idx="23">
                  <c:v>1.3172319099895019E-2</c:v>
                </c:pt>
                <c:pt idx="24">
                  <c:v>1.2144073064639391E-2</c:v>
                </c:pt>
                <c:pt idx="25">
                  <c:v>1.2145302550139509E-2</c:v>
                </c:pt>
                <c:pt idx="26">
                  <c:v>1.2643801329099405E-2</c:v>
                </c:pt>
                <c:pt idx="27">
                  <c:v>1.1440958524130556E-2</c:v>
                </c:pt>
                <c:pt idx="28">
                  <c:v>1.1433936056982945E-2</c:v>
                </c:pt>
                <c:pt idx="29">
                  <c:v>1.0699062685337426E-2</c:v>
                </c:pt>
                <c:pt idx="30">
                  <c:v>8.9071673126520385E-3</c:v>
                </c:pt>
                <c:pt idx="31">
                  <c:v>9.1184922102277074E-3</c:v>
                </c:pt>
                <c:pt idx="32">
                  <c:v>8.7707186889516477E-3</c:v>
                </c:pt>
                <c:pt idx="33">
                  <c:v>8.5695160492466737E-3</c:v>
                </c:pt>
                <c:pt idx="34">
                  <c:v>7.6914450896526029E-3</c:v>
                </c:pt>
                <c:pt idx="35">
                  <c:v>7.6041415847847319E-3</c:v>
                </c:pt>
                <c:pt idx="36">
                  <c:v>7.8821060946678602E-3</c:v>
                </c:pt>
                <c:pt idx="37">
                  <c:v>8.4110321079580996E-3</c:v>
                </c:pt>
                <c:pt idx="38">
                  <c:v>8.8829914393609866E-3</c:v>
                </c:pt>
                <c:pt idx="39">
                  <c:v>8.099199835296101E-3</c:v>
                </c:pt>
                <c:pt idx="40">
                  <c:v>1.0253908444493209E-2</c:v>
                </c:pt>
                <c:pt idx="41">
                  <c:v>1.0564620631373174E-2</c:v>
                </c:pt>
                <c:pt idx="42">
                  <c:v>1.0723775611471196E-2</c:v>
                </c:pt>
                <c:pt idx="43">
                  <c:v>1.0677802672103153E-2</c:v>
                </c:pt>
                <c:pt idx="44">
                  <c:v>1.0654300438049472E-2</c:v>
                </c:pt>
                <c:pt idx="45">
                  <c:v>1.0683916241843127E-2</c:v>
                </c:pt>
                <c:pt idx="46">
                  <c:v>1.076648624260516E-2</c:v>
                </c:pt>
                <c:pt idx="47">
                  <c:v>1.077068746195892E-2</c:v>
                </c:pt>
                <c:pt idx="48">
                  <c:v>1.0065719973081541E-2</c:v>
                </c:pt>
                <c:pt idx="49">
                  <c:v>1.0087309593067926E-2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18752"/>
        <c:axId val="160244864"/>
      </c:lineChart>
      <c:catAx>
        <c:axId val="46234624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79520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38795200"/>
        <c:scaling>
          <c:orientation val="minMax"/>
          <c:max val="32.381999999999998"/>
          <c:min val="26.581"/>
        </c:scaling>
        <c:delete val="0"/>
        <c:axPos val="l"/>
        <c:numFmt formatCode="#,##0.000" sourceLinked="1"/>
        <c:majorTickMark val="out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34624"/>
        <c:crosses val="autoZero"/>
        <c:crossBetween val="between"/>
      </c:valAx>
      <c:valAx>
        <c:axId val="160244864"/>
        <c:scaling>
          <c:orientation val="minMax"/>
          <c:max val="1.7427433044305166E-2"/>
          <c:min val="7.2239345055454948E-3"/>
        </c:scaling>
        <c:delete val="0"/>
        <c:axPos val="r"/>
        <c:numFmt formatCode="0.00%" sourceLinked="0"/>
        <c:majorTickMark val="out"/>
        <c:minorTickMark val="none"/>
        <c:tickLblPos val="nextTo"/>
        <c:crossAx val="46218752"/>
        <c:crosses val="max"/>
        <c:crossBetween val="between"/>
      </c:valAx>
      <c:catAx>
        <c:axId val="46218752"/>
        <c:scaling>
          <c:orientation val="minMax"/>
        </c:scaling>
        <c:delete val="1"/>
        <c:axPos val="b"/>
        <c:numFmt formatCode="[$-409]d\-mmm\-yy;@" sourceLinked="1"/>
        <c:majorTickMark val="out"/>
        <c:minorTickMark val="none"/>
        <c:tickLblPos val="none"/>
        <c:crossAx val="160244864"/>
        <c:crosses val="autoZero"/>
        <c:auto val="0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t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360918184656532E-2"/>
          <c:y val="4.9438256493873463E-2"/>
          <c:w val="0.79215219663279701"/>
          <c:h val="0.73221005535127071"/>
        </c:manualLayout>
      </c:layout>
      <c:lineChart>
        <c:grouping val="standard"/>
        <c:varyColors val="0"/>
        <c:ser>
          <c:idx val="1"/>
          <c:order val="0"/>
          <c:tx>
            <c:strRef>
              <c:f>MODEL!$L$5</c:f>
              <c:strCache>
                <c:ptCount val="1"/>
                <c:pt idx="0">
                  <c:v>MAX CORREL PRICE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[0]!MAX_DATE_AXIS</c:f>
              <c:numCache>
                <c:formatCode>[$-409]d\-mmm\-yy;@</c:formatCode>
                <c:ptCount val="50"/>
                <c:pt idx="0">
                  <c:v>41059</c:v>
                </c:pt>
                <c:pt idx="1">
                  <c:v>41060</c:v>
                </c:pt>
                <c:pt idx="2">
                  <c:v>41061</c:v>
                </c:pt>
                <c:pt idx="3">
                  <c:v>41064</c:v>
                </c:pt>
                <c:pt idx="4">
                  <c:v>41065</c:v>
                </c:pt>
                <c:pt idx="5">
                  <c:v>41066</c:v>
                </c:pt>
                <c:pt idx="6">
                  <c:v>41067</c:v>
                </c:pt>
                <c:pt idx="7">
                  <c:v>41068</c:v>
                </c:pt>
                <c:pt idx="8">
                  <c:v>41071</c:v>
                </c:pt>
                <c:pt idx="9">
                  <c:v>41072</c:v>
                </c:pt>
                <c:pt idx="10">
                  <c:v>41073</c:v>
                </c:pt>
                <c:pt idx="11">
                  <c:v>41074</c:v>
                </c:pt>
                <c:pt idx="12">
                  <c:v>41075</c:v>
                </c:pt>
                <c:pt idx="13">
                  <c:v>41078</c:v>
                </c:pt>
                <c:pt idx="14">
                  <c:v>41079</c:v>
                </c:pt>
                <c:pt idx="15">
                  <c:v>41080</c:v>
                </c:pt>
                <c:pt idx="16">
                  <c:v>41081</c:v>
                </c:pt>
                <c:pt idx="17">
                  <c:v>41082</c:v>
                </c:pt>
                <c:pt idx="18">
                  <c:v>41085</c:v>
                </c:pt>
                <c:pt idx="19">
                  <c:v>41086</c:v>
                </c:pt>
                <c:pt idx="20">
                  <c:v>41087</c:v>
                </c:pt>
                <c:pt idx="21">
                  <c:v>41088</c:v>
                </c:pt>
                <c:pt idx="22">
                  <c:v>41089</c:v>
                </c:pt>
                <c:pt idx="23">
                  <c:v>41092</c:v>
                </c:pt>
                <c:pt idx="24">
                  <c:v>41093</c:v>
                </c:pt>
                <c:pt idx="25">
                  <c:v>41095</c:v>
                </c:pt>
                <c:pt idx="26">
                  <c:v>41096</c:v>
                </c:pt>
                <c:pt idx="27">
                  <c:v>41099</c:v>
                </c:pt>
                <c:pt idx="28">
                  <c:v>41100</c:v>
                </c:pt>
                <c:pt idx="29">
                  <c:v>41101</c:v>
                </c:pt>
                <c:pt idx="30">
                  <c:v>41102</c:v>
                </c:pt>
                <c:pt idx="31">
                  <c:v>41103</c:v>
                </c:pt>
                <c:pt idx="32">
                  <c:v>41106</c:v>
                </c:pt>
                <c:pt idx="33">
                  <c:v>41107</c:v>
                </c:pt>
                <c:pt idx="34">
                  <c:v>41108</c:v>
                </c:pt>
                <c:pt idx="35">
                  <c:v>41109</c:v>
                </c:pt>
                <c:pt idx="36">
                  <c:v>41110</c:v>
                </c:pt>
                <c:pt idx="37">
                  <c:v>41113</c:v>
                </c:pt>
                <c:pt idx="38">
                  <c:v>41114</c:v>
                </c:pt>
                <c:pt idx="39">
                  <c:v>41115</c:v>
                </c:pt>
                <c:pt idx="40">
                  <c:v>41116</c:v>
                </c:pt>
                <c:pt idx="41">
                  <c:v>41117</c:v>
                </c:pt>
                <c:pt idx="42">
                  <c:v>41120</c:v>
                </c:pt>
                <c:pt idx="43">
                  <c:v>41121</c:v>
                </c:pt>
                <c:pt idx="44">
                  <c:v>41122</c:v>
                </c:pt>
                <c:pt idx="45">
                  <c:v>41123</c:v>
                </c:pt>
                <c:pt idx="46">
                  <c:v>41124</c:v>
                </c:pt>
                <c:pt idx="47">
                  <c:v>41127</c:v>
                </c:pt>
                <c:pt idx="48">
                  <c:v>41128</c:v>
                </c:pt>
                <c:pt idx="49">
                  <c:v>41129</c:v>
                </c:pt>
              </c:numCache>
            </c:numRef>
          </c:cat>
          <c:val>
            <c:numRef>
              <c:f>[0]!MAX_PRICE_AXIS</c:f>
              <c:numCache>
                <c:formatCode>#,##0.000</c:formatCode>
                <c:ptCount val="50"/>
                <c:pt idx="0">
                  <c:v>28.67</c:v>
                </c:pt>
                <c:pt idx="1">
                  <c:v>28.53</c:v>
                </c:pt>
                <c:pt idx="2">
                  <c:v>27.8</c:v>
                </c:pt>
                <c:pt idx="3">
                  <c:v>27.9</c:v>
                </c:pt>
                <c:pt idx="4">
                  <c:v>27.86</c:v>
                </c:pt>
                <c:pt idx="5">
                  <c:v>28.68</c:v>
                </c:pt>
                <c:pt idx="6">
                  <c:v>28.56</c:v>
                </c:pt>
                <c:pt idx="7">
                  <c:v>28.97</c:v>
                </c:pt>
                <c:pt idx="8">
                  <c:v>28.24</c:v>
                </c:pt>
                <c:pt idx="9">
                  <c:v>28.62</c:v>
                </c:pt>
                <c:pt idx="10">
                  <c:v>28.47</c:v>
                </c:pt>
                <c:pt idx="11">
                  <c:v>28.67</c:v>
                </c:pt>
                <c:pt idx="12">
                  <c:v>29.34</c:v>
                </c:pt>
                <c:pt idx="13">
                  <c:v>29.16</c:v>
                </c:pt>
                <c:pt idx="14">
                  <c:v>30</c:v>
                </c:pt>
                <c:pt idx="15">
                  <c:v>30.23</c:v>
                </c:pt>
                <c:pt idx="16">
                  <c:v>29.45</c:v>
                </c:pt>
                <c:pt idx="17">
                  <c:v>30</c:v>
                </c:pt>
                <c:pt idx="18">
                  <c:v>29.19</c:v>
                </c:pt>
                <c:pt idx="19">
                  <c:v>29.34</c:v>
                </c:pt>
                <c:pt idx="20">
                  <c:v>29.48</c:v>
                </c:pt>
                <c:pt idx="21">
                  <c:v>29.23</c:v>
                </c:pt>
                <c:pt idx="22">
                  <c:v>29.89</c:v>
                </c:pt>
                <c:pt idx="23">
                  <c:v>29.86</c:v>
                </c:pt>
                <c:pt idx="24">
                  <c:v>30.06</c:v>
                </c:pt>
                <c:pt idx="25">
                  <c:v>30</c:v>
                </c:pt>
                <c:pt idx="26">
                  <c:v>29.5</c:v>
                </c:pt>
                <c:pt idx="27">
                  <c:v>29.32</c:v>
                </c:pt>
                <c:pt idx="28">
                  <c:v>29.06</c:v>
                </c:pt>
                <c:pt idx="29">
                  <c:v>28.63</c:v>
                </c:pt>
                <c:pt idx="30">
                  <c:v>27.98</c:v>
                </c:pt>
                <c:pt idx="31">
                  <c:v>28.72</c:v>
                </c:pt>
                <c:pt idx="32">
                  <c:v>28.77</c:v>
                </c:pt>
                <c:pt idx="33">
                  <c:v>28.98</c:v>
                </c:pt>
                <c:pt idx="34">
                  <c:v>29.76</c:v>
                </c:pt>
                <c:pt idx="35">
                  <c:v>29.97</c:v>
                </c:pt>
                <c:pt idx="36">
                  <c:v>29.43</c:v>
                </c:pt>
                <c:pt idx="37">
                  <c:v>28.61</c:v>
                </c:pt>
                <c:pt idx="38">
                  <c:v>28.49</c:v>
                </c:pt>
                <c:pt idx="39">
                  <c:v>28.17</c:v>
                </c:pt>
                <c:pt idx="40">
                  <c:v>28.5</c:v>
                </c:pt>
                <c:pt idx="41">
                  <c:v>29.08</c:v>
                </c:pt>
                <c:pt idx="42">
                  <c:v>28.97</c:v>
                </c:pt>
                <c:pt idx="43">
                  <c:v>28.8</c:v>
                </c:pt>
                <c:pt idx="44">
                  <c:v>28.74</c:v>
                </c:pt>
                <c:pt idx="45">
                  <c:v>28.53</c:v>
                </c:pt>
                <c:pt idx="46">
                  <c:v>29.07</c:v>
                </c:pt>
                <c:pt idx="47">
                  <c:v>29.27</c:v>
                </c:pt>
                <c:pt idx="48">
                  <c:v>29.57</c:v>
                </c:pt>
                <c:pt idx="49">
                  <c:v>29.64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760000"/>
        <c:axId val="160250048"/>
      </c:lineChart>
      <c:lineChart>
        <c:grouping val="standard"/>
        <c:varyColors val="0"/>
        <c:ser>
          <c:idx val="0"/>
          <c:order val="1"/>
          <c:tx>
            <c:strRef>
              <c:f>MODEL!$N$5</c:f>
              <c:strCache>
                <c:ptCount val="1"/>
                <c:pt idx="0">
                  <c:v>MAX CORREL VOLATILITY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multiLvlStrRef>
              <c:f>#REF!$Q$8:$Q$30</c:f>
            </c:multiLvlStrRef>
          </c:cat>
          <c:val>
            <c:numRef>
              <c:f>[0]!MAX_VOLATILITY_AXIS</c:f>
              <c:numCache>
                <c:formatCode>#,##0.000</c:formatCode>
                <c:ptCount val="50"/>
                <c:pt idx="0">
                  <c:v>1.0750462848187687E-2</c:v>
                </c:pt>
                <c:pt idx="1">
                  <c:v>1.0700686029836199E-2</c:v>
                </c:pt>
                <c:pt idx="2">
                  <c:v>1.158093716237686E-2</c:v>
                </c:pt>
                <c:pt idx="3">
                  <c:v>1.1709221927646396E-2</c:v>
                </c:pt>
                <c:pt idx="4">
                  <c:v>1.1707531295272047E-2</c:v>
                </c:pt>
                <c:pt idx="5">
                  <c:v>1.2871936704254237E-2</c:v>
                </c:pt>
                <c:pt idx="6">
                  <c:v>1.2746506639247018E-2</c:v>
                </c:pt>
                <c:pt idx="7">
                  <c:v>1.3155292099316259E-2</c:v>
                </c:pt>
                <c:pt idx="8">
                  <c:v>1.3913057337393387E-2</c:v>
                </c:pt>
                <c:pt idx="9">
                  <c:v>1.4300293899759339E-2</c:v>
                </c:pt>
                <c:pt idx="10">
                  <c:v>1.3904200155130995E-2</c:v>
                </c:pt>
                <c:pt idx="11">
                  <c:v>1.3762490874616784E-2</c:v>
                </c:pt>
                <c:pt idx="12">
                  <c:v>1.4600516778883046E-2</c:v>
                </c:pt>
                <c:pt idx="13">
                  <c:v>1.4498989232479042E-2</c:v>
                </c:pt>
                <c:pt idx="14">
                  <c:v>1.5609348110395712E-2</c:v>
                </c:pt>
                <c:pt idx="15">
                  <c:v>1.5214850148430345E-2</c:v>
                </c:pt>
                <c:pt idx="16">
                  <c:v>1.5997550483447795E-2</c:v>
                </c:pt>
                <c:pt idx="17">
                  <c:v>1.6427977708117589E-2</c:v>
                </c:pt>
                <c:pt idx="18">
                  <c:v>1.6804010483232025E-2</c:v>
                </c:pt>
                <c:pt idx="19">
                  <c:v>1.6811240990708919E-2</c:v>
                </c:pt>
                <c:pt idx="20">
                  <c:v>1.6817982982058142E-2</c:v>
                </c:pt>
                <c:pt idx="21">
                  <c:v>1.6598721035122093E-2</c:v>
                </c:pt>
                <c:pt idx="22">
                  <c:v>1.7097770132994766E-2</c:v>
                </c:pt>
                <c:pt idx="23">
                  <c:v>1.7045360037914112E-2</c:v>
                </c:pt>
                <c:pt idx="24">
                  <c:v>1.5942371943134241E-2</c:v>
                </c:pt>
                <c:pt idx="25">
                  <c:v>1.5986300261570378E-2</c:v>
                </c:pt>
                <c:pt idx="26">
                  <c:v>1.6503566857104107E-2</c:v>
                </c:pt>
                <c:pt idx="27">
                  <c:v>1.5521718288422005E-2</c:v>
                </c:pt>
                <c:pt idx="28">
                  <c:v>1.5624841975062472E-2</c:v>
                </c:pt>
                <c:pt idx="29">
                  <c:v>1.5664602829435634E-2</c:v>
                </c:pt>
                <c:pt idx="30">
                  <c:v>1.5492843536995917E-2</c:v>
                </c:pt>
                <c:pt idx="31">
                  <c:v>1.623569909340598E-2</c:v>
                </c:pt>
                <c:pt idx="32">
                  <c:v>1.6192658712090725E-2</c:v>
                </c:pt>
                <c:pt idx="33">
                  <c:v>1.6197700652144296E-2</c:v>
                </c:pt>
                <c:pt idx="34">
                  <c:v>1.6439100440955954E-2</c:v>
                </c:pt>
                <c:pt idx="35">
                  <c:v>1.6416461630280044E-2</c:v>
                </c:pt>
                <c:pt idx="36">
                  <c:v>1.5744383301706612E-2</c:v>
                </c:pt>
                <c:pt idx="37">
                  <c:v>1.6597555280290634E-2</c:v>
                </c:pt>
                <c:pt idx="38">
                  <c:v>1.5801685473583415E-2</c:v>
                </c:pt>
                <c:pt idx="39">
                  <c:v>1.5296167642424053E-2</c:v>
                </c:pt>
                <c:pt idx="40">
                  <c:v>1.4615756366951048E-2</c:v>
                </c:pt>
                <c:pt idx="41">
                  <c:v>1.5235572347231288E-2</c:v>
                </c:pt>
                <c:pt idx="42">
                  <c:v>1.5210604055426036E-2</c:v>
                </c:pt>
                <c:pt idx="43">
                  <c:v>1.5159339653067766E-2</c:v>
                </c:pt>
                <c:pt idx="44">
                  <c:v>1.4294022750574058E-2</c:v>
                </c:pt>
                <c:pt idx="45">
                  <c:v>1.4340694573017249E-2</c:v>
                </c:pt>
                <c:pt idx="46">
                  <c:v>1.4892191827815163E-2</c:v>
                </c:pt>
                <c:pt idx="47">
                  <c:v>1.4990766650435455E-2</c:v>
                </c:pt>
                <c:pt idx="48">
                  <c:v>1.475936513295294E-2</c:v>
                </c:pt>
                <c:pt idx="49">
                  <c:v>1.4699877082875498E-2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788160"/>
        <c:axId val="160251200"/>
      </c:lineChart>
      <c:catAx>
        <c:axId val="157760000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25004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60250048"/>
        <c:scaling>
          <c:orientation val="minMax"/>
          <c:max val="31.741500000000002"/>
          <c:min val="26.41"/>
        </c:scaling>
        <c:delete val="0"/>
        <c:axPos val="l"/>
        <c:numFmt formatCode="#,##0.000" sourceLinked="1"/>
        <c:majorTickMark val="out"/>
        <c:minorTickMark val="none"/>
        <c:tickLblPos val="nextTo"/>
        <c:spPr>
          <a:ln w="25400">
            <a:solidFill>
              <a:srgbClr val="000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760000"/>
        <c:crosses val="autoZero"/>
        <c:crossBetween val="between"/>
      </c:valAx>
      <c:valAx>
        <c:axId val="160251200"/>
        <c:scaling>
          <c:orientation val="minMax"/>
          <c:max val="1.7952658639644504E-2"/>
          <c:min val="1.0165651728344388E-2"/>
        </c:scaling>
        <c:delete val="0"/>
        <c:axPos val="r"/>
        <c:numFmt formatCode="0.00%" sourceLinked="0"/>
        <c:majorTickMark val="out"/>
        <c:minorTickMark val="none"/>
        <c:tickLblPos val="nextTo"/>
        <c:crossAx val="157788160"/>
        <c:crosses val="max"/>
        <c:crossBetween val="between"/>
      </c:valAx>
      <c:catAx>
        <c:axId val="157788160"/>
        <c:scaling>
          <c:orientation val="minMax"/>
        </c:scaling>
        <c:delete val="1"/>
        <c:axPos val="b"/>
        <c:numFmt formatCode="d\-mmm\-yy" sourceLinked="1"/>
        <c:majorTickMark val="out"/>
        <c:minorTickMark val="none"/>
        <c:tickLblPos val="none"/>
        <c:crossAx val="160251200"/>
        <c:crosses val="autoZero"/>
        <c:auto val="0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0361078463498"/>
          <c:y val="8.4570054164843353E-2"/>
          <c:w val="0.82427399346247265"/>
          <c:h val="0.82118622735656877"/>
        </c:manualLayout>
      </c:layout>
      <c:scatterChart>
        <c:scatterStyle val="lineMarker"/>
        <c:varyColors val="0"/>
        <c:ser>
          <c:idx val="0"/>
          <c:order val="0"/>
          <c:tx>
            <c:strRef>
              <c:f>MODEL!$I$5</c:f>
              <c:strCache>
                <c:ptCount val="1"/>
                <c:pt idx="0">
                  <c:v>MIN CORREL RETURN</c:v>
                </c:pt>
              </c:strCache>
            </c:strRef>
          </c:tx>
          <c:spPr>
            <a:ln w="28575">
              <a:noFill/>
            </a:ln>
          </c:spPr>
          <c:trendline>
            <c:spPr>
              <a:ln>
                <a:solidFill>
                  <a:srgbClr val="00B0F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20665113432497453"/>
                  <c:y val="-0.18828123971492133"/>
                </c:manualLayout>
              </c:layout>
              <c:numFmt formatCode="General" sourceLinked="0"/>
            </c:trendlineLbl>
          </c:trendline>
          <c:xVal>
            <c:numRef>
              <c:f>[0]!MIN_VOLATILITY_AXIS</c:f>
              <c:numCache>
                <c:formatCode>#,##0.000</c:formatCode>
                <c:ptCount val="50"/>
                <c:pt idx="0">
                  <c:v>1.5664602829435634E-2</c:v>
                </c:pt>
                <c:pt idx="1">
                  <c:v>1.5492843536995917E-2</c:v>
                </c:pt>
                <c:pt idx="2">
                  <c:v>1.623569909340598E-2</c:v>
                </c:pt>
                <c:pt idx="3">
                  <c:v>1.6192658712090725E-2</c:v>
                </c:pt>
                <c:pt idx="4">
                  <c:v>1.6197700652144296E-2</c:v>
                </c:pt>
                <c:pt idx="5">
                  <c:v>1.6439100440955954E-2</c:v>
                </c:pt>
                <c:pt idx="6">
                  <c:v>1.6416461630280044E-2</c:v>
                </c:pt>
                <c:pt idx="7">
                  <c:v>1.5744383301706612E-2</c:v>
                </c:pt>
                <c:pt idx="8">
                  <c:v>1.6597555280290634E-2</c:v>
                </c:pt>
                <c:pt idx="9">
                  <c:v>1.5801685473583415E-2</c:v>
                </c:pt>
                <c:pt idx="10">
                  <c:v>1.5296167642424053E-2</c:v>
                </c:pt>
                <c:pt idx="11">
                  <c:v>1.4615756366951048E-2</c:v>
                </c:pt>
                <c:pt idx="12">
                  <c:v>1.5235572347231288E-2</c:v>
                </c:pt>
                <c:pt idx="13">
                  <c:v>1.5210604055426036E-2</c:v>
                </c:pt>
                <c:pt idx="14">
                  <c:v>1.5159339653067766E-2</c:v>
                </c:pt>
                <c:pt idx="15">
                  <c:v>1.4294022750574058E-2</c:v>
                </c:pt>
                <c:pt idx="16">
                  <c:v>1.4340694573017249E-2</c:v>
                </c:pt>
                <c:pt idx="17">
                  <c:v>1.4892191827815163E-2</c:v>
                </c:pt>
                <c:pt idx="18">
                  <c:v>1.4990766650435455E-2</c:v>
                </c:pt>
                <c:pt idx="19">
                  <c:v>1.475936513295294E-2</c:v>
                </c:pt>
                <c:pt idx="20">
                  <c:v>1.4699877082875498E-2</c:v>
                </c:pt>
                <c:pt idx="21">
                  <c:v>1.4586576277793507E-2</c:v>
                </c:pt>
                <c:pt idx="22">
                  <c:v>1.4193195608734969E-2</c:v>
                </c:pt>
                <c:pt idx="23">
                  <c:v>1.3172319099895019E-2</c:v>
                </c:pt>
                <c:pt idx="24">
                  <c:v>1.2144073064639391E-2</c:v>
                </c:pt>
                <c:pt idx="25">
                  <c:v>1.2145302550139509E-2</c:v>
                </c:pt>
                <c:pt idx="26">
                  <c:v>1.2643801329099405E-2</c:v>
                </c:pt>
                <c:pt idx="27">
                  <c:v>1.1440958524130556E-2</c:v>
                </c:pt>
                <c:pt idx="28">
                  <c:v>1.1433936056982945E-2</c:v>
                </c:pt>
                <c:pt idx="29">
                  <c:v>1.0699062685337426E-2</c:v>
                </c:pt>
                <c:pt idx="30">
                  <c:v>8.9071673126520385E-3</c:v>
                </c:pt>
                <c:pt idx="31">
                  <c:v>9.1184922102277074E-3</c:v>
                </c:pt>
                <c:pt idx="32">
                  <c:v>8.7707186889516477E-3</c:v>
                </c:pt>
                <c:pt idx="33">
                  <c:v>8.5695160492466737E-3</c:v>
                </c:pt>
                <c:pt idx="34">
                  <c:v>7.6914450896526029E-3</c:v>
                </c:pt>
                <c:pt idx="35">
                  <c:v>7.6041415847847319E-3</c:v>
                </c:pt>
                <c:pt idx="36">
                  <c:v>7.8821060946678602E-3</c:v>
                </c:pt>
                <c:pt idx="37">
                  <c:v>8.4110321079580996E-3</c:v>
                </c:pt>
                <c:pt idx="38">
                  <c:v>8.8829914393609866E-3</c:v>
                </c:pt>
                <c:pt idx="39">
                  <c:v>8.099199835296101E-3</c:v>
                </c:pt>
                <c:pt idx="40">
                  <c:v>1.0253908444493209E-2</c:v>
                </c:pt>
                <c:pt idx="41">
                  <c:v>1.0564620631373174E-2</c:v>
                </c:pt>
                <c:pt idx="42">
                  <c:v>1.0723775611471196E-2</c:v>
                </c:pt>
                <c:pt idx="43">
                  <c:v>1.0677802672103153E-2</c:v>
                </c:pt>
                <c:pt idx="44">
                  <c:v>1.0654300438049472E-2</c:v>
                </c:pt>
                <c:pt idx="45">
                  <c:v>1.0683916241843127E-2</c:v>
                </c:pt>
                <c:pt idx="46">
                  <c:v>1.076648624260516E-2</c:v>
                </c:pt>
                <c:pt idx="47">
                  <c:v>1.077068746195892E-2</c:v>
                </c:pt>
                <c:pt idx="48">
                  <c:v>1.0065719973081541E-2</c:v>
                </c:pt>
                <c:pt idx="49">
                  <c:v>1.0087309593067926E-2</c:v>
                </c:pt>
              </c:numCache>
            </c:numRef>
          </c:xVal>
          <c:yVal>
            <c:numRef>
              <c:f>[0]!MIN_RETURN_AXIS</c:f>
              <c:numCache>
                <c:formatCode>#,##0.000</c:formatCode>
                <c:ptCount val="50"/>
                <c:pt idx="0">
                  <c:v>-1.4796971782518927E-2</c:v>
                </c:pt>
                <c:pt idx="1">
                  <c:v>-2.2703457911281873E-2</c:v>
                </c:pt>
                <c:pt idx="2">
                  <c:v>2.6447462473195141E-2</c:v>
                </c:pt>
                <c:pt idx="3">
                  <c:v>1.7409470752089138E-3</c:v>
                </c:pt>
                <c:pt idx="4">
                  <c:v>7.2992700729927005E-3</c:v>
                </c:pt>
                <c:pt idx="5">
                  <c:v>2.6915113871635612E-2</c:v>
                </c:pt>
                <c:pt idx="6">
                  <c:v>7.0564516129032265E-3</c:v>
                </c:pt>
                <c:pt idx="7">
                  <c:v>-1.8018018018018018E-2</c:v>
                </c:pt>
                <c:pt idx="8">
                  <c:v>-2.7862725110431533E-2</c:v>
                </c:pt>
                <c:pt idx="9">
                  <c:v>-4.1943376441803569E-3</c:v>
                </c:pt>
                <c:pt idx="10">
                  <c:v>-1.1232011232011233E-2</c:v>
                </c:pt>
                <c:pt idx="11">
                  <c:v>1.1714589989350373E-2</c:v>
                </c:pt>
                <c:pt idx="12">
                  <c:v>2.0350877192982456E-2</c:v>
                </c:pt>
                <c:pt idx="13">
                  <c:v>-3.7826685006877576E-3</c:v>
                </c:pt>
                <c:pt idx="14">
                  <c:v>-5.8681394546082153E-3</c:v>
                </c:pt>
                <c:pt idx="15">
                  <c:v>-2.0833333333333333E-3</c:v>
                </c:pt>
                <c:pt idx="16">
                  <c:v>-7.3068893528183722E-3</c:v>
                </c:pt>
                <c:pt idx="17">
                  <c:v>1.8927444794952685E-2</c:v>
                </c:pt>
                <c:pt idx="18">
                  <c:v>6.8799449604403174E-3</c:v>
                </c:pt>
                <c:pt idx="19">
                  <c:v>1.0249402118209771E-2</c:v>
                </c:pt>
                <c:pt idx="20">
                  <c:v>2.3672641190395673E-3</c:v>
                </c:pt>
                <c:pt idx="21">
                  <c:v>5.7354925775978411E-3</c:v>
                </c:pt>
                <c:pt idx="22">
                  <c:v>-2.6836632002683668E-3</c:v>
                </c:pt>
                <c:pt idx="23">
                  <c:v>-1.0090817356205853E-3</c:v>
                </c:pt>
                <c:pt idx="24">
                  <c:v>-2.0202020202020202E-3</c:v>
                </c:pt>
                <c:pt idx="25">
                  <c:v>2.3616734143049934E-3</c:v>
                </c:pt>
                <c:pt idx="26">
                  <c:v>1.9185459441265568E-2</c:v>
                </c:pt>
                <c:pt idx="27">
                  <c:v>3.9630118890356669E-3</c:v>
                </c:pt>
                <c:pt idx="28">
                  <c:v>-5.2631578947368429E-3</c:v>
                </c:pt>
                <c:pt idx="29">
                  <c:v>1.984126984126984E-3</c:v>
                </c:pt>
                <c:pt idx="30">
                  <c:v>-8.580858085808581E-3</c:v>
                </c:pt>
                <c:pt idx="31">
                  <c:v>-8.9880159786950731E-3</c:v>
                </c:pt>
                <c:pt idx="32">
                  <c:v>9.7413503527040649E-3</c:v>
                </c:pt>
                <c:pt idx="33">
                  <c:v>4.3246839654025289E-3</c:v>
                </c:pt>
                <c:pt idx="34">
                  <c:v>-1.987413050679033E-3</c:v>
                </c:pt>
                <c:pt idx="35">
                  <c:v>6.6379024228343847E-4</c:v>
                </c:pt>
                <c:pt idx="36">
                  <c:v>-1.0613598673300166E-2</c:v>
                </c:pt>
                <c:pt idx="37">
                  <c:v>1.6426416359369762E-2</c:v>
                </c:pt>
                <c:pt idx="38">
                  <c:v>-1.4182058047493404E-2</c:v>
                </c:pt>
                <c:pt idx="39">
                  <c:v>0</c:v>
                </c:pt>
                <c:pt idx="40">
                  <c:v>3.1783205085312814E-2</c:v>
                </c:pt>
                <c:pt idx="41">
                  <c:v>-1.2645914396887158E-2</c:v>
                </c:pt>
                <c:pt idx="42">
                  <c:v>-7.5533661740558294E-3</c:v>
                </c:pt>
                <c:pt idx="43">
                  <c:v>2.3163467902051621E-3</c:v>
                </c:pt>
                <c:pt idx="44">
                  <c:v>-3.3014196104324861E-4</c:v>
                </c:pt>
                <c:pt idx="45">
                  <c:v>5.2840158520475553E-3</c:v>
                </c:pt>
                <c:pt idx="46">
                  <c:v>8.5413929040735869E-3</c:v>
                </c:pt>
                <c:pt idx="47">
                  <c:v>0</c:v>
                </c:pt>
                <c:pt idx="48">
                  <c:v>-9.7719869706840395E-4</c:v>
                </c:pt>
                <c:pt idx="49">
                  <c:v>-4.2386697098141506E-3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11680"/>
        <c:axId val="204912256"/>
      </c:scatterChart>
      <c:valAx>
        <c:axId val="204911680"/>
        <c:scaling>
          <c:orientation val="minMax"/>
          <c:max val="1.6597555280290634E-2"/>
          <c:min val="7.6041415847847319E-3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RETURNS</a:t>
                </a:r>
              </a:p>
            </c:rich>
          </c:tx>
          <c:overlay val="0"/>
        </c:title>
        <c:numFmt formatCode="0.00%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04912256"/>
        <c:crosses val="autoZero"/>
        <c:crossBetween val="midCat"/>
      </c:valAx>
      <c:valAx>
        <c:axId val="204912256"/>
        <c:scaling>
          <c:orientation val="minMax"/>
          <c:max val="3.1783205085312814E-2"/>
          <c:min val="-2.7862725110431533E-2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SD</a:t>
                </a:r>
              </a:p>
            </c:rich>
          </c:tx>
          <c:overlay val="0"/>
        </c:title>
        <c:numFmt formatCode="0.00%" sourceLinked="0"/>
        <c:majorTickMark val="out"/>
        <c:minorTickMark val="out"/>
        <c:tickLblPos val="low"/>
        <c:txPr>
          <a:bodyPr rot="0"/>
          <a:lstStyle/>
          <a:p>
            <a:pPr>
              <a:defRPr/>
            </a:pPr>
            <a:endParaRPr lang="en-US"/>
          </a:p>
        </c:txPr>
        <c:crossAx val="204911680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0361078463501"/>
          <c:y val="8.4570054164843381E-2"/>
          <c:w val="0.82427399346247265"/>
          <c:h val="0.82118622735656877"/>
        </c:manualLayout>
      </c:layout>
      <c:scatterChart>
        <c:scatterStyle val="lineMarker"/>
        <c:varyColors val="0"/>
        <c:ser>
          <c:idx val="0"/>
          <c:order val="0"/>
          <c:tx>
            <c:strRef>
              <c:f>MODEL!$M$5</c:f>
              <c:strCache>
                <c:ptCount val="1"/>
                <c:pt idx="0">
                  <c:v>MAX CORREL RETURN</c:v>
                </c:pt>
              </c:strCache>
            </c:strRef>
          </c:tx>
          <c:spPr>
            <a:ln w="28575">
              <a:noFill/>
            </a:ln>
          </c:spPr>
          <c:trendline>
            <c:spPr>
              <a:ln>
                <a:solidFill>
                  <a:srgbClr val="00B0F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20665113432497453"/>
                  <c:y val="-0.18828123971492139"/>
                </c:manualLayout>
              </c:layout>
              <c:numFmt formatCode="General" sourceLinked="0"/>
            </c:trendlineLbl>
          </c:trendline>
          <c:xVal>
            <c:numRef>
              <c:f>[0]!MAX_VOLATILITY_AXIS</c:f>
              <c:numCache>
                <c:formatCode>#,##0.000</c:formatCode>
                <c:ptCount val="50"/>
                <c:pt idx="0">
                  <c:v>1.0750462848187687E-2</c:v>
                </c:pt>
                <c:pt idx="1">
                  <c:v>1.0700686029836199E-2</c:v>
                </c:pt>
                <c:pt idx="2">
                  <c:v>1.158093716237686E-2</c:v>
                </c:pt>
                <c:pt idx="3">
                  <c:v>1.1709221927646396E-2</c:v>
                </c:pt>
                <c:pt idx="4">
                  <c:v>1.1707531295272047E-2</c:v>
                </c:pt>
                <c:pt idx="5">
                  <c:v>1.2871936704254237E-2</c:v>
                </c:pt>
                <c:pt idx="6">
                  <c:v>1.2746506639247018E-2</c:v>
                </c:pt>
                <c:pt idx="7">
                  <c:v>1.3155292099316259E-2</c:v>
                </c:pt>
                <c:pt idx="8">
                  <c:v>1.3913057337393387E-2</c:v>
                </c:pt>
                <c:pt idx="9">
                  <c:v>1.4300293899759339E-2</c:v>
                </c:pt>
                <c:pt idx="10">
                  <c:v>1.3904200155130995E-2</c:v>
                </c:pt>
                <c:pt idx="11">
                  <c:v>1.3762490874616784E-2</c:v>
                </c:pt>
                <c:pt idx="12">
                  <c:v>1.4600516778883046E-2</c:v>
                </c:pt>
                <c:pt idx="13">
                  <c:v>1.4498989232479042E-2</c:v>
                </c:pt>
                <c:pt idx="14">
                  <c:v>1.5609348110395712E-2</c:v>
                </c:pt>
                <c:pt idx="15">
                  <c:v>1.5214850148430345E-2</c:v>
                </c:pt>
                <c:pt idx="16">
                  <c:v>1.5997550483447795E-2</c:v>
                </c:pt>
                <c:pt idx="17">
                  <c:v>1.6427977708117589E-2</c:v>
                </c:pt>
                <c:pt idx="18">
                  <c:v>1.6804010483232025E-2</c:v>
                </c:pt>
                <c:pt idx="19">
                  <c:v>1.6811240990708919E-2</c:v>
                </c:pt>
                <c:pt idx="20">
                  <c:v>1.6817982982058142E-2</c:v>
                </c:pt>
                <c:pt idx="21">
                  <c:v>1.6598721035122093E-2</c:v>
                </c:pt>
                <c:pt idx="22">
                  <c:v>1.7097770132994766E-2</c:v>
                </c:pt>
                <c:pt idx="23">
                  <c:v>1.7045360037914112E-2</c:v>
                </c:pt>
                <c:pt idx="24">
                  <c:v>1.5942371943134241E-2</c:v>
                </c:pt>
                <c:pt idx="25">
                  <c:v>1.5986300261570378E-2</c:v>
                </c:pt>
                <c:pt idx="26">
                  <c:v>1.6503566857104107E-2</c:v>
                </c:pt>
                <c:pt idx="27">
                  <c:v>1.5521718288422005E-2</c:v>
                </c:pt>
                <c:pt idx="28">
                  <c:v>1.5624841975062472E-2</c:v>
                </c:pt>
                <c:pt idx="29">
                  <c:v>1.5664602829435634E-2</c:v>
                </c:pt>
                <c:pt idx="30">
                  <c:v>1.5492843536995917E-2</c:v>
                </c:pt>
                <c:pt idx="31">
                  <c:v>1.623569909340598E-2</c:v>
                </c:pt>
                <c:pt idx="32">
                  <c:v>1.6192658712090725E-2</c:v>
                </c:pt>
                <c:pt idx="33">
                  <c:v>1.6197700652144296E-2</c:v>
                </c:pt>
                <c:pt idx="34">
                  <c:v>1.6439100440955954E-2</c:v>
                </c:pt>
                <c:pt idx="35">
                  <c:v>1.6416461630280044E-2</c:v>
                </c:pt>
                <c:pt idx="36">
                  <c:v>1.5744383301706612E-2</c:v>
                </c:pt>
                <c:pt idx="37">
                  <c:v>1.6597555280290634E-2</c:v>
                </c:pt>
                <c:pt idx="38">
                  <c:v>1.5801685473583415E-2</c:v>
                </c:pt>
                <c:pt idx="39">
                  <c:v>1.5296167642424053E-2</c:v>
                </c:pt>
                <c:pt idx="40">
                  <c:v>1.4615756366951048E-2</c:v>
                </c:pt>
                <c:pt idx="41">
                  <c:v>1.5235572347231288E-2</c:v>
                </c:pt>
                <c:pt idx="42">
                  <c:v>1.5210604055426036E-2</c:v>
                </c:pt>
                <c:pt idx="43">
                  <c:v>1.5159339653067766E-2</c:v>
                </c:pt>
                <c:pt idx="44">
                  <c:v>1.4294022750574058E-2</c:v>
                </c:pt>
                <c:pt idx="45">
                  <c:v>1.4340694573017249E-2</c:v>
                </c:pt>
                <c:pt idx="46">
                  <c:v>1.4892191827815163E-2</c:v>
                </c:pt>
                <c:pt idx="47">
                  <c:v>1.4990766650435455E-2</c:v>
                </c:pt>
                <c:pt idx="48">
                  <c:v>1.475936513295294E-2</c:v>
                </c:pt>
                <c:pt idx="49">
                  <c:v>1.4699877082875498E-2</c:v>
                </c:pt>
              </c:numCache>
            </c:numRef>
          </c:xVal>
          <c:yVal>
            <c:numRef>
              <c:f>[0]!MAX_RETURN_AXIS</c:f>
              <c:numCache>
                <c:formatCode>#,##0.000</c:formatCode>
                <c:ptCount val="50"/>
                <c:pt idx="0">
                  <c:v>-7.6150917272412603E-3</c:v>
                </c:pt>
                <c:pt idx="1">
                  <c:v>-4.8831531217300318E-3</c:v>
                </c:pt>
                <c:pt idx="2">
                  <c:v>-2.558710129688048E-2</c:v>
                </c:pt>
                <c:pt idx="3">
                  <c:v>3.5971223021582736E-3</c:v>
                </c:pt>
                <c:pt idx="4">
                  <c:v>-1.4336917562724014E-3</c:v>
                </c:pt>
                <c:pt idx="5">
                  <c:v>2.9432878679109837E-2</c:v>
                </c:pt>
                <c:pt idx="6">
                  <c:v>-4.1841004184100415E-3</c:v>
                </c:pt>
                <c:pt idx="7">
                  <c:v>1.4355742296918769E-2</c:v>
                </c:pt>
                <c:pt idx="8">
                  <c:v>-2.5198481187435277E-2</c:v>
                </c:pt>
                <c:pt idx="9">
                  <c:v>1.3456090651558075E-2</c:v>
                </c:pt>
                <c:pt idx="10">
                  <c:v>-5.2410901467505244E-3</c:v>
                </c:pt>
                <c:pt idx="11">
                  <c:v>7.0249385317878469E-3</c:v>
                </c:pt>
                <c:pt idx="12">
                  <c:v>2.3369375653993722E-2</c:v>
                </c:pt>
                <c:pt idx="13">
                  <c:v>-6.1349693251533752E-3</c:v>
                </c:pt>
                <c:pt idx="14">
                  <c:v>2.8806584362139918E-2</c:v>
                </c:pt>
                <c:pt idx="15">
                  <c:v>7.6666666666666671E-3</c:v>
                </c:pt>
                <c:pt idx="16">
                  <c:v>-2.5802183261660602E-2</c:v>
                </c:pt>
                <c:pt idx="17">
                  <c:v>1.8675721561969439E-2</c:v>
                </c:pt>
                <c:pt idx="18">
                  <c:v>-2.7E-2</c:v>
                </c:pt>
                <c:pt idx="19">
                  <c:v>5.1387461459403904E-3</c:v>
                </c:pt>
                <c:pt idx="20">
                  <c:v>4.7716428084526238E-3</c:v>
                </c:pt>
                <c:pt idx="21">
                  <c:v>-8.4803256445047503E-3</c:v>
                </c:pt>
                <c:pt idx="22">
                  <c:v>2.257954156688334E-2</c:v>
                </c:pt>
                <c:pt idx="23">
                  <c:v>-1.0036801605888257E-3</c:v>
                </c:pt>
                <c:pt idx="24">
                  <c:v>6.6979236436704621E-3</c:v>
                </c:pt>
                <c:pt idx="25">
                  <c:v>-1.996007984031936E-3</c:v>
                </c:pt>
                <c:pt idx="26">
                  <c:v>-1.6666666666666666E-2</c:v>
                </c:pt>
                <c:pt idx="27">
                  <c:v>-6.1016949152542374E-3</c:v>
                </c:pt>
                <c:pt idx="28">
                  <c:v>-8.8676671214188273E-3</c:v>
                </c:pt>
                <c:pt idx="29">
                  <c:v>-1.4796971782518927E-2</c:v>
                </c:pt>
                <c:pt idx="30">
                  <c:v>-2.2703457911281873E-2</c:v>
                </c:pt>
                <c:pt idx="31">
                  <c:v>2.6447462473195141E-2</c:v>
                </c:pt>
                <c:pt idx="32">
                  <c:v>1.7409470752089138E-3</c:v>
                </c:pt>
                <c:pt idx="33">
                  <c:v>7.2992700729927005E-3</c:v>
                </c:pt>
                <c:pt idx="34">
                  <c:v>2.6915113871635612E-2</c:v>
                </c:pt>
                <c:pt idx="35">
                  <c:v>7.0564516129032265E-3</c:v>
                </c:pt>
                <c:pt idx="36">
                  <c:v>-1.8018018018018018E-2</c:v>
                </c:pt>
                <c:pt idx="37">
                  <c:v>-2.7862725110431533E-2</c:v>
                </c:pt>
                <c:pt idx="38">
                  <c:v>-4.1943376441803569E-3</c:v>
                </c:pt>
                <c:pt idx="39">
                  <c:v>-1.1232011232011233E-2</c:v>
                </c:pt>
                <c:pt idx="40">
                  <c:v>1.1714589989350373E-2</c:v>
                </c:pt>
                <c:pt idx="41">
                  <c:v>2.0350877192982456E-2</c:v>
                </c:pt>
                <c:pt idx="42">
                  <c:v>-3.7826685006877576E-3</c:v>
                </c:pt>
                <c:pt idx="43">
                  <c:v>-5.8681394546082153E-3</c:v>
                </c:pt>
                <c:pt idx="44">
                  <c:v>-2.0833333333333333E-3</c:v>
                </c:pt>
                <c:pt idx="45">
                  <c:v>-7.3068893528183722E-3</c:v>
                </c:pt>
                <c:pt idx="46">
                  <c:v>1.8927444794952685E-2</c:v>
                </c:pt>
                <c:pt idx="47">
                  <c:v>6.8799449604403174E-3</c:v>
                </c:pt>
                <c:pt idx="48">
                  <c:v>1.0249402118209771E-2</c:v>
                </c:pt>
                <c:pt idx="49">
                  <c:v>2.3672641190395673E-3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55328"/>
        <c:axId val="40156480"/>
      </c:scatterChart>
      <c:valAx>
        <c:axId val="40155328"/>
        <c:scaling>
          <c:orientation val="minMax"/>
          <c:max val="1.7097770132994766E-2"/>
          <c:min val="1.0700686029836199E-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RETURNS</a:t>
                </a:r>
              </a:p>
            </c:rich>
          </c:tx>
          <c:overlay val="0"/>
        </c:title>
        <c:numFmt formatCode="0.00%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0156480"/>
        <c:crosses val="autoZero"/>
        <c:crossBetween val="midCat"/>
      </c:valAx>
      <c:valAx>
        <c:axId val="40156480"/>
        <c:scaling>
          <c:orientation val="minMax"/>
          <c:max val="2.9432878679109837E-2"/>
          <c:min val="-2.7862725110431533E-2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SD</a:t>
                </a:r>
              </a:p>
            </c:rich>
          </c:tx>
          <c:overlay val="0"/>
        </c:title>
        <c:numFmt formatCode="0.00%" sourceLinked="0"/>
        <c:majorTickMark val="out"/>
        <c:minorTickMark val="out"/>
        <c:tickLblPos val="low"/>
        <c:txPr>
          <a:bodyPr rot="0"/>
          <a:lstStyle/>
          <a:p>
            <a:pPr>
              <a:defRPr/>
            </a:pPr>
            <a:endParaRPr lang="en-US"/>
          </a:p>
        </c:txPr>
        <c:crossAx val="40155328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>
    <tabColor rgb="FF0070C0"/>
  </sheetPr>
  <sheetViews>
    <sheetView zoomScale="4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>
    <tabColor rgb="FFFFFF00"/>
  </sheetPr>
  <sheetViews>
    <sheetView tabSelected="1" zoomScale="10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>
    <tabColor rgb="FF92D050"/>
  </sheetPr>
  <sheetViews>
    <sheetView zoomScale="4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4">
    <tabColor rgb="FFFF0000"/>
  </sheetPr>
  <sheetViews>
    <sheetView zoomScale="48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190501</xdr:colOff>
      <xdr:row>4</xdr:row>
      <xdr:rowOff>1</xdr:rowOff>
    </xdr:from>
    <xdr:to>
      <xdr:col>4</xdr:col>
      <xdr:colOff>942975</xdr:colOff>
      <xdr:row>6</xdr:row>
      <xdr:rowOff>171451</xdr:rowOff>
    </xdr:to>
    <xdr:sp macro="[0]!REFRESH_CORRELATION_VOLATILITY_MARKET" textlink="">
      <xdr:nvSpPr>
        <xdr:cNvPr id="2" name="AutoShape 2"/>
        <xdr:cNvSpPr>
          <a:spLocks noChangeArrowheads="1"/>
        </xdr:cNvSpPr>
      </xdr:nvSpPr>
      <xdr:spPr bwMode="auto">
        <a:xfrm>
          <a:off x="4000501" y="942976"/>
          <a:ext cx="1800224" cy="552450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91563" cy="63301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0.72382</cdr:x>
      <cdr:y>0.90827</cdr:y>
    </cdr:from>
    <cdr:to>
      <cdr:x>0.89659</cdr:x>
      <cdr:y>0.97302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270625" y="5726340"/>
          <a:ext cx="1496747" cy="408235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7275" cy="63055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0.72382</cdr:x>
      <cdr:y>0.90827</cdr:y>
    </cdr:from>
    <cdr:to>
      <cdr:x>0.89659</cdr:x>
      <cdr:y>0.97302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270625" y="5726340"/>
          <a:ext cx="1496747" cy="408235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91563" cy="63301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0.72644</cdr:x>
      <cdr:y>0.88309</cdr:y>
    </cdr:from>
    <cdr:to>
      <cdr:x>0.89921</cdr:x>
      <cdr:y>0.94784</cdr:y>
    </cdr:to>
    <cdr:sp macro="[0]!SNAPSHOT_CHART_FUNC" textlink="">
      <cdr:nvSpPr>
        <cdr:cNvPr id="3" name="Bevel 2"/>
        <cdr:cNvSpPr/>
      </cdr:nvSpPr>
      <cdr:spPr bwMode="auto">
        <a:xfrm xmlns:a="http://schemas.openxmlformats.org/drawingml/2006/main">
          <a:off x="6293304" y="5567589"/>
          <a:ext cx="1496747" cy="408235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91563" cy="63301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0.72644</cdr:x>
      <cdr:y>0.88309</cdr:y>
    </cdr:from>
    <cdr:to>
      <cdr:x>0.89921</cdr:x>
      <cdr:y>0.94784</cdr:y>
    </cdr:to>
    <cdr:sp macro="[0]!SNAPSHOT_CHART_FUNC" textlink="">
      <cdr:nvSpPr>
        <cdr:cNvPr id="3" name="Bevel 2"/>
        <cdr:cNvSpPr/>
      </cdr:nvSpPr>
      <cdr:spPr bwMode="auto">
        <a:xfrm xmlns:a="http://schemas.openxmlformats.org/drawingml/2006/main">
          <a:off x="6293304" y="5567589"/>
          <a:ext cx="1496747" cy="408235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B2:AC760"/>
  <sheetViews>
    <sheetView showGridLines="0" workbookViewId="0">
      <selection activeCell="D2" sqref="D2"/>
    </sheetView>
  </sheetViews>
  <sheetFormatPr defaultColWidth="15.7109375" defaultRowHeight="15" customHeight="1" x14ac:dyDescent="0.2"/>
  <cols>
    <col min="1" max="1" width="3.7109375" style="2" customWidth="1"/>
    <col min="2" max="2" width="35" style="2" bestFit="1" customWidth="1"/>
    <col min="3" max="3" width="18.42578125" style="2" bestFit="1" customWidth="1"/>
    <col min="4" max="5" width="15.7109375" style="2"/>
    <col min="6" max="6" width="3.7109375" style="2" customWidth="1"/>
    <col min="7" max="24" width="15.7109375" style="4" customWidth="1"/>
    <col min="25" max="28" width="15.7109375" style="2"/>
    <col min="29" max="29" width="16" style="2" bestFit="1" customWidth="1"/>
    <col min="30" max="16384" width="15.7109375" style="2"/>
  </cols>
  <sheetData>
    <row r="2" spans="2:29" ht="29.25" x14ac:dyDescent="0.2">
      <c r="B2" s="1" t="s">
        <v>6</v>
      </c>
      <c r="D2" s="3"/>
      <c r="T2" s="5"/>
    </row>
    <row r="4" spans="2:29" ht="15" customHeight="1" x14ac:dyDescent="0.2">
      <c r="G4"/>
      <c r="H4"/>
      <c r="I4"/>
      <c r="J4"/>
      <c r="K4"/>
      <c r="L4"/>
      <c r="M4"/>
      <c r="N4"/>
      <c r="O4" s="2"/>
      <c r="P4" s="2"/>
      <c r="Q4" s="2"/>
      <c r="R4" s="2"/>
      <c r="S4" s="2"/>
      <c r="T4" s="2"/>
      <c r="U4" s="2"/>
      <c r="V4" s="2"/>
      <c r="W4" s="2"/>
      <c r="X4" s="2"/>
    </row>
    <row r="5" spans="2:29" ht="15" customHeight="1" x14ac:dyDescent="0.25">
      <c r="B5" s="6" t="s">
        <v>0</v>
      </c>
      <c r="C5" s="7" t="s">
        <v>1</v>
      </c>
      <c r="D5" s="8"/>
      <c r="E5" s="8"/>
      <c r="F5" s="9"/>
      <c r="G5" s="19" t="s">
        <v>16</v>
      </c>
      <c r="H5" s="25" t="s">
        <v>10</v>
      </c>
      <c r="I5" s="25" t="s">
        <v>11</v>
      </c>
      <c r="J5" s="25" t="s">
        <v>12</v>
      </c>
      <c r="K5" s="19" t="s">
        <v>17</v>
      </c>
      <c r="L5" s="25" t="s">
        <v>13</v>
      </c>
      <c r="M5" s="25" t="s">
        <v>14</v>
      </c>
      <c r="N5" s="25" t="s">
        <v>15</v>
      </c>
      <c r="O5" s="24"/>
      <c r="P5"/>
      <c r="Q5"/>
      <c r="R5"/>
      <c r="S5"/>
      <c r="T5"/>
      <c r="U5"/>
      <c r="V5"/>
      <c r="W5" s="10"/>
      <c r="X5" s="10"/>
      <c r="Y5" s="10"/>
      <c r="Z5" s="10"/>
      <c r="AA5" s="10"/>
    </row>
    <row r="6" spans="2:29" ht="15" customHeight="1" x14ac:dyDescent="0.25">
      <c r="B6" s="6" t="s">
        <v>2</v>
      </c>
      <c r="C6" s="11">
        <f ca="1">DATE(YEAR(C7)-1,MONTH(C7),DAY(C7))</f>
        <v>40966</v>
      </c>
      <c r="D6" s="12"/>
      <c r="E6" s="12"/>
      <c r="F6" s="9"/>
      <c r="G6" s="20">
        <v>41101</v>
      </c>
      <c r="H6" s="26">
        <v>28.63</v>
      </c>
      <c r="I6" s="26">
        <v>-1.4796971782518927E-2</v>
      </c>
      <c r="J6" s="26">
        <v>1.5664602829435634E-2</v>
      </c>
      <c r="K6" s="20">
        <v>41059</v>
      </c>
      <c r="L6" s="26">
        <v>28.67</v>
      </c>
      <c r="M6" s="26">
        <v>-7.6150917272412603E-3</v>
      </c>
      <c r="N6" s="26">
        <v>1.0750462848187687E-2</v>
      </c>
      <c r="O6" s="24"/>
      <c r="P6"/>
      <c r="Q6"/>
      <c r="R6"/>
      <c r="S6"/>
      <c r="T6"/>
      <c r="U6"/>
      <c r="V6"/>
      <c r="W6" s="10"/>
      <c r="X6" s="10"/>
      <c r="Y6" s="10"/>
      <c r="Z6" s="10"/>
      <c r="AA6" s="10"/>
    </row>
    <row r="7" spans="2:29" ht="15" customHeight="1" x14ac:dyDescent="0.25">
      <c r="B7" s="6" t="s">
        <v>3</v>
      </c>
      <c r="C7" s="11">
        <f ca="1">TODAY()</f>
        <v>41332</v>
      </c>
      <c r="D7" s="12"/>
      <c r="E7" s="12"/>
      <c r="F7" s="9"/>
      <c r="G7" s="20">
        <v>41102</v>
      </c>
      <c r="H7" s="26">
        <v>27.98</v>
      </c>
      <c r="I7" s="26">
        <v>-2.2703457911281873E-2</v>
      </c>
      <c r="J7" s="26">
        <v>1.5492843536995917E-2</v>
      </c>
      <c r="K7" s="20">
        <v>41060</v>
      </c>
      <c r="L7" s="26">
        <v>28.53</v>
      </c>
      <c r="M7" s="26">
        <v>-4.8831531217300318E-3</v>
      </c>
      <c r="N7" s="26">
        <v>1.0700686029836199E-2</v>
      </c>
      <c r="O7" s="24"/>
      <c r="P7"/>
      <c r="Q7"/>
      <c r="R7"/>
      <c r="S7"/>
      <c r="T7"/>
      <c r="U7"/>
      <c r="V7"/>
      <c r="W7" s="10"/>
      <c r="X7" s="10"/>
      <c r="Y7" s="10"/>
      <c r="Z7" s="10"/>
      <c r="AA7" s="10"/>
    </row>
    <row r="8" spans="2:29" ht="15" customHeight="1" x14ac:dyDescent="0.25">
      <c r="B8" s="6" t="s">
        <v>4</v>
      </c>
      <c r="C8" s="11"/>
      <c r="D8" s="12"/>
      <c r="E8" s="12"/>
      <c r="F8" s="9"/>
      <c r="G8" s="20">
        <v>41103</v>
      </c>
      <c r="H8" s="26">
        <v>28.72</v>
      </c>
      <c r="I8" s="26">
        <v>2.6447462473195141E-2</v>
      </c>
      <c r="J8" s="26">
        <v>1.623569909340598E-2</v>
      </c>
      <c r="K8" s="20">
        <v>41061</v>
      </c>
      <c r="L8" s="26">
        <v>27.8</v>
      </c>
      <c r="M8" s="26">
        <v>-2.558710129688048E-2</v>
      </c>
      <c r="N8" s="26">
        <v>1.158093716237686E-2</v>
      </c>
      <c r="O8" s="24"/>
      <c r="P8"/>
      <c r="Q8"/>
      <c r="R8"/>
      <c r="S8"/>
      <c r="T8"/>
      <c r="U8"/>
      <c r="V8"/>
      <c r="W8" s="10"/>
      <c r="X8" s="10"/>
      <c r="Y8" s="10"/>
      <c r="Z8" s="10"/>
      <c r="AA8" s="10"/>
      <c r="AC8" s="13"/>
    </row>
    <row r="9" spans="2:29" ht="15" customHeight="1" x14ac:dyDescent="0.25">
      <c r="B9" s="6" t="s">
        <v>5</v>
      </c>
      <c r="C9" s="22">
        <v>20</v>
      </c>
      <c r="F9" s="9"/>
      <c r="G9" s="20">
        <v>41106</v>
      </c>
      <c r="H9" s="26">
        <v>28.77</v>
      </c>
      <c r="I9" s="26">
        <v>1.7409470752089138E-3</v>
      </c>
      <c r="J9" s="26">
        <v>1.6192658712090725E-2</v>
      </c>
      <c r="K9" s="20">
        <v>41064</v>
      </c>
      <c r="L9" s="26">
        <v>27.9</v>
      </c>
      <c r="M9" s="26">
        <v>3.5971223021582736E-3</v>
      </c>
      <c r="N9" s="26">
        <v>1.1709221927646396E-2</v>
      </c>
      <c r="O9" s="24"/>
      <c r="P9"/>
      <c r="Q9"/>
      <c r="R9"/>
      <c r="S9"/>
      <c r="T9"/>
      <c r="U9"/>
      <c r="V9"/>
      <c r="W9" s="10"/>
      <c r="X9" s="10"/>
      <c r="Y9" s="10"/>
      <c r="Z9" s="10"/>
      <c r="AA9" s="10"/>
      <c r="AC9" s="14"/>
    </row>
    <row r="10" spans="2:29" ht="15" customHeight="1" x14ac:dyDescent="0.25">
      <c r="B10" s="6" t="s">
        <v>7</v>
      </c>
      <c r="C10" s="22">
        <v>50</v>
      </c>
      <c r="F10" s="9"/>
      <c r="G10" s="20">
        <v>41107</v>
      </c>
      <c r="H10" s="26">
        <v>28.98</v>
      </c>
      <c r="I10" s="26">
        <v>7.2992700729927005E-3</v>
      </c>
      <c r="J10" s="26">
        <v>1.6197700652144296E-2</v>
      </c>
      <c r="K10" s="20">
        <v>41065</v>
      </c>
      <c r="L10" s="26">
        <v>27.86</v>
      </c>
      <c r="M10" s="26">
        <v>-1.4336917562724014E-3</v>
      </c>
      <c r="N10" s="26">
        <v>1.1707531295272047E-2</v>
      </c>
      <c r="O10" s="24"/>
      <c r="P10"/>
      <c r="Q10"/>
      <c r="R10"/>
      <c r="S10"/>
      <c r="T10"/>
      <c r="U10"/>
      <c r="V10"/>
      <c r="W10" s="10"/>
      <c r="X10" s="10"/>
      <c r="Y10" s="10"/>
      <c r="Z10" s="10"/>
      <c r="AA10" s="10"/>
    </row>
    <row r="11" spans="2:29" ht="15" customHeight="1" x14ac:dyDescent="0.25">
      <c r="B11" s="6" t="s">
        <v>8</v>
      </c>
      <c r="C11" s="23">
        <v>0</v>
      </c>
      <c r="D11" s="15"/>
      <c r="E11" s="15"/>
      <c r="F11" s="9"/>
      <c r="G11" s="20">
        <v>41108</v>
      </c>
      <c r="H11" s="26">
        <v>29.76</v>
      </c>
      <c r="I11" s="26">
        <v>2.6915113871635612E-2</v>
      </c>
      <c r="J11" s="26">
        <v>1.6439100440955954E-2</v>
      </c>
      <c r="K11" s="20">
        <v>41066</v>
      </c>
      <c r="L11" s="26">
        <v>28.68</v>
      </c>
      <c r="M11" s="26">
        <v>2.9432878679109837E-2</v>
      </c>
      <c r="N11" s="26">
        <v>1.2871936704254237E-2</v>
      </c>
      <c r="O11" s="24"/>
      <c r="P11"/>
      <c r="Q11"/>
      <c r="R11"/>
      <c r="S11"/>
      <c r="T11"/>
      <c r="U11"/>
      <c r="V11"/>
      <c r="W11" s="10"/>
      <c r="X11" s="10"/>
      <c r="Y11" s="10"/>
      <c r="Z11" s="10"/>
      <c r="AA11" s="10"/>
    </row>
    <row r="12" spans="2:29" ht="15" customHeight="1" x14ac:dyDescent="0.25">
      <c r="B12" s="6" t="s">
        <v>9</v>
      </c>
      <c r="C12" s="23">
        <v>0</v>
      </c>
      <c r="F12" s="9"/>
      <c r="G12" s="20">
        <v>41109</v>
      </c>
      <c r="H12" s="26">
        <v>29.97</v>
      </c>
      <c r="I12" s="26">
        <v>7.0564516129032265E-3</v>
      </c>
      <c r="J12" s="26">
        <v>1.6416461630280044E-2</v>
      </c>
      <c r="K12" s="20">
        <v>41067</v>
      </c>
      <c r="L12" s="26">
        <v>28.56</v>
      </c>
      <c r="M12" s="26">
        <v>-4.1841004184100415E-3</v>
      </c>
      <c r="N12" s="26">
        <v>1.2746506639247018E-2</v>
      </c>
      <c r="O12" s="24"/>
      <c r="P12"/>
      <c r="Q12"/>
      <c r="R12"/>
      <c r="S12"/>
      <c r="T12"/>
      <c r="U12"/>
      <c r="V12"/>
      <c r="W12" s="10"/>
      <c r="X12" s="10"/>
      <c r="Y12" s="10"/>
      <c r="Z12" s="10"/>
      <c r="AA12" s="10"/>
    </row>
    <row r="13" spans="2:29" ht="15" customHeight="1" x14ac:dyDescent="0.25">
      <c r="B13" s="16"/>
      <c r="C13" s="16"/>
      <c r="F13" s="9"/>
      <c r="G13" s="20">
        <v>41110</v>
      </c>
      <c r="H13" s="26">
        <v>29.43</v>
      </c>
      <c r="I13" s="26">
        <v>-1.8018018018018018E-2</v>
      </c>
      <c r="J13" s="26">
        <v>1.5744383301706612E-2</v>
      </c>
      <c r="K13" s="20">
        <v>41068</v>
      </c>
      <c r="L13" s="26">
        <v>28.97</v>
      </c>
      <c r="M13" s="26">
        <v>1.4355742296918769E-2</v>
      </c>
      <c r="N13" s="26">
        <v>1.3155292099316259E-2</v>
      </c>
      <c r="O13" s="24"/>
      <c r="P13"/>
      <c r="Q13"/>
      <c r="R13"/>
      <c r="S13"/>
      <c r="T13"/>
      <c r="U13"/>
      <c r="V13"/>
      <c r="W13" s="10"/>
      <c r="X13" s="10"/>
      <c r="Y13" s="10"/>
      <c r="Z13" s="10"/>
      <c r="AA13" s="10"/>
    </row>
    <row r="14" spans="2:29" ht="15" customHeight="1" x14ac:dyDescent="0.25">
      <c r="B14" s="29" t="str">
        <f>POSITION</f>
        <v>MIN CORREL DATE: CORREL = -73.01%</v>
      </c>
      <c r="C14" s="27"/>
      <c r="D14" s="16"/>
      <c r="E14" s="16"/>
      <c r="F14" s="9"/>
      <c r="G14" s="20">
        <v>41113</v>
      </c>
      <c r="H14" s="26">
        <v>28.61</v>
      </c>
      <c r="I14" s="26">
        <v>-2.7862725110431533E-2</v>
      </c>
      <c r="J14" s="26">
        <v>1.6597555280290634E-2</v>
      </c>
      <c r="K14" s="20">
        <v>41071</v>
      </c>
      <c r="L14" s="26">
        <v>28.24</v>
      </c>
      <c r="M14" s="26">
        <v>-2.5198481187435277E-2</v>
      </c>
      <c r="N14" s="26">
        <v>1.3913057337393387E-2</v>
      </c>
      <c r="O14" s="24"/>
      <c r="P14"/>
      <c r="Q14"/>
      <c r="R14"/>
      <c r="S14"/>
      <c r="T14"/>
      <c r="U14"/>
      <c r="V14"/>
      <c r="W14" s="10"/>
      <c r="X14" s="10"/>
      <c r="Y14" s="10"/>
      <c r="Z14" s="10"/>
      <c r="AA14" s="10"/>
    </row>
    <row r="15" spans="2:29" ht="15" customHeight="1" x14ac:dyDescent="0.25">
      <c r="B15" s="30" t="str">
        <f>K5</f>
        <v>MAX CORREL DATE: CORREL = 60.39%</v>
      </c>
      <c r="C15" s="28"/>
      <c r="E15" s="16"/>
      <c r="F15" s="9"/>
      <c r="G15" s="20">
        <v>41114</v>
      </c>
      <c r="H15" s="26">
        <v>28.49</v>
      </c>
      <c r="I15" s="26">
        <v>-4.1943376441803569E-3</v>
      </c>
      <c r="J15" s="26">
        <v>1.5801685473583415E-2</v>
      </c>
      <c r="K15" s="20">
        <v>41072</v>
      </c>
      <c r="L15" s="26">
        <v>28.62</v>
      </c>
      <c r="M15" s="26">
        <v>1.3456090651558075E-2</v>
      </c>
      <c r="N15" s="26">
        <v>1.4300293899759339E-2</v>
      </c>
      <c r="O15" s="24"/>
      <c r="P15"/>
      <c r="Q15"/>
      <c r="R15"/>
      <c r="S15"/>
      <c r="T15"/>
      <c r="U15"/>
      <c r="V15"/>
      <c r="W15" s="10"/>
      <c r="X15" s="10"/>
      <c r="Y15" s="10"/>
      <c r="Z15" s="10"/>
      <c r="AA15" s="10"/>
    </row>
    <row r="16" spans="2:29" ht="15" customHeight="1" x14ac:dyDescent="0.25">
      <c r="B16" s="21"/>
      <c r="C16" s="16"/>
      <c r="E16" s="16"/>
      <c r="F16" s="9"/>
      <c r="G16" s="20">
        <v>41115</v>
      </c>
      <c r="H16" s="26">
        <v>28.17</v>
      </c>
      <c r="I16" s="26">
        <v>-1.1232011232011233E-2</v>
      </c>
      <c r="J16" s="26">
        <v>1.5296167642424053E-2</v>
      </c>
      <c r="K16" s="20">
        <v>41073</v>
      </c>
      <c r="L16" s="26">
        <v>28.47</v>
      </c>
      <c r="M16" s="26">
        <v>-5.2410901467505244E-3</v>
      </c>
      <c r="N16" s="26">
        <v>1.3904200155130995E-2</v>
      </c>
      <c r="O16" s="24"/>
      <c r="P16"/>
      <c r="Q16"/>
      <c r="R16"/>
      <c r="S16"/>
      <c r="T16"/>
      <c r="U16"/>
      <c r="V16"/>
      <c r="W16" s="10"/>
      <c r="X16" s="10"/>
      <c r="Y16" s="10"/>
      <c r="Z16" s="10"/>
      <c r="AA16" s="10"/>
    </row>
    <row r="17" spans="2:27" ht="15" customHeight="1" x14ac:dyDescent="0.25">
      <c r="B17" s="21"/>
      <c r="C17" s="16"/>
      <c r="E17" s="16"/>
      <c r="F17" s="9"/>
      <c r="G17" s="20">
        <v>41116</v>
      </c>
      <c r="H17" s="26">
        <v>28.5</v>
      </c>
      <c r="I17" s="26">
        <v>1.1714589989350373E-2</v>
      </c>
      <c r="J17" s="26">
        <v>1.4615756366951048E-2</v>
      </c>
      <c r="K17" s="20">
        <v>41074</v>
      </c>
      <c r="L17" s="26">
        <v>28.67</v>
      </c>
      <c r="M17" s="26">
        <v>7.0249385317878469E-3</v>
      </c>
      <c r="N17" s="26">
        <v>1.3762490874616784E-2</v>
      </c>
      <c r="O17" s="24"/>
      <c r="P17"/>
      <c r="Q17"/>
      <c r="R17"/>
      <c r="S17"/>
      <c r="T17"/>
      <c r="U17"/>
      <c r="V17"/>
      <c r="W17" s="10"/>
      <c r="X17" s="10"/>
      <c r="Y17" s="10"/>
      <c r="Z17" s="10"/>
      <c r="AA17" s="10"/>
    </row>
    <row r="18" spans="2:27" ht="15" customHeight="1" x14ac:dyDescent="0.25">
      <c r="B18" s="21"/>
      <c r="C18" s="16"/>
      <c r="E18" s="16"/>
      <c r="F18" s="9"/>
      <c r="G18" s="20">
        <v>41117</v>
      </c>
      <c r="H18" s="26">
        <v>29.08</v>
      </c>
      <c r="I18" s="26">
        <v>2.0350877192982456E-2</v>
      </c>
      <c r="J18" s="26">
        <v>1.5235572347231288E-2</v>
      </c>
      <c r="K18" s="20">
        <v>41075</v>
      </c>
      <c r="L18" s="26">
        <v>29.34</v>
      </c>
      <c r="M18" s="26">
        <v>2.3369375653993722E-2</v>
      </c>
      <c r="N18" s="26">
        <v>1.4600516778883046E-2</v>
      </c>
      <c r="O18" s="24"/>
      <c r="P18"/>
      <c r="Q18"/>
      <c r="R18"/>
      <c r="S18"/>
      <c r="T18"/>
      <c r="U18"/>
      <c r="V18"/>
      <c r="W18" s="10"/>
      <c r="X18" s="10"/>
      <c r="Y18" s="10"/>
      <c r="Z18" s="10"/>
      <c r="AA18" s="10"/>
    </row>
    <row r="19" spans="2:27" ht="15" customHeight="1" x14ac:dyDescent="0.25">
      <c r="B19" s="21"/>
      <c r="C19" s="16"/>
      <c r="E19" s="16"/>
      <c r="F19" s="9"/>
      <c r="G19" s="20">
        <v>41120</v>
      </c>
      <c r="H19" s="26">
        <v>28.97</v>
      </c>
      <c r="I19" s="26">
        <v>-3.7826685006877576E-3</v>
      </c>
      <c r="J19" s="26">
        <v>1.5210604055426036E-2</v>
      </c>
      <c r="K19" s="20">
        <v>41078</v>
      </c>
      <c r="L19" s="26">
        <v>29.16</v>
      </c>
      <c r="M19" s="26">
        <v>-6.1349693251533752E-3</v>
      </c>
      <c r="N19" s="26">
        <v>1.4498989232479042E-2</v>
      </c>
      <c r="O19" s="24"/>
      <c r="P19"/>
      <c r="Q19"/>
      <c r="R19"/>
      <c r="S19"/>
      <c r="T19"/>
      <c r="U19"/>
      <c r="V19"/>
      <c r="W19" s="10"/>
      <c r="X19" s="10"/>
      <c r="Y19" s="10"/>
      <c r="Z19" s="10"/>
      <c r="AA19" s="10"/>
    </row>
    <row r="20" spans="2:27" ht="15" customHeight="1" x14ac:dyDescent="0.25">
      <c r="B20" s="21"/>
      <c r="C20" s="16"/>
      <c r="E20" s="16"/>
      <c r="F20" s="9"/>
      <c r="G20" s="20">
        <v>41121</v>
      </c>
      <c r="H20" s="26">
        <v>28.8</v>
      </c>
      <c r="I20" s="26">
        <v>-5.8681394546082153E-3</v>
      </c>
      <c r="J20" s="26">
        <v>1.5159339653067766E-2</v>
      </c>
      <c r="K20" s="20">
        <v>41079</v>
      </c>
      <c r="L20" s="26">
        <v>30</v>
      </c>
      <c r="M20" s="26">
        <v>2.8806584362139918E-2</v>
      </c>
      <c r="N20" s="26">
        <v>1.5609348110395712E-2</v>
      </c>
      <c r="O20" s="24"/>
      <c r="P20"/>
      <c r="Q20"/>
      <c r="R20"/>
      <c r="S20"/>
      <c r="T20"/>
      <c r="U20"/>
      <c r="V20"/>
      <c r="W20" s="10"/>
      <c r="X20" s="10"/>
      <c r="Y20" s="10"/>
      <c r="Z20" s="10"/>
      <c r="AA20" s="10"/>
    </row>
    <row r="21" spans="2:27" ht="15" customHeight="1" x14ac:dyDescent="0.25">
      <c r="B21" s="21"/>
      <c r="C21" s="16"/>
      <c r="E21" s="16"/>
      <c r="F21" s="9"/>
      <c r="G21" s="20">
        <v>41122</v>
      </c>
      <c r="H21" s="26">
        <v>28.74</v>
      </c>
      <c r="I21" s="26">
        <v>-2.0833333333333333E-3</v>
      </c>
      <c r="J21" s="26">
        <v>1.4294022750574058E-2</v>
      </c>
      <c r="K21" s="20">
        <v>41080</v>
      </c>
      <c r="L21" s="26">
        <v>30.23</v>
      </c>
      <c r="M21" s="26">
        <v>7.6666666666666671E-3</v>
      </c>
      <c r="N21" s="26">
        <v>1.5214850148430345E-2</v>
      </c>
      <c r="O21" s="24"/>
      <c r="P21"/>
      <c r="Q21"/>
      <c r="R21"/>
      <c r="S21"/>
      <c r="T21"/>
      <c r="U21"/>
      <c r="V21"/>
      <c r="W21" s="10"/>
      <c r="X21" s="10"/>
      <c r="Y21" s="10"/>
      <c r="Z21" s="10"/>
      <c r="AA21" s="10"/>
    </row>
    <row r="22" spans="2:27" ht="15" customHeight="1" x14ac:dyDescent="0.25">
      <c r="B22" s="21"/>
      <c r="C22" s="16"/>
      <c r="E22" s="16"/>
      <c r="F22" s="9"/>
      <c r="G22" s="20">
        <v>41123</v>
      </c>
      <c r="H22" s="26">
        <v>28.53</v>
      </c>
      <c r="I22" s="26">
        <v>-7.3068893528183722E-3</v>
      </c>
      <c r="J22" s="26">
        <v>1.4340694573017249E-2</v>
      </c>
      <c r="K22" s="20">
        <v>41081</v>
      </c>
      <c r="L22" s="26">
        <v>29.45</v>
      </c>
      <c r="M22" s="26">
        <v>-2.5802183261660602E-2</v>
      </c>
      <c r="N22" s="26">
        <v>1.5997550483447795E-2</v>
      </c>
      <c r="O22" s="24"/>
      <c r="P22"/>
      <c r="Q22"/>
      <c r="R22"/>
      <c r="S22"/>
      <c r="T22"/>
      <c r="U22"/>
      <c r="V22"/>
      <c r="W22" s="10"/>
      <c r="X22" s="10"/>
      <c r="Y22" s="10"/>
      <c r="Z22" s="10"/>
      <c r="AA22" s="10"/>
    </row>
    <row r="23" spans="2:27" ht="15" customHeight="1" x14ac:dyDescent="0.25">
      <c r="B23" s="21"/>
      <c r="C23" s="16"/>
      <c r="E23" s="16"/>
      <c r="F23" s="9"/>
      <c r="G23" s="20">
        <v>41124</v>
      </c>
      <c r="H23" s="26">
        <v>29.07</v>
      </c>
      <c r="I23" s="26">
        <v>1.8927444794952685E-2</v>
      </c>
      <c r="J23" s="26">
        <v>1.4892191827815163E-2</v>
      </c>
      <c r="K23" s="20">
        <v>41082</v>
      </c>
      <c r="L23" s="26">
        <v>30</v>
      </c>
      <c r="M23" s="26">
        <v>1.8675721561969439E-2</v>
      </c>
      <c r="N23" s="26">
        <v>1.6427977708117589E-2</v>
      </c>
      <c r="O23" s="24"/>
      <c r="P23"/>
      <c r="Q23"/>
      <c r="R23"/>
      <c r="S23"/>
      <c r="T23"/>
      <c r="U23"/>
      <c r="V23"/>
      <c r="W23" s="10"/>
      <c r="X23" s="10"/>
      <c r="Y23" s="10"/>
      <c r="Z23" s="10"/>
      <c r="AA23" s="10"/>
    </row>
    <row r="24" spans="2:27" ht="15" customHeight="1" x14ac:dyDescent="0.25">
      <c r="B24" s="16"/>
      <c r="C24" s="16"/>
      <c r="D24" s="16"/>
      <c r="E24" s="16"/>
      <c r="F24" s="9"/>
      <c r="G24" s="20">
        <v>41127</v>
      </c>
      <c r="H24" s="26">
        <v>29.27</v>
      </c>
      <c r="I24" s="26">
        <v>6.8799449604403174E-3</v>
      </c>
      <c r="J24" s="26">
        <v>1.4990766650435455E-2</v>
      </c>
      <c r="K24" s="20">
        <v>41085</v>
      </c>
      <c r="L24" s="26">
        <v>29.19</v>
      </c>
      <c r="M24" s="26">
        <v>-2.7E-2</v>
      </c>
      <c r="N24" s="26">
        <v>1.6804010483232025E-2</v>
      </c>
      <c r="O24" s="24"/>
      <c r="P24"/>
      <c r="Q24"/>
      <c r="R24"/>
      <c r="S24"/>
      <c r="T24"/>
      <c r="U24"/>
      <c r="V24"/>
      <c r="W24" s="10"/>
      <c r="X24" s="10"/>
      <c r="Y24" s="10"/>
      <c r="Z24" s="10"/>
      <c r="AA24" s="10"/>
    </row>
    <row r="25" spans="2:27" ht="15" customHeight="1" x14ac:dyDescent="0.25">
      <c r="B25" s="16"/>
      <c r="C25" s="16"/>
      <c r="D25" s="16"/>
      <c r="E25" s="16"/>
      <c r="F25" s="9"/>
      <c r="G25" s="20">
        <v>41128</v>
      </c>
      <c r="H25" s="26">
        <v>29.57</v>
      </c>
      <c r="I25" s="26">
        <v>1.0249402118209771E-2</v>
      </c>
      <c r="J25" s="26">
        <v>1.475936513295294E-2</v>
      </c>
      <c r="K25" s="20">
        <v>41086</v>
      </c>
      <c r="L25" s="26">
        <v>29.34</v>
      </c>
      <c r="M25" s="26">
        <v>5.1387461459403904E-3</v>
      </c>
      <c r="N25" s="26">
        <v>1.6811240990708919E-2</v>
      </c>
      <c r="O25" s="24"/>
      <c r="P25"/>
      <c r="Q25"/>
      <c r="R25"/>
      <c r="S25"/>
      <c r="T25"/>
      <c r="U25"/>
      <c r="V25"/>
      <c r="W25" s="10"/>
      <c r="X25" s="10"/>
      <c r="Y25" s="10"/>
      <c r="Z25" s="10"/>
      <c r="AA25" s="10"/>
    </row>
    <row r="26" spans="2:27" ht="15" customHeight="1" x14ac:dyDescent="0.25">
      <c r="B26" s="16"/>
      <c r="C26" s="16"/>
      <c r="D26" s="16"/>
      <c r="E26" s="16"/>
      <c r="F26" s="9"/>
      <c r="G26" s="20">
        <v>41129</v>
      </c>
      <c r="H26" s="26">
        <v>29.64</v>
      </c>
      <c r="I26" s="26">
        <v>2.3672641190395673E-3</v>
      </c>
      <c r="J26" s="26">
        <v>1.4699877082875498E-2</v>
      </c>
      <c r="K26" s="20">
        <v>41087</v>
      </c>
      <c r="L26" s="26">
        <v>29.48</v>
      </c>
      <c r="M26" s="26">
        <v>4.7716428084526238E-3</v>
      </c>
      <c r="N26" s="26">
        <v>1.6817982982058142E-2</v>
      </c>
      <c r="O26" s="24"/>
      <c r="P26"/>
      <c r="Q26"/>
      <c r="R26"/>
      <c r="S26"/>
      <c r="T26"/>
      <c r="U26"/>
      <c r="V26"/>
      <c r="W26" s="10"/>
      <c r="X26" s="10"/>
      <c r="Y26" s="10"/>
      <c r="Z26" s="10"/>
      <c r="AA26" s="10"/>
    </row>
    <row r="27" spans="2:27" ht="15" customHeight="1" x14ac:dyDescent="0.25">
      <c r="B27" s="16"/>
      <c r="C27" s="16"/>
      <c r="D27" s="16"/>
      <c r="E27" s="16"/>
      <c r="F27" s="9"/>
      <c r="G27" s="20">
        <v>41130</v>
      </c>
      <c r="H27" s="26">
        <v>29.81</v>
      </c>
      <c r="I27" s="26">
        <v>5.7354925775978411E-3</v>
      </c>
      <c r="J27" s="26">
        <v>1.4586576277793507E-2</v>
      </c>
      <c r="K27" s="20">
        <v>41088</v>
      </c>
      <c r="L27" s="26">
        <v>29.23</v>
      </c>
      <c r="M27" s="26">
        <v>-8.4803256445047503E-3</v>
      </c>
      <c r="N27" s="26">
        <v>1.6598721035122093E-2</v>
      </c>
      <c r="O27" s="24"/>
      <c r="P27"/>
      <c r="Q27"/>
      <c r="R27"/>
      <c r="S27"/>
      <c r="T27"/>
      <c r="U27"/>
      <c r="V27"/>
      <c r="W27" s="10"/>
      <c r="X27" s="10"/>
      <c r="Y27" s="10"/>
      <c r="Z27" s="10"/>
      <c r="AA27" s="10"/>
    </row>
    <row r="28" spans="2:27" ht="15" customHeight="1" x14ac:dyDescent="0.25">
      <c r="B28" s="16"/>
      <c r="C28" s="16"/>
      <c r="D28" s="16"/>
      <c r="E28" s="16"/>
      <c r="F28" s="9"/>
      <c r="G28" s="20">
        <v>41131</v>
      </c>
      <c r="H28" s="26">
        <v>29.73</v>
      </c>
      <c r="I28" s="26">
        <v>-2.6836632002683668E-3</v>
      </c>
      <c r="J28" s="26">
        <v>1.4193195608734969E-2</v>
      </c>
      <c r="K28" s="20">
        <v>41089</v>
      </c>
      <c r="L28" s="26">
        <v>29.89</v>
      </c>
      <c r="M28" s="26">
        <v>2.257954156688334E-2</v>
      </c>
      <c r="N28" s="26">
        <v>1.7097770132994766E-2</v>
      </c>
      <c r="O28" s="24"/>
      <c r="P28"/>
      <c r="Q28"/>
      <c r="R28"/>
      <c r="S28"/>
      <c r="T28"/>
      <c r="U28"/>
      <c r="V28"/>
      <c r="W28" s="10"/>
      <c r="X28" s="10"/>
      <c r="Y28" s="10"/>
      <c r="Z28" s="10"/>
      <c r="AA28" s="10"/>
    </row>
    <row r="29" spans="2:27" ht="15" customHeight="1" x14ac:dyDescent="0.25">
      <c r="B29" s="16"/>
      <c r="C29" s="16"/>
      <c r="D29" s="16"/>
      <c r="E29" s="16"/>
      <c r="F29" s="9"/>
      <c r="G29" s="20">
        <v>41134</v>
      </c>
      <c r="H29" s="26">
        <v>29.7</v>
      </c>
      <c r="I29" s="26">
        <v>-1.0090817356205853E-3</v>
      </c>
      <c r="J29" s="26">
        <v>1.3172319099895019E-2</v>
      </c>
      <c r="K29" s="20">
        <v>41092</v>
      </c>
      <c r="L29" s="26">
        <v>29.86</v>
      </c>
      <c r="M29" s="26">
        <v>-1.0036801605888257E-3</v>
      </c>
      <c r="N29" s="26">
        <v>1.7045360037914112E-2</v>
      </c>
      <c r="O29"/>
      <c r="P29"/>
      <c r="Q29"/>
      <c r="R29"/>
      <c r="S29"/>
      <c r="T29"/>
      <c r="U29"/>
      <c r="V29"/>
      <c r="W29" s="10"/>
      <c r="X29" s="10"/>
      <c r="Y29" s="10"/>
      <c r="Z29" s="10"/>
      <c r="AA29" s="10"/>
    </row>
    <row r="30" spans="2:27" ht="15" customHeight="1" x14ac:dyDescent="0.25">
      <c r="B30" s="16"/>
      <c r="C30" s="16"/>
      <c r="D30" s="16"/>
      <c r="E30" s="16"/>
      <c r="F30" s="9"/>
      <c r="G30" s="20">
        <v>41135</v>
      </c>
      <c r="H30" s="26">
        <v>29.64</v>
      </c>
      <c r="I30" s="26">
        <v>-2.0202020202020202E-3</v>
      </c>
      <c r="J30" s="26">
        <v>1.2144073064639391E-2</v>
      </c>
      <c r="K30" s="20">
        <v>41093</v>
      </c>
      <c r="L30" s="26">
        <v>30.06</v>
      </c>
      <c r="M30" s="26">
        <v>6.6979236436704621E-3</v>
      </c>
      <c r="N30" s="26">
        <v>1.5942371943134241E-2</v>
      </c>
      <c r="O30"/>
      <c r="P30"/>
      <c r="Q30"/>
      <c r="R30"/>
      <c r="S30"/>
      <c r="T30"/>
      <c r="U30"/>
      <c r="V30"/>
      <c r="W30" s="10"/>
      <c r="X30" s="10"/>
      <c r="Y30" s="10"/>
      <c r="Z30" s="10"/>
      <c r="AA30" s="10"/>
    </row>
    <row r="31" spans="2:27" ht="15" customHeight="1" x14ac:dyDescent="0.25">
      <c r="B31" s="16"/>
      <c r="C31" s="16"/>
      <c r="D31" s="16"/>
      <c r="E31" s="16"/>
      <c r="F31" s="9"/>
      <c r="G31" s="20">
        <v>41136</v>
      </c>
      <c r="H31" s="26">
        <v>29.71</v>
      </c>
      <c r="I31" s="26">
        <v>2.3616734143049934E-3</v>
      </c>
      <c r="J31" s="26">
        <v>1.2145302550139509E-2</v>
      </c>
      <c r="K31" s="20">
        <v>41095</v>
      </c>
      <c r="L31" s="26">
        <v>30</v>
      </c>
      <c r="M31" s="26">
        <v>-1.996007984031936E-3</v>
      </c>
      <c r="N31" s="26">
        <v>1.5986300261570378E-2</v>
      </c>
      <c r="O31"/>
      <c r="P31"/>
      <c r="Q31"/>
      <c r="R31"/>
      <c r="S31"/>
      <c r="T31"/>
      <c r="U31"/>
      <c r="V31"/>
      <c r="W31" s="10"/>
      <c r="X31" s="10"/>
      <c r="Y31" s="10"/>
      <c r="Z31" s="10"/>
      <c r="AA31" s="10"/>
    </row>
    <row r="32" spans="2:27" ht="15" customHeight="1" x14ac:dyDescent="0.25">
      <c r="B32" s="16"/>
      <c r="C32" s="16"/>
      <c r="D32" s="16"/>
      <c r="E32" s="16"/>
      <c r="F32" s="9"/>
      <c r="G32" s="20">
        <v>41137</v>
      </c>
      <c r="H32" s="26">
        <v>30.28</v>
      </c>
      <c r="I32" s="26">
        <v>1.9185459441265568E-2</v>
      </c>
      <c r="J32" s="26">
        <v>1.2643801329099405E-2</v>
      </c>
      <c r="K32" s="20">
        <v>41096</v>
      </c>
      <c r="L32" s="26">
        <v>29.5</v>
      </c>
      <c r="M32" s="26">
        <v>-1.6666666666666666E-2</v>
      </c>
      <c r="N32" s="26">
        <v>1.6503566857104107E-2</v>
      </c>
      <c r="O32"/>
      <c r="P32"/>
      <c r="Q32"/>
      <c r="R32"/>
      <c r="S32"/>
      <c r="T32"/>
      <c r="U32"/>
      <c r="V32"/>
      <c r="W32" s="10"/>
      <c r="X32" s="10"/>
      <c r="Y32" s="10"/>
      <c r="Z32" s="10"/>
      <c r="AA32" s="10"/>
    </row>
    <row r="33" spans="2:27" ht="15" customHeight="1" x14ac:dyDescent="0.25">
      <c r="B33" s="16"/>
      <c r="C33" s="16"/>
      <c r="D33" s="16"/>
      <c r="E33" s="16"/>
      <c r="F33" s="9"/>
      <c r="G33" s="20">
        <v>41138</v>
      </c>
      <c r="H33" s="26">
        <v>30.4</v>
      </c>
      <c r="I33" s="26">
        <v>3.9630118890356669E-3</v>
      </c>
      <c r="J33" s="26">
        <v>1.1440958524130556E-2</v>
      </c>
      <c r="K33" s="20">
        <v>41099</v>
      </c>
      <c r="L33" s="26">
        <v>29.32</v>
      </c>
      <c r="M33" s="26">
        <v>-6.1016949152542374E-3</v>
      </c>
      <c r="N33" s="26">
        <v>1.5521718288422005E-2</v>
      </c>
      <c r="O33"/>
      <c r="P33"/>
      <c r="Q33"/>
      <c r="R33"/>
      <c r="S33"/>
      <c r="T33"/>
      <c r="U33"/>
      <c r="V33"/>
      <c r="W33" s="10"/>
      <c r="X33" s="10"/>
      <c r="Y33" s="10"/>
      <c r="Z33" s="10"/>
      <c r="AA33" s="10"/>
    </row>
    <row r="34" spans="2:27" ht="15" customHeight="1" x14ac:dyDescent="0.25">
      <c r="B34" s="16"/>
      <c r="C34" s="16"/>
      <c r="D34" s="16"/>
      <c r="E34" s="16"/>
      <c r="F34" s="9"/>
      <c r="G34" s="20">
        <v>41141</v>
      </c>
      <c r="H34" s="26">
        <v>30.24</v>
      </c>
      <c r="I34" s="26">
        <v>-5.2631578947368429E-3</v>
      </c>
      <c r="J34" s="26">
        <v>1.1433936056982945E-2</v>
      </c>
      <c r="K34" s="20">
        <v>41100</v>
      </c>
      <c r="L34" s="26">
        <v>29.06</v>
      </c>
      <c r="M34" s="26">
        <v>-8.8676671214188273E-3</v>
      </c>
      <c r="N34" s="26">
        <v>1.5624841975062472E-2</v>
      </c>
      <c r="O34"/>
      <c r="P34"/>
      <c r="Q34"/>
      <c r="R34"/>
      <c r="S34"/>
      <c r="T34"/>
      <c r="U34"/>
      <c r="V34"/>
      <c r="W34" s="10"/>
      <c r="X34" s="10"/>
      <c r="Y34" s="10"/>
      <c r="Z34" s="10"/>
      <c r="AA34" s="10"/>
    </row>
    <row r="35" spans="2:27" ht="15" customHeight="1" x14ac:dyDescent="0.25">
      <c r="B35" s="16"/>
      <c r="C35" s="16"/>
      <c r="D35" s="16"/>
      <c r="E35" s="16"/>
      <c r="F35" s="9"/>
      <c r="G35" s="20">
        <v>41142</v>
      </c>
      <c r="H35" s="26">
        <v>30.3</v>
      </c>
      <c r="I35" s="26">
        <v>1.984126984126984E-3</v>
      </c>
      <c r="J35" s="26">
        <v>1.0699062685337426E-2</v>
      </c>
      <c r="K35" s="20">
        <v>41101</v>
      </c>
      <c r="L35" s="26">
        <v>28.63</v>
      </c>
      <c r="M35" s="26">
        <v>-1.4796971782518927E-2</v>
      </c>
      <c r="N35" s="26">
        <v>1.5664602829435634E-2</v>
      </c>
      <c r="O35"/>
      <c r="P35"/>
      <c r="Q35"/>
      <c r="R35"/>
      <c r="S35"/>
      <c r="T35"/>
      <c r="U35"/>
      <c r="V35"/>
      <c r="W35" s="10"/>
      <c r="X35" s="10"/>
      <c r="Y35" s="10"/>
      <c r="Z35" s="10"/>
      <c r="AA35" s="10"/>
    </row>
    <row r="36" spans="2:27" ht="15" customHeight="1" x14ac:dyDescent="0.25">
      <c r="B36" s="16"/>
      <c r="C36" s="16"/>
      <c r="D36" s="16"/>
      <c r="E36" s="16"/>
      <c r="F36" s="9"/>
      <c r="G36" s="20">
        <v>41143</v>
      </c>
      <c r="H36" s="26">
        <v>30.04</v>
      </c>
      <c r="I36" s="26">
        <v>-8.580858085808581E-3</v>
      </c>
      <c r="J36" s="26">
        <v>8.9071673126520385E-3</v>
      </c>
      <c r="K36" s="20">
        <v>41102</v>
      </c>
      <c r="L36" s="26">
        <v>27.98</v>
      </c>
      <c r="M36" s="26">
        <v>-2.2703457911281873E-2</v>
      </c>
      <c r="N36" s="26">
        <v>1.5492843536995917E-2</v>
      </c>
      <c r="O36"/>
      <c r="P36"/>
      <c r="Q36"/>
      <c r="R36"/>
      <c r="S36"/>
      <c r="T36"/>
      <c r="U36"/>
      <c r="V36"/>
      <c r="W36" s="10"/>
      <c r="X36" s="10"/>
      <c r="Y36" s="10"/>
      <c r="Z36" s="10"/>
      <c r="AA36" s="10"/>
    </row>
    <row r="37" spans="2:27" ht="15" customHeight="1" x14ac:dyDescent="0.25">
      <c r="B37" s="16"/>
      <c r="C37" s="16"/>
      <c r="D37" s="16"/>
      <c r="E37" s="16"/>
      <c r="F37" s="9"/>
      <c r="G37" s="20">
        <v>41144</v>
      </c>
      <c r="H37" s="26">
        <v>29.77</v>
      </c>
      <c r="I37" s="26">
        <v>-8.9880159786950731E-3</v>
      </c>
      <c r="J37" s="26">
        <v>9.1184922102277074E-3</v>
      </c>
      <c r="K37" s="20">
        <v>41103</v>
      </c>
      <c r="L37" s="26">
        <v>28.72</v>
      </c>
      <c r="M37" s="26">
        <v>2.6447462473195141E-2</v>
      </c>
      <c r="N37" s="26">
        <v>1.623569909340598E-2</v>
      </c>
      <c r="O37"/>
      <c r="P37"/>
      <c r="Q37"/>
      <c r="R37"/>
      <c r="S37"/>
      <c r="T37"/>
      <c r="U37"/>
      <c r="V37"/>
      <c r="W37" s="10"/>
      <c r="X37" s="10"/>
      <c r="Y37" s="10"/>
      <c r="Z37" s="10"/>
      <c r="AA37" s="10"/>
    </row>
    <row r="38" spans="2:27" ht="15" customHeight="1" x14ac:dyDescent="0.25">
      <c r="B38" s="16"/>
      <c r="C38" s="16"/>
      <c r="D38" s="16"/>
      <c r="E38" s="16"/>
      <c r="F38" s="9"/>
      <c r="G38" s="20">
        <v>41145</v>
      </c>
      <c r="H38" s="26">
        <v>30.06</v>
      </c>
      <c r="I38" s="26">
        <v>9.7413503527040649E-3</v>
      </c>
      <c r="J38" s="26">
        <v>8.7707186889516477E-3</v>
      </c>
      <c r="K38" s="20">
        <v>41106</v>
      </c>
      <c r="L38" s="26">
        <v>28.77</v>
      </c>
      <c r="M38" s="26">
        <v>1.7409470752089138E-3</v>
      </c>
      <c r="N38" s="26">
        <v>1.6192658712090725E-2</v>
      </c>
      <c r="O38"/>
      <c r="P38"/>
      <c r="Q38"/>
      <c r="R38"/>
      <c r="S38"/>
      <c r="T38"/>
      <c r="U38"/>
      <c r="V38"/>
      <c r="W38" s="10"/>
      <c r="X38" s="10"/>
      <c r="Y38" s="10"/>
      <c r="Z38" s="10"/>
      <c r="AA38" s="10"/>
    </row>
    <row r="39" spans="2:27" ht="15" customHeight="1" x14ac:dyDescent="0.25">
      <c r="B39" s="16"/>
      <c r="C39" s="16"/>
      <c r="D39" s="16"/>
      <c r="E39" s="16"/>
      <c r="F39" s="9"/>
      <c r="G39" s="20">
        <v>41148</v>
      </c>
      <c r="H39" s="26">
        <v>30.19</v>
      </c>
      <c r="I39" s="26">
        <v>4.3246839654025289E-3</v>
      </c>
      <c r="J39" s="26">
        <v>8.5695160492466737E-3</v>
      </c>
      <c r="K39" s="20">
        <v>41107</v>
      </c>
      <c r="L39" s="26">
        <v>28.98</v>
      </c>
      <c r="M39" s="26">
        <v>7.2992700729927005E-3</v>
      </c>
      <c r="N39" s="26">
        <v>1.6197700652144296E-2</v>
      </c>
      <c r="O39"/>
      <c r="P39"/>
      <c r="Q39"/>
      <c r="R39"/>
      <c r="S39"/>
      <c r="T39"/>
      <c r="U39"/>
      <c r="V39"/>
      <c r="W39" s="10"/>
      <c r="X39" s="10"/>
      <c r="Y39" s="10"/>
      <c r="Z39" s="10"/>
      <c r="AA39" s="10"/>
    </row>
    <row r="40" spans="2:27" ht="15" customHeight="1" x14ac:dyDescent="0.25">
      <c r="B40" s="16"/>
      <c r="C40" s="16"/>
      <c r="D40" s="16"/>
      <c r="E40" s="16"/>
      <c r="F40" s="9"/>
      <c r="G40" s="20">
        <v>41149</v>
      </c>
      <c r="H40" s="26">
        <v>30.13</v>
      </c>
      <c r="I40" s="26">
        <v>-1.987413050679033E-3</v>
      </c>
      <c r="J40" s="26">
        <v>7.6914450896526029E-3</v>
      </c>
      <c r="K40" s="20">
        <v>41108</v>
      </c>
      <c r="L40" s="26">
        <v>29.76</v>
      </c>
      <c r="M40" s="26">
        <v>2.6915113871635612E-2</v>
      </c>
      <c r="N40" s="26">
        <v>1.6439100440955954E-2</v>
      </c>
      <c r="O40"/>
      <c r="P40"/>
      <c r="Q40"/>
      <c r="R40"/>
      <c r="S40"/>
      <c r="T40"/>
      <c r="U40"/>
      <c r="V40"/>
      <c r="W40" s="10"/>
      <c r="X40" s="10"/>
      <c r="Y40" s="10"/>
      <c r="Z40" s="10"/>
      <c r="AA40" s="10"/>
    </row>
    <row r="41" spans="2:27" ht="15" customHeight="1" x14ac:dyDescent="0.25">
      <c r="B41" s="16"/>
      <c r="C41" s="16"/>
      <c r="D41" s="16"/>
      <c r="E41" s="16"/>
      <c r="F41" s="9"/>
      <c r="G41" s="20">
        <v>41150</v>
      </c>
      <c r="H41" s="26">
        <v>30.15</v>
      </c>
      <c r="I41" s="26">
        <v>6.6379024228343847E-4</v>
      </c>
      <c r="J41" s="26">
        <v>7.6041415847847319E-3</v>
      </c>
      <c r="K41" s="20">
        <v>41109</v>
      </c>
      <c r="L41" s="26">
        <v>29.97</v>
      </c>
      <c r="M41" s="26">
        <v>7.0564516129032265E-3</v>
      </c>
      <c r="N41" s="26">
        <v>1.6416461630280044E-2</v>
      </c>
      <c r="O41"/>
      <c r="P41"/>
      <c r="Q41"/>
      <c r="R41"/>
      <c r="S41"/>
      <c r="T41"/>
      <c r="U41"/>
      <c r="V41"/>
      <c r="W41" s="10"/>
      <c r="X41" s="10"/>
      <c r="Y41" s="10"/>
      <c r="Z41" s="10"/>
      <c r="AA41" s="10"/>
    </row>
    <row r="42" spans="2:27" ht="15" customHeight="1" x14ac:dyDescent="0.25">
      <c r="B42" s="16"/>
      <c r="C42" s="16"/>
      <c r="D42" s="16"/>
      <c r="E42" s="16"/>
      <c r="F42" s="9"/>
      <c r="G42" s="20">
        <v>41151</v>
      </c>
      <c r="H42" s="26">
        <v>29.83</v>
      </c>
      <c r="I42" s="26">
        <v>-1.0613598673300166E-2</v>
      </c>
      <c r="J42" s="26">
        <v>7.8821060946678602E-3</v>
      </c>
      <c r="K42" s="20">
        <v>41110</v>
      </c>
      <c r="L42" s="26">
        <v>29.43</v>
      </c>
      <c r="M42" s="26">
        <v>-1.8018018018018018E-2</v>
      </c>
      <c r="N42" s="26">
        <v>1.5744383301706612E-2</v>
      </c>
      <c r="O42"/>
      <c r="P42"/>
      <c r="Q42"/>
      <c r="R42"/>
      <c r="S42"/>
      <c r="T42"/>
      <c r="U42"/>
      <c r="V42"/>
      <c r="W42" s="10"/>
      <c r="X42" s="10"/>
      <c r="Y42" s="10"/>
      <c r="Z42" s="10"/>
      <c r="AA42" s="10"/>
    </row>
    <row r="43" spans="2:27" ht="15" customHeight="1" x14ac:dyDescent="0.25">
      <c r="B43" s="16"/>
      <c r="C43" s="16"/>
      <c r="D43" s="16"/>
      <c r="E43" s="16"/>
      <c r="F43" s="9"/>
      <c r="G43" s="20">
        <v>41152</v>
      </c>
      <c r="H43" s="26">
        <v>30.32</v>
      </c>
      <c r="I43" s="26">
        <v>1.6426416359369762E-2</v>
      </c>
      <c r="J43" s="26">
        <v>8.4110321079580996E-3</v>
      </c>
      <c r="K43" s="20">
        <v>41113</v>
      </c>
      <c r="L43" s="26">
        <v>28.61</v>
      </c>
      <c r="M43" s="26">
        <v>-2.7862725110431533E-2</v>
      </c>
      <c r="N43" s="26">
        <v>1.6597555280290634E-2</v>
      </c>
      <c r="O43"/>
      <c r="P43"/>
      <c r="Q43"/>
      <c r="R43"/>
      <c r="S43"/>
      <c r="T43"/>
      <c r="U43"/>
      <c r="V43"/>
      <c r="W43" s="10"/>
      <c r="X43" s="10"/>
      <c r="Y43" s="10"/>
      <c r="Z43" s="10"/>
      <c r="AA43" s="10"/>
    </row>
    <row r="44" spans="2:27" ht="15" customHeight="1" x14ac:dyDescent="0.25">
      <c r="B44" s="16"/>
      <c r="C44" s="16"/>
      <c r="D44" s="16"/>
      <c r="E44" s="16"/>
      <c r="F44" s="9"/>
      <c r="G44" s="20">
        <v>41156</v>
      </c>
      <c r="H44" s="26">
        <v>29.89</v>
      </c>
      <c r="I44" s="26">
        <v>-1.4182058047493404E-2</v>
      </c>
      <c r="J44" s="26">
        <v>8.8829914393609866E-3</v>
      </c>
      <c r="K44" s="20">
        <v>41114</v>
      </c>
      <c r="L44" s="26">
        <v>28.49</v>
      </c>
      <c r="M44" s="26">
        <v>-4.1943376441803569E-3</v>
      </c>
      <c r="N44" s="26">
        <v>1.5801685473583415E-2</v>
      </c>
      <c r="O44"/>
      <c r="P44"/>
      <c r="Q44"/>
      <c r="R44"/>
      <c r="S44"/>
      <c r="T44"/>
      <c r="U44"/>
      <c r="V44"/>
      <c r="W44" s="10"/>
      <c r="X44" s="10"/>
      <c r="Y44" s="10"/>
      <c r="Z44" s="10"/>
      <c r="AA44" s="10"/>
    </row>
    <row r="45" spans="2:27" ht="15" customHeight="1" x14ac:dyDescent="0.25">
      <c r="B45" s="16"/>
      <c r="C45" s="16"/>
      <c r="D45" s="16"/>
      <c r="E45" s="16"/>
      <c r="F45" s="9"/>
      <c r="G45" s="20">
        <v>41157</v>
      </c>
      <c r="H45" s="26">
        <v>29.89</v>
      </c>
      <c r="I45" s="26">
        <v>0</v>
      </c>
      <c r="J45" s="26">
        <v>8.099199835296101E-3</v>
      </c>
      <c r="K45" s="20">
        <v>41115</v>
      </c>
      <c r="L45" s="26">
        <v>28.17</v>
      </c>
      <c r="M45" s="26">
        <v>-1.1232011232011233E-2</v>
      </c>
      <c r="N45" s="26">
        <v>1.5296167642424053E-2</v>
      </c>
      <c r="O45"/>
      <c r="P45"/>
      <c r="Q45"/>
      <c r="R45"/>
      <c r="S45"/>
      <c r="T45"/>
      <c r="U45"/>
      <c r="V45"/>
      <c r="W45" s="10"/>
      <c r="X45" s="10"/>
      <c r="Y45" s="10"/>
      <c r="Z45" s="10"/>
      <c r="AA45" s="10"/>
    </row>
    <row r="46" spans="2:27" ht="15" customHeight="1" x14ac:dyDescent="0.25">
      <c r="B46" s="16"/>
      <c r="C46" s="16"/>
      <c r="D46" s="16"/>
      <c r="E46" s="16"/>
      <c r="F46" s="9"/>
      <c r="G46" s="20">
        <v>41158</v>
      </c>
      <c r="H46" s="26">
        <v>30.84</v>
      </c>
      <c r="I46" s="26">
        <v>3.1783205085312814E-2</v>
      </c>
      <c r="J46" s="26">
        <v>1.0253908444493209E-2</v>
      </c>
      <c r="K46" s="20">
        <v>41116</v>
      </c>
      <c r="L46" s="26">
        <v>28.5</v>
      </c>
      <c r="M46" s="26">
        <v>1.1714589989350373E-2</v>
      </c>
      <c r="N46" s="26">
        <v>1.4615756366951048E-2</v>
      </c>
      <c r="O46"/>
      <c r="P46"/>
      <c r="Q46"/>
      <c r="R46"/>
      <c r="S46"/>
      <c r="T46"/>
      <c r="U46"/>
      <c r="V46"/>
      <c r="W46" s="10"/>
      <c r="X46" s="10"/>
      <c r="Y46" s="10"/>
      <c r="Z46" s="10"/>
      <c r="AA46" s="10"/>
    </row>
    <row r="47" spans="2:27" ht="15" customHeight="1" x14ac:dyDescent="0.25">
      <c r="B47" s="16"/>
      <c r="C47" s="16"/>
      <c r="D47" s="16"/>
      <c r="E47" s="16"/>
      <c r="F47" s="9"/>
      <c r="G47" s="20">
        <v>41159</v>
      </c>
      <c r="H47" s="26">
        <v>30.45</v>
      </c>
      <c r="I47" s="26">
        <v>-1.2645914396887158E-2</v>
      </c>
      <c r="J47" s="26">
        <v>1.0564620631373174E-2</v>
      </c>
      <c r="K47" s="20">
        <v>41117</v>
      </c>
      <c r="L47" s="26">
        <v>29.08</v>
      </c>
      <c r="M47" s="26">
        <v>2.0350877192982456E-2</v>
      </c>
      <c r="N47" s="26">
        <v>1.5235572347231288E-2</v>
      </c>
      <c r="O47"/>
      <c r="P47"/>
      <c r="Q47"/>
      <c r="R47"/>
      <c r="S47"/>
      <c r="T47"/>
      <c r="U47"/>
      <c r="V47"/>
      <c r="W47" s="10"/>
      <c r="X47" s="10"/>
      <c r="Y47" s="10"/>
      <c r="Z47" s="10"/>
      <c r="AA47" s="10"/>
    </row>
    <row r="48" spans="2:27" ht="15" customHeight="1" x14ac:dyDescent="0.25">
      <c r="B48" s="16"/>
      <c r="C48" s="16"/>
      <c r="D48" s="16"/>
      <c r="E48" s="16"/>
      <c r="F48" s="9"/>
      <c r="G48" s="20">
        <v>41162</v>
      </c>
      <c r="H48" s="26">
        <v>30.22</v>
      </c>
      <c r="I48" s="26">
        <v>-7.5533661740558294E-3</v>
      </c>
      <c r="J48" s="26">
        <v>1.0723775611471196E-2</v>
      </c>
      <c r="K48" s="20">
        <v>41120</v>
      </c>
      <c r="L48" s="26">
        <v>28.97</v>
      </c>
      <c r="M48" s="26">
        <v>-3.7826685006877576E-3</v>
      </c>
      <c r="N48" s="26">
        <v>1.5210604055426036E-2</v>
      </c>
      <c r="O48"/>
      <c r="P48"/>
      <c r="Q48"/>
      <c r="R48"/>
      <c r="S48"/>
      <c r="T48"/>
      <c r="U48"/>
      <c r="V48"/>
      <c r="W48" s="10"/>
      <c r="X48" s="10"/>
      <c r="Y48" s="10"/>
      <c r="Z48" s="10"/>
      <c r="AA48" s="10"/>
    </row>
    <row r="49" spans="2:27" ht="15" customHeight="1" x14ac:dyDescent="0.25">
      <c r="B49" s="16"/>
      <c r="C49" s="16"/>
      <c r="D49" s="16"/>
      <c r="E49" s="16"/>
      <c r="F49" s="9"/>
      <c r="G49" s="20">
        <v>41163</v>
      </c>
      <c r="H49" s="26">
        <v>30.29</v>
      </c>
      <c r="I49" s="26">
        <v>2.3163467902051621E-3</v>
      </c>
      <c r="J49" s="26">
        <v>1.0677802672103153E-2</v>
      </c>
      <c r="K49" s="20">
        <v>41121</v>
      </c>
      <c r="L49" s="26">
        <v>28.8</v>
      </c>
      <c r="M49" s="26">
        <v>-5.8681394546082153E-3</v>
      </c>
      <c r="N49" s="26">
        <v>1.5159339653067766E-2</v>
      </c>
      <c r="O49"/>
      <c r="P49"/>
      <c r="Q49"/>
      <c r="R49"/>
      <c r="S49"/>
      <c r="T49"/>
      <c r="U49"/>
      <c r="V49"/>
      <c r="W49" s="10"/>
      <c r="X49" s="10"/>
      <c r="Y49" s="10"/>
      <c r="Z49" s="10"/>
      <c r="AA49" s="10"/>
    </row>
    <row r="50" spans="2:27" ht="15" customHeight="1" x14ac:dyDescent="0.25">
      <c r="B50" s="16"/>
      <c r="C50" s="16"/>
      <c r="D50" s="16"/>
      <c r="E50" s="16"/>
      <c r="F50" s="9"/>
      <c r="G50" s="20">
        <v>41164</v>
      </c>
      <c r="H50" s="26">
        <v>30.28</v>
      </c>
      <c r="I50" s="26">
        <v>-3.3014196104324861E-4</v>
      </c>
      <c r="J50" s="26">
        <v>1.0654300438049472E-2</v>
      </c>
      <c r="K50" s="20">
        <v>41122</v>
      </c>
      <c r="L50" s="26">
        <v>28.74</v>
      </c>
      <c r="M50" s="26">
        <v>-2.0833333333333333E-3</v>
      </c>
      <c r="N50" s="26">
        <v>1.4294022750574058E-2</v>
      </c>
      <c r="O50"/>
      <c r="P50"/>
      <c r="Q50"/>
      <c r="R50"/>
      <c r="S50"/>
      <c r="T50"/>
      <c r="U50"/>
      <c r="V50"/>
      <c r="W50" s="10"/>
      <c r="X50" s="10"/>
      <c r="Y50" s="10"/>
      <c r="Z50" s="10"/>
      <c r="AA50" s="10"/>
    </row>
    <row r="51" spans="2:27" ht="15" customHeight="1" x14ac:dyDescent="0.25">
      <c r="B51" s="16"/>
      <c r="C51" s="16"/>
      <c r="D51" s="16"/>
      <c r="E51" s="16"/>
      <c r="F51" s="9"/>
      <c r="G51" s="20">
        <v>41165</v>
      </c>
      <c r="H51" s="26">
        <v>30.44</v>
      </c>
      <c r="I51" s="26">
        <v>5.2840158520475553E-3</v>
      </c>
      <c r="J51" s="26">
        <v>1.0683916241843127E-2</v>
      </c>
      <c r="K51" s="20">
        <v>41123</v>
      </c>
      <c r="L51" s="26">
        <v>28.53</v>
      </c>
      <c r="M51" s="26">
        <v>-7.3068893528183722E-3</v>
      </c>
      <c r="N51" s="26">
        <v>1.4340694573017249E-2</v>
      </c>
      <c r="O51"/>
      <c r="P51"/>
      <c r="Q51"/>
      <c r="R51"/>
      <c r="S51"/>
      <c r="T51"/>
      <c r="U51"/>
      <c r="V51"/>
      <c r="W51" s="10"/>
      <c r="X51" s="10"/>
      <c r="Y51" s="10"/>
      <c r="Z51" s="10"/>
      <c r="AA51" s="10"/>
    </row>
    <row r="52" spans="2:27" ht="15" customHeight="1" x14ac:dyDescent="0.25">
      <c r="B52" s="16"/>
      <c r="C52" s="16"/>
      <c r="D52" s="16"/>
      <c r="E52" s="16"/>
      <c r="F52" s="9"/>
      <c r="G52" s="20">
        <v>41166</v>
      </c>
      <c r="H52" s="26">
        <v>30.7</v>
      </c>
      <c r="I52" s="26">
        <v>8.5413929040735869E-3</v>
      </c>
      <c r="J52" s="26">
        <v>1.076648624260516E-2</v>
      </c>
      <c r="K52" s="20">
        <v>41124</v>
      </c>
      <c r="L52" s="26">
        <v>29.07</v>
      </c>
      <c r="M52" s="26">
        <v>1.8927444794952685E-2</v>
      </c>
      <c r="N52" s="26">
        <v>1.4892191827815163E-2</v>
      </c>
      <c r="O52"/>
      <c r="P52"/>
      <c r="Q52"/>
      <c r="R52"/>
      <c r="S52"/>
      <c r="T52"/>
      <c r="U52"/>
      <c r="V52"/>
      <c r="W52" s="10"/>
      <c r="X52" s="10"/>
      <c r="Y52" s="10"/>
      <c r="Z52" s="10"/>
      <c r="AA52" s="10"/>
    </row>
    <row r="53" spans="2:27" ht="15" customHeight="1" x14ac:dyDescent="0.25">
      <c r="B53" s="16"/>
      <c r="C53" s="16"/>
      <c r="D53" s="16"/>
      <c r="E53" s="16"/>
      <c r="F53" s="9"/>
      <c r="G53" s="20">
        <v>41169</v>
      </c>
      <c r="H53" s="26">
        <v>30.7</v>
      </c>
      <c r="I53" s="26">
        <v>0</v>
      </c>
      <c r="J53" s="26">
        <v>1.077068746195892E-2</v>
      </c>
      <c r="K53" s="20">
        <v>41127</v>
      </c>
      <c r="L53" s="26">
        <v>29.27</v>
      </c>
      <c r="M53" s="26">
        <v>6.8799449604403174E-3</v>
      </c>
      <c r="N53" s="26">
        <v>1.4990766650435455E-2</v>
      </c>
      <c r="O53"/>
      <c r="P53"/>
      <c r="Q53"/>
      <c r="R53"/>
      <c r="S53"/>
      <c r="T53"/>
      <c r="U53"/>
      <c r="V53"/>
      <c r="W53" s="10"/>
      <c r="X53" s="10"/>
      <c r="Y53" s="10"/>
      <c r="Z53" s="10"/>
      <c r="AA53" s="10"/>
    </row>
    <row r="54" spans="2:27" ht="15" customHeight="1" x14ac:dyDescent="0.25">
      <c r="B54" s="16"/>
      <c r="C54" s="16"/>
      <c r="D54" s="16"/>
      <c r="E54" s="16"/>
      <c r="F54" s="9"/>
      <c r="G54" s="20">
        <v>41170</v>
      </c>
      <c r="H54" s="26">
        <v>30.67</v>
      </c>
      <c r="I54" s="26">
        <v>-9.7719869706840395E-4</v>
      </c>
      <c r="J54" s="26">
        <v>1.0065719973081541E-2</v>
      </c>
      <c r="K54" s="20">
        <v>41128</v>
      </c>
      <c r="L54" s="26">
        <v>29.57</v>
      </c>
      <c r="M54" s="26">
        <v>1.0249402118209771E-2</v>
      </c>
      <c r="N54" s="26">
        <v>1.475936513295294E-2</v>
      </c>
      <c r="O54"/>
      <c r="P54"/>
      <c r="Q54"/>
      <c r="R54"/>
      <c r="S54"/>
      <c r="T54"/>
      <c r="U54"/>
      <c r="V54"/>
      <c r="W54" s="10"/>
      <c r="X54" s="10"/>
      <c r="Y54" s="10"/>
      <c r="Z54" s="10"/>
      <c r="AA54" s="10"/>
    </row>
    <row r="55" spans="2:27" ht="15" customHeight="1" x14ac:dyDescent="0.25">
      <c r="B55" s="16"/>
      <c r="C55" s="16"/>
      <c r="D55" s="16"/>
      <c r="E55" s="16"/>
      <c r="F55" s="9"/>
      <c r="G55" s="20">
        <v>41171</v>
      </c>
      <c r="H55" s="26">
        <v>30.54</v>
      </c>
      <c r="I55" s="26">
        <v>-4.2386697098141506E-3</v>
      </c>
      <c r="J55" s="26">
        <v>1.0087309593067926E-2</v>
      </c>
      <c r="K55" s="20">
        <v>41129</v>
      </c>
      <c r="L55" s="26">
        <v>29.64</v>
      </c>
      <c r="M55" s="26">
        <v>2.3672641190395673E-3</v>
      </c>
      <c r="N55" s="26">
        <v>1.4699877082875498E-2</v>
      </c>
      <c r="O55"/>
      <c r="P55"/>
      <c r="Q55"/>
      <c r="R55"/>
      <c r="S55"/>
      <c r="T55"/>
      <c r="U55"/>
      <c r="V55"/>
      <c r="W55" s="10"/>
      <c r="X55" s="10"/>
      <c r="Y55" s="10"/>
      <c r="Z55" s="10"/>
      <c r="AA55" s="10"/>
    </row>
    <row r="56" spans="2:27" ht="15" customHeight="1" x14ac:dyDescent="0.25">
      <c r="B56" s="16"/>
      <c r="C56" s="16"/>
      <c r="D56" s="16"/>
      <c r="E56" s="16"/>
      <c r="F56" s="9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10"/>
      <c r="X56" s="10"/>
      <c r="Y56" s="10"/>
      <c r="Z56" s="10"/>
      <c r="AA56" s="10"/>
    </row>
    <row r="57" spans="2:27" ht="15" customHeight="1" x14ac:dyDescent="0.25">
      <c r="B57" s="16"/>
      <c r="C57" s="16"/>
      <c r="D57" s="16"/>
      <c r="E57" s="16"/>
      <c r="F57" s="9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10"/>
      <c r="X57" s="10"/>
      <c r="Y57" s="10"/>
      <c r="Z57" s="10"/>
      <c r="AA57" s="10"/>
    </row>
    <row r="58" spans="2:27" ht="15" customHeight="1" x14ac:dyDescent="0.25">
      <c r="B58" s="16"/>
      <c r="C58" s="16"/>
      <c r="D58" s="16"/>
      <c r="E58" s="16"/>
      <c r="F58" s="9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 s="10"/>
      <c r="X58" s="10"/>
      <c r="Y58" s="10"/>
      <c r="Z58" s="10"/>
      <c r="AA58" s="10"/>
    </row>
    <row r="59" spans="2:27" ht="15" customHeight="1" x14ac:dyDescent="0.25">
      <c r="B59" s="16"/>
      <c r="C59" s="16"/>
      <c r="D59" s="16"/>
      <c r="E59" s="16"/>
      <c r="F59" s="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 s="10"/>
      <c r="X59" s="10"/>
      <c r="Y59" s="10"/>
      <c r="Z59" s="10"/>
      <c r="AA59" s="10"/>
    </row>
    <row r="60" spans="2:27" ht="15" customHeight="1" x14ac:dyDescent="0.25">
      <c r="B60" s="16"/>
      <c r="C60" s="16"/>
      <c r="D60" s="16"/>
      <c r="E60" s="16"/>
      <c r="F60" s="9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 s="10"/>
      <c r="X60" s="10"/>
      <c r="Y60" s="10"/>
      <c r="Z60" s="10"/>
      <c r="AA60" s="10"/>
    </row>
    <row r="61" spans="2:27" ht="15" customHeight="1" x14ac:dyDescent="0.25">
      <c r="B61" s="16"/>
      <c r="C61" s="16"/>
      <c r="D61" s="16"/>
      <c r="E61" s="16"/>
      <c r="F61" s="9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10"/>
      <c r="X61" s="10"/>
      <c r="Y61" s="10"/>
      <c r="Z61" s="10"/>
      <c r="AA61" s="10"/>
    </row>
    <row r="62" spans="2:27" ht="15" customHeight="1" x14ac:dyDescent="0.25">
      <c r="B62" s="16"/>
      <c r="C62" s="16"/>
      <c r="D62" s="16"/>
      <c r="E62" s="16"/>
      <c r="F62" s="9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10"/>
      <c r="X62" s="10"/>
      <c r="Y62" s="10"/>
      <c r="Z62" s="10"/>
      <c r="AA62" s="10"/>
    </row>
    <row r="63" spans="2:27" ht="15" customHeight="1" x14ac:dyDescent="0.25">
      <c r="B63" s="16"/>
      <c r="C63" s="16"/>
      <c r="D63" s="16"/>
      <c r="E63" s="16"/>
      <c r="F63" s="9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 s="10"/>
      <c r="X63" s="10"/>
      <c r="Y63" s="10"/>
      <c r="Z63" s="10"/>
      <c r="AA63" s="10"/>
    </row>
    <row r="64" spans="2:27" ht="15" customHeight="1" x14ac:dyDescent="0.25">
      <c r="B64" s="16"/>
      <c r="C64" s="16"/>
      <c r="D64" s="16"/>
      <c r="E64" s="16"/>
      <c r="F64" s="9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 s="10"/>
      <c r="X64" s="10"/>
      <c r="Y64" s="10"/>
      <c r="Z64" s="10"/>
      <c r="AA64" s="10"/>
    </row>
    <row r="65" spans="2:27" ht="15" customHeight="1" x14ac:dyDescent="0.25">
      <c r="B65" s="16"/>
      <c r="C65" s="16"/>
      <c r="D65" s="16"/>
      <c r="E65" s="16"/>
      <c r="F65" s="9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10"/>
      <c r="X65" s="10"/>
      <c r="Y65" s="10"/>
      <c r="Z65" s="10"/>
      <c r="AA65" s="10"/>
    </row>
    <row r="66" spans="2:27" ht="15" customHeight="1" x14ac:dyDescent="0.25">
      <c r="B66" s="16"/>
      <c r="C66" s="16"/>
      <c r="D66" s="16"/>
      <c r="E66" s="16"/>
      <c r="F66" s="9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 s="10"/>
      <c r="X66" s="10"/>
      <c r="Y66" s="10"/>
      <c r="Z66" s="10"/>
      <c r="AA66" s="10"/>
    </row>
    <row r="67" spans="2:27" ht="15" customHeight="1" x14ac:dyDescent="0.25">
      <c r="B67" s="16"/>
      <c r="C67" s="16"/>
      <c r="D67" s="16"/>
      <c r="E67" s="16"/>
      <c r="F67" s="9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 s="10"/>
      <c r="X67" s="10"/>
      <c r="Y67" s="10"/>
      <c r="Z67" s="10"/>
      <c r="AA67" s="10"/>
    </row>
    <row r="68" spans="2:27" ht="15" customHeight="1" x14ac:dyDescent="0.25">
      <c r="B68" s="16"/>
      <c r="C68" s="16"/>
      <c r="D68" s="16"/>
      <c r="E68" s="16"/>
      <c r="F68" s="9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 s="10"/>
      <c r="X68" s="10"/>
      <c r="Y68" s="10"/>
      <c r="Z68" s="10"/>
      <c r="AA68" s="10"/>
    </row>
    <row r="69" spans="2:27" ht="15" customHeight="1" x14ac:dyDescent="0.25">
      <c r="B69" s="16"/>
      <c r="C69" s="16"/>
      <c r="D69" s="16"/>
      <c r="E69" s="16"/>
      <c r="F69" s="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 s="10"/>
      <c r="X69" s="10"/>
      <c r="Y69" s="10"/>
      <c r="Z69" s="10"/>
      <c r="AA69" s="10"/>
    </row>
    <row r="70" spans="2:27" ht="15" customHeight="1" x14ac:dyDescent="0.25">
      <c r="B70" s="16"/>
      <c r="C70" s="16"/>
      <c r="D70" s="16"/>
      <c r="E70" s="16"/>
      <c r="F70" s="9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 s="10"/>
      <c r="X70" s="10"/>
      <c r="Y70" s="10"/>
      <c r="Z70" s="10"/>
      <c r="AA70" s="10"/>
    </row>
    <row r="71" spans="2:27" ht="15" customHeight="1" x14ac:dyDescent="0.25">
      <c r="B71" s="16"/>
      <c r="C71" s="16"/>
      <c r="D71" s="16"/>
      <c r="E71" s="16"/>
      <c r="F71" s="9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 s="10"/>
      <c r="X71" s="10"/>
      <c r="Y71" s="10"/>
      <c r="Z71" s="10"/>
      <c r="AA71" s="10"/>
    </row>
    <row r="72" spans="2:27" ht="15" customHeight="1" x14ac:dyDescent="0.25">
      <c r="B72" s="16"/>
      <c r="C72" s="16"/>
      <c r="D72" s="16"/>
      <c r="E72" s="16"/>
      <c r="F72" s="9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 s="10"/>
      <c r="X72" s="10"/>
      <c r="Y72" s="10"/>
      <c r="Z72" s="10"/>
      <c r="AA72" s="10"/>
    </row>
    <row r="73" spans="2:27" ht="15" customHeight="1" x14ac:dyDescent="0.25">
      <c r="B73" s="16"/>
      <c r="C73" s="16"/>
      <c r="D73" s="16"/>
      <c r="E73" s="16"/>
      <c r="F73" s="9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 s="10"/>
      <c r="X73" s="10"/>
      <c r="Y73" s="10"/>
      <c r="Z73" s="10"/>
      <c r="AA73" s="10"/>
    </row>
    <row r="74" spans="2:27" ht="15" customHeight="1" x14ac:dyDescent="0.25">
      <c r="B74" s="16"/>
      <c r="C74" s="16"/>
      <c r="D74" s="16"/>
      <c r="E74" s="16"/>
      <c r="F74" s="9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 s="10"/>
      <c r="X74" s="10"/>
      <c r="Y74" s="10"/>
      <c r="Z74" s="10"/>
      <c r="AA74" s="10"/>
    </row>
    <row r="75" spans="2:27" ht="15" customHeight="1" x14ac:dyDescent="0.25">
      <c r="B75" s="16"/>
      <c r="C75" s="16"/>
      <c r="D75" s="16"/>
      <c r="E75" s="16"/>
      <c r="F75" s="9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 s="10"/>
      <c r="X75" s="10"/>
      <c r="Y75" s="10"/>
      <c r="Z75" s="10"/>
      <c r="AA75" s="10"/>
    </row>
    <row r="76" spans="2:27" ht="15" customHeight="1" x14ac:dyDescent="0.25">
      <c r="B76" s="16"/>
      <c r="C76" s="16"/>
      <c r="D76" s="16"/>
      <c r="E76" s="16"/>
      <c r="F76" s="9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 s="10"/>
      <c r="X76" s="10"/>
      <c r="Y76" s="10"/>
      <c r="Z76" s="10"/>
      <c r="AA76" s="10"/>
    </row>
    <row r="77" spans="2:27" ht="15" customHeight="1" x14ac:dyDescent="0.25">
      <c r="B77" s="16"/>
      <c r="C77" s="16"/>
      <c r="D77" s="16"/>
      <c r="E77" s="16"/>
      <c r="F77" s="9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 s="10"/>
      <c r="X77" s="10"/>
      <c r="Y77" s="10"/>
      <c r="Z77" s="10"/>
      <c r="AA77" s="10"/>
    </row>
    <row r="78" spans="2:27" ht="15" customHeight="1" x14ac:dyDescent="0.25">
      <c r="B78" s="16"/>
      <c r="C78" s="16"/>
      <c r="D78" s="16"/>
      <c r="E78" s="16"/>
      <c r="F78" s="9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 s="10"/>
      <c r="X78" s="10"/>
      <c r="Y78" s="10"/>
      <c r="Z78" s="10"/>
      <c r="AA78" s="10"/>
    </row>
    <row r="79" spans="2:27" ht="15" customHeight="1" x14ac:dyDescent="0.25">
      <c r="B79" s="16"/>
      <c r="C79" s="16"/>
      <c r="D79" s="16"/>
      <c r="E79" s="16"/>
      <c r="F79" s="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 s="10"/>
      <c r="X79" s="10"/>
      <c r="Y79" s="10"/>
      <c r="Z79" s="10"/>
      <c r="AA79" s="10"/>
    </row>
    <row r="80" spans="2:27" ht="15" customHeight="1" x14ac:dyDescent="0.25">
      <c r="B80" s="16"/>
      <c r="C80" s="16"/>
      <c r="D80" s="16"/>
      <c r="E80" s="16"/>
      <c r="F80" s="9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 s="10"/>
      <c r="X80" s="10"/>
      <c r="Y80" s="10"/>
      <c r="Z80" s="10"/>
      <c r="AA80" s="10"/>
    </row>
    <row r="81" spans="2:27" ht="15" customHeight="1" x14ac:dyDescent="0.25">
      <c r="B81" s="16"/>
      <c r="C81" s="16"/>
      <c r="D81" s="16"/>
      <c r="E81" s="16"/>
      <c r="F81" s="9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 s="10"/>
      <c r="X81" s="10"/>
      <c r="Y81" s="10"/>
      <c r="Z81" s="10"/>
      <c r="AA81" s="10"/>
    </row>
    <row r="82" spans="2:27" ht="15" customHeight="1" x14ac:dyDescent="0.25">
      <c r="B82" s="16"/>
      <c r="C82" s="16"/>
      <c r="D82" s="16"/>
      <c r="E82" s="16"/>
      <c r="F82" s="9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 s="10"/>
      <c r="X82" s="10"/>
      <c r="Y82" s="10"/>
      <c r="Z82" s="10"/>
      <c r="AA82" s="10"/>
    </row>
    <row r="83" spans="2:27" ht="15" customHeight="1" x14ac:dyDescent="0.25">
      <c r="B83" s="16"/>
      <c r="C83" s="16"/>
      <c r="D83" s="16"/>
      <c r="E83" s="16"/>
      <c r="F83" s="9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 s="10"/>
      <c r="X83" s="10"/>
      <c r="Y83" s="10"/>
      <c r="Z83" s="10"/>
      <c r="AA83" s="10"/>
    </row>
    <row r="84" spans="2:27" ht="15" customHeight="1" x14ac:dyDescent="0.25">
      <c r="B84" s="16"/>
      <c r="C84" s="16"/>
      <c r="D84" s="16"/>
      <c r="E84" s="16"/>
      <c r="F84" s="9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 s="10"/>
      <c r="X84" s="10"/>
      <c r="Y84" s="10"/>
      <c r="Z84" s="10"/>
      <c r="AA84" s="10"/>
    </row>
    <row r="85" spans="2:27" ht="15" customHeight="1" x14ac:dyDescent="0.25">
      <c r="B85" s="16"/>
      <c r="C85" s="16"/>
      <c r="D85" s="16"/>
      <c r="E85" s="16"/>
      <c r="F85" s="9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 s="10"/>
      <c r="X85" s="10"/>
      <c r="Y85" s="10"/>
      <c r="Z85" s="10"/>
      <c r="AA85" s="10"/>
    </row>
    <row r="86" spans="2:27" ht="15" customHeight="1" x14ac:dyDescent="0.25">
      <c r="B86" s="16"/>
      <c r="C86" s="16"/>
      <c r="D86" s="16"/>
      <c r="E86" s="16"/>
      <c r="F86" s="9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 s="10"/>
      <c r="X86" s="10"/>
      <c r="Y86" s="10"/>
      <c r="Z86" s="10"/>
      <c r="AA86" s="10"/>
    </row>
    <row r="87" spans="2:27" ht="15" customHeight="1" x14ac:dyDescent="0.25">
      <c r="B87" s="16"/>
      <c r="C87" s="16"/>
      <c r="D87" s="16"/>
      <c r="E87" s="16"/>
      <c r="F87" s="9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 s="10"/>
      <c r="X87" s="10"/>
      <c r="Y87" s="10"/>
      <c r="Z87" s="10"/>
      <c r="AA87" s="10"/>
    </row>
    <row r="88" spans="2:27" ht="15" customHeight="1" x14ac:dyDescent="0.25">
      <c r="B88" s="16"/>
      <c r="C88" s="16"/>
      <c r="D88" s="16"/>
      <c r="E88" s="16"/>
      <c r="F88" s="9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 s="10"/>
      <c r="X88" s="10"/>
      <c r="Y88" s="10"/>
      <c r="Z88" s="10"/>
      <c r="AA88" s="10"/>
    </row>
    <row r="89" spans="2:27" ht="15" customHeight="1" x14ac:dyDescent="0.25">
      <c r="B89" s="16"/>
      <c r="C89" s="16"/>
      <c r="D89" s="16"/>
      <c r="E89" s="16"/>
      <c r="F89" s="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 s="10"/>
      <c r="X89" s="10"/>
      <c r="Y89" s="10"/>
      <c r="Z89" s="10"/>
      <c r="AA89" s="10"/>
    </row>
    <row r="90" spans="2:27" ht="15" customHeight="1" x14ac:dyDescent="0.25">
      <c r="B90" s="16"/>
      <c r="C90" s="16"/>
      <c r="D90" s="16"/>
      <c r="E90" s="16"/>
      <c r="F90" s="9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 s="10"/>
      <c r="X90" s="10"/>
      <c r="Y90" s="10"/>
      <c r="Z90" s="10"/>
      <c r="AA90" s="10"/>
    </row>
    <row r="91" spans="2:27" ht="15" customHeight="1" x14ac:dyDescent="0.25">
      <c r="B91" s="16"/>
      <c r="C91" s="16"/>
      <c r="D91" s="16"/>
      <c r="E91" s="16"/>
      <c r="F91" s="9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 s="10"/>
      <c r="X91" s="10"/>
      <c r="Y91" s="10"/>
      <c r="Z91" s="10"/>
      <c r="AA91" s="10"/>
    </row>
    <row r="92" spans="2:27" ht="15" customHeight="1" x14ac:dyDescent="0.25">
      <c r="B92" s="16"/>
      <c r="C92" s="16"/>
      <c r="D92" s="16"/>
      <c r="E92" s="16"/>
      <c r="F92" s="9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 s="10"/>
      <c r="X92" s="10"/>
      <c r="Y92" s="10"/>
      <c r="Z92" s="10"/>
      <c r="AA92" s="10"/>
    </row>
    <row r="93" spans="2:27" ht="15" customHeight="1" x14ac:dyDescent="0.25">
      <c r="B93" s="16"/>
      <c r="C93" s="16"/>
      <c r="D93" s="16"/>
      <c r="E93" s="16"/>
      <c r="F93" s="9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 s="10"/>
      <c r="X93" s="10"/>
      <c r="Y93" s="10"/>
      <c r="Z93" s="10"/>
      <c r="AA93" s="10"/>
    </row>
    <row r="94" spans="2:27" ht="15" customHeight="1" x14ac:dyDescent="0.25">
      <c r="B94" s="16"/>
      <c r="C94" s="16"/>
      <c r="D94" s="16"/>
      <c r="E94" s="16"/>
      <c r="F94" s="9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 s="10"/>
      <c r="X94" s="10"/>
      <c r="Y94" s="10"/>
      <c r="Z94" s="10"/>
      <c r="AA94" s="10"/>
    </row>
    <row r="95" spans="2:27" ht="15" customHeight="1" x14ac:dyDescent="0.25">
      <c r="B95" s="16"/>
      <c r="C95" s="16"/>
      <c r="D95" s="16"/>
      <c r="E95" s="16"/>
      <c r="F95" s="9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 s="10"/>
      <c r="X95" s="10"/>
      <c r="Y95" s="10"/>
      <c r="Z95" s="10"/>
      <c r="AA95" s="10"/>
    </row>
    <row r="96" spans="2:27" ht="15" customHeight="1" x14ac:dyDescent="0.25">
      <c r="B96" s="16"/>
      <c r="C96" s="16"/>
      <c r="D96" s="16"/>
      <c r="E96" s="16"/>
      <c r="F96" s="9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 s="10"/>
      <c r="X96" s="10"/>
      <c r="Y96" s="10"/>
      <c r="Z96" s="10"/>
      <c r="AA96" s="10"/>
    </row>
    <row r="97" spans="2:27" ht="15" customHeight="1" x14ac:dyDescent="0.25">
      <c r="B97" s="16"/>
      <c r="C97" s="16"/>
      <c r="D97" s="16"/>
      <c r="E97" s="16"/>
      <c r="F97" s="9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 s="10"/>
      <c r="X97" s="10"/>
      <c r="Y97" s="10"/>
      <c r="Z97" s="10"/>
      <c r="AA97" s="10"/>
    </row>
    <row r="98" spans="2:27" ht="15" customHeight="1" x14ac:dyDescent="0.25">
      <c r="B98" s="16"/>
      <c r="C98" s="16"/>
      <c r="D98" s="16"/>
      <c r="E98" s="16"/>
      <c r="F98" s="9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 s="10"/>
      <c r="X98" s="10"/>
      <c r="Y98" s="10"/>
      <c r="Z98" s="10"/>
      <c r="AA98" s="10"/>
    </row>
    <row r="99" spans="2:27" ht="15" customHeight="1" x14ac:dyDescent="0.25">
      <c r="B99" s="16"/>
      <c r="C99" s="16"/>
      <c r="D99" s="16"/>
      <c r="E99" s="16"/>
      <c r="F99" s="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 s="10"/>
      <c r="X99" s="10"/>
      <c r="Y99" s="10"/>
      <c r="Z99" s="10"/>
      <c r="AA99" s="10"/>
    </row>
    <row r="100" spans="2:27" ht="15" customHeight="1" x14ac:dyDescent="0.25">
      <c r="B100" s="16"/>
      <c r="C100" s="16"/>
      <c r="D100" s="16"/>
      <c r="E100" s="16"/>
      <c r="F100" s="9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 s="10"/>
      <c r="X100" s="10"/>
      <c r="Y100" s="10"/>
      <c r="Z100" s="10"/>
      <c r="AA100" s="10"/>
    </row>
    <row r="101" spans="2:27" ht="15" customHeight="1" x14ac:dyDescent="0.25">
      <c r="B101" s="16"/>
      <c r="C101" s="16"/>
      <c r="D101" s="16"/>
      <c r="E101" s="16"/>
      <c r="F101" s="9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 s="10"/>
      <c r="X101" s="10"/>
      <c r="Y101" s="10"/>
      <c r="Z101" s="10"/>
      <c r="AA101" s="10"/>
    </row>
    <row r="102" spans="2:27" ht="15" customHeight="1" x14ac:dyDescent="0.25">
      <c r="B102" s="16"/>
      <c r="C102" s="16"/>
      <c r="D102" s="16"/>
      <c r="E102" s="16"/>
      <c r="F102" s="9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 s="10"/>
      <c r="X102" s="10"/>
      <c r="Y102" s="10"/>
      <c r="Z102" s="10"/>
      <c r="AA102" s="10"/>
    </row>
    <row r="103" spans="2:27" ht="15" customHeight="1" x14ac:dyDescent="0.25">
      <c r="B103" s="16"/>
      <c r="C103" s="16"/>
      <c r="D103" s="16"/>
      <c r="E103" s="16"/>
      <c r="F103" s="9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 s="10"/>
      <c r="X103" s="10"/>
      <c r="Y103" s="10"/>
      <c r="Z103" s="10"/>
      <c r="AA103" s="10"/>
    </row>
    <row r="104" spans="2:27" ht="15" customHeight="1" x14ac:dyDescent="0.25">
      <c r="B104" s="16"/>
      <c r="C104" s="16"/>
      <c r="D104" s="16"/>
      <c r="E104" s="16"/>
      <c r="F104" s="9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 s="10"/>
      <c r="X104" s="10"/>
      <c r="Y104" s="10"/>
      <c r="Z104" s="10"/>
      <c r="AA104" s="10"/>
    </row>
    <row r="105" spans="2:27" ht="15" customHeight="1" x14ac:dyDescent="0.25">
      <c r="B105" s="16"/>
      <c r="C105" s="16"/>
      <c r="D105" s="16"/>
      <c r="E105" s="16"/>
      <c r="F105" s="9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 s="10"/>
      <c r="X105" s="10"/>
      <c r="Y105" s="10"/>
      <c r="Z105" s="10"/>
      <c r="AA105" s="10"/>
    </row>
    <row r="106" spans="2:27" ht="15" customHeight="1" x14ac:dyDescent="0.25">
      <c r="B106" s="16"/>
      <c r="C106" s="16"/>
      <c r="D106" s="16"/>
      <c r="E106" s="16"/>
      <c r="F106" s="9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 s="10"/>
      <c r="X106" s="10"/>
      <c r="Y106" s="10"/>
      <c r="Z106" s="10"/>
      <c r="AA106" s="10"/>
    </row>
    <row r="107" spans="2:27" ht="15" customHeight="1" x14ac:dyDescent="0.25">
      <c r="B107" s="16"/>
      <c r="C107" s="16"/>
      <c r="D107" s="16"/>
      <c r="E107" s="16"/>
      <c r="F107" s="9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 s="10"/>
      <c r="X107" s="10"/>
      <c r="Y107" s="10"/>
      <c r="Z107" s="10"/>
      <c r="AA107" s="10"/>
    </row>
    <row r="108" spans="2:27" ht="15" customHeight="1" x14ac:dyDescent="0.25">
      <c r="B108" s="16"/>
      <c r="C108" s="16"/>
      <c r="D108" s="16"/>
      <c r="E108" s="16"/>
      <c r="F108" s="9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 s="10"/>
      <c r="X108" s="10"/>
      <c r="Y108" s="10"/>
      <c r="Z108" s="10"/>
      <c r="AA108" s="10"/>
    </row>
    <row r="109" spans="2:27" ht="15" customHeight="1" x14ac:dyDescent="0.25">
      <c r="B109" s="16"/>
      <c r="C109" s="16"/>
      <c r="D109" s="16"/>
      <c r="E109" s="16"/>
      <c r="F109" s="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 s="10"/>
      <c r="X109" s="10"/>
      <c r="Y109" s="10"/>
      <c r="Z109" s="10"/>
      <c r="AA109" s="10"/>
    </row>
    <row r="110" spans="2:27" ht="15" customHeight="1" x14ac:dyDescent="0.25">
      <c r="B110" s="16"/>
      <c r="C110" s="16"/>
      <c r="D110" s="16"/>
      <c r="E110" s="16"/>
      <c r="F110" s="9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 s="10"/>
      <c r="X110" s="10"/>
      <c r="Y110" s="10"/>
      <c r="Z110" s="10"/>
      <c r="AA110" s="10"/>
    </row>
    <row r="111" spans="2:27" ht="15" customHeight="1" x14ac:dyDescent="0.25">
      <c r="B111" s="16"/>
      <c r="C111" s="16"/>
      <c r="D111" s="16"/>
      <c r="E111" s="16"/>
      <c r="F111" s="9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 s="10"/>
      <c r="X111" s="10"/>
      <c r="Y111" s="10"/>
      <c r="Z111" s="10"/>
      <c r="AA111" s="10"/>
    </row>
    <row r="112" spans="2:27" ht="15" customHeight="1" x14ac:dyDescent="0.25">
      <c r="B112" s="16"/>
      <c r="C112" s="16"/>
      <c r="D112" s="16"/>
      <c r="E112" s="16"/>
      <c r="F112" s="9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 s="10"/>
      <c r="X112" s="10"/>
      <c r="Y112" s="10"/>
      <c r="Z112" s="10"/>
      <c r="AA112" s="10"/>
    </row>
    <row r="113" spans="2:27" ht="15" customHeight="1" x14ac:dyDescent="0.25">
      <c r="B113" s="16"/>
      <c r="C113" s="16"/>
      <c r="D113" s="16"/>
      <c r="E113" s="16"/>
      <c r="F113" s="9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 s="10"/>
      <c r="X113" s="10"/>
      <c r="Y113" s="10"/>
      <c r="Z113" s="10"/>
      <c r="AA113" s="10"/>
    </row>
    <row r="114" spans="2:27" ht="15" customHeight="1" x14ac:dyDescent="0.25">
      <c r="B114" s="16"/>
      <c r="C114" s="16"/>
      <c r="D114" s="16"/>
      <c r="E114" s="16"/>
      <c r="F114" s="9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 s="10"/>
      <c r="X114" s="10"/>
      <c r="Y114" s="10"/>
      <c r="Z114" s="10"/>
      <c r="AA114" s="10"/>
    </row>
    <row r="115" spans="2:27" ht="15" customHeight="1" x14ac:dyDescent="0.25">
      <c r="B115" s="16"/>
      <c r="C115" s="16"/>
      <c r="D115" s="16"/>
      <c r="E115" s="16"/>
      <c r="F115" s="9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 s="10"/>
      <c r="X115" s="10"/>
      <c r="Y115" s="10"/>
      <c r="Z115" s="10"/>
      <c r="AA115" s="10"/>
    </row>
    <row r="116" spans="2:27" ht="15" customHeight="1" x14ac:dyDescent="0.25">
      <c r="B116" s="16"/>
      <c r="C116" s="16"/>
      <c r="D116" s="16"/>
      <c r="E116" s="16"/>
      <c r="F116" s="9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 s="10"/>
      <c r="X116" s="10"/>
      <c r="Y116" s="10"/>
      <c r="Z116" s="10"/>
      <c r="AA116" s="10"/>
    </row>
    <row r="117" spans="2:27" ht="15" customHeight="1" x14ac:dyDescent="0.25">
      <c r="B117" s="16"/>
      <c r="C117" s="16"/>
      <c r="D117" s="16"/>
      <c r="E117" s="16"/>
      <c r="F117" s="9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 s="10"/>
      <c r="X117" s="10"/>
      <c r="Y117" s="10"/>
      <c r="Z117" s="10"/>
      <c r="AA117" s="10"/>
    </row>
    <row r="118" spans="2:27" ht="15" customHeight="1" x14ac:dyDescent="0.25">
      <c r="B118" s="16"/>
      <c r="C118" s="16"/>
      <c r="D118" s="16"/>
      <c r="E118" s="16"/>
      <c r="F118" s="9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 s="10"/>
      <c r="X118" s="10"/>
      <c r="Y118" s="10"/>
      <c r="Z118" s="10"/>
      <c r="AA118" s="10"/>
    </row>
    <row r="119" spans="2:27" ht="15" customHeight="1" x14ac:dyDescent="0.25">
      <c r="B119" s="16"/>
      <c r="C119" s="16"/>
      <c r="D119" s="16"/>
      <c r="E119" s="16"/>
      <c r="F119" s="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 s="10"/>
      <c r="X119" s="10"/>
      <c r="Y119" s="10"/>
      <c r="Z119" s="10"/>
      <c r="AA119" s="10"/>
    </row>
    <row r="120" spans="2:27" ht="15" customHeight="1" x14ac:dyDescent="0.25">
      <c r="B120" s="16"/>
      <c r="C120" s="16"/>
      <c r="D120" s="16"/>
      <c r="E120" s="16"/>
      <c r="F120" s="9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 s="10"/>
      <c r="X120" s="10"/>
      <c r="Y120" s="10"/>
      <c r="Z120" s="10"/>
      <c r="AA120" s="10"/>
    </row>
    <row r="121" spans="2:27" ht="15" customHeight="1" x14ac:dyDescent="0.25">
      <c r="B121" s="16"/>
      <c r="C121" s="16"/>
      <c r="D121" s="16"/>
      <c r="E121" s="16"/>
      <c r="F121" s="9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 s="10"/>
      <c r="X121" s="10"/>
      <c r="Y121" s="10"/>
      <c r="Z121" s="10"/>
      <c r="AA121" s="10"/>
    </row>
    <row r="122" spans="2:27" ht="15" customHeight="1" x14ac:dyDescent="0.25">
      <c r="B122" s="16"/>
      <c r="C122" s="16"/>
      <c r="D122" s="16"/>
      <c r="E122" s="16"/>
      <c r="F122" s="9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 s="10"/>
      <c r="X122" s="10"/>
      <c r="Y122" s="10"/>
      <c r="Z122" s="10"/>
      <c r="AA122" s="10"/>
    </row>
    <row r="123" spans="2:27" ht="15" customHeight="1" x14ac:dyDescent="0.25">
      <c r="B123" s="16"/>
      <c r="C123" s="16"/>
      <c r="D123" s="16"/>
      <c r="E123" s="16"/>
      <c r="F123" s="9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 s="10"/>
      <c r="X123" s="10"/>
      <c r="Y123" s="10"/>
      <c r="Z123" s="10"/>
      <c r="AA123" s="10"/>
    </row>
    <row r="124" spans="2:27" ht="15" customHeight="1" x14ac:dyDescent="0.25">
      <c r="B124" s="16"/>
      <c r="C124" s="16"/>
      <c r="D124" s="16"/>
      <c r="E124" s="16"/>
      <c r="F124" s="9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 s="10"/>
      <c r="X124" s="10"/>
      <c r="Y124" s="10"/>
      <c r="Z124" s="10"/>
      <c r="AA124" s="10"/>
    </row>
    <row r="125" spans="2:27" ht="15" customHeight="1" x14ac:dyDescent="0.25">
      <c r="B125" s="16"/>
      <c r="C125" s="16"/>
      <c r="D125" s="16"/>
      <c r="E125" s="16"/>
      <c r="F125" s="9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 s="10"/>
      <c r="X125" s="10"/>
      <c r="Y125" s="10"/>
      <c r="Z125" s="10"/>
      <c r="AA125" s="10"/>
    </row>
    <row r="126" spans="2:27" ht="15" customHeight="1" x14ac:dyDescent="0.25">
      <c r="B126" s="9"/>
      <c r="C126" s="9"/>
      <c r="D126" s="9"/>
      <c r="E126" s="17"/>
      <c r="F126" s="9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 s="10"/>
      <c r="X126" s="10"/>
      <c r="Y126" s="10"/>
      <c r="Z126" s="10"/>
      <c r="AA126" s="10"/>
    </row>
    <row r="127" spans="2:27" ht="15" customHeight="1" x14ac:dyDescent="0.25">
      <c r="B127" s="9"/>
      <c r="C127" s="9"/>
      <c r="D127" s="9"/>
      <c r="E127" s="17"/>
      <c r="F127" s="9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 s="10"/>
      <c r="X127" s="10"/>
      <c r="Y127" s="10"/>
      <c r="Z127" s="10"/>
      <c r="AA127" s="10"/>
    </row>
    <row r="128" spans="2:27" ht="15" customHeight="1" x14ac:dyDescent="0.25">
      <c r="B128" s="9"/>
      <c r="C128" s="9"/>
      <c r="D128" s="9"/>
      <c r="E128" s="17"/>
      <c r="F128" s="9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 s="10"/>
      <c r="X128" s="10"/>
      <c r="Y128" s="10"/>
      <c r="Z128" s="10"/>
      <c r="AA128" s="10"/>
    </row>
    <row r="129" spans="2:27" ht="15" customHeight="1" x14ac:dyDescent="0.25">
      <c r="B129" s="9"/>
      <c r="C129" s="9"/>
      <c r="D129" s="9"/>
      <c r="E129" s="17"/>
      <c r="F129" s="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 s="10"/>
      <c r="X129" s="10"/>
      <c r="Y129" s="10"/>
      <c r="Z129" s="10"/>
      <c r="AA129" s="10"/>
    </row>
    <row r="130" spans="2:27" ht="15" customHeight="1" x14ac:dyDescent="0.25">
      <c r="B130" s="9"/>
      <c r="C130" s="9"/>
      <c r="D130" s="9"/>
      <c r="E130" s="17"/>
      <c r="F130" s="9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 s="10"/>
      <c r="X130" s="10"/>
      <c r="Y130" s="10"/>
      <c r="Z130" s="10"/>
      <c r="AA130" s="10"/>
    </row>
    <row r="131" spans="2:27" ht="15" customHeight="1" x14ac:dyDescent="0.25">
      <c r="B131" s="9"/>
      <c r="C131" s="9"/>
      <c r="D131" s="9"/>
      <c r="E131" s="17"/>
      <c r="F131" s="9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 s="10"/>
      <c r="X131" s="10"/>
      <c r="Y131" s="10"/>
      <c r="Z131" s="10"/>
      <c r="AA131" s="10"/>
    </row>
    <row r="132" spans="2:27" ht="15" customHeight="1" x14ac:dyDescent="0.25">
      <c r="B132" s="9"/>
      <c r="C132" s="9"/>
      <c r="D132" s="9"/>
      <c r="E132" s="17"/>
      <c r="F132" s="9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 s="10"/>
      <c r="X132" s="10"/>
      <c r="Y132" s="10"/>
      <c r="Z132" s="10"/>
      <c r="AA132" s="10"/>
    </row>
    <row r="133" spans="2:27" ht="15" customHeight="1" x14ac:dyDescent="0.25">
      <c r="B133" s="9"/>
      <c r="C133" s="9"/>
      <c r="D133" s="9"/>
      <c r="E133" s="17"/>
      <c r="F133" s="9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 s="10"/>
      <c r="X133" s="10"/>
      <c r="Y133" s="10"/>
      <c r="Z133" s="10"/>
      <c r="AA133" s="10"/>
    </row>
    <row r="134" spans="2:27" ht="15" customHeight="1" x14ac:dyDescent="0.25">
      <c r="B134" s="9"/>
      <c r="C134" s="9"/>
      <c r="D134" s="9"/>
      <c r="E134" s="17"/>
      <c r="F134" s="9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 s="10"/>
      <c r="X134" s="10"/>
      <c r="Y134" s="10"/>
      <c r="Z134" s="10"/>
      <c r="AA134" s="10"/>
    </row>
    <row r="135" spans="2:27" ht="15" customHeight="1" x14ac:dyDescent="0.25">
      <c r="B135" s="9"/>
      <c r="C135" s="9"/>
      <c r="D135" s="9"/>
      <c r="E135" s="17"/>
      <c r="F135" s="9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 s="10"/>
      <c r="X135" s="10"/>
      <c r="Y135" s="10"/>
      <c r="Z135" s="10"/>
      <c r="AA135" s="10"/>
    </row>
    <row r="136" spans="2:27" ht="15" customHeight="1" x14ac:dyDescent="0.25">
      <c r="B136" s="9"/>
      <c r="C136" s="9"/>
      <c r="D136" s="9"/>
      <c r="E136" s="17"/>
      <c r="F136" s="9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 s="10"/>
      <c r="X136" s="10"/>
      <c r="Y136" s="10"/>
      <c r="Z136" s="10"/>
      <c r="AA136" s="10"/>
    </row>
    <row r="137" spans="2:27" ht="15" customHeight="1" x14ac:dyDescent="0.25">
      <c r="B137" s="9"/>
      <c r="C137" s="9"/>
      <c r="D137" s="9"/>
      <c r="E137" s="17"/>
      <c r="F137" s="9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 s="10"/>
      <c r="X137" s="10"/>
      <c r="Y137" s="10"/>
      <c r="Z137" s="10"/>
      <c r="AA137" s="10"/>
    </row>
    <row r="138" spans="2:27" ht="15" customHeight="1" x14ac:dyDescent="0.25">
      <c r="B138" s="9"/>
      <c r="C138" s="9"/>
      <c r="D138" s="9"/>
      <c r="E138" s="17"/>
      <c r="F138" s="9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 s="10"/>
      <c r="X138" s="10"/>
      <c r="Y138" s="10"/>
      <c r="Z138" s="10"/>
      <c r="AA138" s="10"/>
    </row>
    <row r="139" spans="2:27" ht="15" customHeight="1" x14ac:dyDescent="0.25">
      <c r="B139" s="9"/>
      <c r="C139" s="9"/>
      <c r="D139" s="9"/>
      <c r="E139" s="17"/>
      <c r="F139" s="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 s="10"/>
      <c r="X139" s="10"/>
      <c r="Y139" s="10"/>
      <c r="Z139" s="10"/>
      <c r="AA139" s="10"/>
    </row>
    <row r="140" spans="2:27" ht="15" customHeight="1" x14ac:dyDescent="0.25">
      <c r="B140" s="9"/>
      <c r="C140" s="9"/>
      <c r="D140" s="9"/>
      <c r="E140" s="17"/>
      <c r="F140" s="9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 s="10"/>
      <c r="X140" s="10"/>
      <c r="Y140" s="10"/>
      <c r="Z140" s="10"/>
      <c r="AA140" s="10"/>
    </row>
    <row r="141" spans="2:27" ht="15" customHeight="1" x14ac:dyDescent="0.25">
      <c r="B141" s="9"/>
      <c r="C141" s="9"/>
      <c r="D141" s="9"/>
      <c r="E141" s="17"/>
      <c r="F141" s="9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 s="10"/>
      <c r="X141" s="10"/>
      <c r="Y141" s="10"/>
      <c r="Z141" s="10"/>
      <c r="AA141" s="10"/>
    </row>
    <row r="142" spans="2:27" ht="15" customHeight="1" x14ac:dyDescent="0.25">
      <c r="B142" s="9"/>
      <c r="C142" s="9"/>
      <c r="D142" s="9"/>
      <c r="E142" s="17"/>
      <c r="F142" s="9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 s="10"/>
      <c r="X142" s="10"/>
      <c r="Y142" s="10"/>
      <c r="Z142" s="10"/>
      <c r="AA142" s="10"/>
    </row>
    <row r="143" spans="2:27" ht="15" customHeight="1" x14ac:dyDescent="0.25">
      <c r="B143" s="9"/>
      <c r="C143" s="9"/>
      <c r="D143" s="9"/>
      <c r="E143" s="17"/>
      <c r="F143" s="9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 s="10"/>
      <c r="X143" s="10"/>
      <c r="Y143" s="10"/>
      <c r="Z143" s="10"/>
      <c r="AA143" s="10"/>
    </row>
    <row r="144" spans="2:27" ht="15" customHeight="1" x14ac:dyDescent="0.25">
      <c r="B144" s="9"/>
      <c r="C144" s="9"/>
      <c r="D144" s="9"/>
      <c r="E144" s="9"/>
      <c r="F144" s="9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 s="10"/>
      <c r="X144" s="10"/>
      <c r="Y144" s="10"/>
      <c r="Z144" s="10"/>
      <c r="AA144" s="10"/>
    </row>
    <row r="145" spans="2:27" ht="15" customHeight="1" x14ac:dyDescent="0.25">
      <c r="B145" s="9"/>
      <c r="C145" s="9"/>
      <c r="D145" s="9"/>
      <c r="E145" s="9"/>
      <c r="F145" s="9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 s="10"/>
      <c r="X145" s="10"/>
      <c r="Y145" s="10"/>
      <c r="Z145" s="10"/>
      <c r="AA145" s="10"/>
    </row>
    <row r="146" spans="2:27" ht="15" customHeight="1" x14ac:dyDescent="0.25">
      <c r="B146" s="9"/>
      <c r="C146" s="9"/>
      <c r="D146" s="9"/>
      <c r="E146" s="9"/>
      <c r="F146" s="9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 s="10"/>
      <c r="X146" s="10"/>
      <c r="Y146" s="10"/>
      <c r="Z146" s="10"/>
      <c r="AA146" s="10"/>
    </row>
    <row r="147" spans="2:27" ht="15" customHeight="1" x14ac:dyDescent="0.25">
      <c r="B147" s="9"/>
      <c r="C147" s="9"/>
      <c r="D147" s="9"/>
      <c r="E147" s="9"/>
      <c r="F147" s="9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 s="10"/>
      <c r="X147" s="10"/>
      <c r="Y147" s="10"/>
      <c r="Z147" s="10"/>
      <c r="AA147" s="10"/>
    </row>
    <row r="148" spans="2:27" ht="15" customHeight="1" x14ac:dyDescent="0.25">
      <c r="B148" s="9"/>
      <c r="C148" s="9"/>
      <c r="D148" s="9"/>
      <c r="E148" s="9"/>
      <c r="F148" s="9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 s="10"/>
      <c r="X148" s="10"/>
      <c r="Y148" s="10"/>
      <c r="Z148" s="10"/>
      <c r="AA148" s="10"/>
    </row>
    <row r="149" spans="2:27" ht="15" customHeight="1" x14ac:dyDescent="0.25">
      <c r="B149" s="9"/>
      <c r="C149" s="9"/>
      <c r="D149" s="9"/>
      <c r="E149" s="9"/>
      <c r="F149" s="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 s="10"/>
      <c r="X149" s="10"/>
      <c r="Y149" s="10"/>
      <c r="Z149" s="10"/>
      <c r="AA149" s="10"/>
    </row>
    <row r="150" spans="2:27" ht="15" customHeight="1" x14ac:dyDescent="0.25">
      <c r="B150" s="9"/>
      <c r="C150" s="9"/>
      <c r="D150" s="9"/>
      <c r="E150" s="9"/>
      <c r="F150" s="9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 s="10"/>
      <c r="X150" s="10"/>
      <c r="Y150" s="10"/>
      <c r="Z150" s="10"/>
      <c r="AA150" s="10"/>
    </row>
    <row r="151" spans="2:27" ht="15" customHeight="1" x14ac:dyDescent="0.25">
      <c r="B151" s="9"/>
      <c r="C151" s="9"/>
      <c r="D151" s="9"/>
      <c r="E151" s="9"/>
      <c r="F151" s="9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 s="10"/>
      <c r="X151" s="10"/>
      <c r="Y151" s="10"/>
      <c r="Z151" s="10"/>
      <c r="AA151" s="10"/>
    </row>
    <row r="152" spans="2:27" ht="15" customHeight="1" x14ac:dyDescent="0.25">
      <c r="B152" s="9"/>
      <c r="C152" s="9"/>
      <c r="D152" s="9"/>
      <c r="E152" s="9"/>
      <c r="F152" s="9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 s="10"/>
      <c r="X152" s="10"/>
      <c r="Y152" s="10"/>
      <c r="Z152" s="10"/>
      <c r="AA152" s="10"/>
    </row>
    <row r="153" spans="2:27" ht="15" customHeight="1" x14ac:dyDescent="0.25">
      <c r="B153" s="9"/>
      <c r="C153" s="9"/>
      <c r="D153" s="9"/>
      <c r="E153" s="9"/>
      <c r="F153" s="9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 s="10"/>
      <c r="X153" s="10"/>
      <c r="Y153" s="10"/>
      <c r="Z153" s="10"/>
      <c r="AA153" s="10"/>
    </row>
    <row r="154" spans="2:27" ht="15" customHeight="1" x14ac:dyDescent="0.25">
      <c r="B154" s="9"/>
      <c r="C154" s="9"/>
      <c r="D154" s="9"/>
      <c r="E154" s="9"/>
      <c r="F154" s="9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 s="10"/>
      <c r="X154" s="10"/>
      <c r="Y154" s="10"/>
      <c r="Z154" s="10"/>
      <c r="AA154" s="10"/>
    </row>
    <row r="155" spans="2:27" ht="15" customHeight="1" x14ac:dyDescent="0.25">
      <c r="B155" s="9"/>
      <c r="C155" s="9"/>
      <c r="D155" s="9"/>
      <c r="E155" s="9"/>
      <c r="F155" s="9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 s="10"/>
      <c r="X155" s="10"/>
      <c r="Y155" s="10"/>
      <c r="Z155" s="10"/>
      <c r="AA155" s="10"/>
    </row>
    <row r="156" spans="2:27" ht="15" customHeight="1" x14ac:dyDescent="0.25">
      <c r="F156" s="9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 s="10"/>
      <c r="X156" s="10"/>
      <c r="Y156" s="10"/>
      <c r="Z156" s="10"/>
      <c r="AA156" s="10"/>
    </row>
    <row r="157" spans="2:27" ht="15" customHeight="1" x14ac:dyDescent="0.25">
      <c r="B157" s="9"/>
      <c r="C157" s="9"/>
      <c r="D157" s="9"/>
      <c r="E157" s="9"/>
      <c r="F157" s="9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 s="10"/>
      <c r="X157" s="10"/>
      <c r="Y157" s="10"/>
      <c r="Z157" s="10"/>
      <c r="AA157" s="10"/>
    </row>
    <row r="158" spans="2:27" ht="15" customHeight="1" x14ac:dyDescent="0.25">
      <c r="B158" s="9"/>
      <c r="C158" s="9"/>
      <c r="D158" s="9"/>
      <c r="E158" s="9"/>
      <c r="F158" s="9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 s="10"/>
      <c r="X158" s="10"/>
      <c r="Y158" s="10"/>
      <c r="Z158" s="10"/>
      <c r="AA158" s="10"/>
    </row>
    <row r="159" spans="2:27" ht="15" customHeight="1" x14ac:dyDescent="0.25">
      <c r="B159" s="9"/>
      <c r="C159" s="9"/>
      <c r="D159" s="9"/>
      <c r="E159" s="9"/>
      <c r="F159" s="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 s="10"/>
      <c r="X159" s="10"/>
      <c r="Y159" s="10"/>
      <c r="Z159" s="10"/>
      <c r="AA159" s="10"/>
    </row>
    <row r="160" spans="2:27" ht="15" customHeight="1" x14ac:dyDescent="0.25">
      <c r="B160" s="9"/>
      <c r="C160" s="9"/>
      <c r="D160" s="9"/>
      <c r="E160" s="9"/>
      <c r="F160" s="9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 s="10"/>
      <c r="X160" s="10"/>
      <c r="Y160" s="10"/>
      <c r="Z160" s="10"/>
      <c r="AA160" s="10"/>
    </row>
    <row r="161" spans="2:27" ht="15" customHeight="1" x14ac:dyDescent="0.25">
      <c r="B161" s="9"/>
      <c r="C161" s="9"/>
      <c r="D161" s="9"/>
      <c r="E161" s="9"/>
      <c r="F161" s="9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 s="10"/>
      <c r="X161" s="10"/>
      <c r="Y161" s="10"/>
      <c r="Z161" s="10"/>
      <c r="AA161" s="10"/>
    </row>
    <row r="162" spans="2:27" ht="15" customHeight="1" x14ac:dyDescent="0.25">
      <c r="B162" s="9"/>
      <c r="C162" s="9"/>
      <c r="D162" s="9"/>
      <c r="E162" s="9"/>
      <c r="F162" s="9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 s="10"/>
      <c r="X162" s="10"/>
      <c r="Y162" s="10"/>
      <c r="Z162" s="10"/>
      <c r="AA162" s="10"/>
    </row>
    <row r="163" spans="2:27" ht="15" customHeight="1" x14ac:dyDescent="0.25">
      <c r="B163" s="9"/>
      <c r="C163" s="9"/>
      <c r="D163" s="9"/>
      <c r="E163" s="9"/>
      <c r="F163" s="9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 s="10"/>
      <c r="X163" s="10"/>
      <c r="Y163" s="10"/>
      <c r="Z163" s="10"/>
      <c r="AA163" s="10"/>
    </row>
    <row r="164" spans="2:27" ht="15" customHeight="1" x14ac:dyDescent="0.25">
      <c r="B164" s="9"/>
      <c r="C164" s="9"/>
      <c r="D164" s="9"/>
      <c r="E164" s="9"/>
      <c r="F164" s="9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 s="10"/>
      <c r="X164" s="10"/>
      <c r="Y164" s="10"/>
      <c r="Z164" s="10"/>
      <c r="AA164" s="10"/>
    </row>
    <row r="165" spans="2:27" ht="15" customHeight="1" x14ac:dyDescent="0.25">
      <c r="B165" s="9"/>
      <c r="C165" s="9"/>
      <c r="D165" s="9"/>
      <c r="E165" s="9"/>
      <c r="F165" s="9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 s="10"/>
      <c r="X165" s="10"/>
      <c r="Y165" s="10"/>
      <c r="Z165" s="10"/>
      <c r="AA165" s="10"/>
    </row>
    <row r="166" spans="2:27" ht="15" customHeight="1" x14ac:dyDescent="0.25">
      <c r="B166" s="9"/>
      <c r="C166" s="9"/>
      <c r="D166" s="9"/>
      <c r="E166" s="9"/>
      <c r="F166" s="9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 s="10"/>
      <c r="X166" s="10"/>
      <c r="Y166" s="10"/>
      <c r="Z166" s="10"/>
      <c r="AA166" s="10"/>
    </row>
    <row r="167" spans="2:27" ht="15" customHeight="1" x14ac:dyDescent="0.25">
      <c r="B167" s="9"/>
      <c r="C167" s="9"/>
      <c r="D167" s="9"/>
      <c r="E167" s="9"/>
      <c r="F167" s="9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 s="10"/>
      <c r="X167" s="10"/>
      <c r="Y167" s="10"/>
      <c r="Z167" s="10"/>
      <c r="AA167" s="10"/>
    </row>
    <row r="168" spans="2:27" ht="15" customHeight="1" x14ac:dyDescent="0.25">
      <c r="B168" s="9"/>
      <c r="C168" s="9"/>
      <c r="D168" s="9"/>
      <c r="E168" s="9"/>
      <c r="F168" s="9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 s="10"/>
      <c r="X168" s="10"/>
      <c r="Y168" s="10"/>
      <c r="Z168" s="10"/>
      <c r="AA168" s="10"/>
    </row>
    <row r="169" spans="2:27" ht="15" customHeight="1" x14ac:dyDescent="0.25">
      <c r="B169" s="9"/>
      <c r="C169" s="9"/>
      <c r="D169" s="9"/>
      <c r="E169" s="9"/>
      <c r="F169" s="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 s="10"/>
      <c r="X169" s="10"/>
      <c r="Y169" s="10"/>
      <c r="Z169" s="10"/>
      <c r="AA169" s="10"/>
    </row>
    <row r="170" spans="2:27" ht="15" customHeight="1" x14ac:dyDescent="0.25">
      <c r="B170" s="9"/>
      <c r="C170" s="9"/>
      <c r="D170" s="9"/>
      <c r="E170" s="9"/>
      <c r="F170" s="9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 s="10"/>
      <c r="X170" s="10"/>
      <c r="Y170" s="10"/>
      <c r="Z170" s="10"/>
      <c r="AA170" s="10"/>
    </row>
    <row r="171" spans="2:27" ht="15" customHeight="1" x14ac:dyDescent="0.25">
      <c r="B171" s="9"/>
      <c r="C171" s="9"/>
      <c r="D171" s="9"/>
      <c r="E171" s="9"/>
      <c r="F171" s="9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 s="10"/>
      <c r="X171" s="10"/>
      <c r="Y171" s="10"/>
      <c r="Z171" s="10"/>
      <c r="AA171" s="10"/>
    </row>
    <row r="172" spans="2:27" ht="15" customHeight="1" x14ac:dyDescent="0.25">
      <c r="B172" s="9"/>
      <c r="C172" s="9"/>
      <c r="D172" s="9"/>
      <c r="E172" s="9"/>
      <c r="F172" s="9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 s="10"/>
      <c r="X172" s="10"/>
      <c r="Y172" s="10"/>
      <c r="Z172" s="10"/>
      <c r="AA172" s="10"/>
    </row>
    <row r="173" spans="2:27" ht="15" customHeight="1" x14ac:dyDescent="0.25">
      <c r="B173" s="9"/>
      <c r="C173" s="9"/>
      <c r="D173" s="9"/>
      <c r="E173" s="9"/>
      <c r="F173" s="9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 s="10"/>
      <c r="X173" s="10"/>
      <c r="Y173" s="10"/>
      <c r="Z173" s="10"/>
      <c r="AA173" s="10"/>
    </row>
    <row r="174" spans="2:27" ht="15" customHeight="1" x14ac:dyDescent="0.25">
      <c r="B174" s="9"/>
      <c r="C174" s="9"/>
      <c r="D174" s="9"/>
      <c r="E174" s="9"/>
      <c r="F174" s="9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 s="10"/>
      <c r="X174" s="10"/>
      <c r="Y174" s="10"/>
      <c r="Z174" s="10"/>
      <c r="AA174" s="10"/>
    </row>
    <row r="175" spans="2:27" ht="15" customHeight="1" x14ac:dyDescent="0.25">
      <c r="B175" s="9"/>
      <c r="C175" s="9"/>
      <c r="D175" s="9"/>
      <c r="E175" s="9"/>
      <c r="F175" s="9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 s="10"/>
      <c r="X175" s="10"/>
      <c r="Y175" s="10"/>
      <c r="Z175" s="10"/>
      <c r="AA175" s="10"/>
    </row>
    <row r="176" spans="2:27" ht="15" customHeight="1" x14ac:dyDescent="0.25">
      <c r="B176" s="9"/>
      <c r="C176" s="9"/>
      <c r="D176" s="9"/>
      <c r="E176" s="9"/>
      <c r="F176" s="9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 s="10"/>
      <c r="X176" s="10"/>
      <c r="Y176" s="10"/>
      <c r="Z176" s="10"/>
      <c r="AA176" s="10"/>
    </row>
    <row r="177" spans="2:27" ht="15" customHeight="1" x14ac:dyDescent="0.25">
      <c r="B177" s="9"/>
      <c r="C177" s="9"/>
      <c r="D177" s="9"/>
      <c r="E177" s="9"/>
      <c r="F177" s="9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 s="10"/>
      <c r="X177" s="10"/>
      <c r="Y177" s="10"/>
      <c r="Z177" s="10"/>
      <c r="AA177" s="10"/>
    </row>
    <row r="178" spans="2:27" ht="15" customHeight="1" x14ac:dyDescent="0.25">
      <c r="B178" s="9"/>
      <c r="C178" s="9"/>
      <c r="D178" s="9"/>
      <c r="E178" s="9"/>
      <c r="F178" s="9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 s="10"/>
      <c r="X178" s="10"/>
      <c r="Y178" s="10"/>
      <c r="Z178" s="10"/>
      <c r="AA178" s="10"/>
    </row>
    <row r="179" spans="2:27" ht="15" customHeight="1" x14ac:dyDescent="0.25">
      <c r="B179" s="9"/>
      <c r="C179" s="9"/>
      <c r="D179" s="9"/>
      <c r="E179" s="9"/>
      <c r="F179" s="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 s="10"/>
      <c r="X179" s="10"/>
      <c r="Y179" s="10"/>
      <c r="Z179" s="10"/>
      <c r="AA179" s="10"/>
    </row>
    <row r="180" spans="2:27" ht="15" customHeight="1" x14ac:dyDescent="0.25">
      <c r="B180" s="9"/>
      <c r="C180" s="9"/>
      <c r="D180" s="9"/>
      <c r="E180" s="9"/>
      <c r="F180" s="9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 s="10"/>
      <c r="X180" s="10"/>
      <c r="Y180" s="10"/>
      <c r="Z180" s="10"/>
      <c r="AA180" s="10"/>
    </row>
    <row r="181" spans="2:27" ht="15" customHeight="1" x14ac:dyDescent="0.25">
      <c r="B181" s="9"/>
      <c r="C181" s="9"/>
      <c r="D181" s="9"/>
      <c r="E181" s="9"/>
      <c r="F181" s="9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 s="10"/>
      <c r="X181" s="10"/>
      <c r="Y181" s="10"/>
      <c r="Z181" s="10"/>
      <c r="AA181" s="10"/>
    </row>
    <row r="182" spans="2:27" ht="15" customHeight="1" x14ac:dyDescent="0.25">
      <c r="B182" s="9"/>
      <c r="C182" s="9"/>
      <c r="D182" s="9"/>
      <c r="E182" s="9"/>
      <c r="F182" s="9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 s="10"/>
      <c r="X182" s="10"/>
      <c r="Y182" s="10"/>
      <c r="Z182" s="10"/>
      <c r="AA182" s="10"/>
    </row>
    <row r="183" spans="2:27" ht="15" customHeight="1" x14ac:dyDescent="0.25">
      <c r="B183" s="9"/>
      <c r="C183" s="9"/>
      <c r="D183" s="9"/>
      <c r="E183" s="9"/>
      <c r="F183" s="9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 s="10"/>
      <c r="X183" s="10"/>
      <c r="Y183" s="10"/>
      <c r="Z183" s="10"/>
      <c r="AA183" s="10"/>
    </row>
    <row r="184" spans="2:27" ht="15" customHeight="1" x14ac:dyDescent="0.25">
      <c r="B184" s="9"/>
      <c r="C184" s="9"/>
      <c r="D184" s="9"/>
      <c r="E184" s="9"/>
      <c r="F184" s="9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 s="10"/>
      <c r="X184" s="10"/>
      <c r="Y184" s="10"/>
      <c r="Z184" s="10"/>
      <c r="AA184" s="10"/>
    </row>
    <row r="185" spans="2:27" ht="15" customHeight="1" x14ac:dyDescent="0.25">
      <c r="B185" s="9"/>
      <c r="C185" s="9"/>
      <c r="D185" s="9"/>
      <c r="E185" s="9"/>
      <c r="F185" s="9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 s="10"/>
      <c r="X185" s="10"/>
      <c r="Y185" s="10"/>
      <c r="Z185" s="10"/>
      <c r="AA185" s="10"/>
    </row>
    <row r="186" spans="2:27" ht="15" customHeight="1" x14ac:dyDescent="0.25">
      <c r="B186" s="9"/>
      <c r="C186" s="9"/>
      <c r="D186" s="9"/>
      <c r="E186" s="9"/>
      <c r="F186" s="9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 s="10"/>
      <c r="X186" s="10"/>
      <c r="Y186" s="10"/>
      <c r="Z186" s="10"/>
      <c r="AA186" s="10"/>
    </row>
    <row r="187" spans="2:27" ht="15" customHeight="1" x14ac:dyDescent="0.25">
      <c r="B187" s="9"/>
      <c r="C187" s="9"/>
      <c r="D187" s="9"/>
      <c r="E187" s="9"/>
      <c r="F187" s="9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 s="10"/>
      <c r="X187" s="10"/>
      <c r="Y187" s="10"/>
      <c r="Z187" s="10"/>
      <c r="AA187" s="10"/>
    </row>
    <row r="188" spans="2:27" ht="15" customHeight="1" x14ac:dyDescent="0.25">
      <c r="B188" s="9"/>
      <c r="C188" s="9"/>
      <c r="D188" s="9"/>
      <c r="E188" s="9"/>
      <c r="F188" s="9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 s="10"/>
      <c r="X188" s="10"/>
      <c r="Y188" s="10"/>
      <c r="Z188" s="10"/>
      <c r="AA188" s="10"/>
    </row>
    <row r="189" spans="2:27" ht="15" customHeight="1" x14ac:dyDescent="0.25">
      <c r="B189" s="9"/>
      <c r="C189" s="9"/>
      <c r="D189" s="9"/>
      <c r="E189" s="9"/>
      <c r="F189" s="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 s="10"/>
      <c r="X189" s="10"/>
      <c r="Y189" s="10"/>
      <c r="Z189" s="10"/>
      <c r="AA189" s="10"/>
    </row>
    <row r="190" spans="2:27" ht="15" customHeight="1" x14ac:dyDescent="0.25">
      <c r="B190" s="9"/>
      <c r="C190" s="9"/>
      <c r="D190" s="9"/>
      <c r="E190" s="9"/>
      <c r="F190" s="9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 s="10"/>
      <c r="X190" s="10"/>
      <c r="Y190" s="10"/>
      <c r="Z190" s="10"/>
      <c r="AA190" s="10"/>
    </row>
    <row r="191" spans="2:27" ht="15" customHeight="1" x14ac:dyDescent="0.25">
      <c r="B191" s="9"/>
      <c r="C191" s="9"/>
      <c r="D191" s="9"/>
      <c r="E191" s="9"/>
      <c r="F191" s="9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 s="10"/>
      <c r="X191" s="10"/>
      <c r="Y191" s="10"/>
      <c r="Z191" s="10"/>
      <c r="AA191" s="10"/>
    </row>
    <row r="192" spans="2:27" ht="15" customHeight="1" x14ac:dyDescent="0.25">
      <c r="B192" s="9"/>
      <c r="C192" s="9"/>
      <c r="D192" s="9"/>
      <c r="E192" s="9"/>
      <c r="F192" s="9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 s="10"/>
      <c r="X192" s="10"/>
      <c r="Y192" s="10"/>
      <c r="Z192" s="10"/>
      <c r="AA192" s="10"/>
    </row>
    <row r="193" spans="2:27" ht="15" customHeight="1" x14ac:dyDescent="0.25">
      <c r="B193" s="9"/>
      <c r="C193" s="9"/>
      <c r="D193" s="9"/>
      <c r="E193" s="9"/>
      <c r="F193" s="9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 s="10"/>
      <c r="X193" s="10"/>
      <c r="Y193" s="10"/>
      <c r="Z193" s="10"/>
      <c r="AA193" s="10"/>
    </row>
    <row r="194" spans="2:27" ht="15" customHeight="1" x14ac:dyDescent="0.25">
      <c r="B194" s="9"/>
      <c r="C194" s="9"/>
      <c r="D194" s="9"/>
      <c r="E194" s="9"/>
      <c r="F194" s="9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 s="10"/>
      <c r="X194" s="10"/>
      <c r="Y194" s="10"/>
      <c r="Z194" s="10"/>
      <c r="AA194" s="10"/>
    </row>
    <row r="195" spans="2:27" ht="15" customHeight="1" x14ac:dyDescent="0.25">
      <c r="B195" s="9"/>
      <c r="C195" s="9"/>
      <c r="D195" s="9"/>
      <c r="E195" s="9"/>
      <c r="F195" s="9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 s="10"/>
      <c r="X195" s="10"/>
      <c r="Y195" s="10"/>
      <c r="Z195" s="10"/>
      <c r="AA195" s="10"/>
    </row>
    <row r="196" spans="2:27" ht="15" customHeight="1" x14ac:dyDescent="0.25">
      <c r="B196" s="9"/>
      <c r="C196" s="9"/>
      <c r="D196" s="9"/>
      <c r="E196" s="9"/>
      <c r="F196" s="9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 s="10"/>
      <c r="X196" s="10"/>
      <c r="Y196" s="10"/>
      <c r="Z196" s="10"/>
      <c r="AA196" s="10"/>
    </row>
    <row r="197" spans="2:27" ht="15" customHeight="1" x14ac:dyDescent="0.25">
      <c r="B197" s="9"/>
      <c r="C197" s="9"/>
      <c r="D197" s="9"/>
      <c r="E197" s="9"/>
      <c r="F197" s="9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 s="10"/>
      <c r="X197" s="10"/>
      <c r="Y197" s="10"/>
      <c r="Z197" s="10"/>
      <c r="AA197" s="10"/>
    </row>
    <row r="198" spans="2:27" ht="15" customHeight="1" x14ac:dyDescent="0.25">
      <c r="B198" s="9"/>
      <c r="C198" s="9"/>
      <c r="D198" s="9"/>
      <c r="E198" s="9"/>
      <c r="F198" s="9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 s="10"/>
      <c r="X198" s="10"/>
      <c r="Y198" s="10"/>
      <c r="Z198" s="10"/>
      <c r="AA198" s="10"/>
    </row>
    <row r="199" spans="2:27" ht="15" customHeight="1" x14ac:dyDescent="0.25">
      <c r="B199" s="9"/>
      <c r="C199" s="9"/>
      <c r="D199" s="9"/>
      <c r="E199" s="9"/>
      <c r="F199" s="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 s="10"/>
      <c r="X199" s="10"/>
      <c r="Y199" s="10"/>
      <c r="Z199" s="10"/>
      <c r="AA199" s="10"/>
    </row>
    <row r="200" spans="2:27" ht="15" customHeight="1" x14ac:dyDescent="0.25">
      <c r="B200" s="9"/>
      <c r="C200" s="9"/>
      <c r="D200" s="9"/>
      <c r="E200" s="9"/>
      <c r="F200" s="9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 s="10"/>
      <c r="X200" s="10"/>
      <c r="Y200" s="10"/>
      <c r="Z200" s="10"/>
      <c r="AA200" s="10"/>
    </row>
    <row r="201" spans="2:27" ht="15" customHeight="1" x14ac:dyDescent="0.25">
      <c r="B201" s="9"/>
      <c r="C201" s="9"/>
      <c r="D201" s="9"/>
      <c r="E201" s="9"/>
      <c r="F201" s="9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 s="10"/>
      <c r="X201" s="10"/>
      <c r="Y201" s="10"/>
      <c r="Z201" s="10"/>
      <c r="AA201" s="10"/>
    </row>
    <row r="202" spans="2:27" ht="15" customHeight="1" x14ac:dyDescent="0.25">
      <c r="B202" s="9"/>
      <c r="C202" s="9"/>
      <c r="D202" s="9"/>
      <c r="E202" s="9"/>
      <c r="F202" s="9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 s="10"/>
      <c r="X202" s="10"/>
      <c r="Y202" s="10"/>
      <c r="Z202" s="10"/>
      <c r="AA202" s="10"/>
    </row>
    <row r="203" spans="2:27" ht="15" customHeight="1" x14ac:dyDescent="0.25">
      <c r="B203" s="9"/>
      <c r="C203" s="9"/>
      <c r="D203" s="9"/>
      <c r="E203" s="9"/>
      <c r="F203" s="9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 s="10"/>
      <c r="X203" s="10"/>
      <c r="Y203" s="10"/>
      <c r="Z203" s="10"/>
      <c r="AA203" s="10"/>
    </row>
    <row r="204" spans="2:27" ht="15" customHeight="1" x14ac:dyDescent="0.25">
      <c r="B204" s="9"/>
      <c r="C204" s="9"/>
      <c r="D204" s="9"/>
      <c r="E204" s="9"/>
      <c r="F204" s="9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 s="10"/>
      <c r="X204" s="10"/>
      <c r="Y204" s="10"/>
      <c r="Z204" s="10"/>
      <c r="AA204" s="10"/>
    </row>
    <row r="205" spans="2:27" ht="15" customHeight="1" x14ac:dyDescent="0.25">
      <c r="B205" s="9"/>
      <c r="C205" s="9"/>
      <c r="D205" s="9"/>
      <c r="E205" s="9"/>
      <c r="F205" s="9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 s="10"/>
      <c r="X205" s="10"/>
      <c r="Y205" s="10"/>
      <c r="Z205" s="10"/>
      <c r="AA205" s="10"/>
    </row>
    <row r="206" spans="2:27" ht="15" customHeight="1" x14ac:dyDescent="0.25">
      <c r="B206" s="9"/>
      <c r="C206" s="9"/>
      <c r="D206" s="9"/>
      <c r="E206" s="9"/>
      <c r="F206" s="9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 s="10"/>
      <c r="X206" s="10"/>
      <c r="Y206" s="10"/>
      <c r="Z206" s="10"/>
      <c r="AA206" s="10"/>
    </row>
    <row r="207" spans="2:27" ht="15" customHeight="1" x14ac:dyDescent="0.25">
      <c r="B207" s="9"/>
      <c r="C207" s="9"/>
      <c r="D207" s="9"/>
      <c r="E207" s="9"/>
      <c r="F207" s="9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 s="10"/>
      <c r="X207" s="10"/>
      <c r="Y207" s="10"/>
      <c r="Z207" s="10"/>
      <c r="AA207" s="10"/>
    </row>
    <row r="208" spans="2:27" ht="15" customHeight="1" x14ac:dyDescent="0.25">
      <c r="B208" s="9"/>
      <c r="C208" s="9"/>
      <c r="D208" s="9"/>
      <c r="E208" s="9"/>
      <c r="F208" s="9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 s="10"/>
      <c r="X208" s="10"/>
      <c r="Y208" s="10"/>
      <c r="Z208" s="10"/>
      <c r="AA208" s="10"/>
    </row>
    <row r="209" spans="2:27" ht="15" customHeight="1" x14ac:dyDescent="0.25">
      <c r="B209" s="9"/>
      <c r="C209" s="9"/>
      <c r="D209" s="9"/>
      <c r="E209" s="9"/>
      <c r="F209" s="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 s="10"/>
      <c r="X209" s="10"/>
      <c r="Y209" s="10"/>
      <c r="Z209" s="10"/>
      <c r="AA209" s="10"/>
    </row>
    <row r="210" spans="2:27" ht="15" customHeight="1" x14ac:dyDescent="0.25">
      <c r="B210" s="9"/>
      <c r="C210" s="9"/>
      <c r="D210" s="9"/>
      <c r="E210" s="9"/>
      <c r="F210" s="9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 s="10"/>
      <c r="X210" s="10"/>
      <c r="Y210" s="10"/>
      <c r="Z210" s="10"/>
      <c r="AA210" s="10"/>
    </row>
    <row r="211" spans="2:27" ht="15" customHeight="1" x14ac:dyDescent="0.25">
      <c r="B211" s="9"/>
      <c r="C211" s="9"/>
      <c r="D211" s="9"/>
      <c r="E211" s="9"/>
      <c r="F211" s="9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 s="10"/>
      <c r="X211" s="10"/>
      <c r="Y211" s="10"/>
      <c r="Z211" s="10"/>
      <c r="AA211" s="10"/>
    </row>
    <row r="212" spans="2:27" ht="15" customHeight="1" x14ac:dyDescent="0.25">
      <c r="B212" s="9"/>
      <c r="C212" s="9"/>
      <c r="D212" s="9"/>
      <c r="E212" s="9"/>
      <c r="F212" s="9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 s="10"/>
      <c r="X212" s="10"/>
      <c r="Y212" s="10"/>
      <c r="Z212" s="10"/>
      <c r="AA212" s="10"/>
    </row>
    <row r="213" spans="2:27" ht="15" customHeight="1" x14ac:dyDescent="0.25">
      <c r="B213" s="9"/>
      <c r="C213" s="9"/>
      <c r="D213" s="9"/>
      <c r="E213" s="9"/>
      <c r="F213" s="9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 s="10"/>
      <c r="X213" s="10"/>
      <c r="Y213" s="10"/>
      <c r="Z213" s="10"/>
      <c r="AA213" s="10"/>
    </row>
    <row r="214" spans="2:27" ht="15" customHeight="1" x14ac:dyDescent="0.25">
      <c r="B214" s="9"/>
      <c r="C214" s="9"/>
      <c r="D214" s="9"/>
      <c r="E214" s="9"/>
      <c r="F214" s="9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 s="10"/>
      <c r="X214" s="10"/>
      <c r="Y214" s="10"/>
      <c r="Z214" s="10"/>
      <c r="AA214" s="10"/>
    </row>
    <row r="215" spans="2:27" ht="15" customHeight="1" x14ac:dyDescent="0.25">
      <c r="B215" s="9"/>
      <c r="C215" s="9"/>
      <c r="D215" s="9"/>
      <c r="E215" s="9"/>
      <c r="F215" s="9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 s="10"/>
      <c r="X215" s="10"/>
      <c r="Y215" s="10"/>
      <c r="Z215" s="10"/>
      <c r="AA215" s="10"/>
    </row>
    <row r="216" spans="2:27" ht="15" customHeight="1" x14ac:dyDescent="0.25">
      <c r="B216" s="9"/>
      <c r="C216" s="9"/>
      <c r="D216" s="9"/>
      <c r="E216" s="9"/>
      <c r="F216" s="9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 s="10"/>
      <c r="X216" s="10"/>
      <c r="Y216" s="10"/>
      <c r="Z216" s="10"/>
      <c r="AA216" s="10"/>
    </row>
    <row r="217" spans="2:27" ht="15" customHeight="1" x14ac:dyDescent="0.25">
      <c r="B217" s="9"/>
      <c r="C217" s="9"/>
      <c r="D217" s="9"/>
      <c r="E217" s="9"/>
      <c r="F217" s="9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 s="10"/>
      <c r="X217" s="10"/>
      <c r="Y217" s="10"/>
      <c r="Z217" s="10"/>
      <c r="AA217" s="10"/>
    </row>
    <row r="218" spans="2:27" ht="15" customHeight="1" x14ac:dyDescent="0.25">
      <c r="B218" s="9"/>
      <c r="C218" s="9"/>
      <c r="D218" s="9"/>
      <c r="E218" s="9"/>
      <c r="F218" s="9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 s="10"/>
      <c r="X218" s="10"/>
      <c r="Y218" s="10"/>
      <c r="Z218" s="10"/>
      <c r="AA218" s="10"/>
    </row>
    <row r="219" spans="2:27" ht="15" customHeight="1" x14ac:dyDescent="0.25">
      <c r="B219" s="9"/>
      <c r="C219" s="9"/>
      <c r="D219" s="9"/>
      <c r="E219" s="9"/>
      <c r="F219" s="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 s="10"/>
      <c r="X219" s="10"/>
      <c r="Y219" s="10"/>
      <c r="Z219" s="10"/>
      <c r="AA219" s="10"/>
    </row>
    <row r="220" spans="2:27" ht="15" customHeight="1" x14ac:dyDescent="0.25">
      <c r="B220" s="9"/>
      <c r="C220" s="9"/>
      <c r="D220" s="9"/>
      <c r="E220" s="9"/>
      <c r="F220" s="9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 s="10"/>
      <c r="X220" s="10"/>
      <c r="Y220" s="10"/>
      <c r="Z220" s="10"/>
      <c r="AA220" s="10"/>
    </row>
    <row r="221" spans="2:27" ht="15" customHeight="1" x14ac:dyDescent="0.25">
      <c r="B221" s="9"/>
      <c r="C221" s="9"/>
      <c r="D221" s="9"/>
      <c r="E221" s="9"/>
      <c r="F221" s="9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 s="10"/>
      <c r="X221" s="10"/>
      <c r="Y221" s="10"/>
      <c r="Z221" s="10"/>
      <c r="AA221" s="10"/>
    </row>
    <row r="222" spans="2:27" ht="15" customHeight="1" x14ac:dyDescent="0.25">
      <c r="B222" s="9"/>
      <c r="C222" s="9"/>
      <c r="D222" s="9"/>
      <c r="E222" s="9"/>
      <c r="F222" s="9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 s="10"/>
      <c r="X222" s="10"/>
      <c r="Y222" s="10"/>
      <c r="Z222" s="10"/>
      <c r="AA222" s="10"/>
    </row>
    <row r="223" spans="2:27" ht="15" customHeight="1" x14ac:dyDescent="0.25">
      <c r="B223" s="9"/>
      <c r="C223" s="9"/>
      <c r="D223" s="9"/>
      <c r="E223" s="9"/>
      <c r="F223" s="9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 s="10"/>
      <c r="X223" s="10"/>
      <c r="Y223" s="10"/>
      <c r="Z223" s="10"/>
      <c r="AA223" s="10"/>
    </row>
    <row r="224" spans="2:27" ht="15" customHeight="1" x14ac:dyDescent="0.25">
      <c r="B224" s="9"/>
      <c r="C224" s="9"/>
      <c r="D224" s="9"/>
      <c r="E224" s="9"/>
      <c r="F224" s="9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 s="10"/>
      <c r="X224" s="10"/>
      <c r="Y224" s="10"/>
      <c r="Z224" s="10"/>
      <c r="AA224" s="10"/>
    </row>
    <row r="225" spans="2:27" ht="15" customHeight="1" x14ac:dyDescent="0.25">
      <c r="B225" s="9"/>
      <c r="C225" s="9"/>
      <c r="D225" s="9"/>
      <c r="E225" s="9"/>
      <c r="F225" s="9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 s="10"/>
      <c r="X225" s="10"/>
      <c r="Y225" s="10"/>
      <c r="Z225" s="10"/>
      <c r="AA225" s="10"/>
    </row>
    <row r="226" spans="2:27" ht="15" customHeight="1" x14ac:dyDescent="0.25">
      <c r="B226" s="9"/>
      <c r="C226" s="9"/>
      <c r="D226" s="9"/>
      <c r="E226" s="9"/>
      <c r="F226" s="9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 s="10"/>
      <c r="X226" s="10"/>
      <c r="Y226" s="10"/>
      <c r="Z226" s="10"/>
      <c r="AA226" s="10"/>
    </row>
    <row r="227" spans="2:27" ht="15" customHeight="1" x14ac:dyDescent="0.25">
      <c r="B227" s="9"/>
      <c r="C227" s="9"/>
      <c r="D227" s="9"/>
      <c r="E227" s="9"/>
      <c r="F227" s="9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 s="10"/>
      <c r="X227" s="10"/>
      <c r="Y227" s="10"/>
      <c r="Z227" s="10"/>
      <c r="AA227" s="10"/>
    </row>
    <row r="228" spans="2:27" ht="15" customHeight="1" x14ac:dyDescent="0.25">
      <c r="B228" s="9"/>
      <c r="C228" s="9"/>
      <c r="D228" s="9"/>
      <c r="E228" s="9"/>
      <c r="F228" s="9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 s="10"/>
      <c r="X228" s="10"/>
      <c r="Y228" s="10"/>
      <c r="Z228" s="10"/>
      <c r="AA228" s="10"/>
    </row>
    <row r="229" spans="2:27" ht="15" customHeight="1" x14ac:dyDescent="0.25">
      <c r="B229" s="9"/>
      <c r="C229" s="9"/>
      <c r="D229" s="9"/>
      <c r="E229" s="9"/>
      <c r="F229" s="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 s="10"/>
      <c r="X229" s="10"/>
      <c r="Y229" s="10"/>
      <c r="Z229" s="10"/>
      <c r="AA229" s="10"/>
    </row>
    <row r="230" spans="2:27" ht="15" customHeight="1" x14ac:dyDescent="0.25">
      <c r="B230" s="9"/>
      <c r="C230" s="9"/>
      <c r="D230" s="9"/>
      <c r="E230" s="9"/>
      <c r="F230" s="9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 s="10"/>
      <c r="X230" s="10"/>
      <c r="Y230" s="10"/>
      <c r="Z230" s="10"/>
      <c r="AA230" s="10"/>
    </row>
    <row r="231" spans="2:27" ht="15" customHeight="1" x14ac:dyDescent="0.25">
      <c r="B231" s="9"/>
      <c r="C231" s="9"/>
      <c r="D231" s="9"/>
      <c r="E231" s="9"/>
      <c r="F231" s="9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 s="10"/>
      <c r="X231" s="10"/>
      <c r="Y231" s="10"/>
      <c r="Z231" s="10"/>
      <c r="AA231" s="10"/>
    </row>
    <row r="232" spans="2:27" ht="15" customHeight="1" x14ac:dyDescent="0.25">
      <c r="B232" s="9"/>
      <c r="C232" s="9"/>
      <c r="D232" s="9"/>
      <c r="E232" s="9"/>
      <c r="F232" s="9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 s="10"/>
      <c r="X232" s="10"/>
      <c r="Y232" s="10"/>
      <c r="Z232" s="10"/>
      <c r="AA232" s="10"/>
    </row>
    <row r="233" spans="2:27" ht="15" customHeight="1" x14ac:dyDescent="0.25">
      <c r="B233" s="9"/>
      <c r="C233" s="9"/>
      <c r="D233" s="9"/>
      <c r="E233" s="9"/>
      <c r="F233" s="9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 s="10"/>
      <c r="X233" s="10"/>
      <c r="Y233" s="10"/>
      <c r="Z233" s="10"/>
      <c r="AA233" s="10"/>
    </row>
    <row r="234" spans="2:27" ht="15" customHeight="1" x14ac:dyDescent="0.25">
      <c r="B234" s="9"/>
      <c r="C234" s="9"/>
      <c r="D234" s="9"/>
      <c r="E234" s="9"/>
      <c r="F234" s="9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 s="10"/>
      <c r="X234" s="10"/>
      <c r="Y234" s="10"/>
      <c r="Z234" s="10"/>
      <c r="AA234" s="10"/>
    </row>
    <row r="235" spans="2:27" ht="15" customHeight="1" x14ac:dyDescent="0.25">
      <c r="B235" s="9"/>
      <c r="C235" s="9"/>
      <c r="D235" s="9"/>
      <c r="E235" s="9"/>
      <c r="F235" s="9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 s="10"/>
      <c r="X235" s="10"/>
      <c r="Y235" s="10"/>
      <c r="Z235" s="10"/>
      <c r="AA235" s="10"/>
    </row>
    <row r="236" spans="2:27" ht="15" customHeight="1" x14ac:dyDescent="0.25">
      <c r="B236" s="9"/>
      <c r="C236" s="9"/>
      <c r="D236" s="9"/>
      <c r="E236" s="9"/>
      <c r="F236" s="9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 s="10"/>
      <c r="X236" s="10"/>
      <c r="Y236" s="10"/>
      <c r="Z236" s="10"/>
      <c r="AA236" s="10"/>
    </row>
    <row r="237" spans="2:27" ht="15" customHeight="1" x14ac:dyDescent="0.25">
      <c r="B237" s="9"/>
      <c r="C237" s="9"/>
      <c r="D237" s="9"/>
      <c r="E237" s="9"/>
      <c r="F237" s="9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 s="10"/>
      <c r="X237" s="10"/>
      <c r="Y237" s="10"/>
      <c r="Z237" s="10"/>
      <c r="AA237" s="10"/>
    </row>
    <row r="238" spans="2:27" ht="15" customHeight="1" x14ac:dyDescent="0.25">
      <c r="B238" s="9"/>
      <c r="C238" s="9"/>
      <c r="D238" s="9"/>
      <c r="E238" s="9"/>
      <c r="F238" s="9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 s="10"/>
      <c r="X238" s="10"/>
      <c r="Y238" s="10"/>
      <c r="Z238" s="10"/>
      <c r="AA238" s="10"/>
    </row>
    <row r="239" spans="2:27" ht="15" customHeight="1" x14ac:dyDescent="0.25">
      <c r="B239" s="9"/>
      <c r="C239" s="9"/>
      <c r="D239" s="9"/>
      <c r="E239" s="9"/>
      <c r="F239" s="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 s="10"/>
      <c r="X239" s="10"/>
      <c r="Y239" s="10"/>
      <c r="Z239" s="10"/>
      <c r="AA239" s="10"/>
    </row>
    <row r="240" spans="2:27" ht="15" customHeight="1" x14ac:dyDescent="0.25">
      <c r="B240" s="9"/>
      <c r="C240" s="9"/>
      <c r="D240" s="9"/>
      <c r="E240" s="9"/>
      <c r="F240" s="9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 s="10"/>
      <c r="X240" s="10"/>
      <c r="Y240" s="10"/>
      <c r="Z240" s="10"/>
      <c r="AA240" s="10"/>
    </row>
    <row r="241" spans="2:27" ht="15" customHeight="1" x14ac:dyDescent="0.25">
      <c r="B241" s="9"/>
      <c r="C241" s="9"/>
      <c r="D241" s="9"/>
      <c r="E241" s="9"/>
      <c r="F241" s="9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 s="10"/>
      <c r="X241" s="10"/>
      <c r="Y241" s="10"/>
      <c r="Z241" s="10"/>
      <c r="AA241" s="10"/>
    </row>
    <row r="242" spans="2:27" ht="15" customHeight="1" x14ac:dyDescent="0.25">
      <c r="B242" s="9"/>
      <c r="C242" s="9"/>
      <c r="D242" s="9"/>
      <c r="E242" s="9"/>
      <c r="F242" s="9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 s="10"/>
      <c r="X242" s="10"/>
      <c r="Y242" s="10"/>
      <c r="Z242" s="10"/>
      <c r="AA242" s="10"/>
    </row>
    <row r="243" spans="2:27" ht="15" customHeight="1" x14ac:dyDescent="0.25">
      <c r="B243" s="9"/>
      <c r="C243" s="9"/>
      <c r="D243" s="9"/>
      <c r="E243" s="9"/>
      <c r="F243" s="9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 s="10"/>
      <c r="X243" s="10"/>
      <c r="Y243" s="10"/>
      <c r="Z243" s="10"/>
      <c r="AA243" s="10"/>
    </row>
    <row r="244" spans="2:27" ht="15" customHeight="1" x14ac:dyDescent="0.25">
      <c r="B244" s="9"/>
      <c r="C244" s="9"/>
      <c r="D244" s="9"/>
      <c r="E244" s="9"/>
      <c r="F244" s="9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 s="10"/>
      <c r="X244" s="10"/>
      <c r="Y244" s="10"/>
      <c r="Z244" s="10"/>
      <c r="AA244" s="10"/>
    </row>
    <row r="245" spans="2:27" ht="15" customHeight="1" x14ac:dyDescent="0.25">
      <c r="B245" s="9"/>
      <c r="C245" s="9"/>
      <c r="D245" s="9"/>
      <c r="E245" s="9"/>
      <c r="F245" s="9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 s="10"/>
      <c r="X245" s="10"/>
      <c r="Y245" s="10"/>
      <c r="Z245" s="10"/>
      <c r="AA245" s="10"/>
    </row>
    <row r="246" spans="2:27" ht="15" customHeight="1" x14ac:dyDescent="0.25">
      <c r="B246" s="9"/>
      <c r="C246" s="9"/>
      <c r="D246" s="9"/>
      <c r="E246" s="9"/>
      <c r="F246" s="9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 s="10"/>
      <c r="X246" s="10"/>
      <c r="Y246" s="10"/>
      <c r="Z246" s="10"/>
      <c r="AA246" s="10"/>
    </row>
    <row r="247" spans="2:27" ht="15" customHeight="1" x14ac:dyDescent="0.25">
      <c r="B247" s="9"/>
      <c r="C247" s="9"/>
      <c r="D247" s="9"/>
      <c r="E247" s="9"/>
      <c r="F247" s="9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 s="10"/>
      <c r="X247" s="10"/>
      <c r="Y247" s="10"/>
      <c r="Z247" s="10"/>
      <c r="AA247" s="10"/>
    </row>
    <row r="248" spans="2:27" ht="15" customHeight="1" x14ac:dyDescent="0.25">
      <c r="B248" s="9"/>
      <c r="C248" s="9"/>
      <c r="D248" s="9"/>
      <c r="E248" s="9"/>
      <c r="F248" s="9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 s="10"/>
      <c r="X248" s="10"/>
      <c r="Y248" s="10"/>
      <c r="Z248" s="10"/>
      <c r="AA248" s="10"/>
    </row>
    <row r="249" spans="2:27" ht="15" customHeight="1" x14ac:dyDescent="0.25">
      <c r="B249" s="9"/>
      <c r="C249" s="9"/>
      <c r="D249" s="9"/>
      <c r="E249" s="9"/>
      <c r="F249" s="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 s="10"/>
      <c r="X249" s="10"/>
      <c r="Y249" s="10"/>
      <c r="Z249" s="10"/>
      <c r="AA249" s="10"/>
    </row>
    <row r="250" spans="2:27" ht="15" customHeight="1" x14ac:dyDescent="0.25">
      <c r="B250" s="9"/>
      <c r="C250" s="9"/>
      <c r="D250" s="9"/>
      <c r="E250" s="9"/>
      <c r="F250" s="9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 s="10"/>
      <c r="X250" s="10"/>
      <c r="Y250" s="10"/>
      <c r="Z250" s="10"/>
      <c r="AA250" s="10"/>
    </row>
    <row r="251" spans="2:27" ht="15" customHeight="1" x14ac:dyDescent="0.25">
      <c r="B251" s="9"/>
      <c r="C251" s="9"/>
      <c r="D251" s="9"/>
      <c r="E251" s="9"/>
      <c r="F251" s="9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 s="10"/>
      <c r="X251" s="10"/>
      <c r="Y251" s="10"/>
      <c r="Z251" s="10"/>
      <c r="AA251" s="10"/>
    </row>
    <row r="252" spans="2:27" ht="15" customHeight="1" x14ac:dyDescent="0.25">
      <c r="B252" s="9"/>
      <c r="C252" s="9"/>
      <c r="D252" s="9"/>
      <c r="E252" s="9"/>
      <c r="F252" s="9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 s="10"/>
      <c r="X252" s="10"/>
      <c r="Y252" s="10"/>
      <c r="Z252" s="10"/>
      <c r="AA252" s="10"/>
    </row>
    <row r="253" spans="2:27" ht="15" customHeight="1" x14ac:dyDescent="0.25">
      <c r="B253" s="9"/>
      <c r="C253" s="9"/>
      <c r="D253" s="9"/>
      <c r="E253" s="9"/>
      <c r="F253" s="9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 s="10"/>
      <c r="X253" s="10"/>
      <c r="Y253" s="10"/>
      <c r="Z253" s="10"/>
      <c r="AA253" s="10"/>
    </row>
    <row r="254" spans="2:27" ht="15" customHeight="1" x14ac:dyDescent="0.25">
      <c r="B254" s="9"/>
      <c r="C254" s="9"/>
      <c r="D254" s="9"/>
      <c r="E254" s="9"/>
      <c r="F254" s="9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 s="10"/>
      <c r="X254" s="10"/>
      <c r="Y254" s="10"/>
      <c r="Z254" s="10"/>
      <c r="AA254" s="10"/>
    </row>
    <row r="255" spans="2:27" ht="15" customHeight="1" x14ac:dyDescent="0.25">
      <c r="B255" s="9"/>
      <c r="C255" s="9"/>
      <c r="D255" s="9"/>
      <c r="E255" s="9"/>
      <c r="F255" s="9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 s="10"/>
      <c r="X255" s="10"/>
      <c r="Y255" s="10"/>
      <c r="Z255" s="10"/>
      <c r="AA255" s="10"/>
    </row>
    <row r="256" spans="2:27" ht="15" customHeight="1" x14ac:dyDescent="0.25">
      <c r="B256" s="9"/>
      <c r="C256" s="9"/>
      <c r="D256" s="9"/>
      <c r="E256" s="9"/>
      <c r="F256" s="9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 s="10"/>
      <c r="X256" s="10"/>
      <c r="Y256" s="10"/>
      <c r="Z256" s="10"/>
      <c r="AA256" s="10"/>
    </row>
    <row r="257" spans="2:28" ht="15" customHeight="1" x14ac:dyDescent="0.25">
      <c r="B257" s="9"/>
      <c r="C257" s="9"/>
      <c r="D257" s="9"/>
      <c r="E257" s="9"/>
      <c r="F257" s="9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 s="10"/>
      <c r="X257" s="10"/>
      <c r="Y257" s="10"/>
      <c r="Z257" s="10"/>
      <c r="AA257" s="10"/>
    </row>
    <row r="258" spans="2:28" ht="15" customHeight="1" x14ac:dyDescent="0.25">
      <c r="B258" s="9"/>
      <c r="C258" s="9"/>
      <c r="D258" s="9"/>
      <c r="E258" s="9"/>
      <c r="F258" s="9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 s="10"/>
      <c r="X258" s="10"/>
      <c r="Y258" s="10"/>
      <c r="Z258" s="10"/>
      <c r="AA258" s="10"/>
    </row>
    <row r="259" spans="2:28" ht="15" customHeight="1" x14ac:dyDescent="0.2"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</row>
    <row r="260" spans="2:28" ht="15" customHeight="1" x14ac:dyDescent="0.2"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</row>
    <row r="261" spans="2:28" ht="15" customHeight="1" x14ac:dyDescent="0.2"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8"/>
    </row>
    <row r="262" spans="2:28" ht="15" customHeight="1" x14ac:dyDescent="0.2"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</row>
    <row r="263" spans="2:28" ht="15" customHeight="1" x14ac:dyDescent="0.2"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</row>
    <row r="264" spans="2:28" ht="15" customHeight="1" x14ac:dyDescent="0.2"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</row>
    <row r="265" spans="2:28" ht="15" customHeight="1" x14ac:dyDescent="0.2"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</row>
    <row r="266" spans="2:28" ht="15" customHeight="1" x14ac:dyDescent="0.2"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</row>
    <row r="267" spans="2:28" ht="15" customHeight="1" x14ac:dyDescent="0.2"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</row>
    <row r="268" spans="2:28" ht="15" customHeight="1" x14ac:dyDescent="0.2"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</row>
    <row r="269" spans="2:28" ht="15" customHeight="1" x14ac:dyDescent="0.2"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</row>
    <row r="270" spans="2:28" ht="15" customHeight="1" x14ac:dyDescent="0.2"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</row>
    <row r="271" spans="2:28" ht="15" customHeight="1" x14ac:dyDescent="0.2"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</row>
    <row r="272" spans="2:28" ht="15" customHeight="1" x14ac:dyDescent="0.2"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</row>
    <row r="273" spans="7:27" ht="15" customHeight="1" x14ac:dyDescent="0.2"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</row>
    <row r="274" spans="7:27" ht="15" customHeight="1" x14ac:dyDescent="0.2"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</row>
    <row r="275" spans="7:27" ht="15" customHeight="1" x14ac:dyDescent="0.2"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</row>
    <row r="276" spans="7:27" ht="15" customHeight="1" x14ac:dyDescent="0.2"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</row>
    <row r="277" spans="7:27" ht="15" customHeight="1" x14ac:dyDescent="0.2"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</row>
    <row r="278" spans="7:27" ht="15" customHeight="1" x14ac:dyDescent="0.2"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</row>
    <row r="279" spans="7:27" ht="15" customHeight="1" x14ac:dyDescent="0.2"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</row>
    <row r="280" spans="7:27" ht="15" customHeight="1" x14ac:dyDescent="0.2"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</row>
    <row r="281" spans="7:27" ht="15" customHeight="1" x14ac:dyDescent="0.2"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</row>
    <row r="282" spans="7:27" ht="15" customHeight="1" x14ac:dyDescent="0.2"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</row>
    <row r="283" spans="7:27" ht="15" customHeight="1" x14ac:dyDescent="0.2"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</row>
    <row r="284" spans="7:27" ht="15" customHeight="1" x14ac:dyDescent="0.2"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</row>
    <row r="285" spans="7:27" ht="15" customHeight="1" x14ac:dyDescent="0.2"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</row>
    <row r="286" spans="7:27" ht="15" customHeight="1" x14ac:dyDescent="0.2"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</row>
    <row r="287" spans="7:27" ht="15" customHeight="1" x14ac:dyDescent="0.2"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</row>
    <row r="288" spans="7:27" ht="15" customHeight="1" x14ac:dyDescent="0.2"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</row>
    <row r="289" spans="7:27" ht="15" customHeight="1" x14ac:dyDescent="0.2"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</row>
    <row r="290" spans="7:27" ht="15" customHeight="1" x14ac:dyDescent="0.2"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</row>
    <row r="291" spans="7:27" ht="15" customHeight="1" x14ac:dyDescent="0.2"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</row>
    <row r="292" spans="7:27" ht="15" customHeight="1" x14ac:dyDescent="0.2"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</row>
    <row r="293" spans="7:27" ht="15" customHeight="1" x14ac:dyDescent="0.2"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</row>
    <row r="294" spans="7:27" ht="15" customHeight="1" x14ac:dyDescent="0.2"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</row>
    <row r="295" spans="7:27" ht="15" customHeight="1" x14ac:dyDescent="0.2"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</row>
    <row r="296" spans="7:27" ht="15" customHeight="1" x14ac:dyDescent="0.2"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</row>
    <row r="297" spans="7:27" ht="15" customHeight="1" x14ac:dyDescent="0.2"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</row>
    <row r="298" spans="7:27" ht="15" customHeight="1" x14ac:dyDescent="0.2"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</row>
    <row r="299" spans="7:27" ht="15" customHeight="1" x14ac:dyDescent="0.2"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</row>
    <row r="300" spans="7:27" ht="15" customHeight="1" x14ac:dyDescent="0.2"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</row>
    <row r="301" spans="7:27" ht="15" customHeight="1" x14ac:dyDescent="0.2"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</row>
    <row r="302" spans="7:27" ht="15" customHeight="1" x14ac:dyDescent="0.2"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</row>
    <row r="303" spans="7:27" ht="15" customHeight="1" x14ac:dyDescent="0.2"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</row>
    <row r="304" spans="7:27" ht="15" customHeight="1" x14ac:dyDescent="0.2"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</row>
    <row r="305" spans="7:27" ht="15" customHeight="1" x14ac:dyDescent="0.2"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</row>
    <row r="306" spans="7:27" ht="15" customHeight="1" x14ac:dyDescent="0.2"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</row>
    <row r="307" spans="7:27" ht="15" customHeight="1" x14ac:dyDescent="0.2"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</row>
    <row r="308" spans="7:27" ht="15" customHeight="1" x14ac:dyDescent="0.2"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</row>
    <row r="309" spans="7:27" ht="15" customHeight="1" x14ac:dyDescent="0.2"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</row>
    <row r="310" spans="7:27" ht="15" customHeight="1" x14ac:dyDescent="0.2"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</row>
    <row r="311" spans="7:27" ht="15" customHeight="1" x14ac:dyDescent="0.2"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</row>
    <row r="312" spans="7:27" ht="15" customHeight="1" x14ac:dyDescent="0.2"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</row>
    <row r="313" spans="7:27" ht="15" customHeight="1" x14ac:dyDescent="0.2"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</row>
    <row r="314" spans="7:27" ht="15" customHeight="1" x14ac:dyDescent="0.2"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</row>
    <row r="315" spans="7:27" ht="15" customHeight="1" x14ac:dyDescent="0.2"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</row>
    <row r="316" spans="7:27" ht="15" customHeight="1" x14ac:dyDescent="0.2"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</row>
    <row r="317" spans="7:27" ht="15" customHeight="1" x14ac:dyDescent="0.2"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</row>
    <row r="318" spans="7:27" ht="15" customHeight="1" x14ac:dyDescent="0.2"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</row>
    <row r="319" spans="7:27" ht="15" customHeight="1" x14ac:dyDescent="0.2"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</row>
    <row r="320" spans="7:27" ht="15" customHeight="1" x14ac:dyDescent="0.2"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</row>
    <row r="321" spans="7:27" ht="15" customHeight="1" x14ac:dyDescent="0.2"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</row>
    <row r="322" spans="7:27" ht="15" customHeight="1" x14ac:dyDescent="0.2"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</row>
    <row r="323" spans="7:27" ht="15" customHeight="1" x14ac:dyDescent="0.2"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</row>
    <row r="324" spans="7:27" ht="15" customHeight="1" x14ac:dyDescent="0.2"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</row>
    <row r="325" spans="7:27" ht="15" customHeight="1" x14ac:dyDescent="0.2"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</row>
    <row r="326" spans="7:27" ht="15" customHeight="1" x14ac:dyDescent="0.2"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</row>
    <row r="327" spans="7:27" ht="15" customHeight="1" x14ac:dyDescent="0.2"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</row>
    <row r="328" spans="7:27" ht="15" customHeight="1" x14ac:dyDescent="0.2"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</row>
    <row r="329" spans="7:27" ht="15" customHeight="1" x14ac:dyDescent="0.2"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</row>
    <row r="330" spans="7:27" ht="15" customHeight="1" x14ac:dyDescent="0.2"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</row>
    <row r="331" spans="7:27" ht="15" customHeight="1" x14ac:dyDescent="0.2"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</row>
    <row r="332" spans="7:27" ht="15" customHeight="1" x14ac:dyDescent="0.2"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</row>
    <row r="333" spans="7:27" ht="15" customHeight="1" x14ac:dyDescent="0.2"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</row>
    <row r="334" spans="7:27" ht="15" customHeight="1" x14ac:dyDescent="0.2"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</row>
    <row r="335" spans="7:27" ht="15" customHeight="1" x14ac:dyDescent="0.2"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</row>
    <row r="336" spans="7:27" ht="15" customHeight="1" x14ac:dyDescent="0.2"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</row>
    <row r="337" spans="7:27" ht="15" customHeight="1" x14ac:dyDescent="0.2"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</row>
    <row r="338" spans="7:27" ht="15" customHeight="1" x14ac:dyDescent="0.2"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</row>
    <row r="339" spans="7:27" ht="15" customHeight="1" x14ac:dyDescent="0.2"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</row>
    <row r="340" spans="7:27" ht="15" customHeight="1" x14ac:dyDescent="0.2"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</row>
    <row r="341" spans="7:27" ht="15" customHeight="1" x14ac:dyDescent="0.2"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</row>
    <row r="342" spans="7:27" ht="15" customHeight="1" x14ac:dyDescent="0.2"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</row>
    <row r="343" spans="7:27" ht="15" customHeight="1" x14ac:dyDescent="0.2"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</row>
    <row r="344" spans="7:27" ht="15" customHeight="1" x14ac:dyDescent="0.2"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</row>
    <row r="345" spans="7:27" ht="15" customHeight="1" x14ac:dyDescent="0.2"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</row>
    <row r="346" spans="7:27" ht="15" customHeight="1" x14ac:dyDescent="0.2"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</row>
    <row r="347" spans="7:27" ht="15" customHeight="1" x14ac:dyDescent="0.2"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</row>
    <row r="348" spans="7:27" ht="15" customHeight="1" x14ac:dyDescent="0.2"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</row>
    <row r="349" spans="7:27" ht="15" customHeight="1" x14ac:dyDescent="0.2"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</row>
    <row r="350" spans="7:27" ht="15" customHeight="1" x14ac:dyDescent="0.2"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</row>
    <row r="351" spans="7:27" ht="15" customHeight="1" x14ac:dyDescent="0.2"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</row>
    <row r="352" spans="7:27" ht="15" customHeight="1" x14ac:dyDescent="0.2"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</row>
    <row r="353" spans="7:27" ht="15" customHeight="1" x14ac:dyDescent="0.2"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</row>
    <row r="354" spans="7:27" ht="15" customHeight="1" x14ac:dyDescent="0.2"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</row>
    <row r="355" spans="7:27" ht="15" customHeight="1" x14ac:dyDescent="0.2"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</row>
    <row r="356" spans="7:27" ht="15" customHeight="1" x14ac:dyDescent="0.2"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</row>
    <row r="357" spans="7:27" ht="15" customHeight="1" x14ac:dyDescent="0.2"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</row>
    <row r="358" spans="7:27" ht="15" customHeight="1" x14ac:dyDescent="0.2"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</row>
    <row r="359" spans="7:27" ht="15" customHeight="1" x14ac:dyDescent="0.2"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</row>
    <row r="360" spans="7:27" ht="15" customHeight="1" x14ac:dyDescent="0.2"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</row>
    <row r="361" spans="7:27" ht="15" customHeight="1" x14ac:dyDescent="0.2"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</row>
    <row r="362" spans="7:27" ht="15" customHeight="1" x14ac:dyDescent="0.2"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</row>
    <row r="363" spans="7:27" ht="15" customHeight="1" x14ac:dyDescent="0.2"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</row>
    <row r="364" spans="7:27" ht="15" customHeight="1" x14ac:dyDescent="0.2"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</row>
    <row r="365" spans="7:27" ht="15" customHeight="1" x14ac:dyDescent="0.2"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</row>
    <row r="366" spans="7:27" ht="15" customHeight="1" x14ac:dyDescent="0.2"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</row>
    <row r="367" spans="7:27" ht="15" customHeight="1" x14ac:dyDescent="0.2"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</row>
    <row r="368" spans="7:27" ht="15" customHeight="1" x14ac:dyDescent="0.2"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</row>
    <row r="369" spans="7:27" ht="15" customHeight="1" x14ac:dyDescent="0.2"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</row>
    <row r="370" spans="7:27" ht="15" customHeight="1" x14ac:dyDescent="0.2"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</row>
    <row r="371" spans="7:27" ht="15" customHeight="1" x14ac:dyDescent="0.2"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</row>
    <row r="372" spans="7:27" ht="15" customHeight="1" x14ac:dyDescent="0.2"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</row>
    <row r="373" spans="7:27" ht="15" customHeight="1" x14ac:dyDescent="0.2"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</row>
    <row r="374" spans="7:27" ht="15" customHeight="1" x14ac:dyDescent="0.2"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</row>
    <row r="375" spans="7:27" ht="15" customHeight="1" x14ac:dyDescent="0.2"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</row>
    <row r="376" spans="7:27" ht="15" customHeight="1" x14ac:dyDescent="0.2"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</row>
    <row r="377" spans="7:27" ht="15" customHeight="1" x14ac:dyDescent="0.2"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</row>
    <row r="378" spans="7:27" ht="15" customHeight="1" x14ac:dyDescent="0.2"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</row>
    <row r="379" spans="7:27" ht="15" customHeight="1" x14ac:dyDescent="0.2"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</row>
    <row r="380" spans="7:27" ht="15" customHeight="1" x14ac:dyDescent="0.2"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</row>
    <row r="381" spans="7:27" ht="15" customHeight="1" x14ac:dyDescent="0.2"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</row>
    <row r="382" spans="7:27" ht="15" customHeight="1" x14ac:dyDescent="0.2"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</row>
    <row r="383" spans="7:27" ht="15" customHeight="1" x14ac:dyDescent="0.2"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</row>
    <row r="384" spans="7:27" ht="15" customHeight="1" x14ac:dyDescent="0.2"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</row>
    <row r="385" spans="7:27" ht="15" customHeight="1" x14ac:dyDescent="0.2"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</row>
    <row r="386" spans="7:27" ht="15" customHeight="1" x14ac:dyDescent="0.2"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</row>
    <row r="387" spans="7:27" ht="15" customHeight="1" x14ac:dyDescent="0.2"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</row>
    <row r="388" spans="7:27" ht="15" customHeight="1" x14ac:dyDescent="0.2"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</row>
    <row r="389" spans="7:27" ht="15" customHeight="1" x14ac:dyDescent="0.2"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</row>
    <row r="390" spans="7:27" ht="15" customHeight="1" x14ac:dyDescent="0.2"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</row>
    <row r="391" spans="7:27" ht="15" customHeight="1" x14ac:dyDescent="0.2"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</row>
    <row r="392" spans="7:27" ht="15" customHeight="1" x14ac:dyDescent="0.2"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</row>
    <row r="393" spans="7:27" ht="15" customHeight="1" x14ac:dyDescent="0.2"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</row>
    <row r="394" spans="7:27" ht="15" customHeight="1" x14ac:dyDescent="0.2"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</row>
    <row r="395" spans="7:27" ht="15" customHeight="1" x14ac:dyDescent="0.2"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</row>
    <row r="396" spans="7:27" ht="15" customHeight="1" x14ac:dyDescent="0.2"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</row>
    <row r="397" spans="7:27" ht="15" customHeight="1" x14ac:dyDescent="0.2"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</row>
    <row r="398" spans="7:27" ht="15" customHeight="1" x14ac:dyDescent="0.2"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</row>
    <row r="399" spans="7:27" ht="15" customHeight="1" x14ac:dyDescent="0.2"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</row>
    <row r="400" spans="7:27" ht="15" customHeight="1" x14ac:dyDescent="0.2"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</row>
    <row r="401" spans="7:27" ht="15" customHeight="1" x14ac:dyDescent="0.2"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</row>
    <row r="402" spans="7:27" ht="15" customHeight="1" x14ac:dyDescent="0.2"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</row>
    <row r="403" spans="7:27" ht="15" customHeight="1" x14ac:dyDescent="0.2"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</row>
    <row r="404" spans="7:27" ht="15" customHeight="1" x14ac:dyDescent="0.2"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</row>
    <row r="405" spans="7:27" ht="15" customHeight="1" x14ac:dyDescent="0.2"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</row>
    <row r="406" spans="7:27" ht="15" customHeight="1" x14ac:dyDescent="0.2"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</row>
    <row r="407" spans="7:27" ht="15" customHeight="1" x14ac:dyDescent="0.2"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</row>
    <row r="408" spans="7:27" ht="15" customHeight="1" x14ac:dyDescent="0.2"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</row>
    <row r="409" spans="7:27" ht="15" customHeight="1" x14ac:dyDescent="0.2"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</row>
    <row r="410" spans="7:27" ht="15" customHeight="1" x14ac:dyDescent="0.2"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</row>
    <row r="411" spans="7:27" ht="15" customHeight="1" x14ac:dyDescent="0.2"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</row>
    <row r="412" spans="7:27" ht="15" customHeight="1" x14ac:dyDescent="0.2"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</row>
    <row r="413" spans="7:27" ht="15" customHeight="1" x14ac:dyDescent="0.2"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</row>
    <row r="414" spans="7:27" ht="15" customHeight="1" x14ac:dyDescent="0.2"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</row>
    <row r="415" spans="7:27" ht="15" customHeight="1" x14ac:dyDescent="0.2"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</row>
    <row r="416" spans="7:27" ht="15" customHeight="1" x14ac:dyDescent="0.2"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</row>
    <row r="417" spans="7:27" ht="15" customHeight="1" x14ac:dyDescent="0.2"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</row>
    <row r="418" spans="7:27" ht="15" customHeight="1" x14ac:dyDescent="0.2"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</row>
    <row r="419" spans="7:27" ht="15" customHeight="1" x14ac:dyDescent="0.2"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</row>
    <row r="420" spans="7:27" ht="15" customHeight="1" x14ac:dyDescent="0.2"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</row>
    <row r="421" spans="7:27" ht="15" customHeight="1" x14ac:dyDescent="0.2"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</row>
    <row r="422" spans="7:27" ht="15" customHeight="1" x14ac:dyDescent="0.2"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</row>
    <row r="423" spans="7:27" ht="15" customHeight="1" x14ac:dyDescent="0.2"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</row>
    <row r="424" spans="7:27" ht="15" customHeight="1" x14ac:dyDescent="0.2"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</row>
    <row r="425" spans="7:27" ht="15" customHeight="1" x14ac:dyDescent="0.2"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</row>
    <row r="426" spans="7:27" ht="15" customHeight="1" x14ac:dyDescent="0.2"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</row>
    <row r="427" spans="7:27" ht="15" customHeight="1" x14ac:dyDescent="0.2"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</row>
    <row r="428" spans="7:27" ht="15" customHeight="1" x14ac:dyDescent="0.2"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</row>
    <row r="429" spans="7:27" ht="15" customHeight="1" x14ac:dyDescent="0.2"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</row>
    <row r="430" spans="7:27" ht="15" customHeight="1" x14ac:dyDescent="0.2"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</row>
    <row r="431" spans="7:27" ht="15" customHeight="1" x14ac:dyDescent="0.2"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</row>
    <row r="432" spans="7:27" ht="15" customHeight="1" x14ac:dyDescent="0.2"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</row>
    <row r="433" spans="7:27" ht="15" customHeight="1" x14ac:dyDescent="0.2"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</row>
    <row r="434" spans="7:27" ht="15" customHeight="1" x14ac:dyDescent="0.2"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</row>
    <row r="435" spans="7:27" ht="15" customHeight="1" x14ac:dyDescent="0.2"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</row>
    <row r="436" spans="7:27" ht="15" customHeight="1" x14ac:dyDescent="0.2"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</row>
    <row r="437" spans="7:27" ht="15" customHeight="1" x14ac:dyDescent="0.2"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</row>
    <row r="438" spans="7:27" ht="15" customHeight="1" x14ac:dyDescent="0.2"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</row>
    <row r="439" spans="7:27" ht="15" customHeight="1" x14ac:dyDescent="0.2"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</row>
    <row r="440" spans="7:27" ht="15" customHeight="1" x14ac:dyDescent="0.2"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</row>
    <row r="441" spans="7:27" ht="15" customHeight="1" x14ac:dyDescent="0.2"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</row>
    <row r="442" spans="7:27" ht="15" customHeight="1" x14ac:dyDescent="0.2"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</row>
    <row r="443" spans="7:27" ht="15" customHeight="1" x14ac:dyDescent="0.2"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</row>
    <row r="444" spans="7:27" ht="15" customHeight="1" x14ac:dyDescent="0.2"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</row>
    <row r="445" spans="7:27" ht="15" customHeight="1" x14ac:dyDescent="0.2"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</row>
    <row r="446" spans="7:27" ht="15" customHeight="1" x14ac:dyDescent="0.2"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</row>
    <row r="447" spans="7:27" ht="15" customHeight="1" x14ac:dyDescent="0.2"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</row>
    <row r="448" spans="7:27" ht="15" customHeight="1" x14ac:dyDescent="0.2"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</row>
    <row r="449" spans="7:27" ht="15" customHeight="1" x14ac:dyDescent="0.2"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</row>
    <row r="450" spans="7:27" ht="15" customHeight="1" x14ac:dyDescent="0.2"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</row>
    <row r="451" spans="7:27" ht="15" customHeight="1" x14ac:dyDescent="0.2"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</row>
    <row r="452" spans="7:27" ht="15" customHeight="1" x14ac:dyDescent="0.2"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</row>
    <row r="453" spans="7:27" ht="15" customHeight="1" x14ac:dyDescent="0.2"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</row>
    <row r="454" spans="7:27" ht="15" customHeight="1" x14ac:dyDescent="0.2"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</row>
    <row r="455" spans="7:27" ht="15" customHeight="1" x14ac:dyDescent="0.2"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</row>
    <row r="456" spans="7:27" ht="15" customHeight="1" x14ac:dyDescent="0.2"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</row>
    <row r="457" spans="7:27" ht="15" customHeight="1" x14ac:dyDescent="0.2"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</row>
    <row r="458" spans="7:27" ht="15" customHeight="1" x14ac:dyDescent="0.2"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</row>
    <row r="459" spans="7:27" ht="15" customHeight="1" x14ac:dyDescent="0.2"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</row>
    <row r="460" spans="7:27" ht="15" customHeight="1" x14ac:dyDescent="0.2"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</row>
    <row r="461" spans="7:27" ht="15" customHeight="1" x14ac:dyDescent="0.2"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</row>
    <row r="462" spans="7:27" ht="15" customHeight="1" x14ac:dyDescent="0.2"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</row>
    <row r="463" spans="7:27" ht="15" customHeight="1" x14ac:dyDescent="0.2"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</row>
    <row r="464" spans="7:27" ht="15" customHeight="1" x14ac:dyDescent="0.2"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</row>
    <row r="465" spans="7:27" ht="15" customHeight="1" x14ac:dyDescent="0.2"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</row>
    <row r="466" spans="7:27" ht="15" customHeight="1" x14ac:dyDescent="0.2"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</row>
    <row r="467" spans="7:27" ht="15" customHeight="1" x14ac:dyDescent="0.2"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</row>
    <row r="468" spans="7:27" ht="15" customHeight="1" x14ac:dyDescent="0.2"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</row>
    <row r="469" spans="7:27" ht="15" customHeight="1" x14ac:dyDescent="0.2"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</row>
    <row r="470" spans="7:27" ht="15" customHeight="1" x14ac:dyDescent="0.2"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</row>
    <row r="471" spans="7:27" ht="15" customHeight="1" x14ac:dyDescent="0.2"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</row>
    <row r="472" spans="7:27" ht="15" customHeight="1" x14ac:dyDescent="0.2"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</row>
    <row r="473" spans="7:27" ht="15" customHeight="1" x14ac:dyDescent="0.2"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</row>
    <row r="474" spans="7:27" ht="15" customHeight="1" x14ac:dyDescent="0.2"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</row>
    <row r="475" spans="7:27" ht="15" customHeight="1" x14ac:dyDescent="0.2"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</row>
    <row r="476" spans="7:27" ht="15" customHeight="1" x14ac:dyDescent="0.2"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</row>
    <row r="477" spans="7:27" ht="15" customHeight="1" x14ac:dyDescent="0.2"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</row>
    <row r="478" spans="7:27" ht="15" customHeight="1" x14ac:dyDescent="0.2"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</row>
    <row r="479" spans="7:27" ht="15" customHeight="1" x14ac:dyDescent="0.2"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</row>
    <row r="480" spans="7:27" ht="15" customHeight="1" x14ac:dyDescent="0.2"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</row>
    <row r="481" spans="7:27" ht="15" customHeight="1" x14ac:dyDescent="0.2"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</row>
    <row r="482" spans="7:27" ht="15" customHeight="1" x14ac:dyDescent="0.2"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</row>
    <row r="483" spans="7:27" ht="15" customHeight="1" x14ac:dyDescent="0.2"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</row>
    <row r="484" spans="7:27" ht="15" customHeight="1" x14ac:dyDescent="0.2"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</row>
    <row r="485" spans="7:27" ht="15" customHeight="1" x14ac:dyDescent="0.2"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</row>
    <row r="486" spans="7:27" ht="15" customHeight="1" x14ac:dyDescent="0.2"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</row>
    <row r="487" spans="7:27" ht="15" customHeight="1" x14ac:dyDescent="0.2"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</row>
    <row r="488" spans="7:27" ht="15" customHeight="1" x14ac:dyDescent="0.2"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</row>
    <row r="489" spans="7:27" ht="15" customHeight="1" x14ac:dyDescent="0.2"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</row>
    <row r="490" spans="7:27" ht="15" customHeight="1" x14ac:dyDescent="0.2"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</row>
    <row r="491" spans="7:27" ht="15" customHeight="1" x14ac:dyDescent="0.2"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</row>
    <row r="492" spans="7:27" ht="15" customHeight="1" x14ac:dyDescent="0.2"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</row>
    <row r="493" spans="7:27" ht="15" customHeight="1" x14ac:dyDescent="0.2"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</row>
    <row r="494" spans="7:27" ht="15" customHeight="1" x14ac:dyDescent="0.2"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</row>
    <row r="495" spans="7:27" ht="15" customHeight="1" x14ac:dyDescent="0.2"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</row>
    <row r="496" spans="7:27" ht="15" customHeight="1" x14ac:dyDescent="0.2"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</row>
    <row r="497" spans="7:27" ht="15" customHeight="1" x14ac:dyDescent="0.2"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</row>
    <row r="498" spans="7:27" ht="15" customHeight="1" x14ac:dyDescent="0.2"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</row>
    <row r="499" spans="7:27" ht="15" customHeight="1" x14ac:dyDescent="0.2"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</row>
    <row r="500" spans="7:27" ht="15" customHeight="1" x14ac:dyDescent="0.2"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</row>
    <row r="501" spans="7:27" ht="15" customHeight="1" x14ac:dyDescent="0.2"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</row>
    <row r="502" spans="7:27" ht="15" customHeight="1" x14ac:dyDescent="0.2"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</row>
    <row r="503" spans="7:27" ht="15" customHeight="1" x14ac:dyDescent="0.2"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</row>
    <row r="504" spans="7:27" ht="15" customHeight="1" x14ac:dyDescent="0.2"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</row>
    <row r="505" spans="7:27" ht="15" customHeight="1" x14ac:dyDescent="0.2"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</row>
    <row r="506" spans="7:27" ht="15" customHeight="1" x14ac:dyDescent="0.2"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</row>
    <row r="507" spans="7:27" ht="15" customHeight="1" x14ac:dyDescent="0.2"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</row>
    <row r="508" spans="7:27" ht="15" customHeight="1" x14ac:dyDescent="0.2"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</row>
    <row r="509" spans="7:27" ht="15" customHeight="1" x14ac:dyDescent="0.2"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</row>
    <row r="510" spans="7:27" ht="15" customHeight="1" x14ac:dyDescent="0.2"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</row>
    <row r="511" spans="7:27" ht="15" customHeight="1" x14ac:dyDescent="0.2"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</row>
    <row r="512" spans="7:27" ht="15" customHeight="1" x14ac:dyDescent="0.2"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</row>
    <row r="513" spans="7:27" ht="15" customHeight="1" x14ac:dyDescent="0.2"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</row>
    <row r="514" spans="7:27" ht="15" customHeight="1" x14ac:dyDescent="0.2"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</row>
    <row r="515" spans="7:27" ht="15" customHeight="1" x14ac:dyDescent="0.2"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</row>
    <row r="516" spans="7:27" ht="15" customHeight="1" x14ac:dyDescent="0.2"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</row>
    <row r="517" spans="7:27" ht="15" customHeight="1" x14ac:dyDescent="0.2"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</row>
    <row r="518" spans="7:27" ht="15" customHeight="1" x14ac:dyDescent="0.2"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</row>
    <row r="519" spans="7:27" ht="15" customHeight="1" x14ac:dyDescent="0.2"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</row>
    <row r="520" spans="7:27" ht="15" customHeight="1" x14ac:dyDescent="0.2"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</row>
    <row r="521" spans="7:27" ht="15" customHeight="1" x14ac:dyDescent="0.2"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</row>
    <row r="522" spans="7:27" ht="15" customHeight="1" x14ac:dyDescent="0.2"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</row>
    <row r="523" spans="7:27" ht="15" customHeight="1" x14ac:dyDescent="0.2"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</row>
    <row r="524" spans="7:27" ht="15" customHeight="1" x14ac:dyDescent="0.2"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</row>
    <row r="525" spans="7:27" ht="15" customHeight="1" x14ac:dyDescent="0.2"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</row>
    <row r="526" spans="7:27" ht="15" customHeight="1" x14ac:dyDescent="0.2"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</row>
    <row r="527" spans="7:27" ht="15" customHeight="1" x14ac:dyDescent="0.2"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</row>
    <row r="528" spans="7:27" ht="15" customHeight="1" x14ac:dyDescent="0.2"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</row>
    <row r="529" spans="7:27" ht="15" customHeight="1" x14ac:dyDescent="0.2"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</row>
    <row r="530" spans="7:27" ht="15" customHeight="1" x14ac:dyDescent="0.2"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</row>
    <row r="531" spans="7:27" ht="15" customHeight="1" x14ac:dyDescent="0.2"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</row>
    <row r="532" spans="7:27" ht="15" customHeight="1" x14ac:dyDescent="0.2"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</row>
    <row r="533" spans="7:27" ht="15" customHeight="1" x14ac:dyDescent="0.2"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</row>
    <row r="534" spans="7:27" ht="15" customHeight="1" x14ac:dyDescent="0.2"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</row>
    <row r="535" spans="7:27" ht="15" customHeight="1" x14ac:dyDescent="0.2"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</row>
    <row r="536" spans="7:27" ht="15" customHeight="1" x14ac:dyDescent="0.2"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</row>
    <row r="537" spans="7:27" ht="15" customHeight="1" x14ac:dyDescent="0.2"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</row>
    <row r="538" spans="7:27" ht="15" customHeight="1" x14ac:dyDescent="0.2"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</row>
    <row r="539" spans="7:27" ht="15" customHeight="1" x14ac:dyDescent="0.2"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</row>
    <row r="540" spans="7:27" ht="15" customHeight="1" x14ac:dyDescent="0.2"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</row>
    <row r="541" spans="7:27" ht="15" customHeight="1" x14ac:dyDescent="0.2"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</row>
    <row r="542" spans="7:27" ht="15" customHeight="1" x14ac:dyDescent="0.2"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</row>
    <row r="543" spans="7:27" ht="15" customHeight="1" x14ac:dyDescent="0.2"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</row>
    <row r="544" spans="7:27" ht="15" customHeight="1" x14ac:dyDescent="0.2"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</row>
    <row r="545" spans="7:27" ht="15" customHeight="1" x14ac:dyDescent="0.2"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</row>
    <row r="546" spans="7:27" ht="15" customHeight="1" x14ac:dyDescent="0.2"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</row>
    <row r="547" spans="7:27" ht="15" customHeight="1" x14ac:dyDescent="0.2"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</row>
    <row r="548" spans="7:27" ht="15" customHeight="1" x14ac:dyDescent="0.2"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</row>
    <row r="549" spans="7:27" ht="15" customHeight="1" x14ac:dyDescent="0.2"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</row>
    <row r="550" spans="7:27" ht="15" customHeight="1" x14ac:dyDescent="0.2"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</row>
    <row r="551" spans="7:27" ht="15" customHeight="1" x14ac:dyDescent="0.2"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</row>
    <row r="552" spans="7:27" ht="15" customHeight="1" x14ac:dyDescent="0.2"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</row>
    <row r="553" spans="7:27" ht="15" customHeight="1" x14ac:dyDescent="0.2"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</row>
    <row r="554" spans="7:27" ht="15" customHeight="1" x14ac:dyDescent="0.2"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</row>
    <row r="555" spans="7:27" ht="15" customHeight="1" x14ac:dyDescent="0.2"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</row>
    <row r="556" spans="7:27" ht="15" customHeight="1" x14ac:dyDescent="0.2"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</row>
    <row r="557" spans="7:27" ht="15" customHeight="1" x14ac:dyDescent="0.2"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</row>
    <row r="558" spans="7:27" ht="15" customHeight="1" x14ac:dyDescent="0.2"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</row>
    <row r="559" spans="7:27" ht="15" customHeight="1" x14ac:dyDescent="0.2"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</row>
    <row r="560" spans="7:27" ht="15" customHeight="1" x14ac:dyDescent="0.2"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</row>
    <row r="561" spans="7:27" ht="15" customHeight="1" x14ac:dyDescent="0.2"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</row>
    <row r="562" spans="7:27" ht="15" customHeight="1" x14ac:dyDescent="0.2"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</row>
    <row r="563" spans="7:27" ht="15" customHeight="1" x14ac:dyDescent="0.2"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</row>
    <row r="564" spans="7:27" ht="15" customHeight="1" x14ac:dyDescent="0.2"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</row>
    <row r="565" spans="7:27" ht="15" customHeight="1" x14ac:dyDescent="0.2"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</row>
    <row r="566" spans="7:27" ht="15" customHeight="1" x14ac:dyDescent="0.2"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</row>
    <row r="567" spans="7:27" ht="15" customHeight="1" x14ac:dyDescent="0.2"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</row>
    <row r="568" spans="7:27" ht="15" customHeight="1" x14ac:dyDescent="0.2"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</row>
    <row r="569" spans="7:27" ht="15" customHeight="1" x14ac:dyDescent="0.2"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</row>
    <row r="570" spans="7:27" ht="15" customHeight="1" x14ac:dyDescent="0.2"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</row>
    <row r="571" spans="7:27" ht="15" customHeight="1" x14ac:dyDescent="0.2"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</row>
    <row r="572" spans="7:27" ht="15" customHeight="1" x14ac:dyDescent="0.2"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</row>
    <row r="573" spans="7:27" ht="15" customHeight="1" x14ac:dyDescent="0.2"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</row>
    <row r="574" spans="7:27" ht="15" customHeight="1" x14ac:dyDescent="0.2"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</row>
    <row r="575" spans="7:27" ht="15" customHeight="1" x14ac:dyDescent="0.2"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</row>
    <row r="576" spans="7:27" ht="15" customHeight="1" x14ac:dyDescent="0.2"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</row>
    <row r="577" spans="7:27" ht="15" customHeight="1" x14ac:dyDescent="0.2"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</row>
    <row r="578" spans="7:27" ht="15" customHeight="1" x14ac:dyDescent="0.2"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</row>
    <row r="579" spans="7:27" ht="15" customHeight="1" x14ac:dyDescent="0.2"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</row>
    <row r="580" spans="7:27" ht="15" customHeight="1" x14ac:dyDescent="0.2"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</row>
    <row r="581" spans="7:27" ht="15" customHeight="1" x14ac:dyDescent="0.2"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</row>
    <row r="582" spans="7:27" ht="15" customHeight="1" x14ac:dyDescent="0.2"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</row>
    <row r="583" spans="7:27" ht="15" customHeight="1" x14ac:dyDescent="0.2"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</row>
    <row r="584" spans="7:27" ht="15" customHeight="1" x14ac:dyDescent="0.2"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</row>
    <row r="585" spans="7:27" ht="15" customHeight="1" x14ac:dyDescent="0.2"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</row>
    <row r="586" spans="7:27" ht="15" customHeight="1" x14ac:dyDescent="0.2"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</row>
    <row r="587" spans="7:27" ht="15" customHeight="1" x14ac:dyDescent="0.2"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</row>
    <row r="588" spans="7:27" ht="15" customHeight="1" x14ac:dyDescent="0.2"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</row>
    <row r="589" spans="7:27" ht="15" customHeight="1" x14ac:dyDescent="0.2"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</row>
    <row r="590" spans="7:27" ht="15" customHeight="1" x14ac:dyDescent="0.2"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</row>
    <row r="591" spans="7:27" ht="15" customHeight="1" x14ac:dyDescent="0.2"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</row>
    <row r="592" spans="7:27" ht="15" customHeight="1" x14ac:dyDescent="0.2"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</row>
    <row r="593" spans="7:27" ht="15" customHeight="1" x14ac:dyDescent="0.2"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</row>
    <row r="594" spans="7:27" ht="15" customHeight="1" x14ac:dyDescent="0.2"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</row>
    <row r="595" spans="7:27" ht="15" customHeight="1" x14ac:dyDescent="0.2"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</row>
    <row r="596" spans="7:27" ht="15" customHeight="1" x14ac:dyDescent="0.2"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</row>
    <row r="597" spans="7:27" ht="15" customHeight="1" x14ac:dyDescent="0.2"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</row>
    <row r="598" spans="7:27" ht="15" customHeight="1" x14ac:dyDescent="0.2"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</row>
    <row r="599" spans="7:27" ht="15" customHeight="1" x14ac:dyDescent="0.2"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</row>
    <row r="600" spans="7:27" ht="15" customHeight="1" x14ac:dyDescent="0.2"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</row>
    <row r="601" spans="7:27" ht="15" customHeight="1" x14ac:dyDescent="0.2"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</row>
    <row r="602" spans="7:27" ht="15" customHeight="1" x14ac:dyDescent="0.2"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</row>
    <row r="603" spans="7:27" ht="15" customHeight="1" x14ac:dyDescent="0.2"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</row>
    <row r="604" spans="7:27" ht="15" customHeight="1" x14ac:dyDescent="0.2"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</row>
    <row r="605" spans="7:27" ht="15" customHeight="1" x14ac:dyDescent="0.2"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</row>
    <row r="606" spans="7:27" ht="15" customHeight="1" x14ac:dyDescent="0.2"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</row>
    <row r="607" spans="7:27" ht="15" customHeight="1" x14ac:dyDescent="0.2"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</row>
    <row r="608" spans="7:27" ht="15" customHeight="1" x14ac:dyDescent="0.2"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</row>
    <row r="609" spans="7:27" ht="15" customHeight="1" x14ac:dyDescent="0.2"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</row>
    <row r="610" spans="7:27" ht="15" customHeight="1" x14ac:dyDescent="0.2"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</row>
    <row r="611" spans="7:27" ht="15" customHeight="1" x14ac:dyDescent="0.2"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</row>
    <row r="612" spans="7:27" ht="15" customHeight="1" x14ac:dyDescent="0.2"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</row>
    <row r="613" spans="7:27" ht="15" customHeight="1" x14ac:dyDescent="0.2"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</row>
    <row r="614" spans="7:27" ht="15" customHeight="1" x14ac:dyDescent="0.2"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</row>
    <row r="615" spans="7:27" ht="15" customHeight="1" x14ac:dyDescent="0.2"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</row>
    <row r="616" spans="7:27" ht="15" customHeight="1" x14ac:dyDescent="0.2"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</row>
    <row r="617" spans="7:27" ht="15" customHeight="1" x14ac:dyDescent="0.2"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</row>
    <row r="618" spans="7:27" ht="15" customHeight="1" x14ac:dyDescent="0.2"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</row>
    <row r="619" spans="7:27" ht="15" customHeight="1" x14ac:dyDescent="0.2"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</row>
    <row r="620" spans="7:27" ht="15" customHeight="1" x14ac:dyDescent="0.2"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</row>
    <row r="621" spans="7:27" ht="15" customHeight="1" x14ac:dyDescent="0.2"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</row>
    <row r="622" spans="7:27" ht="15" customHeight="1" x14ac:dyDescent="0.2"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</row>
    <row r="623" spans="7:27" ht="15" customHeight="1" x14ac:dyDescent="0.2"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</row>
    <row r="624" spans="7:27" ht="15" customHeight="1" x14ac:dyDescent="0.2"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</row>
    <row r="625" spans="7:27" ht="15" customHeight="1" x14ac:dyDescent="0.2"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</row>
    <row r="626" spans="7:27" ht="15" customHeight="1" x14ac:dyDescent="0.2"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</row>
    <row r="627" spans="7:27" ht="15" customHeight="1" x14ac:dyDescent="0.2"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</row>
    <row r="628" spans="7:27" ht="15" customHeight="1" x14ac:dyDescent="0.2"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</row>
    <row r="629" spans="7:27" ht="15" customHeight="1" x14ac:dyDescent="0.2"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</row>
    <row r="630" spans="7:27" ht="15" customHeight="1" x14ac:dyDescent="0.2"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</row>
    <row r="631" spans="7:27" ht="15" customHeight="1" x14ac:dyDescent="0.2"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</row>
    <row r="632" spans="7:27" ht="15" customHeight="1" x14ac:dyDescent="0.2"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</row>
    <row r="633" spans="7:27" ht="15" customHeight="1" x14ac:dyDescent="0.2"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</row>
    <row r="634" spans="7:27" ht="15" customHeight="1" x14ac:dyDescent="0.2"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</row>
    <row r="635" spans="7:27" ht="15" customHeight="1" x14ac:dyDescent="0.2"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</row>
    <row r="636" spans="7:27" ht="15" customHeight="1" x14ac:dyDescent="0.2"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</row>
    <row r="637" spans="7:27" ht="15" customHeight="1" x14ac:dyDescent="0.2"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</row>
    <row r="638" spans="7:27" ht="15" customHeight="1" x14ac:dyDescent="0.2"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</row>
    <row r="639" spans="7:27" ht="15" customHeight="1" x14ac:dyDescent="0.2"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</row>
    <row r="640" spans="7:27" ht="15" customHeight="1" x14ac:dyDescent="0.2"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</row>
    <row r="641" spans="7:27" ht="15" customHeight="1" x14ac:dyDescent="0.2"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</row>
    <row r="642" spans="7:27" ht="15" customHeight="1" x14ac:dyDescent="0.2"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</row>
    <row r="643" spans="7:27" ht="15" customHeight="1" x14ac:dyDescent="0.2"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</row>
    <row r="644" spans="7:27" ht="15" customHeight="1" x14ac:dyDescent="0.2"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</row>
    <row r="645" spans="7:27" ht="15" customHeight="1" x14ac:dyDescent="0.2"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</row>
    <row r="646" spans="7:27" ht="15" customHeight="1" x14ac:dyDescent="0.2"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</row>
    <row r="647" spans="7:27" ht="15" customHeight="1" x14ac:dyDescent="0.2"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</row>
    <row r="648" spans="7:27" ht="15" customHeight="1" x14ac:dyDescent="0.2"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</row>
    <row r="649" spans="7:27" ht="15" customHeight="1" x14ac:dyDescent="0.2"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</row>
    <row r="650" spans="7:27" ht="15" customHeight="1" x14ac:dyDescent="0.2"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</row>
    <row r="651" spans="7:27" ht="15" customHeight="1" x14ac:dyDescent="0.2"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</row>
    <row r="652" spans="7:27" ht="15" customHeight="1" x14ac:dyDescent="0.2"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</row>
    <row r="653" spans="7:27" ht="15" customHeight="1" x14ac:dyDescent="0.2"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</row>
    <row r="654" spans="7:27" ht="15" customHeight="1" x14ac:dyDescent="0.2"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</row>
    <row r="655" spans="7:27" ht="15" customHeight="1" x14ac:dyDescent="0.2"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</row>
    <row r="656" spans="7:27" ht="15" customHeight="1" x14ac:dyDescent="0.2"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</row>
    <row r="657" spans="7:27" ht="15" customHeight="1" x14ac:dyDescent="0.2"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</row>
    <row r="658" spans="7:27" ht="15" customHeight="1" x14ac:dyDescent="0.2"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</row>
    <row r="659" spans="7:27" ht="15" customHeight="1" x14ac:dyDescent="0.2"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</row>
    <row r="660" spans="7:27" ht="15" customHeight="1" x14ac:dyDescent="0.2"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</row>
    <row r="661" spans="7:27" ht="15" customHeight="1" x14ac:dyDescent="0.2"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</row>
    <row r="662" spans="7:27" ht="15" customHeight="1" x14ac:dyDescent="0.2"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</row>
    <row r="663" spans="7:27" ht="15" customHeight="1" x14ac:dyDescent="0.2"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</row>
    <row r="664" spans="7:27" ht="15" customHeight="1" x14ac:dyDescent="0.2"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</row>
    <row r="665" spans="7:27" ht="15" customHeight="1" x14ac:dyDescent="0.2"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</row>
    <row r="666" spans="7:27" ht="15" customHeight="1" x14ac:dyDescent="0.2"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</row>
    <row r="667" spans="7:27" ht="15" customHeight="1" x14ac:dyDescent="0.2"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</row>
    <row r="668" spans="7:27" ht="15" customHeight="1" x14ac:dyDescent="0.2"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</row>
    <row r="669" spans="7:27" ht="15" customHeight="1" x14ac:dyDescent="0.2"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</row>
    <row r="670" spans="7:27" ht="15" customHeight="1" x14ac:dyDescent="0.2"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</row>
    <row r="671" spans="7:27" ht="15" customHeight="1" x14ac:dyDescent="0.2"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</row>
    <row r="672" spans="7:27" ht="15" customHeight="1" x14ac:dyDescent="0.2"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</row>
    <row r="673" spans="7:27" ht="15" customHeight="1" x14ac:dyDescent="0.2"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</row>
    <row r="674" spans="7:27" ht="15" customHeight="1" x14ac:dyDescent="0.2"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</row>
    <row r="675" spans="7:27" ht="15" customHeight="1" x14ac:dyDescent="0.2"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</row>
    <row r="676" spans="7:27" ht="15" customHeight="1" x14ac:dyDescent="0.2"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</row>
    <row r="677" spans="7:27" ht="15" customHeight="1" x14ac:dyDescent="0.2"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</row>
    <row r="678" spans="7:27" ht="15" customHeight="1" x14ac:dyDescent="0.2"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</row>
    <row r="679" spans="7:27" ht="15" customHeight="1" x14ac:dyDescent="0.2"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</row>
    <row r="680" spans="7:27" ht="15" customHeight="1" x14ac:dyDescent="0.2"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</row>
    <row r="681" spans="7:27" ht="15" customHeight="1" x14ac:dyDescent="0.2"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</row>
    <row r="682" spans="7:27" ht="15" customHeight="1" x14ac:dyDescent="0.2"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</row>
    <row r="683" spans="7:27" ht="15" customHeight="1" x14ac:dyDescent="0.2"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</row>
    <row r="684" spans="7:27" ht="15" customHeight="1" x14ac:dyDescent="0.2"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</row>
    <row r="685" spans="7:27" ht="15" customHeight="1" x14ac:dyDescent="0.2"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</row>
    <row r="686" spans="7:27" ht="15" customHeight="1" x14ac:dyDescent="0.2"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</row>
    <row r="687" spans="7:27" ht="15" customHeight="1" x14ac:dyDescent="0.2"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</row>
    <row r="688" spans="7:27" ht="15" customHeight="1" x14ac:dyDescent="0.2"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</row>
    <row r="689" spans="7:27" ht="15" customHeight="1" x14ac:dyDescent="0.2"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</row>
    <row r="690" spans="7:27" ht="15" customHeight="1" x14ac:dyDescent="0.2"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</row>
    <row r="691" spans="7:27" ht="15" customHeight="1" x14ac:dyDescent="0.2"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</row>
    <row r="692" spans="7:27" ht="15" customHeight="1" x14ac:dyDescent="0.2"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</row>
    <row r="693" spans="7:27" ht="15" customHeight="1" x14ac:dyDescent="0.2"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</row>
    <row r="694" spans="7:27" ht="15" customHeight="1" x14ac:dyDescent="0.2"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</row>
    <row r="695" spans="7:27" ht="15" customHeight="1" x14ac:dyDescent="0.2"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</row>
    <row r="696" spans="7:27" ht="15" customHeight="1" x14ac:dyDescent="0.2"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</row>
    <row r="697" spans="7:27" ht="15" customHeight="1" x14ac:dyDescent="0.2"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</row>
    <row r="698" spans="7:27" ht="15" customHeight="1" x14ac:dyDescent="0.2"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</row>
    <row r="699" spans="7:27" ht="15" customHeight="1" x14ac:dyDescent="0.2"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</row>
    <row r="700" spans="7:27" ht="15" customHeight="1" x14ac:dyDescent="0.2"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</row>
    <row r="701" spans="7:27" ht="15" customHeight="1" x14ac:dyDescent="0.2"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</row>
    <row r="702" spans="7:27" ht="15" customHeight="1" x14ac:dyDescent="0.2"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</row>
    <row r="703" spans="7:27" ht="15" customHeight="1" x14ac:dyDescent="0.2"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</row>
    <row r="704" spans="7:27" ht="15" customHeight="1" x14ac:dyDescent="0.2"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</row>
    <row r="705" spans="7:27" ht="15" customHeight="1" x14ac:dyDescent="0.2"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</row>
    <row r="706" spans="7:27" ht="15" customHeight="1" x14ac:dyDescent="0.2"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</row>
    <row r="707" spans="7:27" ht="15" customHeight="1" x14ac:dyDescent="0.2"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</row>
    <row r="708" spans="7:27" ht="15" customHeight="1" x14ac:dyDescent="0.2"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</row>
    <row r="709" spans="7:27" ht="15" customHeight="1" x14ac:dyDescent="0.2"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</row>
    <row r="710" spans="7:27" ht="15" customHeight="1" x14ac:dyDescent="0.2"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</row>
    <row r="711" spans="7:27" ht="15" customHeight="1" x14ac:dyDescent="0.2"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</row>
    <row r="712" spans="7:27" ht="15" customHeight="1" x14ac:dyDescent="0.2"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</row>
    <row r="713" spans="7:27" ht="15" customHeight="1" x14ac:dyDescent="0.2"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</row>
    <row r="714" spans="7:27" ht="15" customHeight="1" x14ac:dyDescent="0.2"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</row>
    <row r="715" spans="7:27" ht="15" customHeight="1" x14ac:dyDescent="0.2"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</row>
    <row r="716" spans="7:27" ht="15" customHeight="1" x14ac:dyDescent="0.2"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</row>
    <row r="717" spans="7:27" ht="15" customHeight="1" x14ac:dyDescent="0.2"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</row>
    <row r="718" spans="7:27" ht="15" customHeight="1" x14ac:dyDescent="0.2"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</row>
    <row r="719" spans="7:27" ht="15" customHeight="1" x14ac:dyDescent="0.2"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</row>
    <row r="720" spans="7:27" ht="15" customHeight="1" x14ac:dyDescent="0.2"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</row>
    <row r="721" spans="7:27" ht="15" customHeight="1" x14ac:dyDescent="0.2"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</row>
    <row r="722" spans="7:27" ht="15" customHeight="1" x14ac:dyDescent="0.2"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</row>
    <row r="723" spans="7:27" ht="15" customHeight="1" x14ac:dyDescent="0.2"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</row>
    <row r="724" spans="7:27" ht="15" customHeight="1" x14ac:dyDescent="0.2"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</row>
    <row r="725" spans="7:27" ht="15" customHeight="1" x14ac:dyDescent="0.2"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</row>
    <row r="726" spans="7:27" ht="15" customHeight="1" x14ac:dyDescent="0.2"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</row>
    <row r="727" spans="7:27" ht="15" customHeight="1" x14ac:dyDescent="0.2"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</row>
    <row r="728" spans="7:27" ht="15" customHeight="1" x14ac:dyDescent="0.2"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</row>
    <row r="729" spans="7:27" ht="15" customHeight="1" x14ac:dyDescent="0.2"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</row>
    <row r="730" spans="7:27" ht="15" customHeight="1" x14ac:dyDescent="0.2"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</row>
    <row r="731" spans="7:27" ht="15" customHeight="1" x14ac:dyDescent="0.2"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</row>
    <row r="732" spans="7:27" ht="15" customHeight="1" x14ac:dyDescent="0.2"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</row>
    <row r="733" spans="7:27" ht="15" customHeight="1" x14ac:dyDescent="0.2"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</row>
    <row r="734" spans="7:27" ht="15" customHeight="1" x14ac:dyDescent="0.2"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</row>
    <row r="735" spans="7:27" ht="15" customHeight="1" x14ac:dyDescent="0.2"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</row>
    <row r="736" spans="7:27" ht="15" customHeight="1" x14ac:dyDescent="0.2"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</row>
    <row r="737" spans="7:27" ht="15" customHeight="1" x14ac:dyDescent="0.2"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</row>
    <row r="738" spans="7:27" ht="15" customHeight="1" x14ac:dyDescent="0.2"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</row>
    <row r="739" spans="7:27" ht="15" customHeight="1" x14ac:dyDescent="0.2"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</row>
    <row r="740" spans="7:27" ht="15" customHeight="1" x14ac:dyDescent="0.2"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</row>
    <row r="741" spans="7:27" ht="15" customHeight="1" x14ac:dyDescent="0.2"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</row>
    <row r="742" spans="7:27" ht="15" customHeight="1" x14ac:dyDescent="0.2"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</row>
    <row r="743" spans="7:27" ht="15" customHeight="1" x14ac:dyDescent="0.2"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</row>
    <row r="744" spans="7:27" ht="15" customHeight="1" x14ac:dyDescent="0.2"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</row>
    <row r="745" spans="7:27" ht="15" customHeight="1" x14ac:dyDescent="0.2"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</row>
    <row r="746" spans="7:27" ht="15" customHeight="1" x14ac:dyDescent="0.2"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</row>
    <row r="747" spans="7:27" ht="15" customHeight="1" x14ac:dyDescent="0.2"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</row>
    <row r="748" spans="7:27" ht="15" customHeight="1" x14ac:dyDescent="0.2"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</row>
    <row r="749" spans="7:27" ht="15" customHeight="1" x14ac:dyDescent="0.2"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</row>
    <row r="750" spans="7:27" ht="15" customHeight="1" x14ac:dyDescent="0.2"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</row>
    <row r="751" spans="7:27" ht="15" customHeight="1" x14ac:dyDescent="0.2"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</row>
    <row r="752" spans="7:27" ht="15" customHeight="1" x14ac:dyDescent="0.2"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</row>
    <row r="753" spans="7:27" ht="15" customHeight="1" x14ac:dyDescent="0.2"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</row>
    <row r="754" spans="7:27" ht="15" customHeight="1" x14ac:dyDescent="0.2"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</row>
    <row r="755" spans="7:27" ht="15" customHeight="1" x14ac:dyDescent="0.2"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</row>
    <row r="756" spans="7:27" ht="15" customHeight="1" x14ac:dyDescent="0.2"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</row>
    <row r="757" spans="7:27" ht="15" customHeight="1" x14ac:dyDescent="0.2"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</row>
    <row r="758" spans="7:27" ht="15" customHeight="1" x14ac:dyDescent="0.2"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</row>
    <row r="759" spans="7:27" ht="15" customHeight="1" x14ac:dyDescent="0.2"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</row>
    <row r="760" spans="7:27" ht="15" customHeight="1" x14ac:dyDescent="0.2"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</row>
  </sheetData>
  <dataValidations disablePrompts="1" count="1">
    <dataValidation type="list" allowBlank="1" showInputMessage="1" showErrorMessage="1" sqref="C11:C12">
      <formula1>"0,1"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MODEL</vt:lpstr>
      <vt:lpstr>MIN_VOLATILITY_CHART</vt:lpstr>
      <vt:lpstr>MAX_VOLATILITY_CHART</vt:lpstr>
      <vt:lpstr>MIN_RETURN_CHART</vt:lpstr>
      <vt:lpstr>MAX_RETURN_CHART</vt:lpstr>
      <vt:lpstr>INPUTS</vt:lpstr>
      <vt:lpstr>MAX_DATE_AXIS</vt:lpstr>
      <vt:lpstr>MAX_PRICE_AXIS</vt:lpstr>
      <vt:lpstr>MAX_RETURN_AXIS</vt:lpstr>
      <vt:lpstr>MAX_VOLATILITY_AXIS</vt:lpstr>
      <vt:lpstr>MIN_DATE_AXIS</vt:lpstr>
      <vt:lpstr>MIN_PRICE_AXIS</vt:lpstr>
      <vt:lpstr>MIN_RETURN_AXIS</vt:lpstr>
      <vt:lpstr>MIN_VOLATILITY_AXIS</vt:lpstr>
      <vt:lpstr>POSITION</vt:lpstr>
    </vt:vector>
  </TitlesOfParts>
  <Company>&lt;retired&gt;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Windows User</cp:lastModifiedBy>
  <dcterms:created xsi:type="dcterms:W3CDTF">2002-01-04T15:18:09Z</dcterms:created>
  <dcterms:modified xsi:type="dcterms:W3CDTF">2013-02-28T03:48:42Z</dcterms:modified>
</cp:coreProperties>
</file>